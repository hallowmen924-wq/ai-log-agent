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현재_통합_문서"/>
  <mc:AlternateContent xmlns:mc="http://schemas.openxmlformats.org/markup-compatibility/2006">
    <mc:Choice Requires="x15">
      <x15ac:absPath xmlns:x15ac="http://schemas.microsoft.com/office/spreadsheetml/2010/11/ac" url="D:\YH\작업장\문서\"/>
    </mc:Choice>
  </mc:AlternateContent>
  <xr:revisionPtr revIDLastSave="0" documentId="13_ncr:1_{20429C62-9AEB-409D-BB48-20FB992F52D1}" xr6:coauthVersionLast="47" xr6:coauthVersionMax="47" xr10:uidLastSave="{00000000-0000-0000-0000-000000000000}"/>
  <bookViews>
    <workbookView xWindow="-120" yWindow="-120" windowWidth="29040" windowHeight="15840" tabRatio="876" firstSheet="1" activeTab="8" xr2:uid="{00000000-000D-0000-FFFF-FFFF00000000}"/>
  </bookViews>
  <sheets>
    <sheet name="상품별심사처리기준" sheetId="15" r:id="rId1"/>
    <sheet name="심사테이블" sheetId="13" r:id="rId2"/>
    <sheet name="DW수보테이블" sheetId="25" r:id="rId3"/>
    <sheet name="RCLIPS송신(이지론)_최종" sheetId="27" r:id="rId4"/>
    <sheet name="RCLIPS수신(이지론)_최종" sheetId="18" r:id="rId5"/>
    <sheet name="RCLIPS송신(일사천리론)_최종" sheetId="26" r:id="rId6"/>
    <sheet name="RCLIPS수신(일사천리론)_최종" sheetId="23" r:id="rId7"/>
    <sheet name="RCLIPS송신(개사)" sheetId="31" r:id="rId8"/>
    <sheet name="RCLIPS수신(개사)" sheetId="32" r:id="rId9"/>
    <sheet name="RCLIPS송신(대환)" sheetId="33" r:id="rId10"/>
    <sheet name="RCLIPS수신(대환)" sheetId="34" r:id="rId11"/>
    <sheet name="WORK" sheetId="30" r:id="rId12"/>
    <sheet name="Sheet1" sheetId="35" r:id="rId13"/>
    <sheet name="Sheet2" sheetId="36" r:id="rId14"/>
    <sheet name="Sheet5" sheetId="39" r:id="rId15"/>
    <sheet name="취소뺌" sheetId="40" r:id="rId16"/>
    <sheet name="RCLIPS송신(이지론플러스)_최종" sheetId="28" r:id="rId17"/>
    <sheet name="RCLIPS수신(이지론플러스)_최종" sheetId="29" r:id="rId18"/>
    <sheet name="참고_AsIs_RCLIPS송신" sheetId="21" r:id="rId19"/>
    <sheet name="참고_AsIs_RCLIPS수신" sheetId="22" r:id="rId20"/>
    <sheet name="용어신청대상" sheetId="16" r:id="rId21"/>
    <sheet name="질의 및 확인 사항" sheetId="11" r:id="rId22"/>
  </sheets>
  <externalReferences>
    <externalReference r:id="rId23"/>
    <externalReference r:id="rId24"/>
    <externalReference r:id="rId25"/>
    <externalReference r:id="rId26"/>
    <externalReference r:id="rId27"/>
  </externalReferences>
  <definedNames>
    <definedName name="_xlnm._FilterDatabase" localSheetId="2" hidden="1">DW수보테이블!$A$2:$XEO$317</definedName>
    <definedName name="_xlnm._FilterDatabase" localSheetId="3" hidden="1">'RCLIPS송신(이지론)_최종'!$A$1:$Q$670</definedName>
    <definedName name="_xlnm._FilterDatabase" localSheetId="16" hidden="1">'RCLIPS송신(이지론플러스)_최종'!$A$1:$Q$208</definedName>
    <definedName name="_xlnm._FilterDatabase" localSheetId="5" hidden="1">'RCLIPS송신(일사천리론)_최종'!$A$1:$P$571</definedName>
    <definedName name="_xlnm._FilterDatabase" localSheetId="4" hidden="1">'RCLIPS수신(이지론)_최종'!$A$3:$K$106</definedName>
    <definedName name="_xlnm._FilterDatabase" localSheetId="17" hidden="1">'RCLIPS수신(이지론플러스)_최종'!$A$3:$O$114</definedName>
    <definedName name="_xlnm._FilterDatabase" localSheetId="6" hidden="1">'RCLIPS수신(일사천리론)_최종'!$A$3:$O$142</definedName>
    <definedName name="_xlnm._FilterDatabase" localSheetId="14" hidden="1">Sheet5!$A$1:$N$534</definedName>
    <definedName name="_xlnm._FilterDatabase" localSheetId="1" hidden="1">심사테이블!$A$2:$XEP$602</definedName>
    <definedName name="_xlnm._FilterDatabase" localSheetId="20" hidden="1">용어신청대상!$B$1:$E$55</definedName>
    <definedName name="_xlnm._FilterDatabase" localSheetId="15" hidden="1">취소뺌!$A$1:$N$534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3" i="23" l="1"/>
  <c r="A144" i="23"/>
  <c r="A145" i="23"/>
  <c r="A146" i="23"/>
  <c r="A147" i="23"/>
  <c r="A148" i="23"/>
  <c r="A149" i="23"/>
  <c r="A150" i="23"/>
  <c r="A151" i="23"/>
  <c r="A152" i="23"/>
  <c r="A153" i="23"/>
  <c r="A154" i="23"/>
  <c r="A317" i="33"/>
  <c r="A318" i="33"/>
  <c r="A86" i="33" l="1"/>
  <c r="A87" i="33"/>
  <c r="A88" i="33"/>
  <c r="A89" i="33"/>
  <c r="A90" i="33"/>
  <c r="A91" i="33"/>
  <c r="A92" i="33"/>
  <c r="A93" i="33"/>
  <c r="A94" i="33"/>
  <c r="A95" i="33"/>
  <c r="A96" i="33"/>
  <c r="A97" i="33"/>
  <c r="A98" i="33"/>
  <c r="A362" i="31" l="1"/>
  <c r="A363" i="31"/>
  <c r="A364" i="31"/>
  <c r="A365" i="31"/>
  <c r="A185" i="31"/>
  <c r="A186" i="31"/>
  <c r="A187" i="31"/>
  <c r="A184" i="31"/>
  <c r="A109" i="31"/>
  <c r="A64" i="31"/>
  <c r="A65" i="31"/>
  <c r="A66" i="31"/>
  <c r="A67" i="31"/>
  <c r="A68" i="31"/>
  <c r="A69" i="31"/>
  <c r="A70" i="31"/>
  <c r="A88" i="23" l="1"/>
  <c r="A77" i="23"/>
  <c r="A73" i="23"/>
  <c r="A74" i="23"/>
  <c r="A71" i="23"/>
  <c r="A72" i="23"/>
  <c r="A416" i="26"/>
  <c r="A291" i="26"/>
  <c r="A302" i="26"/>
  <c r="A303" i="26"/>
  <c r="A301" i="26"/>
  <c r="A94" i="26"/>
  <c r="A95" i="26"/>
  <c r="A96" i="26"/>
  <c r="A97" i="26"/>
  <c r="A98" i="26"/>
  <c r="A93" i="26"/>
  <c r="H164" i="18" l="1"/>
  <c r="H163" i="18"/>
  <c r="A161" i="18"/>
  <c r="A162" i="18"/>
  <c r="A163" i="18"/>
  <c r="A164" i="18"/>
  <c r="A165" i="18"/>
  <c r="A166" i="18"/>
  <c r="A586" i="27"/>
  <c r="A583" i="27"/>
  <c r="A584" i="27"/>
  <c r="A585" i="27"/>
  <c r="A587" i="27"/>
  <c r="A582" i="27"/>
  <c r="A541" i="27"/>
  <c r="A542" i="27"/>
  <c r="A543" i="27"/>
  <c r="A544" i="27"/>
  <c r="A545" i="27"/>
  <c r="A546" i="27"/>
  <c r="A417" i="26"/>
  <c r="A100" i="23" l="1"/>
  <c r="A101" i="23"/>
  <c r="A102" i="23"/>
  <c r="A97" i="23"/>
  <c r="A96" i="23"/>
  <c r="A95" i="23"/>
  <c r="A80" i="23"/>
  <c r="A81" i="23"/>
  <c r="A82" i="23"/>
  <c r="A83" i="23"/>
  <c r="A84" i="23"/>
  <c r="A85" i="23"/>
  <c r="A86" i="23"/>
  <c r="A87" i="23"/>
  <c r="A231" i="33"/>
  <c r="A232" i="33"/>
  <c r="A233" i="33"/>
  <c r="A234" i="33"/>
  <c r="A235" i="33"/>
  <c r="A236" i="33"/>
  <c r="A157" i="31"/>
  <c r="A158" i="31"/>
  <c r="A159" i="31"/>
  <c r="A160" i="31"/>
  <c r="A161" i="31"/>
  <c r="A162" i="31"/>
  <c r="A163" i="31"/>
  <c r="A164" i="31"/>
  <c r="A165" i="31"/>
  <c r="A166" i="31"/>
  <c r="A167" i="31"/>
  <c r="A168" i="31"/>
  <c r="A169" i="31"/>
  <c r="A170" i="31"/>
  <c r="A290" i="26"/>
  <c r="A292" i="26"/>
  <c r="A293" i="26"/>
  <c r="A294" i="26"/>
  <c r="A295" i="26"/>
  <c r="A296" i="26"/>
  <c r="A297" i="26"/>
  <c r="A298" i="26"/>
  <c r="A299" i="26"/>
  <c r="A300"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0"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A641" i="26"/>
  <c r="A642" i="26"/>
  <c r="A643" i="26"/>
  <c r="A644" i="26"/>
  <c r="A645" i="26"/>
  <c r="A646" i="26"/>
  <c r="A647" i="26"/>
  <c r="A648" i="26"/>
  <c r="A649" i="26"/>
  <c r="A650" i="26"/>
  <c r="A651" i="26"/>
  <c r="A652" i="26"/>
  <c r="A653" i="26"/>
  <c r="A654" i="26"/>
  <c r="A655" i="26"/>
  <c r="A656" i="26"/>
  <c r="A657" i="26"/>
  <c r="A658" i="26"/>
  <c r="A659" i="26"/>
  <c r="A660" i="26"/>
  <c r="A661" i="26"/>
  <c r="A662" i="26"/>
  <c r="A663" i="26"/>
  <c r="A664" i="26"/>
  <c r="A665" i="26"/>
  <c r="A666" i="26"/>
  <c r="A667" i="26"/>
  <c r="A668" i="26"/>
  <c r="A669" i="26"/>
  <c r="A670" i="26"/>
  <c r="A671" i="26"/>
  <c r="A672" i="26"/>
  <c r="A673" i="26"/>
  <c r="A674" i="26"/>
  <c r="A675" i="26"/>
  <c r="A676" i="26"/>
  <c r="A677" i="26"/>
  <c r="A678" i="26"/>
  <c r="A679" i="26"/>
  <c r="A680" i="26"/>
  <c r="A681" i="26"/>
  <c r="A682" i="26"/>
  <c r="A683" i="26"/>
  <c r="A684" i="26"/>
  <c r="A685" i="26"/>
  <c r="A686" i="26"/>
  <c r="A687" i="26"/>
  <c r="A688" i="26"/>
  <c r="A689" i="26"/>
  <c r="A690" i="26"/>
  <c r="A691" i="26"/>
  <c r="A692" i="26"/>
  <c r="A693" i="26"/>
  <c r="A694" i="26"/>
  <c r="A695" i="26"/>
  <c r="A696" i="26"/>
  <c r="A697" i="26"/>
  <c r="A698" i="26"/>
  <c r="A699" i="26"/>
  <c r="A700" i="26"/>
  <c r="A701" i="26"/>
  <c r="A702" i="26"/>
  <c r="A703" i="26"/>
  <c r="A704" i="26"/>
  <c r="A705" i="26"/>
  <c r="A706" i="26"/>
  <c r="A707" i="26"/>
  <c r="A708" i="26"/>
  <c r="A709" i="26"/>
  <c r="A710" i="26"/>
  <c r="A711" i="26"/>
  <c r="A712" i="26"/>
  <c r="A713" i="26"/>
  <c r="A714" i="26"/>
  <c r="A715" i="26"/>
  <c r="A716" i="26"/>
  <c r="A717" i="26"/>
  <c r="A718" i="26"/>
  <c r="A719" i="26"/>
  <c r="A720" i="26"/>
  <c r="A721" i="26"/>
  <c r="A722" i="26"/>
  <c r="A723" i="26"/>
  <c r="A724" i="26"/>
  <c r="A725" i="26"/>
  <c r="A726" i="26"/>
  <c r="A727" i="26"/>
  <c r="A728" i="26"/>
  <c r="A729" i="26"/>
  <c r="A730" i="26"/>
  <c r="A731" i="26"/>
  <c r="A732" i="26"/>
  <c r="A733" i="26"/>
  <c r="A734" i="26"/>
  <c r="A735" i="26"/>
  <c r="A736" i="26"/>
  <c r="A737" i="26"/>
  <c r="A738" i="26"/>
  <c r="A739" i="26"/>
  <c r="A740" i="26"/>
  <c r="A741" i="26"/>
  <c r="A742" i="26"/>
  <c r="A743" i="26"/>
  <c r="A744" i="26"/>
  <c r="A745" i="26"/>
  <c r="A746" i="26"/>
  <c r="A747" i="26"/>
  <c r="A748" i="26"/>
  <c r="A749" i="26"/>
  <c r="A750" i="26"/>
  <c r="A751" i="26"/>
  <c r="A752" i="26"/>
  <c r="A753" i="26"/>
  <c r="A754" i="26"/>
  <c r="A755" i="26"/>
  <c r="A756" i="26"/>
  <c r="A757" i="26"/>
  <c r="A758" i="26"/>
  <c r="A759" i="26"/>
  <c r="A760" i="26"/>
  <c r="A761" i="26"/>
  <c r="A762" i="26"/>
  <c r="A763" i="26"/>
  <c r="A764" i="26"/>
  <c r="A765" i="26"/>
  <c r="A766" i="26"/>
  <c r="A767" i="26"/>
  <c r="A768" i="26"/>
  <c r="A769" i="26"/>
  <c r="A770" i="26"/>
  <c r="A771" i="26"/>
  <c r="A772" i="26"/>
  <c r="A773" i="26"/>
  <c r="A774" i="26"/>
  <c r="A560" i="27"/>
  <c r="A561" i="27"/>
  <c r="A562" i="27"/>
  <c r="A563" i="27"/>
  <c r="A564" i="27"/>
  <c r="A565" i="27"/>
  <c r="A566" i="27"/>
  <c r="A567" i="27"/>
  <c r="A568" i="27"/>
  <c r="A569" i="27"/>
  <c r="A9" i="32"/>
  <c r="A10" i="32"/>
  <c r="A11" i="32"/>
  <c r="A12" i="32"/>
  <c r="A13" i="32"/>
  <c r="A14" i="32"/>
  <c r="H176" i="18"/>
  <c r="H166" i="18"/>
  <c r="H167" i="18"/>
  <c r="H168" i="18"/>
  <c r="H169" i="18"/>
  <c r="H170" i="18"/>
  <c r="H171" i="18"/>
  <c r="H172" i="18"/>
  <c r="H173" i="18"/>
  <c r="H174" i="18"/>
  <c r="H175" i="18"/>
  <c r="H178" i="18"/>
  <c r="H179" i="18"/>
  <c r="H180" i="18"/>
  <c r="H181" i="18"/>
  <c r="H153" i="18"/>
  <c r="H154" i="18"/>
  <c r="H155" i="18"/>
  <c r="H156" i="18"/>
  <c r="H157" i="18"/>
  <c r="H158" i="18"/>
  <c r="H159" i="18"/>
  <c r="H160" i="18"/>
  <c r="H165" i="18"/>
  <c r="A179" i="18"/>
  <c r="A180" i="18"/>
  <c r="A181" i="18"/>
  <c r="A153" i="18"/>
  <c r="A154" i="18"/>
  <c r="A155" i="18"/>
  <c r="A156" i="18"/>
  <c r="A157" i="18"/>
  <c r="A158" i="18"/>
  <c r="A159" i="18"/>
  <c r="A160" i="18"/>
  <c r="A167" i="18"/>
  <c r="A168" i="18"/>
  <c r="A169" i="18"/>
  <c r="A170" i="18"/>
  <c r="A171" i="18"/>
  <c r="A172" i="18"/>
  <c r="A173" i="18"/>
  <c r="A174" i="18"/>
  <c r="A175" i="18"/>
  <c r="A176"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77"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0"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1" i="18"/>
  <c r="P12" i="18"/>
  <c r="P13" i="18"/>
  <c r="P14" i="18"/>
  <c r="P15" i="18"/>
  <c r="P16" i="18"/>
  <c r="P17" i="18"/>
  <c r="P18" i="18"/>
  <c r="P19" i="18"/>
  <c r="P20" i="18"/>
  <c r="P21" i="18"/>
  <c r="P22" i="18"/>
  <c r="P23" i="18"/>
  <c r="P24" i="18"/>
  <c r="P25" i="18"/>
  <c r="P26" i="18"/>
  <c r="P27" i="18"/>
  <c r="P28" i="18"/>
  <c r="P29" i="18"/>
  <c r="P10"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540" i="27" l="1"/>
  <c r="A537" i="27"/>
  <c r="A538" i="27"/>
  <c r="A539" i="27"/>
  <c r="A574" i="27"/>
  <c r="A575" i="27"/>
  <c r="A576" i="27"/>
  <c r="A577" i="27"/>
  <c r="A578" i="27"/>
  <c r="A579" i="27"/>
  <c r="A580" i="27"/>
  <c r="A581" i="27"/>
  <c r="A606" i="27"/>
  <c r="A289" i="27" l="1"/>
  <c r="A290" i="27"/>
  <c r="A555" i="27" l="1"/>
  <c r="A556" i="27"/>
  <c r="A557" i="27"/>
  <c r="A558" i="27"/>
  <c r="A559" i="27"/>
  <c r="A188" i="31"/>
  <c r="A189" i="31"/>
  <c r="A190" i="31"/>
  <c r="A191" i="31"/>
  <c r="A192" i="31"/>
  <c r="A193" i="31"/>
  <c r="A194" i="31"/>
  <c r="A195" i="31"/>
  <c r="A196" i="31"/>
  <c r="A197" i="31"/>
  <c r="A198" i="31"/>
  <c r="A199" i="31"/>
  <c r="A200" i="31"/>
  <c r="A201" i="31"/>
  <c r="A202" i="31"/>
  <c r="A203" i="31"/>
  <c r="A204" i="31"/>
  <c r="A205" i="31"/>
  <c r="A206" i="31"/>
  <c r="A207" i="31"/>
  <c r="A208" i="31"/>
  <c r="A209" i="31"/>
  <c r="A210" i="31"/>
  <c r="A211" i="31"/>
  <c r="A212" i="31"/>
  <c r="A213" i="31"/>
  <c r="A214" i="31"/>
  <c r="A215" i="31"/>
  <c r="A216" i="31"/>
  <c r="A217" i="31"/>
  <c r="A218" i="31"/>
  <c r="A219" i="31"/>
  <c r="A220" i="31"/>
  <c r="A221" i="31"/>
  <c r="A222" i="31"/>
  <c r="A223" i="31"/>
  <c r="A224" i="31"/>
  <c r="A225" i="31"/>
  <c r="A226" i="31"/>
  <c r="A227" i="31"/>
  <c r="A228" i="31"/>
  <c r="A229" i="31"/>
  <c r="A230" i="31"/>
  <c r="A231" i="31"/>
  <c r="A232" i="31"/>
  <c r="A233" i="31"/>
  <c r="A234" i="31"/>
  <c r="A235" i="31"/>
  <c r="A236" i="31"/>
  <c r="A237" i="31"/>
  <c r="A238" i="31"/>
  <c r="A239" i="31"/>
  <c r="A240" i="31"/>
  <c r="A241" i="31"/>
  <c r="A242" i="31"/>
  <c r="A243" i="31"/>
  <c r="A244" i="31"/>
  <c r="A245" i="31"/>
  <c r="A246" i="31"/>
  <c r="A247" i="31"/>
  <c r="A248" i="31"/>
  <c r="A249" i="31"/>
  <c r="A250" i="31"/>
  <c r="A251" i="31"/>
  <c r="A252" i="31"/>
  <c r="A253" i="31"/>
  <c r="A254" i="31"/>
  <c r="A255" i="31"/>
  <c r="A256" i="31"/>
  <c r="A257" i="31"/>
  <c r="A258" i="31"/>
  <c r="A259" i="31"/>
  <c r="A260" i="31"/>
  <c r="A261" i="31"/>
  <c r="A262" i="31"/>
  <c r="A263" i="31"/>
  <c r="A264" i="31"/>
  <c r="A265" i="31"/>
  <c r="A266" i="31"/>
  <c r="A267" i="31"/>
  <c r="A268" i="31"/>
  <c r="A269" i="31"/>
  <c r="A270" i="31"/>
  <c r="A271" i="31"/>
  <c r="A272" i="31"/>
  <c r="A273" i="31"/>
  <c r="A274" i="31"/>
  <c r="A275" i="31"/>
  <c r="A276" i="31"/>
  <c r="A277" i="31"/>
  <c r="A278" i="31"/>
  <c r="A279" i="31"/>
  <c r="A280" i="31"/>
  <c r="A281" i="31"/>
  <c r="A282" i="31"/>
  <c r="A283" i="31"/>
  <c r="A284" i="31"/>
  <c r="A285" i="31"/>
  <c r="A286" i="31"/>
  <c r="A287" i="31"/>
  <c r="A288" i="31"/>
  <c r="A289" i="31"/>
  <c r="A290" i="31"/>
  <c r="A291" i="31"/>
  <c r="A292" i="31"/>
  <c r="A293" i="31"/>
  <c r="A294" i="31"/>
  <c r="A295" i="31"/>
  <c r="A296" i="31"/>
  <c r="A297" i="31"/>
  <c r="A298" i="31"/>
  <c r="A299" i="31"/>
  <c r="A300" i="31"/>
  <c r="A301" i="31"/>
  <c r="A302" i="31"/>
  <c r="A303" i="31"/>
  <c r="A304" i="31"/>
  <c r="A305" i="31"/>
  <c r="A306" i="31"/>
  <c r="A307" i="31"/>
  <c r="A308" i="31"/>
  <c r="A309" i="31"/>
  <c r="A310" i="31"/>
  <c r="A311" i="31"/>
  <c r="A312" i="31"/>
  <c r="A313" i="31"/>
  <c r="A314" i="31"/>
  <c r="A315" i="31"/>
  <c r="A316" i="31"/>
  <c r="A317" i="31"/>
  <c r="A318" i="31"/>
  <c r="A319" i="31"/>
  <c r="A320" i="31"/>
  <c r="A321" i="31"/>
  <c r="A322" i="31"/>
  <c r="A323" i="31"/>
  <c r="A324" i="31"/>
  <c r="A325" i="31"/>
  <c r="A326" i="31"/>
  <c r="A327" i="31"/>
  <c r="A328" i="31"/>
  <c r="A329" i="31"/>
  <c r="A330" i="31"/>
  <c r="A331" i="31"/>
  <c r="A332" i="31"/>
  <c r="A333" i="31"/>
  <c r="A334" i="31"/>
  <c r="A335" i="31"/>
  <c r="A336" i="31"/>
  <c r="A337" i="31"/>
  <c r="A338" i="31"/>
  <c r="A339" i="31"/>
  <c r="A340" i="31"/>
  <c r="A341" i="31"/>
  <c r="A342" i="31"/>
  <c r="A343" i="31"/>
  <c r="A344" i="31"/>
  <c r="A345" i="31"/>
  <c r="A346" i="31"/>
  <c r="A347" i="31"/>
  <c r="A348" i="31"/>
  <c r="A349" i="31"/>
  <c r="A350" i="31"/>
  <c r="A351" i="31"/>
  <c r="A352" i="31"/>
  <c r="A353" i="31"/>
  <c r="A354" i="31"/>
  <c r="A355" i="31"/>
  <c r="A356" i="31"/>
  <c r="A357" i="31"/>
  <c r="A358" i="31"/>
  <c r="A359" i="31"/>
  <c r="A360" i="31"/>
  <c r="A361" i="31"/>
  <c r="A588" i="27" l="1"/>
  <c r="A589" i="27"/>
  <c r="A590" i="27"/>
  <c r="A591" i="27"/>
  <c r="A592" i="27"/>
  <c r="A593" i="27"/>
  <c r="A594" i="27"/>
  <c r="A595" i="27"/>
  <c r="A596" i="27"/>
  <c r="A597" i="27"/>
  <c r="A598" i="27"/>
  <c r="A599" i="27"/>
  <c r="A600" i="27"/>
  <c r="A601" i="27"/>
  <c r="A602" i="27"/>
  <c r="A603" i="27"/>
  <c r="A604" i="27"/>
  <c r="A605" i="27"/>
  <c r="A607" i="27"/>
  <c r="A608" i="27"/>
  <c r="A609" i="27"/>
  <c r="A610" i="27"/>
  <c r="A611" i="27"/>
  <c r="A612" i="27"/>
  <c r="A613" i="27"/>
  <c r="A614" i="27"/>
  <c r="A615" i="27"/>
  <c r="A616" i="27"/>
  <c r="A617" i="27"/>
  <c r="A618" i="27"/>
  <c r="A619" i="27"/>
  <c r="A620" i="27"/>
  <c r="A621" i="27"/>
  <c r="A622" i="27"/>
  <c r="A623" i="27"/>
  <c r="A624" i="27"/>
  <c r="A625" i="27"/>
  <c r="A626" i="27"/>
  <c r="A627" i="27"/>
  <c r="A628" i="27"/>
  <c r="A629" i="27"/>
  <c r="A630" i="27"/>
  <c r="A631" i="27"/>
  <c r="A632" i="27"/>
  <c r="A633" i="27"/>
  <c r="A634" i="27"/>
  <c r="A635" i="27"/>
  <c r="A636" i="27"/>
  <c r="A637" i="27"/>
  <c r="A638" i="27"/>
  <c r="A639" i="27"/>
  <c r="A640" i="27"/>
  <c r="A641" i="27"/>
  <c r="A642" i="27"/>
  <c r="A643" i="27"/>
  <c r="A644" i="27"/>
  <c r="A645" i="27"/>
  <c r="A646" i="27"/>
  <c r="A647" i="27"/>
  <c r="A648" i="27"/>
  <c r="A649" i="27"/>
  <c r="A650" i="27"/>
  <c r="A651" i="27"/>
  <c r="A652" i="27"/>
  <c r="A653" i="27"/>
  <c r="A654" i="27"/>
  <c r="A655" i="27"/>
  <c r="A656" i="27"/>
  <c r="A657" i="27"/>
  <c r="A658" i="27"/>
  <c r="A659" i="27"/>
  <c r="A660" i="27"/>
  <c r="A661" i="27"/>
  <c r="A662" i="27"/>
  <c r="A663" i="27"/>
  <c r="A664" i="27"/>
  <c r="A665" i="27"/>
  <c r="A666" i="27"/>
  <c r="A667" i="27"/>
  <c r="A668" i="27"/>
  <c r="A669" i="27"/>
  <c r="A670"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47" i="27"/>
  <c r="A548" i="27"/>
  <c r="A549" i="27"/>
  <c r="A550" i="27"/>
  <c r="A551" i="27"/>
  <c r="A552" i="27"/>
  <c r="A553" i="27"/>
  <c r="A554" i="27"/>
  <c r="A570" i="27"/>
  <c r="A571" i="27"/>
  <c r="A572" i="27"/>
  <c r="A573" i="27"/>
  <c r="A111" i="23"/>
  <c r="A112" i="23"/>
  <c r="A113" i="23"/>
  <c r="A114" i="23"/>
  <c r="A115" i="23"/>
  <c r="A116" i="23"/>
  <c r="A117" i="23"/>
  <c r="A118" i="23"/>
  <c r="A75" i="23"/>
  <c r="A76" i="23"/>
  <c r="A78" i="23"/>
  <c r="A79" i="23"/>
  <c r="A89" i="23"/>
  <c r="A90" i="23"/>
  <c r="A91" i="23"/>
  <c r="A92" i="23"/>
  <c r="A93" i="23"/>
  <c r="A94" i="23"/>
  <c r="A98" i="23"/>
  <c r="A99" i="23"/>
  <c r="A103" i="23"/>
  <c r="A104" i="23"/>
  <c r="A105" i="23"/>
  <c r="A106" i="23"/>
  <c r="A107" i="23"/>
  <c r="A108" i="23"/>
  <c r="A109" i="23"/>
  <c r="A110" i="23"/>
  <c r="A282" i="26"/>
  <c r="A283" i="26"/>
  <c r="A284" i="26"/>
  <c r="A285" i="26"/>
  <c r="A286" i="26"/>
  <c r="A287" i="26"/>
  <c r="A288" i="26"/>
  <c r="A289"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82" i="26"/>
  <c r="A83" i="26"/>
  <c r="A84" i="26"/>
  <c r="A85" i="26"/>
  <c r="A86" i="26"/>
  <c r="A87" i="26"/>
  <c r="A88" i="26"/>
  <c r="A89" i="26"/>
  <c r="A90" i="26"/>
  <c r="A91" i="26"/>
  <c r="A92" i="26"/>
  <c r="A8" i="26"/>
  <c r="A9" i="26"/>
  <c r="E146" i="40"/>
  <c r="F146" i="40" s="1"/>
  <c r="G146" i="40" s="1"/>
  <c r="L4" i="40"/>
  <c r="L5" i="40"/>
  <c r="L6" i="40"/>
  <c r="L7" i="40"/>
  <c r="M7" i="40" s="1"/>
  <c r="N7" i="40" s="1"/>
  <c r="L8" i="40"/>
  <c r="L9" i="40"/>
  <c r="L10" i="40"/>
  <c r="L11" i="40"/>
  <c r="M11" i="40" s="1"/>
  <c r="N11" i="40" s="1"/>
  <c r="L12" i="40"/>
  <c r="L13" i="40"/>
  <c r="L14" i="40"/>
  <c r="L15" i="40"/>
  <c r="M15" i="40" s="1"/>
  <c r="N15" i="40" s="1"/>
  <c r="L16" i="40"/>
  <c r="L17" i="40"/>
  <c r="L18" i="40"/>
  <c r="L19" i="40"/>
  <c r="M19" i="40" s="1"/>
  <c r="N19" i="40" s="1"/>
  <c r="L20" i="40"/>
  <c r="L21" i="40"/>
  <c r="L22" i="40"/>
  <c r="L23" i="40"/>
  <c r="M23" i="40" s="1"/>
  <c r="N23" i="40" s="1"/>
  <c r="L24" i="40"/>
  <c r="L25" i="40"/>
  <c r="L26" i="40"/>
  <c r="L27" i="40"/>
  <c r="M27" i="40" s="1"/>
  <c r="N27" i="40" s="1"/>
  <c r="L28" i="40"/>
  <c r="L29" i="40"/>
  <c r="L30" i="40"/>
  <c r="L31" i="40"/>
  <c r="M31" i="40" s="1"/>
  <c r="N31" i="40" s="1"/>
  <c r="L32" i="40"/>
  <c r="L33" i="40"/>
  <c r="L34" i="40"/>
  <c r="L35" i="40"/>
  <c r="M35" i="40" s="1"/>
  <c r="N35" i="40" s="1"/>
  <c r="L36" i="40"/>
  <c r="L37" i="40"/>
  <c r="L38" i="40"/>
  <c r="L39" i="40"/>
  <c r="M39" i="40" s="1"/>
  <c r="N39" i="40" s="1"/>
  <c r="L40" i="40"/>
  <c r="L41" i="40"/>
  <c r="L42" i="40"/>
  <c r="L43" i="40"/>
  <c r="M43" i="40" s="1"/>
  <c r="N43" i="40" s="1"/>
  <c r="L44" i="40"/>
  <c r="L45" i="40"/>
  <c r="L46" i="40"/>
  <c r="L47" i="40"/>
  <c r="M47" i="40" s="1"/>
  <c r="N47" i="40" s="1"/>
  <c r="L48" i="40"/>
  <c r="L49" i="40"/>
  <c r="L50" i="40"/>
  <c r="L51" i="40"/>
  <c r="M51" i="40" s="1"/>
  <c r="N51" i="40" s="1"/>
  <c r="L52" i="40"/>
  <c r="L53" i="40"/>
  <c r="L54" i="40"/>
  <c r="L55" i="40"/>
  <c r="M55" i="40" s="1"/>
  <c r="N55" i="40" s="1"/>
  <c r="L56" i="40"/>
  <c r="L57" i="40"/>
  <c r="L58" i="40"/>
  <c r="L59" i="40"/>
  <c r="M59" i="40" s="1"/>
  <c r="N59" i="40" s="1"/>
  <c r="L60" i="40"/>
  <c r="L61" i="40"/>
  <c r="L62" i="40"/>
  <c r="L63" i="40"/>
  <c r="M63" i="40" s="1"/>
  <c r="N63" i="40" s="1"/>
  <c r="L64" i="40"/>
  <c r="L65" i="40"/>
  <c r="L66" i="40"/>
  <c r="L67" i="40"/>
  <c r="M67" i="40" s="1"/>
  <c r="N67" i="40" s="1"/>
  <c r="L68" i="40"/>
  <c r="L69" i="40"/>
  <c r="L70" i="40"/>
  <c r="L71" i="40"/>
  <c r="M71" i="40" s="1"/>
  <c r="N71" i="40" s="1"/>
  <c r="L72" i="40"/>
  <c r="L73" i="40"/>
  <c r="L74" i="40"/>
  <c r="L75" i="40"/>
  <c r="M75" i="40" s="1"/>
  <c r="N75" i="40" s="1"/>
  <c r="L76" i="40"/>
  <c r="L77" i="40"/>
  <c r="L78" i="40"/>
  <c r="L79" i="40"/>
  <c r="M79" i="40" s="1"/>
  <c r="N79" i="40" s="1"/>
  <c r="L80" i="40"/>
  <c r="L81" i="40"/>
  <c r="L82" i="40"/>
  <c r="L83" i="40"/>
  <c r="M83" i="40" s="1"/>
  <c r="N83" i="40" s="1"/>
  <c r="L84" i="40"/>
  <c r="L85" i="40"/>
  <c r="L86" i="40"/>
  <c r="L87" i="40"/>
  <c r="M87" i="40" s="1"/>
  <c r="N87" i="40" s="1"/>
  <c r="L88" i="40"/>
  <c r="L89" i="40"/>
  <c r="L90" i="40"/>
  <c r="L91" i="40"/>
  <c r="M91" i="40" s="1"/>
  <c r="N91" i="40" s="1"/>
  <c r="L92" i="40"/>
  <c r="L93" i="40"/>
  <c r="L94" i="40"/>
  <c r="L95" i="40"/>
  <c r="M95" i="40" s="1"/>
  <c r="N95" i="40" s="1"/>
  <c r="L96" i="40"/>
  <c r="L97" i="40"/>
  <c r="L98" i="40"/>
  <c r="L99" i="40"/>
  <c r="M99" i="40" s="1"/>
  <c r="N99" i="40" s="1"/>
  <c r="L100" i="40"/>
  <c r="L101" i="40"/>
  <c r="L102" i="40"/>
  <c r="L103" i="40"/>
  <c r="M103" i="40" s="1"/>
  <c r="N103" i="40" s="1"/>
  <c r="L104" i="40"/>
  <c r="L105" i="40"/>
  <c r="L106" i="40"/>
  <c r="L107" i="40"/>
  <c r="M107" i="40" s="1"/>
  <c r="N107" i="40" s="1"/>
  <c r="L108" i="40"/>
  <c r="L109" i="40"/>
  <c r="L110" i="40"/>
  <c r="L111" i="40"/>
  <c r="M111" i="40" s="1"/>
  <c r="N111" i="40" s="1"/>
  <c r="L112" i="40"/>
  <c r="L113" i="40"/>
  <c r="L114" i="40"/>
  <c r="L115" i="40"/>
  <c r="M115" i="40" s="1"/>
  <c r="N115" i="40" s="1"/>
  <c r="L116" i="40"/>
  <c r="L117" i="40"/>
  <c r="L118" i="40"/>
  <c r="L119" i="40"/>
  <c r="M119" i="40" s="1"/>
  <c r="N119" i="40" s="1"/>
  <c r="L120" i="40"/>
  <c r="L121" i="40"/>
  <c r="L122" i="40"/>
  <c r="L123" i="40"/>
  <c r="M123" i="40" s="1"/>
  <c r="N123" i="40" s="1"/>
  <c r="L124" i="40"/>
  <c r="L125" i="40"/>
  <c r="L126" i="40"/>
  <c r="L127" i="40"/>
  <c r="M127" i="40" s="1"/>
  <c r="N127" i="40" s="1"/>
  <c r="L128" i="40"/>
  <c r="L129" i="40"/>
  <c r="L130" i="40"/>
  <c r="L131" i="40"/>
  <c r="M131" i="40" s="1"/>
  <c r="N131" i="40" s="1"/>
  <c r="L132" i="40"/>
  <c r="L133" i="40"/>
  <c r="L134" i="40"/>
  <c r="L135" i="40"/>
  <c r="M135" i="40" s="1"/>
  <c r="N135" i="40" s="1"/>
  <c r="L136" i="40"/>
  <c r="L137" i="40"/>
  <c r="L138" i="40"/>
  <c r="L139" i="40"/>
  <c r="M139" i="40" s="1"/>
  <c r="N139" i="40" s="1"/>
  <c r="L140" i="40"/>
  <c r="L141" i="40"/>
  <c r="L142" i="40"/>
  <c r="L143" i="40"/>
  <c r="M143" i="40" s="1"/>
  <c r="N143" i="40" s="1"/>
  <c r="L144" i="40"/>
  <c r="L145" i="40"/>
  <c r="L146" i="40"/>
  <c r="L147" i="40"/>
  <c r="M147" i="40" s="1"/>
  <c r="N147" i="40" s="1"/>
  <c r="L148" i="40"/>
  <c r="L149" i="40"/>
  <c r="L150" i="40"/>
  <c r="L151" i="40"/>
  <c r="M151" i="40" s="1"/>
  <c r="N151" i="40" s="1"/>
  <c r="L152" i="40"/>
  <c r="L153" i="40"/>
  <c r="L154" i="40"/>
  <c r="L155" i="40"/>
  <c r="M155" i="40" s="1"/>
  <c r="N155" i="40" s="1"/>
  <c r="L156" i="40"/>
  <c r="L157" i="40"/>
  <c r="L158" i="40"/>
  <c r="L159" i="40"/>
  <c r="M159" i="40" s="1"/>
  <c r="N159" i="40" s="1"/>
  <c r="L160" i="40"/>
  <c r="L161" i="40"/>
  <c r="L162" i="40"/>
  <c r="L163" i="40"/>
  <c r="M163" i="40" s="1"/>
  <c r="N163" i="40" s="1"/>
  <c r="L164" i="40"/>
  <c r="L165" i="40"/>
  <c r="L166" i="40"/>
  <c r="L167" i="40"/>
  <c r="M167" i="40" s="1"/>
  <c r="N167" i="40" s="1"/>
  <c r="L168" i="40"/>
  <c r="L169" i="40"/>
  <c r="L170" i="40"/>
  <c r="L171" i="40"/>
  <c r="M171" i="40" s="1"/>
  <c r="N171" i="40" s="1"/>
  <c r="L172" i="40"/>
  <c r="L173" i="40"/>
  <c r="L174" i="40"/>
  <c r="L175" i="40"/>
  <c r="M175" i="40" s="1"/>
  <c r="N175" i="40" s="1"/>
  <c r="L176" i="40"/>
  <c r="L177" i="40"/>
  <c r="L178" i="40"/>
  <c r="L179" i="40"/>
  <c r="M179" i="40" s="1"/>
  <c r="N179" i="40" s="1"/>
  <c r="L180" i="40"/>
  <c r="L181" i="40"/>
  <c r="L182" i="40"/>
  <c r="L183" i="40"/>
  <c r="M183" i="40" s="1"/>
  <c r="N183" i="40" s="1"/>
  <c r="L184" i="40"/>
  <c r="L185" i="40"/>
  <c r="L186" i="40"/>
  <c r="L187" i="40"/>
  <c r="M187" i="40" s="1"/>
  <c r="N187" i="40" s="1"/>
  <c r="L188" i="40"/>
  <c r="L189" i="40"/>
  <c r="L190" i="40"/>
  <c r="L191" i="40"/>
  <c r="M191" i="40" s="1"/>
  <c r="N191" i="40" s="1"/>
  <c r="L192" i="40"/>
  <c r="L193" i="40"/>
  <c r="L194" i="40"/>
  <c r="L195" i="40"/>
  <c r="M195" i="40" s="1"/>
  <c r="N195" i="40" s="1"/>
  <c r="L196" i="40"/>
  <c r="L197" i="40"/>
  <c r="L198" i="40"/>
  <c r="L199" i="40"/>
  <c r="M199" i="40" s="1"/>
  <c r="N199" i="40" s="1"/>
  <c r="L200" i="40"/>
  <c r="L201" i="40"/>
  <c r="L202" i="40"/>
  <c r="L203" i="40"/>
  <c r="M203" i="40" s="1"/>
  <c r="N203" i="40" s="1"/>
  <c r="L204" i="40"/>
  <c r="L205" i="40"/>
  <c r="L206" i="40"/>
  <c r="L207" i="40"/>
  <c r="M207" i="40" s="1"/>
  <c r="N207" i="40" s="1"/>
  <c r="L208" i="40"/>
  <c r="L209" i="40"/>
  <c r="L210" i="40"/>
  <c r="L211" i="40"/>
  <c r="M211" i="40" s="1"/>
  <c r="N211" i="40" s="1"/>
  <c r="L212" i="40"/>
  <c r="L213" i="40"/>
  <c r="L214" i="40"/>
  <c r="L215" i="40"/>
  <c r="M215" i="40" s="1"/>
  <c r="N215" i="40" s="1"/>
  <c r="L216" i="40"/>
  <c r="L217" i="40"/>
  <c r="L218" i="40"/>
  <c r="L219" i="40"/>
  <c r="M219" i="40" s="1"/>
  <c r="N219" i="40" s="1"/>
  <c r="L220" i="40"/>
  <c r="L221" i="40"/>
  <c r="L222" i="40"/>
  <c r="L223" i="40"/>
  <c r="M223" i="40" s="1"/>
  <c r="N223" i="40" s="1"/>
  <c r="L224" i="40"/>
  <c r="L225" i="40"/>
  <c r="L226" i="40"/>
  <c r="L227" i="40"/>
  <c r="M227" i="40" s="1"/>
  <c r="N227" i="40" s="1"/>
  <c r="L228" i="40"/>
  <c r="L229" i="40"/>
  <c r="L230" i="40"/>
  <c r="L231" i="40"/>
  <c r="M231" i="40" s="1"/>
  <c r="N231" i="40" s="1"/>
  <c r="L232" i="40"/>
  <c r="L233" i="40"/>
  <c r="L234" i="40"/>
  <c r="L235" i="40"/>
  <c r="M235" i="40" s="1"/>
  <c r="N235" i="40" s="1"/>
  <c r="L236" i="40"/>
  <c r="L237" i="40"/>
  <c r="L238" i="40"/>
  <c r="L239" i="40"/>
  <c r="M239" i="40" s="1"/>
  <c r="N239" i="40" s="1"/>
  <c r="L240" i="40"/>
  <c r="L241" i="40"/>
  <c r="L242" i="40"/>
  <c r="L243" i="40"/>
  <c r="M243" i="40" s="1"/>
  <c r="N243" i="40" s="1"/>
  <c r="L244" i="40"/>
  <c r="L245" i="40"/>
  <c r="L246" i="40"/>
  <c r="L247" i="40"/>
  <c r="M247" i="40" s="1"/>
  <c r="N247" i="40" s="1"/>
  <c r="L248" i="40"/>
  <c r="L249" i="40"/>
  <c r="L250" i="40"/>
  <c r="L251" i="40"/>
  <c r="M251" i="40" s="1"/>
  <c r="N251" i="40" s="1"/>
  <c r="L252" i="40"/>
  <c r="L253" i="40"/>
  <c r="L254" i="40"/>
  <c r="M254" i="40" s="1"/>
  <c r="N254" i="40" s="1"/>
  <c r="L255" i="40"/>
  <c r="M255" i="40" s="1"/>
  <c r="N255" i="40" s="1"/>
  <c r="L256" i="40"/>
  <c r="L257" i="40"/>
  <c r="L258" i="40"/>
  <c r="L259" i="40"/>
  <c r="M259" i="40" s="1"/>
  <c r="N259" i="40" s="1"/>
  <c r="L260" i="40"/>
  <c r="L261" i="40"/>
  <c r="L262" i="40"/>
  <c r="L263" i="40"/>
  <c r="M263" i="40" s="1"/>
  <c r="N263" i="40" s="1"/>
  <c r="L264" i="40"/>
  <c r="L265" i="40"/>
  <c r="L266" i="40"/>
  <c r="L267" i="40"/>
  <c r="M267" i="40" s="1"/>
  <c r="N267" i="40" s="1"/>
  <c r="L268" i="40"/>
  <c r="L269" i="40"/>
  <c r="L270" i="40"/>
  <c r="M270" i="40" s="1"/>
  <c r="N270" i="40" s="1"/>
  <c r="L271" i="40"/>
  <c r="M271" i="40" s="1"/>
  <c r="N271" i="40" s="1"/>
  <c r="L272" i="40"/>
  <c r="L273" i="40"/>
  <c r="L274" i="40"/>
  <c r="L275" i="40"/>
  <c r="M275" i="40" s="1"/>
  <c r="N275" i="40" s="1"/>
  <c r="L276" i="40"/>
  <c r="L277" i="40"/>
  <c r="L278" i="40"/>
  <c r="L279" i="40"/>
  <c r="M279" i="40" s="1"/>
  <c r="N279" i="40" s="1"/>
  <c r="L280" i="40"/>
  <c r="L281" i="40"/>
  <c r="L282" i="40"/>
  <c r="L283" i="40"/>
  <c r="M283" i="40" s="1"/>
  <c r="N283" i="40" s="1"/>
  <c r="L284" i="40"/>
  <c r="L285" i="40"/>
  <c r="L286" i="40"/>
  <c r="M286" i="40" s="1"/>
  <c r="N286" i="40" s="1"/>
  <c r="L287" i="40"/>
  <c r="M287" i="40" s="1"/>
  <c r="N287" i="40" s="1"/>
  <c r="L288" i="40"/>
  <c r="L289" i="40"/>
  <c r="L290" i="40"/>
  <c r="M290" i="40" s="1"/>
  <c r="N290" i="40" s="1"/>
  <c r="L291" i="40"/>
  <c r="M291" i="40" s="1"/>
  <c r="N291" i="40" s="1"/>
  <c r="L292" i="40"/>
  <c r="L293" i="40"/>
  <c r="L294" i="40"/>
  <c r="L295" i="40"/>
  <c r="M295" i="40" s="1"/>
  <c r="N295" i="40" s="1"/>
  <c r="L296" i="40"/>
  <c r="L297" i="40"/>
  <c r="L298" i="40"/>
  <c r="L299" i="40"/>
  <c r="M299" i="40" s="1"/>
  <c r="N299" i="40" s="1"/>
  <c r="L300" i="40"/>
  <c r="L301" i="40"/>
  <c r="L302" i="40"/>
  <c r="M302" i="40" s="1"/>
  <c r="N302" i="40" s="1"/>
  <c r="L303" i="40"/>
  <c r="M303" i="40" s="1"/>
  <c r="N303" i="40" s="1"/>
  <c r="L304" i="40"/>
  <c r="L305" i="40"/>
  <c r="L306" i="40"/>
  <c r="M306" i="40" s="1"/>
  <c r="N306" i="40" s="1"/>
  <c r="L307" i="40"/>
  <c r="M307" i="40" s="1"/>
  <c r="N307" i="40" s="1"/>
  <c r="L308" i="40"/>
  <c r="L309" i="40"/>
  <c r="L310" i="40"/>
  <c r="L311" i="40"/>
  <c r="M311" i="40" s="1"/>
  <c r="N311" i="40" s="1"/>
  <c r="L312" i="40"/>
  <c r="L313" i="40"/>
  <c r="L314" i="40"/>
  <c r="M314" i="40" s="1"/>
  <c r="N314" i="40" s="1"/>
  <c r="L315" i="40"/>
  <c r="M315" i="40" s="1"/>
  <c r="N315" i="40" s="1"/>
  <c r="L316" i="40"/>
  <c r="L317" i="40"/>
  <c r="L318" i="40"/>
  <c r="M318" i="40" s="1"/>
  <c r="N318" i="40" s="1"/>
  <c r="L319" i="40"/>
  <c r="M319" i="40" s="1"/>
  <c r="N319" i="40" s="1"/>
  <c r="L320" i="40"/>
  <c r="L321" i="40"/>
  <c r="L322" i="40"/>
  <c r="M322" i="40" s="1"/>
  <c r="N322" i="40" s="1"/>
  <c r="L323" i="40"/>
  <c r="M323" i="40" s="1"/>
  <c r="N323" i="40" s="1"/>
  <c r="L324" i="40"/>
  <c r="L325" i="40"/>
  <c r="L326" i="40"/>
  <c r="L327" i="40"/>
  <c r="M327" i="40" s="1"/>
  <c r="N327" i="40" s="1"/>
  <c r="L328" i="40"/>
  <c r="L329" i="40"/>
  <c r="L330" i="40"/>
  <c r="M330" i="40" s="1"/>
  <c r="N330" i="40" s="1"/>
  <c r="L331" i="40"/>
  <c r="M331" i="40" s="1"/>
  <c r="N331" i="40" s="1"/>
  <c r="L332" i="40"/>
  <c r="L333" i="40"/>
  <c r="L334" i="40"/>
  <c r="M334" i="40" s="1"/>
  <c r="N334" i="40" s="1"/>
  <c r="L335" i="40"/>
  <c r="M335" i="40" s="1"/>
  <c r="N335" i="40" s="1"/>
  <c r="L336" i="40"/>
  <c r="L337" i="40"/>
  <c r="M337" i="40" s="1"/>
  <c r="N337" i="40" s="1"/>
  <c r="L338" i="40"/>
  <c r="L339" i="40"/>
  <c r="M339" i="40" s="1"/>
  <c r="N339" i="40" s="1"/>
  <c r="L340" i="40"/>
  <c r="L341" i="40"/>
  <c r="M341" i="40" s="1"/>
  <c r="N341" i="40" s="1"/>
  <c r="L342" i="40"/>
  <c r="M342" i="40" s="1"/>
  <c r="N342" i="40" s="1"/>
  <c r="L343" i="40"/>
  <c r="M343" i="40" s="1"/>
  <c r="N343" i="40" s="1"/>
  <c r="L344" i="40"/>
  <c r="L345" i="40"/>
  <c r="M345" i="40" s="1"/>
  <c r="N345" i="40" s="1"/>
  <c r="L346" i="40"/>
  <c r="L347" i="40"/>
  <c r="M347" i="40" s="1"/>
  <c r="N347" i="40" s="1"/>
  <c r="L348" i="40"/>
  <c r="L349" i="40"/>
  <c r="M349" i="40" s="1"/>
  <c r="N349" i="40" s="1"/>
  <c r="L350" i="40"/>
  <c r="M350" i="40" s="1"/>
  <c r="N350" i="40" s="1"/>
  <c r="L351" i="40"/>
  <c r="M351" i="40" s="1"/>
  <c r="N351" i="40" s="1"/>
  <c r="L352" i="40"/>
  <c r="L353" i="40"/>
  <c r="M353" i="40" s="1"/>
  <c r="N353" i="40" s="1"/>
  <c r="L354" i="40"/>
  <c r="L355" i="40"/>
  <c r="M355" i="40" s="1"/>
  <c r="N355" i="40" s="1"/>
  <c r="L356" i="40"/>
  <c r="L357" i="40"/>
  <c r="M357" i="40" s="1"/>
  <c r="N357" i="40" s="1"/>
  <c r="L358" i="40"/>
  <c r="M358" i="40" s="1"/>
  <c r="N358" i="40" s="1"/>
  <c r="L359" i="40"/>
  <c r="M359" i="40" s="1"/>
  <c r="N359" i="40" s="1"/>
  <c r="L360" i="40"/>
  <c r="L361" i="40"/>
  <c r="M361" i="40" s="1"/>
  <c r="N361" i="40" s="1"/>
  <c r="L362" i="40"/>
  <c r="L363" i="40"/>
  <c r="M363" i="40" s="1"/>
  <c r="N363" i="40" s="1"/>
  <c r="L364" i="40"/>
  <c r="L365" i="40"/>
  <c r="M365" i="40" s="1"/>
  <c r="N365" i="40" s="1"/>
  <c r="L366" i="40"/>
  <c r="M366" i="40" s="1"/>
  <c r="N366" i="40" s="1"/>
  <c r="L367" i="40"/>
  <c r="M367" i="40" s="1"/>
  <c r="N367" i="40" s="1"/>
  <c r="L368" i="40"/>
  <c r="L369" i="40"/>
  <c r="M369" i="40" s="1"/>
  <c r="N369" i="40" s="1"/>
  <c r="L370" i="40"/>
  <c r="L371" i="40"/>
  <c r="M371" i="40" s="1"/>
  <c r="N371" i="40" s="1"/>
  <c r="L372" i="40"/>
  <c r="L373" i="40"/>
  <c r="M373" i="40" s="1"/>
  <c r="N373" i="40" s="1"/>
  <c r="L374" i="40"/>
  <c r="M374" i="40" s="1"/>
  <c r="N374" i="40" s="1"/>
  <c r="L375" i="40"/>
  <c r="M375" i="40" s="1"/>
  <c r="N375" i="40" s="1"/>
  <c r="L376" i="40"/>
  <c r="L377" i="40"/>
  <c r="M377" i="40" s="1"/>
  <c r="N377" i="40" s="1"/>
  <c r="L378" i="40"/>
  <c r="L379" i="40"/>
  <c r="M379" i="40" s="1"/>
  <c r="N379" i="40" s="1"/>
  <c r="L380" i="40"/>
  <c r="L381" i="40"/>
  <c r="M381" i="40" s="1"/>
  <c r="N381" i="40" s="1"/>
  <c r="L382" i="40"/>
  <c r="M382" i="40" s="1"/>
  <c r="N382" i="40" s="1"/>
  <c r="L383" i="40"/>
  <c r="M383" i="40" s="1"/>
  <c r="N383" i="40" s="1"/>
  <c r="L384" i="40"/>
  <c r="L385" i="40"/>
  <c r="M385" i="40" s="1"/>
  <c r="N385" i="40" s="1"/>
  <c r="L386" i="40"/>
  <c r="L387" i="40"/>
  <c r="M387" i="40" s="1"/>
  <c r="N387" i="40" s="1"/>
  <c r="L388" i="40"/>
  <c r="L389" i="40"/>
  <c r="M389" i="40" s="1"/>
  <c r="N389" i="40" s="1"/>
  <c r="L390" i="40"/>
  <c r="M390" i="40" s="1"/>
  <c r="N390" i="40" s="1"/>
  <c r="L391" i="40"/>
  <c r="M391" i="40" s="1"/>
  <c r="N391" i="40" s="1"/>
  <c r="L392" i="40"/>
  <c r="L393" i="40"/>
  <c r="M393" i="40" s="1"/>
  <c r="N393" i="40" s="1"/>
  <c r="L394" i="40"/>
  <c r="L395" i="40"/>
  <c r="M395" i="40" s="1"/>
  <c r="N395" i="40" s="1"/>
  <c r="L396" i="40"/>
  <c r="L397" i="40"/>
  <c r="M397" i="40" s="1"/>
  <c r="N397" i="40" s="1"/>
  <c r="L398" i="40"/>
  <c r="M398" i="40" s="1"/>
  <c r="N398" i="40" s="1"/>
  <c r="L399" i="40"/>
  <c r="M399" i="40" s="1"/>
  <c r="N399" i="40" s="1"/>
  <c r="L400" i="40"/>
  <c r="L401" i="40"/>
  <c r="M401" i="40" s="1"/>
  <c r="N401" i="40" s="1"/>
  <c r="L402" i="40"/>
  <c r="L403" i="40"/>
  <c r="M403" i="40" s="1"/>
  <c r="N403" i="40" s="1"/>
  <c r="L404" i="40"/>
  <c r="L405" i="40"/>
  <c r="M405" i="40" s="1"/>
  <c r="N405" i="40" s="1"/>
  <c r="L406" i="40"/>
  <c r="M406" i="40" s="1"/>
  <c r="N406" i="40" s="1"/>
  <c r="L407" i="40"/>
  <c r="M407" i="40" s="1"/>
  <c r="N407" i="40" s="1"/>
  <c r="L408" i="40"/>
  <c r="L409" i="40"/>
  <c r="M409" i="40" s="1"/>
  <c r="N409" i="40" s="1"/>
  <c r="L410" i="40"/>
  <c r="L411" i="40"/>
  <c r="L412" i="40"/>
  <c r="L413" i="40"/>
  <c r="M413" i="40" s="1"/>
  <c r="N413" i="40" s="1"/>
  <c r="L414" i="40"/>
  <c r="M414" i="40" s="1"/>
  <c r="N414" i="40" s="1"/>
  <c r="L415" i="40"/>
  <c r="M415" i="40" s="1"/>
  <c r="N415" i="40" s="1"/>
  <c r="L416" i="40"/>
  <c r="L417" i="40"/>
  <c r="M417" i="40" s="1"/>
  <c r="N417" i="40" s="1"/>
  <c r="L418" i="40"/>
  <c r="M418" i="40" s="1"/>
  <c r="N418" i="40" s="1"/>
  <c r="L419" i="40"/>
  <c r="M419" i="40" s="1"/>
  <c r="N419" i="40" s="1"/>
  <c r="L420" i="40"/>
  <c r="L421" i="40"/>
  <c r="M421" i="40" s="1"/>
  <c r="N421" i="40" s="1"/>
  <c r="L422" i="40"/>
  <c r="M422" i="40" s="1"/>
  <c r="N422" i="40" s="1"/>
  <c r="L423" i="40"/>
  <c r="M423" i="40" s="1"/>
  <c r="N423" i="40" s="1"/>
  <c r="L424" i="40"/>
  <c r="M424" i="40" s="1"/>
  <c r="N424" i="40" s="1"/>
  <c r="L425" i="40"/>
  <c r="M425" i="40" s="1"/>
  <c r="N425" i="40" s="1"/>
  <c r="L426" i="40"/>
  <c r="M426" i="40" s="1"/>
  <c r="N426" i="40" s="1"/>
  <c r="L427" i="40"/>
  <c r="M427" i="40" s="1"/>
  <c r="N427" i="40" s="1"/>
  <c r="L428" i="40"/>
  <c r="L429" i="40"/>
  <c r="M429" i="40" s="1"/>
  <c r="N429" i="40" s="1"/>
  <c r="L430" i="40"/>
  <c r="M430" i="40" s="1"/>
  <c r="N430" i="40" s="1"/>
  <c r="L431" i="40"/>
  <c r="M431" i="40" s="1"/>
  <c r="N431" i="40" s="1"/>
  <c r="L432" i="40"/>
  <c r="L433" i="40"/>
  <c r="M433" i="40" s="1"/>
  <c r="N433" i="40" s="1"/>
  <c r="L434" i="40"/>
  <c r="M434" i="40" s="1"/>
  <c r="N434" i="40" s="1"/>
  <c r="L435" i="40"/>
  <c r="M435" i="40" s="1"/>
  <c r="N435" i="40" s="1"/>
  <c r="L436" i="40"/>
  <c r="L437" i="40"/>
  <c r="M437" i="40" s="1"/>
  <c r="N437" i="40" s="1"/>
  <c r="L438" i="40"/>
  <c r="M438" i="40" s="1"/>
  <c r="N438" i="40" s="1"/>
  <c r="L439" i="40"/>
  <c r="M439" i="40" s="1"/>
  <c r="N439" i="40" s="1"/>
  <c r="L440" i="40"/>
  <c r="M440" i="40" s="1"/>
  <c r="N440" i="40" s="1"/>
  <c r="L441" i="40"/>
  <c r="M441" i="40" s="1"/>
  <c r="N441" i="40" s="1"/>
  <c r="L442" i="40"/>
  <c r="M442" i="40" s="1"/>
  <c r="N442" i="40" s="1"/>
  <c r="L443" i="40"/>
  <c r="M443" i="40" s="1"/>
  <c r="N443" i="40" s="1"/>
  <c r="L444" i="40"/>
  <c r="L445" i="40"/>
  <c r="M445" i="40" s="1"/>
  <c r="N445" i="40" s="1"/>
  <c r="L446" i="40"/>
  <c r="M446" i="40" s="1"/>
  <c r="N446" i="40" s="1"/>
  <c r="L447" i="40"/>
  <c r="M447" i="40" s="1"/>
  <c r="N447" i="40" s="1"/>
  <c r="L448" i="40"/>
  <c r="L449" i="40"/>
  <c r="M449" i="40" s="1"/>
  <c r="N449" i="40" s="1"/>
  <c r="L450" i="40"/>
  <c r="M450" i="40" s="1"/>
  <c r="N450" i="40" s="1"/>
  <c r="L451" i="40"/>
  <c r="M451" i="40" s="1"/>
  <c r="N451" i="40" s="1"/>
  <c r="L452" i="40"/>
  <c r="L453" i="40"/>
  <c r="M453" i="40" s="1"/>
  <c r="N453" i="40" s="1"/>
  <c r="L454" i="40"/>
  <c r="M454" i="40" s="1"/>
  <c r="N454" i="40" s="1"/>
  <c r="L455" i="40"/>
  <c r="M455" i="40" s="1"/>
  <c r="N455" i="40" s="1"/>
  <c r="L456" i="40"/>
  <c r="M456" i="40" s="1"/>
  <c r="N456" i="40" s="1"/>
  <c r="L457" i="40"/>
  <c r="L458" i="40"/>
  <c r="M458" i="40" s="1"/>
  <c r="N458" i="40" s="1"/>
  <c r="L459" i="40"/>
  <c r="M459" i="40" s="1"/>
  <c r="N459" i="40" s="1"/>
  <c r="L460" i="40"/>
  <c r="L461" i="40"/>
  <c r="M461" i="40" s="1"/>
  <c r="N461" i="40" s="1"/>
  <c r="L462" i="40"/>
  <c r="M462" i="40" s="1"/>
  <c r="N462" i="40" s="1"/>
  <c r="L463" i="40"/>
  <c r="M463" i="40" s="1"/>
  <c r="N463" i="40" s="1"/>
  <c r="L464" i="40"/>
  <c r="L465" i="40"/>
  <c r="M465" i="40" s="1"/>
  <c r="N465" i="40" s="1"/>
  <c r="L466" i="40"/>
  <c r="M466" i="40" s="1"/>
  <c r="N466" i="40" s="1"/>
  <c r="L467" i="40"/>
  <c r="M467" i="40" s="1"/>
  <c r="N467" i="40" s="1"/>
  <c r="L468" i="40"/>
  <c r="M468" i="40" s="1"/>
  <c r="N468" i="40" s="1"/>
  <c r="L469" i="40"/>
  <c r="M469" i="40" s="1"/>
  <c r="N469" i="40" s="1"/>
  <c r="L470" i="40"/>
  <c r="M470" i="40" s="1"/>
  <c r="N470" i="40" s="1"/>
  <c r="L471" i="40"/>
  <c r="M471" i="40" s="1"/>
  <c r="N471" i="40" s="1"/>
  <c r="L472" i="40"/>
  <c r="L473" i="40"/>
  <c r="M473" i="40" s="1"/>
  <c r="N473" i="40" s="1"/>
  <c r="L474" i="40"/>
  <c r="M474" i="40" s="1"/>
  <c r="N474" i="40" s="1"/>
  <c r="L475" i="40"/>
  <c r="M475" i="40" s="1"/>
  <c r="N475" i="40" s="1"/>
  <c r="L476" i="40"/>
  <c r="L477" i="40"/>
  <c r="M477" i="40" s="1"/>
  <c r="N477" i="40" s="1"/>
  <c r="L478" i="40"/>
  <c r="M478" i="40" s="1"/>
  <c r="N478" i="40" s="1"/>
  <c r="L479" i="40"/>
  <c r="M479" i="40" s="1"/>
  <c r="N479" i="40" s="1"/>
  <c r="L480" i="40"/>
  <c r="L481" i="40"/>
  <c r="M481" i="40" s="1"/>
  <c r="N481" i="40" s="1"/>
  <c r="L482" i="40"/>
  <c r="M482" i="40" s="1"/>
  <c r="N482" i="40" s="1"/>
  <c r="L483" i="40"/>
  <c r="M483" i="40" s="1"/>
  <c r="N483" i="40" s="1"/>
  <c r="L484" i="40"/>
  <c r="M484" i="40" s="1"/>
  <c r="N484" i="40" s="1"/>
  <c r="L485" i="40"/>
  <c r="M485" i="40" s="1"/>
  <c r="N485" i="40" s="1"/>
  <c r="L486" i="40"/>
  <c r="M486" i="40" s="1"/>
  <c r="N486" i="40" s="1"/>
  <c r="L487" i="40"/>
  <c r="M487" i="40" s="1"/>
  <c r="N487" i="40" s="1"/>
  <c r="L488" i="40"/>
  <c r="L489" i="40"/>
  <c r="M489" i="40" s="1"/>
  <c r="N489" i="40" s="1"/>
  <c r="L490" i="40"/>
  <c r="M490" i="40" s="1"/>
  <c r="N490" i="40" s="1"/>
  <c r="L491" i="40"/>
  <c r="M491" i="40" s="1"/>
  <c r="N491" i="40" s="1"/>
  <c r="L492" i="40"/>
  <c r="L493" i="40"/>
  <c r="M493" i="40" s="1"/>
  <c r="N493" i="40" s="1"/>
  <c r="L494" i="40"/>
  <c r="M494" i="40" s="1"/>
  <c r="N494" i="40" s="1"/>
  <c r="L495" i="40"/>
  <c r="M495" i="40" s="1"/>
  <c r="N495" i="40" s="1"/>
  <c r="L496" i="40"/>
  <c r="L497" i="40"/>
  <c r="M497" i="40" s="1"/>
  <c r="N497" i="40" s="1"/>
  <c r="L498" i="40"/>
  <c r="M498" i="40" s="1"/>
  <c r="N498" i="40" s="1"/>
  <c r="L499" i="40"/>
  <c r="M499" i="40" s="1"/>
  <c r="N499" i="40" s="1"/>
  <c r="L500" i="40"/>
  <c r="M500" i="40" s="1"/>
  <c r="N500" i="40" s="1"/>
  <c r="L501" i="40"/>
  <c r="M501" i="40" s="1"/>
  <c r="N501" i="40" s="1"/>
  <c r="L502" i="40"/>
  <c r="M502" i="40" s="1"/>
  <c r="N502" i="40" s="1"/>
  <c r="L503" i="40"/>
  <c r="M503" i="40" s="1"/>
  <c r="N503" i="40" s="1"/>
  <c r="L504" i="40"/>
  <c r="L505" i="40"/>
  <c r="M505" i="40" s="1"/>
  <c r="N505" i="40" s="1"/>
  <c r="L506" i="40"/>
  <c r="M506" i="40" s="1"/>
  <c r="N506" i="40" s="1"/>
  <c r="L507" i="40"/>
  <c r="M507" i="40" s="1"/>
  <c r="N507" i="40" s="1"/>
  <c r="L508" i="40"/>
  <c r="L509" i="40"/>
  <c r="M509" i="40" s="1"/>
  <c r="N509" i="40" s="1"/>
  <c r="L510" i="40"/>
  <c r="M510" i="40" s="1"/>
  <c r="N510" i="40" s="1"/>
  <c r="L511" i="40"/>
  <c r="M511" i="40" s="1"/>
  <c r="N511" i="40" s="1"/>
  <c r="L512" i="40"/>
  <c r="L513" i="40"/>
  <c r="M513" i="40" s="1"/>
  <c r="N513" i="40" s="1"/>
  <c r="L514" i="40"/>
  <c r="M514" i="40" s="1"/>
  <c r="N514" i="40" s="1"/>
  <c r="L515" i="40"/>
  <c r="M515" i="40" s="1"/>
  <c r="N515" i="40" s="1"/>
  <c r="L516" i="40"/>
  <c r="M516" i="40" s="1"/>
  <c r="N516" i="40" s="1"/>
  <c r="L517" i="40"/>
  <c r="M517" i="40" s="1"/>
  <c r="N517" i="40" s="1"/>
  <c r="L518" i="40"/>
  <c r="M518" i="40" s="1"/>
  <c r="N518" i="40" s="1"/>
  <c r="L519" i="40"/>
  <c r="M519" i="40" s="1"/>
  <c r="N519" i="40" s="1"/>
  <c r="L520" i="40"/>
  <c r="L521" i="40"/>
  <c r="M521" i="40" s="1"/>
  <c r="N521" i="40" s="1"/>
  <c r="L522" i="40"/>
  <c r="M522" i="40" s="1"/>
  <c r="N522" i="40" s="1"/>
  <c r="L523" i="40"/>
  <c r="M523" i="40" s="1"/>
  <c r="N523" i="40" s="1"/>
  <c r="L524" i="40"/>
  <c r="L525" i="40"/>
  <c r="M525" i="40" s="1"/>
  <c r="N525" i="40" s="1"/>
  <c r="L526" i="40"/>
  <c r="M526" i="40" s="1"/>
  <c r="N526" i="40" s="1"/>
  <c r="L527" i="40"/>
  <c r="M527" i="40" s="1"/>
  <c r="N527" i="40" s="1"/>
  <c r="L528" i="40"/>
  <c r="L529" i="40"/>
  <c r="M529" i="40" s="1"/>
  <c r="N529" i="40" s="1"/>
  <c r="L530" i="40"/>
  <c r="M530" i="40" s="1"/>
  <c r="N530" i="40" s="1"/>
  <c r="L531" i="40"/>
  <c r="M531" i="40" s="1"/>
  <c r="N531" i="40" s="1"/>
  <c r="L532" i="40"/>
  <c r="M532" i="40" s="1"/>
  <c r="N532" i="40" s="1"/>
  <c r="L533" i="40"/>
  <c r="M533" i="40" s="1"/>
  <c r="N533" i="40" s="1"/>
  <c r="L534" i="40"/>
  <c r="M534" i="40" s="1"/>
  <c r="N534" i="40" s="1"/>
  <c r="L3" i="40"/>
  <c r="M3" i="40" s="1"/>
  <c r="N3" i="40" s="1"/>
  <c r="M4" i="39"/>
  <c r="N4" i="39" s="1"/>
  <c r="M5" i="39"/>
  <c r="N5" i="39" s="1"/>
  <c r="M6" i="39"/>
  <c r="N6" i="39" s="1"/>
  <c r="M7" i="39"/>
  <c r="N7" i="39" s="1"/>
  <c r="M8" i="39"/>
  <c r="N8" i="39" s="1"/>
  <c r="M9" i="39"/>
  <c r="N9" i="39" s="1"/>
  <c r="M10" i="39"/>
  <c r="N10" i="39" s="1"/>
  <c r="M11" i="39"/>
  <c r="N11" i="39" s="1"/>
  <c r="M12" i="39"/>
  <c r="N12" i="39" s="1"/>
  <c r="M13" i="39"/>
  <c r="N13" i="39" s="1"/>
  <c r="M14" i="39"/>
  <c r="N14" i="39" s="1"/>
  <c r="M15" i="39"/>
  <c r="N15" i="39" s="1"/>
  <c r="M16" i="39"/>
  <c r="N16" i="39" s="1"/>
  <c r="M17" i="39"/>
  <c r="N17" i="39" s="1"/>
  <c r="M18" i="39"/>
  <c r="N18" i="39" s="1"/>
  <c r="M19" i="39"/>
  <c r="N19" i="39" s="1"/>
  <c r="M20" i="39"/>
  <c r="N20" i="39" s="1"/>
  <c r="M21" i="39"/>
  <c r="N21" i="39" s="1"/>
  <c r="M22" i="39"/>
  <c r="N22" i="39" s="1"/>
  <c r="M23" i="39"/>
  <c r="N23" i="39" s="1"/>
  <c r="M24" i="39"/>
  <c r="N24" i="39" s="1"/>
  <c r="M25" i="39"/>
  <c r="N25" i="39" s="1"/>
  <c r="M26" i="39"/>
  <c r="N26" i="39" s="1"/>
  <c r="M27" i="39"/>
  <c r="N27" i="39" s="1"/>
  <c r="M28" i="39"/>
  <c r="N28" i="39" s="1"/>
  <c r="M29" i="39"/>
  <c r="N29" i="39" s="1"/>
  <c r="M30" i="39"/>
  <c r="N30" i="39" s="1"/>
  <c r="M31" i="39"/>
  <c r="N31" i="39" s="1"/>
  <c r="M32" i="39"/>
  <c r="N32" i="39" s="1"/>
  <c r="M33" i="39"/>
  <c r="N33" i="39" s="1"/>
  <c r="M34" i="39"/>
  <c r="N34" i="39" s="1"/>
  <c r="M35" i="39"/>
  <c r="N35" i="39" s="1"/>
  <c r="M36" i="39"/>
  <c r="N36" i="39" s="1"/>
  <c r="M37" i="39"/>
  <c r="N37" i="39" s="1"/>
  <c r="M38" i="39"/>
  <c r="N38" i="39" s="1"/>
  <c r="M39" i="39"/>
  <c r="N39" i="39" s="1"/>
  <c r="M40" i="39"/>
  <c r="N40" i="39" s="1"/>
  <c r="M41" i="39"/>
  <c r="N41" i="39" s="1"/>
  <c r="M42" i="39"/>
  <c r="N42" i="39" s="1"/>
  <c r="M43" i="39"/>
  <c r="N43" i="39" s="1"/>
  <c r="M44" i="39"/>
  <c r="N44" i="39" s="1"/>
  <c r="M45" i="39"/>
  <c r="N45" i="39" s="1"/>
  <c r="M46" i="39"/>
  <c r="N46" i="39" s="1"/>
  <c r="M47" i="39"/>
  <c r="N47" i="39" s="1"/>
  <c r="M48" i="39"/>
  <c r="N48" i="39" s="1"/>
  <c r="M49" i="39"/>
  <c r="N49" i="39" s="1"/>
  <c r="M50" i="39"/>
  <c r="N50" i="39" s="1"/>
  <c r="M51" i="39"/>
  <c r="N51" i="39" s="1"/>
  <c r="M52" i="39"/>
  <c r="N52" i="39" s="1"/>
  <c r="M53" i="39"/>
  <c r="N53" i="39" s="1"/>
  <c r="M54" i="39"/>
  <c r="N54" i="39" s="1"/>
  <c r="M55" i="39"/>
  <c r="N55" i="39" s="1"/>
  <c r="M56" i="39"/>
  <c r="N56" i="39" s="1"/>
  <c r="M57" i="39"/>
  <c r="N57" i="39" s="1"/>
  <c r="M58" i="39"/>
  <c r="N58" i="39" s="1"/>
  <c r="M59" i="39"/>
  <c r="N59" i="39" s="1"/>
  <c r="M60" i="39"/>
  <c r="N60" i="39" s="1"/>
  <c r="M61" i="39"/>
  <c r="N61" i="39" s="1"/>
  <c r="M62" i="39"/>
  <c r="N62" i="39" s="1"/>
  <c r="M63" i="39"/>
  <c r="N63" i="39" s="1"/>
  <c r="M64" i="39"/>
  <c r="N64" i="39" s="1"/>
  <c r="M65" i="39"/>
  <c r="N65" i="39" s="1"/>
  <c r="M66" i="39"/>
  <c r="N66" i="39" s="1"/>
  <c r="M67" i="39"/>
  <c r="N67" i="39" s="1"/>
  <c r="M68" i="39"/>
  <c r="N68" i="39" s="1"/>
  <c r="M69" i="39"/>
  <c r="N69" i="39" s="1"/>
  <c r="M70" i="39"/>
  <c r="N70" i="39" s="1"/>
  <c r="M71" i="39"/>
  <c r="N71" i="39" s="1"/>
  <c r="M72" i="39"/>
  <c r="N72" i="39" s="1"/>
  <c r="M73" i="39"/>
  <c r="N73" i="39" s="1"/>
  <c r="M74" i="39"/>
  <c r="N74" i="39" s="1"/>
  <c r="M75" i="39"/>
  <c r="N75" i="39" s="1"/>
  <c r="M76" i="39"/>
  <c r="N76" i="39" s="1"/>
  <c r="M77" i="39"/>
  <c r="N77" i="39" s="1"/>
  <c r="M78" i="39"/>
  <c r="N78" i="39" s="1"/>
  <c r="M79" i="39"/>
  <c r="N79" i="39" s="1"/>
  <c r="M80" i="39"/>
  <c r="N80" i="39" s="1"/>
  <c r="M81" i="39"/>
  <c r="N81" i="39" s="1"/>
  <c r="M82" i="39"/>
  <c r="N82" i="39" s="1"/>
  <c r="M83" i="39"/>
  <c r="N83" i="39" s="1"/>
  <c r="M84" i="39"/>
  <c r="N84" i="39" s="1"/>
  <c r="M85" i="39"/>
  <c r="N85" i="39" s="1"/>
  <c r="M86" i="39"/>
  <c r="N86" i="39" s="1"/>
  <c r="M87" i="39"/>
  <c r="N87" i="39" s="1"/>
  <c r="M88" i="39"/>
  <c r="N88" i="39" s="1"/>
  <c r="M89" i="39"/>
  <c r="N89" i="39" s="1"/>
  <c r="M90" i="39"/>
  <c r="N90" i="39" s="1"/>
  <c r="M91" i="39"/>
  <c r="N91" i="39" s="1"/>
  <c r="M92" i="39"/>
  <c r="N92" i="39" s="1"/>
  <c r="M93" i="39"/>
  <c r="N93" i="39" s="1"/>
  <c r="M94" i="39"/>
  <c r="N94" i="39" s="1"/>
  <c r="M95" i="39"/>
  <c r="N95" i="39" s="1"/>
  <c r="M96" i="39"/>
  <c r="N96" i="39" s="1"/>
  <c r="M97" i="39"/>
  <c r="N97" i="39" s="1"/>
  <c r="M98" i="39"/>
  <c r="N98" i="39" s="1"/>
  <c r="M99" i="39"/>
  <c r="N99" i="39" s="1"/>
  <c r="M100" i="39"/>
  <c r="N100" i="39" s="1"/>
  <c r="M101" i="39"/>
  <c r="N101" i="39" s="1"/>
  <c r="M102" i="39"/>
  <c r="N102" i="39" s="1"/>
  <c r="M103" i="39"/>
  <c r="N103" i="39" s="1"/>
  <c r="M104" i="39"/>
  <c r="N104" i="39" s="1"/>
  <c r="M105" i="39"/>
  <c r="N105" i="39" s="1"/>
  <c r="M106" i="39"/>
  <c r="N106" i="39" s="1"/>
  <c r="M107" i="39"/>
  <c r="N107" i="39" s="1"/>
  <c r="M108" i="39"/>
  <c r="N108" i="39" s="1"/>
  <c r="M109" i="39"/>
  <c r="N109" i="39" s="1"/>
  <c r="M110" i="39"/>
  <c r="N110" i="39" s="1"/>
  <c r="M111" i="39"/>
  <c r="N111" i="39" s="1"/>
  <c r="M112" i="39"/>
  <c r="N112" i="39" s="1"/>
  <c r="M113" i="39"/>
  <c r="N113" i="39" s="1"/>
  <c r="M114" i="39"/>
  <c r="N114" i="39" s="1"/>
  <c r="M115" i="39"/>
  <c r="N115" i="39" s="1"/>
  <c r="M116" i="39"/>
  <c r="N116" i="39" s="1"/>
  <c r="M117" i="39"/>
  <c r="N117" i="39" s="1"/>
  <c r="M118" i="39"/>
  <c r="N118" i="39" s="1"/>
  <c r="M119" i="39"/>
  <c r="N119" i="39" s="1"/>
  <c r="M120" i="39"/>
  <c r="N120" i="39" s="1"/>
  <c r="M121" i="39"/>
  <c r="N121" i="39" s="1"/>
  <c r="M122" i="39"/>
  <c r="N122" i="39" s="1"/>
  <c r="M123" i="39"/>
  <c r="N123" i="39" s="1"/>
  <c r="M124" i="39"/>
  <c r="N124" i="39" s="1"/>
  <c r="M125" i="39"/>
  <c r="N125" i="39" s="1"/>
  <c r="M126" i="39"/>
  <c r="N126" i="39" s="1"/>
  <c r="M127" i="39"/>
  <c r="N127" i="39" s="1"/>
  <c r="M128" i="39"/>
  <c r="N128" i="39" s="1"/>
  <c r="M129" i="39"/>
  <c r="N129" i="39" s="1"/>
  <c r="M130" i="39"/>
  <c r="N130" i="39" s="1"/>
  <c r="M131" i="39"/>
  <c r="N131" i="39" s="1"/>
  <c r="M132" i="39"/>
  <c r="N132" i="39" s="1"/>
  <c r="M133" i="39"/>
  <c r="N133" i="39" s="1"/>
  <c r="M134" i="39"/>
  <c r="N134" i="39" s="1"/>
  <c r="M135" i="39"/>
  <c r="N135" i="39" s="1"/>
  <c r="M136" i="39"/>
  <c r="N136" i="39" s="1"/>
  <c r="M137" i="39"/>
  <c r="N137" i="39" s="1"/>
  <c r="M138" i="39"/>
  <c r="N138" i="39" s="1"/>
  <c r="M139" i="39"/>
  <c r="N139" i="39" s="1"/>
  <c r="M140" i="39"/>
  <c r="N140" i="39" s="1"/>
  <c r="M141" i="39"/>
  <c r="N141" i="39" s="1"/>
  <c r="M142" i="39"/>
  <c r="N142" i="39" s="1"/>
  <c r="M143" i="39"/>
  <c r="N143" i="39" s="1"/>
  <c r="M144" i="39"/>
  <c r="N144" i="39" s="1"/>
  <c r="M145" i="39"/>
  <c r="N145" i="39" s="1"/>
  <c r="M146" i="39"/>
  <c r="N146" i="39" s="1"/>
  <c r="M147" i="39"/>
  <c r="N147" i="39" s="1"/>
  <c r="M148" i="39"/>
  <c r="N148" i="39" s="1"/>
  <c r="M149" i="39"/>
  <c r="N149" i="39" s="1"/>
  <c r="M150" i="39"/>
  <c r="N150" i="39" s="1"/>
  <c r="M151" i="39"/>
  <c r="N151" i="39" s="1"/>
  <c r="M152" i="39"/>
  <c r="N152" i="39" s="1"/>
  <c r="M153" i="39"/>
  <c r="N153" i="39" s="1"/>
  <c r="M154" i="39"/>
  <c r="N154" i="39" s="1"/>
  <c r="M155" i="39"/>
  <c r="N155" i="39" s="1"/>
  <c r="M156" i="39"/>
  <c r="N156" i="39" s="1"/>
  <c r="M157" i="39"/>
  <c r="N157" i="39" s="1"/>
  <c r="M158" i="39"/>
  <c r="N158" i="39" s="1"/>
  <c r="M159" i="39"/>
  <c r="N159" i="39" s="1"/>
  <c r="M160" i="39"/>
  <c r="N160" i="39" s="1"/>
  <c r="M161" i="39"/>
  <c r="N161" i="39" s="1"/>
  <c r="M162" i="39"/>
  <c r="N162" i="39" s="1"/>
  <c r="M163" i="39"/>
  <c r="N163" i="39" s="1"/>
  <c r="M164" i="39"/>
  <c r="N164" i="39" s="1"/>
  <c r="M165" i="39"/>
  <c r="N165" i="39" s="1"/>
  <c r="M166" i="39"/>
  <c r="N166" i="39" s="1"/>
  <c r="M167" i="39"/>
  <c r="N167" i="39" s="1"/>
  <c r="M168" i="39"/>
  <c r="N168" i="39" s="1"/>
  <c r="M169" i="39"/>
  <c r="N169" i="39" s="1"/>
  <c r="M170" i="39"/>
  <c r="N170" i="39" s="1"/>
  <c r="M171" i="39"/>
  <c r="N171" i="39" s="1"/>
  <c r="M172" i="39"/>
  <c r="N172" i="39" s="1"/>
  <c r="M173" i="39"/>
  <c r="N173" i="39" s="1"/>
  <c r="M174" i="39"/>
  <c r="N174" i="39" s="1"/>
  <c r="M175" i="39"/>
  <c r="N175" i="39" s="1"/>
  <c r="M176" i="39"/>
  <c r="N176" i="39" s="1"/>
  <c r="M177" i="39"/>
  <c r="N177" i="39" s="1"/>
  <c r="M178" i="39"/>
  <c r="N178" i="39" s="1"/>
  <c r="M179" i="39"/>
  <c r="N179" i="39" s="1"/>
  <c r="M180" i="39"/>
  <c r="N180" i="39" s="1"/>
  <c r="M181" i="39"/>
  <c r="N181" i="39" s="1"/>
  <c r="M182" i="39"/>
  <c r="N182" i="39" s="1"/>
  <c r="M183" i="39"/>
  <c r="N183" i="39" s="1"/>
  <c r="M184" i="39"/>
  <c r="N184" i="39" s="1"/>
  <c r="M185" i="39"/>
  <c r="N185" i="39" s="1"/>
  <c r="M186" i="39"/>
  <c r="N186" i="39" s="1"/>
  <c r="M187" i="39"/>
  <c r="N187" i="39" s="1"/>
  <c r="M188" i="39"/>
  <c r="N188" i="39" s="1"/>
  <c r="M189" i="39"/>
  <c r="N189" i="39" s="1"/>
  <c r="M190" i="39"/>
  <c r="N190" i="39" s="1"/>
  <c r="M191" i="39"/>
  <c r="N191" i="39" s="1"/>
  <c r="M192" i="39"/>
  <c r="N192" i="39" s="1"/>
  <c r="M193" i="39"/>
  <c r="N193" i="39" s="1"/>
  <c r="M194" i="39"/>
  <c r="N194" i="39" s="1"/>
  <c r="M195" i="39"/>
  <c r="N195" i="39" s="1"/>
  <c r="M196" i="39"/>
  <c r="N196" i="39" s="1"/>
  <c r="M197" i="39"/>
  <c r="N197" i="39" s="1"/>
  <c r="M198" i="39"/>
  <c r="N198" i="39" s="1"/>
  <c r="M199" i="39"/>
  <c r="N199" i="39" s="1"/>
  <c r="M200" i="39"/>
  <c r="N200" i="39" s="1"/>
  <c r="M201" i="39"/>
  <c r="N201" i="39" s="1"/>
  <c r="M202" i="39"/>
  <c r="N202" i="39" s="1"/>
  <c r="M203" i="39"/>
  <c r="N203" i="39" s="1"/>
  <c r="M204" i="39"/>
  <c r="N204" i="39" s="1"/>
  <c r="M205" i="39"/>
  <c r="N205" i="39" s="1"/>
  <c r="M206" i="39"/>
  <c r="N206" i="39" s="1"/>
  <c r="M207" i="39"/>
  <c r="N207" i="39" s="1"/>
  <c r="M208" i="39"/>
  <c r="N208" i="39" s="1"/>
  <c r="M209" i="39"/>
  <c r="N209" i="39" s="1"/>
  <c r="M210" i="39"/>
  <c r="N210" i="39" s="1"/>
  <c r="M211" i="39"/>
  <c r="N211" i="39" s="1"/>
  <c r="M212" i="39"/>
  <c r="N212" i="39" s="1"/>
  <c r="M213" i="39"/>
  <c r="N213" i="39" s="1"/>
  <c r="M214" i="39"/>
  <c r="N214" i="39" s="1"/>
  <c r="M215" i="39"/>
  <c r="N215" i="39" s="1"/>
  <c r="M216" i="39"/>
  <c r="N216" i="39" s="1"/>
  <c r="M217" i="39"/>
  <c r="N217" i="39" s="1"/>
  <c r="M218" i="39"/>
  <c r="N218" i="39" s="1"/>
  <c r="M219" i="39"/>
  <c r="N219" i="39" s="1"/>
  <c r="M220" i="39"/>
  <c r="N220" i="39" s="1"/>
  <c r="M221" i="39"/>
  <c r="N221" i="39" s="1"/>
  <c r="M222" i="39"/>
  <c r="N222" i="39" s="1"/>
  <c r="M223" i="39"/>
  <c r="N223" i="39" s="1"/>
  <c r="M224" i="39"/>
  <c r="N224" i="39" s="1"/>
  <c r="M225" i="39"/>
  <c r="N225" i="39" s="1"/>
  <c r="M226" i="39"/>
  <c r="N226" i="39" s="1"/>
  <c r="M227" i="39"/>
  <c r="N227" i="39" s="1"/>
  <c r="M228" i="39"/>
  <c r="N228" i="39" s="1"/>
  <c r="M229" i="39"/>
  <c r="N229" i="39" s="1"/>
  <c r="M230" i="39"/>
  <c r="N230" i="39" s="1"/>
  <c r="M231" i="39"/>
  <c r="N231" i="39" s="1"/>
  <c r="M232" i="39"/>
  <c r="N232" i="39" s="1"/>
  <c r="M233" i="39"/>
  <c r="N233" i="39" s="1"/>
  <c r="M234" i="39"/>
  <c r="N234" i="39" s="1"/>
  <c r="M235" i="39"/>
  <c r="N235" i="39" s="1"/>
  <c r="M236" i="39"/>
  <c r="N236" i="39" s="1"/>
  <c r="M237" i="39"/>
  <c r="N237" i="39" s="1"/>
  <c r="M238" i="39"/>
  <c r="N238" i="39" s="1"/>
  <c r="M239" i="39"/>
  <c r="N239" i="39" s="1"/>
  <c r="M240" i="39"/>
  <c r="N240" i="39" s="1"/>
  <c r="M241" i="39"/>
  <c r="N241" i="39" s="1"/>
  <c r="M242" i="39"/>
  <c r="N242" i="39" s="1"/>
  <c r="M243" i="39"/>
  <c r="N243" i="39" s="1"/>
  <c r="M244" i="39"/>
  <c r="N244" i="39" s="1"/>
  <c r="M245" i="39"/>
  <c r="N245" i="39" s="1"/>
  <c r="M246" i="39"/>
  <c r="N246" i="39" s="1"/>
  <c r="M247" i="39"/>
  <c r="N247" i="39" s="1"/>
  <c r="M248" i="39"/>
  <c r="N248" i="39" s="1"/>
  <c r="M249" i="39"/>
  <c r="N249" i="39" s="1"/>
  <c r="M250" i="39"/>
  <c r="N250" i="39" s="1"/>
  <c r="M251" i="39"/>
  <c r="N251" i="39" s="1"/>
  <c r="M252" i="39"/>
  <c r="N252" i="39" s="1"/>
  <c r="M253" i="39"/>
  <c r="N253" i="39" s="1"/>
  <c r="M254" i="39"/>
  <c r="N254" i="39" s="1"/>
  <c r="M255" i="39"/>
  <c r="N255" i="39" s="1"/>
  <c r="M256" i="39"/>
  <c r="N256" i="39" s="1"/>
  <c r="M257" i="39"/>
  <c r="N257" i="39" s="1"/>
  <c r="M258" i="39"/>
  <c r="N258" i="39" s="1"/>
  <c r="M259" i="39"/>
  <c r="N259" i="39" s="1"/>
  <c r="M260" i="39"/>
  <c r="N260" i="39" s="1"/>
  <c r="M261" i="39"/>
  <c r="N261" i="39" s="1"/>
  <c r="M262" i="39"/>
  <c r="N262" i="39" s="1"/>
  <c r="M263" i="39"/>
  <c r="N263" i="39" s="1"/>
  <c r="M264" i="39"/>
  <c r="N264" i="39" s="1"/>
  <c r="M265" i="39"/>
  <c r="N265" i="39" s="1"/>
  <c r="M266" i="39"/>
  <c r="N266" i="39" s="1"/>
  <c r="M267" i="39"/>
  <c r="N267" i="39" s="1"/>
  <c r="M268" i="39"/>
  <c r="N268" i="39" s="1"/>
  <c r="M269" i="39"/>
  <c r="N269" i="39" s="1"/>
  <c r="M270" i="39"/>
  <c r="N270" i="39" s="1"/>
  <c r="M271" i="39"/>
  <c r="N271" i="39" s="1"/>
  <c r="M272" i="39"/>
  <c r="N272" i="39" s="1"/>
  <c r="M273" i="39"/>
  <c r="N273" i="39" s="1"/>
  <c r="M274" i="39"/>
  <c r="N274" i="39" s="1"/>
  <c r="M275" i="39"/>
  <c r="N275" i="39" s="1"/>
  <c r="M276" i="39"/>
  <c r="N276" i="39" s="1"/>
  <c r="M277" i="39"/>
  <c r="N277" i="39" s="1"/>
  <c r="M278" i="39"/>
  <c r="N278" i="39" s="1"/>
  <c r="M279" i="39"/>
  <c r="N279" i="39" s="1"/>
  <c r="M280" i="39"/>
  <c r="N280" i="39" s="1"/>
  <c r="M281" i="39"/>
  <c r="N281" i="39" s="1"/>
  <c r="M282" i="39"/>
  <c r="N282" i="39" s="1"/>
  <c r="M283" i="39"/>
  <c r="N283" i="39" s="1"/>
  <c r="M284" i="39"/>
  <c r="N284" i="39" s="1"/>
  <c r="M285" i="39"/>
  <c r="N285" i="39" s="1"/>
  <c r="M286" i="39"/>
  <c r="N286" i="39" s="1"/>
  <c r="M287" i="39"/>
  <c r="N287" i="39" s="1"/>
  <c r="M288" i="39"/>
  <c r="N288" i="39" s="1"/>
  <c r="M289" i="39"/>
  <c r="N289" i="39" s="1"/>
  <c r="M290" i="39"/>
  <c r="N290" i="39" s="1"/>
  <c r="M291" i="39"/>
  <c r="N291" i="39" s="1"/>
  <c r="M292" i="39"/>
  <c r="N292" i="39" s="1"/>
  <c r="M293" i="39"/>
  <c r="N293" i="39" s="1"/>
  <c r="M294" i="39"/>
  <c r="N294" i="39" s="1"/>
  <c r="M295" i="39"/>
  <c r="N295" i="39" s="1"/>
  <c r="M296" i="39"/>
  <c r="N296" i="39" s="1"/>
  <c r="M297" i="39"/>
  <c r="N297" i="39" s="1"/>
  <c r="M298" i="39"/>
  <c r="N298" i="39" s="1"/>
  <c r="M299" i="39"/>
  <c r="N299" i="39" s="1"/>
  <c r="M300" i="39"/>
  <c r="N300" i="39" s="1"/>
  <c r="M301" i="39"/>
  <c r="N301" i="39" s="1"/>
  <c r="M302" i="39"/>
  <c r="N302" i="39" s="1"/>
  <c r="M303" i="39"/>
  <c r="N303" i="39" s="1"/>
  <c r="M304" i="39"/>
  <c r="N304" i="39" s="1"/>
  <c r="M305" i="39"/>
  <c r="N305" i="39" s="1"/>
  <c r="M306" i="39"/>
  <c r="N306" i="39" s="1"/>
  <c r="M307" i="39"/>
  <c r="N307" i="39" s="1"/>
  <c r="M308" i="39"/>
  <c r="N308" i="39" s="1"/>
  <c r="M309" i="39"/>
  <c r="N309" i="39" s="1"/>
  <c r="M310" i="39"/>
  <c r="N310" i="39" s="1"/>
  <c r="M311" i="39"/>
  <c r="N311" i="39" s="1"/>
  <c r="M312" i="39"/>
  <c r="N312" i="39" s="1"/>
  <c r="M313" i="39"/>
  <c r="N313" i="39" s="1"/>
  <c r="M314" i="39"/>
  <c r="N314" i="39" s="1"/>
  <c r="M315" i="39"/>
  <c r="N315" i="39" s="1"/>
  <c r="M316" i="39"/>
  <c r="N316" i="39" s="1"/>
  <c r="M317" i="39"/>
  <c r="N317" i="39" s="1"/>
  <c r="M318" i="39"/>
  <c r="N318" i="39" s="1"/>
  <c r="M319" i="39"/>
  <c r="N319" i="39" s="1"/>
  <c r="M320" i="39"/>
  <c r="N320" i="39" s="1"/>
  <c r="M321" i="39"/>
  <c r="N321" i="39" s="1"/>
  <c r="M322" i="39"/>
  <c r="N322" i="39" s="1"/>
  <c r="M323" i="39"/>
  <c r="N323" i="39" s="1"/>
  <c r="M324" i="39"/>
  <c r="N324" i="39" s="1"/>
  <c r="M325" i="39"/>
  <c r="N325" i="39" s="1"/>
  <c r="M326" i="39"/>
  <c r="N326" i="39" s="1"/>
  <c r="M327" i="39"/>
  <c r="N327" i="39" s="1"/>
  <c r="M328" i="39"/>
  <c r="N328" i="39" s="1"/>
  <c r="M329" i="39"/>
  <c r="N329" i="39" s="1"/>
  <c r="M330" i="39"/>
  <c r="N330" i="39" s="1"/>
  <c r="M331" i="39"/>
  <c r="N331" i="39" s="1"/>
  <c r="M332" i="39"/>
  <c r="N332" i="39" s="1"/>
  <c r="M333" i="39"/>
  <c r="N333" i="39" s="1"/>
  <c r="M334" i="39"/>
  <c r="N334" i="39" s="1"/>
  <c r="M335" i="39"/>
  <c r="N335" i="39" s="1"/>
  <c r="M336" i="39"/>
  <c r="N336" i="39" s="1"/>
  <c r="M337" i="39"/>
  <c r="N337" i="39" s="1"/>
  <c r="M338" i="39"/>
  <c r="N338" i="39" s="1"/>
  <c r="M339" i="39"/>
  <c r="N339" i="39" s="1"/>
  <c r="M340" i="39"/>
  <c r="N340" i="39" s="1"/>
  <c r="M341" i="39"/>
  <c r="N341" i="39" s="1"/>
  <c r="M342" i="39"/>
  <c r="N342" i="39" s="1"/>
  <c r="M343" i="39"/>
  <c r="N343" i="39" s="1"/>
  <c r="M344" i="39"/>
  <c r="N344" i="39" s="1"/>
  <c r="M345" i="39"/>
  <c r="N345" i="39" s="1"/>
  <c r="M346" i="39"/>
  <c r="N346" i="39" s="1"/>
  <c r="M347" i="39"/>
  <c r="N347" i="39" s="1"/>
  <c r="M348" i="39"/>
  <c r="N348" i="39" s="1"/>
  <c r="M349" i="39"/>
  <c r="N349" i="39" s="1"/>
  <c r="M350" i="39"/>
  <c r="N350" i="39" s="1"/>
  <c r="M351" i="39"/>
  <c r="N351" i="39" s="1"/>
  <c r="M352" i="39"/>
  <c r="N352" i="39" s="1"/>
  <c r="M353" i="39"/>
  <c r="N353" i="39" s="1"/>
  <c r="M354" i="39"/>
  <c r="N354" i="39" s="1"/>
  <c r="M355" i="39"/>
  <c r="N355" i="39" s="1"/>
  <c r="M356" i="39"/>
  <c r="N356" i="39" s="1"/>
  <c r="M357" i="39"/>
  <c r="N357" i="39" s="1"/>
  <c r="M358" i="39"/>
  <c r="N358" i="39" s="1"/>
  <c r="M359" i="39"/>
  <c r="N359" i="39" s="1"/>
  <c r="M360" i="39"/>
  <c r="N360" i="39" s="1"/>
  <c r="M361" i="39"/>
  <c r="N361" i="39" s="1"/>
  <c r="M362" i="39"/>
  <c r="N362" i="39" s="1"/>
  <c r="M363" i="39"/>
  <c r="N363" i="39" s="1"/>
  <c r="M364" i="39"/>
  <c r="N364" i="39" s="1"/>
  <c r="M365" i="39"/>
  <c r="N365" i="39" s="1"/>
  <c r="M366" i="39"/>
  <c r="N366" i="39" s="1"/>
  <c r="M367" i="39"/>
  <c r="N367" i="39" s="1"/>
  <c r="M368" i="39"/>
  <c r="N368" i="39" s="1"/>
  <c r="M369" i="39"/>
  <c r="N369" i="39" s="1"/>
  <c r="M370" i="39"/>
  <c r="N370" i="39" s="1"/>
  <c r="M371" i="39"/>
  <c r="N371" i="39" s="1"/>
  <c r="M372" i="39"/>
  <c r="N372" i="39" s="1"/>
  <c r="M373" i="39"/>
  <c r="N373" i="39" s="1"/>
  <c r="M374" i="39"/>
  <c r="N374" i="39" s="1"/>
  <c r="M375" i="39"/>
  <c r="N375" i="39" s="1"/>
  <c r="M376" i="39"/>
  <c r="N376" i="39" s="1"/>
  <c r="M377" i="39"/>
  <c r="N377" i="39" s="1"/>
  <c r="M378" i="39"/>
  <c r="N378" i="39" s="1"/>
  <c r="M379" i="39"/>
  <c r="N379" i="39" s="1"/>
  <c r="M380" i="39"/>
  <c r="N380" i="39" s="1"/>
  <c r="M381" i="39"/>
  <c r="N381" i="39" s="1"/>
  <c r="M382" i="39"/>
  <c r="N382" i="39" s="1"/>
  <c r="M383" i="39"/>
  <c r="N383" i="39" s="1"/>
  <c r="M384" i="39"/>
  <c r="N384" i="39" s="1"/>
  <c r="M385" i="39"/>
  <c r="N385" i="39" s="1"/>
  <c r="M386" i="39"/>
  <c r="N386" i="39" s="1"/>
  <c r="M387" i="39"/>
  <c r="N387" i="39" s="1"/>
  <c r="M388" i="39"/>
  <c r="N388" i="39" s="1"/>
  <c r="M389" i="39"/>
  <c r="N389" i="39" s="1"/>
  <c r="M390" i="39"/>
  <c r="N390" i="39" s="1"/>
  <c r="M391" i="39"/>
  <c r="N391" i="39" s="1"/>
  <c r="M392" i="39"/>
  <c r="N392" i="39" s="1"/>
  <c r="M393" i="39"/>
  <c r="N393" i="39" s="1"/>
  <c r="M394" i="39"/>
  <c r="N394" i="39" s="1"/>
  <c r="M395" i="39"/>
  <c r="N395" i="39" s="1"/>
  <c r="M396" i="39"/>
  <c r="N396" i="39" s="1"/>
  <c r="M397" i="39"/>
  <c r="N397" i="39" s="1"/>
  <c r="M398" i="39"/>
  <c r="N398" i="39" s="1"/>
  <c r="M399" i="39"/>
  <c r="N399" i="39" s="1"/>
  <c r="M400" i="39"/>
  <c r="N400" i="39" s="1"/>
  <c r="M401" i="39"/>
  <c r="N401" i="39" s="1"/>
  <c r="M402" i="39"/>
  <c r="N402" i="39" s="1"/>
  <c r="M403" i="39"/>
  <c r="N403" i="39" s="1"/>
  <c r="M404" i="39"/>
  <c r="N404" i="39" s="1"/>
  <c r="M405" i="39"/>
  <c r="N405" i="39" s="1"/>
  <c r="M406" i="39"/>
  <c r="N406" i="39" s="1"/>
  <c r="M407" i="39"/>
  <c r="N407" i="39" s="1"/>
  <c r="M408" i="39"/>
  <c r="N408" i="39" s="1"/>
  <c r="M409" i="39"/>
  <c r="N409" i="39" s="1"/>
  <c r="M410" i="39"/>
  <c r="N410" i="39" s="1"/>
  <c r="M411" i="39"/>
  <c r="N411" i="39" s="1"/>
  <c r="M412" i="39"/>
  <c r="N412" i="39" s="1"/>
  <c r="M413" i="39"/>
  <c r="N413" i="39" s="1"/>
  <c r="M414" i="39"/>
  <c r="N414" i="39" s="1"/>
  <c r="M415" i="39"/>
  <c r="N415" i="39" s="1"/>
  <c r="M416" i="39"/>
  <c r="N416" i="39" s="1"/>
  <c r="M417" i="39"/>
  <c r="N417" i="39" s="1"/>
  <c r="M418" i="39"/>
  <c r="N418" i="39" s="1"/>
  <c r="M419" i="39"/>
  <c r="N419" i="39" s="1"/>
  <c r="M420" i="39"/>
  <c r="N420" i="39" s="1"/>
  <c r="M421" i="39"/>
  <c r="N421" i="39" s="1"/>
  <c r="M422" i="39"/>
  <c r="N422" i="39" s="1"/>
  <c r="M423" i="39"/>
  <c r="N423" i="39" s="1"/>
  <c r="M424" i="39"/>
  <c r="N424" i="39" s="1"/>
  <c r="M425" i="39"/>
  <c r="N425" i="39" s="1"/>
  <c r="M426" i="39"/>
  <c r="N426" i="39" s="1"/>
  <c r="M427" i="39"/>
  <c r="N427" i="39" s="1"/>
  <c r="M428" i="39"/>
  <c r="N428" i="39" s="1"/>
  <c r="M429" i="39"/>
  <c r="N429" i="39" s="1"/>
  <c r="M430" i="39"/>
  <c r="N430" i="39" s="1"/>
  <c r="M431" i="39"/>
  <c r="N431" i="39" s="1"/>
  <c r="M432" i="39"/>
  <c r="N432" i="39" s="1"/>
  <c r="M433" i="39"/>
  <c r="N433" i="39" s="1"/>
  <c r="M434" i="39"/>
  <c r="N434" i="39" s="1"/>
  <c r="M435" i="39"/>
  <c r="N435" i="39" s="1"/>
  <c r="M436" i="39"/>
  <c r="N436" i="39" s="1"/>
  <c r="M437" i="39"/>
  <c r="N437" i="39" s="1"/>
  <c r="M438" i="39"/>
  <c r="N438" i="39" s="1"/>
  <c r="M439" i="39"/>
  <c r="N439" i="39" s="1"/>
  <c r="M440" i="39"/>
  <c r="N440" i="39" s="1"/>
  <c r="M441" i="39"/>
  <c r="N441" i="39" s="1"/>
  <c r="M442" i="39"/>
  <c r="N442" i="39" s="1"/>
  <c r="M443" i="39"/>
  <c r="N443" i="39" s="1"/>
  <c r="M444" i="39"/>
  <c r="N444" i="39" s="1"/>
  <c r="M445" i="39"/>
  <c r="N445" i="39" s="1"/>
  <c r="M446" i="39"/>
  <c r="N446" i="39" s="1"/>
  <c r="M447" i="39"/>
  <c r="N447" i="39" s="1"/>
  <c r="M448" i="39"/>
  <c r="N448" i="39" s="1"/>
  <c r="M449" i="39"/>
  <c r="N449" i="39" s="1"/>
  <c r="M450" i="39"/>
  <c r="N450" i="39" s="1"/>
  <c r="M451" i="39"/>
  <c r="N451" i="39" s="1"/>
  <c r="M452" i="39"/>
  <c r="N452" i="39" s="1"/>
  <c r="M453" i="39"/>
  <c r="N453" i="39" s="1"/>
  <c r="M454" i="39"/>
  <c r="N454" i="39" s="1"/>
  <c r="M455" i="39"/>
  <c r="N455" i="39" s="1"/>
  <c r="M456" i="39"/>
  <c r="N456" i="39" s="1"/>
  <c r="M457" i="39"/>
  <c r="N457" i="39" s="1"/>
  <c r="M458" i="39"/>
  <c r="N458" i="39" s="1"/>
  <c r="M459" i="39"/>
  <c r="N459" i="39" s="1"/>
  <c r="M460" i="39"/>
  <c r="N460" i="39" s="1"/>
  <c r="M461" i="39"/>
  <c r="N461" i="39" s="1"/>
  <c r="M462" i="39"/>
  <c r="N462" i="39" s="1"/>
  <c r="M463" i="39"/>
  <c r="N463" i="39" s="1"/>
  <c r="M464" i="39"/>
  <c r="N464" i="39" s="1"/>
  <c r="M465" i="39"/>
  <c r="N465" i="39" s="1"/>
  <c r="M466" i="39"/>
  <c r="N466" i="39" s="1"/>
  <c r="M467" i="39"/>
  <c r="N467" i="39" s="1"/>
  <c r="M468" i="39"/>
  <c r="N468" i="39" s="1"/>
  <c r="M469" i="39"/>
  <c r="N469" i="39" s="1"/>
  <c r="M470" i="39"/>
  <c r="N470" i="39" s="1"/>
  <c r="M471" i="39"/>
  <c r="N471" i="39" s="1"/>
  <c r="M472" i="39"/>
  <c r="N472" i="39" s="1"/>
  <c r="M473" i="39"/>
  <c r="N473" i="39" s="1"/>
  <c r="M474" i="39"/>
  <c r="N474" i="39" s="1"/>
  <c r="M475" i="39"/>
  <c r="N475" i="39" s="1"/>
  <c r="M476" i="39"/>
  <c r="N476" i="39" s="1"/>
  <c r="M477" i="39"/>
  <c r="N477" i="39" s="1"/>
  <c r="M478" i="39"/>
  <c r="N478" i="39" s="1"/>
  <c r="M479" i="39"/>
  <c r="N479" i="39" s="1"/>
  <c r="M480" i="39"/>
  <c r="N480" i="39" s="1"/>
  <c r="M481" i="39"/>
  <c r="N481" i="39" s="1"/>
  <c r="M482" i="39"/>
  <c r="N482" i="39" s="1"/>
  <c r="M483" i="39"/>
  <c r="N483" i="39" s="1"/>
  <c r="M484" i="39"/>
  <c r="N484" i="39" s="1"/>
  <c r="M485" i="39"/>
  <c r="N485" i="39" s="1"/>
  <c r="M486" i="39"/>
  <c r="N486" i="39" s="1"/>
  <c r="M487" i="39"/>
  <c r="N487" i="39" s="1"/>
  <c r="M488" i="39"/>
  <c r="N488" i="39" s="1"/>
  <c r="M489" i="39"/>
  <c r="N489" i="39" s="1"/>
  <c r="M490" i="39"/>
  <c r="N490" i="39" s="1"/>
  <c r="M491" i="39"/>
  <c r="N491" i="39" s="1"/>
  <c r="M492" i="39"/>
  <c r="N492" i="39" s="1"/>
  <c r="M493" i="39"/>
  <c r="N493" i="39" s="1"/>
  <c r="M494" i="39"/>
  <c r="N494" i="39" s="1"/>
  <c r="M495" i="39"/>
  <c r="N495" i="39" s="1"/>
  <c r="M496" i="39"/>
  <c r="N496" i="39" s="1"/>
  <c r="M497" i="39"/>
  <c r="N497" i="39" s="1"/>
  <c r="M498" i="39"/>
  <c r="N498" i="39" s="1"/>
  <c r="M499" i="39"/>
  <c r="N499" i="39" s="1"/>
  <c r="M500" i="39"/>
  <c r="N500" i="39" s="1"/>
  <c r="M501" i="39"/>
  <c r="N501" i="39" s="1"/>
  <c r="M502" i="39"/>
  <c r="N502" i="39" s="1"/>
  <c r="M503" i="39"/>
  <c r="N503" i="39" s="1"/>
  <c r="M504" i="39"/>
  <c r="N504" i="39" s="1"/>
  <c r="M505" i="39"/>
  <c r="N505" i="39" s="1"/>
  <c r="M506" i="39"/>
  <c r="N506" i="39" s="1"/>
  <c r="M507" i="39"/>
  <c r="N507" i="39" s="1"/>
  <c r="M508" i="39"/>
  <c r="N508" i="39" s="1"/>
  <c r="M509" i="39"/>
  <c r="N509" i="39" s="1"/>
  <c r="M510" i="39"/>
  <c r="N510" i="39" s="1"/>
  <c r="M511" i="39"/>
  <c r="N511" i="39" s="1"/>
  <c r="M512" i="39"/>
  <c r="N512" i="39" s="1"/>
  <c r="M513" i="39"/>
  <c r="N513" i="39" s="1"/>
  <c r="M514" i="39"/>
  <c r="N514" i="39" s="1"/>
  <c r="M515" i="39"/>
  <c r="N515" i="39" s="1"/>
  <c r="M516" i="39"/>
  <c r="N516" i="39" s="1"/>
  <c r="M517" i="39"/>
  <c r="N517" i="39" s="1"/>
  <c r="M518" i="39"/>
  <c r="N518" i="39" s="1"/>
  <c r="M519" i="39"/>
  <c r="N519" i="39" s="1"/>
  <c r="M520" i="39"/>
  <c r="N520" i="39" s="1"/>
  <c r="M521" i="39"/>
  <c r="N521" i="39" s="1"/>
  <c r="M522" i="39"/>
  <c r="N522" i="39" s="1"/>
  <c r="M523" i="39"/>
  <c r="N523" i="39" s="1"/>
  <c r="M524" i="39"/>
  <c r="N524" i="39" s="1"/>
  <c r="M525" i="39"/>
  <c r="N525" i="39" s="1"/>
  <c r="M526" i="39"/>
  <c r="N526" i="39" s="1"/>
  <c r="M527" i="39"/>
  <c r="N527" i="39" s="1"/>
  <c r="M528" i="39"/>
  <c r="N528" i="39" s="1"/>
  <c r="M529" i="39"/>
  <c r="N529" i="39" s="1"/>
  <c r="M530" i="39"/>
  <c r="N530" i="39" s="1"/>
  <c r="M531" i="39"/>
  <c r="N531" i="39" s="1"/>
  <c r="M532" i="39"/>
  <c r="N532" i="39" s="1"/>
  <c r="M533" i="39"/>
  <c r="N533" i="39" s="1"/>
  <c r="M534" i="39"/>
  <c r="N534" i="39" s="1"/>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65" i="39"/>
  <c r="L66" i="39"/>
  <c r="L67" i="39"/>
  <c r="L68" i="39"/>
  <c r="L69" i="39"/>
  <c r="L70" i="39"/>
  <c r="L71" i="39"/>
  <c r="L72" i="39"/>
  <c r="L73" i="39"/>
  <c r="L74" i="39"/>
  <c r="L75" i="39"/>
  <c r="L76" i="39"/>
  <c r="L77" i="39"/>
  <c r="L78" i="39"/>
  <c r="L79" i="39"/>
  <c r="L80" i="39"/>
  <c r="L81" i="39"/>
  <c r="L82" i="39"/>
  <c r="L83" i="39"/>
  <c r="L84" i="39"/>
  <c r="L85" i="39"/>
  <c r="L86" i="39"/>
  <c r="L87" i="39"/>
  <c r="L88" i="39"/>
  <c r="L89" i="39"/>
  <c r="L90" i="39"/>
  <c r="L91" i="39"/>
  <c r="L92" i="39"/>
  <c r="L93" i="39"/>
  <c r="L94" i="39"/>
  <c r="L95" i="39"/>
  <c r="L96" i="39"/>
  <c r="L97" i="39"/>
  <c r="L98" i="39"/>
  <c r="L99" i="39"/>
  <c r="L100" i="39"/>
  <c r="L101" i="39"/>
  <c r="L102" i="39"/>
  <c r="L103" i="39"/>
  <c r="L104" i="39"/>
  <c r="L105" i="39"/>
  <c r="L106" i="39"/>
  <c r="L107" i="39"/>
  <c r="L108" i="39"/>
  <c r="L109" i="39"/>
  <c r="L110" i="39"/>
  <c r="L111" i="39"/>
  <c r="L112" i="39"/>
  <c r="L113" i="39"/>
  <c r="L114" i="39"/>
  <c r="L115" i="39"/>
  <c r="L116" i="39"/>
  <c r="L117" i="39"/>
  <c r="L118" i="39"/>
  <c r="L119" i="39"/>
  <c r="L120" i="39"/>
  <c r="L121" i="39"/>
  <c r="L122" i="39"/>
  <c r="L123" i="39"/>
  <c r="L124" i="39"/>
  <c r="L125" i="39"/>
  <c r="L126" i="39"/>
  <c r="L127" i="39"/>
  <c r="L128" i="39"/>
  <c r="L129" i="39"/>
  <c r="L130" i="39"/>
  <c r="L131" i="39"/>
  <c r="L132" i="39"/>
  <c r="L133" i="39"/>
  <c r="L134" i="39"/>
  <c r="L135" i="39"/>
  <c r="L136" i="39"/>
  <c r="L137" i="39"/>
  <c r="L138" i="39"/>
  <c r="L139" i="39"/>
  <c r="L140" i="39"/>
  <c r="L141" i="39"/>
  <c r="L142" i="39"/>
  <c r="L143" i="39"/>
  <c r="L144" i="39"/>
  <c r="L145" i="39"/>
  <c r="L146" i="39"/>
  <c r="L147" i="39"/>
  <c r="L148" i="39"/>
  <c r="L149" i="39"/>
  <c r="L150" i="39"/>
  <c r="L151" i="39"/>
  <c r="L152" i="39"/>
  <c r="L153" i="39"/>
  <c r="L154" i="39"/>
  <c r="L155" i="39"/>
  <c r="L156" i="39"/>
  <c r="L157" i="39"/>
  <c r="L158" i="39"/>
  <c r="L159" i="39"/>
  <c r="L160" i="39"/>
  <c r="L161" i="39"/>
  <c r="L162" i="39"/>
  <c r="L163" i="39"/>
  <c r="L164" i="39"/>
  <c r="L165" i="39"/>
  <c r="L166" i="39"/>
  <c r="L167" i="39"/>
  <c r="L168" i="39"/>
  <c r="L169" i="39"/>
  <c r="L170" i="39"/>
  <c r="L171" i="39"/>
  <c r="L172" i="39"/>
  <c r="L173" i="39"/>
  <c r="L174" i="39"/>
  <c r="L175" i="39"/>
  <c r="L176" i="39"/>
  <c r="L177" i="39"/>
  <c r="L178" i="39"/>
  <c r="L179" i="39"/>
  <c r="L180" i="39"/>
  <c r="L181" i="39"/>
  <c r="L182" i="39"/>
  <c r="L183" i="39"/>
  <c r="L184" i="39"/>
  <c r="L185" i="39"/>
  <c r="L186" i="39"/>
  <c r="L187" i="39"/>
  <c r="L188" i="39"/>
  <c r="L189" i="39"/>
  <c r="L190" i="39"/>
  <c r="L191" i="39"/>
  <c r="L192" i="39"/>
  <c r="L193" i="39"/>
  <c r="L194" i="39"/>
  <c r="L195" i="39"/>
  <c r="L196" i="39"/>
  <c r="L197" i="39"/>
  <c r="L198" i="39"/>
  <c r="L199" i="39"/>
  <c r="L200" i="39"/>
  <c r="L201" i="39"/>
  <c r="L202" i="39"/>
  <c r="L203" i="39"/>
  <c r="L204" i="39"/>
  <c r="L205" i="39"/>
  <c r="L206" i="39"/>
  <c r="L207" i="39"/>
  <c r="L208" i="39"/>
  <c r="L209" i="39"/>
  <c r="L210" i="39"/>
  <c r="L211" i="39"/>
  <c r="L212" i="39"/>
  <c r="L213" i="39"/>
  <c r="L214" i="39"/>
  <c r="L215" i="39"/>
  <c r="L216" i="39"/>
  <c r="L217" i="39"/>
  <c r="L218" i="39"/>
  <c r="L219" i="39"/>
  <c r="L220" i="39"/>
  <c r="L221" i="39"/>
  <c r="L222" i="39"/>
  <c r="L223" i="39"/>
  <c r="L224" i="39"/>
  <c r="L225" i="39"/>
  <c r="L226" i="39"/>
  <c r="L227" i="39"/>
  <c r="L228" i="39"/>
  <c r="L229" i="39"/>
  <c r="L230" i="39"/>
  <c r="L231" i="39"/>
  <c r="L232" i="39"/>
  <c r="L233" i="39"/>
  <c r="L234" i="39"/>
  <c r="L235" i="39"/>
  <c r="L236" i="39"/>
  <c r="L237" i="39"/>
  <c r="L238" i="39"/>
  <c r="L239" i="39"/>
  <c r="L240" i="39"/>
  <c r="L241" i="39"/>
  <c r="L242" i="39"/>
  <c r="L243" i="39"/>
  <c r="L244" i="39"/>
  <c r="L245" i="39"/>
  <c r="L246" i="39"/>
  <c r="L247" i="39"/>
  <c r="L248" i="39"/>
  <c r="L249" i="39"/>
  <c r="L250" i="39"/>
  <c r="L251" i="39"/>
  <c r="L252" i="39"/>
  <c r="L253" i="39"/>
  <c r="L254" i="39"/>
  <c r="L255" i="39"/>
  <c r="L256" i="39"/>
  <c r="L257" i="39"/>
  <c r="L258" i="39"/>
  <c r="L259" i="39"/>
  <c r="L260" i="39"/>
  <c r="L261" i="39"/>
  <c r="L262" i="39"/>
  <c r="L263" i="39"/>
  <c r="L264" i="39"/>
  <c r="L265" i="39"/>
  <c r="L266" i="39"/>
  <c r="L267" i="39"/>
  <c r="L268" i="39"/>
  <c r="L269" i="39"/>
  <c r="L270" i="39"/>
  <c r="L271" i="39"/>
  <c r="L272" i="39"/>
  <c r="L273" i="39"/>
  <c r="L274" i="39"/>
  <c r="L275" i="39"/>
  <c r="L276" i="39"/>
  <c r="L277" i="39"/>
  <c r="L278" i="39"/>
  <c r="L279" i="39"/>
  <c r="L280" i="39"/>
  <c r="L281" i="39"/>
  <c r="L282" i="39"/>
  <c r="L283" i="39"/>
  <c r="L284" i="39"/>
  <c r="L285" i="39"/>
  <c r="L286" i="39"/>
  <c r="L287" i="39"/>
  <c r="L288" i="39"/>
  <c r="L289" i="39"/>
  <c r="L290" i="39"/>
  <c r="L291" i="39"/>
  <c r="L292" i="39"/>
  <c r="L293" i="39"/>
  <c r="L294" i="39"/>
  <c r="L295" i="39"/>
  <c r="L296" i="39"/>
  <c r="L297" i="39"/>
  <c r="L298" i="39"/>
  <c r="L299" i="39"/>
  <c r="L300" i="39"/>
  <c r="L301" i="39"/>
  <c r="L302" i="39"/>
  <c r="L303" i="39"/>
  <c r="L304" i="39"/>
  <c r="L305" i="39"/>
  <c r="L306" i="39"/>
  <c r="L307" i="39"/>
  <c r="L308" i="39"/>
  <c r="L309" i="39"/>
  <c r="L310" i="39"/>
  <c r="L311" i="39"/>
  <c r="L312" i="39"/>
  <c r="L313" i="39"/>
  <c r="L314" i="39"/>
  <c r="L315" i="39"/>
  <c r="L316" i="39"/>
  <c r="L317" i="39"/>
  <c r="L318" i="39"/>
  <c r="L319" i="39"/>
  <c r="L320" i="39"/>
  <c r="L321" i="39"/>
  <c r="L322" i="39"/>
  <c r="L323" i="39"/>
  <c r="L324" i="39"/>
  <c r="L325" i="39"/>
  <c r="L326" i="39"/>
  <c r="L327" i="39"/>
  <c r="L328" i="39"/>
  <c r="L329" i="39"/>
  <c r="L330" i="39"/>
  <c r="L331" i="39"/>
  <c r="L332" i="39"/>
  <c r="L333" i="39"/>
  <c r="L334" i="39"/>
  <c r="L335" i="39"/>
  <c r="L336" i="39"/>
  <c r="L337" i="39"/>
  <c r="L338" i="39"/>
  <c r="L339" i="39"/>
  <c r="L340" i="39"/>
  <c r="L341" i="39"/>
  <c r="L342" i="39"/>
  <c r="L343" i="39"/>
  <c r="L344" i="39"/>
  <c r="L345" i="39"/>
  <c r="L346" i="39"/>
  <c r="L347" i="39"/>
  <c r="L348" i="39"/>
  <c r="L349" i="39"/>
  <c r="L350" i="39"/>
  <c r="L351" i="39"/>
  <c r="L352" i="39"/>
  <c r="L353" i="39"/>
  <c r="L354" i="39"/>
  <c r="L355" i="39"/>
  <c r="L356" i="39"/>
  <c r="L357" i="39"/>
  <c r="L358" i="39"/>
  <c r="L359" i="39"/>
  <c r="L360" i="39"/>
  <c r="L361" i="39"/>
  <c r="L362" i="39"/>
  <c r="L363" i="39"/>
  <c r="L364" i="39"/>
  <c r="L365" i="39"/>
  <c r="L366" i="39"/>
  <c r="L367" i="39"/>
  <c r="L368" i="39"/>
  <c r="L369" i="39"/>
  <c r="L370" i="39"/>
  <c r="L371" i="39"/>
  <c r="L372" i="39"/>
  <c r="L373" i="39"/>
  <c r="L374" i="39"/>
  <c r="L375" i="39"/>
  <c r="L376" i="39"/>
  <c r="L377" i="39"/>
  <c r="L378" i="39"/>
  <c r="L379" i="39"/>
  <c r="L380" i="39"/>
  <c r="L381" i="39"/>
  <c r="L382" i="39"/>
  <c r="L383" i="39"/>
  <c r="L384" i="39"/>
  <c r="L385" i="39"/>
  <c r="L386" i="39"/>
  <c r="L387" i="39"/>
  <c r="L388" i="39"/>
  <c r="L389" i="39"/>
  <c r="L390" i="39"/>
  <c r="L391" i="39"/>
  <c r="L392" i="39"/>
  <c r="L393" i="39"/>
  <c r="L394" i="39"/>
  <c r="L395" i="39"/>
  <c r="L396" i="39"/>
  <c r="L397" i="39"/>
  <c r="L398" i="39"/>
  <c r="L399" i="39"/>
  <c r="L400" i="39"/>
  <c r="L401" i="39"/>
  <c r="L402" i="39"/>
  <c r="L403" i="39"/>
  <c r="L404" i="39"/>
  <c r="L405" i="39"/>
  <c r="L406" i="39"/>
  <c r="L407" i="39"/>
  <c r="L408" i="39"/>
  <c r="L409" i="39"/>
  <c r="L410" i="39"/>
  <c r="L411" i="39"/>
  <c r="L412" i="39"/>
  <c r="L413" i="39"/>
  <c r="L414" i="39"/>
  <c r="L415" i="39"/>
  <c r="L416" i="39"/>
  <c r="L417" i="39"/>
  <c r="L418" i="39"/>
  <c r="L419" i="39"/>
  <c r="L420" i="39"/>
  <c r="L421" i="39"/>
  <c r="L422" i="39"/>
  <c r="L423" i="39"/>
  <c r="L424" i="39"/>
  <c r="L425" i="39"/>
  <c r="L426" i="39"/>
  <c r="L427" i="39"/>
  <c r="L428" i="39"/>
  <c r="L429" i="39"/>
  <c r="L430" i="39"/>
  <c r="L431" i="39"/>
  <c r="L432" i="39"/>
  <c r="L433" i="39"/>
  <c r="L434" i="39"/>
  <c r="L435" i="39"/>
  <c r="L436" i="39"/>
  <c r="L437" i="39"/>
  <c r="L438" i="39"/>
  <c r="L439" i="39"/>
  <c r="L440" i="39"/>
  <c r="L441" i="39"/>
  <c r="L442" i="39"/>
  <c r="L443" i="39"/>
  <c r="L444" i="39"/>
  <c r="L445" i="39"/>
  <c r="L446" i="39"/>
  <c r="L447" i="39"/>
  <c r="L448" i="39"/>
  <c r="L449" i="39"/>
  <c r="L450" i="39"/>
  <c r="L451" i="39"/>
  <c r="L452" i="39"/>
  <c r="L453" i="39"/>
  <c r="L454" i="39"/>
  <c r="L455" i="39"/>
  <c r="L456" i="39"/>
  <c r="L457" i="39"/>
  <c r="L458" i="39"/>
  <c r="L459" i="39"/>
  <c r="L460" i="39"/>
  <c r="L461" i="39"/>
  <c r="L462" i="39"/>
  <c r="L463" i="39"/>
  <c r="L464" i="39"/>
  <c r="L465" i="39"/>
  <c r="L466" i="39"/>
  <c r="L467" i="39"/>
  <c r="L468" i="39"/>
  <c r="L469" i="39"/>
  <c r="L470" i="39"/>
  <c r="L471" i="39"/>
  <c r="L472" i="39"/>
  <c r="L473" i="39"/>
  <c r="L474" i="39"/>
  <c r="L475" i="39"/>
  <c r="L476" i="39"/>
  <c r="L477" i="39"/>
  <c r="L478" i="39"/>
  <c r="L479" i="39"/>
  <c r="L480" i="39"/>
  <c r="L481" i="39"/>
  <c r="L482" i="39"/>
  <c r="L483" i="39"/>
  <c r="L484" i="39"/>
  <c r="L485" i="39"/>
  <c r="L486" i="39"/>
  <c r="L487" i="39"/>
  <c r="L488" i="39"/>
  <c r="L489" i="39"/>
  <c r="L490" i="39"/>
  <c r="L491" i="39"/>
  <c r="L492" i="39"/>
  <c r="L493" i="39"/>
  <c r="L494" i="39"/>
  <c r="L495" i="39"/>
  <c r="L496" i="39"/>
  <c r="L497" i="39"/>
  <c r="L498" i="39"/>
  <c r="L499" i="39"/>
  <c r="L500" i="39"/>
  <c r="L501" i="39"/>
  <c r="L502" i="39"/>
  <c r="L503" i="39"/>
  <c r="L504" i="39"/>
  <c r="L505" i="39"/>
  <c r="L506" i="39"/>
  <c r="L507" i="39"/>
  <c r="L508" i="39"/>
  <c r="L509" i="39"/>
  <c r="L510" i="39"/>
  <c r="L511" i="39"/>
  <c r="L512" i="39"/>
  <c r="L513" i="39"/>
  <c r="L514" i="39"/>
  <c r="L515" i="39"/>
  <c r="L516" i="39"/>
  <c r="L517" i="39"/>
  <c r="L518" i="39"/>
  <c r="L519" i="39"/>
  <c r="L520" i="39"/>
  <c r="L521" i="39"/>
  <c r="L522" i="39"/>
  <c r="L523" i="39"/>
  <c r="L524" i="39"/>
  <c r="L525" i="39"/>
  <c r="L526" i="39"/>
  <c r="L527" i="39"/>
  <c r="L528" i="39"/>
  <c r="L529" i="39"/>
  <c r="L530" i="39"/>
  <c r="L531" i="39"/>
  <c r="L532" i="39"/>
  <c r="L533" i="39"/>
  <c r="L534" i="39"/>
  <c r="F7" i="39"/>
  <c r="G7" i="39" s="1"/>
  <c r="F8" i="39"/>
  <c r="G8" i="39" s="1"/>
  <c r="F9" i="39"/>
  <c r="G9" i="39" s="1"/>
  <c r="F10" i="39"/>
  <c r="G10" i="39" s="1"/>
  <c r="F11" i="39"/>
  <c r="G11" i="39" s="1"/>
  <c r="F12" i="39"/>
  <c r="G12" i="39" s="1"/>
  <c r="F13" i="39"/>
  <c r="G13" i="39" s="1"/>
  <c r="F14" i="39"/>
  <c r="G14" i="39" s="1"/>
  <c r="F15" i="39"/>
  <c r="G15" i="39" s="1"/>
  <c r="F16" i="39"/>
  <c r="G16" i="39" s="1"/>
  <c r="F17" i="39"/>
  <c r="G17" i="39" s="1"/>
  <c r="F18" i="39"/>
  <c r="G18" i="39" s="1"/>
  <c r="F19" i="39"/>
  <c r="G19" i="39" s="1"/>
  <c r="F20" i="39"/>
  <c r="G20" i="39" s="1"/>
  <c r="F21" i="39"/>
  <c r="G21" i="39" s="1"/>
  <c r="F22" i="39"/>
  <c r="G22" i="39" s="1"/>
  <c r="F23" i="39"/>
  <c r="G23" i="39" s="1"/>
  <c r="F24" i="39"/>
  <c r="G24" i="39" s="1"/>
  <c r="F25" i="39"/>
  <c r="G25" i="39" s="1"/>
  <c r="F26" i="39"/>
  <c r="G26" i="39" s="1"/>
  <c r="F27" i="39"/>
  <c r="G27" i="39" s="1"/>
  <c r="F28" i="39"/>
  <c r="G28" i="39" s="1"/>
  <c r="F29" i="39"/>
  <c r="G29" i="39" s="1"/>
  <c r="F30" i="39"/>
  <c r="G30" i="39" s="1"/>
  <c r="F31" i="39"/>
  <c r="G31" i="39" s="1"/>
  <c r="F32" i="39"/>
  <c r="G32" i="39" s="1"/>
  <c r="F33" i="39"/>
  <c r="G33" i="39" s="1"/>
  <c r="F34" i="39"/>
  <c r="G34" i="39" s="1"/>
  <c r="F35" i="39"/>
  <c r="G35" i="39" s="1"/>
  <c r="F36" i="39"/>
  <c r="G36" i="39" s="1"/>
  <c r="F37" i="39"/>
  <c r="G37" i="39" s="1"/>
  <c r="F38" i="39"/>
  <c r="G38" i="39" s="1"/>
  <c r="F39" i="39"/>
  <c r="G39" i="39" s="1"/>
  <c r="F40" i="39"/>
  <c r="G40" i="39" s="1"/>
  <c r="F41" i="39"/>
  <c r="G41" i="39" s="1"/>
  <c r="F42" i="39"/>
  <c r="G42" i="39" s="1"/>
  <c r="F43" i="39"/>
  <c r="G43" i="39" s="1"/>
  <c r="F44" i="39"/>
  <c r="G44" i="39" s="1"/>
  <c r="F45" i="39"/>
  <c r="G45" i="39" s="1"/>
  <c r="F46" i="39"/>
  <c r="G46" i="39" s="1"/>
  <c r="F47" i="39"/>
  <c r="G47" i="39" s="1"/>
  <c r="F48" i="39"/>
  <c r="G48" i="39" s="1"/>
  <c r="F49" i="39"/>
  <c r="G49" i="39" s="1"/>
  <c r="F50" i="39"/>
  <c r="G50" i="39" s="1"/>
  <c r="F51" i="39"/>
  <c r="G51" i="39" s="1"/>
  <c r="F52" i="39"/>
  <c r="G52" i="39" s="1"/>
  <c r="F53" i="39"/>
  <c r="G53" i="39" s="1"/>
  <c r="F54" i="39"/>
  <c r="G54" i="39" s="1"/>
  <c r="F55" i="39"/>
  <c r="G55" i="39" s="1"/>
  <c r="F56" i="39"/>
  <c r="G56" i="39" s="1"/>
  <c r="F57" i="39"/>
  <c r="G57" i="39" s="1"/>
  <c r="F58" i="39"/>
  <c r="G58" i="39" s="1"/>
  <c r="F59" i="39"/>
  <c r="G59" i="39" s="1"/>
  <c r="F60" i="39"/>
  <c r="G60" i="39" s="1"/>
  <c r="F61" i="39"/>
  <c r="G61" i="39" s="1"/>
  <c r="F62" i="39"/>
  <c r="G62" i="39" s="1"/>
  <c r="F63" i="39"/>
  <c r="G63" i="39" s="1"/>
  <c r="F64" i="39"/>
  <c r="G64" i="39" s="1"/>
  <c r="F65" i="39"/>
  <c r="G65" i="39" s="1"/>
  <c r="F66" i="39"/>
  <c r="G66" i="39" s="1"/>
  <c r="F67" i="39"/>
  <c r="G67" i="39" s="1"/>
  <c r="F68" i="39"/>
  <c r="G68" i="39" s="1"/>
  <c r="F69" i="39"/>
  <c r="G69" i="39" s="1"/>
  <c r="F70" i="39"/>
  <c r="G70" i="39" s="1"/>
  <c r="F71" i="39"/>
  <c r="G71" i="39" s="1"/>
  <c r="F72" i="39"/>
  <c r="G72" i="39" s="1"/>
  <c r="F73" i="39"/>
  <c r="G73" i="39" s="1"/>
  <c r="F74" i="39"/>
  <c r="G74" i="39" s="1"/>
  <c r="F75" i="39"/>
  <c r="G75" i="39" s="1"/>
  <c r="F76" i="39"/>
  <c r="G76" i="39" s="1"/>
  <c r="F77" i="39"/>
  <c r="G77" i="39" s="1"/>
  <c r="F78" i="39"/>
  <c r="G78" i="39" s="1"/>
  <c r="F79" i="39"/>
  <c r="G79" i="39" s="1"/>
  <c r="F80" i="39"/>
  <c r="G80" i="39" s="1"/>
  <c r="F81" i="39"/>
  <c r="G81" i="39" s="1"/>
  <c r="F82" i="39"/>
  <c r="G82" i="39" s="1"/>
  <c r="F83" i="39"/>
  <c r="G83" i="39" s="1"/>
  <c r="F84" i="39"/>
  <c r="G84" i="39" s="1"/>
  <c r="F85" i="39"/>
  <c r="G85" i="39" s="1"/>
  <c r="F86" i="39"/>
  <c r="G86" i="39" s="1"/>
  <c r="F87" i="39"/>
  <c r="G87" i="39" s="1"/>
  <c r="F88" i="39"/>
  <c r="G88" i="39" s="1"/>
  <c r="F89" i="39"/>
  <c r="G89" i="39" s="1"/>
  <c r="F90" i="39"/>
  <c r="G90" i="39" s="1"/>
  <c r="F91" i="39"/>
  <c r="G91" i="39" s="1"/>
  <c r="F92" i="39"/>
  <c r="G92" i="39" s="1"/>
  <c r="F93" i="39"/>
  <c r="G93" i="39" s="1"/>
  <c r="F94" i="39"/>
  <c r="G94" i="39" s="1"/>
  <c r="F95" i="39"/>
  <c r="G95" i="39" s="1"/>
  <c r="F96" i="39"/>
  <c r="G96" i="39" s="1"/>
  <c r="F97" i="39"/>
  <c r="G97" i="39" s="1"/>
  <c r="F98" i="39"/>
  <c r="G98" i="39" s="1"/>
  <c r="F99" i="39"/>
  <c r="G99" i="39" s="1"/>
  <c r="F100" i="39"/>
  <c r="G100" i="39" s="1"/>
  <c r="F101" i="39"/>
  <c r="G101" i="39" s="1"/>
  <c r="F102" i="39"/>
  <c r="G102" i="39" s="1"/>
  <c r="F103" i="39"/>
  <c r="G103" i="39" s="1"/>
  <c r="F104" i="39"/>
  <c r="G104" i="39" s="1"/>
  <c r="F105" i="39"/>
  <c r="G105" i="39" s="1"/>
  <c r="F106" i="39"/>
  <c r="G106" i="39" s="1"/>
  <c r="F107" i="39"/>
  <c r="G107" i="39" s="1"/>
  <c r="F108" i="39"/>
  <c r="G108" i="39" s="1"/>
  <c r="F109" i="39"/>
  <c r="G109" i="39" s="1"/>
  <c r="F110" i="39"/>
  <c r="G110" i="39" s="1"/>
  <c r="F111" i="39"/>
  <c r="G111" i="39" s="1"/>
  <c r="F112" i="39"/>
  <c r="G112" i="39" s="1"/>
  <c r="F113" i="39"/>
  <c r="G113" i="39" s="1"/>
  <c r="F114" i="39"/>
  <c r="G114" i="39" s="1"/>
  <c r="F115" i="39"/>
  <c r="G115" i="39" s="1"/>
  <c r="F116" i="39"/>
  <c r="G116" i="39" s="1"/>
  <c r="F117" i="39"/>
  <c r="G117" i="39" s="1"/>
  <c r="F118" i="39"/>
  <c r="G118" i="39" s="1"/>
  <c r="F119" i="39"/>
  <c r="G119" i="39" s="1"/>
  <c r="F120" i="39"/>
  <c r="G120" i="39" s="1"/>
  <c r="F121" i="39"/>
  <c r="G121" i="39" s="1"/>
  <c r="F122" i="39"/>
  <c r="G122" i="39" s="1"/>
  <c r="F123" i="39"/>
  <c r="G123" i="39" s="1"/>
  <c r="F124" i="39"/>
  <c r="G124" i="39" s="1"/>
  <c r="F125" i="39"/>
  <c r="G125" i="39" s="1"/>
  <c r="F126" i="39"/>
  <c r="G126" i="39" s="1"/>
  <c r="F127" i="39"/>
  <c r="G127" i="39" s="1"/>
  <c r="F128" i="39"/>
  <c r="G128" i="39" s="1"/>
  <c r="F129" i="39"/>
  <c r="G129" i="39" s="1"/>
  <c r="F130" i="39"/>
  <c r="G130" i="39" s="1"/>
  <c r="F131" i="39"/>
  <c r="G131" i="39" s="1"/>
  <c r="F132" i="39"/>
  <c r="G132" i="39" s="1"/>
  <c r="F133" i="39"/>
  <c r="G133" i="39" s="1"/>
  <c r="F134" i="39"/>
  <c r="G134" i="39" s="1"/>
  <c r="F135" i="39"/>
  <c r="G135" i="39" s="1"/>
  <c r="F136" i="39"/>
  <c r="G136" i="39" s="1"/>
  <c r="F137" i="39"/>
  <c r="G137" i="39" s="1"/>
  <c r="F138" i="39"/>
  <c r="G138" i="39" s="1"/>
  <c r="F139" i="39"/>
  <c r="G139" i="39" s="1"/>
  <c r="F140" i="39"/>
  <c r="G140" i="39" s="1"/>
  <c r="F141" i="39"/>
  <c r="G141" i="39" s="1"/>
  <c r="F142" i="39"/>
  <c r="G142" i="39" s="1"/>
  <c r="F143" i="39"/>
  <c r="G143" i="39" s="1"/>
  <c r="F144" i="39"/>
  <c r="G144" i="39" s="1"/>
  <c r="F145" i="39"/>
  <c r="G145" i="39" s="1"/>
  <c r="F146" i="39"/>
  <c r="G146" i="39" s="1"/>
  <c r="F147" i="39"/>
  <c r="G147" i="39" s="1"/>
  <c r="F148" i="39"/>
  <c r="G148" i="39" s="1"/>
  <c r="F149" i="39"/>
  <c r="G149" i="39" s="1"/>
  <c r="F150" i="39"/>
  <c r="G150" i="39" s="1"/>
  <c r="F151" i="39"/>
  <c r="G151" i="39" s="1"/>
  <c r="F152" i="39"/>
  <c r="G152" i="39" s="1"/>
  <c r="F153" i="39"/>
  <c r="G153" i="39" s="1"/>
  <c r="F154" i="39"/>
  <c r="G154" i="39" s="1"/>
  <c r="F155" i="39"/>
  <c r="G155" i="39" s="1"/>
  <c r="F156" i="39"/>
  <c r="G156" i="39" s="1"/>
  <c r="F157" i="39"/>
  <c r="G157" i="39" s="1"/>
  <c r="F158" i="39"/>
  <c r="G158" i="39" s="1"/>
  <c r="F159" i="39"/>
  <c r="G159" i="39" s="1"/>
  <c r="F160" i="39"/>
  <c r="G160" i="39" s="1"/>
  <c r="F161" i="39"/>
  <c r="G161" i="39" s="1"/>
  <c r="F162" i="39"/>
  <c r="G162" i="39" s="1"/>
  <c r="F163" i="39"/>
  <c r="G163" i="39" s="1"/>
  <c r="F164" i="39"/>
  <c r="G164" i="39" s="1"/>
  <c r="F165" i="39"/>
  <c r="G165" i="39" s="1"/>
  <c r="F166" i="39"/>
  <c r="G166" i="39" s="1"/>
  <c r="F167" i="39"/>
  <c r="G167" i="39" s="1"/>
  <c r="F168" i="39"/>
  <c r="G168" i="39" s="1"/>
  <c r="F169" i="39"/>
  <c r="G169" i="39" s="1"/>
  <c r="F170" i="39"/>
  <c r="G170" i="39" s="1"/>
  <c r="F171" i="39"/>
  <c r="G171" i="39" s="1"/>
  <c r="F172" i="39"/>
  <c r="G172" i="39" s="1"/>
  <c r="F173" i="39"/>
  <c r="G173" i="39" s="1"/>
  <c r="F174" i="39"/>
  <c r="G174" i="39" s="1"/>
  <c r="F175" i="39"/>
  <c r="G175" i="39" s="1"/>
  <c r="F176" i="39"/>
  <c r="G176" i="39" s="1"/>
  <c r="F177" i="39"/>
  <c r="G177" i="39" s="1"/>
  <c r="F178" i="39"/>
  <c r="G178" i="39" s="1"/>
  <c r="F179" i="39"/>
  <c r="G179" i="39" s="1"/>
  <c r="F180" i="39"/>
  <c r="G180" i="39" s="1"/>
  <c r="F181" i="39"/>
  <c r="G181" i="39" s="1"/>
  <c r="F182" i="39"/>
  <c r="G182" i="39" s="1"/>
  <c r="F183" i="39"/>
  <c r="G183" i="39" s="1"/>
  <c r="F184" i="39"/>
  <c r="G184" i="39" s="1"/>
  <c r="F185" i="39"/>
  <c r="G185" i="39" s="1"/>
  <c r="F186" i="39"/>
  <c r="G186" i="39" s="1"/>
  <c r="F187" i="39"/>
  <c r="G187" i="39" s="1"/>
  <c r="F188" i="39"/>
  <c r="G188" i="39" s="1"/>
  <c r="F189" i="39"/>
  <c r="G189" i="39" s="1"/>
  <c r="F190" i="39"/>
  <c r="G190" i="39" s="1"/>
  <c r="F191" i="39"/>
  <c r="G191" i="39" s="1"/>
  <c r="F192" i="39"/>
  <c r="G192" i="39" s="1"/>
  <c r="F193" i="39"/>
  <c r="G193" i="39" s="1"/>
  <c r="F194" i="39"/>
  <c r="G194" i="39" s="1"/>
  <c r="F195" i="39"/>
  <c r="G195" i="39" s="1"/>
  <c r="F196" i="39"/>
  <c r="G196" i="39" s="1"/>
  <c r="F197" i="39"/>
  <c r="G197" i="39" s="1"/>
  <c r="F198" i="39"/>
  <c r="G198" i="39" s="1"/>
  <c r="F199" i="39"/>
  <c r="G199" i="39" s="1"/>
  <c r="F200" i="39"/>
  <c r="G200" i="39" s="1"/>
  <c r="F201" i="39"/>
  <c r="G201" i="39" s="1"/>
  <c r="F202" i="39"/>
  <c r="G202" i="39" s="1"/>
  <c r="F203" i="39"/>
  <c r="G203" i="39" s="1"/>
  <c r="F204" i="39"/>
  <c r="G204" i="39" s="1"/>
  <c r="F205" i="39"/>
  <c r="G205" i="39" s="1"/>
  <c r="F206" i="39"/>
  <c r="G206" i="39" s="1"/>
  <c r="F207" i="39"/>
  <c r="G207" i="39" s="1"/>
  <c r="F208" i="39"/>
  <c r="G208" i="39" s="1"/>
  <c r="F209" i="39"/>
  <c r="G209" i="39" s="1"/>
  <c r="F210" i="39"/>
  <c r="G210" i="39" s="1"/>
  <c r="F211" i="39"/>
  <c r="G211" i="39" s="1"/>
  <c r="F212" i="39"/>
  <c r="G212" i="39" s="1"/>
  <c r="F213" i="39"/>
  <c r="G213" i="39" s="1"/>
  <c r="F214" i="39"/>
  <c r="G214" i="39" s="1"/>
  <c r="F215" i="39"/>
  <c r="G215" i="39" s="1"/>
  <c r="F216" i="39"/>
  <c r="G216" i="39" s="1"/>
  <c r="F217" i="39"/>
  <c r="G217" i="39" s="1"/>
  <c r="F218" i="39"/>
  <c r="G218" i="39" s="1"/>
  <c r="F219" i="39"/>
  <c r="G219" i="39" s="1"/>
  <c r="F220" i="39"/>
  <c r="G220" i="39" s="1"/>
  <c r="F221" i="39"/>
  <c r="G221" i="39" s="1"/>
  <c r="F222" i="39"/>
  <c r="G222" i="39" s="1"/>
  <c r="F223" i="39"/>
  <c r="G223" i="39" s="1"/>
  <c r="F224" i="39"/>
  <c r="G224" i="39" s="1"/>
  <c r="F225" i="39"/>
  <c r="G225" i="39" s="1"/>
  <c r="F226" i="39"/>
  <c r="G226" i="39" s="1"/>
  <c r="F227" i="39"/>
  <c r="G227" i="39" s="1"/>
  <c r="F228" i="39"/>
  <c r="G228" i="39" s="1"/>
  <c r="F229" i="39"/>
  <c r="G229" i="39" s="1"/>
  <c r="F230" i="39"/>
  <c r="G230" i="39" s="1"/>
  <c r="F231" i="39"/>
  <c r="G231" i="39" s="1"/>
  <c r="F232" i="39"/>
  <c r="G232" i="39" s="1"/>
  <c r="F233" i="39"/>
  <c r="G233" i="39" s="1"/>
  <c r="F234" i="39"/>
  <c r="G234" i="39" s="1"/>
  <c r="F235" i="39"/>
  <c r="G235" i="39" s="1"/>
  <c r="F236" i="39"/>
  <c r="G236" i="39" s="1"/>
  <c r="F237" i="39"/>
  <c r="G237" i="39" s="1"/>
  <c r="F238" i="39"/>
  <c r="G238" i="39" s="1"/>
  <c r="F239" i="39"/>
  <c r="G239" i="39" s="1"/>
  <c r="F240" i="39"/>
  <c r="G240" i="39" s="1"/>
  <c r="F241" i="39"/>
  <c r="G241" i="39" s="1"/>
  <c r="F242" i="39"/>
  <c r="G242" i="39" s="1"/>
  <c r="F243" i="39"/>
  <c r="G243" i="39" s="1"/>
  <c r="F244" i="39"/>
  <c r="G244" i="39" s="1"/>
  <c r="F245" i="39"/>
  <c r="G245" i="39" s="1"/>
  <c r="F246" i="39"/>
  <c r="G246" i="39" s="1"/>
  <c r="F247" i="39"/>
  <c r="G247" i="39" s="1"/>
  <c r="F248" i="39"/>
  <c r="G248" i="39" s="1"/>
  <c r="F249" i="39"/>
  <c r="G249" i="39" s="1"/>
  <c r="F250" i="39"/>
  <c r="G250" i="39" s="1"/>
  <c r="F251" i="39"/>
  <c r="G251" i="39" s="1"/>
  <c r="F252" i="39"/>
  <c r="G252" i="39" s="1"/>
  <c r="F253" i="39"/>
  <c r="G253" i="39" s="1"/>
  <c r="F254" i="39"/>
  <c r="G254" i="39" s="1"/>
  <c r="F255" i="39"/>
  <c r="G255" i="39" s="1"/>
  <c r="F256" i="39"/>
  <c r="G256" i="39" s="1"/>
  <c r="F257" i="39"/>
  <c r="G257" i="39" s="1"/>
  <c r="F258" i="39"/>
  <c r="G258" i="39" s="1"/>
  <c r="F259" i="39"/>
  <c r="G259" i="39" s="1"/>
  <c r="F260" i="39"/>
  <c r="G260" i="39" s="1"/>
  <c r="F261" i="39"/>
  <c r="G261" i="39" s="1"/>
  <c r="F262" i="39"/>
  <c r="G262" i="39" s="1"/>
  <c r="F263" i="39"/>
  <c r="G263" i="39" s="1"/>
  <c r="F264" i="39"/>
  <c r="G264" i="39" s="1"/>
  <c r="F265" i="39"/>
  <c r="G265" i="39" s="1"/>
  <c r="F266" i="39"/>
  <c r="G266" i="39" s="1"/>
  <c r="F267" i="39"/>
  <c r="G267" i="39" s="1"/>
  <c r="F268" i="39"/>
  <c r="G268" i="39" s="1"/>
  <c r="F269" i="39"/>
  <c r="G269" i="39" s="1"/>
  <c r="F270" i="39"/>
  <c r="G270" i="39" s="1"/>
  <c r="F271" i="39"/>
  <c r="G271" i="39" s="1"/>
  <c r="F272" i="39"/>
  <c r="G272" i="39" s="1"/>
  <c r="F273" i="39"/>
  <c r="G273" i="39" s="1"/>
  <c r="F274" i="39"/>
  <c r="G274" i="39" s="1"/>
  <c r="F275" i="39"/>
  <c r="G275" i="39" s="1"/>
  <c r="F276" i="39"/>
  <c r="G276" i="39" s="1"/>
  <c r="F277" i="39"/>
  <c r="G277" i="39" s="1"/>
  <c r="F278" i="39"/>
  <c r="G278" i="39" s="1"/>
  <c r="F279" i="39"/>
  <c r="G279" i="39" s="1"/>
  <c r="F280" i="39"/>
  <c r="G280" i="39" s="1"/>
  <c r="F281" i="39"/>
  <c r="G281" i="39" s="1"/>
  <c r="F282" i="39"/>
  <c r="G282" i="39" s="1"/>
  <c r="F283" i="39"/>
  <c r="G283" i="39" s="1"/>
  <c r="F284" i="39"/>
  <c r="G284" i="39" s="1"/>
  <c r="F285" i="39"/>
  <c r="G285" i="39" s="1"/>
  <c r="F286" i="39"/>
  <c r="G286" i="39" s="1"/>
  <c r="F287" i="39"/>
  <c r="G287" i="39" s="1"/>
  <c r="F288" i="39"/>
  <c r="G288" i="39" s="1"/>
  <c r="F289" i="39"/>
  <c r="G289" i="39" s="1"/>
  <c r="F290" i="39"/>
  <c r="G290" i="39" s="1"/>
  <c r="F291" i="39"/>
  <c r="G291" i="39" s="1"/>
  <c r="F292" i="39"/>
  <c r="G292" i="39" s="1"/>
  <c r="F293" i="39"/>
  <c r="G293" i="39" s="1"/>
  <c r="F294" i="39"/>
  <c r="G294" i="39" s="1"/>
  <c r="F295" i="39"/>
  <c r="G295" i="39" s="1"/>
  <c r="F296" i="39"/>
  <c r="G296" i="39" s="1"/>
  <c r="F297" i="39"/>
  <c r="G297" i="39" s="1"/>
  <c r="F298" i="39"/>
  <c r="G298" i="39" s="1"/>
  <c r="F299" i="39"/>
  <c r="G299" i="39" s="1"/>
  <c r="F300" i="39"/>
  <c r="G300" i="39" s="1"/>
  <c r="F301" i="39"/>
  <c r="G301" i="39" s="1"/>
  <c r="F302" i="39"/>
  <c r="G302" i="39" s="1"/>
  <c r="F303" i="39"/>
  <c r="G303" i="39" s="1"/>
  <c r="F304" i="39"/>
  <c r="G304" i="39" s="1"/>
  <c r="F305" i="39"/>
  <c r="G305" i="39" s="1"/>
  <c r="F306" i="39"/>
  <c r="G306" i="39" s="1"/>
  <c r="F307" i="39"/>
  <c r="G307" i="39" s="1"/>
  <c r="F308" i="39"/>
  <c r="G308" i="39" s="1"/>
  <c r="F309" i="39"/>
  <c r="G309" i="39" s="1"/>
  <c r="F310" i="39"/>
  <c r="G310" i="39" s="1"/>
  <c r="F311" i="39"/>
  <c r="G311" i="39" s="1"/>
  <c r="F312" i="39"/>
  <c r="G312" i="39" s="1"/>
  <c r="F313" i="39"/>
  <c r="G313" i="39" s="1"/>
  <c r="F314" i="39"/>
  <c r="G314" i="39" s="1"/>
  <c r="F315" i="39"/>
  <c r="G315" i="39" s="1"/>
  <c r="F316" i="39"/>
  <c r="G316" i="39" s="1"/>
  <c r="F317" i="39"/>
  <c r="G317" i="39" s="1"/>
  <c r="F318" i="39"/>
  <c r="G318" i="39" s="1"/>
  <c r="F319" i="39"/>
  <c r="G319" i="39" s="1"/>
  <c r="F320" i="39"/>
  <c r="G320" i="39" s="1"/>
  <c r="F321" i="39"/>
  <c r="G321" i="39" s="1"/>
  <c r="F322" i="39"/>
  <c r="G322" i="39" s="1"/>
  <c r="F323" i="39"/>
  <c r="G323" i="39" s="1"/>
  <c r="F324" i="39"/>
  <c r="G324" i="39" s="1"/>
  <c r="F325" i="39"/>
  <c r="G325" i="39" s="1"/>
  <c r="F326" i="39"/>
  <c r="G326" i="39" s="1"/>
  <c r="F327" i="39"/>
  <c r="G327" i="39" s="1"/>
  <c r="F328" i="39"/>
  <c r="G328" i="39" s="1"/>
  <c r="F329" i="39"/>
  <c r="G329" i="39" s="1"/>
  <c r="F330" i="39"/>
  <c r="G330" i="39" s="1"/>
  <c r="F331" i="39"/>
  <c r="G331" i="39" s="1"/>
  <c r="F332" i="39"/>
  <c r="G332" i="39" s="1"/>
  <c r="F333" i="39"/>
  <c r="G333" i="39" s="1"/>
  <c r="F334" i="39"/>
  <c r="G334" i="39" s="1"/>
  <c r="F335" i="39"/>
  <c r="G335" i="39" s="1"/>
  <c r="F336" i="39"/>
  <c r="G336" i="39" s="1"/>
  <c r="F337" i="39"/>
  <c r="G337" i="39" s="1"/>
  <c r="F338" i="39"/>
  <c r="G338" i="39" s="1"/>
  <c r="F339" i="39"/>
  <c r="G339" i="39" s="1"/>
  <c r="F340" i="39"/>
  <c r="G340" i="39" s="1"/>
  <c r="F341" i="39"/>
  <c r="G341" i="39" s="1"/>
  <c r="F342" i="39"/>
  <c r="G342" i="39" s="1"/>
  <c r="F343" i="39"/>
  <c r="G343" i="39" s="1"/>
  <c r="F344" i="39"/>
  <c r="G344" i="39" s="1"/>
  <c r="F345" i="39"/>
  <c r="G345" i="39" s="1"/>
  <c r="F346" i="39"/>
  <c r="G346" i="39" s="1"/>
  <c r="F347" i="39"/>
  <c r="G347" i="39" s="1"/>
  <c r="F348" i="39"/>
  <c r="G348" i="39" s="1"/>
  <c r="F349" i="39"/>
  <c r="G349" i="39" s="1"/>
  <c r="F350" i="39"/>
  <c r="G350" i="39" s="1"/>
  <c r="F351" i="39"/>
  <c r="G351" i="39" s="1"/>
  <c r="F352" i="39"/>
  <c r="G352" i="39" s="1"/>
  <c r="F353" i="39"/>
  <c r="G353" i="39" s="1"/>
  <c r="F354" i="39"/>
  <c r="G354" i="39" s="1"/>
  <c r="F355" i="39"/>
  <c r="G355" i="39" s="1"/>
  <c r="F356" i="39"/>
  <c r="G356" i="39" s="1"/>
  <c r="F357" i="39"/>
  <c r="G357" i="39" s="1"/>
  <c r="F358" i="39"/>
  <c r="G358" i="39" s="1"/>
  <c r="F359" i="39"/>
  <c r="G359" i="39" s="1"/>
  <c r="F360" i="39"/>
  <c r="G360" i="39" s="1"/>
  <c r="F361" i="39"/>
  <c r="G361" i="39" s="1"/>
  <c r="F362" i="39"/>
  <c r="G362" i="39" s="1"/>
  <c r="F363" i="39"/>
  <c r="G363" i="39" s="1"/>
  <c r="F364" i="39"/>
  <c r="G364" i="39" s="1"/>
  <c r="F365" i="39"/>
  <c r="G365" i="39" s="1"/>
  <c r="F366" i="39"/>
  <c r="G366" i="39" s="1"/>
  <c r="F367" i="39"/>
  <c r="G367" i="39" s="1"/>
  <c r="F368" i="39"/>
  <c r="G368" i="39" s="1"/>
  <c r="F369" i="39"/>
  <c r="G369" i="39" s="1"/>
  <c r="F370" i="39"/>
  <c r="G370" i="39" s="1"/>
  <c r="F371" i="39"/>
  <c r="G371" i="39" s="1"/>
  <c r="F372" i="39"/>
  <c r="G372" i="39" s="1"/>
  <c r="F373" i="39"/>
  <c r="G373" i="39" s="1"/>
  <c r="F374" i="39"/>
  <c r="G374" i="39" s="1"/>
  <c r="F375" i="39"/>
  <c r="G375" i="39" s="1"/>
  <c r="F376" i="39"/>
  <c r="G376" i="39" s="1"/>
  <c r="F377" i="39"/>
  <c r="G377" i="39" s="1"/>
  <c r="F378" i="39"/>
  <c r="G378" i="39" s="1"/>
  <c r="F379" i="39"/>
  <c r="G379" i="39" s="1"/>
  <c r="F380" i="39"/>
  <c r="G380" i="39" s="1"/>
  <c r="F381" i="39"/>
  <c r="G381" i="39" s="1"/>
  <c r="F382" i="39"/>
  <c r="G382" i="39" s="1"/>
  <c r="F383" i="39"/>
  <c r="G383" i="39" s="1"/>
  <c r="F384" i="39"/>
  <c r="G384" i="39" s="1"/>
  <c r="F385" i="39"/>
  <c r="G385" i="39" s="1"/>
  <c r="F386" i="39"/>
  <c r="G386" i="39" s="1"/>
  <c r="F387" i="39"/>
  <c r="G387" i="39" s="1"/>
  <c r="F388" i="39"/>
  <c r="G388" i="39" s="1"/>
  <c r="F389" i="39"/>
  <c r="G389" i="39" s="1"/>
  <c r="F390" i="39"/>
  <c r="G390" i="39" s="1"/>
  <c r="F391" i="39"/>
  <c r="G391" i="39" s="1"/>
  <c r="F392" i="39"/>
  <c r="G392" i="39" s="1"/>
  <c r="F393" i="39"/>
  <c r="G393" i="39" s="1"/>
  <c r="F394" i="39"/>
  <c r="G394" i="39" s="1"/>
  <c r="F395" i="39"/>
  <c r="G395" i="39" s="1"/>
  <c r="F396" i="39"/>
  <c r="G396" i="39" s="1"/>
  <c r="F397" i="39"/>
  <c r="G397" i="39" s="1"/>
  <c r="F398" i="39"/>
  <c r="G398" i="39" s="1"/>
  <c r="F399" i="39"/>
  <c r="G399" i="39" s="1"/>
  <c r="F400" i="39"/>
  <c r="G400" i="39" s="1"/>
  <c r="F401" i="39"/>
  <c r="G401" i="39" s="1"/>
  <c r="F402" i="39"/>
  <c r="G402" i="39" s="1"/>
  <c r="F403" i="39"/>
  <c r="G403" i="39" s="1"/>
  <c r="F404" i="39"/>
  <c r="G404" i="39" s="1"/>
  <c r="F405" i="39"/>
  <c r="G405" i="39" s="1"/>
  <c r="F406" i="39"/>
  <c r="G406" i="39" s="1"/>
  <c r="F407" i="39"/>
  <c r="G407" i="39" s="1"/>
  <c r="F408" i="39"/>
  <c r="G408" i="39" s="1"/>
  <c r="F409" i="39"/>
  <c r="G409" i="39" s="1"/>
  <c r="F410" i="39"/>
  <c r="G410" i="39" s="1"/>
  <c r="F411" i="39"/>
  <c r="G411" i="39" s="1"/>
  <c r="F412" i="39"/>
  <c r="G412" i="39" s="1"/>
  <c r="F413" i="39"/>
  <c r="G413" i="39" s="1"/>
  <c r="F414" i="39"/>
  <c r="G414" i="39" s="1"/>
  <c r="F415" i="39"/>
  <c r="G415" i="39" s="1"/>
  <c r="F416" i="39"/>
  <c r="G416" i="39" s="1"/>
  <c r="F417" i="39"/>
  <c r="G417" i="39" s="1"/>
  <c r="F418" i="39"/>
  <c r="G418" i="39" s="1"/>
  <c r="F419" i="39"/>
  <c r="G419" i="39" s="1"/>
  <c r="F420" i="39"/>
  <c r="G420" i="39" s="1"/>
  <c r="F421" i="39"/>
  <c r="G421" i="39" s="1"/>
  <c r="F422" i="39"/>
  <c r="G422" i="39" s="1"/>
  <c r="F423" i="39"/>
  <c r="G423" i="39" s="1"/>
  <c r="F424" i="39"/>
  <c r="G424" i="39" s="1"/>
  <c r="F425" i="39"/>
  <c r="G425" i="39" s="1"/>
  <c r="F426" i="39"/>
  <c r="G426" i="39" s="1"/>
  <c r="F427" i="39"/>
  <c r="G427" i="39" s="1"/>
  <c r="F428" i="39"/>
  <c r="G428" i="39" s="1"/>
  <c r="F429" i="39"/>
  <c r="G429" i="39" s="1"/>
  <c r="F430" i="39"/>
  <c r="G430" i="39" s="1"/>
  <c r="F431" i="39"/>
  <c r="G431" i="39" s="1"/>
  <c r="F432" i="39"/>
  <c r="G432" i="39" s="1"/>
  <c r="F433" i="39"/>
  <c r="G433" i="39" s="1"/>
  <c r="F434" i="39"/>
  <c r="G434" i="39" s="1"/>
  <c r="F435" i="39"/>
  <c r="G435" i="39" s="1"/>
  <c r="F436" i="39"/>
  <c r="G436" i="39" s="1"/>
  <c r="F437" i="39"/>
  <c r="G437" i="39" s="1"/>
  <c r="F438" i="39"/>
  <c r="G438" i="39" s="1"/>
  <c r="F439" i="39"/>
  <c r="G439" i="39" s="1"/>
  <c r="F440" i="39"/>
  <c r="G440" i="39" s="1"/>
  <c r="F441" i="39"/>
  <c r="G441" i="39" s="1"/>
  <c r="F442" i="39"/>
  <c r="G442" i="39" s="1"/>
  <c r="F443" i="39"/>
  <c r="G443" i="39" s="1"/>
  <c r="F444" i="39"/>
  <c r="G444" i="39" s="1"/>
  <c r="F445" i="39"/>
  <c r="G445" i="39" s="1"/>
  <c r="F446" i="39"/>
  <c r="G446" i="39" s="1"/>
  <c r="F447" i="39"/>
  <c r="G447" i="39" s="1"/>
  <c r="F448" i="39"/>
  <c r="G448" i="39" s="1"/>
  <c r="F449" i="39"/>
  <c r="G449" i="39" s="1"/>
  <c r="F450" i="39"/>
  <c r="G450" i="39" s="1"/>
  <c r="F451" i="39"/>
  <c r="G451" i="39" s="1"/>
  <c r="F452" i="39"/>
  <c r="G452" i="39" s="1"/>
  <c r="F453" i="39"/>
  <c r="G453" i="39" s="1"/>
  <c r="F454" i="39"/>
  <c r="G454" i="39" s="1"/>
  <c r="F455" i="39"/>
  <c r="G455" i="39" s="1"/>
  <c r="F456" i="39"/>
  <c r="G456" i="39" s="1"/>
  <c r="F457" i="39"/>
  <c r="G457" i="39" s="1"/>
  <c r="F458" i="39"/>
  <c r="G458" i="39" s="1"/>
  <c r="F459" i="39"/>
  <c r="G459" i="39" s="1"/>
  <c r="F460" i="39"/>
  <c r="G460" i="39" s="1"/>
  <c r="F461" i="39"/>
  <c r="G461" i="39" s="1"/>
  <c r="F462" i="39"/>
  <c r="G462" i="39" s="1"/>
  <c r="F463" i="39"/>
  <c r="G463" i="39" s="1"/>
  <c r="E4" i="39"/>
  <c r="E5" i="39"/>
  <c r="E6" i="39"/>
  <c r="E7" i="39"/>
  <c r="E8" i="39"/>
  <c r="E9" i="39"/>
  <c r="E10" i="39"/>
  <c r="E11" i="39"/>
  <c r="E12" i="39"/>
  <c r="E13"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E51" i="39"/>
  <c r="E52" i="39"/>
  <c r="E53" i="39"/>
  <c r="E54" i="39"/>
  <c r="E55" i="39"/>
  <c r="E56" i="39"/>
  <c r="E57" i="39"/>
  <c r="E58" i="39"/>
  <c r="E59" i="39"/>
  <c r="E60" i="39"/>
  <c r="E61" i="39"/>
  <c r="E62" i="39"/>
  <c r="E63" i="39"/>
  <c r="E64" i="39"/>
  <c r="E65" i="39"/>
  <c r="E66" i="39"/>
  <c r="E67" i="39"/>
  <c r="E68" i="39"/>
  <c r="E69" i="39"/>
  <c r="E70" i="39"/>
  <c r="E71" i="39"/>
  <c r="E72" i="39"/>
  <c r="E73" i="39"/>
  <c r="E74" i="39"/>
  <c r="E75" i="39"/>
  <c r="E76" i="39"/>
  <c r="E77" i="39"/>
  <c r="E78" i="39"/>
  <c r="E79" i="39"/>
  <c r="E80" i="39"/>
  <c r="E81" i="39"/>
  <c r="E82" i="39"/>
  <c r="E83" i="39"/>
  <c r="E84" i="39"/>
  <c r="E85" i="39"/>
  <c r="E86" i="39"/>
  <c r="E87" i="39"/>
  <c r="E88" i="39"/>
  <c r="E89" i="39"/>
  <c r="E90" i="39"/>
  <c r="E91" i="39"/>
  <c r="E92" i="39"/>
  <c r="E93" i="39"/>
  <c r="E94" i="39"/>
  <c r="E95" i="39"/>
  <c r="E96" i="39"/>
  <c r="E97" i="39"/>
  <c r="E98" i="39"/>
  <c r="E99" i="39"/>
  <c r="E100" i="39"/>
  <c r="E101" i="39"/>
  <c r="E102" i="39"/>
  <c r="E103" i="39"/>
  <c r="E104" i="39"/>
  <c r="E105" i="39"/>
  <c r="E106" i="39"/>
  <c r="E107" i="39"/>
  <c r="E108" i="39"/>
  <c r="E109" i="39"/>
  <c r="E110" i="39"/>
  <c r="E111" i="39"/>
  <c r="E112" i="39"/>
  <c r="E113" i="39"/>
  <c r="E114" i="39"/>
  <c r="E115" i="39"/>
  <c r="E116" i="39"/>
  <c r="E117" i="39"/>
  <c r="E118" i="39"/>
  <c r="E119" i="39"/>
  <c r="E120" i="39"/>
  <c r="E121" i="39"/>
  <c r="E122" i="39"/>
  <c r="E123" i="39"/>
  <c r="E124" i="39"/>
  <c r="E125" i="39"/>
  <c r="E126" i="39"/>
  <c r="E127" i="39"/>
  <c r="E128" i="39"/>
  <c r="E129" i="39"/>
  <c r="E130" i="39"/>
  <c r="E131" i="39"/>
  <c r="E132" i="39"/>
  <c r="E133" i="39"/>
  <c r="E134" i="39"/>
  <c r="E135" i="39"/>
  <c r="E136" i="39"/>
  <c r="E137" i="39"/>
  <c r="E138" i="39"/>
  <c r="E139" i="39"/>
  <c r="E140" i="39"/>
  <c r="E141" i="39"/>
  <c r="E142" i="39"/>
  <c r="E143" i="39"/>
  <c r="E144" i="39"/>
  <c r="E145" i="39"/>
  <c r="E146" i="39"/>
  <c r="E147" i="39"/>
  <c r="E148" i="39"/>
  <c r="E149" i="39"/>
  <c r="E150" i="39"/>
  <c r="E151" i="39"/>
  <c r="E152" i="39"/>
  <c r="E153" i="39"/>
  <c r="E154" i="39"/>
  <c r="E155" i="39"/>
  <c r="E156" i="39"/>
  <c r="E157" i="39"/>
  <c r="E158" i="39"/>
  <c r="E159" i="39"/>
  <c r="E160" i="39"/>
  <c r="E161" i="39"/>
  <c r="E162" i="39"/>
  <c r="E163" i="39"/>
  <c r="E164" i="39"/>
  <c r="E165" i="39"/>
  <c r="E166" i="39"/>
  <c r="E167" i="39"/>
  <c r="E168" i="39"/>
  <c r="E169" i="39"/>
  <c r="E170" i="39"/>
  <c r="E171" i="39"/>
  <c r="E172" i="39"/>
  <c r="E173" i="39"/>
  <c r="E174" i="39"/>
  <c r="E175" i="39"/>
  <c r="E176" i="39"/>
  <c r="E177" i="39"/>
  <c r="E178" i="39"/>
  <c r="E179" i="39"/>
  <c r="E180" i="39"/>
  <c r="E181" i="39"/>
  <c r="E182" i="39"/>
  <c r="E183" i="39"/>
  <c r="E184" i="39"/>
  <c r="E185" i="39"/>
  <c r="E186" i="39"/>
  <c r="E187" i="39"/>
  <c r="E188" i="39"/>
  <c r="E189" i="39"/>
  <c r="E190" i="39"/>
  <c r="E191" i="39"/>
  <c r="E192" i="39"/>
  <c r="E193" i="39"/>
  <c r="E194" i="39"/>
  <c r="E195" i="39"/>
  <c r="E196" i="39"/>
  <c r="E197" i="39"/>
  <c r="E198" i="39"/>
  <c r="E199" i="39"/>
  <c r="E200" i="39"/>
  <c r="E201" i="39"/>
  <c r="E202" i="39"/>
  <c r="E203" i="39"/>
  <c r="E204" i="39"/>
  <c r="E205" i="39"/>
  <c r="E206" i="39"/>
  <c r="E207" i="39"/>
  <c r="E208" i="39"/>
  <c r="E209" i="39"/>
  <c r="E210" i="39"/>
  <c r="E211" i="39"/>
  <c r="E212" i="39"/>
  <c r="E213" i="39"/>
  <c r="E214" i="39"/>
  <c r="E215" i="39"/>
  <c r="E216" i="39"/>
  <c r="E217" i="39"/>
  <c r="E218" i="39"/>
  <c r="E219" i="39"/>
  <c r="E220" i="39"/>
  <c r="E221" i="39"/>
  <c r="E222" i="39"/>
  <c r="E223" i="39"/>
  <c r="E224" i="39"/>
  <c r="E225" i="39"/>
  <c r="E226" i="39"/>
  <c r="E227" i="39"/>
  <c r="E228" i="39"/>
  <c r="E229" i="39"/>
  <c r="E230" i="39"/>
  <c r="E231" i="39"/>
  <c r="E232" i="39"/>
  <c r="E233" i="39"/>
  <c r="E234" i="39"/>
  <c r="E235" i="39"/>
  <c r="E236" i="39"/>
  <c r="E237" i="39"/>
  <c r="E238" i="39"/>
  <c r="E239" i="39"/>
  <c r="E240" i="39"/>
  <c r="E241" i="39"/>
  <c r="E242" i="39"/>
  <c r="E243" i="39"/>
  <c r="E244" i="39"/>
  <c r="E245" i="39"/>
  <c r="E246" i="39"/>
  <c r="E247" i="39"/>
  <c r="E248" i="39"/>
  <c r="E249" i="39"/>
  <c r="E250" i="39"/>
  <c r="E251" i="39"/>
  <c r="E252" i="39"/>
  <c r="E253" i="39"/>
  <c r="E254" i="39"/>
  <c r="E255" i="39"/>
  <c r="E256" i="39"/>
  <c r="E257" i="39"/>
  <c r="E258" i="39"/>
  <c r="E259" i="39"/>
  <c r="E260" i="39"/>
  <c r="E261" i="39"/>
  <c r="E262" i="39"/>
  <c r="E263" i="39"/>
  <c r="E264" i="39"/>
  <c r="E265" i="39"/>
  <c r="E266" i="39"/>
  <c r="E267" i="39"/>
  <c r="E268" i="39"/>
  <c r="E269" i="39"/>
  <c r="E270" i="39"/>
  <c r="E271" i="39"/>
  <c r="E272" i="39"/>
  <c r="E273" i="39"/>
  <c r="E274" i="39"/>
  <c r="E275" i="39"/>
  <c r="E276" i="39"/>
  <c r="E277" i="39"/>
  <c r="E278" i="39"/>
  <c r="E279" i="39"/>
  <c r="E280" i="39"/>
  <c r="E281" i="39"/>
  <c r="E282" i="39"/>
  <c r="E283" i="39"/>
  <c r="E284" i="39"/>
  <c r="E285" i="39"/>
  <c r="E286" i="39"/>
  <c r="E287" i="39"/>
  <c r="E288" i="39"/>
  <c r="E289" i="39"/>
  <c r="E290" i="39"/>
  <c r="E291" i="39"/>
  <c r="E292" i="39"/>
  <c r="E293" i="39"/>
  <c r="E294" i="39"/>
  <c r="E295" i="39"/>
  <c r="E296" i="39"/>
  <c r="E297" i="39"/>
  <c r="E298" i="39"/>
  <c r="E299" i="39"/>
  <c r="E300" i="39"/>
  <c r="E301" i="39"/>
  <c r="E302" i="39"/>
  <c r="E303" i="39"/>
  <c r="E304" i="39"/>
  <c r="E305" i="39"/>
  <c r="E306" i="39"/>
  <c r="E307" i="39"/>
  <c r="E308" i="39"/>
  <c r="E309" i="39"/>
  <c r="E310" i="39"/>
  <c r="E311" i="39"/>
  <c r="E312" i="39"/>
  <c r="E313" i="39"/>
  <c r="E314" i="39"/>
  <c r="E315" i="39"/>
  <c r="E316" i="39"/>
  <c r="E317" i="39"/>
  <c r="E318" i="39"/>
  <c r="E319" i="39"/>
  <c r="E320" i="39"/>
  <c r="E321" i="39"/>
  <c r="E322" i="39"/>
  <c r="E323" i="39"/>
  <c r="E324" i="39"/>
  <c r="E325" i="39"/>
  <c r="E326" i="39"/>
  <c r="E327" i="39"/>
  <c r="E328" i="39"/>
  <c r="E329" i="39"/>
  <c r="E330" i="39"/>
  <c r="E331" i="39"/>
  <c r="E332" i="39"/>
  <c r="E333" i="39"/>
  <c r="E334" i="39"/>
  <c r="E335" i="39"/>
  <c r="E336" i="39"/>
  <c r="E337" i="39"/>
  <c r="E338" i="39"/>
  <c r="E339" i="39"/>
  <c r="E340" i="39"/>
  <c r="E341" i="39"/>
  <c r="E342" i="39"/>
  <c r="E343" i="39"/>
  <c r="E344" i="39"/>
  <c r="E345" i="39"/>
  <c r="E346" i="39"/>
  <c r="E347" i="39"/>
  <c r="E348" i="39"/>
  <c r="E349" i="39"/>
  <c r="E350" i="39"/>
  <c r="E351" i="39"/>
  <c r="E352" i="39"/>
  <c r="E353" i="39"/>
  <c r="E354" i="39"/>
  <c r="E355" i="39"/>
  <c r="E356" i="39"/>
  <c r="E357" i="39"/>
  <c r="E358" i="39"/>
  <c r="E359" i="39"/>
  <c r="E360" i="39"/>
  <c r="E361" i="39"/>
  <c r="E362" i="39"/>
  <c r="E363" i="39"/>
  <c r="E364" i="39"/>
  <c r="E365" i="39"/>
  <c r="E366" i="39"/>
  <c r="E367" i="39"/>
  <c r="E368" i="39"/>
  <c r="E369" i="39"/>
  <c r="E370" i="39"/>
  <c r="E371" i="39"/>
  <c r="E372" i="39"/>
  <c r="E373" i="39"/>
  <c r="E374" i="39"/>
  <c r="E375" i="39"/>
  <c r="E376" i="39"/>
  <c r="E377" i="39"/>
  <c r="E378" i="39"/>
  <c r="E379" i="39"/>
  <c r="E380" i="39"/>
  <c r="E381" i="39"/>
  <c r="E382" i="39"/>
  <c r="E383" i="39"/>
  <c r="E384" i="39"/>
  <c r="E385" i="39"/>
  <c r="E386" i="39"/>
  <c r="E387" i="39"/>
  <c r="E388" i="39"/>
  <c r="E389" i="39"/>
  <c r="E390" i="39"/>
  <c r="E391" i="39"/>
  <c r="E392" i="39"/>
  <c r="E393" i="39"/>
  <c r="E394" i="39"/>
  <c r="E395" i="39"/>
  <c r="E396" i="39"/>
  <c r="E397" i="39"/>
  <c r="E398" i="39"/>
  <c r="E399" i="39"/>
  <c r="E400" i="39"/>
  <c r="E401" i="39"/>
  <c r="E402" i="39"/>
  <c r="E403" i="39"/>
  <c r="E404" i="39"/>
  <c r="E405" i="39"/>
  <c r="E406" i="39"/>
  <c r="E407" i="39"/>
  <c r="E408" i="39"/>
  <c r="E409" i="39"/>
  <c r="E410" i="39"/>
  <c r="E411" i="39"/>
  <c r="E412" i="39"/>
  <c r="E413" i="39"/>
  <c r="E414" i="39"/>
  <c r="E415" i="39"/>
  <c r="E416" i="39"/>
  <c r="E417" i="39"/>
  <c r="E418" i="39"/>
  <c r="E419" i="39"/>
  <c r="E420" i="39"/>
  <c r="E421" i="39"/>
  <c r="E422" i="39"/>
  <c r="E423" i="39"/>
  <c r="E424" i="39"/>
  <c r="E425" i="39"/>
  <c r="E426" i="39"/>
  <c r="E427" i="39"/>
  <c r="E428" i="39"/>
  <c r="E429" i="39"/>
  <c r="E430" i="39"/>
  <c r="E431" i="39"/>
  <c r="E432" i="39"/>
  <c r="E433" i="39"/>
  <c r="E434" i="39"/>
  <c r="E435" i="39"/>
  <c r="E436" i="39"/>
  <c r="E437" i="39"/>
  <c r="E438" i="39"/>
  <c r="E439" i="39"/>
  <c r="E440" i="39"/>
  <c r="E441" i="39"/>
  <c r="E442" i="39"/>
  <c r="E443" i="39"/>
  <c r="E444" i="39"/>
  <c r="E445" i="39"/>
  <c r="E446" i="39"/>
  <c r="E447" i="39"/>
  <c r="E448" i="39"/>
  <c r="E449" i="39"/>
  <c r="E450" i="39"/>
  <c r="E451" i="39"/>
  <c r="E452" i="39"/>
  <c r="E453" i="39"/>
  <c r="E454" i="39"/>
  <c r="E455" i="39"/>
  <c r="E456" i="39"/>
  <c r="E457" i="39"/>
  <c r="E458" i="39"/>
  <c r="E459" i="39"/>
  <c r="E460" i="39"/>
  <c r="E461" i="39"/>
  <c r="E462" i="39"/>
  <c r="E463" i="39"/>
  <c r="M4" i="40"/>
  <c r="N4" i="40" s="1"/>
  <c r="M5" i="40"/>
  <c r="N5" i="40" s="1"/>
  <c r="M6" i="40"/>
  <c r="N6" i="40" s="1"/>
  <c r="M8" i="40"/>
  <c r="N8" i="40" s="1"/>
  <c r="M9" i="40"/>
  <c r="N9" i="40" s="1"/>
  <c r="M10" i="40"/>
  <c r="N10" i="40" s="1"/>
  <c r="M12" i="40"/>
  <c r="N12" i="40" s="1"/>
  <c r="M13" i="40"/>
  <c r="N13" i="40" s="1"/>
  <c r="M14" i="40"/>
  <c r="N14" i="40" s="1"/>
  <c r="M16" i="40"/>
  <c r="N16" i="40" s="1"/>
  <c r="M17" i="40"/>
  <c r="N17" i="40" s="1"/>
  <c r="M18" i="40"/>
  <c r="N18" i="40" s="1"/>
  <c r="M20" i="40"/>
  <c r="N20" i="40" s="1"/>
  <c r="M21" i="40"/>
  <c r="N21" i="40" s="1"/>
  <c r="M22" i="40"/>
  <c r="N22" i="40" s="1"/>
  <c r="M24" i="40"/>
  <c r="N24" i="40" s="1"/>
  <c r="M25" i="40"/>
  <c r="N25" i="40" s="1"/>
  <c r="M26" i="40"/>
  <c r="N26" i="40" s="1"/>
  <c r="M28" i="40"/>
  <c r="N28" i="40" s="1"/>
  <c r="M29" i="40"/>
  <c r="N29" i="40" s="1"/>
  <c r="M30" i="40"/>
  <c r="N30" i="40" s="1"/>
  <c r="M32" i="40"/>
  <c r="N32" i="40" s="1"/>
  <c r="M33" i="40"/>
  <c r="N33" i="40" s="1"/>
  <c r="M34" i="40"/>
  <c r="N34" i="40" s="1"/>
  <c r="M36" i="40"/>
  <c r="N36" i="40" s="1"/>
  <c r="M37" i="40"/>
  <c r="N37" i="40" s="1"/>
  <c r="M38" i="40"/>
  <c r="N38" i="40" s="1"/>
  <c r="M40" i="40"/>
  <c r="N40" i="40" s="1"/>
  <c r="M41" i="40"/>
  <c r="N41" i="40" s="1"/>
  <c r="M42" i="40"/>
  <c r="N42" i="40" s="1"/>
  <c r="M44" i="40"/>
  <c r="N44" i="40" s="1"/>
  <c r="M45" i="40"/>
  <c r="N45" i="40" s="1"/>
  <c r="M46" i="40"/>
  <c r="N46" i="40" s="1"/>
  <c r="M48" i="40"/>
  <c r="N48" i="40" s="1"/>
  <c r="M49" i="40"/>
  <c r="N49" i="40" s="1"/>
  <c r="M50" i="40"/>
  <c r="N50" i="40" s="1"/>
  <c r="M52" i="40"/>
  <c r="N52" i="40" s="1"/>
  <c r="M53" i="40"/>
  <c r="N53" i="40" s="1"/>
  <c r="M54" i="40"/>
  <c r="N54" i="40" s="1"/>
  <c r="M56" i="40"/>
  <c r="N56" i="40" s="1"/>
  <c r="M57" i="40"/>
  <c r="N57" i="40" s="1"/>
  <c r="M58" i="40"/>
  <c r="N58" i="40" s="1"/>
  <c r="M60" i="40"/>
  <c r="N60" i="40" s="1"/>
  <c r="M61" i="40"/>
  <c r="N61" i="40" s="1"/>
  <c r="M62" i="40"/>
  <c r="N62" i="40" s="1"/>
  <c r="M64" i="40"/>
  <c r="N64" i="40" s="1"/>
  <c r="M65" i="40"/>
  <c r="N65" i="40" s="1"/>
  <c r="M66" i="40"/>
  <c r="N66" i="40" s="1"/>
  <c r="M68" i="40"/>
  <c r="N68" i="40" s="1"/>
  <c r="M69" i="40"/>
  <c r="N69" i="40" s="1"/>
  <c r="M70" i="40"/>
  <c r="N70" i="40" s="1"/>
  <c r="M72" i="40"/>
  <c r="N72" i="40" s="1"/>
  <c r="M73" i="40"/>
  <c r="N73" i="40" s="1"/>
  <c r="M74" i="40"/>
  <c r="N74" i="40" s="1"/>
  <c r="M76" i="40"/>
  <c r="N76" i="40" s="1"/>
  <c r="M77" i="40"/>
  <c r="N77" i="40" s="1"/>
  <c r="M78" i="40"/>
  <c r="N78" i="40" s="1"/>
  <c r="M80" i="40"/>
  <c r="N80" i="40" s="1"/>
  <c r="M81" i="40"/>
  <c r="N81" i="40" s="1"/>
  <c r="M82" i="40"/>
  <c r="N82" i="40" s="1"/>
  <c r="M84" i="40"/>
  <c r="N84" i="40" s="1"/>
  <c r="M85" i="40"/>
  <c r="N85" i="40" s="1"/>
  <c r="M86" i="40"/>
  <c r="N86" i="40" s="1"/>
  <c r="M88" i="40"/>
  <c r="N88" i="40" s="1"/>
  <c r="M89" i="40"/>
  <c r="N89" i="40" s="1"/>
  <c r="M90" i="40"/>
  <c r="N90" i="40" s="1"/>
  <c r="M92" i="40"/>
  <c r="N92" i="40" s="1"/>
  <c r="M93" i="40"/>
  <c r="N93" i="40" s="1"/>
  <c r="M94" i="40"/>
  <c r="N94" i="40" s="1"/>
  <c r="M96" i="40"/>
  <c r="N96" i="40" s="1"/>
  <c r="M97" i="40"/>
  <c r="N97" i="40" s="1"/>
  <c r="M98" i="40"/>
  <c r="N98" i="40" s="1"/>
  <c r="M100" i="40"/>
  <c r="N100" i="40" s="1"/>
  <c r="M101" i="40"/>
  <c r="N101" i="40" s="1"/>
  <c r="M102" i="40"/>
  <c r="N102" i="40" s="1"/>
  <c r="M104" i="40"/>
  <c r="N104" i="40" s="1"/>
  <c r="M105" i="40"/>
  <c r="N105" i="40" s="1"/>
  <c r="M106" i="40"/>
  <c r="N106" i="40" s="1"/>
  <c r="M108" i="40"/>
  <c r="N108" i="40" s="1"/>
  <c r="M109" i="40"/>
  <c r="N109" i="40" s="1"/>
  <c r="M110" i="40"/>
  <c r="N110" i="40" s="1"/>
  <c r="M112" i="40"/>
  <c r="N112" i="40" s="1"/>
  <c r="M113" i="40"/>
  <c r="N113" i="40" s="1"/>
  <c r="M114" i="40"/>
  <c r="N114" i="40" s="1"/>
  <c r="M116" i="40"/>
  <c r="N116" i="40" s="1"/>
  <c r="M117" i="40"/>
  <c r="N117" i="40" s="1"/>
  <c r="M118" i="40"/>
  <c r="N118" i="40" s="1"/>
  <c r="M120" i="40"/>
  <c r="N120" i="40" s="1"/>
  <c r="M121" i="40"/>
  <c r="N121" i="40" s="1"/>
  <c r="M122" i="40"/>
  <c r="N122" i="40" s="1"/>
  <c r="M124" i="40"/>
  <c r="N124" i="40" s="1"/>
  <c r="M125" i="40"/>
  <c r="N125" i="40" s="1"/>
  <c r="M126" i="40"/>
  <c r="N126" i="40" s="1"/>
  <c r="M128" i="40"/>
  <c r="N128" i="40" s="1"/>
  <c r="M129" i="40"/>
  <c r="N129" i="40" s="1"/>
  <c r="M130" i="40"/>
  <c r="N130" i="40" s="1"/>
  <c r="M132" i="40"/>
  <c r="N132" i="40" s="1"/>
  <c r="M133" i="40"/>
  <c r="N133" i="40" s="1"/>
  <c r="M134" i="40"/>
  <c r="N134" i="40" s="1"/>
  <c r="M136" i="40"/>
  <c r="N136" i="40" s="1"/>
  <c r="M137" i="40"/>
  <c r="N137" i="40" s="1"/>
  <c r="M138" i="40"/>
  <c r="N138" i="40" s="1"/>
  <c r="M140" i="40"/>
  <c r="N140" i="40" s="1"/>
  <c r="M141" i="40"/>
  <c r="N141" i="40" s="1"/>
  <c r="M142" i="40"/>
  <c r="N142" i="40" s="1"/>
  <c r="M144" i="40"/>
  <c r="N144" i="40" s="1"/>
  <c r="M145" i="40"/>
  <c r="N145" i="40" s="1"/>
  <c r="M146" i="40"/>
  <c r="N146" i="40" s="1"/>
  <c r="M148" i="40"/>
  <c r="N148" i="40" s="1"/>
  <c r="M149" i="40"/>
  <c r="N149" i="40" s="1"/>
  <c r="M150" i="40"/>
  <c r="N150" i="40" s="1"/>
  <c r="M152" i="40"/>
  <c r="N152" i="40" s="1"/>
  <c r="M153" i="40"/>
  <c r="N153" i="40" s="1"/>
  <c r="M154" i="40"/>
  <c r="N154" i="40" s="1"/>
  <c r="M156" i="40"/>
  <c r="N156" i="40" s="1"/>
  <c r="M157" i="40"/>
  <c r="N157" i="40" s="1"/>
  <c r="M158" i="40"/>
  <c r="N158" i="40" s="1"/>
  <c r="M160" i="40"/>
  <c r="N160" i="40" s="1"/>
  <c r="M161" i="40"/>
  <c r="N161" i="40" s="1"/>
  <c r="M162" i="40"/>
  <c r="N162" i="40" s="1"/>
  <c r="M164" i="40"/>
  <c r="N164" i="40" s="1"/>
  <c r="M165" i="40"/>
  <c r="N165" i="40" s="1"/>
  <c r="M166" i="40"/>
  <c r="N166" i="40" s="1"/>
  <c r="M168" i="40"/>
  <c r="N168" i="40" s="1"/>
  <c r="M169" i="40"/>
  <c r="N169" i="40" s="1"/>
  <c r="M170" i="40"/>
  <c r="N170" i="40" s="1"/>
  <c r="M172" i="40"/>
  <c r="N172" i="40" s="1"/>
  <c r="M173" i="40"/>
  <c r="N173" i="40" s="1"/>
  <c r="M174" i="40"/>
  <c r="N174" i="40" s="1"/>
  <c r="M176" i="40"/>
  <c r="N176" i="40" s="1"/>
  <c r="M177" i="40"/>
  <c r="N177" i="40" s="1"/>
  <c r="M178" i="40"/>
  <c r="N178" i="40" s="1"/>
  <c r="M180" i="40"/>
  <c r="N180" i="40" s="1"/>
  <c r="M181" i="40"/>
  <c r="N181" i="40" s="1"/>
  <c r="M182" i="40"/>
  <c r="N182" i="40" s="1"/>
  <c r="M184" i="40"/>
  <c r="N184" i="40" s="1"/>
  <c r="M185" i="40"/>
  <c r="N185" i="40" s="1"/>
  <c r="M186" i="40"/>
  <c r="N186" i="40" s="1"/>
  <c r="M188" i="40"/>
  <c r="N188" i="40" s="1"/>
  <c r="M189" i="40"/>
  <c r="N189" i="40" s="1"/>
  <c r="M190" i="40"/>
  <c r="N190" i="40" s="1"/>
  <c r="M192" i="40"/>
  <c r="N192" i="40" s="1"/>
  <c r="M193" i="40"/>
  <c r="N193" i="40" s="1"/>
  <c r="M194" i="40"/>
  <c r="N194" i="40" s="1"/>
  <c r="M196" i="40"/>
  <c r="N196" i="40" s="1"/>
  <c r="M197" i="40"/>
  <c r="N197" i="40" s="1"/>
  <c r="M198" i="40"/>
  <c r="N198" i="40" s="1"/>
  <c r="M200" i="40"/>
  <c r="N200" i="40" s="1"/>
  <c r="M201" i="40"/>
  <c r="N201" i="40" s="1"/>
  <c r="M202" i="40"/>
  <c r="N202" i="40" s="1"/>
  <c r="M204" i="40"/>
  <c r="N204" i="40" s="1"/>
  <c r="M205" i="40"/>
  <c r="N205" i="40" s="1"/>
  <c r="M206" i="40"/>
  <c r="N206" i="40" s="1"/>
  <c r="M208" i="40"/>
  <c r="N208" i="40" s="1"/>
  <c r="M209" i="40"/>
  <c r="N209" i="40" s="1"/>
  <c r="M210" i="40"/>
  <c r="N210" i="40" s="1"/>
  <c r="M212" i="40"/>
  <c r="N212" i="40" s="1"/>
  <c r="M213" i="40"/>
  <c r="N213" i="40" s="1"/>
  <c r="M214" i="40"/>
  <c r="N214" i="40" s="1"/>
  <c r="M216" i="40"/>
  <c r="N216" i="40" s="1"/>
  <c r="M217" i="40"/>
  <c r="N217" i="40" s="1"/>
  <c r="M218" i="40"/>
  <c r="N218" i="40" s="1"/>
  <c r="M220" i="40"/>
  <c r="N220" i="40" s="1"/>
  <c r="M221" i="40"/>
  <c r="N221" i="40" s="1"/>
  <c r="M222" i="40"/>
  <c r="N222" i="40" s="1"/>
  <c r="M224" i="40"/>
  <c r="N224" i="40" s="1"/>
  <c r="M225" i="40"/>
  <c r="N225" i="40" s="1"/>
  <c r="M226" i="40"/>
  <c r="N226" i="40" s="1"/>
  <c r="M228" i="40"/>
  <c r="N228" i="40" s="1"/>
  <c r="M229" i="40"/>
  <c r="N229" i="40" s="1"/>
  <c r="M230" i="40"/>
  <c r="N230" i="40" s="1"/>
  <c r="M232" i="40"/>
  <c r="N232" i="40" s="1"/>
  <c r="M233" i="40"/>
  <c r="N233" i="40" s="1"/>
  <c r="M234" i="40"/>
  <c r="N234" i="40" s="1"/>
  <c r="M236" i="40"/>
  <c r="N236" i="40" s="1"/>
  <c r="M237" i="40"/>
  <c r="N237" i="40" s="1"/>
  <c r="M238" i="40"/>
  <c r="N238" i="40" s="1"/>
  <c r="M240" i="40"/>
  <c r="N240" i="40" s="1"/>
  <c r="M241" i="40"/>
  <c r="N241" i="40" s="1"/>
  <c r="M242" i="40"/>
  <c r="N242" i="40" s="1"/>
  <c r="M244" i="40"/>
  <c r="N244" i="40" s="1"/>
  <c r="M245" i="40"/>
  <c r="N245" i="40" s="1"/>
  <c r="M246" i="40"/>
  <c r="N246" i="40" s="1"/>
  <c r="M248" i="40"/>
  <c r="N248" i="40" s="1"/>
  <c r="M249" i="40"/>
  <c r="N249" i="40" s="1"/>
  <c r="M250" i="40"/>
  <c r="N250" i="40" s="1"/>
  <c r="M252" i="40"/>
  <c r="N252" i="40" s="1"/>
  <c r="M253" i="40"/>
  <c r="N253" i="40" s="1"/>
  <c r="M256" i="40"/>
  <c r="N256" i="40" s="1"/>
  <c r="M257" i="40"/>
  <c r="N257" i="40" s="1"/>
  <c r="M258" i="40"/>
  <c r="N258" i="40" s="1"/>
  <c r="M260" i="40"/>
  <c r="N260" i="40" s="1"/>
  <c r="M261" i="40"/>
  <c r="N261" i="40" s="1"/>
  <c r="M262" i="40"/>
  <c r="N262" i="40" s="1"/>
  <c r="M264" i="40"/>
  <c r="N264" i="40" s="1"/>
  <c r="M265" i="40"/>
  <c r="N265" i="40" s="1"/>
  <c r="M266" i="40"/>
  <c r="N266" i="40" s="1"/>
  <c r="M268" i="40"/>
  <c r="N268" i="40" s="1"/>
  <c r="M269" i="40"/>
  <c r="N269" i="40" s="1"/>
  <c r="M272" i="40"/>
  <c r="N272" i="40" s="1"/>
  <c r="M273" i="40"/>
  <c r="N273" i="40" s="1"/>
  <c r="M274" i="40"/>
  <c r="N274" i="40" s="1"/>
  <c r="M276" i="40"/>
  <c r="N276" i="40" s="1"/>
  <c r="M277" i="40"/>
  <c r="N277" i="40" s="1"/>
  <c r="M278" i="40"/>
  <c r="N278" i="40" s="1"/>
  <c r="M280" i="40"/>
  <c r="N280" i="40" s="1"/>
  <c r="M281" i="40"/>
  <c r="N281" i="40" s="1"/>
  <c r="M282" i="40"/>
  <c r="N282" i="40" s="1"/>
  <c r="M284" i="40"/>
  <c r="N284" i="40" s="1"/>
  <c r="M285" i="40"/>
  <c r="N285" i="40" s="1"/>
  <c r="M288" i="40"/>
  <c r="N288" i="40" s="1"/>
  <c r="M289" i="40"/>
  <c r="N289" i="40" s="1"/>
  <c r="M292" i="40"/>
  <c r="N292" i="40" s="1"/>
  <c r="M293" i="40"/>
  <c r="N293" i="40" s="1"/>
  <c r="M294" i="40"/>
  <c r="N294" i="40" s="1"/>
  <c r="M296" i="40"/>
  <c r="N296" i="40" s="1"/>
  <c r="M297" i="40"/>
  <c r="N297" i="40" s="1"/>
  <c r="M298" i="40"/>
  <c r="N298" i="40" s="1"/>
  <c r="M300" i="40"/>
  <c r="N300" i="40" s="1"/>
  <c r="M301" i="40"/>
  <c r="N301" i="40" s="1"/>
  <c r="M304" i="40"/>
  <c r="N304" i="40" s="1"/>
  <c r="M305" i="40"/>
  <c r="N305" i="40" s="1"/>
  <c r="M308" i="40"/>
  <c r="N308" i="40" s="1"/>
  <c r="M309" i="40"/>
  <c r="N309" i="40" s="1"/>
  <c r="M310" i="40"/>
  <c r="N310" i="40" s="1"/>
  <c r="M312" i="40"/>
  <c r="N312" i="40" s="1"/>
  <c r="M313" i="40"/>
  <c r="N313" i="40" s="1"/>
  <c r="M316" i="40"/>
  <c r="N316" i="40" s="1"/>
  <c r="M317" i="40"/>
  <c r="N317" i="40" s="1"/>
  <c r="M320" i="40"/>
  <c r="N320" i="40" s="1"/>
  <c r="M321" i="40"/>
  <c r="N321" i="40" s="1"/>
  <c r="M324" i="40"/>
  <c r="N324" i="40" s="1"/>
  <c r="M325" i="40"/>
  <c r="N325" i="40" s="1"/>
  <c r="M326" i="40"/>
  <c r="N326" i="40" s="1"/>
  <c r="M328" i="40"/>
  <c r="N328" i="40" s="1"/>
  <c r="M329" i="40"/>
  <c r="N329" i="40" s="1"/>
  <c r="M332" i="40"/>
  <c r="N332" i="40" s="1"/>
  <c r="M333" i="40"/>
  <c r="N333" i="40" s="1"/>
  <c r="M336" i="40"/>
  <c r="N336" i="40" s="1"/>
  <c r="M338" i="40"/>
  <c r="N338" i="40" s="1"/>
  <c r="M340" i="40"/>
  <c r="N340" i="40" s="1"/>
  <c r="M344" i="40"/>
  <c r="N344" i="40" s="1"/>
  <c r="M346" i="40"/>
  <c r="N346" i="40" s="1"/>
  <c r="M348" i="40"/>
  <c r="N348" i="40" s="1"/>
  <c r="M352" i="40"/>
  <c r="N352" i="40" s="1"/>
  <c r="M354" i="40"/>
  <c r="N354" i="40" s="1"/>
  <c r="M356" i="40"/>
  <c r="N356" i="40" s="1"/>
  <c r="M360" i="40"/>
  <c r="N360" i="40" s="1"/>
  <c r="M362" i="40"/>
  <c r="N362" i="40" s="1"/>
  <c r="M364" i="40"/>
  <c r="N364" i="40" s="1"/>
  <c r="M368" i="40"/>
  <c r="N368" i="40" s="1"/>
  <c r="M370" i="40"/>
  <c r="N370" i="40" s="1"/>
  <c r="M372" i="40"/>
  <c r="N372" i="40" s="1"/>
  <c r="M376" i="40"/>
  <c r="N376" i="40" s="1"/>
  <c r="M378" i="40"/>
  <c r="N378" i="40" s="1"/>
  <c r="M380" i="40"/>
  <c r="N380" i="40" s="1"/>
  <c r="M384" i="40"/>
  <c r="N384" i="40" s="1"/>
  <c r="M386" i="40"/>
  <c r="N386" i="40" s="1"/>
  <c r="M388" i="40"/>
  <c r="N388" i="40" s="1"/>
  <c r="M392" i="40"/>
  <c r="N392" i="40" s="1"/>
  <c r="M394" i="40"/>
  <c r="N394" i="40" s="1"/>
  <c r="M396" i="40"/>
  <c r="N396" i="40" s="1"/>
  <c r="M400" i="40"/>
  <c r="N400" i="40" s="1"/>
  <c r="M402" i="40"/>
  <c r="N402" i="40" s="1"/>
  <c r="M404" i="40"/>
  <c r="N404" i="40" s="1"/>
  <c r="M408" i="40"/>
  <c r="N408" i="40" s="1"/>
  <c r="M410" i="40"/>
  <c r="N410" i="40" s="1"/>
  <c r="M411" i="40"/>
  <c r="N411" i="40" s="1"/>
  <c r="M412" i="40"/>
  <c r="N412" i="40" s="1"/>
  <c r="M416" i="40"/>
  <c r="N416" i="40" s="1"/>
  <c r="M420" i="40"/>
  <c r="N420" i="40" s="1"/>
  <c r="M428" i="40"/>
  <c r="N428" i="40" s="1"/>
  <c r="M432" i="40"/>
  <c r="N432" i="40" s="1"/>
  <c r="M436" i="40"/>
  <c r="N436" i="40" s="1"/>
  <c r="M444" i="40"/>
  <c r="N444" i="40" s="1"/>
  <c r="M448" i="40"/>
  <c r="N448" i="40" s="1"/>
  <c r="M452" i="40"/>
  <c r="N452" i="40" s="1"/>
  <c r="M457" i="40"/>
  <c r="N457" i="40" s="1"/>
  <c r="M460" i="40"/>
  <c r="N460" i="40" s="1"/>
  <c r="M464" i="40"/>
  <c r="N464" i="40" s="1"/>
  <c r="M472" i="40"/>
  <c r="N472" i="40" s="1"/>
  <c r="M476" i="40"/>
  <c r="N476" i="40" s="1"/>
  <c r="M480" i="40"/>
  <c r="N480" i="40" s="1"/>
  <c r="M488" i="40"/>
  <c r="N488" i="40" s="1"/>
  <c r="M492" i="40"/>
  <c r="N492" i="40" s="1"/>
  <c r="M496" i="40"/>
  <c r="N496" i="40" s="1"/>
  <c r="M504" i="40"/>
  <c r="N504" i="40" s="1"/>
  <c r="M508" i="40"/>
  <c r="N508" i="40" s="1"/>
  <c r="M512" i="40"/>
  <c r="N512" i="40" s="1"/>
  <c r="M520" i="40"/>
  <c r="N520" i="40" s="1"/>
  <c r="M524" i="40"/>
  <c r="N524" i="40" s="1"/>
  <c r="M528" i="40"/>
  <c r="N528" i="40" s="1"/>
  <c r="E463" i="40"/>
  <c r="F463" i="40" s="1"/>
  <c r="G463" i="40" s="1"/>
  <c r="E462" i="40"/>
  <c r="F462" i="40" s="1"/>
  <c r="G462" i="40" s="1"/>
  <c r="E461" i="40"/>
  <c r="F461" i="40" s="1"/>
  <c r="G461" i="40" s="1"/>
  <c r="E460" i="40"/>
  <c r="F460" i="40" s="1"/>
  <c r="G460" i="40" s="1"/>
  <c r="E459" i="40"/>
  <c r="F459" i="40" s="1"/>
  <c r="G459" i="40" s="1"/>
  <c r="E458" i="40"/>
  <c r="F458" i="40" s="1"/>
  <c r="G458" i="40" s="1"/>
  <c r="E457" i="40"/>
  <c r="F457" i="40" s="1"/>
  <c r="G457" i="40" s="1"/>
  <c r="E456" i="40"/>
  <c r="F456" i="40" s="1"/>
  <c r="G456" i="40" s="1"/>
  <c r="E455" i="40"/>
  <c r="F455" i="40" s="1"/>
  <c r="G455" i="40" s="1"/>
  <c r="E454" i="40"/>
  <c r="F454" i="40" s="1"/>
  <c r="G454" i="40" s="1"/>
  <c r="E453" i="40"/>
  <c r="F453" i="40" s="1"/>
  <c r="G453" i="40" s="1"/>
  <c r="E452" i="40"/>
  <c r="F452" i="40" s="1"/>
  <c r="G452" i="40" s="1"/>
  <c r="E451" i="40"/>
  <c r="F451" i="40" s="1"/>
  <c r="G451" i="40" s="1"/>
  <c r="E450" i="40"/>
  <c r="F450" i="40" s="1"/>
  <c r="G450" i="40" s="1"/>
  <c r="E449" i="40"/>
  <c r="F449" i="40" s="1"/>
  <c r="G449" i="40" s="1"/>
  <c r="E448" i="40"/>
  <c r="F448" i="40" s="1"/>
  <c r="G448" i="40" s="1"/>
  <c r="E447" i="40"/>
  <c r="F447" i="40" s="1"/>
  <c r="G447" i="40" s="1"/>
  <c r="E446" i="40"/>
  <c r="F446" i="40" s="1"/>
  <c r="G446" i="40" s="1"/>
  <c r="E445" i="40"/>
  <c r="F445" i="40" s="1"/>
  <c r="G445" i="40" s="1"/>
  <c r="E444" i="40"/>
  <c r="F444" i="40" s="1"/>
  <c r="G444" i="40" s="1"/>
  <c r="E443" i="40"/>
  <c r="F443" i="40" s="1"/>
  <c r="G443" i="40" s="1"/>
  <c r="E442" i="40"/>
  <c r="F442" i="40" s="1"/>
  <c r="G442" i="40" s="1"/>
  <c r="E441" i="40"/>
  <c r="F441" i="40" s="1"/>
  <c r="G441" i="40" s="1"/>
  <c r="E440" i="40"/>
  <c r="F440" i="40" s="1"/>
  <c r="G440" i="40" s="1"/>
  <c r="E439" i="40"/>
  <c r="F439" i="40" s="1"/>
  <c r="G439" i="40" s="1"/>
  <c r="E438" i="40"/>
  <c r="F438" i="40" s="1"/>
  <c r="G438" i="40" s="1"/>
  <c r="E437" i="40"/>
  <c r="F437" i="40" s="1"/>
  <c r="G437" i="40" s="1"/>
  <c r="E436" i="40"/>
  <c r="F436" i="40" s="1"/>
  <c r="G436" i="40" s="1"/>
  <c r="E435" i="40"/>
  <c r="F435" i="40" s="1"/>
  <c r="G435" i="40" s="1"/>
  <c r="E434" i="40"/>
  <c r="F434" i="40" s="1"/>
  <c r="G434" i="40" s="1"/>
  <c r="E433" i="40"/>
  <c r="F433" i="40" s="1"/>
  <c r="G433" i="40" s="1"/>
  <c r="E432" i="40"/>
  <c r="F432" i="40" s="1"/>
  <c r="G432" i="40" s="1"/>
  <c r="E431" i="40"/>
  <c r="F431" i="40" s="1"/>
  <c r="G431" i="40" s="1"/>
  <c r="E430" i="40"/>
  <c r="F430" i="40" s="1"/>
  <c r="G430" i="40" s="1"/>
  <c r="E429" i="40"/>
  <c r="F429" i="40" s="1"/>
  <c r="G429" i="40" s="1"/>
  <c r="E428" i="40"/>
  <c r="F428" i="40" s="1"/>
  <c r="G428" i="40" s="1"/>
  <c r="E427" i="40"/>
  <c r="F427" i="40" s="1"/>
  <c r="G427" i="40" s="1"/>
  <c r="E426" i="40"/>
  <c r="F426" i="40" s="1"/>
  <c r="G426" i="40" s="1"/>
  <c r="E425" i="40"/>
  <c r="F425" i="40" s="1"/>
  <c r="G425" i="40" s="1"/>
  <c r="E424" i="40"/>
  <c r="F424" i="40" s="1"/>
  <c r="G424" i="40" s="1"/>
  <c r="E423" i="40"/>
  <c r="F423" i="40" s="1"/>
  <c r="G423" i="40" s="1"/>
  <c r="E422" i="40"/>
  <c r="F422" i="40" s="1"/>
  <c r="G422" i="40" s="1"/>
  <c r="E421" i="40"/>
  <c r="F421" i="40" s="1"/>
  <c r="G421" i="40" s="1"/>
  <c r="E420" i="40"/>
  <c r="F420" i="40" s="1"/>
  <c r="G420" i="40" s="1"/>
  <c r="E419" i="40"/>
  <c r="F419" i="40" s="1"/>
  <c r="G419" i="40" s="1"/>
  <c r="E418" i="40"/>
  <c r="F418" i="40" s="1"/>
  <c r="G418" i="40" s="1"/>
  <c r="E417" i="40"/>
  <c r="F417" i="40" s="1"/>
  <c r="G417" i="40" s="1"/>
  <c r="E416" i="40"/>
  <c r="F416" i="40" s="1"/>
  <c r="G416" i="40" s="1"/>
  <c r="E415" i="40"/>
  <c r="F415" i="40" s="1"/>
  <c r="G415" i="40" s="1"/>
  <c r="E414" i="40"/>
  <c r="F414" i="40" s="1"/>
  <c r="G414" i="40" s="1"/>
  <c r="E413" i="40"/>
  <c r="F413" i="40" s="1"/>
  <c r="G413" i="40" s="1"/>
  <c r="E412" i="40"/>
  <c r="F412" i="40" s="1"/>
  <c r="G412" i="40" s="1"/>
  <c r="E411" i="40"/>
  <c r="F411" i="40" s="1"/>
  <c r="G411" i="40" s="1"/>
  <c r="E410" i="40"/>
  <c r="F410" i="40" s="1"/>
  <c r="G410" i="40" s="1"/>
  <c r="E409" i="40"/>
  <c r="F409" i="40" s="1"/>
  <c r="G409" i="40" s="1"/>
  <c r="E408" i="40"/>
  <c r="F408" i="40" s="1"/>
  <c r="G408" i="40" s="1"/>
  <c r="E407" i="40"/>
  <c r="F407" i="40" s="1"/>
  <c r="G407" i="40" s="1"/>
  <c r="E406" i="40"/>
  <c r="F406" i="40" s="1"/>
  <c r="G406" i="40" s="1"/>
  <c r="E405" i="40"/>
  <c r="F405" i="40" s="1"/>
  <c r="G405" i="40" s="1"/>
  <c r="E404" i="40"/>
  <c r="F404" i="40" s="1"/>
  <c r="G404" i="40" s="1"/>
  <c r="E403" i="40"/>
  <c r="F403" i="40" s="1"/>
  <c r="G403" i="40" s="1"/>
  <c r="E402" i="40"/>
  <c r="F402" i="40" s="1"/>
  <c r="G402" i="40" s="1"/>
  <c r="E401" i="40"/>
  <c r="F401" i="40" s="1"/>
  <c r="G401" i="40" s="1"/>
  <c r="E400" i="40"/>
  <c r="F400" i="40" s="1"/>
  <c r="G400" i="40" s="1"/>
  <c r="E399" i="40"/>
  <c r="F399" i="40" s="1"/>
  <c r="G399" i="40" s="1"/>
  <c r="E398" i="40"/>
  <c r="F398" i="40" s="1"/>
  <c r="G398" i="40" s="1"/>
  <c r="E397" i="40"/>
  <c r="F397" i="40" s="1"/>
  <c r="G397" i="40" s="1"/>
  <c r="E396" i="40"/>
  <c r="F396" i="40" s="1"/>
  <c r="G396" i="40" s="1"/>
  <c r="E395" i="40"/>
  <c r="F395" i="40" s="1"/>
  <c r="G395" i="40" s="1"/>
  <c r="E394" i="40"/>
  <c r="F394" i="40" s="1"/>
  <c r="G394" i="40" s="1"/>
  <c r="E393" i="40"/>
  <c r="F393" i="40" s="1"/>
  <c r="G393" i="40" s="1"/>
  <c r="E392" i="40"/>
  <c r="F392" i="40" s="1"/>
  <c r="G392" i="40" s="1"/>
  <c r="E391" i="40"/>
  <c r="F391" i="40" s="1"/>
  <c r="G391" i="40" s="1"/>
  <c r="E390" i="40"/>
  <c r="F390" i="40" s="1"/>
  <c r="G390" i="40" s="1"/>
  <c r="E389" i="40"/>
  <c r="F389" i="40" s="1"/>
  <c r="G389" i="40" s="1"/>
  <c r="E388" i="40"/>
  <c r="F388" i="40" s="1"/>
  <c r="G388" i="40" s="1"/>
  <c r="E387" i="40"/>
  <c r="F387" i="40" s="1"/>
  <c r="G387" i="40" s="1"/>
  <c r="E386" i="40"/>
  <c r="F386" i="40" s="1"/>
  <c r="G386" i="40" s="1"/>
  <c r="E385" i="40"/>
  <c r="F385" i="40" s="1"/>
  <c r="G385" i="40" s="1"/>
  <c r="E384" i="40"/>
  <c r="F384" i="40" s="1"/>
  <c r="G384" i="40" s="1"/>
  <c r="E383" i="40"/>
  <c r="F383" i="40" s="1"/>
  <c r="G383" i="40" s="1"/>
  <c r="E382" i="40"/>
  <c r="F382" i="40" s="1"/>
  <c r="G382" i="40" s="1"/>
  <c r="E381" i="40"/>
  <c r="F381" i="40" s="1"/>
  <c r="G381" i="40" s="1"/>
  <c r="E380" i="40"/>
  <c r="F380" i="40" s="1"/>
  <c r="G380" i="40" s="1"/>
  <c r="E379" i="40"/>
  <c r="F379" i="40" s="1"/>
  <c r="G379" i="40" s="1"/>
  <c r="E378" i="40"/>
  <c r="F378" i="40" s="1"/>
  <c r="G378" i="40" s="1"/>
  <c r="E377" i="40"/>
  <c r="F377" i="40" s="1"/>
  <c r="G377" i="40" s="1"/>
  <c r="E376" i="40"/>
  <c r="F376" i="40" s="1"/>
  <c r="G376" i="40" s="1"/>
  <c r="E375" i="40"/>
  <c r="F375" i="40" s="1"/>
  <c r="G375" i="40" s="1"/>
  <c r="E374" i="40"/>
  <c r="F374" i="40" s="1"/>
  <c r="G374" i="40" s="1"/>
  <c r="E373" i="40"/>
  <c r="F373" i="40" s="1"/>
  <c r="G373" i="40" s="1"/>
  <c r="E372" i="40"/>
  <c r="F372" i="40" s="1"/>
  <c r="G372" i="40" s="1"/>
  <c r="E371" i="40"/>
  <c r="F371" i="40" s="1"/>
  <c r="G371" i="40" s="1"/>
  <c r="E370" i="40"/>
  <c r="F370" i="40" s="1"/>
  <c r="G370" i="40" s="1"/>
  <c r="E369" i="40"/>
  <c r="F369" i="40" s="1"/>
  <c r="G369" i="40" s="1"/>
  <c r="E368" i="40"/>
  <c r="F368" i="40" s="1"/>
  <c r="G368" i="40" s="1"/>
  <c r="E367" i="40"/>
  <c r="F367" i="40" s="1"/>
  <c r="G367" i="40" s="1"/>
  <c r="E366" i="40"/>
  <c r="F366" i="40" s="1"/>
  <c r="G366" i="40" s="1"/>
  <c r="E365" i="40"/>
  <c r="F365" i="40" s="1"/>
  <c r="G365" i="40" s="1"/>
  <c r="E364" i="40"/>
  <c r="F364" i="40" s="1"/>
  <c r="G364" i="40" s="1"/>
  <c r="E363" i="40"/>
  <c r="F363" i="40" s="1"/>
  <c r="G363" i="40" s="1"/>
  <c r="E362" i="40"/>
  <c r="F362" i="40" s="1"/>
  <c r="G362" i="40" s="1"/>
  <c r="E361" i="40"/>
  <c r="F361" i="40" s="1"/>
  <c r="G361" i="40" s="1"/>
  <c r="E360" i="40"/>
  <c r="F360" i="40" s="1"/>
  <c r="G360" i="40" s="1"/>
  <c r="E359" i="40"/>
  <c r="F359" i="40" s="1"/>
  <c r="G359" i="40" s="1"/>
  <c r="E358" i="40"/>
  <c r="F358" i="40" s="1"/>
  <c r="G358" i="40" s="1"/>
  <c r="E357" i="40"/>
  <c r="F357" i="40" s="1"/>
  <c r="G357" i="40" s="1"/>
  <c r="E356" i="40"/>
  <c r="F356" i="40" s="1"/>
  <c r="G356" i="40" s="1"/>
  <c r="E355" i="40"/>
  <c r="F355" i="40" s="1"/>
  <c r="G355" i="40" s="1"/>
  <c r="E354" i="40"/>
  <c r="F354" i="40" s="1"/>
  <c r="G354" i="40" s="1"/>
  <c r="E353" i="40"/>
  <c r="F353" i="40" s="1"/>
  <c r="G353" i="40" s="1"/>
  <c r="E352" i="40"/>
  <c r="F352" i="40" s="1"/>
  <c r="G352" i="40" s="1"/>
  <c r="E351" i="40"/>
  <c r="F351" i="40" s="1"/>
  <c r="G351" i="40" s="1"/>
  <c r="E350" i="40"/>
  <c r="F350" i="40" s="1"/>
  <c r="G350" i="40" s="1"/>
  <c r="E349" i="40"/>
  <c r="F349" i="40" s="1"/>
  <c r="G349" i="40" s="1"/>
  <c r="E348" i="40"/>
  <c r="F348" i="40" s="1"/>
  <c r="G348" i="40" s="1"/>
  <c r="E347" i="40"/>
  <c r="F347" i="40" s="1"/>
  <c r="G347" i="40" s="1"/>
  <c r="E346" i="40"/>
  <c r="F346" i="40" s="1"/>
  <c r="G346" i="40" s="1"/>
  <c r="E345" i="40"/>
  <c r="F345" i="40" s="1"/>
  <c r="G345" i="40" s="1"/>
  <c r="E344" i="40"/>
  <c r="F344" i="40" s="1"/>
  <c r="G344" i="40" s="1"/>
  <c r="E343" i="40"/>
  <c r="F343" i="40" s="1"/>
  <c r="G343" i="40" s="1"/>
  <c r="E342" i="40"/>
  <c r="F342" i="40" s="1"/>
  <c r="G342" i="40" s="1"/>
  <c r="E341" i="40"/>
  <c r="F341" i="40" s="1"/>
  <c r="G341" i="40" s="1"/>
  <c r="E340" i="40"/>
  <c r="F340" i="40" s="1"/>
  <c r="G340" i="40" s="1"/>
  <c r="E339" i="40"/>
  <c r="F339" i="40" s="1"/>
  <c r="G339" i="40" s="1"/>
  <c r="E338" i="40"/>
  <c r="F338" i="40" s="1"/>
  <c r="G338" i="40" s="1"/>
  <c r="E337" i="40"/>
  <c r="F337" i="40" s="1"/>
  <c r="G337" i="40" s="1"/>
  <c r="E336" i="40"/>
  <c r="F336" i="40" s="1"/>
  <c r="G336" i="40" s="1"/>
  <c r="E335" i="40"/>
  <c r="F335" i="40" s="1"/>
  <c r="G335" i="40" s="1"/>
  <c r="E334" i="40"/>
  <c r="F334" i="40" s="1"/>
  <c r="G334" i="40" s="1"/>
  <c r="E333" i="40"/>
  <c r="F333" i="40" s="1"/>
  <c r="G333" i="40" s="1"/>
  <c r="E332" i="40"/>
  <c r="F332" i="40" s="1"/>
  <c r="G332" i="40" s="1"/>
  <c r="E331" i="40"/>
  <c r="F331" i="40" s="1"/>
  <c r="G331" i="40" s="1"/>
  <c r="E330" i="40"/>
  <c r="F330" i="40" s="1"/>
  <c r="G330" i="40" s="1"/>
  <c r="E329" i="40"/>
  <c r="F329" i="40" s="1"/>
  <c r="G329" i="40" s="1"/>
  <c r="E328" i="40"/>
  <c r="F328" i="40" s="1"/>
  <c r="G328" i="40" s="1"/>
  <c r="E327" i="40"/>
  <c r="F327" i="40" s="1"/>
  <c r="G327" i="40" s="1"/>
  <c r="E326" i="40"/>
  <c r="F326" i="40" s="1"/>
  <c r="G326" i="40" s="1"/>
  <c r="E325" i="40"/>
  <c r="F325" i="40" s="1"/>
  <c r="G325" i="40" s="1"/>
  <c r="E324" i="40"/>
  <c r="F324" i="40" s="1"/>
  <c r="G324" i="40" s="1"/>
  <c r="E323" i="40"/>
  <c r="F323" i="40" s="1"/>
  <c r="G323" i="40" s="1"/>
  <c r="E322" i="40"/>
  <c r="F322" i="40" s="1"/>
  <c r="G322" i="40" s="1"/>
  <c r="E321" i="40"/>
  <c r="F321" i="40" s="1"/>
  <c r="G321" i="40" s="1"/>
  <c r="E320" i="40"/>
  <c r="F320" i="40" s="1"/>
  <c r="G320" i="40" s="1"/>
  <c r="E319" i="40"/>
  <c r="F319" i="40" s="1"/>
  <c r="G319" i="40" s="1"/>
  <c r="E318" i="40"/>
  <c r="F318" i="40" s="1"/>
  <c r="G318" i="40" s="1"/>
  <c r="E317" i="40"/>
  <c r="F317" i="40" s="1"/>
  <c r="G317" i="40" s="1"/>
  <c r="E316" i="40"/>
  <c r="F316" i="40" s="1"/>
  <c r="G316" i="40" s="1"/>
  <c r="E315" i="40"/>
  <c r="F315" i="40" s="1"/>
  <c r="G315" i="40" s="1"/>
  <c r="E314" i="40"/>
  <c r="F314" i="40" s="1"/>
  <c r="G314" i="40" s="1"/>
  <c r="E313" i="40"/>
  <c r="F313" i="40" s="1"/>
  <c r="G313" i="40" s="1"/>
  <c r="E312" i="40"/>
  <c r="F312" i="40" s="1"/>
  <c r="G312" i="40" s="1"/>
  <c r="E311" i="40"/>
  <c r="F311" i="40" s="1"/>
  <c r="G311" i="40" s="1"/>
  <c r="E310" i="40"/>
  <c r="F310" i="40" s="1"/>
  <c r="G310" i="40" s="1"/>
  <c r="E309" i="40"/>
  <c r="F309" i="40" s="1"/>
  <c r="G309" i="40" s="1"/>
  <c r="E308" i="40"/>
  <c r="F308" i="40" s="1"/>
  <c r="G308" i="40" s="1"/>
  <c r="E307" i="40"/>
  <c r="F307" i="40" s="1"/>
  <c r="G307" i="40" s="1"/>
  <c r="E306" i="40"/>
  <c r="F306" i="40" s="1"/>
  <c r="G306" i="40" s="1"/>
  <c r="E305" i="40"/>
  <c r="F305" i="40" s="1"/>
  <c r="G305" i="40" s="1"/>
  <c r="E304" i="40"/>
  <c r="F304" i="40" s="1"/>
  <c r="G304" i="40" s="1"/>
  <c r="E303" i="40"/>
  <c r="F303" i="40" s="1"/>
  <c r="G303" i="40" s="1"/>
  <c r="E302" i="40"/>
  <c r="F302" i="40" s="1"/>
  <c r="G302" i="40" s="1"/>
  <c r="E301" i="40"/>
  <c r="F301" i="40" s="1"/>
  <c r="G301" i="40" s="1"/>
  <c r="E300" i="40"/>
  <c r="F300" i="40" s="1"/>
  <c r="G300" i="40" s="1"/>
  <c r="E299" i="40"/>
  <c r="F299" i="40" s="1"/>
  <c r="G299" i="40" s="1"/>
  <c r="E298" i="40"/>
  <c r="F298" i="40" s="1"/>
  <c r="G298" i="40" s="1"/>
  <c r="E297" i="40"/>
  <c r="F297" i="40" s="1"/>
  <c r="G297" i="40" s="1"/>
  <c r="E296" i="40"/>
  <c r="F296" i="40" s="1"/>
  <c r="G296" i="40" s="1"/>
  <c r="E295" i="40"/>
  <c r="F295" i="40" s="1"/>
  <c r="G295" i="40" s="1"/>
  <c r="E294" i="40"/>
  <c r="F294" i="40" s="1"/>
  <c r="G294" i="40" s="1"/>
  <c r="E293" i="40"/>
  <c r="F293" i="40" s="1"/>
  <c r="G293" i="40" s="1"/>
  <c r="E292" i="40"/>
  <c r="F292" i="40" s="1"/>
  <c r="G292" i="40" s="1"/>
  <c r="E291" i="40"/>
  <c r="F291" i="40" s="1"/>
  <c r="G291" i="40" s="1"/>
  <c r="E290" i="40"/>
  <c r="F290" i="40" s="1"/>
  <c r="G290" i="40" s="1"/>
  <c r="E289" i="40"/>
  <c r="F289" i="40" s="1"/>
  <c r="G289" i="40" s="1"/>
  <c r="E288" i="40"/>
  <c r="F288" i="40" s="1"/>
  <c r="G288" i="40" s="1"/>
  <c r="E287" i="40"/>
  <c r="F287" i="40" s="1"/>
  <c r="G287" i="40" s="1"/>
  <c r="E286" i="40"/>
  <c r="F286" i="40" s="1"/>
  <c r="G286" i="40" s="1"/>
  <c r="E285" i="40"/>
  <c r="F285" i="40" s="1"/>
  <c r="G285" i="40" s="1"/>
  <c r="E284" i="40"/>
  <c r="F284" i="40" s="1"/>
  <c r="G284" i="40" s="1"/>
  <c r="E283" i="40"/>
  <c r="F283" i="40" s="1"/>
  <c r="G283" i="40" s="1"/>
  <c r="E282" i="40"/>
  <c r="F282" i="40" s="1"/>
  <c r="G282" i="40" s="1"/>
  <c r="E281" i="40"/>
  <c r="F281" i="40" s="1"/>
  <c r="G281" i="40" s="1"/>
  <c r="E280" i="40"/>
  <c r="F280" i="40" s="1"/>
  <c r="G280" i="40" s="1"/>
  <c r="E279" i="40"/>
  <c r="F279" i="40" s="1"/>
  <c r="G279" i="40" s="1"/>
  <c r="E278" i="40"/>
  <c r="F278" i="40" s="1"/>
  <c r="G278" i="40" s="1"/>
  <c r="E277" i="40"/>
  <c r="F277" i="40" s="1"/>
  <c r="G277" i="40" s="1"/>
  <c r="E276" i="40"/>
  <c r="F276" i="40" s="1"/>
  <c r="G276" i="40" s="1"/>
  <c r="E275" i="40"/>
  <c r="F275" i="40" s="1"/>
  <c r="G275" i="40" s="1"/>
  <c r="E274" i="40"/>
  <c r="F274" i="40" s="1"/>
  <c r="G274" i="40" s="1"/>
  <c r="E273" i="40"/>
  <c r="F273" i="40" s="1"/>
  <c r="G273" i="40" s="1"/>
  <c r="E272" i="40"/>
  <c r="F272" i="40" s="1"/>
  <c r="G272" i="40" s="1"/>
  <c r="E271" i="40"/>
  <c r="F271" i="40" s="1"/>
  <c r="G271" i="40" s="1"/>
  <c r="E270" i="40"/>
  <c r="F270" i="40" s="1"/>
  <c r="G270" i="40" s="1"/>
  <c r="E269" i="40"/>
  <c r="F269" i="40" s="1"/>
  <c r="G269" i="40" s="1"/>
  <c r="E268" i="40"/>
  <c r="F268" i="40" s="1"/>
  <c r="G268" i="40" s="1"/>
  <c r="E267" i="40"/>
  <c r="F267" i="40" s="1"/>
  <c r="G267" i="40" s="1"/>
  <c r="E266" i="40"/>
  <c r="F266" i="40" s="1"/>
  <c r="G266" i="40" s="1"/>
  <c r="E265" i="40"/>
  <c r="F265" i="40" s="1"/>
  <c r="G265" i="40" s="1"/>
  <c r="E264" i="40"/>
  <c r="F264" i="40" s="1"/>
  <c r="G264" i="40" s="1"/>
  <c r="E263" i="40"/>
  <c r="F263" i="40" s="1"/>
  <c r="G263" i="40" s="1"/>
  <c r="E262" i="40"/>
  <c r="F262" i="40" s="1"/>
  <c r="G262" i="40" s="1"/>
  <c r="E261" i="40"/>
  <c r="F261" i="40" s="1"/>
  <c r="G261" i="40" s="1"/>
  <c r="E260" i="40"/>
  <c r="F260" i="40" s="1"/>
  <c r="G260" i="40" s="1"/>
  <c r="E259" i="40"/>
  <c r="F259" i="40" s="1"/>
  <c r="G259" i="40" s="1"/>
  <c r="E258" i="40"/>
  <c r="F258" i="40" s="1"/>
  <c r="G258" i="40" s="1"/>
  <c r="E257" i="40"/>
  <c r="F257" i="40" s="1"/>
  <c r="G257" i="40" s="1"/>
  <c r="E256" i="40"/>
  <c r="F256" i="40" s="1"/>
  <c r="G256" i="40" s="1"/>
  <c r="E255" i="40"/>
  <c r="F255" i="40" s="1"/>
  <c r="G255" i="40" s="1"/>
  <c r="E254" i="40"/>
  <c r="F254" i="40" s="1"/>
  <c r="G254" i="40" s="1"/>
  <c r="E253" i="40"/>
  <c r="F253" i="40" s="1"/>
  <c r="G253" i="40" s="1"/>
  <c r="E252" i="40"/>
  <c r="F252" i="40" s="1"/>
  <c r="G252" i="40" s="1"/>
  <c r="E251" i="40"/>
  <c r="F251" i="40" s="1"/>
  <c r="G251" i="40" s="1"/>
  <c r="E250" i="40"/>
  <c r="F250" i="40" s="1"/>
  <c r="G250" i="40" s="1"/>
  <c r="E249" i="40"/>
  <c r="F249" i="40" s="1"/>
  <c r="G249" i="40" s="1"/>
  <c r="E248" i="40"/>
  <c r="F248" i="40" s="1"/>
  <c r="G248" i="40" s="1"/>
  <c r="E247" i="40"/>
  <c r="F247" i="40" s="1"/>
  <c r="G247" i="40" s="1"/>
  <c r="E246" i="40"/>
  <c r="F246" i="40" s="1"/>
  <c r="G246" i="40" s="1"/>
  <c r="E245" i="40"/>
  <c r="F245" i="40" s="1"/>
  <c r="G245" i="40" s="1"/>
  <c r="E244" i="40"/>
  <c r="F244" i="40" s="1"/>
  <c r="G244" i="40" s="1"/>
  <c r="E243" i="40"/>
  <c r="F243" i="40" s="1"/>
  <c r="G243" i="40" s="1"/>
  <c r="E242" i="40"/>
  <c r="F242" i="40" s="1"/>
  <c r="G242" i="40" s="1"/>
  <c r="E241" i="40"/>
  <c r="F241" i="40" s="1"/>
  <c r="G241" i="40" s="1"/>
  <c r="E240" i="40"/>
  <c r="F240" i="40" s="1"/>
  <c r="G240" i="40" s="1"/>
  <c r="E239" i="40"/>
  <c r="F239" i="40" s="1"/>
  <c r="G239" i="40" s="1"/>
  <c r="E238" i="40"/>
  <c r="F238" i="40" s="1"/>
  <c r="G238" i="40" s="1"/>
  <c r="E237" i="40"/>
  <c r="F237" i="40" s="1"/>
  <c r="G237" i="40" s="1"/>
  <c r="E236" i="40"/>
  <c r="F236" i="40" s="1"/>
  <c r="G236" i="40" s="1"/>
  <c r="E235" i="40"/>
  <c r="F235" i="40" s="1"/>
  <c r="G235" i="40" s="1"/>
  <c r="E234" i="40"/>
  <c r="F234" i="40" s="1"/>
  <c r="G234" i="40" s="1"/>
  <c r="E233" i="40"/>
  <c r="F233" i="40" s="1"/>
  <c r="G233" i="40" s="1"/>
  <c r="E232" i="40"/>
  <c r="F232" i="40" s="1"/>
  <c r="G232" i="40" s="1"/>
  <c r="E231" i="40"/>
  <c r="F231" i="40" s="1"/>
  <c r="G231" i="40" s="1"/>
  <c r="E230" i="40"/>
  <c r="F230" i="40" s="1"/>
  <c r="G230" i="40" s="1"/>
  <c r="E229" i="40"/>
  <c r="F229" i="40" s="1"/>
  <c r="G229" i="40" s="1"/>
  <c r="E228" i="40"/>
  <c r="F228" i="40" s="1"/>
  <c r="G228" i="40" s="1"/>
  <c r="E227" i="40"/>
  <c r="F227" i="40" s="1"/>
  <c r="G227" i="40" s="1"/>
  <c r="E226" i="40"/>
  <c r="F226" i="40" s="1"/>
  <c r="G226" i="40" s="1"/>
  <c r="E225" i="40"/>
  <c r="F225" i="40" s="1"/>
  <c r="G225" i="40" s="1"/>
  <c r="E224" i="40"/>
  <c r="F224" i="40" s="1"/>
  <c r="G224" i="40" s="1"/>
  <c r="E223" i="40"/>
  <c r="F223" i="40" s="1"/>
  <c r="G223" i="40" s="1"/>
  <c r="E222" i="40"/>
  <c r="F222" i="40" s="1"/>
  <c r="G222" i="40" s="1"/>
  <c r="E221" i="40"/>
  <c r="F221" i="40" s="1"/>
  <c r="G221" i="40" s="1"/>
  <c r="E220" i="40"/>
  <c r="F220" i="40" s="1"/>
  <c r="G220" i="40" s="1"/>
  <c r="E219" i="40"/>
  <c r="F219" i="40" s="1"/>
  <c r="G219" i="40" s="1"/>
  <c r="E218" i="40"/>
  <c r="F218" i="40" s="1"/>
  <c r="G218" i="40" s="1"/>
  <c r="E217" i="40"/>
  <c r="F217" i="40" s="1"/>
  <c r="G217" i="40" s="1"/>
  <c r="E216" i="40"/>
  <c r="F216" i="40" s="1"/>
  <c r="G216" i="40" s="1"/>
  <c r="E215" i="40"/>
  <c r="F215" i="40" s="1"/>
  <c r="G215" i="40" s="1"/>
  <c r="E214" i="40"/>
  <c r="F214" i="40" s="1"/>
  <c r="G214" i="40" s="1"/>
  <c r="E213" i="40"/>
  <c r="F213" i="40" s="1"/>
  <c r="G213" i="40" s="1"/>
  <c r="E212" i="40"/>
  <c r="F212" i="40" s="1"/>
  <c r="G212" i="40" s="1"/>
  <c r="E211" i="40"/>
  <c r="F211" i="40" s="1"/>
  <c r="G211" i="40" s="1"/>
  <c r="E210" i="40"/>
  <c r="F210" i="40" s="1"/>
  <c r="G210" i="40" s="1"/>
  <c r="E209" i="40"/>
  <c r="F209" i="40" s="1"/>
  <c r="G209" i="40" s="1"/>
  <c r="E208" i="40"/>
  <c r="F208" i="40" s="1"/>
  <c r="G208" i="40" s="1"/>
  <c r="E207" i="40"/>
  <c r="F207" i="40" s="1"/>
  <c r="G207" i="40" s="1"/>
  <c r="E206" i="40"/>
  <c r="F206" i="40" s="1"/>
  <c r="G206" i="40" s="1"/>
  <c r="E205" i="40"/>
  <c r="F205" i="40" s="1"/>
  <c r="G205" i="40" s="1"/>
  <c r="E204" i="40"/>
  <c r="F204" i="40" s="1"/>
  <c r="G204" i="40" s="1"/>
  <c r="E203" i="40"/>
  <c r="F203" i="40" s="1"/>
  <c r="G203" i="40" s="1"/>
  <c r="E202" i="40"/>
  <c r="F202" i="40" s="1"/>
  <c r="G202" i="40" s="1"/>
  <c r="E201" i="40"/>
  <c r="F201" i="40" s="1"/>
  <c r="G201" i="40" s="1"/>
  <c r="E200" i="40"/>
  <c r="F200" i="40" s="1"/>
  <c r="G200" i="40" s="1"/>
  <c r="E199" i="40"/>
  <c r="F199" i="40" s="1"/>
  <c r="G199" i="40" s="1"/>
  <c r="E198" i="40"/>
  <c r="F198" i="40" s="1"/>
  <c r="G198" i="40" s="1"/>
  <c r="E197" i="40"/>
  <c r="F197" i="40" s="1"/>
  <c r="G197" i="40" s="1"/>
  <c r="E196" i="40"/>
  <c r="F196" i="40" s="1"/>
  <c r="G196" i="40" s="1"/>
  <c r="E195" i="40"/>
  <c r="F195" i="40" s="1"/>
  <c r="G195" i="40" s="1"/>
  <c r="E194" i="40"/>
  <c r="F194" i="40" s="1"/>
  <c r="G194" i="40" s="1"/>
  <c r="E193" i="40"/>
  <c r="F193" i="40" s="1"/>
  <c r="G193" i="40" s="1"/>
  <c r="E192" i="40"/>
  <c r="F192" i="40" s="1"/>
  <c r="G192" i="40" s="1"/>
  <c r="E191" i="40"/>
  <c r="F191" i="40" s="1"/>
  <c r="G191" i="40" s="1"/>
  <c r="E190" i="40"/>
  <c r="F190" i="40" s="1"/>
  <c r="G190" i="40" s="1"/>
  <c r="E189" i="40"/>
  <c r="F189" i="40" s="1"/>
  <c r="G189" i="40" s="1"/>
  <c r="E188" i="40"/>
  <c r="F188" i="40" s="1"/>
  <c r="G188" i="40" s="1"/>
  <c r="E187" i="40"/>
  <c r="F187" i="40" s="1"/>
  <c r="G187" i="40" s="1"/>
  <c r="E186" i="40"/>
  <c r="F186" i="40" s="1"/>
  <c r="G186" i="40" s="1"/>
  <c r="E185" i="40"/>
  <c r="F185" i="40" s="1"/>
  <c r="G185" i="40" s="1"/>
  <c r="E184" i="40"/>
  <c r="F184" i="40" s="1"/>
  <c r="G184" i="40" s="1"/>
  <c r="E183" i="40"/>
  <c r="F183" i="40" s="1"/>
  <c r="G183" i="40" s="1"/>
  <c r="E182" i="40"/>
  <c r="F182" i="40" s="1"/>
  <c r="G182" i="40" s="1"/>
  <c r="E181" i="40"/>
  <c r="F181" i="40" s="1"/>
  <c r="G181" i="40" s="1"/>
  <c r="E180" i="40"/>
  <c r="F180" i="40" s="1"/>
  <c r="G180" i="40" s="1"/>
  <c r="E179" i="40"/>
  <c r="F179" i="40" s="1"/>
  <c r="G179" i="40" s="1"/>
  <c r="E178" i="40"/>
  <c r="F178" i="40" s="1"/>
  <c r="G178" i="40" s="1"/>
  <c r="E177" i="40"/>
  <c r="F177" i="40" s="1"/>
  <c r="G177" i="40" s="1"/>
  <c r="E176" i="40"/>
  <c r="F176" i="40" s="1"/>
  <c r="G176" i="40" s="1"/>
  <c r="E175" i="40"/>
  <c r="F175" i="40" s="1"/>
  <c r="G175" i="40" s="1"/>
  <c r="E174" i="40"/>
  <c r="F174" i="40" s="1"/>
  <c r="G174" i="40" s="1"/>
  <c r="E173" i="40"/>
  <c r="F173" i="40" s="1"/>
  <c r="G173" i="40" s="1"/>
  <c r="E172" i="40"/>
  <c r="F172" i="40" s="1"/>
  <c r="G172" i="40" s="1"/>
  <c r="E171" i="40"/>
  <c r="F171" i="40" s="1"/>
  <c r="G171" i="40" s="1"/>
  <c r="E170" i="40"/>
  <c r="F170" i="40" s="1"/>
  <c r="G170" i="40" s="1"/>
  <c r="E169" i="40"/>
  <c r="F169" i="40" s="1"/>
  <c r="G169" i="40" s="1"/>
  <c r="E168" i="40"/>
  <c r="F168" i="40" s="1"/>
  <c r="G168" i="40" s="1"/>
  <c r="E167" i="40"/>
  <c r="F167" i="40" s="1"/>
  <c r="G167" i="40" s="1"/>
  <c r="E166" i="40"/>
  <c r="F166" i="40" s="1"/>
  <c r="G166" i="40" s="1"/>
  <c r="E165" i="40"/>
  <c r="F165" i="40" s="1"/>
  <c r="G165" i="40" s="1"/>
  <c r="E164" i="40"/>
  <c r="F164" i="40" s="1"/>
  <c r="G164" i="40" s="1"/>
  <c r="E163" i="40"/>
  <c r="F163" i="40" s="1"/>
  <c r="G163" i="40" s="1"/>
  <c r="E162" i="40"/>
  <c r="F162" i="40" s="1"/>
  <c r="G162" i="40" s="1"/>
  <c r="E161" i="40"/>
  <c r="F161" i="40" s="1"/>
  <c r="G161" i="40" s="1"/>
  <c r="E160" i="40"/>
  <c r="F160" i="40" s="1"/>
  <c r="G160" i="40" s="1"/>
  <c r="E159" i="40"/>
  <c r="F159" i="40" s="1"/>
  <c r="G159" i="40" s="1"/>
  <c r="E158" i="40"/>
  <c r="F158" i="40" s="1"/>
  <c r="G158" i="40" s="1"/>
  <c r="E157" i="40"/>
  <c r="F157" i="40" s="1"/>
  <c r="G157" i="40" s="1"/>
  <c r="E156" i="40"/>
  <c r="F156" i="40" s="1"/>
  <c r="G156" i="40" s="1"/>
  <c r="E155" i="40"/>
  <c r="F155" i="40" s="1"/>
  <c r="G155" i="40" s="1"/>
  <c r="E154" i="40"/>
  <c r="F154" i="40" s="1"/>
  <c r="G154" i="40" s="1"/>
  <c r="E153" i="40"/>
  <c r="F153" i="40" s="1"/>
  <c r="G153" i="40" s="1"/>
  <c r="E152" i="40"/>
  <c r="F152" i="40" s="1"/>
  <c r="G152" i="40" s="1"/>
  <c r="E151" i="40"/>
  <c r="F151" i="40" s="1"/>
  <c r="G151" i="40" s="1"/>
  <c r="E150" i="40"/>
  <c r="F150" i="40" s="1"/>
  <c r="G150" i="40" s="1"/>
  <c r="E149" i="40"/>
  <c r="F149" i="40" s="1"/>
  <c r="G149" i="40" s="1"/>
  <c r="E148" i="40"/>
  <c r="F148" i="40" s="1"/>
  <c r="G148" i="40" s="1"/>
  <c r="E147" i="40"/>
  <c r="F147" i="40" s="1"/>
  <c r="G147" i="40" s="1"/>
  <c r="E145" i="40"/>
  <c r="F145" i="40" s="1"/>
  <c r="G145" i="40" s="1"/>
  <c r="E144" i="40"/>
  <c r="F144" i="40" s="1"/>
  <c r="G144" i="40" s="1"/>
  <c r="E143" i="40"/>
  <c r="F143" i="40" s="1"/>
  <c r="G143" i="40" s="1"/>
  <c r="E142" i="40"/>
  <c r="F142" i="40" s="1"/>
  <c r="G142" i="40" s="1"/>
  <c r="E141" i="40"/>
  <c r="F141" i="40" s="1"/>
  <c r="G141" i="40" s="1"/>
  <c r="E140" i="40"/>
  <c r="F140" i="40" s="1"/>
  <c r="G140" i="40" s="1"/>
  <c r="E139" i="40"/>
  <c r="F139" i="40" s="1"/>
  <c r="G139" i="40" s="1"/>
  <c r="E138" i="40"/>
  <c r="F138" i="40" s="1"/>
  <c r="G138" i="40" s="1"/>
  <c r="E137" i="40"/>
  <c r="F137" i="40" s="1"/>
  <c r="G137" i="40" s="1"/>
  <c r="E136" i="40"/>
  <c r="F136" i="40" s="1"/>
  <c r="G136" i="40" s="1"/>
  <c r="E135" i="40"/>
  <c r="F135" i="40" s="1"/>
  <c r="G135" i="40" s="1"/>
  <c r="E134" i="40"/>
  <c r="F134" i="40" s="1"/>
  <c r="G134" i="40" s="1"/>
  <c r="E133" i="40"/>
  <c r="F133" i="40" s="1"/>
  <c r="G133" i="40" s="1"/>
  <c r="E132" i="40"/>
  <c r="F132" i="40" s="1"/>
  <c r="G132" i="40" s="1"/>
  <c r="E131" i="40"/>
  <c r="F131" i="40" s="1"/>
  <c r="G131" i="40" s="1"/>
  <c r="E130" i="40"/>
  <c r="F130" i="40" s="1"/>
  <c r="G130" i="40" s="1"/>
  <c r="E129" i="40"/>
  <c r="F129" i="40" s="1"/>
  <c r="G129" i="40" s="1"/>
  <c r="E128" i="40"/>
  <c r="F128" i="40" s="1"/>
  <c r="G128" i="40" s="1"/>
  <c r="E127" i="40"/>
  <c r="F127" i="40" s="1"/>
  <c r="G127" i="40" s="1"/>
  <c r="E126" i="40"/>
  <c r="F126" i="40" s="1"/>
  <c r="G126" i="40" s="1"/>
  <c r="E125" i="40"/>
  <c r="F125" i="40" s="1"/>
  <c r="G125" i="40" s="1"/>
  <c r="E124" i="40"/>
  <c r="F124" i="40" s="1"/>
  <c r="G124" i="40" s="1"/>
  <c r="E123" i="40"/>
  <c r="F123" i="40" s="1"/>
  <c r="G123" i="40" s="1"/>
  <c r="E122" i="40"/>
  <c r="F122" i="40" s="1"/>
  <c r="G122" i="40" s="1"/>
  <c r="E121" i="40"/>
  <c r="F121" i="40" s="1"/>
  <c r="G121" i="40" s="1"/>
  <c r="E120" i="40"/>
  <c r="F120" i="40" s="1"/>
  <c r="G120" i="40" s="1"/>
  <c r="E119" i="40"/>
  <c r="F119" i="40" s="1"/>
  <c r="G119" i="40" s="1"/>
  <c r="E118" i="40"/>
  <c r="F118" i="40" s="1"/>
  <c r="G118" i="40" s="1"/>
  <c r="E117" i="40"/>
  <c r="F117" i="40" s="1"/>
  <c r="G117" i="40" s="1"/>
  <c r="E116" i="40"/>
  <c r="F116" i="40" s="1"/>
  <c r="G116" i="40" s="1"/>
  <c r="E115" i="40"/>
  <c r="F115" i="40" s="1"/>
  <c r="G115" i="40" s="1"/>
  <c r="E114" i="40"/>
  <c r="F114" i="40" s="1"/>
  <c r="G114" i="40" s="1"/>
  <c r="E113" i="40"/>
  <c r="F113" i="40" s="1"/>
  <c r="G113" i="40" s="1"/>
  <c r="E112" i="40"/>
  <c r="F112" i="40" s="1"/>
  <c r="G112" i="40" s="1"/>
  <c r="E111" i="40"/>
  <c r="F111" i="40" s="1"/>
  <c r="G111" i="40" s="1"/>
  <c r="E110" i="40"/>
  <c r="F110" i="40" s="1"/>
  <c r="G110" i="40" s="1"/>
  <c r="E109" i="40"/>
  <c r="F109" i="40" s="1"/>
  <c r="G109" i="40" s="1"/>
  <c r="E108" i="40"/>
  <c r="F108" i="40" s="1"/>
  <c r="G108" i="40" s="1"/>
  <c r="E107" i="40"/>
  <c r="F107" i="40" s="1"/>
  <c r="G107" i="40" s="1"/>
  <c r="E106" i="40"/>
  <c r="F106" i="40" s="1"/>
  <c r="G106" i="40" s="1"/>
  <c r="E105" i="40"/>
  <c r="F105" i="40" s="1"/>
  <c r="G105" i="40" s="1"/>
  <c r="E104" i="40"/>
  <c r="F104" i="40" s="1"/>
  <c r="G104" i="40" s="1"/>
  <c r="E103" i="40"/>
  <c r="F103" i="40" s="1"/>
  <c r="G103" i="40" s="1"/>
  <c r="E102" i="40"/>
  <c r="F102" i="40" s="1"/>
  <c r="G102" i="40" s="1"/>
  <c r="E101" i="40"/>
  <c r="F101" i="40" s="1"/>
  <c r="G101" i="40" s="1"/>
  <c r="E100" i="40"/>
  <c r="F100" i="40" s="1"/>
  <c r="G100" i="40" s="1"/>
  <c r="E99" i="40"/>
  <c r="F99" i="40" s="1"/>
  <c r="G99" i="40" s="1"/>
  <c r="E98" i="40"/>
  <c r="F98" i="40" s="1"/>
  <c r="G98" i="40" s="1"/>
  <c r="E97" i="40"/>
  <c r="F97" i="40" s="1"/>
  <c r="G97" i="40" s="1"/>
  <c r="E96" i="40"/>
  <c r="F96" i="40" s="1"/>
  <c r="G96" i="40" s="1"/>
  <c r="E95" i="40"/>
  <c r="F95" i="40" s="1"/>
  <c r="G95" i="40" s="1"/>
  <c r="E94" i="40"/>
  <c r="F94" i="40" s="1"/>
  <c r="G94" i="40" s="1"/>
  <c r="E93" i="40"/>
  <c r="F93" i="40" s="1"/>
  <c r="G93" i="40" s="1"/>
  <c r="E92" i="40"/>
  <c r="F92" i="40" s="1"/>
  <c r="G92" i="40" s="1"/>
  <c r="E91" i="40"/>
  <c r="F91" i="40" s="1"/>
  <c r="G91" i="40" s="1"/>
  <c r="E90" i="40"/>
  <c r="F90" i="40" s="1"/>
  <c r="G90" i="40" s="1"/>
  <c r="E89" i="40"/>
  <c r="F89" i="40" s="1"/>
  <c r="G89" i="40" s="1"/>
  <c r="E88" i="40"/>
  <c r="F88" i="40" s="1"/>
  <c r="G88" i="40" s="1"/>
  <c r="E87" i="40"/>
  <c r="F87" i="40" s="1"/>
  <c r="G87" i="40" s="1"/>
  <c r="E86" i="40"/>
  <c r="F86" i="40" s="1"/>
  <c r="G86" i="40" s="1"/>
  <c r="E85" i="40"/>
  <c r="F85" i="40" s="1"/>
  <c r="G85" i="40" s="1"/>
  <c r="E84" i="40"/>
  <c r="F84" i="40" s="1"/>
  <c r="G84" i="40" s="1"/>
  <c r="E83" i="40"/>
  <c r="F83" i="40" s="1"/>
  <c r="G83" i="40" s="1"/>
  <c r="E82" i="40"/>
  <c r="F82" i="40" s="1"/>
  <c r="G82" i="40" s="1"/>
  <c r="E81" i="40"/>
  <c r="F81" i="40" s="1"/>
  <c r="G81" i="40" s="1"/>
  <c r="E80" i="40"/>
  <c r="F80" i="40" s="1"/>
  <c r="G80" i="40" s="1"/>
  <c r="E79" i="40"/>
  <c r="F79" i="40" s="1"/>
  <c r="G79" i="40" s="1"/>
  <c r="E78" i="40"/>
  <c r="F78" i="40" s="1"/>
  <c r="G78" i="40" s="1"/>
  <c r="E77" i="40"/>
  <c r="F77" i="40" s="1"/>
  <c r="G77" i="40" s="1"/>
  <c r="E76" i="40"/>
  <c r="F76" i="40" s="1"/>
  <c r="G76" i="40" s="1"/>
  <c r="E75" i="40"/>
  <c r="F75" i="40" s="1"/>
  <c r="G75" i="40" s="1"/>
  <c r="E74" i="40"/>
  <c r="F74" i="40" s="1"/>
  <c r="G74" i="40" s="1"/>
  <c r="E73" i="40"/>
  <c r="F73" i="40" s="1"/>
  <c r="G73" i="40" s="1"/>
  <c r="E72" i="40"/>
  <c r="F72" i="40" s="1"/>
  <c r="G72" i="40" s="1"/>
  <c r="E71" i="40"/>
  <c r="F71" i="40" s="1"/>
  <c r="G71" i="40" s="1"/>
  <c r="E70" i="40"/>
  <c r="F70" i="40" s="1"/>
  <c r="G70" i="40" s="1"/>
  <c r="E69" i="40"/>
  <c r="F69" i="40" s="1"/>
  <c r="G69" i="40" s="1"/>
  <c r="E68" i="40"/>
  <c r="F68" i="40" s="1"/>
  <c r="G68" i="40" s="1"/>
  <c r="E67" i="40"/>
  <c r="F67" i="40" s="1"/>
  <c r="G67" i="40" s="1"/>
  <c r="E66" i="40"/>
  <c r="F66" i="40" s="1"/>
  <c r="G66" i="40" s="1"/>
  <c r="E65" i="40"/>
  <c r="F65" i="40" s="1"/>
  <c r="G65" i="40" s="1"/>
  <c r="E64" i="40"/>
  <c r="F64" i="40" s="1"/>
  <c r="G64" i="40" s="1"/>
  <c r="E63" i="40"/>
  <c r="F63" i="40" s="1"/>
  <c r="G63" i="40" s="1"/>
  <c r="E62" i="40"/>
  <c r="F62" i="40" s="1"/>
  <c r="G62" i="40" s="1"/>
  <c r="E61" i="40"/>
  <c r="F61" i="40" s="1"/>
  <c r="G61" i="40" s="1"/>
  <c r="E60" i="40"/>
  <c r="F60" i="40" s="1"/>
  <c r="G60" i="40" s="1"/>
  <c r="E59" i="40"/>
  <c r="F59" i="40" s="1"/>
  <c r="G59" i="40" s="1"/>
  <c r="E58" i="40"/>
  <c r="F58" i="40" s="1"/>
  <c r="G58" i="40" s="1"/>
  <c r="E57" i="40"/>
  <c r="F57" i="40" s="1"/>
  <c r="G57" i="40" s="1"/>
  <c r="E56" i="40"/>
  <c r="F56" i="40" s="1"/>
  <c r="G56" i="40" s="1"/>
  <c r="E55" i="40"/>
  <c r="F55" i="40" s="1"/>
  <c r="G55" i="40" s="1"/>
  <c r="E54" i="40"/>
  <c r="F54" i="40" s="1"/>
  <c r="G54" i="40" s="1"/>
  <c r="E53" i="40"/>
  <c r="F53" i="40" s="1"/>
  <c r="G53" i="40" s="1"/>
  <c r="E52" i="40"/>
  <c r="F52" i="40" s="1"/>
  <c r="G52" i="40" s="1"/>
  <c r="E51" i="40"/>
  <c r="F51" i="40" s="1"/>
  <c r="G51" i="40" s="1"/>
  <c r="E50" i="40"/>
  <c r="F50" i="40" s="1"/>
  <c r="G50" i="40" s="1"/>
  <c r="E49" i="40"/>
  <c r="F49" i="40" s="1"/>
  <c r="G49" i="40" s="1"/>
  <c r="E48" i="40"/>
  <c r="F48" i="40" s="1"/>
  <c r="G48" i="40" s="1"/>
  <c r="E47" i="40"/>
  <c r="F47" i="40" s="1"/>
  <c r="G47" i="40" s="1"/>
  <c r="E46" i="40"/>
  <c r="F46" i="40" s="1"/>
  <c r="G46" i="40" s="1"/>
  <c r="E45" i="40"/>
  <c r="F45" i="40" s="1"/>
  <c r="G45" i="40" s="1"/>
  <c r="E44" i="40"/>
  <c r="F44" i="40" s="1"/>
  <c r="G44" i="40" s="1"/>
  <c r="E43" i="40"/>
  <c r="F43" i="40" s="1"/>
  <c r="G43" i="40" s="1"/>
  <c r="E42" i="40"/>
  <c r="F42" i="40" s="1"/>
  <c r="G42" i="40" s="1"/>
  <c r="E41" i="40"/>
  <c r="F41" i="40" s="1"/>
  <c r="G41" i="40" s="1"/>
  <c r="E40" i="40"/>
  <c r="F40" i="40" s="1"/>
  <c r="G40" i="40" s="1"/>
  <c r="E39" i="40"/>
  <c r="F39" i="40" s="1"/>
  <c r="G39" i="40" s="1"/>
  <c r="E38" i="40"/>
  <c r="F38" i="40" s="1"/>
  <c r="G38" i="40" s="1"/>
  <c r="E37" i="40"/>
  <c r="F37" i="40" s="1"/>
  <c r="G37" i="40" s="1"/>
  <c r="E36" i="40"/>
  <c r="F36" i="40" s="1"/>
  <c r="G36" i="40" s="1"/>
  <c r="E35" i="40"/>
  <c r="F35" i="40" s="1"/>
  <c r="G35" i="40" s="1"/>
  <c r="E34" i="40"/>
  <c r="F34" i="40" s="1"/>
  <c r="G34" i="40" s="1"/>
  <c r="E33" i="40"/>
  <c r="F33" i="40" s="1"/>
  <c r="G33" i="40" s="1"/>
  <c r="E32" i="40"/>
  <c r="F32" i="40" s="1"/>
  <c r="G32" i="40" s="1"/>
  <c r="E31" i="40"/>
  <c r="F31" i="40" s="1"/>
  <c r="G31" i="40" s="1"/>
  <c r="E30" i="40"/>
  <c r="F30" i="40" s="1"/>
  <c r="G30" i="40" s="1"/>
  <c r="E29" i="40"/>
  <c r="F29" i="40" s="1"/>
  <c r="G29" i="40" s="1"/>
  <c r="E28" i="40"/>
  <c r="F28" i="40" s="1"/>
  <c r="G28" i="40" s="1"/>
  <c r="E27" i="40"/>
  <c r="F27" i="40" s="1"/>
  <c r="G27" i="40" s="1"/>
  <c r="E26" i="40"/>
  <c r="F26" i="40" s="1"/>
  <c r="G26" i="40" s="1"/>
  <c r="E25" i="40"/>
  <c r="F25" i="40" s="1"/>
  <c r="G25" i="40" s="1"/>
  <c r="E24" i="40"/>
  <c r="F24" i="40" s="1"/>
  <c r="G24" i="40" s="1"/>
  <c r="E23" i="40"/>
  <c r="F23" i="40" s="1"/>
  <c r="G23" i="40" s="1"/>
  <c r="E22" i="40"/>
  <c r="F22" i="40" s="1"/>
  <c r="G22" i="40" s="1"/>
  <c r="E21" i="40"/>
  <c r="F21" i="40" s="1"/>
  <c r="G21" i="40" s="1"/>
  <c r="E20" i="40"/>
  <c r="F20" i="40" s="1"/>
  <c r="G20" i="40" s="1"/>
  <c r="E19" i="40"/>
  <c r="F19" i="40" s="1"/>
  <c r="G19" i="40" s="1"/>
  <c r="E18" i="40"/>
  <c r="F18" i="40" s="1"/>
  <c r="G18" i="40" s="1"/>
  <c r="E17" i="40"/>
  <c r="F17" i="40" s="1"/>
  <c r="G17" i="40" s="1"/>
  <c r="E16" i="40"/>
  <c r="F16" i="40" s="1"/>
  <c r="G16" i="40" s="1"/>
  <c r="E15" i="40"/>
  <c r="F15" i="40" s="1"/>
  <c r="G15" i="40" s="1"/>
  <c r="E14" i="40"/>
  <c r="F14" i="40" s="1"/>
  <c r="G14" i="40" s="1"/>
  <c r="E13" i="40"/>
  <c r="F13" i="40" s="1"/>
  <c r="G13" i="40" s="1"/>
  <c r="E12" i="40"/>
  <c r="F12" i="40" s="1"/>
  <c r="G12" i="40" s="1"/>
  <c r="E11" i="40"/>
  <c r="F11" i="40" s="1"/>
  <c r="G11" i="40" s="1"/>
  <c r="E10" i="40"/>
  <c r="F10" i="40" s="1"/>
  <c r="G10" i="40" s="1"/>
  <c r="E9" i="40"/>
  <c r="F9" i="40" s="1"/>
  <c r="G9" i="40" s="1"/>
  <c r="E8" i="40"/>
  <c r="F8" i="40" s="1"/>
  <c r="G8" i="40" s="1"/>
  <c r="E7" i="40"/>
  <c r="F7" i="40" s="1"/>
  <c r="G7" i="40" s="1"/>
  <c r="E6" i="40"/>
  <c r="F6" i="40" s="1"/>
  <c r="G6" i="40" s="1"/>
  <c r="E5" i="40"/>
  <c r="E4" i="40"/>
  <c r="E3" i="40"/>
  <c r="L3" i="39"/>
  <c r="M3" i="39" s="1"/>
  <c r="N3" i="39" s="1"/>
  <c r="F6" i="39"/>
  <c r="G6" i="39" s="1"/>
  <c r="E3" i="39"/>
  <c r="D322" i="36"/>
  <c r="E322" i="36" s="1"/>
  <c r="G322" i="36"/>
  <c r="H322" i="36"/>
  <c r="D323" i="36"/>
  <c r="E323" i="36" s="1"/>
  <c r="F323" i="36"/>
  <c r="G323" i="36"/>
  <c r="H323" i="36"/>
  <c r="D324" i="36"/>
  <c r="E324" i="36"/>
  <c r="F324" i="36"/>
  <c r="G324" i="36"/>
  <c r="H324" i="36"/>
  <c r="D325" i="36"/>
  <c r="E325" i="36" s="1"/>
  <c r="H325" i="36"/>
  <c r="D326" i="36"/>
  <c r="E326" i="36" s="1"/>
  <c r="G326" i="36"/>
  <c r="H326" i="36"/>
  <c r="D327" i="36"/>
  <c r="E327" i="36" s="1"/>
  <c r="F327" i="36"/>
  <c r="G327" i="36"/>
  <c r="H327" i="36"/>
  <c r="D328" i="36"/>
  <c r="E328" i="36"/>
  <c r="F328" i="36"/>
  <c r="G328" i="36"/>
  <c r="H328" i="36"/>
  <c r="D329" i="36"/>
  <c r="E329" i="36" s="1"/>
  <c r="H329" i="36"/>
  <c r="D330" i="36"/>
  <c r="E330" i="36" s="1"/>
  <c r="G330" i="36"/>
  <c r="H330" i="36"/>
  <c r="D331" i="36"/>
  <c r="E331" i="36" s="1"/>
  <c r="F331" i="36"/>
  <c r="G331" i="36"/>
  <c r="H331" i="36"/>
  <c r="D332" i="36"/>
  <c r="E332" i="36"/>
  <c r="F332" i="36"/>
  <c r="G332" i="36"/>
  <c r="H332" i="36"/>
  <c r="D333" i="36"/>
  <c r="E333" i="36" s="1"/>
  <c r="H333" i="36"/>
  <c r="D4" i="36"/>
  <c r="E4" i="36" s="1"/>
  <c r="G4" i="36"/>
  <c r="H4" i="36"/>
  <c r="D5" i="36"/>
  <c r="E5" i="36" s="1"/>
  <c r="F5" i="36"/>
  <c r="G5" i="36"/>
  <c r="H5" i="36"/>
  <c r="D6" i="36"/>
  <c r="E6" i="36"/>
  <c r="F6" i="36"/>
  <c r="G6" i="36"/>
  <c r="H6" i="36"/>
  <c r="D7" i="36"/>
  <c r="E7" i="36" s="1"/>
  <c r="H7" i="36"/>
  <c r="D8" i="36"/>
  <c r="E8" i="36" s="1"/>
  <c r="G8" i="36"/>
  <c r="H8" i="36"/>
  <c r="D9" i="36"/>
  <c r="E9" i="36" s="1"/>
  <c r="F9" i="36"/>
  <c r="G9" i="36"/>
  <c r="H9" i="36"/>
  <c r="D10" i="36"/>
  <c r="E10" i="36"/>
  <c r="F10" i="36"/>
  <c r="G10" i="36"/>
  <c r="H10" i="36"/>
  <c r="D11" i="36"/>
  <c r="E11" i="36" s="1"/>
  <c r="H11" i="36"/>
  <c r="D12" i="36"/>
  <c r="E12" i="36" s="1"/>
  <c r="G12" i="36"/>
  <c r="H12" i="36"/>
  <c r="D13" i="36"/>
  <c r="E13" i="36" s="1"/>
  <c r="F13" i="36"/>
  <c r="G13" i="36"/>
  <c r="H13" i="36"/>
  <c r="D14" i="36"/>
  <c r="E14" i="36"/>
  <c r="F14" i="36"/>
  <c r="G14" i="36"/>
  <c r="H14" i="36"/>
  <c r="D15" i="36"/>
  <c r="E15" i="36" s="1"/>
  <c r="H15" i="36"/>
  <c r="D16" i="36"/>
  <c r="E16" i="36" s="1"/>
  <c r="G16" i="36"/>
  <c r="H16" i="36"/>
  <c r="D17" i="36"/>
  <c r="E17" i="36" s="1"/>
  <c r="F17" i="36"/>
  <c r="G17" i="36"/>
  <c r="H17" i="36"/>
  <c r="D18" i="36"/>
  <c r="E18" i="36"/>
  <c r="F18" i="36"/>
  <c r="G18" i="36"/>
  <c r="H18" i="36"/>
  <c r="D19" i="36"/>
  <c r="E19" i="36" s="1"/>
  <c r="H19" i="36"/>
  <c r="D20" i="36"/>
  <c r="E20" i="36" s="1"/>
  <c r="G20" i="36"/>
  <c r="H20" i="36"/>
  <c r="D21" i="36"/>
  <c r="E21" i="36" s="1"/>
  <c r="F21" i="36"/>
  <c r="G21" i="36"/>
  <c r="H21" i="36"/>
  <c r="D22" i="36"/>
  <c r="E22" i="36"/>
  <c r="F22" i="36"/>
  <c r="G22" i="36"/>
  <c r="H22" i="36"/>
  <c r="D23" i="36"/>
  <c r="E23" i="36" s="1"/>
  <c r="H23" i="36"/>
  <c r="D24" i="36"/>
  <c r="E24" i="36" s="1"/>
  <c r="G24" i="36"/>
  <c r="H24" i="36"/>
  <c r="D25" i="36"/>
  <c r="E25" i="36" s="1"/>
  <c r="F25" i="36"/>
  <c r="G25" i="36"/>
  <c r="H25" i="36"/>
  <c r="D26" i="36"/>
  <c r="E26" i="36"/>
  <c r="F26" i="36"/>
  <c r="G26" i="36"/>
  <c r="H26" i="36"/>
  <c r="D27" i="36"/>
  <c r="E27" i="36" s="1"/>
  <c r="H27" i="36"/>
  <c r="D28" i="36"/>
  <c r="E28" i="36" s="1"/>
  <c r="G28" i="36"/>
  <c r="H28" i="36"/>
  <c r="D29" i="36"/>
  <c r="E29" i="36" s="1"/>
  <c r="F29" i="36"/>
  <c r="G29" i="36"/>
  <c r="H29" i="36"/>
  <c r="D30" i="36"/>
  <c r="E30" i="36"/>
  <c r="F30" i="36"/>
  <c r="G30" i="36"/>
  <c r="H30" i="36"/>
  <c r="D31" i="36"/>
  <c r="H31" i="36"/>
  <c r="D32" i="36"/>
  <c r="E32" i="36" s="1"/>
  <c r="G32" i="36"/>
  <c r="H32" i="36"/>
  <c r="D33" i="36"/>
  <c r="E33" i="36" s="1"/>
  <c r="F33" i="36"/>
  <c r="G33" i="36"/>
  <c r="H33" i="36"/>
  <c r="D34" i="36"/>
  <c r="E34" i="36"/>
  <c r="F34" i="36"/>
  <c r="G34" i="36"/>
  <c r="H34" i="36"/>
  <c r="D35" i="36"/>
  <c r="H35" i="36"/>
  <c r="D36" i="36"/>
  <c r="E36" i="36" s="1"/>
  <c r="G36" i="36"/>
  <c r="H36" i="36"/>
  <c r="D37" i="36"/>
  <c r="E37" i="36" s="1"/>
  <c r="F37" i="36"/>
  <c r="G37" i="36"/>
  <c r="H37" i="36"/>
  <c r="D38" i="36"/>
  <c r="E38" i="36"/>
  <c r="F38" i="36"/>
  <c r="G38" i="36"/>
  <c r="H38" i="36"/>
  <c r="D39" i="36"/>
  <c r="H39" i="36"/>
  <c r="D40" i="36"/>
  <c r="E40" i="36" s="1"/>
  <c r="G40" i="36"/>
  <c r="H40" i="36"/>
  <c r="D41" i="36"/>
  <c r="E41" i="36" s="1"/>
  <c r="F41" i="36"/>
  <c r="G41" i="36"/>
  <c r="H41" i="36"/>
  <c r="D42" i="36"/>
  <c r="E42" i="36"/>
  <c r="F42" i="36"/>
  <c r="G42" i="36"/>
  <c r="H42" i="36"/>
  <c r="D43" i="36"/>
  <c r="H43" i="36"/>
  <c r="D44" i="36"/>
  <c r="E44" i="36" s="1"/>
  <c r="G44" i="36"/>
  <c r="H44" i="36"/>
  <c r="D45" i="36"/>
  <c r="E45" i="36" s="1"/>
  <c r="F45" i="36"/>
  <c r="G45" i="36"/>
  <c r="H45" i="36"/>
  <c r="D46" i="36"/>
  <c r="E46" i="36"/>
  <c r="F46" i="36"/>
  <c r="G46" i="36"/>
  <c r="H46" i="36"/>
  <c r="D47" i="36"/>
  <c r="H47" i="36"/>
  <c r="D48" i="36"/>
  <c r="E48" i="36" s="1"/>
  <c r="G48" i="36"/>
  <c r="H48" i="36"/>
  <c r="D49" i="36"/>
  <c r="E49" i="36" s="1"/>
  <c r="F49" i="36"/>
  <c r="G49" i="36"/>
  <c r="H49" i="36"/>
  <c r="D50" i="36"/>
  <c r="E50" i="36"/>
  <c r="F50" i="36"/>
  <c r="G50" i="36"/>
  <c r="H50" i="36"/>
  <c r="D51" i="36"/>
  <c r="H51" i="36"/>
  <c r="D52" i="36"/>
  <c r="E52" i="36" s="1"/>
  <c r="G52" i="36"/>
  <c r="H52" i="36"/>
  <c r="D53" i="36"/>
  <c r="E53" i="36" s="1"/>
  <c r="F53" i="36"/>
  <c r="G53" i="36"/>
  <c r="H53" i="36"/>
  <c r="D54" i="36"/>
  <c r="E54" i="36"/>
  <c r="F54" i="36"/>
  <c r="G54" i="36"/>
  <c r="H54" i="36"/>
  <c r="D55" i="36"/>
  <c r="H55" i="36"/>
  <c r="D56" i="36"/>
  <c r="E56" i="36" s="1"/>
  <c r="G56" i="36"/>
  <c r="H56" i="36"/>
  <c r="D57" i="36"/>
  <c r="E57" i="36" s="1"/>
  <c r="F57" i="36"/>
  <c r="G57" i="36"/>
  <c r="H57" i="36"/>
  <c r="D58" i="36"/>
  <c r="E58" i="36"/>
  <c r="F58" i="36"/>
  <c r="G58" i="36"/>
  <c r="H58" i="36"/>
  <c r="D59" i="36"/>
  <c r="H59" i="36"/>
  <c r="D60" i="36"/>
  <c r="E60" i="36" s="1"/>
  <c r="G60" i="36"/>
  <c r="H60" i="36"/>
  <c r="D61" i="36"/>
  <c r="E61" i="36" s="1"/>
  <c r="F61" i="36"/>
  <c r="G61" i="36"/>
  <c r="H61" i="36"/>
  <c r="D62" i="36"/>
  <c r="E62" i="36"/>
  <c r="F62" i="36"/>
  <c r="G62" i="36"/>
  <c r="H62" i="36"/>
  <c r="D63" i="36"/>
  <c r="E63" i="36" s="1"/>
  <c r="H63" i="36"/>
  <c r="D64" i="36"/>
  <c r="G64" i="36"/>
  <c r="H64" i="36"/>
  <c r="D65" i="36"/>
  <c r="E65" i="36" s="1"/>
  <c r="F65" i="36"/>
  <c r="G65" i="36"/>
  <c r="H65" i="36"/>
  <c r="D66" i="36"/>
  <c r="E66" i="36"/>
  <c r="F66" i="36"/>
  <c r="G66" i="36"/>
  <c r="H66" i="36"/>
  <c r="D67" i="36"/>
  <c r="E67" i="36"/>
  <c r="H67" i="36"/>
  <c r="D68" i="36"/>
  <c r="G68" i="36" s="1"/>
  <c r="H68" i="36"/>
  <c r="D69" i="36"/>
  <c r="E69" i="36" s="1"/>
  <c r="F69" i="36"/>
  <c r="G69" i="36"/>
  <c r="H69" i="36"/>
  <c r="D70" i="36"/>
  <c r="E70" i="36"/>
  <c r="F70" i="36"/>
  <c r="G70" i="36"/>
  <c r="H70" i="36"/>
  <c r="D71" i="36"/>
  <c r="E71" i="36" s="1"/>
  <c r="H71" i="36"/>
  <c r="D72" i="36"/>
  <c r="G72" i="36"/>
  <c r="H72" i="36"/>
  <c r="D73" i="36"/>
  <c r="E73" i="36" s="1"/>
  <c r="F73" i="36"/>
  <c r="G73" i="36"/>
  <c r="H73" i="36"/>
  <c r="D74" i="36"/>
  <c r="E74" i="36"/>
  <c r="F74" i="36"/>
  <c r="G74" i="36"/>
  <c r="H74" i="36"/>
  <c r="D75" i="36"/>
  <c r="E75" i="36"/>
  <c r="H75" i="36"/>
  <c r="D76" i="36"/>
  <c r="G76" i="36" s="1"/>
  <c r="H76" i="36"/>
  <c r="D77" i="36"/>
  <c r="E77" i="36" s="1"/>
  <c r="F77" i="36"/>
  <c r="G77" i="36"/>
  <c r="H77" i="36"/>
  <c r="D78" i="36"/>
  <c r="E78" i="36"/>
  <c r="F78" i="36"/>
  <c r="G78" i="36"/>
  <c r="H78" i="36"/>
  <c r="D79" i="36"/>
  <c r="E79" i="36" s="1"/>
  <c r="H79" i="36"/>
  <c r="D80" i="36"/>
  <c r="G80" i="36"/>
  <c r="H80" i="36"/>
  <c r="D81" i="36"/>
  <c r="E81" i="36" s="1"/>
  <c r="F81" i="36"/>
  <c r="G81" i="36"/>
  <c r="H81" i="36"/>
  <c r="D82" i="36"/>
  <c r="E82" i="36"/>
  <c r="F82" i="36"/>
  <c r="G82" i="36"/>
  <c r="H82" i="36"/>
  <c r="D83" i="36"/>
  <c r="E83" i="36"/>
  <c r="H83" i="36"/>
  <c r="D84" i="36"/>
  <c r="G84" i="36" s="1"/>
  <c r="H84" i="36"/>
  <c r="D85" i="36"/>
  <c r="E85" i="36" s="1"/>
  <c r="F85" i="36"/>
  <c r="G85" i="36"/>
  <c r="H85" i="36"/>
  <c r="D86" i="36"/>
  <c r="E86" i="36"/>
  <c r="F86" i="36"/>
  <c r="G86" i="36"/>
  <c r="H86" i="36"/>
  <c r="D87" i="36"/>
  <c r="E87" i="36" s="1"/>
  <c r="H87" i="36"/>
  <c r="D88" i="36"/>
  <c r="G88" i="36"/>
  <c r="H88" i="36"/>
  <c r="D89" i="36"/>
  <c r="E89" i="36" s="1"/>
  <c r="F89" i="36"/>
  <c r="G89" i="36"/>
  <c r="H89" i="36"/>
  <c r="D90" i="36"/>
  <c r="E90" i="36"/>
  <c r="F90" i="36"/>
  <c r="G90" i="36"/>
  <c r="H90" i="36"/>
  <c r="D91" i="36"/>
  <c r="G91" i="36" s="1"/>
  <c r="E91" i="36"/>
  <c r="H91" i="36"/>
  <c r="D92" i="36"/>
  <c r="F92" i="36" s="1"/>
  <c r="E92" i="36"/>
  <c r="H92" i="36"/>
  <c r="D93" i="36"/>
  <c r="E93" i="36" s="1"/>
  <c r="F93" i="36"/>
  <c r="H93" i="36"/>
  <c r="D94" i="36"/>
  <c r="E94" i="36"/>
  <c r="F94" i="36"/>
  <c r="G94" i="36"/>
  <c r="H94" i="36"/>
  <c r="D95" i="36"/>
  <c r="G95" i="36" s="1"/>
  <c r="F95" i="36"/>
  <c r="H95" i="36"/>
  <c r="D96" i="36"/>
  <c r="F96" i="36" s="1"/>
  <c r="G96" i="36"/>
  <c r="H96" i="36"/>
  <c r="D97" i="36"/>
  <c r="E97" i="36" s="1"/>
  <c r="G97" i="36"/>
  <c r="H97" i="36"/>
  <c r="D98" i="36"/>
  <c r="E98" i="36"/>
  <c r="F98" i="36"/>
  <c r="G98" i="36"/>
  <c r="H98" i="36"/>
  <c r="D99" i="36"/>
  <c r="G99" i="36" s="1"/>
  <c r="E99" i="36"/>
  <c r="F99" i="36"/>
  <c r="H99" i="36"/>
  <c r="D100" i="36"/>
  <c r="F100" i="36" s="1"/>
  <c r="E100" i="36"/>
  <c r="G100" i="36"/>
  <c r="H100" i="36"/>
  <c r="D101" i="36"/>
  <c r="E101" i="36" s="1"/>
  <c r="F101" i="36"/>
  <c r="G101" i="36"/>
  <c r="H101" i="36"/>
  <c r="D102" i="36"/>
  <c r="E102" i="36"/>
  <c r="F102" i="36"/>
  <c r="G102" i="36"/>
  <c r="H102" i="36"/>
  <c r="D103" i="36"/>
  <c r="G103" i="36" s="1"/>
  <c r="H103" i="36"/>
  <c r="D104" i="36"/>
  <c r="F104" i="36" s="1"/>
  <c r="H104" i="36"/>
  <c r="D105" i="36"/>
  <c r="E105" i="36" s="1"/>
  <c r="H105" i="36"/>
  <c r="D106" i="36"/>
  <c r="E106" i="36"/>
  <c r="F106" i="36"/>
  <c r="G106" i="36"/>
  <c r="H106" i="36"/>
  <c r="D107" i="36"/>
  <c r="G107" i="36" s="1"/>
  <c r="E107" i="36"/>
  <c r="H107" i="36"/>
  <c r="D108" i="36"/>
  <c r="F108" i="36" s="1"/>
  <c r="E108" i="36"/>
  <c r="H108" i="36"/>
  <c r="D109" i="36"/>
  <c r="E109" i="36" s="1"/>
  <c r="F109" i="36"/>
  <c r="H109" i="36"/>
  <c r="D110" i="36"/>
  <c r="E110" i="36"/>
  <c r="F110" i="36"/>
  <c r="G110" i="36"/>
  <c r="H110" i="36"/>
  <c r="D111" i="36"/>
  <c r="G111" i="36" s="1"/>
  <c r="F111" i="36"/>
  <c r="H111" i="36"/>
  <c r="D112" i="36"/>
  <c r="F112" i="36" s="1"/>
  <c r="G112" i="36"/>
  <c r="H112" i="36"/>
  <c r="D113" i="36"/>
  <c r="E113" i="36" s="1"/>
  <c r="G113" i="36"/>
  <c r="H113" i="36"/>
  <c r="D114" i="36"/>
  <c r="E114" i="36"/>
  <c r="F114" i="36"/>
  <c r="G114" i="36"/>
  <c r="H114" i="36"/>
  <c r="D115" i="36"/>
  <c r="G115" i="36" s="1"/>
  <c r="E115" i="36"/>
  <c r="F115" i="36"/>
  <c r="H115" i="36"/>
  <c r="D116" i="36"/>
  <c r="F116" i="36" s="1"/>
  <c r="E116" i="36"/>
  <c r="G116" i="36"/>
  <c r="H116" i="36"/>
  <c r="D117" i="36"/>
  <c r="E117" i="36"/>
  <c r="F117" i="36"/>
  <c r="G117" i="36"/>
  <c r="H117" i="36"/>
  <c r="D118" i="36"/>
  <c r="E118" i="36" s="1"/>
  <c r="H118" i="36"/>
  <c r="D119" i="36"/>
  <c r="F119" i="36" s="1"/>
  <c r="E119" i="36"/>
  <c r="G119" i="36"/>
  <c r="H119" i="36"/>
  <c r="D120" i="36"/>
  <c r="G120" i="36" s="1"/>
  <c r="F120" i="36"/>
  <c r="H120" i="36"/>
  <c r="D121" i="36"/>
  <c r="E121" i="36"/>
  <c r="F121" i="36"/>
  <c r="G121" i="36"/>
  <c r="H121" i="36"/>
  <c r="D122" i="36"/>
  <c r="E122" i="36" s="1"/>
  <c r="H122" i="36"/>
  <c r="D123" i="36"/>
  <c r="F123" i="36" s="1"/>
  <c r="E123" i="36"/>
  <c r="G123" i="36"/>
  <c r="H123" i="36"/>
  <c r="D124" i="36"/>
  <c r="G124" i="36" s="1"/>
  <c r="F124" i="36"/>
  <c r="H124" i="36"/>
  <c r="D125" i="36"/>
  <c r="E125" i="36"/>
  <c r="F125" i="36"/>
  <c r="G125" i="36"/>
  <c r="H125" i="36"/>
  <c r="D126" i="36"/>
  <c r="E126" i="36" s="1"/>
  <c r="H126" i="36"/>
  <c r="D127" i="36"/>
  <c r="F127" i="36" s="1"/>
  <c r="E127" i="36"/>
  <c r="G127" i="36"/>
  <c r="H127" i="36"/>
  <c r="D128" i="36"/>
  <c r="G128" i="36" s="1"/>
  <c r="F128" i="36"/>
  <c r="H128" i="36"/>
  <c r="D129" i="36"/>
  <c r="E129" i="36"/>
  <c r="F129" i="36"/>
  <c r="G129" i="36"/>
  <c r="H129" i="36"/>
  <c r="D130" i="36"/>
  <c r="E130" i="36" s="1"/>
  <c r="H130" i="36"/>
  <c r="D131" i="36"/>
  <c r="F131" i="36" s="1"/>
  <c r="E131" i="36"/>
  <c r="G131" i="36"/>
  <c r="H131" i="36"/>
  <c r="D132" i="36"/>
  <c r="G132" i="36" s="1"/>
  <c r="F132" i="36"/>
  <c r="H132" i="36"/>
  <c r="D133" i="36"/>
  <c r="E133" i="36"/>
  <c r="F133" i="36"/>
  <c r="G133" i="36"/>
  <c r="H133" i="36"/>
  <c r="D134" i="36"/>
  <c r="H134" i="36"/>
  <c r="D135" i="36"/>
  <c r="F135" i="36" s="1"/>
  <c r="E135" i="36"/>
  <c r="G135" i="36"/>
  <c r="H135" i="36"/>
  <c r="D136" i="36"/>
  <c r="G136" i="36" s="1"/>
  <c r="F136" i="36"/>
  <c r="H136" i="36"/>
  <c r="D137" i="36"/>
  <c r="E137" i="36"/>
  <c r="F137" i="36"/>
  <c r="G137" i="36"/>
  <c r="H137" i="36"/>
  <c r="D138" i="36"/>
  <c r="H138" i="36"/>
  <c r="D139" i="36"/>
  <c r="F139" i="36" s="1"/>
  <c r="E139" i="36"/>
  <c r="G139" i="36"/>
  <c r="H139" i="36"/>
  <c r="D140" i="36"/>
  <c r="G140" i="36" s="1"/>
  <c r="F140" i="36"/>
  <c r="H140" i="36"/>
  <c r="D141" i="36"/>
  <c r="E141" i="36"/>
  <c r="F141" i="36"/>
  <c r="G141" i="36"/>
  <c r="H141" i="36"/>
  <c r="D142" i="36"/>
  <c r="H142" i="36"/>
  <c r="D143" i="36"/>
  <c r="F143" i="36" s="1"/>
  <c r="E143" i="36"/>
  <c r="G143" i="36"/>
  <c r="H143" i="36"/>
  <c r="D144" i="36"/>
  <c r="G144" i="36" s="1"/>
  <c r="F144" i="36"/>
  <c r="H144" i="36"/>
  <c r="D145" i="36"/>
  <c r="E145" i="36"/>
  <c r="F145" i="36"/>
  <c r="G145" i="36"/>
  <c r="H145" i="36"/>
  <c r="D146" i="36"/>
  <c r="H146" i="36"/>
  <c r="D147" i="36"/>
  <c r="F147" i="36" s="1"/>
  <c r="E147" i="36"/>
  <c r="G147" i="36"/>
  <c r="H147" i="36"/>
  <c r="D148" i="36"/>
  <c r="G148" i="36" s="1"/>
  <c r="F148" i="36"/>
  <c r="H148" i="36"/>
  <c r="D149" i="36"/>
  <c r="E149" i="36"/>
  <c r="F149" i="36"/>
  <c r="G149" i="36"/>
  <c r="H149" i="36"/>
  <c r="D150" i="36"/>
  <c r="H150" i="36"/>
  <c r="D151" i="36"/>
  <c r="F151" i="36" s="1"/>
  <c r="E151" i="36"/>
  <c r="G151" i="36"/>
  <c r="H151" i="36"/>
  <c r="D152" i="36"/>
  <c r="G152" i="36" s="1"/>
  <c r="F152" i="36"/>
  <c r="H152" i="36"/>
  <c r="D153" i="36"/>
  <c r="E153" i="36"/>
  <c r="F153" i="36"/>
  <c r="G153" i="36"/>
  <c r="H153" i="36"/>
  <c r="D154" i="36"/>
  <c r="F154" i="36" s="1"/>
  <c r="H154" i="36"/>
  <c r="D155" i="36"/>
  <c r="F155" i="36" s="1"/>
  <c r="E155" i="36"/>
  <c r="G155" i="36"/>
  <c r="H155" i="36"/>
  <c r="D156" i="36"/>
  <c r="F156" i="36"/>
  <c r="H156" i="36"/>
  <c r="D157" i="36"/>
  <c r="E157" i="36"/>
  <c r="F157" i="36"/>
  <c r="G157" i="36"/>
  <c r="H157" i="36"/>
  <c r="D158" i="36"/>
  <c r="F158" i="36"/>
  <c r="H158" i="36"/>
  <c r="D159" i="36"/>
  <c r="F159" i="36" s="1"/>
  <c r="E159" i="36"/>
  <c r="G159" i="36"/>
  <c r="H159" i="36"/>
  <c r="D160" i="36"/>
  <c r="H160" i="36"/>
  <c r="D161" i="36"/>
  <c r="E161" i="36"/>
  <c r="F161" i="36"/>
  <c r="G161" i="36"/>
  <c r="H161" i="36"/>
  <c r="D162" i="36"/>
  <c r="H162" i="36"/>
  <c r="D163" i="36"/>
  <c r="F163" i="36" s="1"/>
  <c r="E163" i="36"/>
  <c r="G163" i="36"/>
  <c r="H163" i="36"/>
  <c r="D164" i="36"/>
  <c r="F164" i="36"/>
  <c r="H164" i="36"/>
  <c r="D165" i="36"/>
  <c r="E165" i="36"/>
  <c r="F165" i="36"/>
  <c r="G165" i="36"/>
  <c r="H165" i="36"/>
  <c r="D166" i="36"/>
  <c r="F166" i="36"/>
  <c r="H166" i="36"/>
  <c r="D167" i="36"/>
  <c r="F167" i="36" s="1"/>
  <c r="E167" i="36"/>
  <c r="G167" i="36"/>
  <c r="H167" i="36"/>
  <c r="D168" i="36"/>
  <c r="E168" i="36" s="1"/>
  <c r="H168" i="36"/>
  <c r="D169" i="36"/>
  <c r="E169" i="36"/>
  <c r="F169" i="36"/>
  <c r="G169" i="36"/>
  <c r="H169" i="36"/>
  <c r="D170" i="36"/>
  <c r="G170" i="36" s="1"/>
  <c r="E170" i="36"/>
  <c r="F170" i="36"/>
  <c r="H170" i="36"/>
  <c r="D171" i="36"/>
  <c r="F171" i="36" s="1"/>
  <c r="E171" i="36"/>
  <c r="G171" i="36"/>
  <c r="H171" i="36"/>
  <c r="D172" i="36"/>
  <c r="E172" i="36" s="1"/>
  <c r="F172" i="36"/>
  <c r="G172" i="36"/>
  <c r="H172" i="36"/>
  <c r="D173" i="36"/>
  <c r="E173" i="36"/>
  <c r="F173" i="36"/>
  <c r="G173" i="36"/>
  <c r="H173" i="36"/>
  <c r="D174" i="36"/>
  <c r="G174" i="36" s="1"/>
  <c r="F174" i="36"/>
  <c r="H174" i="36"/>
  <c r="D175" i="36"/>
  <c r="F175" i="36" s="1"/>
  <c r="H175" i="36"/>
  <c r="D176" i="36"/>
  <c r="E176" i="36" s="1"/>
  <c r="H176" i="36"/>
  <c r="D177" i="36"/>
  <c r="E177" i="36"/>
  <c r="F177" i="36"/>
  <c r="G177" i="36"/>
  <c r="H177" i="36"/>
  <c r="D178" i="36"/>
  <c r="G178" i="36" s="1"/>
  <c r="E178" i="36"/>
  <c r="H178" i="36"/>
  <c r="D179" i="36"/>
  <c r="F179" i="36" s="1"/>
  <c r="E179" i="36"/>
  <c r="H179" i="36"/>
  <c r="D180" i="36"/>
  <c r="E180" i="36" s="1"/>
  <c r="H180" i="36"/>
  <c r="D181" i="36"/>
  <c r="E181" i="36"/>
  <c r="F181" i="36"/>
  <c r="G181" i="36"/>
  <c r="H181" i="36"/>
  <c r="D182" i="36"/>
  <c r="G182" i="36" s="1"/>
  <c r="F182" i="36"/>
  <c r="H182" i="36"/>
  <c r="D183" i="36"/>
  <c r="F183" i="36" s="1"/>
  <c r="G183" i="36"/>
  <c r="H183" i="36"/>
  <c r="D184" i="36"/>
  <c r="E184" i="36" s="1"/>
  <c r="G184" i="36"/>
  <c r="H184" i="36"/>
  <c r="D185" i="36"/>
  <c r="E185" i="36"/>
  <c r="F185" i="36"/>
  <c r="G185" i="36"/>
  <c r="H185" i="36"/>
  <c r="D186" i="36"/>
  <c r="G186" i="36" s="1"/>
  <c r="E186" i="36"/>
  <c r="F186" i="36"/>
  <c r="H186" i="36"/>
  <c r="D187" i="36"/>
  <c r="F187" i="36" s="1"/>
  <c r="E187" i="36"/>
  <c r="G187" i="36"/>
  <c r="H187" i="36"/>
  <c r="D188" i="36"/>
  <c r="E188" i="36" s="1"/>
  <c r="F188" i="36"/>
  <c r="G188" i="36"/>
  <c r="H188" i="36"/>
  <c r="D189" i="36"/>
  <c r="E189" i="36"/>
  <c r="F189" i="36"/>
  <c r="G189" i="36"/>
  <c r="H189" i="36"/>
  <c r="D190" i="36"/>
  <c r="G190" i="36" s="1"/>
  <c r="H190" i="36"/>
  <c r="D191" i="36"/>
  <c r="F191" i="36" s="1"/>
  <c r="H191" i="36"/>
  <c r="D192" i="36"/>
  <c r="E192" i="36" s="1"/>
  <c r="H192" i="36"/>
  <c r="D193" i="36"/>
  <c r="E193" i="36"/>
  <c r="F193" i="36"/>
  <c r="G193" i="36"/>
  <c r="H193" i="36"/>
  <c r="D194" i="36"/>
  <c r="G194" i="36" s="1"/>
  <c r="H194" i="36"/>
  <c r="D195" i="36"/>
  <c r="F195" i="36" s="1"/>
  <c r="H195" i="36"/>
  <c r="D196" i="36"/>
  <c r="E196" i="36" s="1"/>
  <c r="H196" i="36"/>
  <c r="D197" i="36"/>
  <c r="E197" i="36"/>
  <c r="F197" i="36"/>
  <c r="G197" i="36"/>
  <c r="H197" i="36"/>
  <c r="D198" i="36"/>
  <c r="G198" i="36" s="1"/>
  <c r="F198" i="36"/>
  <c r="H198" i="36"/>
  <c r="D199" i="36"/>
  <c r="F199" i="36" s="1"/>
  <c r="G199" i="36"/>
  <c r="H199" i="36"/>
  <c r="D200" i="36"/>
  <c r="E200" i="36" s="1"/>
  <c r="G200" i="36"/>
  <c r="H200" i="36"/>
  <c r="D201" i="36"/>
  <c r="E201" i="36"/>
  <c r="F201" i="36"/>
  <c r="G201" i="36"/>
  <c r="H201" i="36"/>
  <c r="D202" i="36"/>
  <c r="G202" i="36" s="1"/>
  <c r="E202" i="36"/>
  <c r="F202" i="36"/>
  <c r="H202" i="36"/>
  <c r="D203" i="36"/>
  <c r="F203" i="36" s="1"/>
  <c r="E203" i="36"/>
  <c r="G203" i="36"/>
  <c r="H203" i="36"/>
  <c r="D204" i="36"/>
  <c r="E204" i="36" s="1"/>
  <c r="F204" i="36"/>
  <c r="G204" i="36"/>
  <c r="H204" i="36"/>
  <c r="D205" i="36"/>
  <c r="E205" i="36"/>
  <c r="F205" i="36"/>
  <c r="G205" i="36"/>
  <c r="H205" i="36"/>
  <c r="D206" i="36"/>
  <c r="G206" i="36" s="1"/>
  <c r="H206" i="36"/>
  <c r="D207" i="36"/>
  <c r="F207" i="36" s="1"/>
  <c r="H207" i="36"/>
  <c r="D208" i="36"/>
  <c r="E208" i="36" s="1"/>
  <c r="H208" i="36"/>
  <c r="D209" i="36"/>
  <c r="E209" i="36" s="1"/>
  <c r="G209" i="36"/>
  <c r="H209" i="36"/>
  <c r="D210" i="36"/>
  <c r="E210" i="36" s="1"/>
  <c r="F210" i="36"/>
  <c r="G210" i="36"/>
  <c r="H210" i="36"/>
  <c r="D211" i="36"/>
  <c r="E211" i="36"/>
  <c r="F211" i="36"/>
  <c r="G211" i="36"/>
  <c r="H211" i="36"/>
  <c r="D212" i="36"/>
  <c r="E212" i="36" s="1"/>
  <c r="H212" i="36"/>
  <c r="D213" i="36"/>
  <c r="E213" i="36" s="1"/>
  <c r="G213" i="36"/>
  <c r="H213" i="36"/>
  <c r="D214" i="36"/>
  <c r="E214" i="36" s="1"/>
  <c r="F214" i="36"/>
  <c r="G214" i="36"/>
  <c r="H214" i="36"/>
  <c r="D215" i="36"/>
  <c r="E215" i="36"/>
  <c r="F215" i="36"/>
  <c r="G215" i="36"/>
  <c r="H215" i="36"/>
  <c r="D216" i="36"/>
  <c r="E216" i="36" s="1"/>
  <c r="H216" i="36"/>
  <c r="D217" i="36"/>
  <c r="E217" i="36" s="1"/>
  <c r="G217" i="36"/>
  <c r="H217" i="36"/>
  <c r="D218" i="36"/>
  <c r="E218" i="36" s="1"/>
  <c r="F218" i="36"/>
  <c r="G218" i="36"/>
  <c r="H218" i="36"/>
  <c r="D219" i="36"/>
  <c r="E219" i="36"/>
  <c r="F219" i="36"/>
  <c r="G219" i="36"/>
  <c r="H219" i="36"/>
  <c r="D220" i="36"/>
  <c r="E220" i="36" s="1"/>
  <c r="H220" i="36"/>
  <c r="D221" i="36"/>
  <c r="E221" i="36" s="1"/>
  <c r="G221" i="36"/>
  <c r="H221" i="36"/>
  <c r="D222" i="36"/>
  <c r="E222" i="36" s="1"/>
  <c r="F222" i="36"/>
  <c r="G222" i="36"/>
  <c r="H222" i="36"/>
  <c r="D223" i="36"/>
  <c r="E223" i="36"/>
  <c r="F223" i="36"/>
  <c r="G223" i="36"/>
  <c r="H223" i="36"/>
  <c r="D224" i="36"/>
  <c r="E224" i="36" s="1"/>
  <c r="H224" i="36"/>
  <c r="D225" i="36"/>
  <c r="E225" i="36" s="1"/>
  <c r="G225" i="36"/>
  <c r="H225" i="36"/>
  <c r="D226" i="36"/>
  <c r="E226" i="36" s="1"/>
  <c r="F226" i="36"/>
  <c r="G226" i="36"/>
  <c r="H226" i="36"/>
  <c r="D227" i="36"/>
  <c r="E227" i="36"/>
  <c r="F227" i="36"/>
  <c r="G227" i="36"/>
  <c r="H227" i="36"/>
  <c r="D228" i="36"/>
  <c r="E228" i="36" s="1"/>
  <c r="H228" i="36"/>
  <c r="D229" i="36"/>
  <c r="E229" i="36" s="1"/>
  <c r="G229" i="36"/>
  <c r="H229" i="36"/>
  <c r="D230" i="36"/>
  <c r="E230" i="36" s="1"/>
  <c r="F230" i="36"/>
  <c r="G230" i="36"/>
  <c r="H230" i="36"/>
  <c r="D231" i="36"/>
  <c r="E231" i="36"/>
  <c r="F231" i="36"/>
  <c r="G231" i="36"/>
  <c r="H231" i="36"/>
  <c r="D232" i="36"/>
  <c r="E232" i="36" s="1"/>
  <c r="H232" i="36"/>
  <c r="D233" i="36"/>
  <c r="E233" i="36" s="1"/>
  <c r="G233" i="36"/>
  <c r="H233" i="36"/>
  <c r="D234" i="36"/>
  <c r="E234" i="36" s="1"/>
  <c r="F234" i="36"/>
  <c r="G234" i="36"/>
  <c r="H234" i="36"/>
  <c r="D235" i="36"/>
  <c r="E235" i="36"/>
  <c r="F235" i="36"/>
  <c r="G235" i="36"/>
  <c r="H235" i="36"/>
  <c r="D236" i="36"/>
  <c r="E236" i="36" s="1"/>
  <c r="H236" i="36"/>
  <c r="D237" i="36"/>
  <c r="E237" i="36" s="1"/>
  <c r="G237" i="36"/>
  <c r="H237" i="36"/>
  <c r="D238" i="36"/>
  <c r="E238" i="36" s="1"/>
  <c r="F238" i="36"/>
  <c r="G238" i="36"/>
  <c r="H238" i="36"/>
  <c r="D239" i="36"/>
  <c r="E239" i="36"/>
  <c r="F239" i="36"/>
  <c r="G239" i="36"/>
  <c r="H239" i="36"/>
  <c r="D240" i="36"/>
  <c r="E240" i="36" s="1"/>
  <c r="H240" i="36"/>
  <c r="D241" i="36"/>
  <c r="E241" i="36" s="1"/>
  <c r="G241" i="36"/>
  <c r="H241" i="36"/>
  <c r="D242" i="36"/>
  <c r="E242" i="36" s="1"/>
  <c r="F242" i="36"/>
  <c r="G242" i="36"/>
  <c r="H242" i="36"/>
  <c r="D243" i="36"/>
  <c r="E243" i="36"/>
  <c r="F243" i="36"/>
  <c r="G243" i="36"/>
  <c r="H243" i="36"/>
  <c r="D244" i="36"/>
  <c r="E244" i="36" s="1"/>
  <c r="H244" i="36"/>
  <c r="D245" i="36"/>
  <c r="E245" i="36" s="1"/>
  <c r="G245" i="36"/>
  <c r="H245" i="36"/>
  <c r="D246" i="36"/>
  <c r="E246" i="36" s="1"/>
  <c r="F246" i="36"/>
  <c r="G246" i="36"/>
  <c r="H246" i="36"/>
  <c r="D247" i="36"/>
  <c r="E247" i="36"/>
  <c r="F247" i="36"/>
  <c r="G247" i="36"/>
  <c r="H247" i="36"/>
  <c r="D248" i="36"/>
  <c r="E248" i="36" s="1"/>
  <c r="H248" i="36"/>
  <c r="D249" i="36"/>
  <c r="E249" i="36" s="1"/>
  <c r="G249" i="36"/>
  <c r="H249" i="36"/>
  <c r="D250" i="36"/>
  <c r="E250" i="36" s="1"/>
  <c r="F250" i="36"/>
  <c r="G250" i="36"/>
  <c r="H250" i="36"/>
  <c r="D251" i="36"/>
  <c r="E251" i="36"/>
  <c r="F251" i="36"/>
  <c r="G251" i="36"/>
  <c r="H251" i="36"/>
  <c r="D252" i="36"/>
  <c r="E252" i="36" s="1"/>
  <c r="H252" i="36"/>
  <c r="D253" i="36"/>
  <c r="E253" i="36" s="1"/>
  <c r="G253" i="36"/>
  <c r="H253" i="36"/>
  <c r="D254" i="36"/>
  <c r="E254" i="36" s="1"/>
  <c r="F254" i="36"/>
  <c r="G254" i="36"/>
  <c r="H254" i="36"/>
  <c r="D255" i="36"/>
  <c r="E255" i="36"/>
  <c r="F255" i="36"/>
  <c r="G255" i="36"/>
  <c r="H255" i="36"/>
  <c r="D256" i="36"/>
  <c r="E256" i="36" s="1"/>
  <c r="H256" i="36"/>
  <c r="D257" i="36"/>
  <c r="E257" i="36" s="1"/>
  <c r="G257" i="36"/>
  <c r="H257" i="36"/>
  <c r="D258" i="36"/>
  <c r="E258" i="36" s="1"/>
  <c r="F258" i="36"/>
  <c r="G258" i="36"/>
  <c r="H258" i="36"/>
  <c r="D259" i="36"/>
  <c r="E259" i="36"/>
  <c r="F259" i="36"/>
  <c r="G259" i="36"/>
  <c r="H259" i="36"/>
  <c r="D260" i="36"/>
  <c r="E260" i="36" s="1"/>
  <c r="H260" i="36"/>
  <c r="D261" i="36"/>
  <c r="E261" i="36" s="1"/>
  <c r="G261" i="36"/>
  <c r="H261" i="36"/>
  <c r="D262" i="36"/>
  <c r="E262" i="36" s="1"/>
  <c r="F262" i="36"/>
  <c r="G262" i="36"/>
  <c r="H262" i="36"/>
  <c r="D263" i="36"/>
  <c r="E263" i="36"/>
  <c r="F263" i="36"/>
  <c r="G263" i="36"/>
  <c r="H263" i="36"/>
  <c r="D264" i="36"/>
  <c r="E264" i="36" s="1"/>
  <c r="H264" i="36"/>
  <c r="D265" i="36"/>
  <c r="E265" i="36" s="1"/>
  <c r="G265" i="36"/>
  <c r="H265" i="36"/>
  <c r="D266" i="36"/>
  <c r="E266" i="36" s="1"/>
  <c r="F266" i="36"/>
  <c r="G266" i="36"/>
  <c r="H266" i="36"/>
  <c r="D267" i="36"/>
  <c r="E267" i="36"/>
  <c r="F267" i="36"/>
  <c r="G267" i="36"/>
  <c r="H267" i="36"/>
  <c r="D268" i="36"/>
  <c r="E268" i="36" s="1"/>
  <c r="H268" i="36"/>
  <c r="D269" i="36"/>
  <c r="E269" i="36" s="1"/>
  <c r="G269" i="36"/>
  <c r="H269" i="36"/>
  <c r="D270" i="36"/>
  <c r="E270" i="36" s="1"/>
  <c r="F270" i="36"/>
  <c r="G270" i="36"/>
  <c r="H270" i="36"/>
  <c r="D271" i="36"/>
  <c r="E271" i="36"/>
  <c r="F271" i="36"/>
  <c r="G271" i="36"/>
  <c r="H271" i="36"/>
  <c r="D272" i="36"/>
  <c r="H272" i="36"/>
  <c r="D273" i="36"/>
  <c r="G273" i="36"/>
  <c r="H273" i="36"/>
  <c r="D274" i="36"/>
  <c r="E274" i="36" s="1"/>
  <c r="F274" i="36"/>
  <c r="G274" i="36"/>
  <c r="H274" i="36"/>
  <c r="D275" i="36"/>
  <c r="E275" i="36"/>
  <c r="F275" i="36"/>
  <c r="G275" i="36"/>
  <c r="H275" i="36"/>
  <c r="D276" i="36"/>
  <c r="E276" i="36"/>
  <c r="H276" i="36"/>
  <c r="D277" i="36"/>
  <c r="G277" i="36"/>
  <c r="H277" i="36"/>
  <c r="D278" i="36"/>
  <c r="E278" i="36" s="1"/>
  <c r="F278" i="36"/>
  <c r="G278" i="36"/>
  <c r="H278" i="36"/>
  <c r="D279" i="36"/>
  <c r="E279" i="36"/>
  <c r="F279" i="36"/>
  <c r="G279" i="36"/>
  <c r="H279" i="36"/>
  <c r="D280" i="36"/>
  <c r="E280" i="36"/>
  <c r="H280" i="36"/>
  <c r="D281" i="36"/>
  <c r="G281" i="36" s="1"/>
  <c r="H281" i="36"/>
  <c r="D282" i="36"/>
  <c r="E282" i="36" s="1"/>
  <c r="F282" i="36"/>
  <c r="G282" i="36"/>
  <c r="H282" i="36"/>
  <c r="D283" i="36"/>
  <c r="E283" i="36"/>
  <c r="F283" i="36"/>
  <c r="G283" i="36"/>
  <c r="H283" i="36"/>
  <c r="D284" i="36"/>
  <c r="E284" i="36" s="1"/>
  <c r="H284" i="36"/>
  <c r="D285" i="36"/>
  <c r="H285" i="36"/>
  <c r="D286" i="36"/>
  <c r="E286" i="36" s="1"/>
  <c r="F286" i="36"/>
  <c r="G286" i="36"/>
  <c r="H286" i="36"/>
  <c r="D287" i="36"/>
  <c r="E287" i="36"/>
  <c r="F287" i="36"/>
  <c r="G287" i="36"/>
  <c r="H287" i="36"/>
  <c r="D288" i="36"/>
  <c r="H288" i="36"/>
  <c r="D289" i="36"/>
  <c r="G289" i="36"/>
  <c r="H289" i="36"/>
  <c r="D290" i="36"/>
  <c r="E290" i="36" s="1"/>
  <c r="F290" i="36"/>
  <c r="G290" i="36"/>
  <c r="H290" i="36"/>
  <c r="D291" i="36"/>
  <c r="E291" i="36"/>
  <c r="F291" i="36"/>
  <c r="G291" i="36"/>
  <c r="H291" i="36"/>
  <c r="D292" i="36"/>
  <c r="E292" i="36"/>
  <c r="H292" i="36"/>
  <c r="D293" i="36"/>
  <c r="G293" i="36"/>
  <c r="H293" i="36"/>
  <c r="D294" i="36"/>
  <c r="E294" i="36" s="1"/>
  <c r="F294" i="36"/>
  <c r="G294" i="36"/>
  <c r="H294" i="36"/>
  <c r="D295" i="36"/>
  <c r="E295" i="36"/>
  <c r="F295" i="36"/>
  <c r="G295" i="36"/>
  <c r="H295" i="36"/>
  <c r="D296" i="36"/>
  <c r="E296" i="36"/>
  <c r="H296" i="36"/>
  <c r="D297" i="36"/>
  <c r="G297" i="36" s="1"/>
  <c r="H297" i="36"/>
  <c r="D298" i="36"/>
  <c r="E298" i="36" s="1"/>
  <c r="F298" i="36"/>
  <c r="G298" i="36"/>
  <c r="H298" i="36"/>
  <c r="D299" i="36"/>
  <c r="E299" i="36"/>
  <c r="F299" i="36"/>
  <c r="G299" i="36"/>
  <c r="H299" i="36"/>
  <c r="D300" i="36"/>
  <c r="E300" i="36" s="1"/>
  <c r="H300" i="36"/>
  <c r="D301" i="36"/>
  <c r="H301" i="36"/>
  <c r="D302" i="36"/>
  <c r="E302" i="36" s="1"/>
  <c r="F302" i="36"/>
  <c r="G302" i="36"/>
  <c r="H302" i="36"/>
  <c r="D303" i="36"/>
  <c r="E303" i="36"/>
  <c r="F303" i="36"/>
  <c r="G303" i="36"/>
  <c r="H303" i="36"/>
  <c r="D304" i="36"/>
  <c r="H304" i="36"/>
  <c r="D305" i="36"/>
  <c r="G305" i="36"/>
  <c r="H305" i="36"/>
  <c r="D306" i="36"/>
  <c r="E306" i="36" s="1"/>
  <c r="F306" i="36"/>
  <c r="G306" i="36"/>
  <c r="H306" i="36"/>
  <c r="D307" i="36"/>
  <c r="E307" i="36"/>
  <c r="F307" i="36"/>
  <c r="G307" i="36"/>
  <c r="H307" i="36"/>
  <c r="D308" i="36"/>
  <c r="E308" i="36"/>
  <c r="H308" i="36"/>
  <c r="D309" i="36"/>
  <c r="G309" i="36"/>
  <c r="H309" i="36"/>
  <c r="D310" i="36"/>
  <c r="E310" i="36" s="1"/>
  <c r="F310" i="36"/>
  <c r="G310" i="36"/>
  <c r="H310" i="36"/>
  <c r="D311" i="36"/>
  <c r="E311" i="36"/>
  <c r="F311" i="36"/>
  <c r="G311" i="36"/>
  <c r="H311" i="36"/>
  <c r="D312" i="36"/>
  <c r="E312" i="36"/>
  <c r="H312" i="36"/>
  <c r="D313" i="36"/>
  <c r="G313" i="36" s="1"/>
  <c r="H313" i="36"/>
  <c r="D314" i="36"/>
  <c r="E314" i="36" s="1"/>
  <c r="F314" i="36"/>
  <c r="G314" i="36"/>
  <c r="H314" i="36"/>
  <c r="D315" i="36"/>
  <c r="E315" i="36"/>
  <c r="F315" i="36"/>
  <c r="G315" i="36"/>
  <c r="H315" i="36"/>
  <c r="D316" i="36"/>
  <c r="E316" i="36" s="1"/>
  <c r="H316" i="36"/>
  <c r="D317" i="36"/>
  <c r="H317" i="36"/>
  <c r="D318" i="36"/>
  <c r="E318" i="36" s="1"/>
  <c r="F318" i="36"/>
  <c r="G318" i="36"/>
  <c r="H318" i="36"/>
  <c r="D319" i="36"/>
  <c r="E319" i="36"/>
  <c r="F319" i="36"/>
  <c r="G319" i="36"/>
  <c r="H319" i="36"/>
  <c r="D320" i="36"/>
  <c r="H320" i="36"/>
  <c r="D321" i="36"/>
  <c r="G321" i="36"/>
  <c r="H321" i="36"/>
  <c r="D334" i="36"/>
  <c r="E334" i="36" s="1"/>
  <c r="H334" i="36"/>
  <c r="D335" i="36"/>
  <c r="E335" i="36"/>
  <c r="F335" i="36"/>
  <c r="G335" i="36"/>
  <c r="H335" i="36"/>
  <c r="D336" i="36"/>
  <c r="G336" i="36" s="1"/>
  <c r="E336" i="36"/>
  <c r="F336" i="36"/>
  <c r="H336" i="36"/>
  <c r="D337" i="36"/>
  <c r="F337" i="36" s="1"/>
  <c r="E337" i="36"/>
  <c r="G337" i="36"/>
  <c r="H337" i="36"/>
  <c r="D338" i="36"/>
  <c r="E338" i="36" s="1"/>
  <c r="F338" i="36"/>
  <c r="G338" i="36"/>
  <c r="H338" i="36"/>
  <c r="D339" i="36"/>
  <c r="E339" i="36"/>
  <c r="F339" i="36"/>
  <c r="G339" i="36"/>
  <c r="H339" i="36"/>
  <c r="D340" i="36"/>
  <c r="G340" i="36" s="1"/>
  <c r="E340" i="36"/>
  <c r="F340" i="36"/>
  <c r="H340" i="36"/>
  <c r="D341" i="36"/>
  <c r="F341" i="36" s="1"/>
  <c r="E341" i="36"/>
  <c r="G341" i="36"/>
  <c r="H341" i="36"/>
  <c r="D342" i="36"/>
  <c r="E342" i="36" s="1"/>
  <c r="F342" i="36"/>
  <c r="G342" i="36"/>
  <c r="H342" i="36"/>
  <c r="D343" i="36"/>
  <c r="E343" i="36"/>
  <c r="F343" i="36"/>
  <c r="G343" i="36"/>
  <c r="H343" i="36"/>
  <c r="D344" i="36"/>
  <c r="G344" i="36" s="1"/>
  <c r="E344" i="36"/>
  <c r="H344" i="36"/>
  <c r="D345" i="36"/>
  <c r="F345" i="36" s="1"/>
  <c r="E345" i="36"/>
  <c r="H345" i="36"/>
  <c r="D346" i="36"/>
  <c r="E346" i="36" s="1"/>
  <c r="F346" i="36"/>
  <c r="H346" i="36"/>
  <c r="D347" i="36"/>
  <c r="E347" i="36"/>
  <c r="F347" i="36"/>
  <c r="G347" i="36"/>
  <c r="H347" i="36"/>
  <c r="D348" i="36"/>
  <c r="G348" i="36" s="1"/>
  <c r="H348" i="36"/>
  <c r="D349" i="36"/>
  <c r="F349" i="36" s="1"/>
  <c r="H349" i="36"/>
  <c r="D350" i="36"/>
  <c r="E350" i="36" s="1"/>
  <c r="H350" i="36"/>
  <c r="D351" i="36"/>
  <c r="E351" i="36"/>
  <c r="F351" i="36"/>
  <c r="G351" i="36"/>
  <c r="H351" i="36"/>
  <c r="D352" i="36"/>
  <c r="G352" i="36" s="1"/>
  <c r="E352" i="36"/>
  <c r="F352" i="36"/>
  <c r="H352" i="36"/>
  <c r="D353" i="36"/>
  <c r="F353" i="36" s="1"/>
  <c r="E353" i="36"/>
  <c r="G353" i="36"/>
  <c r="H353" i="36"/>
  <c r="D354" i="36"/>
  <c r="E354" i="36" s="1"/>
  <c r="F354" i="36"/>
  <c r="G354" i="36"/>
  <c r="H354" i="36"/>
  <c r="D355" i="36"/>
  <c r="E355" i="36"/>
  <c r="F355" i="36"/>
  <c r="G355" i="36"/>
  <c r="H355" i="36"/>
  <c r="D356" i="36"/>
  <c r="G356" i="36" s="1"/>
  <c r="E356" i="36"/>
  <c r="F356" i="36"/>
  <c r="H356" i="36"/>
  <c r="D357" i="36"/>
  <c r="F357" i="36" s="1"/>
  <c r="E357" i="36"/>
  <c r="G357" i="36"/>
  <c r="H357" i="36"/>
  <c r="D358" i="36"/>
  <c r="E358" i="36" s="1"/>
  <c r="F358" i="36"/>
  <c r="G358" i="36"/>
  <c r="H358" i="36"/>
  <c r="D359" i="36"/>
  <c r="E359" i="36"/>
  <c r="F359" i="36"/>
  <c r="G359" i="36"/>
  <c r="H359" i="36"/>
  <c r="D360" i="36"/>
  <c r="G360" i="36" s="1"/>
  <c r="E360" i="36"/>
  <c r="H360" i="36"/>
  <c r="D361" i="36"/>
  <c r="F361" i="36" s="1"/>
  <c r="E361" i="36"/>
  <c r="H361" i="36"/>
  <c r="D362" i="36"/>
  <c r="E362" i="36" s="1"/>
  <c r="F362" i="36"/>
  <c r="H362" i="36"/>
  <c r="D363" i="36"/>
  <c r="E363" i="36"/>
  <c r="F363" i="36"/>
  <c r="G363" i="36"/>
  <c r="H363" i="36"/>
  <c r="D364" i="36"/>
  <c r="G364" i="36" s="1"/>
  <c r="H364" i="36"/>
  <c r="D365" i="36"/>
  <c r="F365" i="36" s="1"/>
  <c r="H365" i="36"/>
  <c r="D366" i="36"/>
  <c r="E366" i="36" s="1"/>
  <c r="H366" i="36"/>
  <c r="D367" i="36"/>
  <c r="E367" i="36"/>
  <c r="F367" i="36"/>
  <c r="G367" i="36"/>
  <c r="H367" i="36"/>
  <c r="D368" i="36"/>
  <c r="G368" i="36" s="1"/>
  <c r="E368" i="36"/>
  <c r="F368" i="36"/>
  <c r="H368" i="36"/>
  <c r="D369" i="36"/>
  <c r="F369" i="36" s="1"/>
  <c r="E369" i="36"/>
  <c r="G369" i="36"/>
  <c r="H369" i="36"/>
  <c r="D370" i="36"/>
  <c r="E370" i="36" s="1"/>
  <c r="F370" i="36"/>
  <c r="G370" i="36"/>
  <c r="H370" i="36"/>
  <c r="D371" i="36"/>
  <c r="E371" i="36"/>
  <c r="F371" i="36"/>
  <c r="G371" i="36"/>
  <c r="H371" i="36"/>
  <c r="D372" i="36"/>
  <c r="G372" i="36" s="1"/>
  <c r="E372" i="36"/>
  <c r="F372" i="36"/>
  <c r="H372" i="36"/>
  <c r="D373" i="36"/>
  <c r="F373" i="36" s="1"/>
  <c r="E373" i="36"/>
  <c r="G373" i="36"/>
  <c r="H373" i="36"/>
  <c r="D374" i="36"/>
  <c r="E374" i="36" s="1"/>
  <c r="F374" i="36"/>
  <c r="G374" i="36"/>
  <c r="H374" i="36"/>
  <c r="D375" i="36"/>
  <c r="E375" i="36"/>
  <c r="F375" i="36"/>
  <c r="G375" i="36"/>
  <c r="H375" i="36"/>
  <c r="D376" i="36"/>
  <c r="G376" i="36" s="1"/>
  <c r="E376" i="36"/>
  <c r="H376" i="36"/>
  <c r="D377" i="36"/>
  <c r="F377" i="36" s="1"/>
  <c r="E377" i="36"/>
  <c r="H377" i="36"/>
  <c r="D378" i="36"/>
  <c r="E378" i="36" s="1"/>
  <c r="F378" i="36"/>
  <c r="H378" i="36"/>
  <c r="D379" i="36"/>
  <c r="E379" i="36"/>
  <c r="F379" i="36"/>
  <c r="G379" i="36"/>
  <c r="H379" i="36"/>
  <c r="D380" i="36"/>
  <c r="G380" i="36" s="1"/>
  <c r="H380" i="36"/>
  <c r="D381" i="36"/>
  <c r="F381" i="36" s="1"/>
  <c r="H381" i="36"/>
  <c r="D382" i="36"/>
  <c r="E382" i="36" s="1"/>
  <c r="H382" i="36"/>
  <c r="D383" i="36"/>
  <c r="E383" i="36"/>
  <c r="F383" i="36"/>
  <c r="G383" i="36"/>
  <c r="H383" i="36"/>
  <c r="D384" i="36"/>
  <c r="G384" i="36" s="1"/>
  <c r="E384" i="36"/>
  <c r="F384" i="36"/>
  <c r="H384" i="36"/>
  <c r="D385" i="36"/>
  <c r="F385" i="36" s="1"/>
  <c r="E385" i="36"/>
  <c r="G385" i="36"/>
  <c r="H385" i="36"/>
  <c r="D386" i="36"/>
  <c r="E386" i="36" s="1"/>
  <c r="F386" i="36"/>
  <c r="G386" i="36"/>
  <c r="H386" i="36"/>
  <c r="D387" i="36"/>
  <c r="E387" i="36"/>
  <c r="F387" i="36"/>
  <c r="G387" i="36"/>
  <c r="H387" i="36"/>
  <c r="D388" i="36"/>
  <c r="G388" i="36" s="1"/>
  <c r="E388" i="36"/>
  <c r="F388" i="36"/>
  <c r="H388" i="36"/>
  <c r="D389" i="36"/>
  <c r="F389" i="36" s="1"/>
  <c r="E389" i="36"/>
  <c r="G389" i="36"/>
  <c r="H389" i="36"/>
  <c r="D390" i="36"/>
  <c r="E390" i="36" s="1"/>
  <c r="F390" i="36"/>
  <c r="G390" i="36"/>
  <c r="H390" i="36"/>
  <c r="D391" i="36"/>
  <c r="E391" i="36"/>
  <c r="F391" i="36"/>
  <c r="G391" i="36"/>
  <c r="H391" i="36"/>
  <c r="D392" i="36"/>
  <c r="G392" i="36" s="1"/>
  <c r="E392" i="36"/>
  <c r="H392" i="36"/>
  <c r="D393" i="36"/>
  <c r="F393" i="36" s="1"/>
  <c r="E393" i="36"/>
  <c r="H393" i="36"/>
  <c r="D394" i="36"/>
  <c r="E394" i="36" s="1"/>
  <c r="F394" i="36"/>
  <c r="H394" i="36"/>
  <c r="D395" i="36"/>
  <c r="E395" i="36"/>
  <c r="F395" i="36"/>
  <c r="G395" i="36"/>
  <c r="H395" i="36"/>
  <c r="D396" i="36"/>
  <c r="G396" i="36" s="1"/>
  <c r="H396" i="36"/>
  <c r="D397" i="36"/>
  <c r="F397" i="36" s="1"/>
  <c r="H397" i="36"/>
  <c r="D398" i="36"/>
  <c r="E398" i="36" s="1"/>
  <c r="H398" i="36"/>
  <c r="D399" i="36"/>
  <c r="E399" i="36"/>
  <c r="F399" i="36"/>
  <c r="G399" i="36"/>
  <c r="H399" i="36"/>
  <c r="D400" i="36"/>
  <c r="G400" i="36" s="1"/>
  <c r="E400" i="36"/>
  <c r="F400" i="36"/>
  <c r="H400" i="36"/>
  <c r="D401" i="36"/>
  <c r="F401" i="36" s="1"/>
  <c r="E401" i="36"/>
  <c r="G401" i="36"/>
  <c r="H401" i="36"/>
  <c r="D402" i="36"/>
  <c r="E402" i="36" s="1"/>
  <c r="F402" i="36"/>
  <c r="G402" i="36"/>
  <c r="H402" i="36"/>
  <c r="D403" i="36"/>
  <c r="E403" i="36"/>
  <c r="F403" i="36"/>
  <c r="G403" i="36"/>
  <c r="H403" i="36"/>
  <c r="D404" i="36"/>
  <c r="G404" i="36" s="1"/>
  <c r="E404" i="36"/>
  <c r="F404" i="36"/>
  <c r="H404" i="36"/>
  <c r="D405" i="36"/>
  <c r="F405" i="36" s="1"/>
  <c r="E405" i="36"/>
  <c r="G405" i="36"/>
  <c r="H405" i="36"/>
  <c r="D406" i="36"/>
  <c r="E406" i="36" s="1"/>
  <c r="F406" i="36"/>
  <c r="G406" i="36"/>
  <c r="H406" i="36"/>
  <c r="D407" i="36"/>
  <c r="E407" i="36"/>
  <c r="F407" i="36"/>
  <c r="G407" i="36"/>
  <c r="H407" i="36"/>
  <c r="D408" i="36"/>
  <c r="G408" i="36" s="1"/>
  <c r="E408" i="36"/>
  <c r="H408" i="36"/>
  <c r="D409" i="36"/>
  <c r="F409" i="36" s="1"/>
  <c r="E409" i="36"/>
  <c r="H409" i="36"/>
  <c r="D410" i="36"/>
  <c r="E410" i="36" s="1"/>
  <c r="F410" i="36"/>
  <c r="H410" i="36"/>
  <c r="D411" i="36"/>
  <c r="E411" i="36"/>
  <c r="F411" i="36"/>
  <c r="G411" i="36"/>
  <c r="H411" i="36"/>
  <c r="D412" i="36"/>
  <c r="G412" i="36" s="1"/>
  <c r="H412" i="36"/>
  <c r="D413" i="36"/>
  <c r="F413" i="36" s="1"/>
  <c r="H413" i="36"/>
  <c r="D414" i="36"/>
  <c r="E414" i="36" s="1"/>
  <c r="H414" i="36"/>
  <c r="D415" i="36"/>
  <c r="E415" i="36" s="1"/>
  <c r="H415" i="36"/>
  <c r="D4" i="35"/>
  <c r="E4" i="35" s="1"/>
  <c r="H4" i="35"/>
  <c r="D5" i="35"/>
  <c r="E5" i="35" s="1"/>
  <c r="G5" i="35"/>
  <c r="H5" i="35"/>
  <c r="D6" i="35"/>
  <c r="E6" i="35" s="1"/>
  <c r="F6" i="35"/>
  <c r="G6" i="35"/>
  <c r="H6" i="35"/>
  <c r="D7" i="35"/>
  <c r="E7" i="35"/>
  <c r="F7" i="35"/>
  <c r="G7" i="35"/>
  <c r="H7" i="35"/>
  <c r="D8" i="35"/>
  <c r="E8" i="35" s="1"/>
  <c r="H8" i="35"/>
  <c r="D9" i="35"/>
  <c r="E9" i="35" s="1"/>
  <c r="G9" i="35"/>
  <c r="H9" i="35"/>
  <c r="D10" i="35"/>
  <c r="E10" i="35" s="1"/>
  <c r="F10" i="35"/>
  <c r="G10" i="35"/>
  <c r="H10" i="35"/>
  <c r="D11" i="35"/>
  <c r="E11" i="35"/>
  <c r="F11" i="35"/>
  <c r="G11" i="35"/>
  <c r="H11" i="35"/>
  <c r="D12" i="35"/>
  <c r="E12" i="35" s="1"/>
  <c r="H12" i="35"/>
  <c r="D13" i="35"/>
  <c r="E13" i="35" s="1"/>
  <c r="G13" i="35"/>
  <c r="H13" i="35"/>
  <c r="D14" i="35"/>
  <c r="E14" i="35" s="1"/>
  <c r="F14" i="35"/>
  <c r="G14" i="35"/>
  <c r="H14" i="35"/>
  <c r="D15" i="35"/>
  <c r="E15" i="35"/>
  <c r="F15" i="35"/>
  <c r="G15" i="35"/>
  <c r="H15" i="35"/>
  <c r="D16" i="35"/>
  <c r="E16" i="35" s="1"/>
  <c r="H16" i="35"/>
  <c r="D17" i="35"/>
  <c r="E17" i="35" s="1"/>
  <c r="G17" i="35"/>
  <c r="H17" i="35"/>
  <c r="D18" i="35"/>
  <c r="E18" i="35" s="1"/>
  <c r="F18" i="35"/>
  <c r="G18" i="35"/>
  <c r="H18" i="35"/>
  <c r="D19" i="35"/>
  <c r="E19" i="35"/>
  <c r="F19" i="35"/>
  <c r="G19" i="35"/>
  <c r="H19" i="35"/>
  <c r="D20" i="35"/>
  <c r="E20" i="35" s="1"/>
  <c r="H20" i="35"/>
  <c r="D21" i="35"/>
  <c r="E21" i="35" s="1"/>
  <c r="G21" i="35"/>
  <c r="H21" i="35"/>
  <c r="D22" i="35"/>
  <c r="E22" i="35" s="1"/>
  <c r="F22" i="35"/>
  <c r="G22" i="35"/>
  <c r="H22" i="35"/>
  <c r="D23" i="35"/>
  <c r="E23" i="35"/>
  <c r="F23" i="35"/>
  <c r="G23" i="35"/>
  <c r="H23" i="35"/>
  <c r="D24" i="35"/>
  <c r="E24" i="35" s="1"/>
  <c r="H24" i="35"/>
  <c r="D25" i="35"/>
  <c r="E25" i="35" s="1"/>
  <c r="G25" i="35"/>
  <c r="H25" i="35"/>
  <c r="D26" i="35"/>
  <c r="E26" i="35" s="1"/>
  <c r="F26" i="35"/>
  <c r="G26" i="35"/>
  <c r="H26" i="35"/>
  <c r="D27" i="35"/>
  <c r="E27" i="35"/>
  <c r="F27" i="35"/>
  <c r="G27" i="35"/>
  <c r="H27" i="35"/>
  <c r="D28" i="35"/>
  <c r="E28" i="35" s="1"/>
  <c r="H28" i="35"/>
  <c r="D29" i="35"/>
  <c r="E29" i="35" s="1"/>
  <c r="G29" i="35"/>
  <c r="H29" i="35"/>
  <c r="D30" i="35"/>
  <c r="E30" i="35" s="1"/>
  <c r="F30" i="35"/>
  <c r="G30" i="35"/>
  <c r="H30" i="35"/>
  <c r="D31" i="35"/>
  <c r="E31" i="35"/>
  <c r="F31" i="35"/>
  <c r="G31" i="35"/>
  <c r="H31" i="35"/>
  <c r="D32" i="35"/>
  <c r="E32" i="35" s="1"/>
  <c r="H32" i="35"/>
  <c r="D33" i="35"/>
  <c r="E33" i="35" s="1"/>
  <c r="G33" i="35"/>
  <c r="H33" i="35"/>
  <c r="D34" i="35"/>
  <c r="E34" i="35" s="1"/>
  <c r="F34" i="35"/>
  <c r="G34" i="35"/>
  <c r="H34" i="35"/>
  <c r="D35" i="35"/>
  <c r="E35" i="35"/>
  <c r="F35" i="35"/>
  <c r="G35" i="35"/>
  <c r="H35" i="35"/>
  <c r="D36" i="35"/>
  <c r="E36" i="35" s="1"/>
  <c r="H36" i="35"/>
  <c r="D37" i="35"/>
  <c r="E37" i="35" s="1"/>
  <c r="G37" i="35"/>
  <c r="H37" i="35"/>
  <c r="D38" i="35"/>
  <c r="E38" i="35" s="1"/>
  <c r="F38" i="35"/>
  <c r="G38" i="35"/>
  <c r="H38" i="35"/>
  <c r="D39" i="35"/>
  <c r="E39" i="35"/>
  <c r="F39" i="35"/>
  <c r="G39" i="35"/>
  <c r="H39" i="35"/>
  <c r="D40" i="35"/>
  <c r="E40" i="35" s="1"/>
  <c r="H40" i="35"/>
  <c r="D41" i="35"/>
  <c r="E41" i="35" s="1"/>
  <c r="G41" i="35"/>
  <c r="H41" i="35"/>
  <c r="D42" i="35"/>
  <c r="E42" i="35" s="1"/>
  <c r="F42" i="35"/>
  <c r="G42" i="35"/>
  <c r="H42" i="35"/>
  <c r="D43" i="35"/>
  <c r="E43" i="35"/>
  <c r="F43" i="35"/>
  <c r="G43" i="35"/>
  <c r="H43" i="35"/>
  <c r="D44" i="35"/>
  <c r="E44" i="35" s="1"/>
  <c r="H44" i="35"/>
  <c r="D45" i="35"/>
  <c r="E45" i="35" s="1"/>
  <c r="G45" i="35"/>
  <c r="H45" i="35"/>
  <c r="D46" i="35"/>
  <c r="E46" i="35" s="1"/>
  <c r="F46" i="35"/>
  <c r="G46" i="35"/>
  <c r="H46" i="35"/>
  <c r="D47" i="35"/>
  <c r="E47" i="35"/>
  <c r="F47" i="35"/>
  <c r="G47" i="35"/>
  <c r="H47" i="35"/>
  <c r="D48" i="35"/>
  <c r="E48" i="35" s="1"/>
  <c r="H48" i="35"/>
  <c r="D49" i="35"/>
  <c r="E49" i="35" s="1"/>
  <c r="G49" i="35"/>
  <c r="H49" i="35"/>
  <c r="D50" i="35"/>
  <c r="E50" i="35" s="1"/>
  <c r="F50" i="35"/>
  <c r="G50" i="35"/>
  <c r="H50" i="35"/>
  <c r="D51" i="35"/>
  <c r="E51" i="35"/>
  <c r="F51" i="35"/>
  <c r="G51" i="35"/>
  <c r="H51" i="35"/>
  <c r="D52" i="35"/>
  <c r="H52" i="35"/>
  <c r="D53" i="35"/>
  <c r="E53" i="35" s="1"/>
  <c r="G53" i="35"/>
  <c r="H53" i="35"/>
  <c r="D54" i="35"/>
  <c r="E54" i="35" s="1"/>
  <c r="F54" i="35"/>
  <c r="G54" i="35"/>
  <c r="H54" i="35"/>
  <c r="D55" i="35"/>
  <c r="E55" i="35"/>
  <c r="F55" i="35"/>
  <c r="G55" i="35"/>
  <c r="H55" i="35"/>
  <c r="D56" i="35"/>
  <c r="H56" i="35"/>
  <c r="D57" i="35"/>
  <c r="E57" i="35" s="1"/>
  <c r="G57" i="35"/>
  <c r="H57" i="35"/>
  <c r="D58" i="35"/>
  <c r="E58" i="35" s="1"/>
  <c r="F58" i="35"/>
  <c r="G58" i="35"/>
  <c r="H58" i="35"/>
  <c r="D59" i="35"/>
  <c r="E59" i="35"/>
  <c r="F59" i="35"/>
  <c r="G59" i="35"/>
  <c r="H59" i="35"/>
  <c r="D60" i="35"/>
  <c r="H60" i="35"/>
  <c r="D61" i="35"/>
  <c r="E61" i="35" s="1"/>
  <c r="G61" i="35"/>
  <c r="H61" i="35"/>
  <c r="D62" i="35"/>
  <c r="E62" i="35" s="1"/>
  <c r="F62" i="35"/>
  <c r="G62" i="35"/>
  <c r="H62" i="35"/>
  <c r="D63" i="35"/>
  <c r="E63" i="35"/>
  <c r="F63" i="35"/>
  <c r="G63" i="35"/>
  <c r="H63" i="35"/>
  <c r="D64" i="35"/>
  <c r="H64" i="35"/>
  <c r="D65" i="35"/>
  <c r="E65" i="35" s="1"/>
  <c r="G65" i="35"/>
  <c r="H65" i="35"/>
  <c r="D66" i="35"/>
  <c r="E66" i="35" s="1"/>
  <c r="F66" i="35"/>
  <c r="G66" i="35"/>
  <c r="H66" i="35"/>
  <c r="D67" i="35"/>
  <c r="E67" i="35"/>
  <c r="F67" i="35"/>
  <c r="G67" i="35"/>
  <c r="H67" i="35"/>
  <c r="D68" i="35"/>
  <c r="H68" i="35"/>
  <c r="D69" i="35"/>
  <c r="E69" i="35" s="1"/>
  <c r="G69" i="35"/>
  <c r="H69" i="35"/>
  <c r="D70" i="35"/>
  <c r="E70" i="35" s="1"/>
  <c r="F70" i="35"/>
  <c r="G70" i="35"/>
  <c r="H70" i="35"/>
  <c r="D71" i="35"/>
  <c r="E71" i="35"/>
  <c r="F71" i="35"/>
  <c r="G71" i="35"/>
  <c r="H71" i="35"/>
  <c r="D72" i="35"/>
  <c r="H72" i="35"/>
  <c r="D73" i="35"/>
  <c r="E73" i="35" s="1"/>
  <c r="G73" i="35"/>
  <c r="H73" i="35"/>
  <c r="D74" i="35"/>
  <c r="E74" i="35" s="1"/>
  <c r="F74" i="35"/>
  <c r="G74" i="35"/>
  <c r="H74" i="35"/>
  <c r="D75" i="35"/>
  <c r="E75" i="35"/>
  <c r="F75" i="35"/>
  <c r="G75" i="35"/>
  <c r="H75" i="35"/>
  <c r="D76" i="35"/>
  <c r="H76" i="35"/>
  <c r="D77" i="35"/>
  <c r="E77" i="35" s="1"/>
  <c r="G77" i="35"/>
  <c r="H77" i="35"/>
  <c r="D78" i="35"/>
  <c r="E78" i="35" s="1"/>
  <c r="F78" i="35"/>
  <c r="G78" i="35"/>
  <c r="H78" i="35"/>
  <c r="D79" i="35"/>
  <c r="E79" i="35"/>
  <c r="F79" i="35"/>
  <c r="G79" i="35"/>
  <c r="H79" i="35"/>
  <c r="D80" i="35"/>
  <c r="E80" i="35" s="1"/>
  <c r="H80" i="35"/>
  <c r="D81" i="35"/>
  <c r="G81" i="35"/>
  <c r="H81" i="35"/>
  <c r="D82" i="35"/>
  <c r="E82" i="35" s="1"/>
  <c r="F82" i="35"/>
  <c r="G82" i="35"/>
  <c r="H82" i="35"/>
  <c r="D83" i="35"/>
  <c r="E83" i="35"/>
  <c r="F83" i="35"/>
  <c r="G83" i="35"/>
  <c r="H83" i="35"/>
  <c r="D84" i="35"/>
  <c r="E84" i="35"/>
  <c r="H84" i="35"/>
  <c r="D85" i="35"/>
  <c r="G85" i="35" s="1"/>
  <c r="H85" i="35"/>
  <c r="D86" i="35"/>
  <c r="E86" i="35" s="1"/>
  <c r="F86" i="35"/>
  <c r="G86" i="35"/>
  <c r="H86" i="35"/>
  <c r="D87" i="35"/>
  <c r="E87" i="35"/>
  <c r="F87" i="35"/>
  <c r="G87" i="35"/>
  <c r="H87" i="35"/>
  <c r="D88" i="35"/>
  <c r="E88" i="35" s="1"/>
  <c r="H88" i="35"/>
  <c r="D89" i="35"/>
  <c r="G89" i="35"/>
  <c r="H89" i="35"/>
  <c r="D90" i="35"/>
  <c r="E90" i="35" s="1"/>
  <c r="F90" i="35"/>
  <c r="G90" i="35"/>
  <c r="H90" i="35"/>
  <c r="D91" i="35"/>
  <c r="E91" i="35"/>
  <c r="F91" i="35"/>
  <c r="G91" i="35"/>
  <c r="H91" i="35"/>
  <c r="D92" i="35"/>
  <c r="G92" i="35" s="1"/>
  <c r="E92" i="35"/>
  <c r="H92" i="35"/>
  <c r="D93" i="35"/>
  <c r="F93" i="35" s="1"/>
  <c r="E93" i="35"/>
  <c r="H93" i="35"/>
  <c r="D94" i="35"/>
  <c r="E94" i="35" s="1"/>
  <c r="F94" i="35"/>
  <c r="H94" i="35"/>
  <c r="D95" i="35"/>
  <c r="E95" i="35"/>
  <c r="F95" i="35"/>
  <c r="G95" i="35"/>
  <c r="H95" i="35"/>
  <c r="D96" i="35"/>
  <c r="G96" i="35" s="1"/>
  <c r="H96" i="35"/>
  <c r="D97" i="35"/>
  <c r="F97" i="35" s="1"/>
  <c r="H97" i="35"/>
  <c r="D98" i="35"/>
  <c r="E98" i="35" s="1"/>
  <c r="H98" i="35"/>
  <c r="D99" i="35"/>
  <c r="E99" i="35"/>
  <c r="F99" i="35"/>
  <c r="G99" i="35"/>
  <c r="H99" i="35"/>
  <c r="D100" i="35"/>
  <c r="G100" i="35" s="1"/>
  <c r="E100" i="35"/>
  <c r="F100" i="35"/>
  <c r="H100" i="35"/>
  <c r="D101" i="35"/>
  <c r="F101" i="35" s="1"/>
  <c r="E101" i="35"/>
  <c r="G101" i="35"/>
  <c r="H101" i="35"/>
  <c r="D102" i="35"/>
  <c r="E102" i="35" s="1"/>
  <c r="F102" i="35"/>
  <c r="G102" i="35"/>
  <c r="H102" i="35"/>
  <c r="D103" i="35"/>
  <c r="E103" i="35"/>
  <c r="F103" i="35"/>
  <c r="G103" i="35"/>
  <c r="H103" i="35"/>
  <c r="D104" i="35"/>
  <c r="G104" i="35" s="1"/>
  <c r="F104" i="35"/>
  <c r="H104" i="35"/>
  <c r="D105" i="35"/>
  <c r="F105" i="35" s="1"/>
  <c r="G105" i="35"/>
  <c r="H105" i="35"/>
  <c r="D106" i="35"/>
  <c r="E106" i="35" s="1"/>
  <c r="G106" i="35"/>
  <c r="H106" i="35"/>
  <c r="D107" i="35"/>
  <c r="E107" i="35"/>
  <c r="F107" i="35"/>
  <c r="G107" i="35"/>
  <c r="H107" i="35"/>
  <c r="D108" i="35"/>
  <c r="G108" i="35" s="1"/>
  <c r="E108" i="35"/>
  <c r="H108" i="35"/>
  <c r="D109" i="35"/>
  <c r="F109" i="35" s="1"/>
  <c r="E109" i="35"/>
  <c r="H109" i="35"/>
  <c r="D110" i="35"/>
  <c r="E110" i="35" s="1"/>
  <c r="F110" i="35"/>
  <c r="H110" i="35"/>
  <c r="D111" i="35"/>
  <c r="E111" i="35"/>
  <c r="F111" i="35"/>
  <c r="G111" i="35"/>
  <c r="H111" i="35"/>
  <c r="D112" i="35"/>
  <c r="G112" i="35" s="1"/>
  <c r="H112" i="35"/>
  <c r="D113" i="35"/>
  <c r="F113" i="35" s="1"/>
  <c r="H113" i="35"/>
  <c r="D114" i="35"/>
  <c r="E114" i="35" s="1"/>
  <c r="H114" i="35"/>
  <c r="D115" i="35"/>
  <c r="E115" i="35"/>
  <c r="F115" i="35"/>
  <c r="G115" i="35"/>
  <c r="H115" i="35"/>
  <c r="D116" i="35"/>
  <c r="G116" i="35" s="1"/>
  <c r="E116" i="35"/>
  <c r="F116" i="35"/>
  <c r="H116" i="35"/>
  <c r="D117" i="35"/>
  <c r="E117" i="35"/>
  <c r="F117" i="35"/>
  <c r="G117" i="35"/>
  <c r="H117" i="35"/>
  <c r="D118" i="35"/>
  <c r="G118" i="35" s="1"/>
  <c r="F118" i="35"/>
  <c r="H118" i="35"/>
  <c r="D119" i="35"/>
  <c r="F119" i="35" s="1"/>
  <c r="E119" i="35"/>
  <c r="G119" i="35"/>
  <c r="H119" i="35"/>
  <c r="D120" i="35"/>
  <c r="E120" i="35" s="1"/>
  <c r="H120" i="35"/>
  <c r="D121" i="35"/>
  <c r="E121" i="35"/>
  <c r="F121" i="35"/>
  <c r="G121" i="35"/>
  <c r="H121" i="35"/>
  <c r="D122" i="35"/>
  <c r="G122" i="35" s="1"/>
  <c r="F122" i="35"/>
  <c r="H122" i="35"/>
  <c r="D123" i="35"/>
  <c r="F123" i="35" s="1"/>
  <c r="E123" i="35"/>
  <c r="G123" i="35"/>
  <c r="H123" i="35"/>
  <c r="D124" i="35"/>
  <c r="E124" i="35" s="1"/>
  <c r="H124" i="35"/>
  <c r="D125" i="35"/>
  <c r="E125" i="35"/>
  <c r="F125" i="35"/>
  <c r="G125" i="35"/>
  <c r="H125" i="35"/>
  <c r="D126" i="35"/>
  <c r="G126" i="35" s="1"/>
  <c r="F126" i="35"/>
  <c r="H126" i="35"/>
  <c r="D127" i="35"/>
  <c r="F127" i="35" s="1"/>
  <c r="E127" i="35"/>
  <c r="G127" i="35"/>
  <c r="H127" i="35"/>
  <c r="D128" i="35"/>
  <c r="E128" i="35" s="1"/>
  <c r="H128" i="35"/>
  <c r="D129" i="35"/>
  <c r="E129" i="35"/>
  <c r="F129" i="35"/>
  <c r="G129" i="35"/>
  <c r="H129" i="35"/>
  <c r="D130" i="35"/>
  <c r="G130" i="35" s="1"/>
  <c r="F130" i="35"/>
  <c r="H130" i="35"/>
  <c r="D131" i="35"/>
  <c r="F131" i="35" s="1"/>
  <c r="E131" i="35"/>
  <c r="G131" i="35"/>
  <c r="H131" i="35"/>
  <c r="D132" i="35"/>
  <c r="E132" i="35" s="1"/>
  <c r="H132" i="35"/>
  <c r="D133" i="35"/>
  <c r="E133" i="35"/>
  <c r="F133" i="35"/>
  <c r="G133" i="35"/>
  <c r="H133" i="35"/>
  <c r="D134" i="35"/>
  <c r="G134" i="35" s="1"/>
  <c r="F134" i="35"/>
  <c r="H134" i="35"/>
  <c r="D135" i="35"/>
  <c r="F135" i="35" s="1"/>
  <c r="E135" i="35"/>
  <c r="G135" i="35"/>
  <c r="H135" i="35"/>
  <c r="D136" i="35"/>
  <c r="E136" i="35" s="1"/>
  <c r="H136" i="35"/>
  <c r="D137" i="35"/>
  <c r="E137" i="35"/>
  <c r="F137" i="35"/>
  <c r="G137" i="35"/>
  <c r="H137" i="35"/>
  <c r="D138" i="35"/>
  <c r="G138" i="35" s="1"/>
  <c r="F138" i="35"/>
  <c r="H138" i="35"/>
  <c r="D139" i="35"/>
  <c r="F139" i="35" s="1"/>
  <c r="E139" i="35"/>
  <c r="G139" i="35"/>
  <c r="H139" i="35"/>
  <c r="D140" i="35"/>
  <c r="E140" i="35" s="1"/>
  <c r="H140" i="35"/>
  <c r="D141" i="35"/>
  <c r="E141" i="35"/>
  <c r="F141" i="35"/>
  <c r="G141" i="35"/>
  <c r="H141" i="35"/>
  <c r="D142" i="35"/>
  <c r="G142" i="35" s="1"/>
  <c r="F142" i="35"/>
  <c r="H142" i="35"/>
  <c r="D143" i="35"/>
  <c r="F143" i="35" s="1"/>
  <c r="E143" i="35"/>
  <c r="G143" i="35"/>
  <c r="H143" i="35"/>
  <c r="D144" i="35"/>
  <c r="E144" i="35" s="1"/>
  <c r="H144" i="35"/>
  <c r="D145" i="35"/>
  <c r="E145" i="35"/>
  <c r="F145" i="35"/>
  <c r="G145" i="35"/>
  <c r="H145" i="35"/>
  <c r="D146" i="35"/>
  <c r="G146" i="35" s="1"/>
  <c r="F146" i="35"/>
  <c r="H146" i="35"/>
  <c r="D147" i="35"/>
  <c r="F147" i="35" s="1"/>
  <c r="E147" i="35"/>
  <c r="G147" i="35"/>
  <c r="H147" i="35"/>
  <c r="D148" i="35"/>
  <c r="H148" i="35"/>
  <c r="D149" i="35"/>
  <c r="E149" i="35"/>
  <c r="F149" i="35"/>
  <c r="G149" i="35"/>
  <c r="H149" i="35"/>
  <c r="D150" i="35"/>
  <c r="G150" i="35" s="1"/>
  <c r="F150" i="35"/>
  <c r="H150" i="35"/>
  <c r="D151" i="35"/>
  <c r="F151" i="35" s="1"/>
  <c r="E151" i="35"/>
  <c r="G151" i="35"/>
  <c r="H151" i="35"/>
  <c r="D152" i="35"/>
  <c r="H152" i="35"/>
  <c r="D153" i="35"/>
  <c r="E153" i="35"/>
  <c r="F153" i="35"/>
  <c r="G153" i="35"/>
  <c r="H153" i="35"/>
  <c r="D154" i="35"/>
  <c r="G154" i="35" s="1"/>
  <c r="F154" i="35"/>
  <c r="H154" i="35"/>
  <c r="D155" i="35"/>
  <c r="F155" i="35" s="1"/>
  <c r="E155" i="35"/>
  <c r="G155" i="35"/>
  <c r="H155" i="35"/>
  <c r="D156" i="35"/>
  <c r="H156" i="35"/>
  <c r="D157" i="35"/>
  <c r="E157" i="35"/>
  <c r="F157" i="35"/>
  <c r="G157" i="35"/>
  <c r="H157" i="35"/>
  <c r="D158" i="35"/>
  <c r="H158" i="35"/>
  <c r="D159" i="35"/>
  <c r="F159" i="35" s="1"/>
  <c r="E159" i="35"/>
  <c r="G159" i="35"/>
  <c r="H159" i="35"/>
  <c r="D160" i="35"/>
  <c r="F160" i="35" s="1"/>
  <c r="H160" i="35"/>
  <c r="D161" i="35"/>
  <c r="E161" i="35"/>
  <c r="F161" i="35"/>
  <c r="G161" i="35"/>
  <c r="H161" i="35"/>
  <c r="D162" i="35"/>
  <c r="F162" i="35" s="1"/>
  <c r="H162" i="35"/>
  <c r="D163" i="35"/>
  <c r="F163" i="35" s="1"/>
  <c r="E163" i="35"/>
  <c r="G163" i="35"/>
  <c r="H163" i="35"/>
  <c r="D164" i="35"/>
  <c r="F164" i="35" s="1"/>
  <c r="H164" i="35"/>
  <c r="D165" i="35"/>
  <c r="E165" i="35"/>
  <c r="F165" i="35"/>
  <c r="G165" i="35"/>
  <c r="H165" i="35"/>
  <c r="D166" i="35"/>
  <c r="F166" i="35" s="1"/>
  <c r="H166" i="35"/>
  <c r="D167" i="35"/>
  <c r="F167" i="35" s="1"/>
  <c r="E167" i="35"/>
  <c r="G167" i="35"/>
  <c r="H167" i="35"/>
  <c r="D168" i="35"/>
  <c r="F168" i="35"/>
  <c r="H168" i="35"/>
  <c r="D169" i="35"/>
  <c r="E169" i="35"/>
  <c r="F169" i="35"/>
  <c r="G169" i="35"/>
  <c r="H169" i="35"/>
  <c r="D170" i="35"/>
  <c r="F170" i="35"/>
  <c r="H170" i="35"/>
  <c r="D171" i="35"/>
  <c r="F171" i="35" s="1"/>
  <c r="E171" i="35"/>
  <c r="G171" i="35"/>
  <c r="H171" i="35"/>
  <c r="D172" i="35"/>
  <c r="E172" i="35" s="1"/>
  <c r="G172" i="35"/>
  <c r="H172" i="35"/>
  <c r="D173" i="35"/>
  <c r="E173" i="35"/>
  <c r="F173" i="35"/>
  <c r="G173" i="35"/>
  <c r="H173" i="35"/>
  <c r="D174" i="35"/>
  <c r="G174" i="35" s="1"/>
  <c r="E174" i="35"/>
  <c r="F174" i="35"/>
  <c r="H174" i="35"/>
  <c r="D175" i="35"/>
  <c r="F175" i="35" s="1"/>
  <c r="E175" i="35"/>
  <c r="G175" i="35"/>
  <c r="H175" i="35"/>
  <c r="D176" i="35"/>
  <c r="E176" i="35" s="1"/>
  <c r="F176" i="35"/>
  <c r="G176" i="35"/>
  <c r="H176" i="35"/>
  <c r="D177" i="35"/>
  <c r="E177" i="35"/>
  <c r="F177" i="35"/>
  <c r="G177" i="35"/>
  <c r="H177" i="35"/>
  <c r="D178" i="35"/>
  <c r="G178" i="35" s="1"/>
  <c r="E178" i="35"/>
  <c r="H178" i="35"/>
  <c r="D179" i="35"/>
  <c r="F179" i="35" s="1"/>
  <c r="H179" i="35"/>
  <c r="D180" i="35"/>
  <c r="E180" i="35" s="1"/>
  <c r="H180" i="35"/>
  <c r="D181" i="35"/>
  <c r="E181" i="35"/>
  <c r="F181" i="35"/>
  <c r="G181" i="35"/>
  <c r="H181" i="35"/>
  <c r="D182" i="35"/>
  <c r="G182" i="35" s="1"/>
  <c r="H182" i="35"/>
  <c r="D183" i="35"/>
  <c r="F183" i="35" s="1"/>
  <c r="H183" i="35"/>
  <c r="D184" i="35"/>
  <c r="E184" i="35" s="1"/>
  <c r="H184" i="35"/>
  <c r="D185" i="35"/>
  <c r="E185" i="35"/>
  <c r="F185" i="35"/>
  <c r="G185" i="35"/>
  <c r="H185" i="35"/>
  <c r="D186" i="35"/>
  <c r="G186" i="35" s="1"/>
  <c r="E186" i="35"/>
  <c r="F186" i="35"/>
  <c r="H186" i="35"/>
  <c r="D187" i="35"/>
  <c r="F187" i="35" s="1"/>
  <c r="E187" i="35"/>
  <c r="G187" i="35"/>
  <c r="H187" i="35"/>
  <c r="D188" i="35"/>
  <c r="E188" i="35" s="1"/>
  <c r="F188" i="35"/>
  <c r="G188" i="35"/>
  <c r="H188" i="35"/>
  <c r="D189" i="35"/>
  <c r="E189" i="35"/>
  <c r="F189" i="35"/>
  <c r="G189" i="35"/>
  <c r="H189" i="35"/>
  <c r="D190" i="35"/>
  <c r="G190" i="35" s="1"/>
  <c r="E190" i="35"/>
  <c r="F190" i="35"/>
  <c r="H190" i="35"/>
  <c r="D191" i="35"/>
  <c r="F191" i="35" s="1"/>
  <c r="E191" i="35"/>
  <c r="G191" i="35"/>
  <c r="H191" i="35"/>
  <c r="D192" i="35"/>
  <c r="E192" i="35" s="1"/>
  <c r="F192" i="35"/>
  <c r="G192" i="35"/>
  <c r="H192" i="35"/>
  <c r="D193" i="35"/>
  <c r="E193" i="35"/>
  <c r="F193" i="35"/>
  <c r="G193" i="35"/>
  <c r="H193" i="35"/>
  <c r="D194" i="35"/>
  <c r="G194" i="35" s="1"/>
  <c r="H194" i="35"/>
  <c r="D195" i="35"/>
  <c r="F195" i="35" s="1"/>
  <c r="H195" i="35"/>
  <c r="D196" i="35"/>
  <c r="E196" i="35" s="1"/>
  <c r="H196" i="35"/>
  <c r="D197" i="35"/>
  <c r="E197" i="35"/>
  <c r="F197" i="35"/>
  <c r="G197" i="35"/>
  <c r="H197" i="35"/>
  <c r="D198" i="35"/>
  <c r="G198" i="35" s="1"/>
  <c r="H198" i="35"/>
  <c r="D199" i="35"/>
  <c r="F199" i="35" s="1"/>
  <c r="H199" i="35"/>
  <c r="D200" i="35"/>
  <c r="E200" i="35" s="1"/>
  <c r="H200" i="35"/>
  <c r="D201" i="35"/>
  <c r="E201" i="35"/>
  <c r="F201" i="35"/>
  <c r="G201" i="35"/>
  <c r="H201" i="35"/>
  <c r="D202" i="35"/>
  <c r="G202" i="35" s="1"/>
  <c r="E202" i="35"/>
  <c r="F202" i="35"/>
  <c r="H202" i="35"/>
  <c r="D203" i="35"/>
  <c r="F203" i="35" s="1"/>
  <c r="E203" i="35"/>
  <c r="G203" i="35"/>
  <c r="H203" i="35"/>
  <c r="D204" i="35"/>
  <c r="E204" i="35" s="1"/>
  <c r="F204" i="35"/>
  <c r="G204" i="35"/>
  <c r="H204" i="35"/>
  <c r="D205" i="35"/>
  <c r="E205" i="35"/>
  <c r="F205" i="35"/>
  <c r="G205" i="35"/>
  <c r="H205" i="35"/>
  <c r="D206" i="35"/>
  <c r="G206" i="35" s="1"/>
  <c r="E206" i="35"/>
  <c r="F206" i="35"/>
  <c r="H206" i="35"/>
  <c r="D207" i="35"/>
  <c r="F207" i="35" s="1"/>
  <c r="E207" i="35"/>
  <c r="G207" i="35"/>
  <c r="H207" i="35"/>
  <c r="D208" i="35"/>
  <c r="E208" i="35" s="1"/>
  <c r="F208" i="35"/>
  <c r="G208" i="35"/>
  <c r="H208" i="35"/>
  <c r="D209" i="35"/>
  <c r="E209" i="35"/>
  <c r="F209" i="35"/>
  <c r="G209" i="35"/>
  <c r="H209" i="35"/>
  <c r="D210" i="35"/>
  <c r="G210" i="35" s="1"/>
  <c r="H210" i="35"/>
  <c r="D211" i="35"/>
  <c r="G211" i="35" s="1"/>
  <c r="H211" i="35"/>
  <c r="D212" i="35"/>
  <c r="F212" i="35" s="1"/>
  <c r="G212" i="35"/>
  <c r="H212" i="35"/>
  <c r="D213" i="35"/>
  <c r="E213" i="35"/>
  <c r="F213" i="35"/>
  <c r="G213" i="35"/>
  <c r="H213" i="35"/>
  <c r="D214" i="35"/>
  <c r="G214" i="35" s="1"/>
  <c r="E214" i="35"/>
  <c r="F214" i="35"/>
  <c r="H214" i="35"/>
  <c r="D215" i="35"/>
  <c r="G215" i="35" s="1"/>
  <c r="H215" i="35"/>
  <c r="D216" i="35"/>
  <c r="F216" i="35" s="1"/>
  <c r="G216" i="35"/>
  <c r="H216" i="35"/>
  <c r="D217" i="35"/>
  <c r="E217" i="35"/>
  <c r="F217" i="35"/>
  <c r="G217" i="35"/>
  <c r="H217" i="35"/>
  <c r="D218" i="35"/>
  <c r="G218" i="35" s="1"/>
  <c r="E218" i="35"/>
  <c r="F218" i="35"/>
  <c r="H218" i="35"/>
  <c r="D219" i="35"/>
  <c r="G219" i="35" s="1"/>
  <c r="H219" i="35"/>
  <c r="D220" i="35"/>
  <c r="F220" i="35" s="1"/>
  <c r="G220" i="35"/>
  <c r="H220" i="35"/>
  <c r="D221" i="35"/>
  <c r="E221" i="35"/>
  <c r="F221" i="35"/>
  <c r="G221" i="35"/>
  <c r="H221" i="35"/>
  <c r="D222" i="35"/>
  <c r="G222" i="35" s="1"/>
  <c r="E222" i="35"/>
  <c r="F222" i="35"/>
  <c r="H222" i="35"/>
  <c r="D223" i="35"/>
  <c r="G223" i="35" s="1"/>
  <c r="H223" i="35"/>
  <c r="D224" i="35"/>
  <c r="F224" i="35" s="1"/>
  <c r="G224" i="35"/>
  <c r="H224" i="35"/>
  <c r="D225" i="35"/>
  <c r="E225" i="35"/>
  <c r="F225" i="35"/>
  <c r="G225" i="35"/>
  <c r="H225" i="35"/>
  <c r="D226" i="35"/>
  <c r="G226" i="35" s="1"/>
  <c r="E226" i="35"/>
  <c r="F226" i="35"/>
  <c r="H226" i="35"/>
  <c r="D227" i="35"/>
  <c r="G227" i="35" s="1"/>
  <c r="H227" i="35"/>
  <c r="D228" i="35"/>
  <c r="F228" i="35" s="1"/>
  <c r="G228" i="35"/>
  <c r="H228" i="35"/>
  <c r="D229" i="35"/>
  <c r="E229" i="35"/>
  <c r="F229" i="35"/>
  <c r="G229" i="35"/>
  <c r="H229" i="35"/>
  <c r="D230" i="35"/>
  <c r="G230" i="35" s="1"/>
  <c r="E230" i="35"/>
  <c r="F230" i="35"/>
  <c r="H230" i="35"/>
  <c r="D231" i="35"/>
  <c r="G231" i="35" s="1"/>
  <c r="H231" i="35"/>
  <c r="D232" i="35"/>
  <c r="F232" i="35" s="1"/>
  <c r="G232" i="35"/>
  <c r="H232" i="35"/>
  <c r="D233" i="35"/>
  <c r="E233" i="35"/>
  <c r="F233" i="35"/>
  <c r="G233" i="35"/>
  <c r="H233" i="35"/>
  <c r="D234" i="35"/>
  <c r="G234" i="35" s="1"/>
  <c r="E234" i="35"/>
  <c r="F234" i="35"/>
  <c r="H234" i="35"/>
  <c r="D235" i="35"/>
  <c r="G235" i="35" s="1"/>
  <c r="H235" i="35"/>
  <c r="D236" i="35"/>
  <c r="F236" i="35" s="1"/>
  <c r="G236" i="35"/>
  <c r="H236" i="35"/>
  <c r="D237" i="35"/>
  <c r="E237" i="35"/>
  <c r="F237" i="35"/>
  <c r="G237" i="35"/>
  <c r="H237" i="35"/>
  <c r="D238" i="35"/>
  <c r="G238" i="35" s="1"/>
  <c r="E238" i="35"/>
  <c r="F238" i="35"/>
  <c r="H238" i="35"/>
  <c r="D239" i="35"/>
  <c r="G239" i="35" s="1"/>
  <c r="H239" i="35"/>
  <c r="D240" i="35"/>
  <c r="F240" i="35" s="1"/>
  <c r="G240" i="35"/>
  <c r="H240" i="35"/>
  <c r="D241" i="35"/>
  <c r="E241" i="35"/>
  <c r="F241" i="35"/>
  <c r="G241" i="35"/>
  <c r="H241" i="35"/>
  <c r="D242" i="35"/>
  <c r="G242" i="35" s="1"/>
  <c r="E242" i="35"/>
  <c r="F242" i="35"/>
  <c r="H242" i="35"/>
  <c r="D243" i="35"/>
  <c r="G243" i="35" s="1"/>
  <c r="H243" i="35"/>
  <c r="D244" i="35"/>
  <c r="F244" i="35" s="1"/>
  <c r="G244" i="35"/>
  <c r="H244" i="35"/>
  <c r="D245" i="35"/>
  <c r="E245" i="35"/>
  <c r="F245" i="35"/>
  <c r="G245" i="35"/>
  <c r="H245" i="35"/>
  <c r="D246" i="35"/>
  <c r="G246" i="35" s="1"/>
  <c r="E246" i="35"/>
  <c r="F246" i="35"/>
  <c r="H246" i="35"/>
  <c r="D247" i="35"/>
  <c r="G247" i="35" s="1"/>
  <c r="H247" i="35"/>
  <c r="D248" i="35"/>
  <c r="F248" i="35" s="1"/>
  <c r="G248" i="35"/>
  <c r="H248" i="35"/>
  <c r="D249" i="35"/>
  <c r="E249" i="35"/>
  <c r="F249" i="35"/>
  <c r="G249" i="35"/>
  <c r="H249" i="35"/>
  <c r="D250" i="35"/>
  <c r="G250" i="35" s="1"/>
  <c r="E250" i="35"/>
  <c r="F250" i="35"/>
  <c r="H250" i="35"/>
  <c r="D251" i="35"/>
  <c r="G251" i="35" s="1"/>
  <c r="H251" i="35"/>
  <c r="D252" i="35"/>
  <c r="F252" i="35" s="1"/>
  <c r="G252" i="35"/>
  <c r="H252" i="35"/>
  <c r="D253" i="35"/>
  <c r="E253" i="35"/>
  <c r="F253" i="35"/>
  <c r="G253" i="35"/>
  <c r="H253" i="35"/>
  <c r="D254" i="35"/>
  <c r="G254" i="35" s="1"/>
  <c r="E254" i="35"/>
  <c r="F254" i="35"/>
  <c r="H254" i="35"/>
  <c r="D255" i="35"/>
  <c r="G255" i="35" s="1"/>
  <c r="H255" i="35"/>
  <c r="D256" i="35"/>
  <c r="F256" i="35" s="1"/>
  <c r="G256" i="35"/>
  <c r="H256" i="35"/>
  <c r="D257" i="35"/>
  <c r="E257" i="35"/>
  <c r="F257" i="35"/>
  <c r="G257" i="35"/>
  <c r="H257" i="35"/>
  <c r="D258" i="35"/>
  <c r="G258" i="35" s="1"/>
  <c r="E258" i="35"/>
  <c r="F258" i="35"/>
  <c r="H258" i="35"/>
  <c r="D259" i="35"/>
  <c r="G259" i="35" s="1"/>
  <c r="H259" i="35"/>
  <c r="D260" i="35"/>
  <c r="F260" i="35" s="1"/>
  <c r="G260" i="35"/>
  <c r="H260" i="35"/>
  <c r="D261" i="35"/>
  <c r="E261" i="35"/>
  <c r="F261" i="35"/>
  <c r="G261" i="35"/>
  <c r="H261" i="35"/>
  <c r="D262" i="35"/>
  <c r="G262" i="35" s="1"/>
  <c r="E262" i="35"/>
  <c r="F262" i="35"/>
  <c r="H262" i="35"/>
  <c r="D263" i="35"/>
  <c r="G263" i="35" s="1"/>
  <c r="H263" i="35"/>
  <c r="D264" i="35"/>
  <c r="F264" i="35" s="1"/>
  <c r="G264" i="35"/>
  <c r="H264" i="35"/>
  <c r="D265" i="35"/>
  <c r="E265" i="35"/>
  <c r="F265" i="35"/>
  <c r="G265" i="35"/>
  <c r="H265" i="35"/>
  <c r="D266" i="35"/>
  <c r="G266" i="35" s="1"/>
  <c r="E266" i="35"/>
  <c r="F266" i="35"/>
  <c r="H266" i="35"/>
  <c r="D267" i="35"/>
  <c r="G267" i="35" s="1"/>
  <c r="H267" i="35"/>
  <c r="D268" i="35"/>
  <c r="F268" i="35" s="1"/>
  <c r="G268" i="35"/>
  <c r="H268" i="35"/>
  <c r="D269" i="35"/>
  <c r="E269" i="35"/>
  <c r="F269" i="35"/>
  <c r="G269" i="35"/>
  <c r="H269" i="35"/>
  <c r="D270" i="35"/>
  <c r="G270" i="35" s="1"/>
  <c r="E270" i="35"/>
  <c r="F270" i="35"/>
  <c r="H270" i="35"/>
  <c r="D271" i="35"/>
  <c r="G271" i="35" s="1"/>
  <c r="H271" i="35"/>
  <c r="D272" i="35"/>
  <c r="F272" i="35" s="1"/>
  <c r="G272" i="35"/>
  <c r="H272" i="35"/>
  <c r="D273" i="35"/>
  <c r="E273" i="35"/>
  <c r="F273" i="35"/>
  <c r="G273" i="35"/>
  <c r="H273" i="35"/>
  <c r="D274" i="35"/>
  <c r="G274" i="35" s="1"/>
  <c r="E274" i="35"/>
  <c r="F274" i="35"/>
  <c r="H274" i="35"/>
  <c r="D275" i="35"/>
  <c r="G275" i="35" s="1"/>
  <c r="H275" i="35"/>
  <c r="D276" i="35"/>
  <c r="F276" i="35" s="1"/>
  <c r="G276" i="35"/>
  <c r="H276" i="35"/>
  <c r="D277" i="35"/>
  <c r="E277" i="35"/>
  <c r="F277" i="35"/>
  <c r="G277" i="35"/>
  <c r="H277" i="35"/>
  <c r="D278" i="35"/>
  <c r="G278" i="35" s="1"/>
  <c r="E278" i="35"/>
  <c r="F278" i="35"/>
  <c r="H278" i="35"/>
  <c r="D279" i="35"/>
  <c r="G279" i="35" s="1"/>
  <c r="H279" i="35"/>
  <c r="D280" i="35"/>
  <c r="F280" i="35" s="1"/>
  <c r="G280" i="35"/>
  <c r="H280" i="35"/>
  <c r="D281" i="35"/>
  <c r="E281" i="35"/>
  <c r="F281" i="35"/>
  <c r="G281" i="35"/>
  <c r="H281" i="35"/>
  <c r="D282" i="35"/>
  <c r="G282" i="35" s="1"/>
  <c r="E282" i="35"/>
  <c r="F282" i="35"/>
  <c r="H282" i="35"/>
  <c r="D283" i="35"/>
  <c r="G283" i="35" s="1"/>
  <c r="H283" i="35"/>
  <c r="D284" i="35"/>
  <c r="F284" i="35" s="1"/>
  <c r="G284" i="35"/>
  <c r="H284" i="35"/>
  <c r="D285" i="35"/>
  <c r="E285" i="35"/>
  <c r="F285" i="35"/>
  <c r="G285" i="35"/>
  <c r="H285" i="35"/>
  <c r="D286" i="35"/>
  <c r="G286" i="35" s="1"/>
  <c r="E286" i="35"/>
  <c r="F286" i="35"/>
  <c r="H286" i="35"/>
  <c r="D287" i="35"/>
  <c r="G287" i="35" s="1"/>
  <c r="H287" i="35"/>
  <c r="D288" i="35"/>
  <c r="F288" i="35" s="1"/>
  <c r="G288" i="35"/>
  <c r="H288" i="35"/>
  <c r="D289" i="35"/>
  <c r="E289" i="35"/>
  <c r="F289" i="35"/>
  <c r="G289" i="35"/>
  <c r="H289" i="35"/>
  <c r="D290" i="35"/>
  <c r="G290" i="35" s="1"/>
  <c r="E290" i="35"/>
  <c r="F290" i="35"/>
  <c r="H290" i="35"/>
  <c r="D291" i="35"/>
  <c r="G291" i="35" s="1"/>
  <c r="H291" i="35"/>
  <c r="D292" i="35"/>
  <c r="F292" i="35" s="1"/>
  <c r="G292" i="35"/>
  <c r="H292" i="35"/>
  <c r="D293" i="35"/>
  <c r="E293" i="35"/>
  <c r="F293" i="35"/>
  <c r="G293" i="35"/>
  <c r="H293" i="35"/>
  <c r="D294" i="35"/>
  <c r="G294" i="35" s="1"/>
  <c r="E294" i="35"/>
  <c r="F294" i="35"/>
  <c r="H294" i="35"/>
  <c r="D295" i="35"/>
  <c r="G295" i="35" s="1"/>
  <c r="H295" i="35"/>
  <c r="D296" i="35"/>
  <c r="F296" i="35" s="1"/>
  <c r="G296" i="35"/>
  <c r="H296" i="35"/>
  <c r="D297" i="35"/>
  <c r="E297" i="35"/>
  <c r="F297" i="35"/>
  <c r="G297" i="35"/>
  <c r="H297" i="35"/>
  <c r="D298" i="35"/>
  <c r="G298" i="35" s="1"/>
  <c r="E298" i="35"/>
  <c r="F298" i="35"/>
  <c r="H298" i="35"/>
  <c r="D299" i="35"/>
  <c r="G299" i="35" s="1"/>
  <c r="H299" i="35"/>
  <c r="D300" i="35"/>
  <c r="F300" i="35" s="1"/>
  <c r="G300" i="35"/>
  <c r="H300" i="35"/>
  <c r="D301" i="35"/>
  <c r="E301" i="35"/>
  <c r="F301" i="35"/>
  <c r="G301" i="35"/>
  <c r="H301" i="35"/>
  <c r="D302" i="35"/>
  <c r="G302" i="35" s="1"/>
  <c r="E302" i="35"/>
  <c r="F302" i="35"/>
  <c r="H302" i="35"/>
  <c r="D303" i="35"/>
  <c r="E303" i="35" s="1"/>
  <c r="H303" i="35"/>
  <c r="D304" i="35"/>
  <c r="E304" i="35" s="1"/>
  <c r="G304" i="35"/>
  <c r="H304" i="35"/>
  <c r="D305" i="35"/>
  <c r="E305" i="35"/>
  <c r="F305" i="35"/>
  <c r="G305" i="35"/>
  <c r="H305" i="35"/>
  <c r="D306" i="35"/>
  <c r="G306" i="35" s="1"/>
  <c r="E306" i="35"/>
  <c r="F306" i="35"/>
  <c r="H306" i="35"/>
  <c r="D307" i="35"/>
  <c r="G307" i="35" s="1"/>
  <c r="H307" i="35"/>
  <c r="D308" i="35"/>
  <c r="F308" i="35" s="1"/>
  <c r="G308" i="35"/>
  <c r="H308" i="35"/>
  <c r="D309" i="35"/>
  <c r="E309" i="35"/>
  <c r="F309" i="35"/>
  <c r="G309" i="35"/>
  <c r="H309" i="35"/>
  <c r="D310" i="35"/>
  <c r="G310" i="35" s="1"/>
  <c r="E310" i="35"/>
  <c r="F310" i="35"/>
  <c r="H310" i="35"/>
  <c r="D311" i="35"/>
  <c r="E311" i="35" s="1"/>
  <c r="H311" i="35"/>
  <c r="D312" i="35"/>
  <c r="G312" i="35" s="1"/>
  <c r="H312" i="35"/>
  <c r="D313" i="35"/>
  <c r="E313" i="35"/>
  <c r="F313" i="35"/>
  <c r="G313" i="35"/>
  <c r="H313" i="35"/>
  <c r="D314" i="35"/>
  <c r="G314" i="35" s="1"/>
  <c r="E314" i="35"/>
  <c r="F314" i="35"/>
  <c r="H314" i="35"/>
  <c r="D315" i="35"/>
  <c r="G315" i="35" s="1"/>
  <c r="E315" i="35"/>
  <c r="H315" i="35"/>
  <c r="D316" i="35"/>
  <c r="F316" i="35" s="1"/>
  <c r="H316" i="35"/>
  <c r="D317" i="35"/>
  <c r="E317" i="35"/>
  <c r="F317" i="35"/>
  <c r="G317" i="35"/>
  <c r="H317" i="35"/>
  <c r="D318" i="35"/>
  <c r="G318" i="35" s="1"/>
  <c r="E318" i="35"/>
  <c r="F318" i="35"/>
  <c r="H318" i="35"/>
  <c r="D319" i="35"/>
  <c r="F319" i="35" s="1"/>
  <c r="E319" i="35"/>
  <c r="H319" i="35"/>
  <c r="D320" i="35"/>
  <c r="G320" i="35" s="1"/>
  <c r="H320" i="35"/>
  <c r="D321" i="35"/>
  <c r="E321" i="35"/>
  <c r="F321" i="35"/>
  <c r="G321" i="35"/>
  <c r="H321" i="35"/>
  <c r="D322" i="35"/>
  <c r="G322" i="35" s="1"/>
  <c r="E322" i="35"/>
  <c r="F322" i="35"/>
  <c r="H322" i="35"/>
  <c r="D323" i="35"/>
  <c r="G323" i="35" s="1"/>
  <c r="E323" i="35"/>
  <c r="H323" i="35"/>
  <c r="D324" i="35"/>
  <c r="F324" i="35" s="1"/>
  <c r="H324" i="35"/>
  <c r="D325" i="35"/>
  <c r="E325" i="35"/>
  <c r="F325" i="35"/>
  <c r="G325" i="35"/>
  <c r="H325" i="35"/>
  <c r="D326" i="35"/>
  <c r="G326" i="35" s="1"/>
  <c r="E326" i="35"/>
  <c r="F326" i="35"/>
  <c r="H326" i="35"/>
  <c r="D327" i="35"/>
  <c r="F327" i="35" s="1"/>
  <c r="E327" i="35"/>
  <c r="H327" i="35"/>
  <c r="D328" i="35"/>
  <c r="G328" i="35" s="1"/>
  <c r="H328" i="35"/>
  <c r="D329" i="35"/>
  <c r="E329" i="35"/>
  <c r="F329" i="35"/>
  <c r="G329" i="35"/>
  <c r="H329" i="35"/>
  <c r="D330" i="35"/>
  <c r="G330" i="35" s="1"/>
  <c r="E330" i="35"/>
  <c r="F330" i="35"/>
  <c r="H330" i="35"/>
  <c r="D331" i="35"/>
  <c r="G331" i="35" s="1"/>
  <c r="E331" i="35"/>
  <c r="H331" i="35"/>
  <c r="D332" i="35"/>
  <c r="F332" i="35" s="1"/>
  <c r="H332" i="35"/>
  <c r="D333" i="35"/>
  <c r="E333" i="35"/>
  <c r="F333" i="35"/>
  <c r="G333" i="35"/>
  <c r="H333" i="35"/>
  <c r="D334" i="35"/>
  <c r="G334" i="35" s="1"/>
  <c r="E334" i="35"/>
  <c r="F334" i="35"/>
  <c r="H334" i="35"/>
  <c r="D335" i="35"/>
  <c r="G335" i="35" s="1"/>
  <c r="E335" i="35"/>
  <c r="H335" i="35"/>
  <c r="D336" i="35"/>
  <c r="F336" i="35" s="1"/>
  <c r="H336" i="35"/>
  <c r="D337" i="35"/>
  <c r="E337" i="35"/>
  <c r="F337" i="35"/>
  <c r="G337" i="35"/>
  <c r="H337" i="35"/>
  <c r="D338" i="35"/>
  <c r="G338" i="35" s="1"/>
  <c r="E338" i="35"/>
  <c r="F338" i="35"/>
  <c r="H338" i="35"/>
  <c r="D339" i="35"/>
  <c r="F339" i="35" s="1"/>
  <c r="E339" i="35"/>
  <c r="H339" i="35"/>
  <c r="D340" i="35"/>
  <c r="G340" i="35" s="1"/>
  <c r="H340" i="35"/>
  <c r="D341" i="35"/>
  <c r="E341" i="35"/>
  <c r="F341" i="35"/>
  <c r="G341" i="35"/>
  <c r="H341" i="35"/>
  <c r="D342" i="35"/>
  <c r="G342" i="35" s="1"/>
  <c r="E342" i="35"/>
  <c r="F342" i="35"/>
  <c r="H342" i="35"/>
  <c r="D343" i="35"/>
  <c r="G343" i="35" s="1"/>
  <c r="E343" i="35"/>
  <c r="H343" i="35"/>
  <c r="D344" i="35"/>
  <c r="F344" i="35" s="1"/>
  <c r="H344" i="35"/>
  <c r="D345" i="35"/>
  <c r="E345" i="35"/>
  <c r="F345" i="35"/>
  <c r="G345" i="35"/>
  <c r="H345" i="35"/>
  <c r="D346" i="35"/>
  <c r="G346" i="35" s="1"/>
  <c r="E346" i="35"/>
  <c r="F346" i="35"/>
  <c r="H346" i="35"/>
  <c r="A367" i="28"/>
  <c r="A368" i="28"/>
  <c r="A369" i="28"/>
  <c r="A370" i="28"/>
  <c r="A466" i="28"/>
  <c r="A467" i="28"/>
  <c r="A468" i="28"/>
  <c r="A469" i="28"/>
  <c r="A470" i="28"/>
  <c r="A471" i="28"/>
  <c r="A472" i="28"/>
  <c r="A473" i="28"/>
  <c r="A474" i="28"/>
  <c r="A475" i="28"/>
  <c r="A476" i="28"/>
  <c r="A477" i="28"/>
  <c r="A478" i="28"/>
  <c r="A479" i="28"/>
  <c r="A480" i="28"/>
  <c r="A481" i="28"/>
  <c r="A482" i="28"/>
  <c r="A483" i="28"/>
  <c r="A484" i="28"/>
  <c r="A485" i="28"/>
  <c r="A486" i="28"/>
  <c r="A487" i="28"/>
  <c r="A488" i="28"/>
  <c r="A489" i="28"/>
  <c r="A490" i="28"/>
  <c r="A491" i="28"/>
  <c r="A492" i="28"/>
  <c r="A493" i="28"/>
  <c r="A494" i="28"/>
  <c r="A495" i="28"/>
  <c r="A496" i="28"/>
  <c r="A497" i="28"/>
  <c r="A498" i="28"/>
  <c r="A499" i="28"/>
  <c r="A500" i="28"/>
  <c r="A501" i="28"/>
  <c r="A502" i="28"/>
  <c r="A503" i="28"/>
  <c r="A504" i="28"/>
  <c r="A505" i="28"/>
  <c r="A506" i="28"/>
  <c r="A507" i="28"/>
  <c r="A508" i="28"/>
  <c r="A509" i="28"/>
  <c r="A510" i="28"/>
  <c r="A511" i="28"/>
  <c r="A512" i="28"/>
  <c r="A513" i="28"/>
  <c r="A514" i="28"/>
  <c r="A515" i="28"/>
  <c r="A516" i="28"/>
  <c r="A517" i="28"/>
  <c r="A518" i="28"/>
  <c r="A519" i="28"/>
  <c r="A520" i="28"/>
  <c r="A521" i="28"/>
  <c r="A522" i="28"/>
  <c r="A523" i="28"/>
  <c r="A524" i="28"/>
  <c r="A525" i="28"/>
  <c r="A526" i="28"/>
  <c r="A461" i="28"/>
  <c r="A462" i="28"/>
  <c r="A463" i="28"/>
  <c r="A464" i="28"/>
  <c r="A465" i="28"/>
  <c r="A222" i="28"/>
  <c r="G333" i="36" l="1"/>
  <c r="F330" i="36"/>
  <c r="G329" i="36"/>
  <c r="F326" i="36"/>
  <c r="G325" i="36"/>
  <c r="F322" i="36"/>
  <c r="F333" i="36"/>
  <c r="F329" i="36"/>
  <c r="F325" i="36"/>
  <c r="F320" i="36"/>
  <c r="G320" i="36"/>
  <c r="E317" i="36"/>
  <c r="F317" i="36"/>
  <c r="F304" i="36"/>
  <c r="G304" i="36"/>
  <c r="E301" i="36"/>
  <c r="F301" i="36"/>
  <c r="F288" i="36"/>
  <c r="G288" i="36"/>
  <c r="E285" i="36"/>
  <c r="F285" i="36"/>
  <c r="F272" i="36"/>
  <c r="G272" i="36"/>
  <c r="E321" i="36"/>
  <c r="F321" i="36"/>
  <c r="F308" i="36"/>
  <c r="G308" i="36"/>
  <c r="E305" i="36"/>
  <c r="F305" i="36"/>
  <c r="F292" i="36"/>
  <c r="G292" i="36"/>
  <c r="E289" i="36"/>
  <c r="F289" i="36"/>
  <c r="F276" i="36"/>
  <c r="G276" i="36"/>
  <c r="E273" i="36"/>
  <c r="F273" i="36"/>
  <c r="G415" i="36"/>
  <c r="F415" i="36"/>
  <c r="G414" i="36"/>
  <c r="G413" i="36"/>
  <c r="F412" i="36"/>
  <c r="G398" i="36"/>
  <c r="G397" i="36"/>
  <c r="F396" i="36"/>
  <c r="G382" i="36"/>
  <c r="G381" i="36"/>
  <c r="F380" i="36"/>
  <c r="G366" i="36"/>
  <c r="G365" i="36"/>
  <c r="F364" i="36"/>
  <c r="G350" i="36"/>
  <c r="G349" i="36"/>
  <c r="F348" i="36"/>
  <c r="G334" i="36"/>
  <c r="F414" i="36"/>
  <c r="E413" i="36"/>
  <c r="E412" i="36"/>
  <c r="G410" i="36"/>
  <c r="G409" i="36"/>
  <c r="F408" i="36"/>
  <c r="F398" i="36"/>
  <c r="E397" i="36"/>
  <c r="E396" i="36"/>
  <c r="G394" i="36"/>
  <c r="G393" i="36"/>
  <c r="F392" i="36"/>
  <c r="F382" i="36"/>
  <c r="E381" i="36"/>
  <c r="E380" i="36"/>
  <c r="G378" i="36"/>
  <c r="G377" i="36"/>
  <c r="F376" i="36"/>
  <c r="F366" i="36"/>
  <c r="E365" i="36"/>
  <c r="E364" i="36"/>
  <c r="G362" i="36"/>
  <c r="G361" i="36"/>
  <c r="F360" i="36"/>
  <c r="F350" i="36"/>
  <c r="E349" i="36"/>
  <c r="E348" i="36"/>
  <c r="G346" i="36"/>
  <c r="G345" i="36"/>
  <c r="F344" i="36"/>
  <c r="F334" i="36"/>
  <c r="F312" i="36"/>
  <c r="G312" i="36"/>
  <c r="E309" i="36"/>
  <c r="F309" i="36"/>
  <c r="F296" i="36"/>
  <c r="G296" i="36"/>
  <c r="E293" i="36"/>
  <c r="F293" i="36"/>
  <c r="F280" i="36"/>
  <c r="G280" i="36"/>
  <c r="E277" i="36"/>
  <c r="F277" i="36"/>
  <c r="E320" i="36"/>
  <c r="G317" i="36"/>
  <c r="F316" i="36"/>
  <c r="G316" i="36"/>
  <c r="E313" i="36"/>
  <c r="F313" i="36"/>
  <c r="E304" i="36"/>
  <c r="G301" i="36"/>
  <c r="F300" i="36"/>
  <c r="G300" i="36"/>
  <c r="E297" i="36"/>
  <c r="F297" i="36"/>
  <c r="E288" i="36"/>
  <c r="G285" i="36"/>
  <c r="F284" i="36"/>
  <c r="G284" i="36"/>
  <c r="E281" i="36"/>
  <c r="F281" i="36"/>
  <c r="E272" i="36"/>
  <c r="G168" i="36"/>
  <c r="E162" i="36"/>
  <c r="G162" i="36"/>
  <c r="G160" i="36"/>
  <c r="E160" i="36"/>
  <c r="E150" i="36"/>
  <c r="F150" i="36"/>
  <c r="G150" i="36"/>
  <c r="E142" i="36"/>
  <c r="F142" i="36"/>
  <c r="G142" i="36"/>
  <c r="E134" i="36"/>
  <c r="F134" i="36"/>
  <c r="G134" i="36"/>
  <c r="F269" i="36"/>
  <c r="G268" i="36"/>
  <c r="F265" i="36"/>
  <c r="G264" i="36"/>
  <c r="F261" i="36"/>
  <c r="G260" i="36"/>
  <c r="F257" i="36"/>
  <c r="G256" i="36"/>
  <c r="F253" i="36"/>
  <c r="G252" i="36"/>
  <c r="F249" i="36"/>
  <c r="G248" i="36"/>
  <c r="F245" i="36"/>
  <c r="G244" i="36"/>
  <c r="F241" i="36"/>
  <c r="G240" i="36"/>
  <c r="F237" i="36"/>
  <c r="G236" i="36"/>
  <c r="F233" i="36"/>
  <c r="G232" i="36"/>
  <c r="F229" i="36"/>
  <c r="G228" i="36"/>
  <c r="F225" i="36"/>
  <c r="G224" i="36"/>
  <c r="F221" i="36"/>
  <c r="G220" i="36"/>
  <c r="F217" i="36"/>
  <c r="G216" i="36"/>
  <c r="F213" i="36"/>
  <c r="G212" i="36"/>
  <c r="F209" i="36"/>
  <c r="G208" i="36"/>
  <c r="F200" i="36"/>
  <c r="E199" i="36"/>
  <c r="E198" i="36"/>
  <c r="G196" i="36"/>
  <c r="G195" i="36"/>
  <c r="F194" i="36"/>
  <c r="F184" i="36"/>
  <c r="E183" i="36"/>
  <c r="E182" i="36"/>
  <c r="G180" i="36"/>
  <c r="G179" i="36"/>
  <c r="F178" i="36"/>
  <c r="F168" i="36"/>
  <c r="E166" i="36"/>
  <c r="G166" i="36"/>
  <c r="G164" i="36"/>
  <c r="E164" i="36"/>
  <c r="F268" i="36"/>
  <c r="F264" i="36"/>
  <c r="F260" i="36"/>
  <c r="F256" i="36"/>
  <c r="F252" i="36"/>
  <c r="F248" i="36"/>
  <c r="F244" i="36"/>
  <c r="F240" i="36"/>
  <c r="F236" i="36"/>
  <c r="F232" i="36"/>
  <c r="F228" i="36"/>
  <c r="F224" i="36"/>
  <c r="F220" i="36"/>
  <c r="F216" i="36"/>
  <c r="F212" i="36"/>
  <c r="F208" i="36"/>
  <c r="G207" i="36"/>
  <c r="F206" i="36"/>
  <c r="F196" i="36"/>
  <c r="E195" i="36"/>
  <c r="E194" i="36"/>
  <c r="G192" i="36"/>
  <c r="G191" i="36"/>
  <c r="F190" i="36"/>
  <c r="F180" i="36"/>
  <c r="G176" i="36"/>
  <c r="G175" i="36"/>
  <c r="E154" i="36"/>
  <c r="G154" i="36"/>
  <c r="E146" i="36"/>
  <c r="F146" i="36"/>
  <c r="G146" i="36"/>
  <c r="E138" i="36"/>
  <c r="F138" i="36"/>
  <c r="G138" i="36"/>
  <c r="E207" i="36"/>
  <c r="E206" i="36"/>
  <c r="F192" i="36"/>
  <c r="E191" i="36"/>
  <c r="E190" i="36"/>
  <c r="F176" i="36"/>
  <c r="E175" i="36"/>
  <c r="E174" i="36"/>
  <c r="F162" i="36"/>
  <c r="F160" i="36"/>
  <c r="E158" i="36"/>
  <c r="G158" i="36"/>
  <c r="G156" i="36"/>
  <c r="E156" i="36"/>
  <c r="E152" i="36"/>
  <c r="E148" i="36"/>
  <c r="E144" i="36"/>
  <c r="E140" i="36"/>
  <c r="E136" i="36"/>
  <c r="E132" i="36"/>
  <c r="G130" i="36"/>
  <c r="E128" i="36"/>
  <c r="G126" i="36"/>
  <c r="E124" i="36"/>
  <c r="G122" i="36"/>
  <c r="E120" i="36"/>
  <c r="G118" i="36"/>
  <c r="F113" i="36"/>
  <c r="E112" i="36"/>
  <c r="E111" i="36"/>
  <c r="G109" i="36"/>
  <c r="G108" i="36"/>
  <c r="F107" i="36"/>
  <c r="F97" i="36"/>
  <c r="E96" i="36"/>
  <c r="E95" i="36"/>
  <c r="G93" i="36"/>
  <c r="G92" i="36"/>
  <c r="F91" i="36"/>
  <c r="F83" i="36"/>
  <c r="G83" i="36"/>
  <c r="E80" i="36"/>
  <c r="F80" i="36"/>
  <c r="F67" i="36"/>
  <c r="G67" i="36"/>
  <c r="E64" i="36"/>
  <c r="F64" i="36"/>
  <c r="F130" i="36"/>
  <c r="F126" i="36"/>
  <c r="F122" i="36"/>
  <c r="F118" i="36"/>
  <c r="G105" i="36"/>
  <c r="G104" i="36"/>
  <c r="F103" i="36"/>
  <c r="F87" i="36"/>
  <c r="G87" i="36"/>
  <c r="E84" i="36"/>
  <c r="F84" i="36"/>
  <c r="F71" i="36"/>
  <c r="G71" i="36"/>
  <c r="E68" i="36"/>
  <c r="F68" i="36"/>
  <c r="E59" i="36"/>
  <c r="F59" i="36"/>
  <c r="G59" i="36"/>
  <c r="E51" i="36"/>
  <c r="F51" i="36"/>
  <c r="G51" i="36"/>
  <c r="E43" i="36"/>
  <c r="F43" i="36"/>
  <c r="G43" i="36"/>
  <c r="E35" i="36"/>
  <c r="F35" i="36"/>
  <c r="G35" i="36"/>
  <c r="F105" i="36"/>
  <c r="E104" i="36"/>
  <c r="E103" i="36"/>
  <c r="E88" i="36"/>
  <c r="F88" i="36"/>
  <c r="F75" i="36"/>
  <c r="G75" i="36"/>
  <c r="E72" i="36"/>
  <c r="F72" i="36"/>
  <c r="F79" i="36"/>
  <c r="G79" i="36"/>
  <c r="E76" i="36"/>
  <c r="F76" i="36"/>
  <c r="F63" i="36"/>
  <c r="G63" i="36"/>
  <c r="E55" i="36"/>
  <c r="F55" i="36"/>
  <c r="G55" i="36"/>
  <c r="E47" i="36"/>
  <c r="F47" i="36"/>
  <c r="G47" i="36"/>
  <c r="E39" i="36"/>
  <c r="F39" i="36"/>
  <c r="G39" i="36"/>
  <c r="E31" i="36"/>
  <c r="F31" i="36"/>
  <c r="G31" i="36"/>
  <c r="F60" i="36"/>
  <c r="F56" i="36"/>
  <c r="F52" i="36"/>
  <c r="F48" i="36"/>
  <c r="F44" i="36"/>
  <c r="F40" i="36"/>
  <c r="F36" i="36"/>
  <c r="F32" i="36"/>
  <c r="F28" i="36"/>
  <c r="G27" i="36"/>
  <c r="F24" i="36"/>
  <c r="G23" i="36"/>
  <c r="F20" i="36"/>
  <c r="G19" i="36"/>
  <c r="F16" i="36"/>
  <c r="G15" i="36"/>
  <c r="F12" i="36"/>
  <c r="G11" i="36"/>
  <c r="F8" i="36"/>
  <c r="G7" i="36"/>
  <c r="F4" i="36"/>
  <c r="F27" i="36"/>
  <c r="F23" i="36"/>
  <c r="F19" i="36"/>
  <c r="F15" i="36"/>
  <c r="F11" i="36"/>
  <c r="F7" i="36"/>
  <c r="G336" i="35"/>
  <c r="G324" i="35"/>
  <c r="F340" i="35"/>
  <c r="G339" i="35"/>
  <c r="F328" i="35"/>
  <c r="G327" i="35"/>
  <c r="F320" i="35"/>
  <c r="G319" i="35"/>
  <c r="F312" i="35"/>
  <c r="G311" i="35"/>
  <c r="F304" i="35"/>
  <c r="G303" i="35"/>
  <c r="E344" i="35"/>
  <c r="F343" i="35"/>
  <c r="E340" i="35"/>
  <c r="E336" i="35"/>
  <c r="F335" i="35"/>
  <c r="E332" i="35"/>
  <c r="F331" i="35"/>
  <c r="E328" i="35"/>
  <c r="E324" i="35"/>
  <c r="F323" i="35"/>
  <c r="E320" i="35"/>
  <c r="E316" i="35"/>
  <c r="F315" i="35"/>
  <c r="E312" i="35"/>
  <c r="F311" i="35"/>
  <c r="E308" i="35"/>
  <c r="F307" i="35"/>
  <c r="F303" i="35"/>
  <c r="E300" i="35"/>
  <c r="F299" i="35"/>
  <c r="E296" i="35"/>
  <c r="F295" i="35"/>
  <c r="E292" i="35"/>
  <c r="F291" i="35"/>
  <c r="E288" i="35"/>
  <c r="F287" i="35"/>
  <c r="E284" i="35"/>
  <c r="F283" i="35"/>
  <c r="E280" i="35"/>
  <c r="F279" i="35"/>
  <c r="E276" i="35"/>
  <c r="F275" i="35"/>
  <c r="E272" i="35"/>
  <c r="F271" i="35"/>
  <c r="E268" i="35"/>
  <c r="F267" i="35"/>
  <c r="E264" i="35"/>
  <c r="F263" i="35"/>
  <c r="E260" i="35"/>
  <c r="F259" i="35"/>
  <c r="E256" i="35"/>
  <c r="F255" i="35"/>
  <c r="E252" i="35"/>
  <c r="F251" i="35"/>
  <c r="E248" i="35"/>
  <c r="F247" i="35"/>
  <c r="E244" i="35"/>
  <c r="F243" i="35"/>
  <c r="E240" i="35"/>
  <c r="F239" i="35"/>
  <c r="E236" i="35"/>
  <c r="F235" i="35"/>
  <c r="E232" i="35"/>
  <c r="F231" i="35"/>
  <c r="E228" i="35"/>
  <c r="F227" i="35"/>
  <c r="E224" i="35"/>
  <c r="F223" i="35"/>
  <c r="E220" i="35"/>
  <c r="F219" i="35"/>
  <c r="E216" i="35"/>
  <c r="F215" i="35"/>
  <c r="E212" i="35"/>
  <c r="F211" i="35"/>
  <c r="F210" i="35"/>
  <c r="F200" i="35"/>
  <c r="E199" i="35"/>
  <c r="E198" i="35"/>
  <c r="G196" i="35"/>
  <c r="G195" i="35"/>
  <c r="F194" i="35"/>
  <c r="F184" i="35"/>
  <c r="E183" i="35"/>
  <c r="E182" i="35"/>
  <c r="G180" i="35"/>
  <c r="G179" i="35"/>
  <c r="F178" i="35"/>
  <c r="G158" i="35"/>
  <c r="E158" i="35"/>
  <c r="E156" i="35"/>
  <c r="G156" i="35"/>
  <c r="E148" i="35"/>
  <c r="F148" i="35"/>
  <c r="G148" i="35"/>
  <c r="E307" i="35"/>
  <c r="E299" i="35"/>
  <c r="E295" i="35"/>
  <c r="E291" i="35"/>
  <c r="E287" i="35"/>
  <c r="E283" i="35"/>
  <c r="E279" i="35"/>
  <c r="E275" i="35"/>
  <c r="E271" i="35"/>
  <c r="E267" i="35"/>
  <c r="E263" i="35"/>
  <c r="E259" i="35"/>
  <c r="E255" i="35"/>
  <c r="E251" i="35"/>
  <c r="E247" i="35"/>
  <c r="E243" i="35"/>
  <c r="E239" i="35"/>
  <c r="E235" i="35"/>
  <c r="E231" i="35"/>
  <c r="E227" i="35"/>
  <c r="E223" i="35"/>
  <c r="E219" i="35"/>
  <c r="E215" i="35"/>
  <c r="E211" i="35"/>
  <c r="E210" i="35"/>
  <c r="F196" i="35"/>
  <c r="E195" i="35"/>
  <c r="E194" i="35"/>
  <c r="F180" i="35"/>
  <c r="E179" i="35"/>
  <c r="G162" i="35"/>
  <c r="E162" i="35"/>
  <c r="E160" i="35"/>
  <c r="G160" i="35"/>
  <c r="G344" i="35"/>
  <c r="G332" i="35"/>
  <c r="G166" i="35"/>
  <c r="E166" i="35"/>
  <c r="E164" i="35"/>
  <c r="G164" i="35"/>
  <c r="E152" i="35"/>
  <c r="F152" i="35"/>
  <c r="G152" i="35"/>
  <c r="G316" i="35"/>
  <c r="G200" i="35"/>
  <c r="G199" i="35"/>
  <c r="F198" i="35"/>
  <c r="G184" i="35"/>
  <c r="G183" i="35"/>
  <c r="F182" i="35"/>
  <c r="F172" i="35"/>
  <c r="G170" i="35"/>
  <c r="E170" i="35"/>
  <c r="E168" i="35"/>
  <c r="G168" i="35"/>
  <c r="F158" i="35"/>
  <c r="F156" i="35"/>
  <c r="E154" i="35"/>
  <c r="E150" i="35"/>
  <c r="E146" i="35"/>
  <c r="G144" i="35"/>
  <c r="E142" i="35"/>
  <c r="G140" i="35"/>
  <c r="E138" i="35"/>
  <c r="G136" i="35"/>
  <c r="E134" i="35"/>
  <c r="G132" i="35"/>
  <c r="E130" i="35"/>
  <c r="G128" i="35"/>
  <c r="E126" i="35"/>
  <c r="G124" i="35"/>
  <c r="E122" i="35"/>
  <c r="G120" i="35"/>
  <c r="E118" i="35"/>
  <c r="F106" i="35"/>
  <c r="E105" i="35"/>
  <c r="E104" i="35"/>
  <c r="E89" i="35"/>
  <c r="F89" i="35"/>
  <c r="F144" i="35"/>
  <c r="F140" i="35"/>
  <c r="F136" i="35"/>
  <c r="F132" i="35"/>
  <c r="F128" i="35"/>
  <c r="F124" i="35"/>
  <c r="F120" i="35"/>
  <c r="G114" i="35"/>
  <c r="G113" i="35"/>
  <c r="F112" i="35"/>
  <c r="G98" i="35"/>
  <c r="G97" i="35"/>
  <c r="F96" i="35"/>
  <c r="F80" i="35"/>
  <c r="G80" i="35"/>
  <c r="E72" i="35"/>
  <c r="F72" i="35"/>
  <c r="G72" i="35"/>
  <c r="E64" i="35"/>
  <c r="F64" i="35"/>
  <c r="G64" i="35"/>
  <c r="E56" i="35"/>
  <c r="F56" i="35"/>
  <c r="G56" i="35"/>
  <c r="F114" i="35"/>
  <c r="E113" i="35"/>
  <c r="E112" i="35"/>
  <c r="G110" i="35"/>
  <c r="G109" i="35"/>
  <c r="F108" i="35"/>
  <c r="F98" i="35"/>
  <c r="E97" i="35"/>
  <c r="E96" i="35"/>
  <c r="G94" i="35"/>
  <c r="G93" i="35"/>
  <c r="F92" i="35"/>
  <c r="F84" i="35"/>
  <c r="G84" i="35"/>
  <c r="E81" i="35"/>
  <c r="F81" i="35"/>
  <c r="F88" i="35"/>
  <c r="G88" i="35"/>
  <c r="E85" i="35"/>
  <c r="F85" i="35"/>
  <c r="E76" i="35"/>
  <c r="F76" i="35"/>
  <c r="G76" i="35"/>
  <c r="E68" i="35"/>
  <c r="F68" i="35"/>
  <c r="G68" i="35"/>
  <c r="E60" i="35"/>
  <c r="F60" i="35"/>
  <c r="G60" i="35"/>
  <c r="E52" i="35"/>
  <c r="F52" i="35"/>
  <c r="G52" i="35"/>
  <c r="F77" i="35"/>
  <c r="F73" i="35"/>
  <c r="F69" i="35"/>
  <c r="F65" i="35"/>
  <c r="F61" i="35"/>
  <c r="F57" i="35"/>
  <c r="F53" i="35"/>
  <c r="F49" i="35"/>
  <c r="G48" i="35"/>
  <c r="F45" i="35"/>
  <c r="G44" i="35"/>
  <c r="F41" i="35"/>
  <c r="G40" i="35"/>
  <c r="F37" i="35"/>
  <c r="G36" i="35"/>
  <c r="F33" i="35"/>
  <c r="G32" i="35"/>
  <c r="F29" i="35"/>
  <c r="G28" i="35"/>
  <c r="F25" i="35"/>
  <c r="G24" i="35"/>
  <c r="F21" i="35"/>
  <c r="G20" i="35"/>
  <c r="F17" i="35"/>
  <c r="G16" i="35"/>
  <c r="F13" i="35"/>
  <c r="G12" i="35"/>
  <c r="F9" i="35"/>
  <c r="G8" i="35"/>
  <c r="F5" i="35"/>
  <c r="G4" i="35"/>
  <c r="F48" i="35"/>
  <c r="F44" i="35"/>
  <c r="F40" i="35"/>
  <c r="F36" i="35"/>
  <c r="F32" i="35"/>
  <c r="F28" i="35"/>
  <c r="F24" i="35"/>
  <c r="F20" i="35"/>
  <c r="F16" i="35"/>
  <c r="F12" i="35"/>
  <c r="F8" i="35"/>
  <c r="F4" i="35"/>
  <c r="A8" i="28"/>
  <c r="E3" i="36"/>
  <c r="G3" i="36"/>
  <c r="F3" i="36"/>
  <c r="A8" i="36"/>
  <c r="B4" i="36"/>
  <c r="C4" i="36" s="1"/>
  <c r="B5" i="36" s="1"/>
  <c r="C5" i="36" s="1"/>
  <c r="B6" i="36" s="1"/>
  <c r="C6" i="36" s="1"/>
  <c r="B7" i="36" s="1"/>
  <c r="C7" i="36" s="1"/>
  <c r="B8" i="36" s="1"/>
  <c r="C8" i="36" s="1"/>
  <c r="B9" i="36" s="1"/>
  <c r="C9" i="36" s="1"/>
  <c r="B10" i="36" s="1"/>
  <c r="C10" i="36" s="1"/>
  <c r="B11" i="36" s="1"/>
  <c r="C11" i="36" s="1"/>
  <c r="B12" i="36" s="1"/>
  <c r="C12" i="36" s="1"/>
  <c r="B13" i="36" s="1"/>
  <c r="C13" i="36" s="1"/>
  <c r="B14" i="36" s="1"/>
  <c r="C14" i="36" s="1"/>
  <c r="B15" i="36" s="1"/>
  <c r="C15" i="36" s="1"/>
  <c r="B16" i="36" s="1"/>
  <c r="C16" i="36" s="1"/>
  <c r="B17" i="36" s="1"/>
  <c r="C17" i="36" s="1"/>
  <c r="B18" i="36" s="1"/>
  <c r="C18" i="36" s="1"/>
  <c r="B19" i="36" s="1"/>
  <c r="C19" i="36" s="1"/>
  <c r="B20" i="36" s="1"/>
  <c r="C20" i="36" s="1"/>
  <c r="B21" i="36" s="1"/>
  <c r="C21" i="36" s="1"/>
  <c r="B22" i="36" s="1"/>
  <c r="C22" i="36" s="1"/>
  <c r="B23" i="36" s="1"/>
  <c r="C23" i="36" s="1"/>
  <c r="B24" i="36" s="1"/>
  <c r="C24" i="36" s="1"/>
  <c r="B25" i="36" s="1"/>
  <c r="C25" i="36" s="1"/>
  <c r="B26" i="36" s="1"/>
  <c r="C26" i="36" s="1"/>
  <c r="B27" i="36" s="1"/>
  <c r="C27" i="36" s="1"/>
  <c r="B28" i="36" s="1"/>
  <c r="C28" i="36" s="1"/>
  <c r="B29" i="36" s="1"/>
  <c r="C29" i="36" s="1"/>
  <c r="B30" i="36" s="1"/>
  <c r="C30" i="36" s="1"/>
  <c r="B31" i="36" s="1"/>
  <c r="C31" i="36" s="1"/>
  <c r="B32" i="36" s="1"/>
  <c r="C32" i="36" s="1"/>
  <c r="B33" i="36" s="1"/>
  <c r="C33" i="36" s="1"/>
  <c r="B34" i="36" s="1"/>
  <c r="C34" i="36" s="1"/>
  <c r="B35" i="36" s="1"/>
  <c r="C35" i="36" s="1"/>
  <c r="B36" i="36" s="1"/>
  <c r="C36" i="36" s="1"/>
  <c r="B37" i="36" s="1"/>
  <c r="C37" i="36" s="1"/>
  <c r="B38" i="36" s="1"/>
  <c r="C38" i="36" s="1"/>
  <c r="B39" i="36" s="1"/>
  <c r="C39" i="36" s="1"/>
  <c r="B40" i="36" s="1"/>
  <c r="C40" i="36" s="1"/>
  <c r="B41" i="36" s="1"/>
  <c r="C41" i="36" s="1"/>
  <c r="B42" i="36" s="1"/>
  <c r="C42" i="36" s="1"/>
  <c r="B43" i="36" s="1"/>
  <c r="C43" i="36" s="1"/>
  <c r="B44" i="36" s="1"/>
  <c r="C44" i="36" s="1"/>
  <c r="B45" i="36" s="1"/>
  <c r="C45" i="36" s="1"/>
  <c r="B46" i="36" s="1"/>
  <c r="C46" i="36" s="1"/>
  <c r="B47" i="36" s="1"/>
  <c r="C47" i="36" s="1"/>
  <c r="B48" i="36" s="1"/>
  <c r="C48" i="36" s="1"/>
  <c r="B49" i="36" s="1"/>
  <c r="C49" i="36" s="1"/>
  <c r="B50" i="36" s="1"/>
  <c r="C50" i="36" s="1"/>
  <c r="B51" i="36" s="1"/>
  <c r="C51" i="36" s="1"/>
  <c r="B52" i="36" s="1"/>
  <c r="C52" i="36" s="1"/>
  <c r="B53" i="36" s="1"/>
  <c r="C53" i="36" s="1"/>
  <c r="B54" i="36" s="1"/>
  <c r="C54" i="36" s="1"/>
  <c r="B55" i="36" s="1"/>
  <c r="C55" i="36" s="1"/>
  <c r="B56" i="36" s="1"/>
  <c r="C56" i="36" s="1"/>
  <c r="B57" i="36" s="1"/>
  <c r="C57" i="36" s="1"/>
  <c r="B58" i="36" s="1"/>
  <c r="C58" i="36" s="1"/>
  <c r="B59" i="36" s="1"/>
  <c r="C59" i="36" s="1"/>
  <c r="B60" i="36" s="1"/>
  <c r="C60" i="36" s="1"/>
  <c r="B61" i="36" s="1"/>
  <c r="C61" i="36" s="1"/>
  <c r="B62" i="36" s="1"/>
  <c r="C62" i="36" s="1"/>
  <c r="B63" i="36" s="1"/>
  <c r="C63" i="36" s="1"/>
  <c r="B64" i="36" s="1"/>
  <c r="C64" i="36" s="1"/>
  <c r="B65" i="36" s="1"/>
  <c r="C65" i="36" s="1"/>
  <c r="B66" i="36" s="1"/>
  <c r="C66" i="36" s="1"/>
  <c r="B67" i="36" s="1"/>
  <c r="C67" i="36" s="1"/>
  <c r="B68" i="36" s="1"/>
  <c r="C68" i="36" s="1"/>
  <c r="B69" i="36" s="1"/>
  <c r="C69" i="36" s="1"/>
  <c r="B70" i="36" s="1"/>
  <c r="C70" i="36" s="1"/>
  <c r="B71" i="36" s="1"/>
  <c r="C71" i="36" s="1"/>
  <c r="B72" i="36" s="1"/>
  <c r="C72" i="36" s="1"/>
  <c r="B73" i="36" s="1"/>
  <c r="C73" i="36" s="1"/>
  <c r="B74" i="36" s="1"/>
  <c r="C74" i="36" s="1"/>
  <c r="B75" i="36" s="1"/>
  <c r="C75" i="36" s="1"/>
  <c r="B76" i="36" s="1"/>
  <c r="C76" i="36" s="1"/>
  <c r="B77" i="36" s="1"/>
  <c r="C77" i="36" s="1"/>
  <c r="B78" i="36" s="1"/>
  <c r="C78" i="36" s="1"/>
  <c r="B79" i="36" s="1"/>
  <c r="C79" i="36" s="1"/>
  <c r="B80" i="36" s="1"/>
  <c r="C80" i="36" s="1"/>
  <c r="B81" i="36" s="1"/>
  <c r="C81" i="36" s="1"/>
  <c r="B82" i="36" s="1"/>
  <c r="C82" i="36" s="1"/>
  <c r="B83" i="36" s="1"/>
  <c r="C83" i="36" s="1"/>
  <c r="B84" i="36" s="1"/>
  <c r="C84" i="36" s="1"/>
  <c r="B85" i="36" s="1"/>
  <c r="C85" i="36" s="1"/>
  <c r="B86" i="36" s="1"/>
  <c r="C86" i="36" s="1"/>
  <c r="B87" i="36" s="1"/>
  <c r="C87" i="36" s="1"/>
  <c r="B88" i="36" s="1"/>
  <c r="C88" i="36" s="1"/>
  <c r="B89" i="36" s="1"/>
  <c r="C89" i="36" s="1"/>
  <c r="B90" i="36" s="1"/>
  <c r="C90" i="36" s="1"/>
  <c r="B91" i="36" s="1"/>
  <c r="C91" i="36" s="1"/>
  <c r="B92" i="36" s="1"/>
  <c r="C92" i="36" s="1"/>
  <c r="B93" i="36" s="1"/>
  <c r="C93" i="36" s="1"/>
  <c r="B94" i="36" s="1"/>
  <c r="C94" i="36" s="1"/>
  <c r="B95" i="36" s="1"/>
  <c r="C95" i="36" s="1"/>
  <c r="B96" i="36" s="1"/>
  <c r="C96" i="36" s="1"/>
  <c r="B97" i="36" s="1"/>
  <c r="C97" i="36" s="1"/>
  <c r="B98" i="36" s="1"/>
  <c r="C98" i="36" s="1"/>
  <c r="B99" i="36" s="1"/>
  <c r="C99" i="36" s="1"/>
  <c r="B100" i="36" s="1"/>
  <c r="C100" i="36" s="1"/>
  <c r="B101" i="36" s="1"/>
  <c r="C101" i="36" s="1"/>
  <c r="B102" i="36" s="1"/>
  <c r="C102" i="36" s="1"/>
  <c r="B103" i="36" s="1"/>
  <c r="C103" i="36" s="1"/>
  <c r="B104" i="36" s="1"/>
  <c r="C104" i="36" s="1"/>
  <c r="B105" i="36" s="1"/>
  <c r="C105" i="36" s="1"/>
  <c r="B106" i="36" s="1"/>
  <c r="C106" i="36" s="1"/>
  <c r="B107" i="36" s="1"/>
  <c r="C107" i="36" s="1"/>
  <c r="B108" i="36" s="1"/>
  <c r="C108" i="36" s="1"/>
  <c r="B109" i="36" s="1"/>
  <c r="C109" i="36" s="1"/>
  <c r="B110" i="36" s="1"/>
  <c r="C110" i="36" s="1"/>
  <c r="B111" i="36" s="1"/>
  <c r="C111" i="36" s="1"/>
  <c r="B112" i="36" s="1"/>
  <c r="C112" i="36" s="1"/>
  <c r="B113" i="36" s="1"/>
  <c r="C113" i="36" s="1"/>
  <c r="B114" i="36" s="1"/>
  <c r="C114" i="36" s="1"/>
  <c r="B115" i="36" s="1"/>
  <c r="C115" i="36" s="1"/>
  <c r="B116" i="36" s="1"/>
  <c r="C116" i="36" s="1"/>
  <c r="B117" i="36" s="1"/>
  <c r="C117" i="36" s="1"/>
  <c r="B118" i="36" s="1"/>
  <c r="C118" i="36" s="1"/>
  <c r="B119" i="36" s="1"/>
  <c r="C119" i="36" s="1"/>
  <c r="B120" i="36" s="1"/>
  <c r="C120" i="36" s="1"/>
  <c r="B121" i="36" s="1"/>
  <c r="C121" i="36" s="1"/>
  <c r="B122" i="36" s="1"/>
  <c r="C122" i="36" s="1"/>
  <c r="B123" i="36" s="1"/>
  <c r="C123" i="36" s="1"/>
  <c r="B124" i="36" s="1"/>
  <c r="C124" i="36" s="1"/>
  <c r="B125" i="36" s="1"/>
  <c r="C125" i="36" s="1"/>
  <c r="B126" i="36" s="1"/>
  <c r="C126" i="36" s="1"/>
  <c r="B127" i="36" s="1"/>
  <c r="C127" i="36" s="1"/>
  <c r="B128" i="36" s="1"/>
  <c r="C128" i="36" s="1"/>
  <c r="B129" i="36" s="1"/>
  <c r="C129" i="36" s="1"/>
  <c r="B130" i="36" s="1"/>
  <c r="C130" i="36" s="1"/>
  <c r="B131" i="36" s="1"/>
  <c r="C131" i="36" s="1"/>
  <c r="B132" i="36" s="1"/>
  <c r="C132" i="36" s="1"/>
  <c r="B133" i="36" s="1"/>
  <c r="C133" i="36" s="1"/>
  <c r="B134" i="36" s="1"/>
  <c r="C134" i="36" s="1"/>
  <c r="B135" i="36" s="1"/>
  <c r="C135" i="36" s="1"/>
  <c r="B136" i="36" s="1"/>
  <c r="C136" i="36" s="1"/>
  <c r="B137" i="36" s="1"/>
  <c r="C137" i="36" s="1"/>
  <c r="B138" i="36" s="1"/>
  <c r="C138" i="36" s="1"/>
  <c r="B139" i="36" s="1"/>
  <c r="C139" i="36" s="1"/>
  <c r="B140" i="36" s="1"/>
  <c r="C140" i="36" s="1"/>
  <c r="B141" i="36" s="1"/>
  <c r="C141" i="36" s="1"/>
  <c r="B142" i="36" s="1"/>
  <c r="C142" i="36" s="1"/>
  <c r="B143" i="36" s="1"/>
  <c r="C143" i="36" s="1"/>
  <c r="B144" i="36" s="1"/>
  <c r="C144" i="36" s="1"/>
  <c r="B145" i="36" s="1"/>
  <c r="C145" i="36" s="1"/>
  <c r="B146" i="36" s="1"/>
  <c r="C146" i="36" s="1"/>
  <c r="B147" i="36" s="1"/>
  <c r="C147" i="36" s="1"/>
  <c r="B148" i="36" s="1"/>
  <c r="C148" i="36" s="1"/>
  <c r="B149" i="36" s="1"/>
  <c r="C149" i="36" s="1"/>
  <c r="B150" i="36" s="1"/>
  <c r="C150" i="36" s="1"/>
  <c r="B151" i="36" s="1"/>
  <c r="C151" i="36" s="1"/>
  <c r="B152" i="36" s="1"/>
  <c r="C152" i="36" s="1"/>
  <c r="B153" i="36" s="1"/>
  <c r="C153" i="36" s="1"/>
  <c r="B154" i="36" s="1"/>
  <c r="C154" i="36" s="1"/>
  <c r="B155" i="36" s="1"/>
  <c r="C155" i="36" s="1"/>
  <c r="B156" i="36" s="1"/>
  <c r="C156" i="36" s="1"/>
  <c r="B157" i="36" s="1"/>
  <c r="C157" i="36" s="1"/>
  <c r="B158" i="36" s="1"/>
  <c r="C158" i="36" s="1"/>
  <c r="B159" i="36" s="1"/>
  <c r="C159" i="36" s="1"/>
  <c r="B160" i="36" s="1"/>
  <c r="C160" i="36" s="1"/>
  <c r="B161" i="36" s="1"/>
  <c r="C161" i="36" s="1"/>
  <c r="B162" i="36" s="1"/>
  <c r="C162" i="36" s="1"/>
  <c r="B163" i="36" s="1"/>
  <c r="C163" i="36" s="1"/>
  <c r="B164" i="36" s="1"/>
  <c r="C164" i="36" s="1"/>
  <c r="B165" i="36" s="1"/>
  <c r="C165" i="36" s="1"/>
  <c r="B166" i="36" s="1"/>
  <c r="C166" i="36" s="1"/>
  <c r="B167" i="36" s="1"/>
  <c r="C167" i="36" s="1"/>
  <c r="B168" i="36" s="1"/>
  <c r="C168" i="36" s="1"/>
  <c r="B169" i="36" s="1"/>
  <c r="C169" i="36" s="1"/>
  <c r="B170" i="36" s="1"/>
  <c r="C170" i="36" s="1"/>
  <c r="B171" i="36" s="1"/>
  <c r="C171" i="36" s="1"/>
  <c r="B172" i="36" s="1"/>
  <c r="C172" i="36" s="1"/>
  <c r="B173" i="36" s="1"/>
  <c r="C173" i="36" s="1"/>
  <c r="B174" i="36" s="1"/>
  <c r="C174" i="36" s="1"/>
  <c r="B175" i="36" s="1"/>
  <c r="C175" i="36" s="1"/>
  <c r="B176" i="36" s="1"/>
  <c r="C176" i="36" s="1"/>
  <c r="B177" i="36" s="1"/>
  <c r="C177" i="36" s="1"/>
  <c r="B178" i="36" s="1"/>
  <c r="C178" i="36" s="1"/>
  <c r="B179" i="36" s="1"/>
  <c r="C179" i="36" s="1"/>
  <c r="B180" i="36" s="1"/>
  <c r="C180" i="36" s="1"/>
  <c r="B181" i="36" s="1"/>
  <c r="C181" i="36" s="1"/>
  <c r="B182" i="36" s="1"/>
  <c r="C182" i="36" s="1"/>
  <c r="B183" i="36" s="1"/>
  <c r="C183" i="36" s="1"/>
  <c r="B184" i="36" s="1"/>
  <c r="C184" i="36" s="1"/>
  <c r="B185" i="36" s="1"/>
  <c r="C185" i="36" s="1"/>
  <c r="B186" i="36" s="1"/>
  <c r="C186" i="36" s="1"/>
  <c r="B187" i="36" s="1"/>
  <c r="C187" i="36" s="1"/>
  <c r="B188" i="36" s="1"/>
  <c r="C188" i="36" s="1"/>
  <c r="B189" i="36" s="1"/>
  <c r="C189" i="36" s="1"/>
  <c r="B190" i="36" s="1"/>
  <c r="C190" i="36" s="1"/>
  <c r="B191" i="36" s="1"/>
  <c r="C191" i="36" s="1"/>
  <c r="B192" i="36" s="1"/>
  <c r="C192" i="36" s="1"/>
  <c r="B193" i="36" s="1"/>
  <c r="C193" i="36" s="1"/>
  <c r="B194" i="36" s="1"/>
  <c r="C194" i="36" s="1"/>
  <c r="B195" i="36" s="1"/>
  <c r="C195" i="36" s="1"/>
  <c r="B196" i="36" s="1"/>
  <c r="C196" i="36" s="1"/>
  <c r="B197" i="36" s="1"/>
  <c r="C197" i="36" s="1"/>
  <c r="B198" i="36" s="1"/>
  <c r="C198" i="36" s="1"/>
  <c r="B199" i="36" s="1"/>
  <c r="C199" i="36" s="1"/>
  <c r="B200" i="36" s="1"/>
  <c r="C200" i="36" s="1"/>
  <c r="B201" i="36" s="1"/>
  <c r="C201" i="36" s="1"/>
  <c r="B202" i="36" s="1"/>
  <c r="C202" i="36" s="1"/>
  <c r="B203" i="36" s="1"/>
  <c r="C203" i="36" s="1"/>
  <c r="B204" i="36" s="1"/>
  <c r="C204" i="36" s="1"/>
  <c r="B205" i="36" s="1"/>
  <c r="C205" i="36" s="1"/>
  <c r="B206" i="36" s="1"/>
  <c r="C206" i="36" s="1"/>
  <c r="B207" i="36" s="1"/>
  <c r="C207" i="36" s="1"/>
  <c r="B208" i="36" s="1"/>
  <c r="C208" i="36" s="1"/>
  <c r="B209" i="36" s="1"/>
  <c r="C209" i="36" s="1"/>
  <c r="B210" i="36" s="1"/>
  <c r="C210" i="36" s="1"/>
  <c r="B211" i="36" s="1"/>
  <c r="C211" i="36" s="1"/>
  <c r="B212" i="36" s="1"/>
  <c r="C212" i="36" s="1"/>
  <c r="B213" i="36" s="1"/>
  <c r="C213" i="36" s="1"/>
  <c r="B214" i="36" s="1"/>
  <c r="C214" i="36" s="1"/>
  <c r="B215" i="36" s="1"/>
  <c r="C215" i="36" s="1"/>
  <c r="B216" i="36" s="1"/>
  <c r="C216" i="36" s="1"/>
  <c r="B217" i="36" s="1"/>
  <c r="C217" i="36" s="1"/>
  <c r="B218" i="36" s="1"/>
  <c r="C218" i="36" s="1"/>
  <c r="B219" i="36" s="1"/>
  <c r="C219" i="36" s="1"/>
  <c r="B220" i="36" s="1"/>
  <c r="C220" i="36" s="1"/>
  <c r="B221" i="36" s="1"/>
  <c r="C221" i="36" s="1"/>
  <c r="B222" i="36" s="1"/>
  <c r="C222" i="36" s="1"/>
  <c r="B223" i="36" s="1"/>
  <c r="C223" i="36" s="1"/>
  <c r="B224" i="36" s="1"/>
  <c r="C224" i="36" s="1"/>
  <c r="B225" i="36" s="1"/>
  <c r="C225" i="36" s="1"/>
  <c r="B226" i="36" s="1"/>
  <c r="C226" i="36" s="1"/>
  <c r="B227" i="36" s="1"/>
  <c r="C227" i="36" s="1"/>
  <c r="B228" i="36" s="1"/>
  <c r="C228" i="36" s="1"/>
  <c r="B229" i="36" s="1"/>
  <c r="C229" i="36" s="1"/>
  <c r="B230" i="36" s="1"/>
  <c r="C230" i="36" s="1"/>
  <c r="B231" i="36" s="1"/>
  <c r="C231" i="36" s="1"/>
  <c r="B232" i="36" s="1"/>
  <c r="C232" i="36" s="1"/>
  <c r="B233" i="36" s="1"/>
  <c r="C233" i="36" s="1"/>
  <c r="B234" i="36" s="1"/>
  <c r="C234" i="36" s="1"/>
  <c r="B235" i="36" s="1"/>
  <c r="C235" i="36" s="1"/>
  <c r="B236" i="36" s="1"/>
  <c r="C236" i="36" s="1"/>
  <c r="B237" i="36" s="1"/>
  <c r="C237" i="36" s="1"/>
  <c r="B238" i="36" s="1"/>
  <c r="C238" i="36" s="1"/>
  <c r="B239" i="36" s="1"/>
  <c r="C239" i="36" s="1"/>
  <c r="B240" i="36" s="1"/>
  <c r="C240" i="36" s="1"/>
  <c r="B241" i="36" s="1"/>
  <c r="C241" i="36" s="1"/>
  <c r="B242" i="36" s="1"/>
  <c r="C242" i="36" s="1"/>
  <c r="B243" i="36" s="1"/>
  <c r="C243" i="36" s="1"/>
  <c r="B244" i="36" s="1"/>
  <c r="C244" i="36" s="1"/>
  <c r="B245" i="36" s="1"/>
  <c r="C245" i="36" s="1"/>
  <c r="B246" i="36" s="1"/>
  <c r="C246" i="36" s="1"/>
  <c r="B247" i="36" s="1"/>
  <c r="C247" i="36" s="1"/>
  <c r="B248" i="36" s="1"/>
  <c r="C248" i="36" s="1"/>
  <c r="B249" i="36" s="1"/>
  <c r="C249" i="36" s="1"/>
  <c r="B250" i="36" s="1"/>
  <c r="C250" i="36" s="1"/>
  <c r="B251" i="36" s="1"/>
  <c r="C251" i="36" s="1"/>
  <c r="B252" i="36" s="1"/>
  <c r="C252" i="36" s="1"/>
  <c r="B253" i="36" s="1"/>
  <c r="C253" i="36" s="1"/>
  <c r="B254" i="36" s="1"/>
  <c r="C254" i="36" s="1"/>
  <c r="B255" i="36" s="1"/>
  <c r="C255" i="36" s="1"/>
  <c r="B256" i="36" s="1"/>
  <c r="C256" i="36" s="1"/>
  <c r="B257" i="36" s="1"/>
  <c r="C257" i="36" s="1"/>
  <c r="B258" i="36" s="1"/>
  <c r="C258" i="36" s="1"/>
  <c r="B259" i="36" s="1"/>
  <c r="C259" i="36" s="1"/>
  <c r="B260" i="36" s="1"/>
  <c r="C260" i="36" s="1"/>
  <c r="B261" i="36" s="1"/>
  <c r="C261" i="36" s="1"/>
  <c r="B262" i="36" s="1"/>
  <c r="C262" i="36" s="1"/>
  <c r="B263" i="36" s="1"/>
  <c r="C263" i="36" s="1"/>
  <c r="B264" i="36" s="1"/>
  <c r="C264" i="36" s="1"/>
  <c r="B265" i="36" s="1"/>
  <c r="C265" i="36" s="1"/>
  <c r="B266" i="36" s="1"/>
  <c r="C266" i="36" s="1"/>
  <c r="B267" i="36" s="1"/>
  <c r="C267" i="36" s="1"/>
  <c r="B268" i="36" s="1"/>
  <c r="C268" i="36" s="1"/>
  <c r="B269" i="36" s="1"/>
  <c r="C269" i="36" s="1"/>
  <c r="B270" i="36" s="1"/>
  <c r="C270" i="36" s="1"/>
  <c r="B271" i="36" s="1"/>
  <c r="C271" i="36" s="1"/>
  <c r="B272" i="36" s="1"/>
  <c r="C272" i="36" s="1"/>
  <c r="B273" i="36" s="1"/>
  <c r="C273" i="36" s="1"/>
  <c r="B274" i="36" s="1"/>
  <c r="C274" i="36" s="1"/>
  <c r="B275" i="36" s="1"/>
  <c r="C275" i="36" s="1"/>
  <c r="B276" i="36" s="1"/>
  <c r="C276" i="36" s="1"/>
  <c r="B277" i="36" s="1"/>
  <c r="C277" i="36" s="1"/>
  <c r="B278" i="36" s="1"/>
  <c r="C278" i="36" s="1"/>
  <c r="B279" i="36" s="1"/>
  <c r="C279" i="36" s="1"/>
  <c r="B280" i="36" s="1"/>
  <c r="C280" i="36" s="1"/>
  <c r="B281" i="36" s="1"/>
  <c r="C281" i="36" s="1"/>
  <c r="B282" i="36" s="1"/>
  <c r="C282" i="36" s="1"/>
  <c r="B283" i="36" s="1"/>
  <c r="C283" i="36" s="1"/>
  <c r="B284" i="36" s="1"/>
  <c r="C284" i="36" s="1"/>
  <c r="B285" i="36" s="1"/>
  <c r="C285" i="36" s="1"/>
  <c r="B286" i="36" s="1"/>
  <c r="C286" i="36" s="1"/>
  <c r="B287" i="36" s="1"/>
  <c r="C287" i="36" s="1"/>
  <c r="B288" i="36" s="1"/>
  <c r="C288" i="36" s="1"/>
  <c r="B289" i="36" s="1"/>
  <c r="C289" i="36" s="1"/>
  <c r="B290" i="36" s="1"/>
  <c r="C290" i="36" s="1"/>
  <c r="B291" i="36" s="1"/>
  <c r="C291" i="36" s="1"/>
  <c r="B292" i="36" s="1"/>
  <c r="C292" i="36" s="1"/>
  <c r="B293" i="36" s="1"/>
  <c r="C293" i="36" s="1"/>
  <c r="B294" i="36" s="1"/>
  <c r="C294" i="36" s="1"/>
  <c r="B295" i="36" s="1"/>
  <c r="C295" i="36" s="1"/>
  <c r="B296" i="36" s="1"/>
  <c r="C296" i="36" s="1"/>
  <c r="B297" i="36" s="1"/>
  <c r="C297" i="36" s="1"/>
  <c r="B298" i="36" s="1"/>
  <c r="C298" i="36" s="1"/>
  <c r="B299" i="36" s="1"/>
  <c r="C299" i="36" s="1"/>
  <c r="B300" i="36" s="1"/>
  <c r="C300" i="36" s="1"/>
  <c r="B301" i="36" s="1"/>
  <c r="C301" i="36" s="1"/>
  <c r="B302" i="36" s="1"/>
  <c r="C302" i="36" s="1"/>
  <c r="B303" i="36" s="1"/>
  <c r="C303" i="36" s="1"/>
  <c r="B304" i="36" s="1"/>
  <c r="C304" i="36" s="1"/>
  <c r="B305" i="36" s="1"/>
  <c r="C305" i="36" s="1"/>
  <c r="B306" i="36" s="1"/>
  <c r="C306" i="36" s="1"/>
  <c r="B307" i="36" s="1"/>
  <c r="C307" i="36" s="1"/>
  <c r="B308" i="36" s="1"/>
  <c r="C308" i="36" s="1"/>
  <c r="B309" i="36" s="1"/>
  <c r="C309" i="36" s="1"/>
  <c r="B310" i="36" s="1"/>
  <c r="C310" i="36" s="1"/>
  <c r="B311" i="36" s="1"/>
  <c r="C311" i="36" s="1"/>
  <c r="B312" i="36" s="1"/>
  <c r="C312" i="36" s="1"/>
  <c r="B313" i="36" s="1"/>
  <c r="C313" i="36" s="1"/>
  <c r="B314" i="36" s="1"/>
  <c r="C314" i="36" s="1"/>
  <c r="B315" i="36" s="1"/>
  <c r="C315" i="36" s="1"/>
  <c r="B316" i="36" s="1"/>
  <c r="C316" i="36" s="1"/>
  <c r="B317" i="36" s="1"/>
  <c r="C317" i="36" s="1"/>
  <c r="B318" i="36" s="1"/>
  <c r="C318" i="36" s="1"/>
  <c r="B319" i="36" s="1"/>
  <c r="C319" i="36" s="1"/>
  <c r="B320" i="36" s="1"/>
  <c r="C320" i="36" s="1"/>
  <c r="B321" i="36" s="1"/>
  <c r="C321" i="36" s="1"/>
  <c r="B322" i="36" s="1"/>
  <c r="C322" i="36" s="1"/>
  <c r="B323" i="36" s="1"/>
  <c r="C323" i="36" s="1"/>
  <c r="B324" i="36" s="1"/>
  <c r="C324" i="36" s="1"/>
  <c r="B325" i="36" s="1"/>
  <c r="C325" i="36" s="1"/>
  <c r="B326" i="36" s="1"/>
  <c r="C326" i="36" s="1"/>
  <c r="B327" i="36" s="1"/>
  <c r="C327" i="36" s="1"/>
  <c r="B328" i="36" s="1"/>
  <c r="C328" i="36" s="1"/>
  <c r="B329" i="36" s="1"/>
  <c r="C329" i="36" s="1"/>
  <c r="B330" i="36" s="1"/>
  <c r="C330" i="36" s="1"/>
  <c r="B331" i="36" s="1"/>
  <c r="C331" i="36" s="1"/>
  <c r="B332" i="36" s="1"/>
  <c r="C332" i="36" s="1"/>
  <c r="B333" i="36" s="1"/>
  <c r="C333" i="36" s="1"/>
  <c r="B334" i="36" s="1"/>
  <c r="C334" i="36" s="1"/>
  <c r="B335" i="36" s="1"/>
  <c r="C335" i="36" s="1"/>
  <c r="B336" i="36" s="1"/>
  <c r="C336" i="36" s="1"/>
  <c r="B337" i="36" s="1"/>
  <c r="C337" i="36" s="1"/>
  <c r="B338" i="36" s="1"/>
  <c r="C338" i="36" s="1"/>
  <c r="B339" i="36" s="1"/>
  <c r="C339" i="36" s="1"/>
  <c r="B340" i="36" s="1"/>
  <c r="C340" i="36" s="1"/>
  <c r="B341" i="36" s="1"/>
  <c r="C341" i="36" s="1"/>
  <c r="B342" i="36" s="1"/>
  <c r="C342" i="36" s="1"/>
  <c r="B343" i="36" s="1"/>
  <c r="C343" i="36" s="1"/>
  <c r="B344" i="36" s="1"/>
  <c r="C344" i="36" s="1"/>
  <c r="B345" i="36" s="1"/>
  <c r="C345" i="36" s="1"/>
  <c r="B346" i="36" s="1"/>
  <c r="C346" i="36" s="1"/>
  <c r="B347" i="36" s="1"/>
  <c r="C347" i="36" s="1"/>
  <c r="B348" i="36" s="1"/>
  <c r="C348" i="36" s="1"/>
  <c r="B349" i="36" s="1"/>
  <c r="C349" i="36" s="1"/>
  <c r="B350" i="36" s="1"/>
  <c r="C350" i="36" s="1"/>
  <c r="B351" i="36" s="1"/>
  <c r="C351" i="36" s="1"/>
  <c r="B352" i="36" s="1"/>
  <c r="C352" i="36" s="1"/>
  <c r="B353" i="36" s="1"/>
  <c r="C353" i="36" s="1"/>
  <c r="B354" i="36" s="1"/>
  <c r="C354" i="36" s="1"/>
  <c r="B355" i="36" s="1"/>
  <c r="C355" i="36" s="1"/>
  <c r="B356" i="36" s="1"/>
  <c r="C356" i="36" s="1"/>
  <c r="B357" i="36" s="1"/>
  <c r="C357" i="36" s="1"/>
  <c r="B358" i="36" s="1"/>
  <c r="C358" i="36" s="1"/>
  <c r="B359" i="36" s="1"/>
  <c r="C359" i="36" s="1"/>
  <c r="B360" i="36" s="1"/>
  <c r="C360" i="36" s="1"/>
  <c r="B361" i="36" s="1"/>
  <c r="C361" i="36" s="1"/>
  <c r="B362" i="36" s="1"/>
  <c r="C362" i="36" s="1"/>
  <c r="B363" i="36" s="1"/>
  <c r="C363" i="36" s="1"/>
  <c r="B364" i="36" s="1"/>
  <c r="C364" i="36" s="1"/>
  <c r="B365" i="36" s="1"/>
  <c r="C365" i="36" s="1"/>
  <c r="B366" i="36" s="1"/>
  <c r="C366" i="36" s="1"/>
  <c r="B367" i="36" s="1"/>
  <c r="C367" i="36" s="1"/>
  <c r="B368" i="36" s="1"/>
  <c r="C368" i="36" s="1"/>
  <c r="B369" i="36" s="1"/>
  <c r="C369" i="36" s="1"/>
  <c r="B370" i="36" s="1"/>
  <c r="C370" i="36" s="1"/>
  <c r="B371" i="36" s="1"/>
  <c r="C371" i="36" s="1"/>
  <c r="B372" i="36" s="1"/>
  <c r="C372" i="36" s="1"/>
  <c r="B373" i="36" s="1"/>
  <c r="C373" i="36" s="1"/>
  <c r="B374" i="36" s="1"/>
  <c r="C374" i="36" s="1"/>
  <c r="B375" i="36" s="1"/>
  <c r="C375" i="36" s="1"/>
  <c r="B376" i="36" s="1"/>
  <c r="C376" i="36" s="1"/>
  <c r="B377" i="36" s="1"/>
  <c r="C377" i="36" s="1"/>
  <c r="B378" i="36" s="1"/>
  <c r="C378" i="36" s="1"/>
  <c r="B379" i="36" s="1"/>
  <c r="C379" i="36" s="1"/>
  <c r="B380" i="36" s="1"/>
  <c r="C380" i="36" s="1"/>
  <c r="B381" i="36" s="1"/>
  <c r="C381" i="36" s="1"/>
  <c r="B382" i="36" s="1"/>
  <c r="C382" i="36" s="1"/>
  <c r="B383" i="36" s="1"/>
  <c r="C383" i="36" s="1"/>
  <c r="B384" i="36" s="1"/>
  <c r="C384" i="36" s="1"/>
  <c r="B385" i="36" s="1"/>
  <c r="C385" i="36" s="1"/>
  <c r="B386" i="36" s="1"/>
  <c r="C386" i="36" s="1"/>
  <c r="B387" i="36" s="1"/>
  <c r="C387" i="36" s="1"/>
  <c r="B388" i="36" s="1"/>
  <c r="C388" i="36" s="1"/>
  <c r="B389" i="36" s="1"/>
  <c r="C389" i="36" s="1"/>
  <c r="B390" i="36" s="1"/>
  <c r="C390" i="36" s="1"/>
  <c r="B391" i="36" s="1"/>
  <c r="C391" i="36" s="1"/>
  <c r="B392" i="36" s="1"/>
  <c r="C392" i="36" s="1"/>
  <c r="B393" i="36" s="1"/>
  <c r="C393" i="36" s="1"/>
  <c r="B394" i="36" s="1"/>
  <c r="C394" i="36" s="1"/>
  <c r="B395" i="36" s="1"/>
  <c r="C395" i="36" s="1"/>
  <c r="B396" i="36" s="1"/>
  <c r="C396" i="36" s="1"/>
  <c r="B397" i="36" s="1"/>
  <c r="C397" i="36" s="1"/>
  <c r="B398" i="36" s="1"/>
  <c r="C398" i="36" s="1"/>
  <c r="B399" i="36" s="1"/>
  <c r="C399" i="36" s="1"/>
  <c r="B400" i="36" s="1"/>
  <c r="C400" i="36" s="1"/>
  <c r="B401" i="36" s="1"/>
  <c r="C401" i="36" s="1"/>
  <c r="B402" i="36" s="1"/>
  <c r="C402" i="36" s="1"/>
  <c r="B403" i="36" s="1"/>
  <c r="C403" i="36" s="1"/>
  <c r="B404" i="36" s="1"/>
  <c r="C404" i="36" s="1"/>
  <c r="B405" i="36" s="1"/>
  <c r="C405" i="36" s="1"/>
  <c r="B406" i="36" s="1"/>
  <c r="C406" i="36" s="1"/>
  <c r="B407" i="36" s="1"/>
  <c r="C407" i="36" s="1"/>
  <c r="B408" i="36" s="1"/>
  <c r="C408" i="36" s="1"/>
  <c r="B409" i="36" s="1"/>
  <c r="C409" i="36" s="1"/>
  <c r="B410" i="36" s="1"/>
  <c r="C410" i="36" s="1"/>
  <c r="B411" i="36" s="1"/>
  <c r="C411" i="36" s="1"/>
  <c r="B412" i="36" s="1"/>
  <c r="C412" i="36" s="1"/>
  <c r="B413" i="36" s="1"/>
  <c r="C413" i="36" s="1"/>
  <c r="B414" i="36" s="1"/>
  <c r="C414" i="36" s="1"/>
  <c r="B415" i="36" s="1"/>
  <c r="C415" i="36" s="1"/>
  <c r="H3" i="36"/>
  <c r="D3" i="36"/>
  <c r="A3" i="36"/>
  <c r="M415" i="36" l="1"/>
  <c r="I412" i="36"/>
  <c r="M411" i="36"/>
  <c r="I408" i="36"/>
  <c r="M407" i="36"/>
  <c r="I404" i="36"/>
  <c r="M403" i="36"/>
  <c r="I400" i="36"/>
  <c r="M399" i="36"/>
  <c r="I396" i="36"/>
  <c r="M395" i="36"/>
  <c r="I392" i="36"/>
  <c r="M391" i="36"/>
  <c r="I388" i="36"/>
  <c r="M387" i="36"/>
  <c r="I384" i="36"/>
  <c r="M383" i="36"/>
  <c r="I415" i="36"/>
  <c r="M414" i="36"/>
  <c r="I411" i="36"/>
  <c r="M410" i="36"/>
  <c r="I407" i="36"/>
  <c r="M406" i="36"/>
  <c r="I403" i="36"/>
  <c r="M402" i="36"/>
  <c r="I399" i="36"/>
  <c r="M398" i="36"/>
  <c r="I395" i="36"/>
  <c r="M394" i="36"/>
  <c r="I391" i="36"/>
  <c r="M390" i="36"/>
  <c r="I387" i="36"/>
  <c r="M386" i="36"/>
  <c r="I383" i="36"/>
  <c r="M382" i="36"/>
  <c r="I379" i="36"/>
  <c r="M378" i="36"/>
  <c r="I414" i="36"/>
  <c r="M413" i="36"/>
  <c r="I410" i="36"/>
  <c r="M409" i="36"/>
  <c r="I406" i="36"/>
  <c r="M405" i="36"/>
  <c r="I402" i="36"/>
  <c r="M401" i="36"/>
  <c r="I398" i="36"/>
  <c r="M397" i="36"/>
  <c r="I394" i="36"/>
  <c r="M393" i="36"/>
  <c r="I390" i="36"/>
  <c r="M389" i="36"/>
  <c r="I386" i="36"/>
  <c r="M385" i="36"/>
  <c r="I382" i="36"/>
  <c r="I413" i="36"/>
  <c r="M404" i="36"/>
  <c r="I397" i="36"/>
  <c r="M388" i="36"/>
  <c r="M380" i="36"/>
  <c r="I375" i="36"/>
  <c r="M374" i="36"/>
  <c r="I371" i="36"/>
  <c r="M370" i="36"/>
  <c r="I367" i="36"/>
  <c r="M366" i="36"/>
  <c r="I363" i="36"/>
  <c r="M362" i="36"/>
  <c r="I359" i="36"/>
  <c r="M358" i="36"/>
  <c r="I355" i="36"/>
  <c r="M354" i="36"/>
  <c r="I409" i="36"/>
  <c r="M400" i="36"/>
  <c r="I393" i="36"/>
  <c r="M384" i="36"/>
  <c r="M381" i="36"/>
  <c r="I380" i="36"/>
  <c r="M377" i="36"/>
  <c r="I374" i="36"/>
  <c r="M373" i="36"/>
  <c r="I370" i="36"/>
  <c r="M369" i="36"/>
  <c r="I366" i="36"/>
  <c r="M365" i="36"/>
  <c r="I362" i="36"/>
  <c r="M361" i="36"/>
  <c r="I358" i="36"/>
  <c r="M357" i="36"/>
  <c r="I354" i="36"/>
  <c r="M353" i="36"/>
  <c r="M412" i="36"/>
  <c r="I405" i="36"/>
  <c r="M396" i="36"/>
  <c r="I389" i="36"/>
  <c r="I381" i="36"/>
  <c r="I378" i="36"/>
  <c r="I377" i="36"/>
  <c r="M376" i="36"/>
  <c r="I373" i="36"/>
  <c r="M372" i="36"/>
  <c r="I369" i="36"/>
  <c r="M368" i="36"/>
  <c r="I365" i="36"/>
  <c r="M364" i="36"/>
  <c r="I361" i="36"/>
  <c r="M360" i="36"/>
  <c r="I357" i="36"/>
  <c r="M356" i="36"/>
  <c r="M408" i="36"/>
  <c r="I401" i="36"/>
  <c r="M392" i="36"/>
  <c r="I385" i="36"/>
  <c r="M379" i="36"/>
  <c r="I376" i="36"/>
  <c r="M375" i="36"/>
  <c r="I372" i="36"/>
  <c r="M371" i="36"/>
  <c r="I368" i="36"/>
  <c r="M367" i="36"/>
  <c r="I364" i="36"/>
  <c r="M363" i="36"/>
  <c r="I360" i="36"/>
  <c r="M359" i="36"/>
  <c r="I356" i="36"/>
  <c r="M355" i="36"/>
  <c r="I351" i="36"/>
  <c r="M350" i="36"/>
  <c r="I347" i="36"/>
  <c r="M346" i="36"/>
  <c r="I343" i="36"/>
  <c r="M342" i="36"/>
  <c r="I339" i="36"/>
  <c r="M338" i="36"/>
  <c r="I335" i="36"/>
  <c r="M334" i="36"/>
  <c r="I331" i="36"/>
  <c r="M330" i="36"/>
  <c r="I327" i="36"/>
  <c r="M326" i="36"/>
  <c r="I323" i="36"/>
  <c r="M322" i="36"/>
  <c r="I319" i="36"/>
  <c r="M318" i="36"/>
  <c r="I315" i="36"/>
  <c r="M314" i="36"/>
  <c r="I311" i="36"/>
  <c r="M310" i="36"/>
  <c r="I350" i="36"/>
  <c r="M349" i="36"/>
  <c r="I346" i="36"/>
  <c r="M345" i="36"/>
  <c r="I342" i="36"/>
  <c r="M341" i="36"/>
  <c r="I338" i="36"/>
  <c r="M337" i="36"/>
  <c r="I334" i="36"/>
  <c r="M333" i="36"/>
  <c r="I330" i="36"/>
  <c r="M329" i="36"/>
  <c r="I326" i="36"/>
  <c r="M325" i="36"/>
  <c r="I322" i="36"/>
  <c r="M321" i="36"/>
  <c r="I318" i="36"/>
  <c r="M317" i="36"/>
  <c r="I353" i="36"/>
  <c r="M352" i="36"/>
  <c r="I349" i="36"/>
  <c r="M348" i="36"/>
  <c r="I345" i="36"/>
  <c r="M344" i="36"/>
  <c r="I341" i="36"/>
  <c r="M340" i="36"/>
  <c r="I337" i="36"/>
  <c r="M336" i="36"/>
  <c r="I333" i="36"/>
  <c r="M332" i="36"/>
  <c r="I329" i="36"/>
  <c r="M328" i="36"/>
  <c r="I325" i="36"/>
  <c r="M324" i="36"/>
  <c r="I321" i="36"/>
  <c r="M320" i="36"/>
  <c r="I317" i="36"/>
  <c r="M316" i="36"/>
  <c r="I352" i="36"/>
  <c r="M351" i="36"/>
  <c r="I348" i="36"/>
  <c r="M347" i="36"/>
  <c r="I344" i="36"/>
  <c r="M343" i="36"/>
  <c r="I340" i="36"/>
  <c r="M339" i="36"/>
  <c r="I336" i="36"/>
  <c r="M335" i="36"/>
  <c r="I332" i="36"/>
  <c r="M331" i="36"/>
  <c r="I328" i="36"/>
  <c r="M327" i="36"/>
  <c r="I324" i="36"/>
  <c r="M323" i="36"/>
  <c r="I320" i="36"/>
  <c r="M319" i="36"/>
  <c r="I316" i="36"/>
  <c r="M315" i="36"/>
  <c r="I313" i="36"/>
  <c r="I310" i="36"/>
  <c r="I306" i="36"/>
  <c r="M305" i="36"/>
  <c r="I302" i="36"/>
  <c r="M301" i="36"/>
  <c r="I298" i="36"/>
  <c r="M297" i="36"/>
  <c r="I294" i="36"/>
  <c r="M293" i="36"/>
  <c r="I290" i="36"/>
  <c r="M289" i="36"/>
  <c r="I286" i="36"/>
  <c r="M285" i="36"/>
  <c r="I282" i="36"/>
  <c r="M281" i="36"/>
  <c r="I278" i="36"/>
  <c r="M277" i="36"/>
  <c r="I274" i="36"/>
  <c r="M273" i="36"/>
  <c r="I270" i="36"/>
  <c r="M269" i="36"/>
  <c r="I266" i="36"/>
  <c r="M265" i="36"/>
  <c r="I262" i="36"/>
  <c r="M261" i="36"/>
  <c r="I258" i="36"/>
  <c r="M257" i="36"/>
  <c r="I254" i="36"/>
  <c r="M253" i="36"/>
  <c r="I250" i="36"/>
  <c r="M249" i="36"/>
  <c r="I246" i="36"/>
  <c r="M245" i="36"/>
  <c r="I242" i="36"/>
  <c r="M241" i="36"/>
  <c r="I238" i="36"/>
  <c r="I314" i="36"/>
  <c r="M311" i="36"/>
  <c r="M308" i="36"/>
  <c r="I305" i="36"/>
  <c r="M304" i="36"/>
  <c r="I301" i="36"/>
  <c r="M300" i="36"/>
  <c r="I297" i="36"/>
  <c r="M296" i="36"/>
  <c r="I293" i="36"/>
  <c r="M292" i="36"/>
  <c r="I289" i="36"/>
  <c r="M288" i="36"/>
  <c r="I285" i="36"/>
  <c r="M284" i="36"/>
  <c r="I281" i="36"/>
  <c r="M280" i="36"/>
  <c r="I277" i="36"/>
  <c r="M276" i="36"/>
  <c r="I273" i="36"/>
  <c r="M272" i="36"/>
  <c r="I269" i="36"/>
  <c r="M268" i="36"/>
  <c r="I265" i="36"/>
  <c r="M264" i="36"/>
  <c r="I261" i="36"/>
  <c r="M260" i="36"/>
  <c r="I257" i="36"/>
  <c r="M256" i="36"/>
  <c r="M312" i="36"/>
  <c r="M309" i="36"/>
  <c r="I308" i="36"/>
  <c r="M307" i="36"/>
  <c r="I304" i="36"/>
  <c r="M303" i="36"/>
  <c r="I300" i="36"/>
  <c r="M299" i="36"/>
  <c r="I296" i="36"/>
  <c r="M295" i="36"/>
  <c r="I292" i="36"/>
  <c r="M291" i="36"/>
  <c r="I288" i="36"/>
  <c r="M287" i="36"/>
  <c r="I284" i="36"/>
  <c r="M283" i="36"/>
  <c r="I280" i="36"/>
  <c r="M279" i="36"/>
  <c r="I276" i="36"/>
  <c r="M275" i="36"/>
  <c r="I272" i="36"/>
  <c r="M271" i="36"/>
  <c r="I268" i="36"/>
  <c r="M267" i="36"/>
  <c r="I264" i="36"/>
  <c r="M263" i="36"/>
  <c r="I260" i="36"/>
  <c r="M259" i="36"/>
  <c r="I256" i="36"/>
  <c r="M255" i="36"/>
  <c r="I252" i="36"/>
  <c r="M251" i="36"/>
  <c r="M313" i="36"/>
  <c r="I312" i="36"/>
  <c r="I309" i="36"/>
  <c r="I307" i="36"/>
  <c r="M306" i="36"/>
  <c r="I303" i="36"/>
  <c r="M302" i="36"/>
  <c r="I299" i="36"/>
  <c r="M298" i="36"/>
  <c r="I295" i="36"/>
  <c r="M294" i="36"/>
  <c r="I291" i="36"/>
  <c r="M290" i="36"/>
  <c r="I287" i="36"/>
  <c r="M286" i="36"/>
  <c r="I283" i="36"/>
  <c r="M282" i="36"/>
  <c r="I279" i="36"/>
  <c r="M278" i="36"/>
  <c r="I275" i="36"/>
  <c r="M274" i="36"/>
  <c r="I271" i="36"/>
  <c r="M270" i="36"/>
  <c r="I267" i="36"/>
  <c r="M266" i="36"/>
  <c r="I263" i="36"/>
  <c r="M262" i="36"/>
  <c r="I259" i="36"/>
  <c r="M258" i="36"/>
  <c r="I255" i="36"/>
  <c r="M254" i="36"/>
  <c r="I253" i="36"/>
  <c r="M252" i="36"/>
  <c r="M248" i="36"/>
  <c r="I247" i="36"/>
  <c r="I244" i="36"/>
  <c r="I241" i="36"/>
  <c r="M238" i="36"/>
  <c r="M237" i="36"/>
  <c r="I237" i="36"/>
  <c r="M236" i="36"/>
  <c r="I236" i="36"/>
  <c r="M235" i="36"/>
  <c r="I235" i="36"/>
  <c r="M234" i="36"/>
  <c r="I234" i="36"/>
  <c r="M233" i="36"/>
  <c r="I233" i="36"/>
  <c r="M232" i="36"/>
  <c r="I232" i="36"/>
  <c r="M231" i="36"/>
  <c r="I231" i="36"/>
  <c r="M230" i="36"/>
  <c r="I230" i="36"/>
  <c r="M229" i="36"/>
  <c r="I229" i="36"/>
  <c r="M228" i="36"/>
  <c r="I228" i="36"/>
  <c r="M227" i="36"/>
  <c r="I227" i="36"/>
  <c r="M226" i="36"/>
  <c r="I226" i="36"/>
  <c r="M225" i="36"/>
  <c r="I225" i="36"/>
  <c r="M224" i="36"/>
  <c r="I224" i="36"/>
  <c r="M223" i="36"/>
  <c r="I223" i="36"/>
  <c r="M222" i="36"/>
  <c r="I222" i="36"/>
  <c r="M221" i="36"/>
  <c r="I221" i="36"/>
  <c r="M220" i="36"/>
  <c r="I220" i="36"/>
  <c r="M219" i="36"/>
  <c r="I219" i="36"/>
  <c r="M218" i="36"/>
  <c r="I218" i="36"/>
  <c r="M217" i="36"/>
  <c r="I217" i="36"/>
  <c r="M216" i="36"/>
  <c r="I216" i="36"/>
  <c r="M215" i="36"/>
  <c r="I215" i="36"/>
  <c r="M214" i="36"/>
  <c r="I214" i="36"/>
  <c r="M213" i="36"/>
  <c r="I213" i="36"/>
  <c r="M212" i="36"/>
  <c r="I212" i="36"/>
  <c r="M211" i="36"/>
  <c r="I211" i="36"/>
  <c r="M210" i="36"/>
  <c r="I210" i="36"/>
  <c r="M209" i="36"/>
  <c r="I209" i="36"/>
  <c r="M208" i="36"/>
  <c r="I208" i="36"/>
  <c r="M207" i="36"/>
  <c r="I207" i="36"/>
  <c r="M206" i="36"/>
  <c r="I206" i="36"/>
  <c r="M205" i="36"/>
  <c r="I205" i="36"/>
  <c r="M204" i="36"/>
  <c r="I204" i="36"/>
  <c r="M203" i="36"/>
  <c r="I203" i="36"/>
  <c r="M202" i="36"/>
  <c r="I202" i="36"/>
  <c r="M201" i="36"/>
  <c r="I201" i="36"/>
  <c r="M200" i="36"/>
  <c r="I200" i="36"/>
  <c r="M199" i="36"/>
  <c r="I199" i="36"/>
  <c r="M198" i="36"/>
  <c r="I198" i="36"/>
  <c r="M197" i="36"/>
  <c r="I197" i="36"/>
  <c r="M196" i="36"/>
  <c r="I196" i="36"/>
  <c r="M195" i="36"/>
  <c r="I195" i="36"/>
  <c r="M194" i="36"/>
  <c r="I194" i="36"/>
  <c r="M193" i="36"/>
  <c r="I193" i="36"/>
  <c r="M192" i="36"/>
  <c r="I192" i="36"/>
  <c r="M191" i="36"/>
  <c r="I191" i="36"/>
  <c r="M190" i="36"/>
  <c r="I190" i="36"/>
  <c r="M189" i="36"/>
  <c r="I189" i="36"/>
  <c r="M188" i="36"/>
  <c r="I188" i="36"/>
  <c r="M187" i="36"/>
  <c r="I187" i="36"/>
  <c r="M186" i="36"/>
  <c r="I186" i="36"/>
  <c r="M185" i="36"/>
  <c r="I185" i="36"/>
  <c r="M184" i="36"/>
  <c r="I184" i="36"/>
  <c r="M183" i="36"/>
  <c r="I183" i="36"/>
  <c r="M182" i="36"/>
  <c r="I182" i="36"/>
  <c r="M181" i="36"/>
  <c r="I181" i="36"/>
  <c r="M180" i="36"/>
  <c r="I251" i="36"/>
  <c r="I248" i="36"/>
  <c r="I245" i="36"/>
  <c r="M242" i="36"/>
  <c r="M239" i="36"/>
  <c r="I249" i="36"/>
  <c r="M246" i="36"/>
  <c r="M243" i="36"/>
  <c r="M240" i="36"/>
  <c r="I239" i="36"/>
  <c r="M250" i="36"/>
  <c r="M247" i="36"/>
  <c r="M244" i="36"/>
  <c r="I243" i="36"/>
  <c r="I240" i="36"/>
  <c r="I180" i="36"/>
  <c r="M179" i="36"/>
  <c r="I179" i="36"/>
  <c r="M178" i="36"/>
  <c r="I178" i="36"/>
  <c r="M177" i="36"/>
  <c r="I177" i="36"/>
  <c r="M176" i="36"/>
  <c r="I176" i="36"/>
  <c r="M175" i="36"/>
  <c r="I175" i="36"/>
  <c r="M174" i="36"/>
  <c r="I174" i="36"/>
  <c r="M173" i="36"/>
  <c r="I173" i="36"/>
  <c r="M172" i="36"/>
  <c r="I172" i="36"/>
  <c r="M171" i="36"/>
  <c r="I171" i="36"/>
  <c r="M170" i="36"/>
  <c r="I170" i="36"/>
  <c r="M169" i="36"/>
  <c r="I169" i="36"/>
  <c r="M168" i="36"/>
  <c r="I168" i="36"/>
  <c r="M167" i="36"/>
  <c r="I167" i="36"/>
  <c r="M166" i="36"/>
  <c r="I166" i="36"/>
  <c r="M165" i="36"/>
  <c r="I165" i="36"/>
  <c r="M164" i="36"/>
  <c r="I164" i="36"/>
  <c r="M163" i="36"/>
  <c r="I163" i="36"/>
  <c r="M162" i="36"/>
  <c r="I162" i="36"/>
  <c r="M161" i="36"/>
  <c r="I161" i="36"/>
  <c r="M160" i="36"/>
  <c r="I160" i="36"/>
  <c r="M159" i="36"/>
  <c r="I159" i="36"/>
  <c r="M158" i="36"/>
  <c r="I158" i="36"/>
  <c r="M157" i="36"/>
  <c r="I157" i="36"/>
  <c r="M156" i="36"/>
  <c r="I156" i="36"/>
  <c r="M155" i="36"/>
  <c r="I155" i="36"/>
  <c r="M154" i="36"/>
  <c r="I154" i="36"/>
  <c r="M153" i="36"/>
  <c r="I153" i="36"/>
  <c r="M152" i="36"/>
  <c r="I152" i="36"/>
  <c r="M151" i="36"/>
  <c r="I151" i="36"/>
  <c r="M150" i="36"/>
  <c r="I150" i="36"/>
  <c r="M149" i="36"/>
  <c r="I149" i="36"/>
  <c r="M148" i="36"/>
  <c r="I148" i="36"/>
  <c r="M147" i="36"/>
  <c r="I147" i="36"/>
  <c r="M146" i="36"/>
  <c r="I146" i="36"/>
  <c r="M145" i="36"/>
  <c r="I145" i="36"/>
  <c r="M144" i="36"/>
  <c r="I144" i="36"/>
  <c r="M143" i="36"/>
  <c r="I143" i="36"/>
  <c r="M142" i="36"/>
  <c r="I142" i="36"/>
  <c r="M141" i="36"/>
  <c r="I141" i="36"/>
  <c r="M140" i="36"/>
  <c r="I140" i="36"/>
  <c r="M139" i="36"/>
  <c r="I139" i="36"/>
  <c r="M138" i="36"/>
  <c r="I138" i="36"/>
  <c r="M137" i="36"/>
  <c r="I137" i="36"/>
  <c r="M136" i="36"/>
  <c r="I136" i="36"/>
  <c r="M135" i="36"/>
  <c r="I135" i="36"/>
  <c r="M134" i="36"/>
  <c r="I134" i="36"/>
  <c r="M133" i="36"/>
  <c r="I133" i="36"/>
  <c r="M132" i="36"/>
  <c r="I132" i="36"/>
  <c r="M131" i="36"/>
  <c r="I131" i="36"/>
  <c r="M130" i="36"/>
  <c r="I130" i="36"/>
  <c r="M129" i="36"/>
  <c r="I129" i="36"/>
  <c r="M128" i="36"/>
  <c r="I128" i="36"/>
  <c r="M127" i="36"/>
  <c r="I127" i="36"/>
  <c r="M126" i="36"/>
  <c r="I126" i="36"/>
  <c r="M125" i="36"/>
  <c r="I125" i="36"/>
  <c r="M124" i="36"/>
  <c r="I124" i="36"/>
  <c r="M123" i="36"/>
  <c r="I123" i="36"/>
  <c r="M122" i="36"/>
  <c r="I122" i="36"/>
  <c r="M121" i="36"/>
  <c r="I121" i="36"/>
  <c r="M120" i="36"/>
  <c r="I120" i="36"/>
  <c r="M119" i="36"/>
  <c r="I119" i="36"/>
  <c r="M118" i="36"/>
  <c r="I118" i="36"/>
  <c r="M117" i="36"/>
  <c r="I117" i="36"/>
  <c r="M116" i="36"/>
  <c r="I116" i="36"/>
  <c r="M115" i="36"/>
  <c r="I115" i="36"/>
  <c r="M114" i="36"/>
  <c r="I114" i="36"/>
  <c r="M113" i="36"/>
  <c r="I113" i="36"/>
  <c r="M112" i="36"/>
  <c r="I112" i="36"/>
  <c r="M111" i="36"/>
  <c r="I111" i="36"/>
  <c r="M110" i="36"/>
  <c r="I110" i="36"/>
  <c r="M109" i="36"/>
  <c r="I109" i="36"/>
  <c r="M108" i="36"/>
  <c r="I108" i="36"/>
  <c r="M107" i="36"/>
  <c r="I107" i="36"/>
  <c r="M106" i="36"/>
  <c r="I106" i="36"/>
  <c r="M105" i="36"/>
  <c r="I105" i="36"/>
  <c r="M104" i="36"/>
  <c r="I104" i="36"/>
  <c r="M103" i="36"/>
  <c r="I103" i="36"/>
  <c r="M102" i="36"/>
  <c r="I102" i="36"/>
  <c r="M101" i="36"/>
  <c r="I101" i="36"/>
  <c r="M100" i="36"/>
  <c r="I100" i="36"/>
  <c r="M99" i="36"/>
  <c r="I99" i="36"/>
  <c r="M98" i="36"/>
  <c r="I98" i="36"/>
  <c r="M97" i="36"/>
  <c r="I97" i="36"/>
  <c r="M96" i="36"/>
  <c r="I96" i="36"/>
  <c r="M95" i="36"/>
  <c r="I95" i="36"/>
  <c r="M94" i="36"/>
  <c r="I94" i="36"/>
  <c r="M93" i="36"/>
  <c r="I93" i="36"/>
  <c r="M92" i="36"/>
  <c r="I92" i="36"/>
  <c r="M91" i="36"/>
  <c r="I91" i="36"/>
  <c r="M90" i="36"/>
  <c r="I90" i="36"/>
  <c r="M89" i="36"/>
  <c r="I89" i="36"/>
  <c r="M88" i="36"/>
  <c r="I88" i="36"/>
  <c r="I8" i="36"/>
  <c r="M8" i="36"/>
  <c r="I9" i="36"/>
  <c r="M9" i="36"/>
  <c r="I10" i="36"/>
  <c r="M10" i="36"/>
  <c r="I11" i="36"/>
  <c r="M11" i="36"/>
  <c r="I12" i="36"/>
  <c r="M12" i="36"/>
  <c r="I13" i="36"/>
  <c r="M13" i="36"/>
  <c r="I14" i="36"/>
  <c r="M14" i="36"/>
  <c r="I15" i="36"/>
  <c r="M15" i="36"/>
  <c r="I16" i="36"/>
  <c r="M16" i="36"/>
  <c r="I17" i="36"/>
  <c r="M17" i="36"/>
  <c r="I18" i="36"/>
  <c r="M18" i="36"/>
  <c r="I19" i="36"/>
  <c r="M19" i="36"/>
  <c r="I20" i="36"/>
  <c r="M20" i="36"/>
  <c r="I21" i="36"/>
  <c r="M21" i="36"/>
  <c r="I22" i="36"/>
  <c r="M22" i="36"/>
  <c r="I23" i="36"/>
  <c r="M23" i="36"/>
  <c r="I24" i="36"/>
  <c r="M24" i="36"/>
  <c r="I25" i="36"/>
  <c r="M25" i="36"/>
  <c r="I26" i="36"/>
  <c r="M26" i="36"/>
  <c r="I27" i="36"/>
  <c r="M27" i="36"/>
  <c r="I28" i="36"/>
  <c r="M28" i="36"/>
  <c r="I29" i="36"/>
  <c r="M29" i="36"/>
  <c r="I30" i="36"/>
  <c r="M30" i="36"/>
  <c r="I31" i="36"/>
  <c r="M31" i="36"/>
  <c r="I32" i="36"/>
  <c r="M32" i="36"/>
  <c r="I33" i="36"/>
  <c r="M33" i="36"/>
  <c r="I34" i="36"/>
  <c r="M34" i="36"/>
  <c r="I35" i="36"/>
  <c r="M35" i="36"/>
  <c r="I36" i="36"/>
  <c r="M36" i="36"/>
  <c r="I37" i="36"/>
  <c r="M37" i="36"/>
  <c r="I38" i="36"/>
  <c r="M38" i="36"/>
  <c r="I39" i="36"/>
  <c r="M39" i="36"/>
  <c r="I40" i="36"/>
  <c r="M40" i="36"/>
  <c r="I41" i="36"/>
  <c r="M41" i="36"/>
  <c r="I42" i="36"/>
  <c r="M42" i="36"/>
  <c r="I43" i="36"/>
  <c r="M43" i="36"/>
  <c r="I44" i="36"/>
  <c r="M44" i="36"/>
  <c r="I45" i="36"/>
  <c r="M45" i="36"/>
  <c r="I46" i="36"/>
  <c r="M46" i="36"/>
  <c r="I47" i="36"/>
  <c r="M47" i="36"/>
  <c r="I48" i="36"/>
  <c r="M48" i="36"/>
  <c r="I49" i="36"/>
  <c r="M49" i="36"/>
  <c r="I50" i="36"/>
  <c r="M50" i="36"/>
  <c r="I51" i="36"/>
  <c r="M51" i="36"/>
  <c r="I52" i="36"/>
  <c r="M52" i="36"/>
  <c r="I53" i="36"/>
  <c r="M53" i="36"/>
  <c r="I54" i="36"/>
  <c r="M54" i="36"/>
  <c r="I55" i="36"/>
  <c r="M55" i="36"/>
  <c r="I56" i="36"/>
  <c r="M56" i="36"/>
  <c r="I57" i="36"/>
  <c r="M57" i="36"/>
  <c r="I58" i="36"/>
  <c r="M58" i="36"/>
  <c r="I59" i="36"/>
  <c r="M59" i="36"/>
  <c r="I60" i="36"/>
  <c r="M60" i="36"/>
  <c r="I61" i="36"/>
  <c r="M61" i="36"/>
  <c r="I62" i="36"/>
  <c r="M62" i="36"/>
  <c r="I63" i="36"/>
  <c r="M63" i="36"/>
  <c r="I64" i="36"/>
  <c r="M65" i="36"/>
  <c r="I68" i="36"/>
  <c r="M69" i="36"/>
  <c r="I72" i="36"/>
  <c r="M73" i="36"/>
  <c r="I76" i="36"/>
  <c r="M77" i="36"/>
  <c r="I80" i="36"/>
  <c r="M81" i="36"/>
  <c r="I84" i="36"/>
  <c r="M85" i="36"/>
  <c r="I3" i="36"/>
  <c r="I65" i="36"/>
  <c r="M66" i="36"/>
  <c r="I69" i="36"/>
  <c r="M70" i="36"/>
  <c r="I73" i="36"/>
  <c r="M74" i="36"/>
  <c r="I77" i="36"/>
  <c r="M78" i="36"/>
  <c r="I81" i="36"/>
  <c r="M82" i="36"/>
  <c r="I85" i="36"/>
  <c r="I86" i="36"/>
  <c r="M87" i="36"/>
  <c r="M3" i="36"/>
  <c r="O3" i="36"/>
  <c r="P3" i="36" s="1"/>
  <c r="I66" i="36"/>
  <c r="M67" i="36"/>
  <c r="I70" i="36"/>
  <c r="M71" i="36"/>
  <c r="I74" i="36"/>
  <c r="M75" i="36"/>
  <c r="I78" i="36"/>
  <c r="M79" i="36"/>
  <c r="I82" i="36"/>
  <c r="M83" i="36"/>
  <c r="I4" i="36"/>
  <c r="M4" i="36"/>
  <c r="I5" i="36"/>
  <c r="M5" i="36"/>
  <c r="I6" i="36"/>
  <c r="M6" i="36"/>
  <c r="I7" i="36"/>
  <c r="M7" i="36"/>
  <c r="M64" i="36"/>
  <c r="I67" i="36"/>
  <c r="M68" i="36"/>
  <c r="I71" i="36"/>
  <c r="M72" i="36"/>
  <c r="I75" i="36"/>
  <c r="M76" i="36"/>
  <c r="I79" i="36"/>
  <c r="M80" i="36"/>
  <c r="I83" i="36"/>
  <c r="M84" i="36"/>
  <c r="M86" i="36"/>
  <c r="I87" i="36"/>
  <c r="L7" i="36" l="1"/>
  <c r="K7" i="36"/>
  <c r="J7" i="36"/>
  <c r="L5" i="36"/>
  <c r="K5" i="36"/>
  <c r="J5" i="36"/>
  <c r="L79" i="36"/>
  <c r="K79" i="36"/>
  <c r="J79" i="36"/>
  <c r="L81" i="36"/>
  <c r="K81" i="36"/>
  <c r="J81" i="36"/>
  <c r="L73" i="36"/>
  <c r="K73" i="36"/>
  <c r="J73" i="36"/>
  <c r="L65" i="36"/>
  <c r="K65" i="36"/>
  <c r="J65" i="36"/>
  <c r="L84" i="36"/>
  <c r="K84" i="36"/>
  <c r="J84" i="36"/>
  <c r="L76" i="36"/>
  <c r="K76" i="36"/>
  <c r="J76" i="36"/>
  <c r="L68" i="36"/>
  <c r="K68" i="36"/>
  <c r="J68" i="36"/>
  <c r="L63" i="36"/>
  <c r="K63" i="36"/>
  <c r="J63" i="36"/>
  <c r="L61" i="36"/>
  <c r="K61" i="36"/>
  <c r="J61" i="36"/>
  <c r="L59" i="36"/>
  <c r="K59" i="36"/>
  <c r="J59" i="36"/>
  <c r="L57" i="36"/>
  <c r="K57" i="36"/>
  <c r="J57" i="36"/>
  <c r="L55" i="36"/>
  <c r="K55" i="36"/>
  <c r="J55" i="36"/>
  <c r="L53" i="36"/>
  <c r="K53" i="36"/>
  <c r="J53" i="36"/>
  <c r="L51" i="36"/>
  <c r="K51" i="36"/>
  <c r="J51" i="36"/>
  <c r="L49" i="36"/>
  <c r="K49" i="36"/>
  <c r="J49" i="36"/>
  <c r="L47" i="36"/>
  <c r="K47" i="36"/>
  <c r="J47" i="36"/>
  <c r="L45" i="36"/>
  <c r="K45" i="36"/>
  <c r="J45" i="36"/>
  <c r="L43" i="36"/>
  <c r="K43" i="36"/>
  <c r="J43" i="36"/>
  <c r="L41" i="36"/>
  <c r="K41" i="36"/>
  <c r="J41" i="36"/>
  <c r="L39" i="36"/>
  <c r="K39" i="36"/>
  <c r="J39" i="36"/>
  <c r="L37" i="36"/>
  <c r="K37" i="36"/>
  <c r="J37" i="36"/>
  <c r="L35" i="36"/>
  <c r="K35" i="36"/>
  <c r="J35" i="36"/>
  <c r="L33" i="36"/>
  <c r="K33" i="36"/>
  <c r="J33" i="36"/>
  <c r="L31" i="36"/>
  <c r="K31" i="36"/>
  <c r="J31" i="36"/>
  <c r="L29" i="36"/>
  <c r="K29" i="36"/>
  <c r="J29" i="36"/>
  <c r="L27" i="36"/>
  <c r="K27" i="36"/>
  <c r="J27" i="36"/>
  <c r="L25" i="36"/>
  <c r="K25" i="36"/>
  <c r="J25" i="36"/>
  <c r="L23" i="36"/>
  <c r="K23" i="36"/>
  <c r="J23" i="36"/>
  <c r="L21" i="36"/>
  <c r="K21" i="36"/>
  <c r="J21" i="36"/>
  <c r="L19" i="36"/>
  <c r="K19" i="36"/>
  <c r="J19" i="36"/>
  <c r="L17" i="36"/>
  <c r="K17" i="36"/>
  <c r="J17" i="36"/>
  <c r="L15" i="36"/>
  <c r="K15" i="36"/>
  <c r="J15" i="36"/>
  <c r="L13" i="36"/>
  <c r="K13" i="36"/>
  <c r="J13" i="36"/>
  <c r="L11" i="36"/>
  <c r="K11" i="36"/>
  <c r="J11" i="36"/>
  <c r="L9" i="36"/>
  <c r="K9" i="36"/>
  <c r="J9" i="36"/>
  <c r="K181" i="36"/>
  <c r="J181" i="36"/>
  <c r="L181" i="36"/>
  <c r="L183" i="36"/>
  <c r="K183" i="36"/>
  <c r="J183" i="36"/>
  <c r="K185" i="36"/>
  <c r="J185" i="36"/>
  <c r="L185" i="36"/>
  <c r="L187" i="36"/>
  <c r="K187" i="36"/>
  <c r="J187" i="36"/>
  <c r="K189" i="36"/>
  <c r="J189" i="36"/>
  <c r="L189" i="36"/>
  <c r="L191" i="36"/>
  <c r="J191" i="36"/>
  <c r="K191" i="36"/>
  <c r="L193" i="36"/>
  <c r="J193" i="36"/>
  <c r="K193" i="36"/>
  <c r="L195" i="36"/>
  <c r="K195" i="36"/>
  <c r="J195" i="36"/>
  <c r="L197" i="36"/>
  <c r="K197" i="36"/>
  <c r="J197" i="36"/>
  <c r="L199" i="36"/>
  <c r="K199" i="36"/>
  <c r="J199" i="36"/>
  <c r="L201" i="36"/>
  <c r="K201" i="36"/>
  <c r="J201" i="36"/>
  <c r="L203" i="36"/>
  <c r="K203" i="36"/>
  <c r="J203" i="36"/>
  <c r="L205" i="36"/>
  <c r="K205" i="36"/>
  <c r="J205" i="36"/>
  <c r="L207" i="36"/>
  <c r="K207" i="36"/>
  <c r="J207" i="36"/>
  <c r="L209" i="36"/>
  <c r="K209" i="36"/>
  <c r="J209" i="36"/>
  <c r="L211" i="36"/>
  <c r="K211" i="36"/>
  <c r="J211" i="36"/>
  <c r="L213" i="36"/>
  <c r="K213" i="36"/>
  <c r="J213" i="36"/>
  <c r="L215" i="36"/>
  <c r="K215" i="36"/>
  <c r="J215" i="36"/>
  <c r="L217" i="36"/>
  <c r="K217" i="36"/>
  <c r="J217" i="36"/>
  <c r="L219" i="36"/>
  <c r="K219" i="36"/>
  <c r="J219" i="36"/>
  <c r="L221" i="36"/>
  <c r="K221" i="36"/>
  <c r="J221" i="36"/>
  <c r="L223" i="36"/>
  <c r="K223" i="36"/>
  <c r="J223" i="36"/>
  <c r="L225" i="36"/>
  <c r="K225" i="36"/>
  <c r="J225" i="36"/>
  <c r="L227" i="36"/>
  <c r="K227" i="36"/>
  <c r="J227" i="36"/>
  <c r="L229" i="36"/>
  <c r="K229" i="36"/>
  <c r="J229" i="36"/>
  <c r="L231" i="36"/>
  <c r="K231" i="36"/>
  <c r="J231" i="36"/>
  <c r="L233" i="36"/>
  <c r="K233" i="36"/>
  <c r="J233" i="36"/>
  <c r="L235" i="36"/>
  <c r="K235" i="36"/>
  <c r="J235" i="36"/>
  <c r="L237" i="36"/>
  <c r="K237" i="36"/>
  <c r="J237" i="36"/>
  <c r="L71" i="36"/>
  <c r="K71" i="36"/>
  <c r="J71" i="36"/>
  <c r="L6" i="36"/>
  <c r="J6" i="36"/>
  <c r="K6" i="36"/>
  <c r="L4" i="36"/>
  <c r="K4" i="36"/>
  <c r="J4" i="36"/>
  <c r="L82" i="36"/>
  <c r="J82" i="36"/>
  <c r="K82" i="36"/>
  <c r="L74" i="36"/>
  <c r="J74" i="36"/>
  <c r="K74" i="36"/>
  <c r="L66" i="36"/>
  <c r="J66" i="36"/>
  <c r="K66" i="36"/>
  <c r="L86" i="36"/>
  <c r="J86" i="36"/>
  <c r="K86" i="36"/>
  <c r="K3" i="36"/>
  <c r="L3" i="36"/>
  <c r="J3" i="36"/>
  <c r="L89" i="36"/>
  <c r="K89" i="36"/>
  <c r="J89" i="36"/>
  <c r="L91" i="36"/>
  <c r="K91" i="36"/>
  <c r="J91" i="36"/>
  <c r="L93" i="36"/>
  <c r="K93" i="36"/>
  <c r="J93" i="36"/>
  <c r="L95" i="36"/>
  <c r="K95" i="36"/>
  <c r="J95" i="36"/>
  <c r="L97" i="36"/>
  <c r="K97" i="36"/>
  <c r="J97" i="36"/>
  <c r="L99" i="36"/>
  <c r="K99" i="36"/>
  <c r="J99" i="36"/>
  <c r="L101" i="36"/>
  <c r="K101" i="36"/>
  <c r="J101" i="36"/>
  <c r="L103" i="36"/>
  <c r="K103" i="36"/>
  <c r="J103" i="36"/>
  <c r="L105" i="36"/>
  <c r="K105" i="36"/>
  <c r="J105" i="36"/>
  <c r="L107" i="36"/>
  <c r="K107" i="36"/>
  <c r="J107" i="36"/>
  <c r="L109" i="36"/>
  <c r="K109" i="36"/>
  <c r="J109" i="36"/>
  <c r="L111" i="36"/>
  <c r="K111" i="36"/>
  <c r="J111" i="36"/>
  <c r="L113" i="36"/>
  <c r="K113" i="36"/>
  <c r="J113" i="36"/>
  <c r="L115" i="36"/>
  <c r="K115" i="36"/>
  <c r="J115" i="36"/>
  <c r="L117" i="36"/>
  <c r="K117" i="36"/>
  <c r="J117" i="36"/>
  <c r="L119" i="36"/>
  <c r="K119" i="36"/>
  <c r="J119" i="36"/>
  <c r="L121" i="36"/>
  <c r="K121" i="36"/>
  <c r="J121" i="36"/>
  <c r="L123" i="36"/>
  <c r="K123" i="36"/>
  <c r="J123" i="36"/>
  <c r="L125" i="36"/>
  <c r="K125" i="36"/>
  <c r="J125" i="36"/>
  <c r="L127" i="36"/>
  <c r="K127" i="36"/>
  <c r="J127" i="36"/>
  <c r="L129" i="36"/>
  <c r="K129" i="36"/>
  <c r="J129" i="36"/>
  <c r="L131" i="36"/>
  <c r="K131" i="36"/>
  <c r="J131" i="36"/>
  <c r="L133" i="36"/>
  <c r="K133" i="36"/>
  <c r="J133" i="36"/>
  <c r="J135" i="36"/>
  <c r="L135" i="36"/>
  <c r="K135" i="36"/>
  <c r="L137" i="36"/>
  <c r="K137" i="36"/>
  <c r="J137" i="36"/>
  <c r="J139" i="36"/>
  <c r="L139" i="36"/>
  <c r="K139" i="36"/>
  <c r="L141" i="36"/>
  <c r="K141" i="36"/>
  <c r="J141" i="36"/>
  <c r="L143" i="36"/>
  <c r="J143" i="36"/>
  <c r="K143" i="36"/>
  <c r="L145" i="36"/>
  <c r="J145" i="36"/>
  <c r="K145" i="36"/>
  <c r="L147" i="36"/>
  <c r="K147" i="36"/>
  <c r="J147" i="36"/>
  <c r="L149" i="36"/>
  <c r="K149" i="36"/>
  <c r="J149" i="36"/>
  <c r="L151" i="36"/>
  <c r="K151" i="36"/>
  <c r="J151" i="36"/>
  <c r="L153" i="36"/>
  <c r="K153" i="36"/>
  <c r="J153" i="36"/>
  <c r="L155" i="36"/>
  <c r="K155" i="36"/>
  <c r="J155" i="36"/>
  <c r="L157" i="36"/>
  <c r="K157" i="36"/>
  <c r="J157" i="36"/>
  <c r="L159" i="36"/>
  <c r="K159" i="36"/>
  <c r="J159" i="36"/>
  <c r="L161" i="36"/>
  <c r="K161" i="36"/>
  <c r="J161" i="36"/>
  <c r="L163" i="36"/>
  <c r="K163" i="36"/>
  <c r="J163" i="36"/>
  <c r="L165" i="36"/>
  <c r="K165" i="36"/>
  <c r="J165" i="36"/>
  <c r="L167" i="36"/>
  <c r="K167" i="36"/>
  <c r="J167" i="36"/>
  <c r="L169" i="36"/>
  <c r="K169" i="36"/>
  <c r="J169" i="36"/>
  <c r="L171" i="36"/>
  <c r="K171" i="36"/>
  <c r="J171" i="36"/>
  <c r="L173" i="36"/>
  <c r="K173" i="36"/>
  <c r="J173" i="36"/>
  <c r="L175" i="36"/>
  <c r="K175" i="36"/>
  <c r="J175" i="36"/>
  <c r="L177" i="36"/>
  <c r="K177" i="36"/>
  <c r="J177" i="36"/>
  <c r="L179" i="36"/>
  <c r="K179" i="36"/>
  <c r="J179" i="36"/>
  <c r="L83" i="36"/>
  <c r="K83" i="36"/>
  <c r="J83" i="36"/>
  <c r="L75" i="36"/>
  <c r="K75" i="36"/>
  <c r="J75" i="36"/>
  <c r="L67" i="36"/>
  <c r="K67" i="36"/>
  <c r="J67" i="36"/>
  <c r="L85" i="36"/>
  <c r="K85" i="36"/>
  <c r="J85" i="36"/>
  <c r="L77" i="36"/>
  <c r="K77" i="36"/>
  <c r="J77" i="36"/>
  <c r="L69" i="36"/>
  <c r="K69" i="36"/>
  <c r="J69" i="36"/>
  <c r="L80" i="36"/>
  <c r="K80" i="36"/>
  <c r="J80" i="36"/>
  <c r="L72" i="36"/>
  <c r="K72" i="36"/>
  <c r="J72" i="36"/>
  <c r="L64" i="36"/>
  <c r="K64" i="36"/>
  <c r="J64" i="36"/>
  <c r="L62" i="36"/>
  <c r="K62" i="36"/>
  <c r="J62" i="36"/>
  <c r="L60" i="36"/>
  <c r="K60" i="36"/>
  <c r="J60" i="36"/>
  <c r="L58" i="36"/>
  <c r="K58" i="36"/>
  <c r="J58" i="36"/>
  <c r="L56" i="36"/>
  <c r="K56" i="36"/>
  <c r="J56" i="36"/>
  <c r="L54" i="36"/>
  <c r="K54" i="36"/>
  <c r="J54" i="36"/>
  <c r="L52" i="36"/>
  <c r="K52" i="36"/>
  <c r="J52" i="36"/>
  <c r="L50" i="36"/>
  <c r="K50" i="36"/>
  <c r="J50" i="36"/>
  <c r="L48" i="36"/>
  <c r="K48" i="36"/>
  <c r="J48" i="36"/>
  <c r="L46" i="36"/>
  <c r="K46" i="36"/>
  <c r="J46" i="36"/>
  <c r="L44" i="36"/>
  <c r="K44" i="36"/>
  <c r="J44" i="36"/>
  <c r="L42" i="36"/>
  <c r="K42" i="36"/>
  <c r="J42" i="36"/>
  <c r="L40" i="36"/>
  <c r="K40" i="36"/>
  <c r="J40" i="36"/>
  <c r="L38" i="36"/>
  <c r="K38" i="36"/>
  <c r="J38" i="36"/>
  <c r="L36" i="36"/>
  <c r="K36" i="36"/>
  <c r="J36" i="36"/>
  <c r="L34" i="36"/>
  <c r="K34" i="36"/>
  <c r="J34" i="36"/>
  <c r="L32" i="36"/>
  <c r="K32" i="36"/>
  <c r="J32" i="36"/>
  <c r="L30" i="36"/>
  <c r="K30" i="36"/>
  <c r="J30" i="36"/>
  <c r="L28" i="36"/>
  <c r="K28" i="36"/>
  <c r="J28" i="36"/>
  <c r="L26" i="36"/>
  <c r="K26" i="36"/>
  <c r="J26" i="36"/>
  <c r="L24" i="36"/>
  <c r="K24" i="36"/>
  <c r="J24" i="36"/>
  <c r="L22" i="36"/>
  <c r="K22" i="36"/>
  <c r="J22" i="36"/>
  <c r="L20" i="36"/>
  <c r="K20" i="36"/>
  <c r="J20" i="36"/>
  <c r="L18" i="36"/>
  <c r="K18" i="36"/>
  <c r="J18" i="36"/>
  <c r="L16" i="36"/>
  <c r="K16" i="36"/>
  <c r="J16" i="36"/>
  <c r="L14" i="36"/>
  <c r="K14" i="36"/>
  <c r="J14" i="36"/>
  <c r="L12" i="36"/>
  <c r="K12" i="36"/>
  <c r="J12" i="36"/>
  <c r="L10" i="36"/>
  <c r="K10" i="36"/>
  <c r="J10" i="36"/>
  <c r="L8" i="36"/>
  <c r="K8" i="36"/>
  <c r="J8" i="36"/>
  <c r="J182" i="36"/>
  <c r="L182" i="36"/>
  <c r="K182" i="36"/>
  <c r="L184" i="36"/>
  <c r="K184" i="36"/>
  <c r="J184" i="36"/>
  <c r="J186" i="36"/>
  <c r="L186" i="36"/>
  <c r="K186" i="36"/>
  <c r="L188" i="36"/>
  <c r="K188" i="36"/>
  <c r="J188" i="36"/>
  <c r="L190" i="36"/>
  <c r="K190" i="36"/>
  <c r="J190" i="36"/>
  <c r="L192" i="36"/>
  <c r="K192" i="36"/>
  <c r="J192" i="36"/>
  <c r="L194" i="36"/>
  <c r="K194" i="36"/>
  <c r="J194" i="36"/>
  <c r="L196" i="36"/>
  <c r="K196" i="36"/>
  <c r="J196" i="36"/>
  <c r="L198" i="36"/>
  <c r="K198" i="36"/>
  <c r="J198" i="36"/>
  <c r="L200" i="36"/>
  <c r="K200" i="36"/>
  <c r="J200" i="36"/>
  <c r="L202" i="36"/>
  <c r="K202" i="36"/>
  <c r="J202" i="36"/>
  <c r="L204" i="36"/>
  <c r="K204" i="36"/>
  <c r="J204" i="36"/>
  <c r="L206" i="36"/>
  <c r="K206" i="36"/>
  <c r="J206" i="36"/>
  <c r="L208" i="36"/>
  <c r="K208" i="36"/>
  <c r="J208" i="36"/>
  <c r="L210" i="36"/>
  <c r="K210" i="36"/>
  <c r="J210" i="36"/>
  <c r="L212" i="36"/>
  <c r="K212" i="36"/>
  <c r="J212" i="36"/>
  <c r="L214" i="36"/>
  <c r="K214" i="36"/>
  <c r="J214" i="36"/>
  <c r="L216" i="36"/>
  <c r="K216" i="36"/>
  <c r="J216" i="36"/>
  <c r="L218" i="36"/>
  <c r="K218" i="36"/>
  <c r="J218" i="36"/>
  <c r="L220" i="36"/>
  <c r="K220" i="36"/>
  <c r="J220" i="36"/>
  <c r="L222" i="36"/>
  <c r="K222" i="36"/>
  <c r="J222" i="36"/>
  <c r="L224" i="36"/>
  <c r="K224" i="36"/>
  <c r="J224" i="36"/>
  <c r="L226" i="36"/>
  <c r="K226" i="36"/>
  <c r="J226" i="36"/>
  <c r="L228" i="36"/>
  <c r="K228" i="36"/>
  <c r="J228" i="36"/>
  <c r="L230" i="36"/>
  <c r="K230" i="36"/>
  <c r="J230" i="36"/>
  <c r="L232" i="36"/>
  <c r="K232" i="36"/>
  <c r="J232" i="36"/>
  <c r="L234" i="36"/>
  <c r="K234" i="36"/>
  <c r="J234" i="36"/>
  <c r="L236" i="36"/>
  <c r="K236" i="36"/>
  <c r="J236" i="36"/>
  <c r="L87" i="36"/>
  <c r="J87" i="36"/>
  <c r="K87" i="36"/>
  <c r="L78" i="36"/>
  <c r="J78" i="36"/>
  <c r="K78" i="36"/>
  <c r="L70" i="36"/>
  <c r="J70" i="36"/>
  <c r="K70" i="36"/>
  <c r="L88" i="36"/>
  <c r="K88" i="36"/>
  <c r="J88" i="36"/>
  <c r="L90" i="36"/>
  <c r="K90" i="36"/>
  <c r="J90" i="36"/>
  <c r="L92" i="36"/>
  <c r="K92" i="36"/>
  <c r="J92" i="36"/>
  <c r="L94" i="36"/>
  <c r="K94" i="36"/>
  <c r="J94" i="36"/>
  <c r="L96" i="36"/>
  <c r="K96" i="36"/>
  <c r="J96" i="36"/>
  <c r="L98" i="36"/>
  <c r="K98" i="36"/>
  <c r="J98" i="36"/>
  <c r="L100" i="36"/>
  <c r="K100" i="36"/>
  <c r="J100" i="36"/>
  <c r="L102" i="36"/>
  <c r="K102" i="36"/>
  <c r="J102" i="36"/>
  <c r="L104" i="36"/>
  <c r="K104" i="36"/>
  <c r="J104" i="36"/>
  <c r="L106" i="36"/>
  <c r="K106" i="36"/>
  <c r="J106" i="36"/>
  <c r="L108" i="36"/>
  <c r="K108" i="36"/>
  <c r="J108" i="36"/>
  <c r="L110" i="36"/>
  <c r="K110" i="36"/>
  <c r="J110" i="36"/>
  <c r="L112" i="36"/>
  <c r="K112" i="36"/>
  <c r="J112" i="36"/>
  <c r="L114" i="36"/>
  <c r="K114" i="36"/>
  <c r="J114" i="36"/>
  <c r="L116" i="36"/>
  <c r="K116" i="36"/>
  <c r="J116" i="36"/>
  <c r="L118" i="36"/>
  <c r="K118" i="36"/>
  <c r="J118" i="36"/>
  <c r="L120" i="36"/>
  <c r="K120" i="36"/>
  <c r="J120" i="36"/>
  <c r="L122" i="36"/>
  <c r="K122" i="36"/>
  <c r="J122" i="36"/>
  <c r="L124" i="36"/>
  <c r="K124" i="36"/>
  <c r="J124" i="36"/>
  <c r="L126" i="36"/>
  <c r="K126" i="36"/>
  <c r="J126" i="36"/>
  <c r="L128" i="36"/>
  <c r="K128" i="36"/>
  <c r="J128" i="36"/>
  <c r="L130" i="36"/>
  <c r="K130" i="36"/>
  <c r="J130" i="36"/>
  <c r="L132" i="36"/>
  <c r="K132" i="36"/>
  <c r="J132" i="36"/>
  <c r="K134" i="36"/>
  <c r="J134" i="36"/>
  <c r="L134" i="36"/>
  <c r="L136" i="36"/>
  <c r="K136" i="36"/>
  <c r="J136" i="36"/>
  <c r="K138" i="36"/>
  <c r="J138" i="36"/>
  <c r="L138" i="36"/>
  <c r="L140" i="36"/>
  <c r="K140" i="36"/>
  <c r="J140" i="36"/>
  <c r="K142" i="36"/>
  <c r="J142" i="36"/>
  <c r="L142" i="36"/>
  <c r="L144" i="36"/>
  <c r="K144" i="36"/>
  <c r="J144" i="36"/>
  <c r="L146" i="36"/>
  <c r="K146" i="36"/>
  <c r="J146" i="36"/>
  <c r="L148" i="36"/>
  <c r="K148" i="36"/>
  <c r="J148" i="36"/>
  <c r="L150" i="36"/>
  <c r="K150" i="36"/>
  <c r="J150" i="36"/>
  <c r="L152" i="36"/>
  <c r="K152" i="36"/>
  <c r="J152" i="36"/>
  <c r="L154" i="36"/>
  <c r="K154" i="36"/>
  <c r="J154" i="36"/>
  <c r="L156" i="36"/>
  <c r="K156" i="36"/>
  <c r="J156" i="36"/>
  <c r="L158" i="36"/>
  <c r="K158" i="36"/>
  <c r="J158" i="36"/>
  <c r="L160" i="36"/>
  <c r="K160" i="36"/>
  <c r="J160" i="36"/>
  <c r="L162" i="36"/>
  <c r="K162" i="36"/>
  <c r="J162" i="36"/>
  <c r="L164" i="36"/>
  <c r="K164" i="36"/>
  <c r="J164" i="36"/>
  <c r="L166" i="36"/>
  <c r="K166" i="36"/>
  <c r="J166" i="36"/>
  <c r="L168" i="36"/>
  <c r="K168" i="36"/>
  <c r="J168" i="36"/>
  <c r="L170" i="36"/>
  <c r="K170" i="36"/>
  <c r="J170" i="36"/>
  <c r="L172" i="36"/>
  <c r="K172" i="36"/>
  <c r="J172" i="36"/>
  <c r="L174" i="36"/>
  <c r="K174" i="36"/>
  <c r="J174" i="36"/>
  <c r="L176" i="36"/>
  <c r="K176" i="36"/>
  <c r="J176" i="36"/>
  <c r="L178" i="36"/>
  <c r="K178" i="36"/>
  <c r="J178" i="36"/>
  <c r="L180" i="36"/>
  <c r="K180" i="36"/>
  <c r="J180" i="36"/>
  <c r="G3" i="35" l="1"/>
  <c r="F3" i="35"/>
  <c r="E3" i="35"/>
  <c r="A8" i="35"/>
  <c r="B4" i="35"/>
  <c r="C4" i="35" s="1"/>
  <c r="B5" i="35" s="1"/>
  <c r="C5" i="35" s="1"/>
  <c r="B6" i="35" s="1"/>
  <c r="C6" i="35" s="1"/>
  <c r="B7" i="35" s="1"/>
  <c r="C7" i="35" s="1"/>
  <c r="B8" i="35" s="1"/>
  <c r="C8" i="35" s="1"/>
  <c r="B9" i="35" s="1"/>
  <c r="C9" i="35" s="1"/>
  <c r="B10" i="35" s="1"/>
  <c r="C10" i="35" s="1"/>
  <c r="B11" i="35" s="1"/>
  <c r="C11" i="35" s="1"/>
  <c r="B12" i="35" s="1"/>
  <c r="C12" i="35" s="1"/>
  <c r="B13" i="35" s="1"/>
  <c r="C13" i="35" s="1"/>
  <c r="B14" i="35" s="1"/>
  <c r="C14" i="35" s="1"/>
  <c r="B15" i="35" s="1"/>
  <c r="C15" i="35" s="1"/>
  <c r="B16" i="35" s="1"/>
  <c r="C16" i="35" s="1"/>
  <c r="B17" i="35" s="1"/>
  <c r="C17" i="35" s="1"/>
  <c r="B18" i="35" s="1"/>
  <c r="C18" i="35" s="1"/>
  <c r="B19" i="35" s="1"/>
  <c r="C19" i="35" s="1"/>
  <c r="B20" i="35" s="1"/>
  <c r="C20" i="35" s="1"/>
  <c r="B21" i="35" s="1"/>
  <c r="C21" i="35" s="1"/>
  <c r="B22" i="35" s="1"/>
  <c r="C22" i="35" s="1"/>
  <c r="B23" i="35" s="1"/>
  <c r="C23" i="35" s="1"/>
  <c r="B24" i="35" s="1"/>
  <c r="C24" i="35" s="1"/>
  <c r="B25" i="35" s="1"/>
  <c r="C25" i="35" s="1"/>
  <c r="B26" i="35" s="1"/>
  <c r="C26" i="35" s="1"/>
  <c r="B27" i="35" s="1"/>
  <c r="C27" i="35" s="1"/>
  <c r="B28" i="35" s="1"/>
  <c r="C28" i="35" s="1"/>
  <c r="B29" i="35" s="1"/>
  <c r="C29" i="35" s="1"/>
  <c r="B30" i="35" s="1"/>
  <c r="C30" i="35" s="1"/>
  <c r="B31" i="35" s="1"/>
  <c r="C31" i="35" s="1"/>
  <c r="B32" i="35" s="1"/>
  <c r="C32" i="35" s="1"/>
  <c r="B33" i="35" s="1"/>
  <c r="C33" i="35" s="1"/>
  <c r="B34" i="35" s="1"/>
  <c r="C34" i="35" s="1"/>
  <c r="B35" i="35" s="1"/>
  <c r="C35" i="35" s="1"/>
  <c r="B36" i="35" s="1"/>
  <c r="C36" i="35" s="1"/>
  <c r="B37" i="35" s="1"/>
  <c r="C37" i="35" s="1"/>
  <c r="B38" i="35" s="1"/>
  <c r="C38" i="35" s="1"/>
  <c r="B39" i="35" s="1"/>
  <c r="C39" i="35" s="1"/>
  <c r="B40" i="35" s="1"/>
  <c r="C40" i="35" s="1"/>
  <c r="B41" i="35" s="1"/>
  <c r="C41" i="35" s="1"/>
  <c r="B42" i="35" s="1"/>
  <c r="C42" i="35" s="1"/>
  <c r="B43" i="35" s="1"/>
  <c r="C43" i="35" s="1"/>
  <c r="B44" i="35" s="1"/>
  <c r="C44" i="35" s="1"/>
  <c r="B45" i="35" s="1"/>
  <c r="C45" i="35" s="1"/>
  <c r="B46" i="35" s="1"/>
  <c r="C46" i="35" s="1"/>
  <c r="B47" i="35" s="1"/>
  <c r="C47" i="35" s="1"/>
  <c r="B48" i="35" s="1"/>
  <c r="C48" i="35" s="1"/>
  <c r="B49" i="35" s="1"/>
  <c r="C49" i="35" s="1"/>
  <c r="B50" i="35" s="1"/>
  <c r="C50" i="35" s="1"/>
  <c r="B51" i="35" s="1"/>
  <c r="C51" i="35" s="1"/>
  <c r="B52" i="35" s="1"/>
  <c r="C52" i="35" s="1"/>
  <c r="B53" i="35" s="1"/>
  <c r="C53" i="35" s="1"/>
  <c r="B54" i="35" s="1"/>
  <c r="C54" i="35" s="1"/>
  <c r="B55" i="35" s="1"/>
  <c r="C55" i="35" s="1"/>
  <c r="B56" i="35" s="1"/>
  <c r="C56" i="35" s="1"/>
  <c r="B57" i="35" s="1"/>
  <c r="C57" i="35" s="1"/>
  <c r="B58" i="35" s="1"/>
  <c r="C58" i="35" s="1"/>
  <c r="B59" i="35" s="1"/>
  <c r="C59" i="35" s="1"/>
  <c r="B60" i="35" s="1"/>
  <c r="C60" i="35" s="1"/>
  <c r="B61" i="35" s="1"/>
  <c r="C61" i="35" s="1"/>
  <c r="B62" i="35" s="1"/>
  <c r="C62" i="35" s="1"/>
  <c r="B63" i="35" s="1"/>
  <c r="C63" i="35" s="1"/>
  <c r="B64" i="35" s="1"/>
  <c r="C64" i="35" s="1"/>
  <c r="B65" i="35" s="1"/>
  <c r="C65" i="35" s="1"/>
  <c r="B66" i="35" s="1"/>
  <c r="C66" i="35" s="1"/>
  <c r="B67" i="35" s="1"/>
  <c r="C67" i="35" s="1"/>
  <c r="B68" i="35" s="1"/>
  <c r="C68" i="35" s="1"/>
  <c r="B69" i="35" s="1"/>
  <c r="C69" i="35" s="1"/>
  <c r="B70" i="35" s="1"/>
  <c r="C70" i="35" s="1"/>
  <c r="B71" i="35" s="1"/>
  <c r="C71" i="35" s="1"/>
  <c r="B72" i="35" s="1"/>
  <c r="C72" i="35" s="1"/>
  <c r="B73" i="35" s="1"/>
  <c r="C73" i="35" s="1"/>
  <c r="B74" i="35" s="1"/>
  <c r="C74" i="35" s="1"/>
  <c r="B75" i="35" s="1"/>
  <c r="C75" i="35" s="1"/>
  <c r="B76" i="35" s="1"/>
  <c r="C76" i="35" s="1"/>
  <c r="B77" i="35" s="1"/>
  <c r="C77" i="35" s="1"/>
  <c r="B78" i="35" s="1"/>
  <c r="C78" i="35" s="1"/>
  <c r="B79" i="35" s="1"/>
  <c r="C79" i="35" s="1"/>
  <c r="B80" i="35" s="1"/>
  <c r="C80" i="35" s="1"/>
  <c r="B81" i="35" s="1"/>
  <c r="C81" i="35" s="1"/>
  <c r="B82" i="35" s="1"/>
  <c r="C82" i="35" s="1"/>
  <c r="B83" i="35" s="1"/>
  <c r="C83" i="35" s="1"/>
  <c r="B84" i="35" s="1"/>
  <c r="C84" i="35" s="1"/>
  <c r="B85" i="35" s="1"/>
  <c r="C85" i="35" s="1"/>
  <c r="B86" i="35" s="1"/>
  <c r="C86" i="35" s="1"/>
  <c r="B87" i="35" s="1"/>
  <c r="C87" i="35" s="1"/>
  <c r="B88" i="35" s="1"/>
  <c r="C88" i="35" s="1"/>
  <c r="B89" i="35" s="1"/>
  <c r="C89" i="35" s="1"/>
  <c r="B90" i="35" s="1"/>
  <c r="C90" i="35" s="1"/>
  <c r="B91" i="35" s="1"/>
  <c r="C91" i="35" s="1"/>
  <c r="B92" i="35" s="1"/>
  <c r="C92" i="35" s="1"/>
  <c r="B93" i="35" s="1"/>
  <c r="C93" i="35" s="1"/>
  <c r="B94" i="35" s="1"/>
  <c r="C94" i="35" s="1"/>
  <c r="B95" i="35" s="1"/>
  <c r="C95" i="35" s="1"/>
  <c r="B96" i="35" s="1"/>
  <c r="C96" i="35" s="1"/>
  <c r="B97" i="35" s="1"/>
  <c r="C97" i="35" s="1"/>
  <c r="B98" i="35" s="1"/>
  <c r="C98" i="35" s="1"/>
  <c r="B99" i="35" s="1"/>
  <c r="C99" i="35" s="1"/>
  <c r="B100" i="35" s="1"/>
  <c r="C100" i="35" s="1"/>
  <c r="B101" i="35" s="1"/>
  <c r="C101" i="35" s="1"/>
  <c r="B102" i="35" s="1"/>
  <c r="C102" i="35" s="1"/>
  <c r="B103" i="35" s="1"/>
  <c r="C103" i="35" s="1"/>
  <c r="B104" i="35" s="1"/>
  <c r="C104" i="35" s="1"/>
  <c r="B105" i="35" s="1"/>
  <c r="C105" i="35" s="1"/>
  <c r="B106" i="35" s="1"/>
  <c r="C106" i="35" s="1"/>
  <c r="B107" i="35" s="1"/>
  <c r="C107" i="35" s="1"/>
  <c r="B108" i="35" s="1"/>
  <c r="C108" i="35" s="1"/>
  <c r="B109" i="35" s="1"/>
  <c r="C109" i="35" s="1"/>
  <c r="B110" i="35" s="1"/>
  <c r="C110" i="35" s="1"/>
  <c r="B111" i="35" s="1"/>
  <c r="C111" i="35" s="1"/>
  <c r="B112" i="35" s="1"/>
  <c r="C112" i="35" s="1"/>
  <c r="B113" i="35" s="1"/>
  <c r="C113" i="35" s="1"/>
  <c r="B114" i="35" s="1"/>
  <c r="C114" i="35" s="1"/>
  <c r="B115" i="35" s="1"/>
  <c r="C115" i="35" s="1"/>
  <c r="B116" i="35" s="1"/>
  <c r="C116" i="35" s="1"/>
  <c r="B117" i="35" s="1"/>
  <c r="C117" i="35" s="1"/>
  <c r="B118" i="35" s="1"/>
  <c r="C118" i="35" s="1"/>
  <c r="B119" i="35" s="1"/>
  <c r="C119" i="35" s="1"/>
  <c r="B120" i="35" s="1"/>
  <c r="C120" i="35" s="1"/>
  <c r="B121" i="35" s="1"/>
  <c r="C121" i="35" s="1"/>
  <c r="B122" i="35" s="1"/>
  <c r="C122" i="35" s="1"/>
  <c r="B123" i="35" s="1"/>
  <c r="C123" i="35" s="1"/>
  <c r="B124" i="35" s="1"/>
  <c r="C124" i="35" s="1"/>
  <c r="B125" i="35" s="1"/>
  <c r="C125" i="35" s="1"/>
  <c r="B126" i="35" s="1"/>
  <c r="C126" i="35" s="1"/>
  <c r="B127" i="35" s="1"/>
  <c r="C127" i="35" s="1"/>
  <c r="B128" i="35" s="1"/>
  <c r="C128" i="35" s="1"/>
  <c r="B129" i="35" s="1"/>
  <c r="C129" i="35" s="1"/>
  <c r="B130" i="35" s="1"/>
  <c r="C130" i="35" s="1"/>
  <c r="B131" i="35" s="1"/>
  <c r="C131" i="35" s="1"/>
  <c r="B132" i="35" s="1"/>
  <c r="C132" i="35" s="1"/>
  <c r="B133" i="35" s="1"/>
  <c r="C133" i="35" s="1"/>
  <c r="B134" i="35" s="1"/>
  <c r="C134" i="35" s="1"/>
  <c r="B135" i="35" s="1"/>
  <c r="C135" i="35" s="1"/>
  <c r="B136" i="35" s="1"/>
  <c r="C136" i="35" s="1"/>
  <c r="B137" i="35" s="1"/>
  <c r="C137" i="35" s="1"/>
  <c r="B138" i="35" s="1"/>
  <c r="C138" i="35" s="1"/>
  <c r="B139" i="35" s="1"/>
  <c r="C139" i="35" s="1"/>
  <c r="B140" i="35" s="1"/>
  <c r="C140" i="35" s="1"/>
  <c r="B141" i="35" s="1"/>
  <c r="C141" i="35" s="1"/>
  <c r="B142" i="35" s="1"/>
  <c r="C142" i="35" s="1"/>
  <c r="B143" i="35" s="1"/>
  <c r="C143" i="35" s="1"/>
  <c r="B144" i="35" s="1"/>
  <c r="C144" i="35" s="1"/>
  <c r="B145" i="35" s="1"/>
  <c r="C145" i="35" s="1"/>
  <c r="B146" i="35" s="1"/>
  <c r="C146" i="35" s="1"/>
  <c r="B147" i="35" s="1"/>
  <c r="C147" i="35" s="1"/>
  <c r="B148" i="35" s="1"/>
  <c r="C148" i="35" s="1"/>
  <c r="B149" i="35" s="1"/>
  <c r="C149" i="35" s="1"/>
  <c r="B150" i="35" s="1"/>
  <c r="C150" i="35" s="1"/>
  <c r="B151" i="35" s="1"/>
  <c r="C151" i="35" s="1"/>
  <c r="B152" i="35" s="1"/>
  <c r="C152" i="35" s="1"/>
  <c r="B153" i="35" s="1"/>
  <c r="C153" i="35" s="1"/>
  <c r="B154" i="35" s="1"/>
  <c r="C154" i="35" s="1"/>
  <c r="B155" i="35" s="1"/>
  <c r="C155" i="35" s="1"/>
  <c r="B156" i="35" s="1"/>
  <c r="C156" i="35" s="1"/>
  <c r="B157" i="35" s="1"/>
  <c r="C157" i="35" s="1"/>
  <c r="B158" i="35" s="1"/>
  <c r="C158" i="35" s="1"/>
  <c r="B159" i="35" s="1"/>
  <c r="C159" i="35" s="1"/>
  <c r="B160" i="35" s="1"/>
  <c r="C160" i="35" s="1"/>
  <c r="B161" i="35" s="1"/>
  <c r="C161" i="35" s="1"/>
  <c r="B162" i="35" s="1"/>
  <c r="C162" i="35" s="1"/>
  <c r="B163" i="35" s="1"/>
  <c r="C163" i="35" s="1"/>
  <c r="B164" i="35" s="1"/>
  <c r="C164" i="35" s="1"/>
  <c r="B165" i="35" s="1"/>
  <c r="C165" i="35" s="1"/>
  <c r="B166" i="35" s="1"/>
  <c r="C166" i="35" s="1"/>
  <c r="B167" i="35" s="1"/>
  <c r="C167" i="35" s="1"/>
  <c r="B168" i="35" s="1"/>
  <c r="C168" i="35" s="1"/>
  <c r="B169" i="35" s="1"/>
  <c r="C169" i="35" s="1"/>
  <c r="B170" i="35" s="1"/>
  <c r="C170" i="35" s="1"/>
  <c r="B171" i="35" s="1"/>
  <c r="C171" i="35" s="1"/>
  <c r="B172" i="35" s="1"/>
  <c r="C172" i="35" s="1"/>
  <c r="B173" i="35" s="1"/>
  <c r="C173" i="35" s="1"/>
  <c r="B174" i="35" s="1"/>
  <c r="C174" i="35" s="1"/>
  <c r="B175" i="35" s="1"/>
  <c r="C175" i="35" s="1"/>
  <c r="B176" i="35" s="1"/>
  <c r="C176" i="35" s="1"/>
  <c r="B177" i="35" s="1"/>
  <c r="C177" i="35" s="1"/>
  <c r="B178" i="35" s="1"/>
  <c r="C178" i="35" s="1"/>
  <c r="B179" i="35" s="1"/>
  <c r="C179" i="35" s="1"/>
  <c r="B180" i="35" s="1"/>
  <c r="C180" i="35" s="1"/>
  <c r="B181" i="35" s="1"/>
  <c r="C181" i="35" s="1"/>
  <c r="B182" i="35" s="1"/>
  <c r="C182" i="35" s="1"/>
  <c r="B183" i="35" s="1"/>
  <c r="C183" i="35" s="1"/>
  <c r="B184" i="35" s="1"/>
  <c r="C184" i="35" s="1"/>
  <c r="B185" i="35" s="1"/>
  <c r="C185" i="35" s="1"/>
  <c r="B186" i="35" s="1"/>
  <c r="C186" i="35" s="1"/>
  <c r="B187" i="35" s="1"/>
  <c r="C187" i="35" s="1"/>
  <c r="B188" i="35" s="1"/>
  <c r="C188" i="35" s="1"/>
  <c r="B189" i="35" s="1"/>
  <c r="C189" i="35" s="1"/>
  <c r="B190" i="35" s="1"/>
  <c r="C190" i="35" s="1"/>
  <c r="B191" i="35" s="1"/>
  <c r="C191" i="35" s="1"/>
  <c r="B192" i="35" s="1"/>
  <c r="C192" i="35" s="1"/>
  <c r="B193" i="35" s="1"/>
  <c r="C193" i="35" s="1"/>
  <c r="B194" i="35" s="1"/>
  <c r="C194" i="35" s="1"/>
  <c r="B195" i="35" s="1"/>
  <c r="C195" i="35" s="1"/>
  <c r="B196" i="35" s="1"/>
  <c r="C196" i="35" s="1"/>
  <c r="B197" i="35" s="1"/>
  <c r="C197" i="35" s="1"/>
  <c r="B198" i="35" s="1"/>
  <c r="C198" i="35" s="1"/>
  <c r="B199" i="35" s="1"/>
  <c r="C199" i="35" s="1"/>
  <c r="B200" i="35" s="1"/>
  <c r="C200" i="35" s="1"/>
  <c r="B201" i="35" s="1"/>
  <c r="C201" i="35" s="1"/>
  <c r="B202" i="35" s="1"/>
  <c r="C202" i="35" s="1"/>
  <c r="B203" i="35" s="1"/>
  <c r="C203" i="35" s="1"/>
  <c r="B204" i="35" s="1"/>
  <c r="C204" i="35" s="1"/>
  <c r="B205" i="35" s="1"/>
  <c r="C205" i="35" s="1"/>
  <c r="B206" i="35" s="1"/>
  <c r="C206" i="35" s="1"/>
  <c r="B207" i="35" s="1"/>
  <c r="C207" i="35" s="1"/>
  <c r="B208" i="35" s="1"/>
  <c r="C208" i="35" s="1"/>
  <c r="B209" i="35" s="1"/>
  <c r="C209" i="35" s="1"/>
  <c r="B210" i="35" s="1"/>
  <c r="C210" i="35" s="1"/>
  <c r="B211" i="35" s="1"/>
  <c r="C211" i="35" s="1"/>
  <c r="B212" i="35" s="1"/>
  <c r="C212" i="35" s="1"/>
  <c r="B213" i="35" s="1"/>
  <c r="C213" i="35" s="1"/>
  <c r="B214" i="35" s="1"/>
  <c r="C214" i="35" s="1"/>
  <c r="B215" i="35" s="1"/>
  <c r="C215" i="35" s="1"/>
  <c r="B216" i="35" s="1"/>
  <c r="C216" i="35" s="1"/>
  <c r="B217" i="35" s="1"/>
  <c r="C217" i="35" s="1"/>
  <c r="B218" i="35" s="1"/>
  <c r="C218" i="35" s="1"/>
  <c r="B219" i="35" s="1"/>
  <c r="C219" i="35" s="1"/>
  <c r="B220" i="35" s="1"/>
  <c r="C220" i="35" s="1"/>
  <c r="B221" i="35" s="1"/>
  <c r="C221" i="35" s="1"/>
  <c r="B222" i="35" s="1"/>
  <c r="C222" i="35" s="1"/>
  <c r="B223" i="35" s="1"/>
  <c r="C223" i="35" s="1"/>
  <c r="B224" i="35" s="1"/>
  <c r="C224" i="35" s="1"/>
  <c r="B225" i="35" s="1"/>
  <c r="C225" i="35" s="1"/>
  <c r="B226" i="35" s="1"/>
  <c r="C226" i="35" s="1"/>
  <c r="B227" i="35" s="1"/>
  <c r="C227" i="35" s="1"/>
  <c r="B228" i="35" s="1"/>
  <c r="C228" i="35" s="1"/>
  <c r="B229" i="35" s="1"/>
  <c r="C229" i="35" s="1"/>
  <c r="B230" i="35" s="1"/>
  <c r="C230" i="35" s="1"/>
  <c r="B231" i="35" s="1"/>
  <c r="C231" i="35" s="1"/>
  <c r="B232" i="35" s="1"/>
  <c r="C232" i="35" s="1"/>
  <c r="B233" i="35" s="1"/>
  <c r="C233" i="35" s="1"/>
  <c r="B234" i="35" s="1"/>
  <c r="C234" i="35" s="1"/>
  <c r="B235" i="35" s="1"/>
  <c r="C235" i="35" s="1"/>
  <c r="B236" i="35" s="1"/>
  <c r="C236" i="35" s="1"/>
  <c r="B237" i="35" s="1"/>
  <c r="C237" i="35" s="1"/>
  <c r="B238" i="35" s="1"/>
  <c r="C238" i="35" s="1"/>
  <c r="B239" i="35" s="1"/>
  <c r="C239" i="35" s="1"/>
  <c r="B240" i="35" s="1"/>
  <c r="C240" i="35" s="1"/>
  <c r="B241" i="35" s="1"/>
  <c r="C241" i="35" s="1"/>
  <c r="B242" i="35" s="1"/>
  <c r="C242" i="35" s="1"/>
  <c r="B243" i="35" s="1"/>
  <c r="C243" i="35" s="1"/>
  <c r="B244" i="35" s="1"/>
  <c r="C244" i="35" s="1"/>
  <c r="B245" i="35" s="1"/>
  <c r="C245" i="35" s="1"/>
  <c r="B246" i="35" s="1"/>
  <c r="C246" i="35" s="1"/>
  <c r="B247" i="35" s="1"/>
  <c r="C247" i="35" s="1"/>
  <c r="B248" i="35" s="1"/>
  <c r="C248" i="35" s="1"/>
  <c r="B249" i="35" s="1"/>
  <c r="C249" i="35" s="1"/>
  <c r="B250" i="35" s="1"/>
  <c r="C250" i="35" s="1"/>
  <c r="B251" i="35" s="1"/>
  <c r="C251" i="35" s="1"/>
  <c r="B252" i="35" s="1"/>
  <c r="C252" i="35" s="1"/>
  <c r="B253" i="35" s="1"/>
  <c r="C253" i="35" s="1"/>
  <c r="B254" i="35" s="1"/>
  <c r="C254" i="35" s="1"/>
  <c r="B255" i="35" s="1"/>
  <c r="C255" i="35" s="1"/>
  <c r="B256" i="35" s="1"/>
  <c r="C256" i="35" s="1"/>
  <c r="B257" i="35" s="1"/>
  <c r="C257" i="35" s="1"/>
  <c r="B258" i="35" s="1"/>
  <c r="C258" i="35" s="1"/>
  <c r="B259" i="35" s="1"/>
  <c r="C259" i="35" s="1"/>
  <c r="B260" i="35" s="1"/>
  <c r="C260" i="35" s="1"/>
  <c r="B261" i="35" s="1"/>
  <c r="C261" i="35" s="1"/>
  <c r="B262" i="35" s="1"/>
  <c r="C262" i="35" s="1"/>
  <c r="B263" i="35" s="1"/>
  <c r="C263" i="35" s="1"/>
  <c r="B264" i="35" s="1"/>
  <c r="C264" i="35" s="1"/>
  <c r="B265" i="35" s="1"/>
  <c r="C265" i="35" s="1"/>
  <c r="B266" i="35" s="1"/>
  <c r="C266" i="35" s="1"/>
  <c r="B267" i="35" s="1"/>
  <c r="C267" i="35" s="1"/>
  <c r="B268" i="35" s="1"/>
  <c r="C268" i="35" s="1"/>
  <c r="B269" i="35" s="1"/>
  <c r="C269" i="35" s="1"/>
  <c r="B270" i="35" s="1"/>
  <c r="C270" i="35" s="1"/>
  <c r="B271" i="35" s="1"/>
  <c r="C271" i="35" s="1"/>
  <c r="B272" i="35" s="1"/>
  <c r="C272" i="35" s="1"/>
  <c r="B273" i="35" s="1"/>
  <c r="C273" i="35" s="1"/>
  <c r="B274" i="35" s="1"/>
  <c r="C274" i="35" s="1"/>
  <c r="B275" i="35" s="1"/>
  <c r="C275" i="35" s="1"/>
  <c r="B276" i="35" s="1"/>
  <c r="C276" i="35" s="1"/>
  <c r="B277" i="35" s="1"/>
  <c r="C277" i="35" s="1"/>
  <c r="B278" i="35" s="1"/>
  <c r="C278" i="35" s="1"/>
  <c r="B279" i="35" s="1"/>
  <c r="C279" i="35" s="1"/>
  <c r="B280" i="35" s="1"/>
  <c r="C280" i="35" s="1"/>
  <c r="B281" i="35" s="1"/>
  <c r="C281" i="35" s="1"/>
  <c r="B282" i="35" s="1"/>
  <c r="C282" i="35" s="1"/>
  <c r="B283" i="35" s="1"/>
  <c r="C283" i="35" s="1"/>
  <c r="B284" i="35" s="1"/>
  <c r="C284" i="35" s="1"/>
  <c r="B285" i="35" s="1"/>
  <c r="C285" i="35" s="1"/>
  <c r="B286" i="35" s="1"/>
  <c r="C286" i="35" s="1"/>
  <c r="B287" i="35" s="1"/>
  <c r="C287" i="35" s="1"/>
  <c r="B288" i="35" s="1"/>
  <c r="C288" i="35" s="1"/>
  <c r="B289" i="35" s="1"/>
  <c r="C289" i="35" s="1"/>
  <c r="B290" i="35" s="1"/>
  <c r="C290" i="35" s="1"/>
  <c r="B291" i="35" s="1"/>
  <c r="C291" i="35" s="1"/>
  <c r="B292" i="35" s="1"/>
  <c r="C292" i="35" s="1"/>
  <c r="B293" i="35" s="1"/>
  <c r="C293" i="35" s="1"/>
  <c r="B294" i="35" s="1"/>
  <c r="C294" i="35" s="1"/>
  <c r="B295" i="35" s="1"/>
  <c r="C295" i="35" s="1"/>
  <c r="B296" i="35" s="1"/>
  <c r="C296" i="35" s="1"/>
  <c r="B297" i="35" s="1"/>
  <c r="C297" i="35" s="1"/>
  <c r="B298" i="35" s="1"/>
  <c r="C298" i="35" s="1"/>
  <c r="B299" i="35" s="1"/>
  <c r="C299" i="35" s="1"/>
  <c r="B300" i="35" s="1"/>
  <c r="C300" i="35" s="1"/>
  <c r="B301" i="35" s="1"/>
  <c r="C301" i="35" s="1"/>
  <c r="B302" i="35" s="1"/>
  <c r="C302" i="35" s="1"/>
  <c r="B303" i="35" s="1"/>
  <c r="C303" i="35" s="1"/>
  <c r="B304" i="35" s="1"/>
  <c r="C304" i="35" s="1"/>
  <c r="B305" i="35" s="1"/>
  <c r="C305" i="35" s="1"/>
  <c r="B306" i="35" s="1"/>
  <c r="C306" i="35" s="1"/>
  <c r="B307" i="35" s="1"/>
  <c r="C307" i="35" s="1"/>
  <c r="B308" i="35" s="1"/>
  <c r="C308" i="35" s="1"/>
  <c r="B309" i="35" s="1"/>
  <c r="C309" i="35" s="1"/>
  <c r="B310" i="35" s="1"/>
  <c r="C310" i="35" s="1"/>
  <c r="B311" i="35" s="1"/>
  <c r="C311" i="35" s="1"/>
  <c r="B312" i="35" s="1"/>
  <c r="C312" i="35" s="1"/>
  <c r="B313" i="35" s="1"/>
  <c r="C313" i="35" s="1"/>
  <c r="B314" i="35" s="1"/>
  <c r="C314" i="35" s="1"/>
  <c r="B315" i="35" s="1"/>
  <c r="C315" i="35" s="1"/>
  <c r="B316" i="35" s="1"/>
  <c r="C316" i="35" s="1"/>
  <c r="B317" i="35" s="1"/>
  <c r="C317" i="35" s="1"/>
  <c r="B318" i="35" s="1"/>
  <c r="C318" i="35" s="1"/>
  <c r="B319" i="35" s="1"/>
  <c r="C319" i="35" s="1"/>
  <c r="B320" i="35" s="1"/>
  <c r="C320" i="35" s="1"/>
  <c r="B321" i="35" s="1"/>
  <c r="C321" i="35" s="1"/>
  <c r="B322" i="35" s="1"/>
  <c r="C322" i="35" s="1"/>
  <c r="B323" i="35" s="1"/>
  <c r="C323" i="35" s="1"/>
  <c r="B324" i="35" s="1"/>
  <c r="C324" i="35" s="1"/>
  <c r="B325" i="35" s="1"/>
  <c r="C325" i="35" s="1"/>
  <c r="B326" i="35" s="1"/>
  <c r="C326" i="35" s="1"/>
  <c r="B327" i="35" s="1"/>
  <c r="C327" i="35" s="1"/>
  <c r="B328" i="35" s="1"/>
  <c r="C328" i="35" s="1"/>
  <c r="B329" i="35" s="1"/>
  <c r="C329" i="35" s="1"/>
  <c r="B330" i="35" s="1"/>
  <c r="C330" i="35" s="1"/>
  <c r="B331" i="35" s="1"/>
  <c r="C331" i="35" s="1"/>
  <c r="B332" i="35" s="1"/>
  <c r="C332" i="35" s="1"/>
  <c r="B333" i="35" s="1"/>
  <c r="C333" i="35" s="1"/>
  <c r="B334" i="35" s="1"/>
  <c r="C334" i="35" s="1"/>
  <c r="B335" i="35" s="1"/>
  <c r="C335" i="35" s="1"/>
  <c r="B336" i="35" s="1"/>
  <c r="C336" i="35" s="1"/>
  <c r="B337" i="35" s="1"/>
  <c r="C337" i="35" s="1"/>
  <c r="B338" i="35" s="1"/>
  <c r="C338" i="35" s="1"/>
  <c r="B339" i="35" s="1"/>
  <c r="C339" i="35" s="1"/>
  <c r="B340" i="35" s="1"/>
  <c r="C340" i="35" s="1"/>
  <c r="B341" i="35" s="1"/>
  <c r="C341" i="35" s="1"/>
  <c r="B342" i="35" s="1"/>
  <c r="C342" i="35" s="1"/>
  <c r="B343" i="35" s="1"/>
  <c r="C343" i="35" s="1"/>
  <c r="B344" i="35" s="1"/>
  <c r="C344" i="35" s="1"/>
  <c r="B345" i="35" s="1"/>
  <c r="C345" i="35" s="1"/>
  <c r="B346" i="35" s="1"/>
  <c r="C346" i="35" s="1"/>
  <c r="B347" i="35" s="1"/>
  <c r="C347" i="35" s="1"/>
  <c r="B348" i="35" s="1"/>
  <c r="C348" i="35" s="1"/>
  <c r="B349" i="35" s="1"/>
  <c r="C349" i="35" s="1"/>
  <c r="B350" i="35" s="1"/>
  <c r="C350" i="35" s="1"/>
  <c r="B351" i="35" s="1"/>
  <c r="C351" i="35" s="1"/>
  <c r="B352" i="35" s="1"/>
  <c r="C352" i="35" s="1"/>
  <c r="B353" i="35" s="1"/>
  <c r="C353" i="35" s="1"/>
  <c r="B354" i="35" s="1"/>
  <c r="C354" i="35" s="1"/>
  <c r="B355" i="35" s="1"/>
  <c r="C355" i="35" s="1"/>
  <c r="B356" i="35" s="1"/>
  <c r="C356" i="35" s="1"/>
  <c r="B357" i="35" s="1"/>
  <c r="C357" i="35" s="1"/>
  <c r="B358" i="35" s="1"/>
  <c r="C358" i="35" s="1"/>
  <c r="B359" i="35" s="1"/>
  <c r="C359" i="35" s="1"/>
  <c r="B360" i="35" s="1"/>
  <c r="C360" i="35" s="1"/>
  <c r="A3" i="35"/>
  <c r="M360" i="35" l="1"/>
  <c r="I360" i="35"/>
  <c r="M359" i="35"/>
  <c r="I359" i="35"/>
  <c r="M358" i="35"/>
  <c r="I358" i="35"/>
  <c r="M357" i="35"/>
  <c r="I357" i="35"/>
  <c r="M356" i="35"/>
  <c r="I356" i="35"/>
  <c r="M355" i="35"/>
  <c r="I355" i="35"/>
  <c r="M354" i="35"/>
  <c r="I354" i="35"/>
  <c r="M353" i="35"/>
  <c r="I353" i="35"/>
  <c r="M352" i="35"/>
  <c r="I352" i="35"/>
  <c r="M351" i="35"/>
  <c r="I351" i="35"/>
  <c r="M350" i="35"/>
  <c r="I350" i="35"/>
  <c r="M349" i="35"/>
  <c r="I349" i="35"/>
  <c r="M348" i="35"/>
  <c r="I348" i="35"/>
  <c r="M347" i="35"/>
  <c r="I347" i="35"/>
  <c r="M346" i="35"/>
  <c r="I346" i="35"/>
  <c r="M345" i="35"/>
  <c r="I345" i="35"/>
  <c r="M344" i="35"/>
  <c r="I344" i="35"/>
  <c r="M343" i="35"/>
  <c r="I343" i="35"/>
  <c r="M342" i="35"/>
  <c r="I342" i="35"/>
  <c r="M341" i="35"/>
  <c r="I341" i="35"/>
  <c r="M340" i="35"/>
  <c r="I340" i="35"/>
  <c r="M339" i="35"/>
  <c r="I339" i="35"/>
  <c r="M338" i="35"/>
  <c r="I338" i="35"/>
  <c r="M337" i="35"/>
  <c r="I337" i="35"/>
  <c r="M336" i="35"/>
  <c r="I336" i="35"/>
  <c r="M335" i="35"/>
  <c r="I335" i="35"/>
  <c r="M334" i="35"/>
  <c r="I334" i="35"/>
  <c r="M333" i="35"/>
  <c r="I333" i="35"/>
  <c r="M332" i="35"/>
  <c r="I332" i="35"/>
  <c r="M331" i="35"/>
  <c r="I331" i="35"/>
  <c r="M330" i="35"/>
  <c r="I330" i="35"/>
  <c r="M329" i="35"/>
  <c r="I329" i="35"/>
  <c r="M328" i="35"/>
  <c r="I328" i="35"/>
  <c r="M327" i="35"/>
  <c r="I327" i="35"/>
  <c r="M326" i="35"/>
  <c r="I326" i="35"/>
  <c r="M325" i="35"/>
  <c r="I325" i="35"/>
  <c r="M324" i="35"/>
  <c r="I324" i="35"/>
  <c r="M323" i="35"/>
  <c r="I323" i="35"/>
  <c r="M322" i="35"/>
  <c r="I322" i="35"/>
  <c r="M321" i="35"/>
  <c r="I321" i="35"/>
  <c r="M320" i="35"/>
  <c r="I320" i="35"/>
  <c r="M319" i="35"/>
  <c r="I319" i="35"/>
  <c r="M318" i="35"/>
  <c r="I318" i="35"/>
  <c r="M317" i="35"/>
  <c r="I317" i="35"/>
  <c r="M316" i="35"/>
  <c r="I316" i="35"/>
  <c r="M315" i="35"/>
  <c r="I315" i="35"/>
  <c r="M314" i="35"/>
  <c r="I314" i="35"/>
  <c r="M313" i="35"/>
  <c r="I313" i="35"/>
  <c r="M312" i="35"/>
  <c r="I312" i="35"/>
  <c r="M311" i="35"/>
  <c r="I311" i="35"/>
  <c r="M310" i="35"/>
  <c r="I310" i="35"/>
  <c r="M309" i="35"/>
  <c r="I309" i="35"/>
  <c r="M308" i="35"/>
  <c r="I308" i="35"/>
  <c r="M307" i="35"/>
  <c r="I307" i="35"/>
  <c r="M306" i="35"/>
  <c r="I306" i="35"/>
  <c r="M305" i="35"/>
  <c r="I305" i="35"/>
  <c r="M304" i="35"/>
  <c r="I304" i="35"/>
  <c r="M303" i="35"/>
  <c r="I303" i="35"/>
  <c r="M302" i="35"/>
  <c r="I302" i="35"/>
  <c r="M301" i="35"/>
  <c r="I301" i="35"/>
  <c r="M300" i="35"/>
  <c r="I300" i="35"/>
  <c r="M299" i="35"/>
  <c r="I299" i="35"/>
  <c r="M298" i="35"/>
  <c r="I298" i="35"/>
  <c r="M297" i="35"/>
  <c r="I297" i="35"/>
  <c r="M296" i="35"/>
  <c r="I296" i="35"/>
  <c r="M295" i="35"/>
  <c r="I295" i="35"/>
  <c r="M294" i="35"/>
  <c r="I294" i="35"/>
  <c r="M293" i="35"/>
  <c r="I293" i="35"/>
  <c r="M292" i="35"/>
  <c r="I292" i="35"/>
  <c r="M291" i="35"/>
  <c r="I291" i="35"/>
  <c r="M290" i="35"/>
  <c r="I290" i="35"/>
  <c r="M289" i="35"/>
  <c r="I289" i="35"/>
  <c r="M288" i="35"/>
  <c r="I288" i="35"/>
  <c r="M287" i="35"/>
  <c r="I287" i="35"/>
  <c r="M286" i="35"/>
  <c r="I286" i="35"/>
  <c r="M285" i="35"/>
  <c r="I285" i="35"/>
  <c r="I284" i="35"/>
  <c r="M281" i="35"/>
  <c r="I280" i="35"/>
  <c r="M284" i="35"/>
  <c r="I283" i="35"/>
  <c r="M280" i="35"/>
  <c r="M283" i="35"/>
  <c r="I282" i="35"/>
  <c r="M282" i="35"/>
  <c r="I281" i="35"/>
  <c r="M279" i="35"/>
  <c r="I279" i="35"/>
  <c r="M278" i="35"/>
  <c r="I278" i="35"/>
  <c r="M277" i="35"/>
  <c r="I277" i="35"/>
  <c r="M276" i="35"/>
  <c r="I276" i="35"/>
  <c r="M275" i="35"/>
  <c r="I275" i="35"/>
  <c r="M274" i="35"/>
  <c r="I274" i="35"/>
  <c r="M273" i="35"/>
  <c r="I273" i="35"/>
  <c r="M272" i="35"/>
  <c r="I272" i="35"/>
  <c r="M271" i="35"/>
  <c r="I271" i="35"/>
  <c r="M270" i="35"/>
  <c r="I270" i="35"/>
  <c r="M269" i="35"/>
  <c r="I269" i="35"/>
  <c r="M268" i="35"/>
  <c r="I268" i="35"/>
  <c r="M267" i="35"/>
  <c r="I267" i="35"/>
  <c r="M266" i="35"/>
  <c r="I266" i="35"/>
  <c r="M265" i="35"/>
  <c r="I265" i="35"/>
  <c r="M264" i="35"/>
  <c r="I264" i="35"/>
  <c r="M263" i="35"/>
  <c r="I263" i="35"/>
  <c r="M262" i="35"/>
  <c r="I262" i="35"/>
  <c r="M261" i="35"/>
  <c r="I261" i="35"/>
  <c r="M260" i="35"/>
  <c r="I260" i="35"/>
  <c r="M259" i="35"/>
  <c r="I259" i="35"/>
  <c r="M258" i="35"/>
  <c r="I258" i="35"/>
  <c r="M257" i="35"/>
  <c r="I257" i="35"/>
  <c r="M256" i="35"/>
  <c r="I256" i="35"/>
  <c r="M255" i="35"/>
  <c r="I255" i="35"/>
  <c r="M254" i="35"/>
  <c r="I253" i="35"/>
  <c r="M250" i="35"/>
  <c r="I249" i="35"/>
  <c r="M253" i="35"/>
  <c r="I252" i="35"/>
  <c r="M249" i="35"/>
  <c r="I248" i="35"/>
  <c r="M252" i="35"/>
  <c r="I251" i="35"/>
  <c r="M248" i="35"/>
  <c r="I247" i="35"/>
  <c r="M246" i="35"/>
  <c r="I246" i="35"/>
  <c r="M245" i="35"/>
  <c r="I245" i="35"/>
  <c r="M244" i="35"/>
  <c r="I244" i="35"/>
  <c r="M243" i="35"/>
  <c r="I243" i="35"/>
  <c r="M242" i="35"/>
  <c r="I242" i="35"/>
  <c r="M241" i="35"/>
  <c r="I241" i="35"/>
  <c r="M240" i="35"/>
  <c r="I240" i="35"/>
  <c r="M239" i="35"/>
  <c r="I239" i="35"/>
  <c r="M238" i="35"/>
  <c r="I238" i="35"/>
  <c r="M237" i="35"/>
  <c r="I237" i="35"/>
  <c r="M236" i="35"/>
  <c r="I236" i="35"/>
  <c r="M235" i="35"/>
  <c r="I235" i="35"/>
  <c r="M234" i="35"/>
  <c r="I234" i="35"/>
  <c r="M233" i="35"/>
  <c r="I233" i="35"/>
  <c r="M232" i="35"/>
  <c r="I232" i="35"/>
  <c r="M231" i="35"/>
  <c r="I231" i="35"/>
  <c r="M230" i="35"/>
  <c r="I230" i="35"/>
  <c r="M229" i="35"/>
  <c r="I229" i="35"/>
  <c r="M228" i="35"/>
  <c r="I228" i="35"/>
  <c r="M227" i="35"/>
  <c r="I227" i="35"/>
  <c r="M226" i="35"/>
  <c r="I226" i="35"/>
  <c r="M225" i="35"/>
  <c r="I225" i="35"/>
  <c r="M224" i="35"/>
  <c r="I224" i="35"/>
  <c r="M223" i="35"/>
  <c r="I223" i="35"/>
  <c r="M222" i="35"/>
  <c r="I222" i="35"/>
  <c r="M221" i="35"/>
  <c r="I221" i="35"/>
  <c r="M220" i="35"/>
  <c r="I220" i="35"/>
  <c r="M219" i="35"/>
  <c r="I219" i="35"/>
  <c r="M218" i="35"/>
  <c r="I218" i="35"/>
  <c r="M217" i="35"/>
  <c r="I217" i="35"/>
  <c r="M216" i="35"/>
  <c r="I216" i="35"/>
  <c r="M215" i="35"/>
  <c r="I215" i="35"/>
  <c r="M214" i="35"/>
  <c r="I214" i="35"/>
  <c r="M213" i="35"/>
  <c r="I213" i="35"/>
  <c r="M212" i="35"/>
  <c r="I212" i="35"/>
  <c r="M211" i="35"/>
  <c r="I211" i="35"/>
  <c r="M210" i="35"/>
  <c r="I210" i="35"/>
  <c r="M209" i="35"/>
  <c r="I209" i="35"/>
  <c r="M208" i="35"/>
  <c r="I208" i="35"/>
  <c r="I254" i="35"/>
  <c r="M251" i="35"/>
  <c r="I250" i="35"/>
  <c r="M247" i="35"/>
  <c r="M206" i="35"/>
  <c r="I205" i="35"/>
  <c r="M202" i="35"/>
  <c r="I201" i="35"/>
  <c r="M198" i="35"/>
  <c r="I197" i="35"/>
  <c r="M196" i="35"/>
  <c r="I196" i="35"/>
  <c r="M195" i="35"/>
  <c r="I195" i="35"/>
  <c r="M194" i="35"/>
  <c r="I194" i="35"/>
  <c r="M193" i="35"/>
  <c r="I193" i="35"/>
  <c r="M192" i="35"/>
  <c r="I192" i="35"/>
  <c r="M191" i="35"/>
  <c r="I191" i="35"/>
  <c r="M190" i="35"/>
  <c r="I190" i="35"/>
  <c r="M189" i="35"/>
  <c r="I189" i="35"/>
  <c r="M188" i="35"/>
  <c r="I188" i="35"/>
  <c r="M187" i="35"/>
  <c r="I187" i="35"/>
  <c r="M186" i="35"/>
  <c r="I186" i="35"/>
  <c r="M185" i="35"/>
  <c r="I185" i="35"/>
  <c r="M184" i="35"/>
  <c r="I184" i="35"/>
  <c r="M183" i="35"/>
  <c r="I183" i="35"/>
  <c r="M182" i="35"/>
  <c r="I182" i="35"/>
  <c r="M181" i="35"/>
  <c r="I181" i="35"/>
  <c r="M180" i="35"/>
  <c r="I180" i="35"/>
  <c r="M179" i="35"/>
  <c r="I179" i="35"/>
  <c r="M178" i="35"/>
  <c r="I178" i="35"/>
  <c r="M177" i="35"/>
  <c r="I177" i="35"/>
  <c r="M176" i="35"/>
  <c r="I176" i="35"/>
  <c r="M175" i="35"/>
  <c r="I175" i="35"/>
  <c r="M174" i="35"/>
  <c r="I174" i="35"/>
  <c r="M173" i="35"/>
  <c r="I173" i="35"/>
  <c r="M172" i="35"/>
  <c r="I172" i="35"/>
  <c r="M171" i="35"/>
  <c r="I171" i="35"/>
  <c r="M170" i="35"/>
  <c r="I170" i="35"/>
  <c r="M169" i="35"/>
  <c r="I169" i="35"/>
  <c r="M168" i="35"/>
  <c r="I168" i="35"/>
  <c r="M167" i="35"/>
  <c r="I167" i="35"/>
  <c r="M166" i="35"/>
  <c r="I166" i="35"/>
  <c r="M165" i="35"/>
  <c r="I165" i="35"/>
  <c r="M164" i="35"/>
  <c r="I164" i="35"/>
  <c r="M163" i="35"/>
  <c r="I163" i="35"/>
  <c r="M162" i="35"/>
  <c r="I162" i="35"/>
  <c r="M161" i="35"/>
  <c r="I161" i="35"/>
  <c r="M160" i="35"/>
  <c r="I160" i="35"/>
  <c r="M159" i="35"/>
  <c r="I159" i="35"/>
  <c r="M158" i="35"/>
  <c r="I158" i="35"/>
  <c r="M157" i="35"/>
  <c r="I157" i="35"/>
  <c r="M156" i="35"/>
  <c r="I156" i="35"/>
  <c r="M155" i="35"/>
  <c r="I155" i="35"/>
  <c r="M154" i="35"/>
  <c r="I154" i="35"/>
  <c r="M153" i="35"/>
  <c r="I153" i="35"/>
  <c r="M152" i="35"/>
  <c r="I152" i="35"/>
  <c r="M151" i="35"/>
  <c r="I151" i="35"/>
  <c r="M150" i="35"/>
  <c r="I150" i="35"/>
  <c r="M149" i="35"/>
  <c r="I149" i="35"/>
  <c r="M148" i="35"/>
  <c r="I148" i="35"/>
  <c r="M147" i="35"/>
  <c r="I147" i="35"/>
  <c r="M146" i="35"/>
  <c r="I146" i="35"/>
  <c r="M145" i="35"/>
  <c r="I145" i="35"/>
  <c r="M144" i="35"/>
  <c r="I144" i="35"/>
  <c r="M143" i="35"/>
  <c r="I143" i="35"/>
  <c r="M142" i="35"/>
  <c r="I142" i="35"/>
  <c r="M141" i="35"/>
  <c r="I141" i="35"/>
  <c r="M205" i="35"/>
  <c r="I204" i="35"/>
  <c r="M201" i="35"/>
  <c r="I200" i="35"/>
  <c r="M197" i="35"/>
  <c r="I207" i="35"/>
  <c r="M204" i="35"/>
  <c r="I203" i="35"/>
  <c r="M200" i="35"/>
  <c r="I199" i="35"/>
  <c r="M207" i="35"/>
  <c r="I206" i="35"/>
  <c r="M203" i="35"/>
  <c r="I202" i="35"/>
  <c r="M199" i="35"/>
  <c r="I198" i="35"/>
  <c r="M123" i="35"/>
  <c r="I123" i="35"/>
  <c r="M121" i="35"/>
  <c r="I121" i="35"/>
  <c r="M119" i="35"/>
  <c r="I119" i="35"/>
  <c r="M117" i="35"/>
  <c r="I117" i="35"/>
  <c r="M115" i="35"/>
  <c r="I115" i="35"/>
  <c r="M113" i="35"/>
  <c r="I113" i="35"/>
  <c r="M111" i="35"/>
  <c r="I111" i="35"/>
  <c r="M109" i="35"/>
  <c r="I109" i="35"/>
  <c r="M107" i="35"/>
  <c r="I107" i="35"/>
  <c r="M105" i="35"/>
  <c r="I105" i="35"/>
  <c r="M103" i="35"/>
  <c r="I103" i="35"/>
  <c r="M101" i="35"/>
  <c r="I101" i="35"/>
  <c r="M140" i="35"/>
  <c r="I140" i="35"/>
  <c r="M139" i="35"/>
  <c r="I139" i="35"/>
  <c r="M138" i="35"/>
  <c r="I138" i="35"/>
  <c r="M137" i="35"/>
  <c r="I137" i="35"/>
  <c r="M136" i="35"/>
  <c r="I136" i="35"/>
  <c r="M135" i="35"/>
  <c r="I135" i="35"/>
  <c r="M134" i="35"/>
  <c r="I134" i="35"/>
  <c r="M133" i="35"/>
  <c r="I133" i="35"/>
  <c r="M132" i="35"/>
  <c r="I132" i="35"/>
  <c r="M131" i="35"/>
  <c r="I131" i="35"/>
  <c r="M130" i="35"/>
  <c r="I130" i="35"/>
  <c r="M129" i="35"/>
  <c r="I129" i="35"/>
  <c r="M128" i="35"/>
  <c r="I128" i="35"/>
  <c r="M127" i="35"/>
  <c r="I127" i="35"/>
  <c r="M126" i="35"/>
  <c r="I126" i="35"/>
  <c r="M125" i="35"/>
  <c r="I125" i="35"/>
  <c r="M124" i="35"/>
  <c r="I124" i="35"/>
  <c r="M122" i="35"/>
  <c r="I122" i="35"/>
  <c r="M120" i="35"/>
  <c r="I120" i="35"/>
  <c r="M118" i="35"/>
  <c r="I118" i="35"/>
  <c r="M116" i="35"/>
  <c r="I116" i="35"/>
  <c r="M114" i="35"/>
  <c r="I114" i="35"/>
  <c r="M112" i="35"/>
  <c r="I112" i="35"/>
  <c r="M110" i="35"/>
  <c r="I110" i="35"/>
  <c r="M108" i="35"/>
  <c r="I108" i="35"/>
  <c r="M106" i="35"/>
  <c r="I106" i="35"/>
  <c r="M104" i="35"/>
  <c r="I104" i="35"/>
  <c r="M102" i="35"/>
  <c r="I102" i="35"/>
  <c r="M100" i="35"/>
  <c r="I100" i="35"/>
  <c r="M99" i="35"/>
  <c r="I99" i="35"/>
  <c r="M97" i="35"/>
  <c r="I97" i="35"/>
  <c r="M95" i="35"/>
  <c r="I95" i="35"/>
  <c r="M93" i="35"/>
  <c r="I93" i="35"/>
  <c r="M91" i="35"/>
  <c r="I91" i="35"/>
  <c r="M89" i="35"/>
  <c r="I89" i="35"/>
  <c r="M87" i="35"/>
  <c r="I87" i="35"/>
  <c r="M85" i="35"/>
  <c r="I85" i="35"/>
  <c r="M83" i="35"/>
  <c r="I83" i="35"/>
  <c r="M81" i="35"/>
  <c r="I81" i="35"/>
  <c r="M79" i="35"/>
  <c r="I79" i="35"/>
  <c r="M98" i="35"/>
  <c r="I98" i="35"/>
  <c r="M96" i="35"/>
  <c r="I96" i="35"/>
  <c r="M94" i="35"/>
  <c r="I94" i="35"/>
  <c r="M92" i="35"/>
  <c r="I92" i="35"/>
  <c r="M90" i="35"/>
  <c r="I90" i="35"/>
  <c r="M88" i="35"/>
  <c r="I88" i="35"/>
  <c r="M86" i="35"/>
  <c r="I86" i="35"/>
  <c r="M84" i="35"/>
  <c r="I84" i="35"/>
  <c r="M82" i="35"/>
  <c r="I82" i="35"/>
  <c r="M80" i="35"/>
  <c r="I80" i="35"/>
  <c r="M78" i="35"/>
  <c r="I78" i="35"/>
  <c r="M77" i="35"/>
  <c r="I77" i="35"/>
  <c r="M76" i="35"/>
  <c r="I76" i="35"/>
  <c r="M75" i="35"/>
  <c r="I75" i="35"/>
  <c r="M74" i="35"/>
  <c r="I74" i="35"/>
  <c r="M73" i="35"/>
  <c r="I73" i="35"/>
  <c r="M72" i="35"/>
  <c r="I72" i="35"/>
  <c r="M71" i="35"/>
  <c r="I71" i="35"/>
  <c r="M70" i="35"/>
  <c r="I70" i="35"/>
  <c r="M69" i="35"/>
  <c r="I69" i="35"/>
  <c r="M68" i="35"/>
  <c r="I68" i="35"/>
  <c r="M67" i="35"/>
  <c r="I67" i="35"/>
  <c r="M66" i="35"/>
  <c r="I66" i="35"/>
  <c r="M65" i="35"/>
  <c r="I65" i="35"/>
  <c r="M64" i="35"/>
  <c r="I64" i="35"/>
  <c r="M63" i="35"/>
  <c r="I63" i="35"/>
  <c r="M62" i="35"/>
  <c r="I62" i="35"/>
  <c r="M61" i="35"/>
  <c r="I61" i="35"/>
  <c r="M60" i="35"/>
  <c r="I60" i="35"/>
  <c r="M59" i="35"/>
  <c r="I59" i="35"/>
  <c r="M58" i="35"/>
  <c r="I58" i="35"/>
  <c r="M57" i="35"/>
  <c r="I57" i="35"/>
  <c r="M56" i="35"/>
  <c r="I56" i="35"/>
  <c r="M55" i="35"/>
  <c r="I55" i="35"/>
  <c r="M54" i="35"/>
  <c r="I54" i="35"/>
  <c r="M53" i="35"/>
  <c r="I53" i="35"/>
  <c r="M52" i="35"/>
  <c r="I52" i="35"/>
  <c r="M51" i="35"/>
  <c r="I51" i="35"/>
  <c r="M50" i="35"/>
  <c r="I8" i="35"/>
  <c r="M8" i="35"/>
  <c r="I9" i="35"/>
  <c r="M9" i="35"/>
  <c r="I10" i="35"/>
  <c r="M10" i="35"/>
  <c r="I11" i="35"/>
  <c r="M11" i="35"/>
  <c r="I12" i="35"/>
  <c r="M12" i="35"/>
  <c r="I13" i="35"/>
  <c r="M13" i="35"/>
  <c r="I14" i="35"/>
  <c r="M14" i="35"/>
  <c r="I15" i="35"/>
  <c r="M15" i="35"/>
  <c r="I16" i="35"/>
  <c r="M16" i="35"/>
  <c r="I17" i="35"/>
  <c r="M17" i="35"/>
  <c r="I18" i="35"/>
  <c r="M18" i="35"/>
  <c r="I19" i="35"/>
  <c r="M19" i="35"/>
  <c r="I20" i="35"/>
  <c r="M20" i="35"/>
  <c r="I21" i="35"/>
  <c r="M21" i="35"/>
  <c r="I22" i="35"/>
  <c r="M22" i="35"/>
  <c r="I23" i="35"/>
  <c r="M23" i="35"/>
  <c r="I24" i="35"/>
  <c r="M24" i="35"/>
  <c r="I25" i="35"/>
  <c r="M25" i="35"/>
  <c r="I26" i="35"/>
  <c r="M26" i="35"/>
  <c r="I27" i="35"/>
  <c r="M27" i="35"/>
  <c r="I28" i="35"/>
  <c r="M28" i="35"/>
  <c r="I29" i="35"/>
  <c r="M29" i="35"/>
  <c r="I30" i="35"/>
  <c r="M30" i="35"/>
  <c r="I31" i="35"/>
  <c r="M31" i="35"/>
  <c r="I32" i="35"/>
  <c r="M32" i="35"/>
  <c r="I33" i="35"/>
  <c r="M33" i="35"/>
  <c r="I34" i="35"/>
  <c r="M34" i="35"/>
  <c r="I35" i="35"/>
  <c r="M35" i="35"/>
  <c r="I36" i="35"/>
  <c r="M36" i="35"/>
  <c r="I37" i="35"/>
  <c r="M37" i="35"/>
  <c r="I38" i="35"/>
  <c r="M38" i="35"/>
  <c r="I39" i="35"/>
  <c r="M39" i="35"/>
  <c r="I40" i="35"/>
  <c r="M40" i="35"/>
  <c r="I41" i="35"/>
  <c r="M41" i="35"/>
  <c r="I42" i="35"/>
  <c r="M42" i="35"/>
  <c r="I43" i="35"/>
  <c r="M43" i="35"/>
  <c r="I44" i="35"/>
  <c r="M44" i="35"/>
  <c r="I45" i="35"/>
  <c r="M45" i="35"/>
  <c r="I46" i="35"/>
  <c r="M46" i="35"/>
  <c r="I47" i="35"/>
  <c r="M47" i="35"/>
  <c r="I48" i="35"/>
  <c r="M48" i="35"/>
  <c r="I49" i="35"/>
  <c r="M49" i="35"/>
  <c r="I50" i="35"/>
  <c r="D3" i="35"/>
  <c r="H3" i="35"/>
  <c r="I3" i="35"/>
  <c r="M3" i="35"/>
  <c r="O3" i="35"/>
  <c r="P3" i="35" s="1"/>
  <c r="I4" i="35"/>
  <c r="M4" i="35"/>
  <c r="I5" i="35"/>
  <c r="M5" i="35"/>
  <c r="I6" i="35"/>
  <c r="M6" i="35"/>
  <c r="I7" i="35"/>
  <c r="M7" i="35"/>
  <c r="Q99" i="35" l="1"/>
  <c r="R99" i="35" s="1"/>
  <c r="Q110" i="35"/>
  <c r="Q100" i="35"/>
  <c r="Q108" i="35"/>
  <c r="Q116" i="35"/>
  <c r="Q50" i="35"/>
  <c r="R50" i="35" s="1"/>
  <c r="Q48" i="35"/>
  <c r="R48" i="35" s="1"/>
  <c r="Q46" i="35"/>
  <c r="R46" i="35" s="1"/>
  <c r="Q44" i="35"/>
  <c r="R44" i="35" s="1"/>
  <c r="Q42" i="35"/>
  <c r="Q40" i="35"/>
  <c r="R40" i="35" s="1"/>
  <c r="Q38" i="35"/>
  <c r="R38" i="35" s="1"/>
  <c r="Q36" i="35"/>
  <c r="R36" i="35" s="1"/>
  <c r="Q34" i="35"/>
  <c r="Q32" i="35"/>
  <c r="R32" i="35" s="1"/>
  <c r="Q30" i="35"/>
  <c r="R30" i="35" s="1"/>
  <c r="Q28" i="35"/>
  <c r="R28" i="35" s="1"/>
  <c r="Q26" i="35"/>
  <c r="Q24" i="35"/>
  <c r="R24" i="35" s="1"/>
  <c r="Q22" i="35"/>
  <c r="R22" i="35" s="1"/>
  <c r="Q20" i="35"/>
  <c r="R20" i="35" s="1"/>
  <c r="Q18" i="35"/>
  <c r="Q16" i="35"/>
  <c r="R16" i="35" s="1"/>
  <c r="Q14" i="35"/>
  <c r="R14" i="35" s="1"/>
  <c r="Q12" i="35"/>
  <c r="Q10" i="35"/>
  <c r="R10" i="35" s="1"/>
  <c r="Q8" i="35"/>
  <c r="R8" i="35" s="1"/>
  <c r="U6" i="35"/>
  <c r="V6" i="35" s="1"/>
  <c r="L6" i="35"/>
  <c r="K6" i="35"/>
  <c r="J6" i="35"/>
  <c r="U4" i="35"/>
  <c r="V4" i="35" s="1"/>
  <c r="L4" i="35"/>
  <c r="K4" i="35"/>
  <c r="J4" i="35"/>
  <c r="Q81" i="35"/>
  <c r="Q85" i="35"/>
  <c r="R85" i="35" s="1"/>
  <c r="Q89" i="35"/>
  <c r="Q93" i="35"/>
  <c r="R93" i="35" s="1"/>
  <c r="Q97" i="35"/>
  <c r="R97" i="35" s="1"/>
  <c r="Q54" i="35"/>
  <c r="R54" i="35" s="1"/>
  <c r="Q56" i="35"/>
  <c r="R56" i="35" s="1"/>
  <c r="Q58" i="35"/>
  <c r="R58" i="35" s="1"/>
  <c r="Q60" i="35"/>
  <c r="R60" i="35" s="1"/>
  <c r="Q62" i="35"/>
  <c r="R62" i="35" s="1"/>
  <c r="Q64" i="35"/>
  <c r="R64" i="35" s="1"/>
  <c r="Q66" i="35"/>
  <c r="R66" i="35" s="1"/>
  <c r="Q68" i="35"/>
  <c r="R68" i="35" s="1"/>
  <c r="Q70" i="35"/>
  <c r="R70" i="35" s="1"/>
  <c r="Q72" i="35"/>
  <c r="R72" i="35" s="1"/>
  <c r="Q74" i="35"/>
  <c r="R74" i="35" s="1"/>
  <c r="Q76" i="35"/>
  <c r="Q78" i="35"/>
  <c r="R78" i="35" s="1"/>
  <c r="Q82" i="35"/>
  <c r="R82" i="35" s="1"/>
  <c r="Q86" i="35"/>
  <c r="R86" i="35" s="1"/>
  <c r="Q90" i="35"/>
  <c r="R90" i="35" s="1"/>
  <c r="Q94" i="35"/>
  <c r="R94" i="35" s="1"/>
  <c r="Q98" i="35"/>
  <c r="R98" i="35" s="1"/>
  <c r="Q101" i="35"/>
  <c r="R101" i="35" s="1"/>
  <c r="Q105" i="35"/>
  <c r="R105" i="35" s="1"/>
  <c r="Q109" i="35"/>
  <c r="R109" i="35" s="1"/>
  <c r="Q113" i="35"/>
  <c r="R113" i="35" s="1"/>
  <c r="Q117" i="35"/>
  <c r="Q121" i="35"/>
  <c r="R121" i="35" s="1"/>
  <c r="R100" i="35"/>
  <c r="R108" i="35"/>
  <c r="R116" i="35"/>
  <c r="K3" i="35"/>
  <c r="U3" i="35"/>
  <c r="V3" i="35" s="1"/>
  <c r="J3" i="35"/>
  <c r="L3" i="35"/>
  <c r="L254" i="35"/>
  <c r="K254" i="35"/>
  <c r="J254" i="35"/>
  <c r="K280" i="35"/>
  <c r="L280" i="35"/>
  <c r="J280" i="35"/>
  <c r="Q102" i="35"/>
  <c r="Q118" i="35"/>
  <c r="R118" i="35" s="1"/>
  <c r="Q7" i="35"/>
  <c r="R7" i="35" s="1"/>
  <c r="Q5" i="35"/>
  <c r="R5" i="35" s="1"/>
  <c r="Q52" i="35"/>
  <c r="R52" i="35" s="1"/>
  <c r="L50" i="35"/>
  <c r="U50" i="35"/>
  <c r="V50" i="35" s="1"/>
  <c r="K50" i="35"/>
  <c r="J50" i="35"/>
  <c r="U48" i="35"/>
  <c r="V48" i="35" s="1"/>
  <c r="L48" i="35"/>
  <c r="K48" i="35"/>
  <c r="J48" i="35"/>
  <c r="U46" i="35"/>
  <c r="V46" i="35" s="1"/>
  <c r="L46" i="35"/>
  <c r="K46" i="35"/>
  <c r="J46" i="35"/>
  <c r="U44" i="35"/>
  <c r="V44" i="35" s="1"/>
  <c r="L44" i="35"/>
  <c r="K44" i="35"/>
  <c r="J44" i="35"/>
  <c r="U42" i="35"/>
  <c r="V42" i="35" s="1"/>
  <c r="L42" i="35"/>
  <c r="K42" i="35"/>
  <c r="J42" i="35"/>
  <c r="U40" i="35"/>
  <c r="V40" i="35" s="1"/>
  <c r="L40" i="35"/>
  <c r="K40" i="35"/>
  <c r="J40" i="35"/>
  <c r="U38" i="35"/>
  <c r="V38" i="35" s="1"/>
  <c r="L38" i="35"/>
  <c r="K38" i="35"/>
  <c r="J38" i="35"/>
  <c r="U36" i="35"/>
  <c r="V36" i="35" s="1"/>
  <c r="L36" i="35"/>
  <c r="K36" i="35"/>
  <c r="J36" i="35"/>
  <c r="U34" i="35"/>
  <c r="V34" i="35" s="1"/>
  <c r="L34" i="35"/>
  <c r="K34" i="35"/>
  <c r="J34" i="35"/>
  <c r="U32" i="35"/>
  <c r="V32" i="35" s="1"/>
  <c r="L32" i="35"/>
  <c r="K32" i="35"/>
  <c r="J32" i="35"/>
  <c r="U30" i="35"/>
  <c r="V30" i="35" s="1"/>
  <c r="L30" i="35"/>
  <c r="K30" i="35"/>
  <c r="J30" i="35"/>
  <c r="U28" i="35"/>
  <c r="V28" i="35" s="1"/>
  <c r="L28" i="35"/>
  <c r="K28" i="35"/>
  <c r="J28" i="35"/>
  <c r="U26" i="35"/>
  <c r="V26" i="35" s="1"/>
  <c r="L26" i="35"/>
  <c r="K26" i="35"/>
  <c r="J26" i="35"/>
  <c r="U24" i="35"/>
  <c r="V24" i="35" s="1"/>
  <c r="L24" i="35"/>
  <c r="K24" i="35"/>
  <c r="J24" i="35"/>
  <c r="U22" i="35"/>
  <c r="V22" i="35" s="1"/>
  <c r="L22" i="35"/>
  <c r="K22" i="35"/>
  <c r="J22" i="35"/>
  <c r="U20" i="35"/>
  <c r="V20" i="35" s="1"/>
  <c r="L20" i="35"/>
  <c r="K20" i="35"/>
  <c r="J20" i="35"/>
  <c r="U18" i="35"/>
  <c r="V18" i="35" s="1"/>
  <c r="L18" i="35"/>
  <c r="K18" i="35"/>
  <c r="J18" i="35"/>
  <c r="U16" i="35"/>
  <c r="V16" i="35" s="1"/>
  <c r="L16" i="35"/>
  <c r="K16" i="35"/>
  <c r="J16" i="35"/>
  <c r="U14" i="35"/>
  <c r="V14" i="35" s="1"/>
  <c r="L14" i="35"/>
  <c r="K14" i="35"/>
  <c r="J14" i="35"/>
  <c r="U12" i="35"/>
  <c r="V12" i="35" s="1"/>
  <c r="L12" i="35"/>
  <c r="K12" i="35"/>
  <c r="J12" i="35"/>
  <c r="U10" i="35"/>
  <c r="V10" i="35" s="1"/>
  <c r="L10" i="35"/>
  <c r="K10" i="35"/>
  <c r="J10" i="35"/>
  <c r="U8" i="35"/>
  <c r="V8" i="35" s="1"/>
  <c r="L8" i="35"/>
  <c r="K8" i="35"/>
  <c r="J8" i="35"/>
  <c r="U52" i="35"/>
  <c r="V52" i="35" s="1"/>
  <c r="L52" i="35"/>
  <c r="K52" i="35"/>
  <c r="J52" i="35"/>
  <c r="U54" i="35"/>
  <c r="V54" i="35" s="1"/>
  <c r="L54" i="35"/>
  <c r="K54" i="35"/>
  <c r="J54" i="35"/>
  <c r="U56" i="35"/>
  <c r="V56" i="35" s="1"/>
  <c r="L56" i="35"/>
  <c r="K56" i="35"/>
  <c r="J56" i="35"/>
  <c r="U58" i="35"/>
  <c r="V58" i="35" s="1"/>
  <c r="L58" i="35"/>
  <c r="K58" i="35"/>
  <c r="J58" i="35"/>
  <c r="U60" i="35"/>
  <c r="V60" i="35" s="1"/>
  <c r="L60" i="35"/>
  <c r="K60" i="35"/>
  <c r="J60" i="35"/>
  <c r="U62" i="35"/>
  <c r="V62" i="35" s="1"/>
  <c r="L62" i="35"/>
  <c r="K62" i="35"/>
  <c r="J62" i="35"/>
  <c r="U64" i="35"/>
  <c r="V64" i="35" s="1"/>
  <c r="L64" i="35"/>
  <c r="K64" i="35"/>
  <c r="J64" i="35"/>
  <c r="U66" i="35"/>
  <c r="V66" i="35" s="1"/>
  <c r="L66" i="35"/>
  <c r="K66" i="35"/>
  <c r="J66" i="35"/>
  <c r="U68" i="35"/>
  <c r="V68" i="35" s="1"/>
  <c r="L68" i="35"/>
  <c r="K68" i="35"/>
  <c r="J68" i="35"/>
  <c r="U70" i="35"/>
  <c r="V70" i="35" s="1"/>
  <c r="L70" i="35"/>
  <c r="K70" i="35"/>
  <c r="J70" i="35"/>
  <c r="U72" i="35"/>
  <c r="V72" i="35" s="1"/>
  <c r="L72" i="35"/>
  <c r="K72" i="35"/>
  <c r="J72" i="35"/>
  <c r="U74" i="35"/>
  <c r="V74" i="35" s="1"/>
  <c r="L74" i="35"/>
  <c r="K74" i="35"/>
  <c r="J74" i="35"/>
  <c r="U76" i="35"/>
  <c r="V76" i="35" s="1"/>
  <c r="L76" i="35"/>
  <c r="K76" i="35"/>
  <c r="J76" i="35"/>
  <c r="L78" i="35"/>
  <c r="K78" i="35"/>
  <c r="J78" i="35"/>
  <c r="L82" i="35"/>
  <c r="K82" i="35"/>
  <c r="J82" i="35"/>
  <c r="L86" i="35"/>
  <c r="K86" i="35"/>
  <c r="J86" i="35"/>
  <c r="L90" i="35"/>
  <c r="K90" i="35"/>
  <c r="J90" i="35"/>
  <c r="L94" i="35"/>
  <c r="K94" i="35"/>
  <c r="J94" i="35"/>
  <c r="L98" i="35"/>
  <c r="K98" i="35"/>
  <c r="J98" i="35"/>
  <c r="J81" i="35"/>
  <c r="L81" i="35"/>
  <c r="K81" i="35"/>
  <c r="J85" i="35"/>
  <c r="L85" i="35"/>
  <c r="K85" i="35"/>
  <c r="J89" i="35"/>
  <c r="L89" i="35"/>
  <c r="K89" i="35"/>
  <c r="J93" i="35"/>
  <c r="L93" i="35"/>
  <c r="K93" i="35"/>
  <c r="J97" i="35"/>
  <c r="L97" i="35"/>
  <c r="K97" i="35"/>
  <c r="L100" i="35"/>
  <c r="K100" i="35"/>
  <c r="J100" i="35"/>
  <c r="L104" i="35"/>
  <c r="K104" i="35"/>
  <c r="J104" i="35"/>
  <c r="L108" i="35"/>
  <c r="K108" i="35"/>
  <c r="J108" i="35"/>
  <c r="L112" i="35"/>
  <c r="K112" i="35"/>
  <c r="J112" i="35"/>
  <c r="L116" i="35"/>
  <c r="K116" i="35"/>
  <c r="J116" i="35"/>
  <c r="L120" i="35"/>
  <c r="K120" i="35"/>
  <c r="J120" i="35"/>
  <c r="L124" i="35"/>
  <c r="K124" i="35"/>
  <c r="J124" i="35"/>
  <c r="L126" i="35"/>
  <c r="K126" i="35"/>
  <c r="J126" i="35"/>
  <c r="L128" i="35"/>
  <c r="K128" i="35"/>
  <c r="J128" i="35"/>
  <c r="L130" i="35"/>
  <c r="K130" i="35"/>
  <c r="J130" i="35"/>
  <c r="L132" i="35"/>
  <c r="K132" i="35"/>
  <c r="J132" i="35"/>
  <c r="L134" i="35"/>
  <c r="K134" i="35"/>
  <c r="J134" i="35"/>
  <c r="L136" i="35"/>
  <c r="K136" i="35"/>
  <c r="J136" i="35"/>
  <c r="L138" i="35"/>
  <c r="K138" i="35"/>
  <c r="J138" i="35"/>
  <c r="L140" i="35"/>
  <c r="K140" i="35"/>
  <c r="J140" i="35"/>
  <c r="J103" i="35"/>
  <c r="L103" i="35"/>
  <c r="K103" i="35"/>
  <c r="J107" i="35"/>
  <c r="L107" i="35"/>
  <c r="K107" i="35"/>
  <c r="J111" i="35"/>
  <c r="L111" i="35"/>
  <c r="K111" i="35"/>
  <c r="J115" i="35"/>
  <c r="L115" i="35"/>
  <c r="K115" i="35"/>
  <c r="J119" i="35"/>
  <c r="L119" i="35"/>
  <c r="K119" i="35"/>
  <c r="J123" i="35"/>
  <c r="L123" i="35"/>
  <c r="K123" i="35"/>
  <c r="K202" i="35"/>
  <c r="L202" i="35"/>
  <c r="J202" i="35"/>
  <c r="K199" i="35"/>
  <c r="L199" i="35"/>
  <c r="J199" i="35"/>
  <c r="K207" i="35"/>
  <c r="L207" i="35"/>
  <c r="J207" i="35"/>
  <c r="K204" i="35"/>
  <c r="J204" i="35"/>
  <c r="L204" i="35"/>
  <c r="L142" i="35"/>
  <c r="K142" i="35"/>
  <c r="J142" i="35"/>
  <c r="K144" i="35"/>
  <c r="J144" i="35"/>
  <c r="L144" i="35"/>
  <c r="L146" i="35"/>
  <c r="K146" i="35"/>
  <c r="J146" i="35"/>
  <c r="K148" i="35"/>
  <c r="J148" i="35"/>
  <c r="L148" i="35"/>
  <c r="K150" i="35"/>
  <c r="L150" i="35"/>
  <c r="J150" i="35"/>
  <c r="K152" i="35"/>
  <c r="L152" i="35"/>
  <c r="J152" i="35"/>
  <c r="K154" i="35"/>
  <c r="L154" i="35"/>
  <c r="J154" i="35"/>
  <c r="K156" i="35"/>
  <c r="L156" i="35"/>
  <c r="J156" i="35"/>
  <c r="L158" i="35"/>
  <c r="K158" i="35"/>
  <c r="J158" i="35"/>
  <c r="L160" i="35"/>
  <c r="K160" i="35"/>
  <c r="J160" i="35"/>
  <c r="L162" i="35"/>
  <c r="K162" i="35"/>
  <c r="J162" i="35"/>
  <c r="L164" i="35"/>
  <c r="K164" i="35"/>
  <c r="J164" i="35"/>
  <c r="L166" i="35"/>
  <c r="K166" i="35"/>
  <c r="J166" i="35"/>
  <c r="L168" i="35"/>
  <c r="K168" i="35"/>
  <c r="J168" i="35"/>
  <c r="L170" i="35"/>
  <c r="K170" i="35"/>
  <c r="J170" i="35"/>
  <c r="L172" i="35"/>
  <c r="K172" i="35"/>
  <c r="J172" i="35"/>
  <c r="L174" i="35"/>
  <c r="K174" i="35"/>
  <c r="J174" i="35"/>
  <c r="L176" i="35"/>
  <c r="K176" i="35"/>
  <c r="J176" i="35"/>
  <c r="L178" i="35"/>
  <c r="K178" i="35"/>
  <c r="J178" i="35"/>
  <c r="L180" i="35"/>
  <c r="K180" i="35"/>
  <c r="J180" i="35"/>
  <c r="L182" i="35"/>
  <c r="K182" i="35"/>
  <c r="J182" i="35"/>
  <c r="L184" i="35"/>
  <c r="K184" i="35"/>
  <c r="J184" i="35"/>
  <c r="L186" i="35"/>
  <c r="K186" i="35"/>
  <c r="J186" i="35"/>
  <c r="L188" i="35"/>
  <c r="K188" i="35"/>
  <c r="J188" i="35"/>
  <c r="L190" i="35"/>
  <c r="K190" i="35"/>
  <c r="J190" i="35"/>
  <c r="L192" i="35"/>
  <c r="K192" i="35"/>
  <c r="J192" i="35"/>
  <c r="L194" i="35"/>
  <c r="K194" i="35"/>
  <c r="J194" i="35"/>
  <c r="L196" i="35"/>
  <c r="K196" i="35"/>
  <c r="J196" i="35"/>
  <c r="K201" i="35"/>
  <c r="L201" i="35"/>
  <c r="J201" i="35"/>
  <c r="K208" i="35"/>
  <c r="L208" i="35"/>
  <c r="J208" i="35"/>
  <c r="K210" i="35"/>
  <c r="L210" i="35"/>
  <c r="J210" i="35"/>
  <c r="K212" i="35"/>
  <c r="L212" i="35"/>
  <c r="J212" i="35"/>
  <c r="K214" i="35"/>
  <c r="J214" i="35"/>
  <c r="L214" i="35"/>
  <c r="K216" i="35"/>
  <c r="J216" i="35"/>
  <c r="L216" i="35"/>
  <c r="K218" i="35"/>
  <c r="J218" i="35"/>
  <c r="L218" i="35"/>
  <c r="K220" i="35"/>
  <c r="J220" i="35"/>
  <c r="L220" i="35"/>
  <c r="K222" i="35"/>
  <c r="J222" i="35"/>
  <c r="L222" i="35"/>
  <c r="K224" i="35"/>
  <c r="J224" i="35"/>
  <c r="L224" i="35"/>
  <c r="K226" i="35"/>
  <c r="J226" i="35"/>
  <c r="L226" i="35"/>
  <c r="K228" i="35"/>
  <c r="J228" i="35"/>
  <c r="L228" i="35"/>
  <c r="K230" i="35"/>
  <c r="J230" i="35"/>
  <c r="L230" i="35"/>
  <c r="K232" i="35"/>
  <c r="J232" i="35"/>
  <c r="L232" i="35"/>
  <c r="K234" i="35"/>
  <c r="J234" i="35"/>
  <c r="L234" i="35"/>
  <c r="K236" i="35"/>
  <c r="J236" i="35"/>
  <c r="L236" i="35"/>
  <c r="K238" i="35"/>
  <c r="J238" i="35"/>
  <c r="L238" i="35"/>
  <c r="K240" i="35"/>
  <c r="J240" i="35"/>
  <c r="L240" i="35"/>
  <c r="K242" i="35"/>
  <c r="J242" i="35"/>
  <c r="L242" i="35"/>
  <c r="K244" i="35"/>
  <c r="J244" i="35"/>
  <c r="L244" i="35"/>
  <c r="K246" i="35"/>
  <c r="J246" i="35"/>
  <c r="L246" i="35"/>
  <c r="L251" i="35"/>
  <c r="K251" i="35"/>
  <c r="J251" i="35"/>
  <c r="L252" i="35"/>
  <c r="J252" i="35"/>
  <c r="K252" i="35"/>
  <c r="L253" i="35"/>
  <c r="K253" i="35"/>
  <c r="J253" i="35"/>
  <c r="L256" i="35"/>
  <c r="J256" i="35"/>
  <c r="K256" i="35"/>
  <c r="L258" i="35"/>
  <c r="K258" i="35"/>
  <c r="J258" i="35"/>
  <c r="L260" i="35"/>
  <c r="K260" i="35"/>
  <c r="J260" i="35"/>
  <c r="L262" i="35"/>
  <c r="K262" i="35"/>
  <c r="J262" i="35"/>
  <c r="L264" i="35"/>
  <c r="K264" i="35"/>
  <c r="J264" i="35"/>
  <c r="L266" i="35"/>
  <c r="K266" i="35"/>
  <c r="J266" i="35"/>
  <c r="L268" i="35"/>
  <c r="K268" i="35"/>
  <c r="J268" i="35"/>
  <c r="L270" i="35"/>
  <c r="K270" i="35"/>
  <c r="J270" i="35"/>
  <c r="L272" i="35"/>
  <c r="K272" i="35"/>
  <c r="J272" i="35"/>
  <c r="L274" i="35"/>
  <c r="K274" i="35"/>
  <c r="J274" i="35"/>
  <c r="L276" i="35"/>
  <c r="K276" i="35"/>
  <c r="J276" i="35"/>
  <c r="L278" i="35"/>
  <c r="K278" i="35"/>
  <c r="J278" i="35"/>
  <c r="K281" i="35"/>
  <c r="L281" i="35"/>
  <c r="J281" i="35"/>
  <c r="K286" i="35"/>
  <c r="L286" i="35"/>
  <c r="J286" i="35"/>
  <c r="K288" i="35"/>
  <c r="L288" i="35"/>
  <c r="J288" i="35"/>
  <c r="K290" i="35"/>
  <c r="L290" i="35"/>
  <c r="J290" i="35"/>
  <c r="K292" i="35"/>
  <c r="J292" i="35"/>
  <c r="L292" i="35"/>
  <c r="K294" i="35"/>
  <c r="J294" i="35"/>
  <c r="L294" i="35"/>
  <c r="K296" i="35"/>
  <c r="J296" i="35"/>
  <c r="L296" i="35"/>
  <c r="K298" i="35"/>
  <c r="J298" i="35"/>
  <c r="L298" i="35"/>
  <c r="K300" i="35"/>
  <c r="J300" i="35"/>
  <c r="L300" i="35"/>
  <c r="K302" i="35"/>
  <c r="J302" i="35"/>
  <c r="L302" i="35"/>
  <c r="K304" i="35"/>
  <c r="J304" i="35"/>
  <c r="L304" i="35"/>
  <c r="K306" i="35"/>
  <c r="J306" i="35"/>
  <c r="L306" i="35"/>
  <c r="K308" i="35"/>
  <c r="J308" i="35"/>
  <c r="L308" i="35"/>
  <c r="K310" i="35"/>
  <c r="J310" i="35"/>
  <c r="L310" i="35"/>
  <c r="L312" i="35"/>
  <c r="K312" i="35"/>
  <c r="J312" i="35"/>
  <c r="K314" i="35"/>
  <c r="L314" i="35"/>
  <c r="J314" i="35"/>
  <c r="K316" i="35"/>
  <c r="L316" i="35"/>
  <c r="J316" i="35"/>
  <c r="K318" i="35"/>
  <c r="J318" i="35"/>
  <c r="L318" i="35"/>
  <c r="K320" i="35"/>
  <c r="J320" i="35"/>
  <c r="L320" i="35"/>
  <c r="K322" i="35"/>
  <c r="J322" i="35"/>
  <c r="L322" i="35"/>
  <c r="K324" i="35"/>
  <c r="J324" i="35"/>
  <c r="L324" i="35"/>
  <c r="K326" i="35"/>
  <c r="J326" i="35"/>
  <c r="L326" i="35"/>
  <c r="K328" i="35"/>
  <c r="J328" i="35"/>
  <c r="L328" i="35"/>
  <c r="K330" i="35"/>
  <c r="J330" i="35"/>
  <c r="L330" i="35"/>
  <c r="K332" i="35"/>
  <c r="J332" i="35"/>
  <c r="L332" i="35"/>
  <c r="L334" i="35"/>
  <c r="K334" i="35"/>
  <c r="J334" i="35"/>
  <c r="L336" i="35"/>
  <c r="K336" i="35"/>
  <c r="J336" i="35"/>
  <c r="L338" i="35"/>
  <c r="K338" i="35"/>
  <c r="J338" i="35"/>
  <c r="L340" i="35"/>
  <c r="K340" i="35"/>
  <c r="J340" i="35"/>
  <c r="L342" i="35"/>
  <c r="K342" i="35"/>
  <c r="J342" i="35"/>
  <c r="L344" i="35"/>
  <c r="K344" i="35"/>
  <c r="J344" i="35"/>
  <c r="L346" i="35"/>
  <c r="K346" i="35"/>
  <c r="J346" i="35"/>
  <c r="L348" i="35"/>
  <c r="K348" i="35"/>
  <c r="J348" i="35"/>
  <c r="L350" i="35"/>
  <c r="K350" i="35"/>
  <c r="J350" i="35"/>
  <c r="L352" i="35"/>
  <c r="K352" i="35"/>
  <c r="J352" i="35"/>
  <c r="L354" i="35"/>
  <c r="K354" i="35"/>
  <c r="J354" i="35"/>
  <c r="L356" i="35"/>
  <c r="K356" i="35"/>
  <c r="J356" i="35"/>
  <c r="L358" i="35"/>
  <c r="K358" i="35"/>
  <c r="J358" i="35"/>
  <c r="L360" i="35"/>
  <c r="K360" i="35"/>
  <c r="J360" i="35"/>
  <c r="R89" i="35"/>
  <c r="Q106" i="35"/>
  <c r="R106" i="35" s="1"/>
  <c r="Q122" i="35"/>
  <c r="R122" i="35" s="1"/>
  <c r="Q49" i="35"/>
  <c r="R49" i="35" s="1"/>
  <c r="Q47" i="35"/>
  <c r="R47" i="35" s="1"/>
  <c r="Q45" i="35"/>
  <c r="R45" i="35" s="1"/>
  <c r="Q43" i="35"/>
  <c r="R43" i="35" s="1"/>
  <c r="Q41" i="35"/>
  <c r="R41" i="35" s="1"/>
  <c r="Q39" i="35"/>
  <c r="R39" i="35" s="1"/>
  <c r="Q37" i="35"/>
  <c r="R37" i="35" s="1"/>
  <c r="Q35" i="35"/>
  <c r="R35" i="35" s="1"/>
  <c r="Q33" i="35"/>
  <c r="R33" i="35" s="1"/>
  <c r="Q31" i="35"/>
  <c r="R31" i="35" s="1"/>
  <c r="Q29" i="35"/>
  <c r="R29" i="35" s="1"/>
  <c r="Q27" i="35"/>
  <c r="R27" i="35" s="1"/>
  <c r="Q25" i="35"/>
  <c r="R25" i="35" s="1"/>
  <c r="Q23" i="35"/>
  <c r="R23" i="35" s="1"/>
  <c r="Q21" i="35"/>
  <c r="R21" i="35" s="1"/>
  <c r="Q19" i="35"/>
  <c r="R19" i="35" s="1"/>
  <c r="Q17" i="35"/>
  <c r="R17" i="35" s="1"/>
  <c r="Q15" i="35"/>
  <c r="R15" i="35" s="1"/>
  <c r="Q13" i="35"/>
  <c r="R13" i="35" s="1"/>
  <c r="Q11" i="35"/>
  <c r="R11" i="35" s="1"/>
  <c r="Q9" i="35"/>
  <c r="R9" i="35" s="1"/>
  <c r="U7" i="35"/>
  <c r="V7" i="35" s="1"/>
  <c r="L7" i="35"/>
  <c r="J7" i="35"/>
  <c r="K7" i="35"/>
  <c r="U5" i="35"/>
  <c r="V5" i="35" s="1"/>
  <c r="L5" i="35"/>
  <c r="J5" i="35"/>
  <c r="K5" i="35"/>
  <c r="Q79" i="35"/>
  <c r="R79" i="35" s="1"/>
  <c r="Q83" i="35"/>
  <c r="R83" i="35" s="1"/>
  <c r="Q87" i="35"/>
  <c r="R87" i="35" s="1"/>
  <c r="Q91" i="35"/>
  <c r="R91" i="35" s="1"/>
  <c r="Q95" i="35"/>
  <c r="R95" i="35" s="1"/>
  <c r="Q53" i="35"/>
  <c r="R53" i="35" s="1"/>
  <c r="Q55" i="35"/>
  <c r="R55" i="35" s="1"/>
  <c r="Q57" i="35"/>
  <c r="R57" i="35" s="1"/>
  <c r="Q59" i="35"/>
  <c r="R59" i="35" s="1"/>
  <c r="Q61" i="35"/>
  <c r="R61" i="35" s="1"/>
  <c r="Q63" i="35"/>
  <c r="R63" i="35" s="1"/>
  <c r="Q65" i="35"/>
  <c r="R65" i="35" s="1"/>
  <c r="Q67" i="35"/>
  <c r="R67" i="35" s="1"/>
  <c r="Q69" i="35"/>
  <c r="R69" i="35" s="1"/>
  <c r="Q71" i="35"/>
  <c r="R71" i="35" s="1"/>
  <c r="Q73" i="35"/>
  <c r="R73" i="35" s="1"/>
  <c r="Q75" i="35"/>
  <c r="R75" i="35" s="1"/>
  <c r="Q77" i="35"/>
  <c r="R77" i="35" s="1"/>
  <c r="Q80" i="35"/>
  <c r="R80" i="35" s="1"/>
  <c r="Q84" i="35"/>
  <c r="R84" i="35" s="1"/>
  <c r="Q88" i="35"/>
  <c r="R88" i="35" s="1"/>
  <c r="Q92" i="35"/>
  <c r="R92" i="35" s="1"/>
  <c r="Q96" i="35"/>
  <c r="R96" i="35" s="1"/>
  <c r="Q103" i="35"/>
  <c r="R103" i="35" s="1"/>
  <c r="Q107" i="35"/>
  <c r="R107" i="35" s="1"/>
  <c r="Q111" i="35"/>
  <c r="R111" i="35" s="1"/>
  <c r="Q115" i="35"/>
  <c r="R115" i="35" s="1"/>
  <c r="Q119" i="35"/>
  <c r="R119" i="35" s="1"/>
  <c r="Q123" i="35"/>
  <c r="R123" i="35" s="1"/>
  <c r="R102" i="35"/>
  <c r="R110" i="35"/>
  <c r="Q51" i="35"/>
  <c r="R51" i="35" s="1"/>
  <c r="Q3" i="35"/>
  <c r="R3" i="35" s="1"/>
  <c r="L250" i="35"/>
  <c r="K250" i="35"/>
  <c r="J250" i="35"/>
  <c r="K283" i="35"/>
  <c r="J283" i="35"/>
  <c r="L283" i="35"/>
  <c r="K284" i="35"/>
  <c r="L284" i="35"/>
  <c r="J284" i="35"/>
  <c r="R81" i="35"/>
  <c r="R76" i="35"/>
  <c r="R117" i="35"/>
  <c r="Q114" i="35"/>
  <c r="R114" i="35" s="1"/>
  <c r="R42" i="35"/>
  <c r="R34" i="35"/>
  <c r="R26" i="35"/>
  <c r="R18" i="35"/>
  <c r="R12" i="35"/>
  <c r="Q104" i="35"/>
  <c r="R104" i="35" s="1"/>
  <c r="Q112" i="35"/>
  <c r="R112" i="35" s="1"/>
  <c r="Q120" i="35"/>
  <c r="R120" i="35" s="1"/>
  <c r="Q6" i="35"/>
  <c r="R6" i="35" s="1"/>
  <c r="Q4" i="35"/>
  <c r="R4" i="35" s="1"/>
  <c r="U49" i="35"/>
  <c r="V49" i="35" s="1"/>
  <c r="L49" i="35"/>
  <c r="K49" i="35"/>
  <c r="J49" i="35"/>
  <c r="U47" i="35"/>
  <c r="V47" i="35" s="1"/>
  <c r="L47" i="35"/>
  <c r="K47" i="35"/>
  <c r="J47" i="35"/>
  <c r="U45" i="35"/>
  <c r="V45" i="35" s="1"/>
  <c r="L45" i="35"/>
  <c r="K45" i="35"/>
  <c r="J45" i="35"/>
  <c r="U43" i="35"/>
  <c r="V43" i="35" s="1"/>
  <c r="L43" i="35"/>
  <c r="K43" i="35"/>
  <c r="J43" i="35"/>
  <c r="U41" i="35"/>
  <c r="V41" i="35" s="1"/>
  <c r="L41" i="35"/>
  <c r="K41" i="35"/>
  <c r="J41" i="35"/>
  <c r="U39" i="35"/>
  <c r="V39" i="35" s="1"/>
  <c r="L39" i="35"/>
  <c r="K39" i="35"/>
  <c r="J39" i="35"/>
  <c r="U37" i="35"/>
  <c r="V37" i="35" s="1"/>
  <c r="L37" i="35"/>
  <c r="K37" i="35"/>
  <c r="J37" i="35"/>
  <c r="U35" i="35"/>
  <c r="V35" i="35" s="1"/>
  <c r="L35" i="35"/>
  <c r="K35" i="35"/>
  <c r="J35" i="35"/>
  <c r="U33" i="35"/>
  <c r="V33" i="35" s="1"/>
  <c r="L33" i="35"/>
  <c r="K33" i="35"/>
  <c r="J33" i="35"/>
  <c r="U31" i="35"/>
  <c r="V31" i="35" s="1"/>
  <c r="L31" i="35"/>
  <c r="K31" i="35"/>
  <c r="J31" i="35"/>
  <c r="U29" i="35"/>
  <c r="V29" i="35" s="1"/>
  <c r="L29" i="35"/>
  <c r="K29" i="35"/>
  <c r="J29" i="35"/>
  <c r="U27" i="35"/>
  <c r="V27" i="35" s="1"/>
  <c r="L27" i="35"/>
  <c r="K27" i="35"/>
  <c r="J27" i="35"/>
  <c r="U25" i="35"/>
  <c r="V25" i="35" s="1"/>
  <c r="L25" i="35"/>
  <c r="K25" i="35"/>
  <c r="J25" i="35"/>
  <c r="U23" i="35"/>
  <c r="V23" i="35" s="1"/>
  <c r="L23" i="35"/>
  <c r="K23" i="35"/>
  <c r="J23" i="35"/>
  <c r="U21" i="35"/>
  <c r="V21" i="35" s="1"/>
  <c r="L21" i="35"/>
  <c r="K21" i="35"/>
  <c r="J21" i="35"/>
  <c r="U19" i="35"/>
  <c r="V19" i="35" s="1"/>
  <c r="L19" i="35"/>
  <c r="K19" i="35"/>
  <c r="J19" i="35"/>
  <c r="U17" i="35"/>
  <c r="V17" i="35" s="1"/>
  <c r="L17" i="35"/>
  <c r="K17" i="35"/>
  <c r="J17" i="35"/>
  <c r="U15" i="35"/>
  <c r="V15" i="35" s="1"/>
  <c r="L15" i="35"/>
  <c r="K15" i="35"/>
  <c r="J15" i="35"/>
  <c r="U13" i="35"/>
  <c r="V13" i="35" s="1"/>
  <c r="L13" i="35"/>
  <c r="K13" i="35"/>
  <c r="J13" i="35"/>
  <c r="U11" i="35"/>
  <c r="V11" i="35" s="1"/>
  <c r="L11" i="35"/>
  <c r="K11" i="35"/>
  <c r="J11" i="35"/>
  <c r="U9" i="35"/>
  <c r="V9" i="35" s="1"/>
  <c r="L9" i="35"/>
  <c r="K9" i="35"/>
  <c r="J9" i="35"/>
  <c r="L51" i="35"/>
  <c r="U51" i="35"/>
  <c r="V51" i="35" s="1"/>
  <c r="K51" i="35"/>
  <c r="J51" i="35"/>
  <c r="U53" i="35"/>
  <c r="V53" i="35" s="1"/>
  <c r="L53" i="35"/>
  <c r="J53" i="35"/>
  <c r="K53" i="35"/>
  <c r="U55" i="35"/>
  <c r="V55" i="35" s="1"/>
  <c r="L55" i="35"/>
  <c r="K55" i="35"/>
  <c r="J55" i="35"/>
  <c r="U57" i="35"/>
  <c r="V57" i="35" s="1"/>
  <c r="L57" i="35"/>
  <c r="K57" i="35"/>
  <c r="J57" i="35"/>
  <c r="U59" i="35"/>
  <c r="V59" i="35" s="1"/>
  <c r="L59" i="35"/>
  <c r="K59" i="35"/>
  <c r="J59" i="35"/>
  <c r="U61" i="35"/>
  <c r="V61" i="35" s="1"/>
  <c r="L61" i="35"/>
  <c r="K61" i="35"/>
  <c r="J61" i="35"/>
  <c r="U63" i="35"/>
  <c r="V63" i="35" s="1"/>
  <c r="L63" i="35"/>
  <c r="K63" i="35"/>
  <c r="J63" i="35"/>
  <c r="U65" i="35"/>
  <c r="V65" i="35" s="1"/>
  <c r="L65" i="35"/>
  <c r="K65" i="35"/>
  <c r="J65" i="35"/>
  <c r="U67" i="35"/>
  <c r="V67" i="35" s="1"/>
  <c r="L67" i="35"/>
  <c r="K67" i="35"/>
  <c r="J67" i="35"/>
  <c r="U69" i="35"/>
  <c r="V69" i="35" s="1"/>
  <c r="L69" i="35"/>
  <c r="K69" i="35"/>
  <c r="J69" i="35"/>
  <c r="U71" i="35"/>
  <c r="V71" i="35" s="1"/>
  <c r="L71" i="35"/>
  <c r="K71" i="35"/>
  <c r="J71" i="35"/>
  <c r="U73" i="35"/>
  <c r="V73" i="35" s="1"/>
  <c r="L73" i="35"/>
  <c r="K73" i="35"/>
  <c r="J73" i="35"/>
  <c r="U75" i="35"/>
  <c r="V75" i="35" s="1"/>
  <c r="L75" i="35"/>
  <c r="K75" i="35"/>
  <c r="J75" i="35"/>
  <c r="U77" i="35"/>
  <c r="V77" i="35" s="1"/>
  <c r="L77" i="35"/>
  <c r="K77" i="35"/>
  <c r="J77" i="35"/>
  <c r="L80" i="35"/>
  <c r="K80" i="35"/>
  <c r="J80" i="35"/>
  <c r="L84" i="35"/>
  <c r="K84" i="35"/>
  <c r="J84" i="35"/>
  <c r="L88" i="35"/>
  <c r="K88" i="35"/>
  <c r="J88" i="35"/>
  <c r="L92" i="35"/>
  <c r="K92" i="35"/>
  <c r="J92" i="35"/>
  <c r="L96" i="35"/>
  <c r="K96" i="35"/>
  <c r="J96" i="35"/>
  <c r="J79" i="35"/>
  <c r="L79" i="35"/>
  <c r="K79" i="35"/>
  <c r="J83" i="35"/>
  <c r="L83" i="35"/>
  <c r="K83" i="35"/>
  <c r="J87" i="35"/>
  <c r="L87" i="35"/>
  <c r="K87" i="35"/>
  <c r="J91" i="35"/>
  <c r="L91" i="35"/>
  <c r="K91" i="35"/>
  <c r="J95" i="35"/>
  <c r="L95" i="35"/>
  <c r="K95" i="35"/>
  <c r="J99" i="35"/>
  <c r="L99" i="35"/>
  <c r="K99" i="35"/>
  <c r="L102" i="35"/>
  <c r="K102" i="35"/>
  <c r="J102" i="35"/>
  <c r="L106" i="35"/>
  <c r="K106" i="35"/>
  <c r="J106" i="35"/>
  <c r="L110" i="35"/>
  <c r="K110" i="35"/>
  <c r="J110" i="35"/>
  <c r="L114" i="35"/>
  <c r="K114" i="35"/>
  <c r="J114" i="35"/>
  <c r="L118" i="35"/>
  <c r="K118" i="35"/>
  <c r="J118" i="35"/>
  <c r="L122" i="35"/>
  <c r="K122" i="35"/>
  <c r="J122" i="35"/>
  <c r="L125" i="35"/>
  <c r="K125" i="35"/>
  <c r="J125" i="35"/>
  <c r="L127" i="35"/>
  <c r="K127" i="35"/>
  <c r="J127" i="35"/>
  <c r="L129" i="35"/>
  <c r="K129" i="35"/>
  <c r="J129" i="35"/>
  <c r="L131" i="35"/>
  <c r="K131" i="35"/>
  <c r="J131" i="35"/>
  <c r="L133" i="35"/>
  <c r="K133" i="35"/>
  <c r="J133" i="35"/>
  <c r="L135" i="35"/>
  <c r="K135" i="35"/>
  <c r="J135" i="35"/>
  <c r="L137" i="35"/>
  <c r="K137" i="35"/>
  <c r="J137" i="35"/>
  <c r="L139" i="35"/>
  <c r="K139" i="35"/>
  <c r="J139" i="35"/>
  <c r="J101" i="35"/>
  <c r="L101" i="35"/>
  <c r="K101" i="35"/>
  <c r="J105" i="35"/>
  <c r="L105" i="35"/>
  <c r="K105" i="35"/>
  <c r="J109" i="35"/>
  <c r="L109" i="35"/>
  <c r="K109" i="35"/>
  <c r="J113" i="35"/>
  <c r="L113" i="35"/>
  <c r="K113" i="35"/>
  <c r="J117" i="35"/>
  <c r="L117" i="35"/>
  <c r="K117" i="35"/>
  <c r="J121" i="35"/>
  <c r="L121" i="35"/>
  <c r="K121" i="35"/>
  <c r="K198" i="35"/>
  <c r="L198" i="35"/>
  <c r="J198" i="35"/>
  <c r="K206" i="35"/>
  <c r="L206" i="35"/>
  <c r="J206" i="35"/>
  <c r="K203" i="35"/>
  <c r="L203" i="35"/>
  <c r="J203" i="35"/>
  <c r="K200" i="35"/>
  <c r="J200" i="35"/>
  <c r="L200" i="35"/>
  <c r="J141" i="35"/>
  <c r="L141" i="35"/>
  <c r="K141" i="35"/>
  <c r="L143" i="35"/>
  <c r="K143" i="35"/>
  <c r="J143" i="35"/>
  <c r="J145" i="35"/>
  <c r="L145" i="35"/>
  <c r="K145" i="35"/>
  <c r="L147" i="35"/>
  <c r="K147" i="35"/>
  <c r="J147" i="35"/>
  <c r="J149" i="35"/>
  <c r="L149" i="35"/>
  <c r="K149" i="35"/>
  <c r="K151" i="35"/>
  <c r="L151" i="35"/>
  <c r="J151" i="35"/>
  <c r="K153" i="35"/>
  <c r="L153" i="35"/>
  <c r="J153" i="35"/>
  <c r="K155" i="35"/>
  <c r="L155" i="35"/>
  <c r="J155" i="35"/>
  <c r="L157" i="35"/>
  <c r="K157" i="35"/>
  <c r="J157" i="35"/>
  <c r="L159" i="35"/>
  <c r="K159" i="35"/>
  <c r="J159" i="35"/>
  <c r="L161" i="35"/>
  <c r="K161" i="35"/>
  <c r="J161" i="35"/>
  <c r="L163" i="35"/>
  <c r="K163" i="35"/>
  <c r="J163" i="35"/>
  <c r="L165" i="35"/>
  <c r="K165" i="35"/>
  <c r="J165" i="35"/>
  <c r="L167" i="35"/>
  <c r="K167" i="35"/>
  <c r="J167" i="35"/>
  <c r="L169" i="35"/>
  <c r="K169" i="35"/>
  <c r="J169" i="35"/>
  <c r="L171" i="35"/>
  <c r="K171" i="35"/>
  <c r="J171" i="35"/>
  <c r="L173" i="35"/>
  <c r="K173" i="35"/>
  <c r="J173" i="35"/>
  <c r="L175" i="35"/>
  <c r="K175" i="35"/>
  <c r="J175" i="35"/>
  <c r="L177" i="35"/>
  <c r="K177" i="35"/>
  <c r="J177" i="35"/>
  <c r="L179" i="35"/>
  <c r="K179" i="35"/>
  <c r="J179" i="35"/>
  <c r="L181" i="35"/>
  <c r="K181" i="35"/>
  <c r="J181" i="35"/>
  <c r="L183" i="35"/>
  <c r="K183" i="35"/>
  <c r="J183" i="35"/>
  <c r="L185" i="35"/>
  <c r="K185" i="35"/>
  <c r="J185" i="35"/>
  <c r="L187" i="35"/>
  <c r="K187" i="35"/>
  <c r="J187" i="35"/>
  <c r="L189" i="35"/>
  <c r="K189" i="35"/>
  <c r="J189" i="35"/>
  <c r="L191" i="35"/>
  <c r="K191" i="35"/>
  <c r="J191" i="35"/>
  <c r="L193" i="35"/>
  <c r="K193" i="35"/>
  <c r="J193" i="35"/>
  <c r="L195" i="35"/>
  <c r="K195" i="35"/>
  <c r="J195" i="35"/>
  <c r="K197" i="35"/>
  <c r="L197" i="35"/>
  <c r="J197" i="35"/>
  <c r="K205" i="35"/>
  <c r="L205" i="35"/>
  <c r="J205" i="35"/>
  <c r="K209" i="35"/>
  <c r="J209" i="35"/>
  <c r="L209" i="35"/>
  <c r="K211" i="35"/>
  <c r="L211" i="35"/>
  <c r="J211" i="35"/>
  <c r="K213" i="35"/>
  <c r="J213" i="35"/>
  <c r="L213" i="35"/>
  <c r="K215" i="35"/>
  <c r="J215" i="35"/>
  <c r="L215" i="35"/>
  <c r="K217" i="35"/>
  <c r="J217" i="35"/>
  <c r="L217" i="35"/>
  <c r="K219" i="35"/>
  <c r="J219" i="35"/>
  <c r="L219" i="35"/>
  <c r="K221" i="35"/>
  <c r="J221" i="35"/>
  <c r="L221" i="35"/>
  <c r="K223" i="35"/>
  <c r="J223" i="35"/>
  <c r="L223" i="35"/>
  <c r="K225" i="35"/>
  <c r="J225" i="35"/>
  <c r="L225" i="35"/>
  <c r="K227" i="35"/>
  <c r="J227" i="35"/>
  <c r="L227" i="35"/>
  <c r="K229" i="35"/>
  <c r="J229" i="35"/>
  <c r="L229" i="35"/>
  <c r="K231" i="35"/>
  <c r="J231" i="35"/>
  <c r="L231" i="35"/>
  <c r="K233" i="35"/>
  <c r="J233" i="35"/>
  <c r="L233" i="35"/>
  <c r="K235" i="35"/>
  <c r="J235" i="35"/>
  <c r="L235" i="35"/>
  <c r="K237" i="35"/>
  <c r="J237" i="35"/>
  <c r="L237" i="35"/>
  <c r="K239" i="35"/>
  <c r="J239" i="35"/>
  <c r="L239" i="35"/>
  <c r="K241" i="35"/>
  <c r="J241" i="35"/>
  <c r="L241" i="35"/>
  <c r="K243" i="35"/>
  <c r="J243" i="35"/>
  <c r="L243" i="35"/>
  <c r="K245" i="35"/>
  <c r="J245" i="35"/>
  <c r="L245" i="35"/>
  <c r="L247" i="35"/>
  <c r="K247" i="35"/>
  <c r="J247" i="35"/>
  <c r="L248" i="35"/>
  <c r="J248" i="35"/>
  <c r="K248" i="35"/>
  <c r="L249" i="35"/>
  <c r="K249" i="35"/>
  <c r="J249" i="35"/>
  <c r="L255" i="35"/>
  <c r="K255" i="35"/>
  <c r="J255" i="35"/>
  <c r="L257" i="35"/>
  <c r="K257" i="35"/>
  <c r="J257" i="35"/>
  <c r="L259" i="35"/>
  <c r="K259" i="35"/>
  <c r="J259" i="35"/>
  <c r="L261" i="35"/>
  <c r="K261" i="35"/>
  <c r="J261" i="35"/>
  <c r="L263" i="35"/>
  <c r="K263" i="35"/>
  <c r="J263" i="35"/>
  <c r="L265" i="35"/>
  <c r="K265" i="35"/>
  <c r="J265" i="35"/>
  <c r="L267" i="35"/>
  <c r="K267" i="35"/>
  <c r="J267" i="35"/>
  <c r="L269" i="35"/>
  <c r="K269" i="35"/>
  <c r="J269" i="35"/>
  <c r="L271" i="35"/>
  <c r="K271" i="35"/>
  <c r="J271" i="35"/>
  <c r="L273" i="35"/>
  <c r="K273" i="35"/>
  <c r="J273" i="35"/>
  <c r="L275" i="35"/>
  <c r="K275" i="35"/>
  <c r="J275" i="35"/>
  <c r="L277" i="35"/>
  <c r="K277" i="35"/>
  <c r="J277" i="35"/>
  <c r="L279" i="35"/>
  <c r="K279" i="35"/>
  <c r="J279" i="35"/>
  <c r="K282" i="35"/>
  <c r="L282" i="35"/>
  <c r="J282" i="35"/>
  <c r="K285" i="35"/>
  <c r="L285" i="35"/>
  <c r="J285" i="35"/>
  <c r="K287" i="35"/>
  <c r="L287" i="35"/>
  <c r="J287" i="35"/>
  <c r="K289" i="35"/>
  <c r="L289" i="35"/>
  <c r="J289" i="35"/>
  <c r="K291" i="35"/>
  <c r="J291" i="35"/>
  <c r="L291" i="35"/>
  <c r="K293" i="35"/>
  <c r="J293" i="35"/>
  <c r="L293" i="35"/>
  <c r="K295" i="35"/>
  <c r="J295" i="35"/>
  <c r="L295" i="35"/>
  <c r="K297" i="35"/>
  <c r="J297" i="35"/>
  <c r="L297" i="35"/>
  <c r="K299" i="35"/>
  <c r="J299" i="35"/>
  <c r="L299" i="35"/>
  <c r="K301" i="35"/>
  <c r="J301" i="35"/>
  <c r="L301" i="35"/>
  <c r="K303" i="35"/>
  <c r="J303" i="35"/>
  <c r="L303" i="35"/>
  <c r="K305" i="35"/>
  <c r="J305" i="35"/>
  <c r="L305" i="35"/>
  <c r="K307" i="35"/>
  <c r="J307" i="35"/>
  <c r="L307" i="35"/>
  <c r="K309" i="35"/>
  <c r="J309" i="35"/>
  <c r="L309" i="35"/>
  <c r="K311" i="35"/>
  <c r="J311" i="35"/>
  <c r="L311" i="35"/>
  <c r="K313" i="35"/>
  <c r="L313" i="35"/>
  <c r="J313" i="35"/>
  <c r="K315" i="35"/>
  <c r="L315" i="35"/>
  <c r="J315" i="35"/>
  <c r="K317" i="35"/>
  <c r="J317" i="35"/>
  <c r="L317" i="35"/>
  <c r="K319" i="35"/>
  <c r="J319" i="35"/>
  <c r="L319" i="35"/>
  <c r="K321" i="35"/>
  <c r="J321" i="35"/>
  <c r="L321" i="35"/>
  <c r="K323" i="35"/>
  <c r="J323" i="35"/>
  <c r="L323" i="35"/>
  <c r="K325" i="35"/>
  <c r="J325" i="35"/>
  <c r="L325" i="35"/>
  <c r="K327" i="35"/>
  <c r="J327" i="35"/>
  <c r="L327" i="35"/>
  <c r="K329" i="35"/>
  <c r="J329" i="35"/>
  <c r="L329" i="35"/>
  <c r="K331" i="35"/>
  <c r="J331" i="35"/>
  <c r="L331" i="35"/>
  <c r="L333" i="35"/>
  <c r="K333" i="35"/>
  <c r="J333" i="35"/>
  <c r="L335" i="35"/>
  <c r="K335" i="35"/>
  <c r="J335" i="35"/>
  <c r="L337" i="35"/>
  <c r="K337" i="35"/>
  <c r="J337" i="35"/>
  <c r="L339" i="35"/>
  <c r="K339" i="35"/>
  <c r="J339" i="35"/>
  <c r="L341" i="35"/>
  <c r="K341" i="35"/>
  <c r="J341" i="35"/>
  <c r="L343" i="35"/>
  <c r="K343" i="35"/>
  <c r="J343" i="35"/>
  <c r="L345" i="35"/>
  <c r="K345" i="35"/>
  <c r="J345" i="35"/>
  <c r="L347" i="35"/>
  <c r="K347" i="35"/>
  <c r="J347" i="35"/>
  <c r="L349" i="35"/>
  <c r="K349" i="35"/>
  <c r="J349" i="35"/>
  <c r="L351" i="35"/>
  <c r="K351" i="35"/>
  <c r="J351" i="35"/>
  <c r="L353" i="35"/>
  <c r="K353" i="35"/>
  <c r="J353" i="35"/>
  <c r="L355" i="35"/>
  <c r="K355" i="35"/>
  <c r="J355" i="35"/>
  <c r="L357" i="35"/>
  <c r="K357" i="35"/>
  <c r="J357" i="35"/>
  <c r="L359" i="35"/>
  <c r="K359" i="35"/>
  <c r="J359" i="35"/>
  <c r="A277" i="26" l="1"/>
  <c r="A278" i="26"/>
  <c r="A279" i="26"/>
  <c r="A280" i="26"/>
  <c r="A281" i="26"/>
  <c r="A73" i="26" l="1"/>
  <c r="A74" i="26"/>
  <c r="A75" i="26"/>
  <c r="A76" i="26"/>
  <c r="A77" i="26"/>
  <c r="A78" i="26"/>
  <c r="A79" i="26"/>
  <c r="A80" i="26"/>
  <c r="A81" i="26"/>
  <c r="A451" i="28" l="1"/>
  <c r="A452" i="28"/>
  <c r="A453" i="28"/>
  <c r="A454" i="28"/>
  <c r="A455" i="28"/>
  <c r="A456" i="28"/>
  <c r="A457" i="28"/>
  <c r="A458" i="28"/>
  <c r="A459" i="28"/>
  <c r="A460" i="28"/>
  <c r="A285" i="28"/>
  <c r="A353" i="28"/>
  <c r="A354" i="28"/>
  <c r="A355" i="28"/>
  <c r="A356" i="28"/>
  <c r="A359" i="28"/>
  <c r="A360" i="28"/>
  <c r="A361" i="28"/>
  <c r="A362" i="28"/>
  <c r="A363" i="28"/>
  <c r="A364" i="28"/>
  <c r="A365" i="28"/>
  <c r="A366" i="28"/>
  <c r="A297" i="28"/>
  <c r="A298" i="28"/>
  <c r="A288" i="28"/>
  <c r="A289" i="28"/>
  <c r="A290" i="28"/>
  <c r="A291" i="28"/>
  <c r="A292" i="28"/>
  <c r="A293" i="28"/>
  <c r="A294" i="28"/>
  <c r="A295" i="28"/>
  <c r="A296" i="28"/>
  <c r="A287" i="28"/>
  <c r="A57" i="28"/>
  <c r="A276" i="26" l="1"/>
  <c r="A275"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70" i="23" l="1"/>
  <c r="A237" i="26" l="1"/>
  <c r="A238" i="26"/>
  <c r="A239" i="26"/>
  <c r="A240" i="26"/>
  <c r="A241" i="26"/>
  <c r="A242" i="26"/>
  <c r="A85" i="33"/>
  <c r="A49" i="26" l="1"/>
  <c r="A50" i="26"/>
  <c r="A51" i="26"/>
  <c r="A52" i="26"/>
  <c r="A53" i="26"/>
  <c r="A54" i="26"/>
  <c r="A55" i="26"/>
  <c r="A56" i="26"/>
  <c r="A57" i="26"/>
  <c r="A58" i="26"/>
  <c r="A59" i="26"/>
  <c r="A60" i="26"/>
  <c r="A61" i="26"/>
  <c r="A62" i="26"/>
  <c r="A63" i="26"/>
  <c r="A64" i="26"/>
  <c r="A65" i="26"/>
  <c r="A66" i="26"/>
  <c r="A67" i="26"/>
  <c r="A68" i="26"/>
  <c r="A106" i="18" l="1"/>
  <c r="A527" i="28" l="1"/>
  <c r="A528" i="28"/>
  <c r="A529" i="28"/>
  <c r="A530" i="28"/>
  <c r="A531" i="28"/>
  <c r="A532" i="28"/>
  <c r="A533" i="28"/>
  <c r="A357" i="28"/>
  <c r="A358" i="28"/>
  <c r="A50" i="28"/>
  <c r="A51" i="28"/>
  <c r="A52" i="28"/>
  <c r="A53" i="28"/>
  <c r="A54" i="28"/>
  <c r="A55" i="28"/>
  <c r="A56" i="28"/>
  <c r="A62" i="31" l="1"/>
  <c r="A63" i="31"/>
  <c r="A69" i="26" l="1"/>
  <c r="A70" i="26"/>
  <c r="A71" i="26"/>
  <c r="A72" i="26"/>
  <c r="A59" i="33" l="1"/>
  <c r="A83" i="33"/>
  <c r="A84" i="33"/>
  <c r="A13" i="33"/>
  <c r="A14" i="33"/>
  <c r="A15" i="33"/>
  <c r="A16" i="33"/>
  <c r="A17" i="33"/>
  <c r="A18" i="33"/>
  <c r="A19" i="33"/>
  <c r="A20" i="33"/>
  <c r="A21" i="33"/>
  <c r="A22" i="33"/>
  <c r="A23" i="33"/>
  <c r="A24" i="33"/>
  <c r="A2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60" i="33"/>
  <c r="A61" i="33"/>
  <c r="A62" i="33"/>
  <c r="A63" i="33"/>
  <c r="A64" i="33"/>
  <c r="A65" i="33"/>
  <c r="A66" i="33"/>
  <c r="A67" i="33"/>
  <c r="A68" i="33"/>
  <c r="A69" i="33"/>
  <c r="A70" i="33"/>
  <c r="A71" i="33"/>
  <c r="A72" i="33"/>
  <c r="A73" i="33"/>
  <c r="A74" i="33"/>
  <c r="A75" i="33"/>
  <c r="A76" i="33"/>
  <c r="A77" i="33"/>
  <c r="A78" i="33"/>
  <c r="A79" i="33"/>
  <c r="A80" i="33"/>
  <c r="A81" i="33"/>
  <c r="A82" i="33"/>
  <c r="A99" i="33"/>
  <c r="A100" i="33"/>
  <c r="A101" i="33"/>
  <c r="A102" i="33"/>
  <c r="A103" i="33"/>
  <c r="A104" i="33"/>
  <c r="A105" i="33"/>
  <c r="A106" i="33"/>
  <c r="A107" i="33"/>
  <c r="A108" i="33"/>
  <c r="A109" i="33"/>
  <c r="A110" i="33"/>
  <c r="A111" i="33"/>
  <c r="A112" i="33"/>
  <c r="A113" i="33"/>
  <c r="A114" i="33"/>
  <c r="A115" i="33"/>
  <c r="A116" i="33"/>
  <c r="A117" i="33"/>
  <c r="A118" i="33"/>
  <c r="A119" i="33"/>
  <c r="A120" i="33"/>
  <c r="A121" i="33"/>
  <c r="A122" i="33"/>
  <c r="A123" i="33"/>
  <c r="A124" i="33"/>
  <c r="A125" i="33"/>
  <c r="A126" i="33"/>
  <c r="A127" i="33"/>
  <c r="A128" i="33"/>
  <c r="A129" i="33"/>
  <c r="A130" i="33"/>
  <c r="A131" i="33"/>
  <c r="A132" i="33"/>
  <c r="A133" i="33"/>
  <c r="A134" i="33"/>
  <c r="A135" i="33"/>
  <c r="A136" i="33"/>
  <c r="A137" i="33"/>
  <c r="A138" i="33"/>
  <c r="A139" i="33"/>
  <c r="A140" i="33"/>
  <c r="A141" i="33"/>
  <c r="A142" i="33"/>
  <c r="A143" i="33"/>
  <c r="A144" i="33"/>
  <c r="A145" i="33"/>
  <c r="A146" i="33"/>
  <c r="A147" i="33"/>
  <c r="A148" i="33"/>
  <c r="A149" i="33"/>
  <c r="A150" i="33"/>
  <c r="A151" i="33"/>
  <c r="A152" i="33"/>
  <c r="A153" i="33"/>
  <c r="A154" i="33"/>
  <c r="A155" i="33"/>
  <c r="A156" i="33"/>
  <c r="A157" i="33"/>
  <c r="A158" i="33"/>
  <c r="A159" i="33"/>
  <c r="A160" i="33"/>
  <c r="A161" i="33"/>
  <c r="A162" i="33"/>
  <c r="A163" i="33"/>
  <c r="A164" i="33"/>
  <c r="A165" i="33"/>
  <c r="A166" i="33"/>
  <c r="A167" i="33"/>
  <c r="A168" i="33"/>
  <c r="A169" i="33"/>
  <c r="A170" i="33"/>
  <c r="A171" i="33"/>
  <c r="A172" i="33"/>
  <c r="A173" i="33"/>
  <c r="A174" i="33"/>
  <c r="A175" i="33"/>
  <c r="A176" i="33"/>
  <c r="A177" i="33"/>
  <c r="A178" i="33"/>
  <c r="A179" i="33"/>
  <c r="A180" i="33"/>
  <c r="A181" i="33"/>
  <c r="A182" i="33"/>
  <c r="A183" i="33"/>
  <c r="A184" i="33"/>
  <c r="A185" i="33"/>
  <c r="A186" i="33"/>
  <c r="A187" i="33"/>
  <c r="A188" i="33"/>
  <c r="A189" i="33"/>
  <c r="A190" i="33"/>
  <c r="A191" i="33"/>
  <c r="A192" i="33"/>
  <c r="A193" i="33"/>
  <c r="A194" i="33"/>
  <c r="A195" i="33"/>
  <c r="A196" i="33"/>
  <c r="A197" i="33"/>
  <c r="A198" i="33"/>
  <c r="A199" i="33"/>
  <c r="A200" i="33"/>
  <c r="A201" i="33"/>
  <c r="A202" i="33"/>
  <c r="A203" i="33"/>
  <c r="A204" i="33"/>
  <c r="A205" i="33"/>
  <c r="A206" i="33"/>
  <c r="A207" i="33"/>
  <c r="A208" i="33"/>
  <c r="A209" i="33"/>
  <c r="A210" i="33"/>
  <c r="A211" i="33"/>
  <c r="A212" i="33"/>
  <c r="A213" i="33"/>
  <c r="A214" i="33"/>
  <c r="A215" i="33"/>
  <c r="A216" i="33"/>
  <c r="A217" i="33"/>
  <c r="A218" i="33"/>
  <c r="A219" i="33"/>
  <c r="A220" i="33"/>
  <c r="A221" i="33"/>
  <c r="A222" i="33"/>
  <c r="A223" i="33"/>
  <c r="A224" i="33"/>
  <c r="A225" i="33"/>
  <c r="A226" i="33"/>
  <c r="A227" i="33"/>
  <c r="A228" i="33"/>
  <c r="A229" i="33"/>
  <c r="A230" i="33"/>
  <c r="A237" i="33"/>
  <c r="A238" i="33"/>
  <c r="A239" i="33"/>
  <c r="A240" i="33"/>
  <c r="A241" i="33"/>
  <c r="A242" i="33"/>
  <c r="A243" i="33"/>
  <c r="A244" i="33"/>
  <c r="A245" i="33"/>
  <c r="A246" i="33"/>
  <c r="A247" i="33"/>
  <c r="A248" i="33"/>
  <c r="A249" i="33"/>
  <c r="A250" i="33"/>
  <c r="A251" i="33"/>
  <c r="A252" i="33"/>
  <c r="A253" i="33"/>
  <c r="A254" i="33"/>
  <c r="A255" i="33"/>
  <c r="A256" i="33"/>
  <c r="A257" i="33"/>
  <c r="A258" i="33"/>
  <c r="A259" i="33"/>
  <c r="A260" i="33"/>
  <c r="A261" i="33"/>
  <c r="A262" i="33"/>
  <c r="A263" i="33"/>
  <c r="A264" i="33"/>
  <c r="A265" i="33"/>
  <c r="A266" i="33"/>
  <c r="A267" i="33"/>
  <c r="A268" i="33"/>
  <c r="A269" i="33"/>
  <c r="A270" i="33"/>
  <c r="A271" i="33"/>
  <c r="A272" i="33"/>
  <c r="A273" i="33"/>
  <c r="A274" i="33"/>
  <c r="A275" i="33"/>
  <c r="A276" i="33"/>
  <c r="A277" i="33"/>
  <c r="A278" i="33"/>
  <c r="A279" i="33"/>
  <c r="A280" i="33"/>
  <c r="A281" i="33"/>
  <c r="A282" i="33"/>
  <c r="A283" i="33"/>
  <c r="A284" i="33"/>
  <c r="A285" i="33"/>
  <c r="A286" i="33"/>
  <c r="A287" i="33"/>
  <c r="A288" i="33"/>
  <c r="A289" i="33"/>
  <c r="A290" i="33"/>
  <c r="A291" i="33"/>
  <c r="A292" i="33"/>
  <c r="A293" i="33"/>
  <c r="A294" i="33"/>
  <c r="A295" i="33"/>
  <c r="A296" i="33"/>
  <c r="A297" i="33"/>
  <c r="A298" i="33"/>
  <c r="A299" i="33"/>
  <c r="A300" i="33"/>
  <c r="A301" i="33"/>
  <c r="A302" i="33"/>
  <c r="A303" i="33"/>
  <c r="A304" i="33"/>
  <c r="A305" i="33"/>
  <c r="A306" i="33"/>
  <c r="A307" i="33"/>
  <c r="A308" i="33"/>
  <c r="A309" i="33"/>
  <c r="A310" i="33"/>
  <c r="A311" i="33"/>
  <c r="A312" i="33"/>
  <c r="A313" i="33"/>
  <c r="A314" i="33"/>
  <c r="A315" i="33"/>
  <c r="A316" i="33"/>
  <c r="A4" i="33"/>
  <c r="A5" i="33"/>
  <c r="A6" i="33"/>
  <c r="A7" i="33"/>
  <c r="A8" i="33"/>
  <c r="A9" i="33"/>
  <c r="A10" i="33"/>
  <c r="A11" i="33"/>
  <c r="A12" i="33"/>
  <c r="A8" i="34" l="1"/>
  <c r="A7" i="34"/>
  <c r="A6" i="34"/>
  <c r="A5" i="34"/>
  <c r="A4" i="34"/>
  <c r="A3" i="34"/>
  <c r="A2" i="34"/>
  <c r="A3" i="33" l="1"/>
  <c r="A2" i="33"/>
  <c r="A8" i="32" l="1"/>
  <c r="A7" i="32"/>
  <c r="A6" i="32"/>
  <c r="A5" i="32"/>
  <c r="A4" i="32"/>
  <c r="A3" i="32"/>
  <c r="A2" i="32"/>
  <c r="A4" i="31"/>
  <c r="A5" i="31"/>
  <c r="A6" i="31"/>
  <c r="A7" i="31"/>
  <c r="A8" i="31"/>
  <c r="A9" i="31"/>
  <c r="A10" i="31"/>
  <c r="A11" i="31"/>
  <c r="A13" i="31"/>
  <c r="A14" i="31"/>
  <c r="A15" i="31"/>
  <c r="A16" i="31"/>
  <c r="A17" i="31"/>
  <c r="A12"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A44" i="31"/>
  <c r="A45" i="31"/>
  <c r="A46" i="31"/>
  <c r="A47" i="31"/>
  <c r="A48" i="31"/>
  <c r="A49" i="31"/>
  <c r="A50" i="31"/>
  <c r="A51" i="31"/>
  <c r="A52" i="31"/>
  <c r="A53" i="31"/>
  <c r="A54" i="31"/>
  <c r="A55" i="31"/>
  <c r="A56" i="31"/>
  <c r="A57" i="31"/>
  <c r="A58" i="31"/>
  <c r="A59" i="31"/>
  <c r="A60" i="31"/>
  <c r="A61" i="31"/>
  <c r="A71" i="31"/>
  <c r="A72" i="31"/>
  <c r="A73" i="31"/>
  <c r="A74" i="31"/>
  <c r="A75" i="31"/>
  <c r="A76" i="31"/>
  <c r="A77" i="31"/>
  <c r="A78" i="31"/>
  <c r="A79" i="31"/>
  <c r="A80" i="31"/>
  <c r="A81" i="31"/>
  <c r="A82" i="31"/>
  <c r="A83" i="31"/>
  <c r="A84" i="31"/>
  <c r="A85" i="31"/>
  <c r="A86" i="31"/>
  <c r="A87" i="31"/>
  <c r="A88" i="31"/>
  <c r="A89" i="31"/>
  <c r="A90" i="31"/>
  <c r="A91" i="31"/>
  <c r="A92" i="31"/>
  <c r="A93" i="31"/>
  <c r="A94" i="31"/>
  <c r="A95" i="31"/>
  <c r="A96" i="31"/>
  <c r="A97" i="31"/>
  <c r="A98" i="31"/>
  <c r="A99" i="31"/>
  <c r="A100" i="31"/>
  <c r="A101" i="31"/>
  <c r="A102" i="31"/>
  <c r="A103" i="31"/>
  <c r="A104" i="31"/>
  <c r="A105" i="31"/>
  <c r="A106" i="31"/>
  <c r="A107" i="31"/>
  <c r="A108" i="31"/>
  <c r="A110" i="31"/>
  <c r="A111" i="31"/>
  <c r="A112" i="31"/>
  <c r="A113" i="31"/>
  <c r="A114" i="31"/>
  <c r="A115" i="31"/>
  <c r="A116" i="31"/>
  <c r="A117" i="31"/>
  <c r="A118" i="31"/>
  <c r="A119" i="31"/>
  <c r="A120" i="31"/>
  <c r="A121" i="31"/>
  <c r="A122" i="31"/>
  <c r="A123" i="31"/>
  <c r="A124" i="31"/>
  <c r="A125" i="31"/>
  <c r="A126" i="31"/>
  <c r="A127" i="31"/>
  <c r="A128" i="31"/>
  <c r="A129" i="31"/>
  <c r="A130" i="31"/>
  <c r="A131" i="31"/>
  <c r="A132" i="31"/>
  <c r="A133" i="31"/>
  <c r="A134" i="31"/>
  <c r="A135" i="31"/>
  <c r="A136" i="31"/>
  <c r="A137" i="31"/>
  <c r="A138" i="31"/>
  <c r="A139" i="31"/>
  <c r="A140" i="31"/>
  <c r="A141" i="31"/>
  <c r="A142" i="31"/>
  <c r="A143" i="31"/>
  <c r="A144" i="31"/>
  <c r="A145" i="31"/>
  <c r="A146" i="31"/>
  <c r="A147" i="31"/>
  <c r="A148" i="31"/>
  <c r="A149" i="31"/>
  <c r="A150" i="31"/>
  <c r="A151" i="31"/>
  <c r="A152" i="31"/>
  <c r="A153" i="31"/>
  <c r="A154" i="31"/>
  <c r="A155" i="31"/>
  <c r="A156" i="31"/>
  <c r="A171" i="31"/>
  <c r="A172" i="31"/>
  <c r="A183" i="31"/>
  <c r="A173" i="31"/>
  <c r="A174" i="31"/>
  <c r="A175" i="31"/>
  <c r="A176" i="31"/>
  <c r="A177" i="31"/>
  <c r="A178" i="31"/>
  <c r="A179" i="31"/>
  <c r="A180" i="31"/>
  <c r="A181" i="31"/>
  <c r="A182" i="31"/>
  <c r="A3" i="31"/>
  <c r="A2" i="31"/>
  <c r="A450" i="27" l="1"/>
  <c r="A451" i="27"/>
  <c r="A452" i="27"/>
  <c r="A453" i="27"/>
  <c r="A454" i="27"/>
  <c r="A455" i="27"/>
  <c r="A456" i="27"/>
  <c r="A457" i="27"/>
  <c r="A458" i="27"/>
  <c r="A459" i="27"/>
  <c r="A460" i="27"/>
  <c r="A461" i="27"/>
  <c r="A462" i="27"/>
  <c r="A463" i="27"/>
  <c r="A464" i="27"/>
  <c r="A465" i="27"/>
  <c r="A466" i="27"/>
  <c r="A467" i="27"/>
  <c r="A468" i="27"/>
  <c r="A469" i="27"/>
  <c r="A470" i="27"/>
  <c r="A471" i="27"/>
  <c r="A472" i="27"/>
  <c r="A473" i="27"/>
  <c r="A474" i="27"/>
  <c r="A475" i="27"/>
  <c r="A476" i="27"/>
  <c r="A477" i="27"/>
  <c r="A478" i="27"/>
  <c r="A479" i="27"/>
  <c r="A480" i="27"/>
  <c r="A481" i="27"/>
  <c r="A482" i="27"/>
  <c r="A483" i="27"/>
  <c r="A484" i="27"/>
  <c r="A485" i="27"/>
  <c r="A486" i="27"/>
  <c r="A487" i="27"/>
  <c r="A488" i="27"/>
  <c r="A489" i="27"/>
  <c r="A490" i="27"/>
  <c r="A491" i="27"/>
  <c r="A492" i="27"/>
  <c r="A493" i="27"/>
  <c r="A494" i="27"/>
  <c r="A495" i="27"/>
  <c r="A496" i="27"/>
  <c r="A497" i="27"/>
  <c r="A498" i="27"/>
  <c r="A499" i="27"/>
  <c r="A500" i="27"/>
  <c r="A501" i="27"/>
  <c r="A502" i="27"/>
  <c r="A503" i="27"/>
  <c r="A276" i="27" l="1"/>
  <c r="A277" i="27"/>
  <c r="A278" i="27"/>
  <c r="A279" i="27"/>
  <c r="A280" i="27"/>
  <c r="A281" i="27"/>
  <c r="A282" i="27"/>
  <c r="A283" i="27"/>
  <c r="A284" i="27"/>
  <c r="A285" i="27"/>
  <c r="A286" i="27"/>
  <c r="A287" i="27"/>
  <c r="A288" i="27"/>
  <c r="A136" i="27"/>
  <c r="A137" i="27"/>
  <c r="A443" i="27" l="1"/>
  <c r="A444" i="27"/>
  <c r="A445" i="27"/>
  <c r="A446" i="27"/>
  <c r="A447" i="27"/>
  <c r="A448" i="27"/>
  <c r="A449" i="27"/>
  <c r="A192" i="27"/>
  <c r="A193" i="27"/>
  <c r="A194" i="27"/>
  <c r="A195" i="27"/>
  <c r="A126" i="27"/>
  <c r="A127" i="27"/>
  <c r="A128" i="27"/>
  <c r="A129" i="27"/>
  <c r="A130" i="27"/>
  <c r="A131" i="27"/>
  <c r="A132" i="27"/>
  <c r="A133" i="27"/>
  <c r="A134" i="27"/>
  <c r="A135" i="27"/>
  <c r="A57" i="27"/>
  <c r="A46" i="26" l="1"/>
  <c r="A47" i="26"/>
  <c r="A48" i="26"/>
  <c r="A107" i="29" l="1"/>
  <c r="A450" i="28"/>
  <c r="A449" i="28"/>
  <c r="A275" i="27" l="1"/>
  <c r="A208" i="28" l="1"/>
  <c r="A207" i="28"/>
  <c r="A206" i="28"/>
  <c r="A205" i="28"/>
  <c r="A56" i="27" l="1"/>
  <c r="A55" i="27"/>
  <c r="A54" i="27"/>
  <c r="A53" i="27"/>
  <c r="A52" i="27"/>
  <c r="A49" i="28"/>
  <c r="A48" i="28"/>
  <c r="A47" i="28"/>
  <c r="A46" i="28"/>
  <c r="A45" i="28"/>
  <c r="A44" i="28" l="1"/>
  <c r="A51" i="27"/>
  <c r="A58" i="28" l="1"/>
  <c r="A8" i="27" l="1"/>
  <c r="A341" i="28" l="1"/>
  <c r="A442" i="27" l="1"/>
  <c r="A441" i="27"/>
  <c r="A440" i="27"/>
  <c r="A439" i="27"/>
  <c r="A438" i="27"/>
  <c r="A437" i="27"/>
  <c r="A204" i="28" l="1"/>
  <c r="A203" i="28"/>
  <c r="A202" i="28"/>
  <c r="A352" i="28"/>
  <c r="A351" i="28"/>
  <c r="A191" i="27"/>
  <c r="A190" i="27"/>
  <c r="A196" i="27"/>
  <c r="A197" i="27"/>
  <c r="A350" i="28" l="1"/>
  <c r="A349" i="28"/>
  <c r="A348" i="28"/>
  <c r="A189" i="27"/>
  <c r="A188" i="27"/>
  <c r="A187" i="27"/>
  <c r="A63" i="27"/>
  <c r="A62" i="27"/>
  <c r="A61" i="27"/>
  <c r="A60" i="27"/>
  <c r="A59" i="27"/>
  <c r="A58" i="27"/>
  <c r="A50" i="27"/>
  <c r="A142" i="23" l="1"/>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112" i="29"/>
  <c r="A111" i="29"/>
  <c r="A114" i="29"/>
  <c r="A113" i="29"/>
  <c r="A110" i="29"/>
  <c r="A109" i="29"/>
  <c r="A108"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A21" i="29"/>
  <c r="A20" i="29"/>
  <c r="A19" i="29"/>
  <c r="A18" i="29"/>
  <c r="A17" i="29"/>
  <c r="A16" i="29"/>
  <c r="A15" i="29"/>
  <c r="A14" i="29"/>
  <c r="A13" i="29"/>
  <c r="A12" i="29"/>
  <c r="A11" i="29"/>
  <c r="A10" i="29"/>
  <c r="A9" i="29"/>
  <c r="A8" i="29"/>
  <c r="A7" i="29"/>
  <c r="A6" i="29"/>
  <c r="A5" i="29"/>
  <c r="A4" i="29"/>
  <c r="A3" i="28"/>
  <c r="A2" i="28"/>
  <c r="A201" i="28"/>
  <c r="A200" i="28"/>
  <c r="A199" i="28"/>
  <c r="A198" i="28"/>
  <c r="A197" i="28"/>
  <c r="A196" i="28"/>
  <c r="A195" i="28"/>
  <c r="A194" i="28"/>
  <c r="A193" i="28"/>
  <c r="A192" i="28"/>
  <c r="A191" i="28"/>
  <c r="A190" i="28"/>
  <c r="A189" i="28"/>
  <c r="A188" i="28"/>
  <c r="A187" i="28"/>
  <c r="A186" i="28"/>
  <c r="A185" i="28"/>
  <c r="A184" i="28"/>
  <c r="A183" i="28"/>
  <c r="A182" i="28"/>
  <c r="A181" i="28"/>
  <c r="A180" i="28"/>
  <c r="A179" i="28"/>
  <c r="A178" i="28"/>
  <c r="A177" i="28"/>
  <c r="A176" i="28"/>
  <c r="A175" i="28"/>
  <c r="A174"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4" i="28"/>
  <c r="A7" i="28"/>
  <c r="A6" i="28"/>
  <c r="A5" i="28"/>
  <c r="A347" i="28"/>
  <c r="A448" i="28"/>
  <c r="A447" i="28"/>
  <c r="A446" i="28"/>
  <c r="A445" i="28"/>
  <c r="A444" i="28"/>
  <c r="A443" i="28"/>
  <c r="A442" i="28"/>
  <c r="A441" i="28"/>
  <c r="A440" i="28"/>
  <c r="A439" i="28"/>
  <c r="A438" i="28"/>
  <c r="A437" i="28"/>
  <c r="A436" i="28"/>
  <c r="A435" i="28"/>
  <c r="A434" i="28"/>
  <c r="A433" i="28"/>
  <c r="A432" i="28"/>
  <c r="A431" i="28"/>
  <c r="A430" i="28"/>
  <c r="A429" i="28"/>
  <c r="A428" i="28"/>
  <c r="A427" i="28"/>
  <c r="A426" i="28"/>
  <c r="A425" i="28"/>
  <c r="A424" i="28"/>
  <c r="A423" i="28"/>
  <c r="A422" i="28"/>
  <c r="A421" i="28"/>
  <c r="A420" i="28"/>
  <c r="A419" i="28"/>
  <c r="A418" i="28"/>
  <c r="A417" i="28"/>
  <c r="A416" i="28"/>
  <c r="A415" i="28"/>
  <c r="A414" i="28"/>
  <c r="A413" i="28"/>
  <c r="A412" i="28"/>
  <c r="A411" i="28"/>
  <c r="A410" i="28"/>
  <c r="A409" i="28"/>
  <c r="A408" i="28"/>
  <c r="A407" i="28"/>
  <c r="A406" i="28"/>
  <c r="A405" i="28"/>
  <c r="A404" i="28"/>
  <c r="A403" i="28"/>
  <c r="A402" i="28"/>
  <c r="A401" i="28"/>
  <c r="A400" i="28"/>
  <c r="A399" i="28"/>
  <c r="A398" i="28"/>
  <c r="A397" i="28"/>
  <c r="A396" i="28"/>
  <c r="A395" i="28"/>
  <c r="A394" i="28"/>
  <c r="A393" i="28"/>
  <c r="A392" i="28"/>
  <c r="A391" i="28"/>
  <c r="A390" i="28"/>
  <c r="A389" i="28"/>
  <c r="A388" i="28"/>
  <c r="A387" i="28"/>
  <c r="A386" i="28"/>
  <c r="A385" i="28"/>
  <c r="A384" i="28"/>
  <c r="A383" i="28"/>
  <c r="A382" i="28"/>
  <c r="A381" i="28"/>
  <c r="A380" i="28"/>
  <c r="A379" i="28"/>
  <c r="A378" i="28"/>
  <c r="A377" i="28"/>
  <c r="A376" i="28"/>
  <c r="A375" i="28"/>
  <c r="A374" i="28"/>
  <c r="A373" i="28"/>
  <c r="A372" i="28"/>
  <c r="A371" i="28"/>
  <c r="A346" i="28"/>
  <c r="A345" i="28"/>
  <c r="A344" i="28"/>
  <c r="A343" i="28"/>
  <c r="A342" i="28"/>
  <c r="A340" i="28"/>
  <c r="A339" i="28"/>
  <c r="A338" i="28"/>
  <c r="A337" i="28"/>
  <c r="A336" i="28"/>
  <c r="A335" i="28"/>
  <c r="A334" i="28"/>
  <c r="A333" i="28"/>
  <c r="A332" i="28"/>
  <c r="A331" i="28"/>
  <c r="A330" i="28"/>
  <c r="A329" i="28"/>
  <c r="A328" i="28"/>
  <c r="A327" i="28"/>
  <c r="A326" i="28"/>
  <c r="A325" i="28"/>
  <c r="A324" i="28"/>
  <c r="A323" i="28"/>
  <c r="A322" i="28"/>
  <c r="A321" i="28"/>
  <c r="A320" i="28"/>
  <c r="A319" i="28"/>
  <c r="A318" i="28"/>
  <c r="A317" i="28"/>
  <c r="A316" i="28"/>
  <c r="A315" i="28"/>
  <c r="A314" i="28"/>
  <c r="A313" i="28"/>
  <c r="A312" i="28"/>
  <c r="A311" i="28"/>
  <c r="A310" i="28"/>
  <c r="A309" i="28"/>
  <c r="A308" i="28"/>
  <c r="A307" i="28"/>
  <c r="A306" i="28"/>
  <c r="A305" i="28"/>
  <c r="A304" i="28"/>
  <c r="A303" i="28"/>
  <c r="A302" i="28"/>
  <c r="A301" i="28"/>
  <c r="A300" i="28"/>
  <c r="A299" i="28"/>
  <c r="A286" i="28"/>
  <c r="A284" i="28"/>
  <c r="A283" i="28"/>
  <c r="A282" i="28"/>
  <c r="A281" i="28"/>
  <c r="A280" i="28"/>
  <c r="A279" i="28"/>
  <c r="A278" i="28"/>
  <c r="A277" i="28"/>
  <c r="A276" i="28"/>
  <c r="A275" i="28"/>
  <c r="A274" i="28"/>
  <c r="A273" i="28"/>
  <c r="A272" i="28"/>
  <c r="A271" i="28"/>
  <c r="A270" i="28"/>
  <c r="A269" i="28"/>
  <c r="A268" i="28"/>
  <c r="A267" i="28"/>
  <c r="A266" i="28"/>
  <c r="A265" i="28"/>
  <c r="A264" i="28"/>
  <c r="A263" i="28"/>
  <c r="A262" i="28"/>
  <c r="A261" i="28"/>
  <c r="A260" i="28"/>
  <c r="A259" i="28"/>
  <c r="A258" i="28"/>
  <c r="A257" i="28"/>
  <c r="A256" i="28"/>
  <c r="A255" i="28"/>
  <c r="A254" i="28"/>
  <c r="A253" i="28"/>
  <c r="A252" i="28"/>
  <c r="A251" i="28"/>
  <c r="A250" i="28"/>
  <c r="A249" i="28"/>
  <c r="A248" i="28"/>
  <c r="A247" i="28"/>
  <c r="A246" i="28"/>
  <c r="A245" i="28"/>
  <c r="A244" i="28"/>
  <c r="A243" i="28"/>
  <c r="A242" i="28"/>
  <c r="A241" i="28"/>
  <c r="A240" i="28"/>
  <c r="A239" i="28"/>
  <c r="A238" i="28"/>
  <c r="A237" i="28"/>
  <c r="A236" i="28"/>
  <c r="A235" i="28"/>
  <c r="A234" i="28"/>
  <c r="A233" i="28"/>
  <c r="A232" i="28"/>
  <c r="A231" i="28"/>
  <c r="A230" i="28"/>
  <c r="A229" i="28"/>
  <c r="A228" i="28"/>
  <c r="A227" i="28"/>
  <c r="A226" i="28"/>
  <c r="A225" i="28"/>
  <c r="A224" i="28"/>
  <c r="A223" i="28"/>
  <c r="A178" i="18" l="1"/>
  <c r="A177"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436" i="27"/>
  <c r="A435" i="27"/>
  <c r="A434" i="27"/>
  <c r="A433" i="27"/>
  <c r="A432" i="27"/>
  <c r="A431" i="27"/>
  <c r="A430" i="27"/>
  <c r="A429" i="27"/>
  <c r="A428" i="27"/>
  <c r="A427" i="27"/>
  <c r="A426" i="27"/>
  <c r="A425" i="27"/>
  <c r="A424" i="27"/>
  <c r="A423" i="27"/>
  <c r="A422" i="27"/>
  <c r="A421" i="27"/>
  <c r="A420" i="27"/>
  <c r="A419" i="27"/>
  <c r="A418" i="27"/>
  <c r="A417" i="27"/>
  <c r="A416" i="27"/>
  <c r="A415" i="27"/>
  <c r="A414" i="27"/>
  <c r="A413" i="27"/>
  <c r="A412" i="27"/>
  <c r="A411" i="27"/>
  <c r="A410" i="27"/>
  <c r="A409" i="27"/>
  <c r="A408" i="27"/>
  <c r="A407" i="27"/>
  <c r="A406" i="27"/>
  <c r="A405" i="27"/>
  <c r="A404" i="27"/>
  <c r="A403" i="27"/>
  <c r="A402" i="27"/>
  <c r="A401" i="27"/>
  <c r="A400" i="27"/>
  <c r="A399" i="27"/>
  <c r="A398" i="27"/>
  <c r="A397" i="27"/>
  <c r="A396" i="27"/>
  <c r="A395" i="27"/>
  <c r="A394" i="27"/>
  <c r="A393" i="27"/>
  <c r="A392" i="27"/>
  <c r="A391" i="27"/>
  <c r="A390" i="27"/>
  <c r="A389" i="27"/>
  <c r="A388" i="27"/>
  <c r="A387" i="27"/>
  <c r="A386" i="27"/>
  <c r="A385" i="27"/>
  <c r="A384" i="27"/>
  <c r="A383" i="27"/>
  <c r="A382" i="27"/>
  <c r="A381" i="27"/>
  <c r="A380" i="27"/>
  <c r="A379" i="27"/>
  <c r="A378" i="27"/>
  <c r="A377" i="27"/>
  <c r="A376" i="27"/>
  <c r="A375" i="27"/>
  <c r="A374" i="27"/>
  <c r="A373" i="27"/>
  <c r="A372" i="27"/>
  <c r="A371" i="27"/>
  <c r="A370" i="27"/>
  <c r="A369" i="27"/>
  <c r="A368" i="27"/>
  <c r="A367" i="27"/>
  <c r="A366" i="27"/>
  <c r="A365" i="27"/>
  <c r="A364" i="27"/>
  <c r="A363" i="27"/>
  <c r="A362" i="27"/>
  <c r="A361" i="27"/>
  <c r="A360" i="27"/>
  <c r="A359" i="27"/>
  <c r="A358" i="27"/>
  <c r="A357" i="27"/>
  <c r="A356" i="27"/>
  <c r="A355" i="27"/>
  <c r="A354" i="27"/>
  <c r="A353" i="27"/>
  <c r="A352" i="27"/>
  <c r="A351" i="27"/>
  <c r="A350" i="27"/>
  <c r="A349" i="27"/>
  <c r="A348" i="27"/>
  <c r="A347" i="27"/>
  <c r="A346" i="27"/>
  <c r="A345" i="27"/>
  <c r="A344" i="27"/>
  <c r="A343" i="27"/>
  <c r="A342" i="27"/>
  <c r="A341" i="27"/>
  <c r="A340" i="27"/>
  <c r="A339" i="27"/>
  <c r="A338" i="27"/>
  <c r="A337" i="27"/>
  <c r="A336" i="27"/>
  <c r="A335" i="27"/>
  <c r="A334" i="27"/>
  <c r="A333" i="27"/>
  <c r="A332" i="27"/>
  <c r="A331" i="27"/>
  <c r="A330" i="27"/>
  <c r="A329" i="27"/>
  <c r="A328" i="27"/>
  <c r="A327" i="27"/>
  <c r="A326" i="27"/>
  <c r="A325" i="27"/>
  <c r="A324" i="27"/>
  <c r="A323" i="27"/>
  <c r="A322" i="27"/>
  <c r="A321" i="27"/>
  <c r="A320" i="27"/>
  <c r="A319" i="27"/>
  <c r="A318" i="27"/>
  <c r="A317" i="27"/>
  <c r="A316" i="27"/>
  <c r="A315" i="27"/>
  <c r="A314" i="27"/>
  <c r="A313" i="27"/>
  <c r="A312" i="27"/>
  <c r="A311" i="27"/>
  <c r="A310" i="27"/>
  <c r="A309" i="27"/>
  <c r="A308" i="27"/>
  <c r="A307" i="27"/>
  <c r="A306" i="27"/>
  <c r="A305" i="27"/>
  <c r="A304" i="27"/>
  <c r="A303" i="27"/>
  <c r="A302" i="27"/>
  <c r="A301" i="27"/>
  <c r="A300" i="27"/>
  <c r="A299" i="27"/>
  <c r="A298" i="27"/>
  <c r="A297" i="27"/>
  <c r="A296" i="27"/>
  <c r="A295" i="27"/>
  <c r="A294" i="27"/>
  <c r="A293" i="27"/>
  <c r="A292" i="27"/>
  <c r="A291" i="27"/>
  <c r="A49" i="27"/>
  <c r="A48" i="27"/>
  <c r="A47" i="27"/>
  <c r="A46" i="27"/>
  <c r="A45" i="27"/>
  <c r="A44" i="27"/>
  <c r="A43" i="27"/>
  <c r="A42" i="27"/>
  <c r="A41" i="27"/>
  <c r="A40" i="27"/>
  <c r="A39" i="27"/>
  <c r="A37" i="27"/>
  <c r="A36" i="27"/>
  <c r="A35" i="27"/>
  <c r="A27" i="27"/>
  <c r="A38" i="27"/>
  <c r="A26" i="27"/>
  <c r="A25" i="27"/>
  <c r="A24" i="27"/>
  <c r="A23" i="27"/>
  <c r="A22" i="27"/>
  <c r="A34" i="27"/>
  <c r="A33" i="27"/>
  <c r="A32" i="27"/>
  <c r="A31" i="27"/>
  <c r="A30" i="27"/>
  <c r="A29" i="27"/>
  <c r="A28" i="27"/>
  <c r="A21" i="27"/>
  <c r="A20" i="27"/>
  <c r="A19" i="27"/>
  <c r="A18" i="27"/>
  <c r="A17" i="27"/>
  <c r="A16" i="27"/>
  <c r="A15" i="27"/>
  <c r="A14" i="27"/>
  <c r="A13" i="27"/>
  <c r="A12" i="27"/>
  <c r="A11" i="27"/>
  <c r="A10" i="27"/>
  <c r="A9" i="27"/>
  <c r="A4" i="27"/>
  <c r="A7" i="27"/>
  <c r="A6" i="27"/>
  <c r="A5" i="27"/>
  <c r="A274" i="27"/>
  <c r="A186" i="27"/>
  <c r="A124" i="27"/>
  <c r="A273" i="27"/>
  <c r="A272" i="27"/>
  <c r="A271" i="27"/>
  <c r="A270" i="27"/>
  <c r="A269" i="27"/>
  <c r="A268" i="27"/>
  <c r="A267" i="27"/>
  <c r="A266" i="27"/>
  <c r="A265" i="27"/>
  <c r="A264" i="27"/>
  <c r="A263" i="27"/>
  <c r="A262" i="27"/>
  <c r="A261" i="27"/>
  <c r="A260" i="27"/>
  <c r="A259" i="27"/>
  <c r="A258" i="27"/>
  <c r="A257" i="27"/>
  <c r="A256" i="27"/>
  <c r="A255" i="27"/>
  <c r="A254" i="27"/>
  <c r="A253" i="27"/>
  <c r="A252" i="27"/>
  <c r="A251" i="27"/>
  <c r="A250" i="27"/>
  <c r="A249" i="27"/>
  <c r="A248" i="27"/>
  <c r="A247" i="27"/>
  <c r="A246" i="27"/>
  <c r="A245" i="27"/>
  <c r="A244" i="27"/>
  <c r="A243" i="27"/>
  <c r="A242" i="27"/>
  <c r="A241" i="27"/>
  <c r="A240" i="27"/>
  <c r="A239" i="27"/>
  <c r="A238" i="27"/>
  <c r="A237" i="27"/>
  <c r="A236" i="27"/>
  <c r="A235" i="27"/>
  <c r="A234" i="27"/>
  <c r="A233" i="27"/>
  <c r="A232" i="27"/>
  <c r="A231" i="27"/>
  <c r="A230" i="27"/>
  <c r="A229" i="27"/>
  <c r="A228" i="27"/>
  <c r="A227" i="27"/>
  <c r="A226" i="27"/>
  <c r="A225" i="27"/>
  <c r="A224" i="27"/>
  <c r="A223" i="27"/>
  <c r="A222" i="27"/>
  <c r="A221" i="27"/>
  <c r="A220" i="27"/>
  <c r="A219" i="27"/>
  <c r="A218" i="27"/>
  <c r="A217" i="27"/>
  <c r="A216" i="27"/>
  <c r="A215" i="27"/>
  <c r="A214" i="27"/>
  <c r="A213" i="27"/>
  <c r="A212" i="27"/>
  <c r="A211" i="27"/>
  <c r="A210" i="27"/>
  <c r="A209" i="27"/>
  <c r="A208" i="27"/>
  <c r="A207" i="27"/>
  <c r="A206" i="27"/>
  <c r="A205" i="27"/>
  <c r="A204" i="27"/>
  <c r="A203" i="27"/>
  <c r="A202" i="27"/>
  <c r="A201" i="27"/>
  <c r="A200" i="27"/>
  <c r="A199" i="27"/>
  <c r="A198" i="27"/>
  <c r="A185" i="27"/>
  <c r="A184" i="27"/>
  <c r="A183" i="27"/>
  <c r="A182" i="27"/>
  <c r="A181" i="27"/>
  <c r="A180" i="27"/>
  <c r="A179" i="27"/>
  <c r="A178" i="27"/>
  <c r="A177" i="27"/>
  <c r="A176" i="27"/>
  <c r="A175" i="27"/>
  <c r="A174"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25"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3" i="27"/>
  <c r="A2" i="27"/>
  <c r="A236" i="26"/>
  <c r="A235" i="26"/>
  <c r="A234" i="26"/>
  <c r="A233" i="26"/>
  <c r="A232" i="26"/>
  <c r="A231" i="26"/>
  <c r="A230" i="26"/>
  <c r="A229" i="26"/>
  <c r="A228" i="26"/>
  <c r="A227" i="26"/>
  <c r="A226" i="26"/>
  <c r="A225" i="26"/>
  <c r="A224"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7" i="26"/>
  <c r="A6" i="26"/>
  <c r="A5" i="26"/>
  <c r="A4" i="26"/>
  <c r="A3" i="26"/>
  <c r="A2" i="26"/>
  <c r="X11" i="25" l="1"/>
  <c r="X10" i="25"/>
  <c r="X9" i="25"/>
  <c r="X8" i="25"/>
  <c r="X7" i="25"/>
  <c r="X6" i="25"/>
  <c r="X5" i="25"/>
  <c r="X4" i="25"/>
  <c r="X3" i="25"/>
  <c r="A162" i="25"/>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315" i="25" s="1"/>
  <c r="A316" i="25" s="1"/>
  <c r="A317" i="25" s="1"/>
  <c r="A4" i="25"/>
  <c r="A5" i="25" s="1"/>
  <c r="A6" i="25" s="1"/>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106" i="25" s="1"/>
  <c r="A107" i="25" s="1"/>
  <c r="A108" i="25" s="1"/>
  <c r="A109" i="25" s="1"/>
  <c r="A110" i="25" s="1"/>
  <c r="A111" i="25" s="1"/>
  <c r="A112" i="25" s="1"/>
  <c r="A113" i="25" s="1"/>
  <c r="A114" i="25" s="1"/>
  <c r="A115" i="25" s="1"/>
  <c r="A116" i="25" s="1"/>
  <c r="A117" i="25" s="1"/>
  <c r="A118" i="25" s="1"/>
  <c r="A119" i="25" s="1"/>
  <c r="A120" i="25" s="1"/>
  <c r="A127" i="25" s="1"/>
  <c r="A128" i="25" s="1"/>
  <c r="A129" i="25" s="1"/>
  <c r="A130" i="25" s="1"/>
  <c r="A131" i="25" s="1"/>
  <c r="A132" i="25" s="1"/>
  <c r="A133" i="25" s="1"/>
  <c r="A134" i="25" s="1"/>
  <c r="A135" i="25" s="1"/>
  <c r="A136" i="25" s="1"/>
  <c r="A137" i="25" s="1"/>
  <c r="A138" i="25" s="1"/>
  <c r="A139" i="25" s="1"/>
  <c r="A140" i="25" s="1"/>
  <c r="A141" i="25" s="1"/>
  <c r="A142" i="25" s="1"/>
  <c r="A159" i="25" s="1"/>
  <c r="A160" i="25" s="1"/>
  <c r="A161" i="25" s="1"/>
  <c r="X12" i="25" l="1"/>
  <c r="A354" i="13"/>
  <c r="A355" i="13" s="1"/>
  <c r="A356" i="13" s="1"/>
  <c r="A357" i="13" s="1"/>
  <c r="A358" i="13" s="1"/>
  <c r="A359" i="13" s="1"/>
  <c r="A360" i="13" s="1"/>
  <c r="A361" i="13" s="1"/>
  <c r="A362" i="13"/>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c r="A384" i="13" s="1"/>
  <c r="A385" i="13" s="1"/>
  <c r="A386" i="13" s="1"/>
  <c r="A387" i="13" s="1"/>
  <c r="A388" i="13" s="1"/>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c r="A412" i="13" s="1"/>
  <c r="A413" i="13" s="1"/>
  <c r="A414" i="13" s="1"/>
  <c r="A415" i="13" s="1"/>
  <c r="A416" i="13" s="1"/>
  <c r="A417" i="13" s="1"/>
  <c r="A418" i="13" s="1"/>
  <c r="A419" i="13" s="1"/>
  <c r="A420" i="13" s="1"/>
  <c r="A421" i="13"/>
  <c r="A422" i="13" s="1"/>
  <c r="A423" i="13"/>
  <c r="A424" i="13" s="1"/>
  <c r="A425" i="13" s="1"/>
  <c r="A426" i="13" s="1"/>
  <c r="A427" i="13" s="1"/>
  <c r="A428" i="13" s="1"/>
  <c r="A429" i="13" s="1"/>
  <c r="A430" i="13" s="1"/>
  <c r="A431" i="13"/>
  <c r="A432" i="13" s="1"/>
  <c r="A433" i="13" s="1"/>
  <c r="A434" i="13" s="1"/>
  <c r="A435" i="13" s="1"/>
  <c r="A436" i="13" s="1"/>
  <c r="A437" i="13" s="1"/>
  <c r="A438" i="13" s="1"/>
  <c r="A439" i="13" s="1"/>
  <c r="A440" i="13" s="1"/>
  <c r="A441" i="13" s="1"/>
  <c r="A442" i="13" s="1"/>
  <c r="A443" i="13" s="1"/>
  <c r="A444" i="13" s="1"/>
  <c r="A445" i="13" s="1"/>
  <c r="A446" i="13" s="1"/>
  <c r="A447" i="13"/>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c r="A471" i="13" s="1"/>
  <c r="A472" i="13" s="1"/>
  <c r="A473" i="13" s="1"/>
  <c r="A474" i="13" s="1"/>
  <c r="A475" i="13" s="1"/>
  <c r="A476" i="13" s="1"/>
  <c r="A477" i="13" s="1"/>
  <c r="A478" i="13" s="1"/>
  <c r="A479" i="13" s="1"/>
  <c r="A480" i="13" s="1"/>
  <c r="A481" i="13" s="1"/>
  <c r="A482" i="13" s="1"/>
  <c r="A483" i="13" s="1"/>
  <c r="A484" i="13"/>
  <c r="A485" i="13" s="1"/>
  <c r="A486" i="13" s="1"/>
  <c r="A487" i="13" s="1"/>
  <c r="A488" i="13" s="1"/>
  <c r="A489" i="13" s="1"/>
  <c r="A490" i="13" s="1"/>
  <c r="A491" i="13" s="1"/>
  <c r="A492" i="13" s="1"/>
  <c r="A493" i="13" s="1"/>
  <c r="A494" i="13" s="1"/>
  <c r="A495" i="13" s="1"/>
  <c r="A496" i="13" s="1"/>
  <c r="A497" i="13" s="1"/>
  <c r="A498" i="13"/>
  <c r="A499" i="13" s="1"/>
  <c r="A500" i="13" s="1"/>
  <c r="A501" i="13" s="1"/>
  <c r="A502" i="13" s="1"/>
  <c r="A503" i="13" s="1"/>
  <c r="A504" i="13" s="1"/>
  <c r="A505" i="13" s="1"/>
  <c r="A506" i="13" s="1"/>
  <c r="A507" i="13" s="1"/>
  <c r="A508" i="13" s="1"/>
  <c r="A509" i="13"/>
  <c r="A510" i="13" s="1"/>
  <c r="A511" i="13" s="1"/>
  <c r="A512" i="13" s="1"/>
  <c r="A513" i="13" s="1"/>
  <c r="A514" i="13" s="1"/>
  <c r="A515" i="13" s="1"/>
  <c r="A516" i="13" s="1"/>
  <c r="A517" i="13" s="1"/>
  <c r="A518" i="13" s="1"/>
  <c r="A519" i="13"/>
  <c r="A520" i="13" s="1"/>
  <c r="A521" i="13" s="1"/>
  <c r="A522" i="13" s="1"/>
  <c r="A523" i="13" s="1"/>
  <c r="A524" i="13" s="1"/>
  <c r="A525" i="13" s="1"/>
  <c r="A526" i="13" s="1"/>
  <c r="A527" i="13" s="1"/>
  <c r="A528" i="13" s="1"/>
  <c r="A529" i="13" s="1"/>
  <c r="A530" i="13" s="1"/>
  <c r="A531" i="13" s="1"/>
  <c r="A532" i="13" s="1"/>
  <c r="A533" i="13" s="1"/>
  <c r="A534" i="13"/>
  <c r="A535" i="13"/>
  <c r="A536" i="13" s="1"/>
  <c r="A537" i="13" s="1"/>
  <c r="A538" i="13" s="1"/>
  <c r="A539" i="13" s="1"/>
  <c r="A540" i="13" s="1"/>
  <c r="A541" i="13" s="1"/>
  <c r="A542" i="13" s="1"/>
  <c r="A543" i="13"/>
  <c r="A544" i="13" s="1"/>
  <c r="A545" i="13" s="1"/>
  <c r="A546" i="13" s="1"/>
  <c r="A547" i="13" s="1"/>
  <c r="A548" i="13" s="1"/>
  <c r="A549" i="13" s="1"/>
  <c r="A550" i="13" s="1"/>
  <c r="A551" i="13" s="1"/>
  <c r="A552" i="13" s="1"/>
  <c r="A553" i="13" s="1"/>
  <c r="A554" i="13" s="1"/>
  <c r="A555" i="13" s="1"/>
  <c r="A556" i="13" s="1"/>
  <c r="A557" i="13" s="1"/>
  <c r="A558" i="13" s="1"/>
  <c r="A559" i="13"/>
  <c r="A560" i="13" s="1"/>
  <c r="A561" i="13" s="1"/>
  <c r="A562" i="13" s="1"/>
  <c r="A563" i="13" s="1"/>
  <c r="A564" i="13" s="1"/>
  <c r="A565" i="13" s="1"/>
  <c r="A566" i="13" s="1"/>
  <c r="A567" i="13" s="1"/>
  <c r="A568" i="13" s="1"/>
  <c r="A569" i="13" s="1"/>
  <c r="A570" i="13" s="1"/>
  <c r="A571" i="13" s="1"/>
  <c r="A572" i="13" s="1"/>
  <c r="A573" i="13" s="1"/>
  <c r="A574" i="13" s="1"/>
  <c r="A575" i="13" s="1"/>
  <c r="A576" i="13" s="1"/>
  <c r="A577" i="13" s="1"/>
  <c r="A578" i="13" s="1"/>
  <c r="A579" i="13" s="1"/>
  <c r="A580" i="13" s="1"/>
  <c r="A581" i="13" s="1"/>
  <c r="A582" i="13"/>
  <c r="A583" i="13"/>
  <c r="A584" i="13" s="1"/>
  <c r="A585" i="13" s="1"/>
  <c r="A586" i="13" s="1"/>
  <c r="A587" i="13" s="1"/>
  <c r="A588" i="13" s="1"/>
  <c r="A589" i="13" s="1"/>
  <c r="A590" i="13" s="1"/>
  <c r="A591" i="13" s="1"/>
  <c r="A592" i="13" s="1"/>
  <c r="A593" i="13" s="1"/>
  <c r="A594" i="13"/>
  <c r="A595" i="13" s="1"/>
  <c r="A596" i="13" s="1"/>
  <c r="A597" i="13" s="1"/>
  <c r="A598" i="13" s="1"/>
  <c r="A599" i="13" s="1"/>
  <c r="A600" i="13" s="1"/>
  <c r="A601" i="13" s="1"/>
  <c r="A602" i="13" s="1"/>
  <c r="A156" i="13" l="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300" i="13" s="1"/>
  <c r="A301" i="13" s="1"/>
  <c r="A302" i="13" s="1"/>
  <c r="A303" i="13"/>
  <c r="A304" i="13" s="1"/>
  <c r="A305" i="13" s="1"/>
  <c r="A306" i="13" l="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F597" i="13"/>
  <c r="F562" i="13"/>
  <c r="F537" i="13"/>
  <c r="F522" i="13"/>
  <c r="F487" i="13"/>
  <c r="F450" i="13"/>
  <c r="F414" i="13"/>
  <c r="F386" i="13"/>
  <c r="A4" i="13" l="1"/>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106" i="13" s="1"/>
  <c r="A107" i="13" s="1"/>
  <c r="A108" i="13" s="1"/>
  <c r="A109" i="13" s="1"/>
  <c r="A110" i="13" s="1"/>
  <c r="A111" i="13" s="1"/>
  <c r="A112" i="13" s="1"/>
  <c r="A113" i="13" s="1"/>
  <c r="A114" i="13" s="1"/>
  <c r="A115" i="13" s="1"/>
  <c r="A116" i="13" s="1"/>
  <c r="A117" i="13" s="1"/>
  <c r="A118" i="13" s="1"/>
  <c r="A119" i="13" s="1"/>
  <c r="A120" i="13" s="1"/>
  <c r="A127" i="13" s="1"/>
  <c r="A128" i="13" s="1"/>
  <c r="A129" i="13" s="1"/>
  <c r="A130" i="13" s="1"/>
  <c r="A131" i="13" s="1"/>
  <c r="A132" i="13" s="1"/>
  <c r="A133" i="13" s="1"/>
  <c r="A134" i="13" s="1"/>
  <c r="A135" i="13" s="1"/>
  <c r="A136" i="13" s="1"/>
  <c r="A137" i="13" s="1"/>
  <c r="A138" i="13" s="1"/>
  <c r="A139" i="13" s="1"/>
  <c r="A140" i="13" s="1"/>
  <c r="A141" i="13" s="1"/>
  <c r="A142" i="13" s="1"/>
  <c r="A153" i="13" s="1"/>
  <c r="A154" i="13" s="1"/>
  <c r="A15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K102805</author>
  </authors>
  <commentList>
    <comment ref="B42" authorId="0" shapeId="0" xr:uid="{00000000-0006-0000-0600-000001000000}">
      <text>
        <r>
          <rPr>
            <sz val="9"/>
            <color indexed="81"/>
            <rFont val="Tahoma"/>
            <family val="2"/>
          </rPr>
          <t>A2036:</t>
        </r>
        <r>
          <rPr>
            <sz val="9"/>
            <color indexed="81"/>
            <rFont val="돋움"/>
            <family val="3"/>
            <charset val="129"/>
          </rPr>
          <t>스크래핑소득</t>
        </r>
        <r>
          <rPr>
            <sz val="9"/>
            <color indexed="81"/>
            <rFont val="Tahoma"/>
            <family val="2"/>
          </rPr>
          <t>_</t>
        </r>
        <r>
          <rPr>
            <sz val="9"/>
            <color indexed="81"/>
            <rFont val="돋움"/>
            <family val="3"/>
            <charset val="129"/>
          </rPr>
          <t xml:space="preserve">건보
</t>
        </r>
        <r>
          <rPr>
            <sz val="9"/>
            <color indexed="81"/>
            <rFont val="Tahoma"/>
            <family val="2"/>
          </rPr>
          <t>[tRCLIPS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 = RClipseUtil.setValue("A2036", TypeConvertUtil.toString([r</t>
        </r>
        <r>
          <rPr>
            <sz val="9"/>
            <color indexed="81"/>
            <rFont val="돋움"/>
            <family val="3"/>
            <charset val="129"/>
          </rPr>
          <t>스크래핑건강보험최종소득금액조회</t>
        </r>
        <r>
          <rPr>
            <sz val="9"/>
            <color indexed="81"/>
            <rFont val="Tahoma"/>
            <family val="2"/>
          </rPr>
          <t>E].[</t>
        </r>
        <r>
          <rPr>
            <sz val="9"/>
            <color indexed="81"/>
            <rFont val="돋움"/>
            <family val="3"/>
            <charset val="129"/>
          </rPr>
          <t>스크래핑건강보험최종소득금액</t>
        </r>
        <r>
          <rPr>
            <sz val="9"/>
            <color indexed="81"/>
            <rFont val="Tahoma"/>
            <family val="2"/>
          </rPr>
          <t>_N15]), [i</t>
        </r>
        <r>
          <rPr>
            <sz val="9"/>
            <color indexed="81"/>
            <rFont val="돋움"/>
            <family val="3"/>
            <charset val="129"/>
          </rPr>
          <t>숫자</t>
        </r>
        <r>
          <rPr>
            <sz val="9"/>
            <color indexed="81"/>
            <rFont val="Tahoma"/>
            <family val="2"/>
          </rPr>
          <t>], [i</t>
        </r>
        <r>
          <rPr>
            <sz val="9"/>
            <color indexed="81"/>
            <rFont val="돋움"/>
            <family val="3"/>
            <charset val="129"/>
          </rPr>
          <t>항목길이</t>
        </r>
        <r>
          <rPr>
            <sz val="9"/>
            <color indexed="81"/>
            <rFont val="Tahoma"/>
            <family val="2"/>
          </rPr>
          <t>]);
LDataUtil.addChangeValue([tRCLIPS</t>
        </r>
        <r>
          <rPr>
            <sz val="9"/>
            <color indexed="81"/>
            <rFont val="돋움"/>
            <family val="3"/>
            <charset val="129"/>
          </rPr>
          <t>요청항목내용목록</t>
        </r>
        <r>
          <rPr>
            <sz val="9"/>
            <color indexed="81"/>
            <rFont val="Tahoma"/>
            <family val="2"/>
          </rPr>
          <t>], [s</t>
        </r>
        <r>
          <rPr>
            <sz val="9"/>
            <color indexed="81"/>
            <rFont val="돋움"/>
            <family val="3"/>
            <charset val="129"/>
          </rPr>
          <t>항목내용</t>
        </r>
        <r>
          <rPr>
            <sz val="9"/>
            <color indexed="81"/>
            <rFont val="Tahoma"/>
            <family val="2"/>
          </rPr>
          <t>] , "A2036", [tRCLIPS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t>
        </r>
      </text>
    </comment>
    <comment ref="B43" authorId="0" shapeId="0" xr:uid="{00000000-0006-0000-0600-000002000000}">
      <text>
        <r>
          <rPr>
            <sz val="9"/>
            <color indexed="81"/>
            <rFont val="Tahoma"/>
            <family val="2"/>
          </rPr>
          <t>A2037:</t>
        </r>
        <r>
          <rPr>
            <sz val="9"/>
            <color indexed="81"/>
            <rFont val="돋움"/>
            <family val="3"/>
            <charset val="129"/>
          </rPr>
          <t>스크래핑소득</t>
        </r>
        <r>
          <rPr>
            <sz val="9"/>
            <color indexed="81"/>
            <rFont val="Tahoma"/>
            <family val="2"/>
          </rPr>
          <t>_</t>
        </r>
        <r>
          <rPr>
            <sz val="9"/>
            <color indexed="81"/>
            <rFont val="돋움"/>
            <family val="3"/>
            <charset val="129"/>
          </rPr>
          <t xml:space="preserve">국세청
</t>
        </r>
        <r>
          <rPr>
            <sz val="9"/>
            <color indexed="81"/>
            <rFont val="Tahoma"/>
            <family val="2"/>
          </rPr>
          <t>if ([</t>
        </r>
        <r>
          <rPr>
            <sz val="9"/>
            <color indexed="81"/>
            <rFont val="돋움"/>
            <family val="3"/>
            <charset val="129"/>
          </rPr>
          <t>입력</t>
        </r>
        <r>
          <rPr>
            <sz val="9"/>
            <color indexed="81"/>
            <rFont val="Tahoma"/>
            <family val="2"/>
          </rPr>
          <t>COMDtoctx].[SDT</t>
        </r>
        <r>
          <rPr>
            <sz val="9"/>
            <color indexed="81"/>
            <rFont val="돋움"/>
            <family val="3"/>
            <charset val="129"/>
          </rPr>
          <t>채널세부업무구분코드</t>
        </r>
        <r>
          <rPr>
            <sz val="9"/>
            <color indexed="81"/>
            <rFont val="Tahoma"/>
            <family val="2"/>
          </rPr>
          <t>] == "T1") { //SDT</t>
        </r>
        <r>
          <rPr>
            <sz val="9"/>
            <color indexed="81"/>
            <rFont val="돋움"/>
            <family val="3"/>
            <charset val="129"/>
          </rPr>
          <t>채널세부업무구분코드</t>
        </r>
        <r>
          <rPr>
            <sz val="9"/>
            <color indexed="81"/>
            <rFont val="Tahoma"/>
            <family val="2"/>
          </rPr>
          <t xml:space="preserve">: T1 </t>
        </r>
        <r>
          <rPr>
            <sz val="9"/>
            <color indexed="81"/>
            <rFont val="돋움"/>
            <family val="3"/>
            <charset val="129"/>
          </rPr>
          <t xml:space="preserve">리브메이트
</t>
        </r>
        <r>
          <rPr>
            <sz val="9"/>
            <color indexed="81"/>
            <rFont val="Tahoma"/>
            <family val="2"/>
          </rPr>
          <t xml:space="preserve"> [tRCLIPS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 = RClipseUtil.setValue("A2037", TypeConvertUtil.toString([i</t>
        </r>
        <r>
          <rPr>
            <sz val="9"/>
            <color indexed="81"/>
            <rFont val="돋움"/>
            <family val="3"/>
            <charset val="129"/>
          </rPr>
          <t>신용대출</t>
        </r>
        <r>
          <rPr>
            <sz val="9"/>
            <color indexed="81"/>
            <rFont val="Tahoma"/>
            <family val="2"/>
          </rPr>
          <t>RCLIPS</t>
        </r>
        <r>
          <rPr>
            <sz val="9"/>
            <color indexed="81"/>
            <rFont val="돋움"/>
            <family val="3"/>
            <charset val="129"/>
          </rPr>
          <t>전문조립</t>
        </r>
        <r>
          <rPr>
            <sz val="9"/>
            <color indexed="81"/>
            <rFont val="Tahoma"/>
            <family val="2"/>
          </rPr>
          <t>C].[</t>
        </r>
        <r>
          <rPr>
            <sz val="9"/>
            <color indexed="81"/>
            <rFont val="돋움"/>
            <family val="3"/>
            <charset val="129"/>
          </rPr>
          <t>연소득금액</t>
        </r>
        <r>
          <rPr>
            <sz val="9"/>
            <color indexed="81"/>
            <rFont val="Tahoma"/>
            <family val="2"/>
          </rPr>
          <t>]), [i</t>
        </r>
        <r>
          <rPr>
            <sz val="9"/>
            <color indexed="81"/>
            <rFont val="돋움"/>
            <family val="3"/>
            <charset val="129"/>
          </rPr>
          <t>숫자</t>
        </r>
        <r>
          <rPr>
            <sz val="9"/>
            <color indexed="81"/>
            <rFont val="Tahoma"/>
            <family val="2"/>
          </rPr>
          <t>], [i</t>
        </r>
        <r>
          <rPr>
            <sz val="9"/>
            <color indexed="81"/>
            <rFont val="돋움"/>
            <family val="3"/>
            <charset val="129"/>
          </rPr>
          <t>항목길이</t>
        </r>
        <r>
          <rPr>
            <sz val="9"/>
            <color indexed="81"/>
            <rFont val="Tahoma"/>
            <family val="2"/>
          </rPr>
          <t>]);
 LDataUtil.addChangeValue([tRCLIPS</t>
        </r>
        <r>
          <rPr>
            <sz val="9"/>
            <color indexed="81"/>
            <rFont val="돋움"/>
            <family val="3"/>
            <charset val="129"/>
          </rPr>
          <t>요청항목내용목록</t>
        </r>
        <r>
          <rPr>
            <sz val="9"/>
            <color indexed="81"/>
            <rFont val="Tahoma"/>
            <family val="2"/>
          </rPr>
          <t>], [s</t>
        </r>
        <r>
          <rPr>
            <sz val="9"/>
            <color indexed="81"/>
            <rFont val="돋움"/>
            <family val="3"/>
            <charset val="129"/>
          </rPr>
          <t>항목내용</t>
        </r>
        <r>
          <rPr>
            <sz val="9"/>
            <color indexed="81"/>
            <rFont val="Tahoma"/>
            <family val="2"/>
          </rPr>
          <t>] , "A2037", [tRCLIPS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 
} else {
 [tRCLIPS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 = RClipseUtil.setValue("A2037", TypeConvertUtil.toString([r</t>
        </r>
        <r>
          <rPr>
            <sz val="9"/>
            <color indexed="81"/>
            <rFont val="돋움"/>
            <family val="3"/>
            <charset val="129"/>
          </rPr>
          <t>스크래핑국세청최종소득금액조회</t>
        </r>
        <r>
          <rPr>
            <sz val="9"/>
            <color indexed="81"/>
            <rFont val="Tahoma"/>
            <family val="2"/>
          </rPr>
          <t>E].[</t>
        </r>
        <r>
          <rPr>
            <sz val="9"/>
            <color indexed="81"/>
            <rFont val="돋움"/>
            <family val="3"/>
            <charset val="129"/>
          </rPr>
          <t>스크래핑국세청최종소득금액</t>
        </r>
        <r>
          <rPr>
            <sz val="9"/>
            <color indexed="81"/>
            <rFont val="Tahoma"/>
            <family val="2"/>
          </rPr>
          <t>_N15]), [i</t>
        </r>
        <r>
          <rPr>
            <sz val="9"/>
            <color indexed="81"/>
            <rFont val="돋움"/>
            <family val="3"/>
            <charset val="129"/>
          </rPr>
          <t>숫자</t>
        </r>
        <r>
          <rPr>
            <sz val="9"/>
            <color indexed="81"/>
            <rFont val="Tahoma"/>
            <family val="2"/>
          </rPr>
          <t>], [i</t>
        </r>
        <r>
          <rPr>
            <sz val="9"/>
            <color indexed="81"/>
            <rFont val="돋움"/>
            <family val="3"/>
            <charset val="129"/>
          </rPr>
          <t>항목길이</t>
        </r>
        <r>
          <rPr>
            <sz val="9"/>
            <color indexed="81"/>
            <rFont val="Tahoma"/>
            <family val="2"/>
          </rPr>
          <t>]);
 LDataUtil.addChangeValue([tRCLIPS</t>
        </r>
        <r>
          <rPr>
            <sz val="9"/>
            <color indexed="81"/>
            <rFont val="돋움"/>
            <family val="3"/>
            <charset val="129"/>
          </rPr>
          <t>요청항목내용목록</t>
        </r>
        <r>
          <rPr>
            <sz val="9"/>
            <color indexed="81"/>
            <rFont val="Tahoma"/>
            <family val="2"/>
          </rPr>
          <t>], [s</t>
        </r>
        <r>
          <rPr>
            <sz val="9"/>
            <color indexed="81"/>
            <rFont val="돋움"/>
            <family val="3"/>
            <charset val="129"/>
          </rPr>
          <t>항목내용</t>
        </r>
        <r>
          <rPr>
            <sz val="9"/>
            <color indexed="81"/>
            <rFont val="Tahoma"/>
            <family val="2"/>
          </rPr>
          <t>] , "A2037", [tRCLIPS</t>
        </r>
        <r>
          <rPr>
            <sz val="9"/>
            <color indexed="81"/>
            <rFont val="돋움"/>
            <family val="3"/>
            <charset val="129"/>
          </rPr>
          <t>요청항목내용</t>
        </r>
        <r>
          <rPr>
            <sz val="9"/>
            <color indexed="81"/>
            <rFont val="Tahoma"/>
            <family val="2"/>
          </rPr>
          <t>].[RCLIPS</t>
        </r>
        <r>
          <rPr>
            <sz val="9"/>
            <color indexed="81"/>
            <rFont val="돋움"/>
            <family val="3"/>
            <charset val="129"/>
          </rPr>
          <t>요청항목내용</t>
        </r>
        <r>
          <rPr>
            <sz val="9"/>
            <color indexed="81"/>
            <rFont val="Tahoma"/>
            <family val="2"/>
          </rPr>
          <t>_V20]);
}</t>
        </r>
      </text>
    </comment>
  </commentList>
</comments>
</file>

<file path=xl/sharedStrings.xml><?xml version="1.0" encoding="utf-8"?>
<sst xmlns="http://schemas.openxmlformats.org/spreadsheetml/2006/main" count="44246" uniqueCount="7565">
  <si>
    <t>길이</t>
  </si>
  <si>
    <t>대출탈락사유내용</t>
  </si>
  <si>
    <t>우대대출가능금액</t>
  </si>
  <si>
    <t>소액한도대상여부</t>
  </si>
  <si>
    <t>한도조정금액</t>
  </si>
  <si>
    <t>주거우대여부</t>
  </si>
  <si>
    <t>NICE주거우량여부</t>
  </si>
  <si>
    <t>NICE직업우량여부</t>
  </si>
  <si>
    <t>우량고객내용</t>
  </si>
  <si>
    <t>CB신용등급코드</t>
  </si>
  <si>
    <t>유효가맹점여부</t>
  </si>
  <si>
    <t>유효사업자여부</t>
  </si>
  <si>
    <t>신용등급코드</t>
  </si>
  <si>
    <t>최근12개월카드론평잔</t>
  </si>
  <si>
    <t>월가처분소득금액</t>
  </si>
  <si>
    <t>이용가능한도미사용금액</t>
  </si>
  <si>
    <t>CSM연소득금액</t>
  </si>
  <si>
    <t>일반대출인정기준년월</t>
  </si>
  <si>
    <t>일반대출인정금액</t>
  </si>
  <si>
    <t>대출수요우대조정금액</t>
  </si>
  <si>
    <t>카드론잔액보유경험조정금액</t>
  </si>
  <si>
    <t>인구통계조정금액</t>
  </si>
  <si>
    <t>DSR가이드금액</t>
  </si>
  <si>
    <t>신용우수여부</t>
  </si>
  <si>
    <t>우수가맹점여부</t>
  </si>
  <si>
    <t>우수사업자여부</t>
  </si>
  <si>
    <t>누리론금리등급</t>
  </si>
  <si>
    <t>구분</t>
  </si>
  <si>
    <t>전문내용</t>
  </si>
  <si>
    <t>1F003</t>
  </si>
  <si>
    <t>개별</t>
  </si>
  <si>
    <t>통합</t>
  </si>
  <si>
    <t>2A116</t>
  </si>
  <si>
    <t>미사용</t>
  </si>
  <si>
    <t>0400-437/0410-437</t>
  </si>
  <si>
    <t>0400-482/0410-482</t>
  </si>
  <si>
    <t>0200-231/0210-231</t>
  </si>
  <si>
    <t>R-Clips 전문구성</t>
  </si>
  <si>
    <t>이지론플러스
(체크회원)</t>
    <phoneticPr fontId="2" type="noConversion"/>
  </si>
  <si>
    <t>일사천리론
(비회원)</t>
    <phoneticPr fontId="2" type="noConversion"/>
  </si>
  <si>
    <t>신청 시점 처리계 내부정보</t>
    <phoneticPr fontId="2" type="noConversion"/>
  </si>
  <si>
    <t>사전대상자 선정 시점 정보</t>
    <phoneticPr fontId="2" type="noConversion"/>
  </si>
  <si>
    <t>테이블명</t>
  </si>
  <si>
    <t>테이블한글명</t>
  </si>
  <si>
    <t>컬럼명</t>
  </si>
  <si>
    <t>PK
여부</t>
  </si>
  <si>
    <t>NULL
여부</t>
  </si>
  <si>
    <t>타입</t>
  </si>
  <si>
    <t>소수점</t>
  </si>
  <si>
    <t>TBGEAA253</t>
  </si>
  <si>
    <t>카드론신청서접수번호</t>
  </si>
  <si>
    <t>Y</t>
  </si>
  <si>
    <t>N</t>
  </si>
  <si>
    <t>VARCHAR2</t>
  </si>
  <si>
    <t/>
  </si>
  <si>
    <t>거래년월일</t>
  </si>
  <si>
    <t>거래시각</t>
  </si>
  <si>
    <t>NICE전문송신기관내용</t>
  </si>
  <si>
    <t>NICE응답코드</t>
  </si>
  <si>
    <t>NICE전문관리번호</t>
  </si>
  <si>
    <t>NICE전문송신일시</t>
  </si>
  <si>
    <t>NICE전문주요표시내용</t>
  </si>
  <si>
    <t>개인법인구분코드</t>
  </si>
  <si>
    <t>NICE전문정보연속내용</t>
  </si>
  <si>
    <t>NICE전문재요청횟수내용</t>
  </si>
  <si>
    <t>NICE전문인증번호내용</t>
  </si>
  <si>
    <t>NICE특별요약정보내용</t>
  </si>
  <si>
    <t>NICE특별요약정보응답건수</t>
  </si>
  <si>
    <t>NUMBER</t>
  </si>
  <si>
    <t>NICE요약정보응답건수</t>
  </si>
  <si>
    <t>NICE평점결과내용</t>
  </si>
  <si>
    <t>NICE평가정보응답건수</t>
  </si>
  <si>
    <t>시스템최종갱신일시</t>
  </si>
  <si>
    <t>TIMESTAMP</t>
  </si>
  <si>
    <t>시스템최종갱신식별자</t>
  </si>
  <si>
    <t>시스템최종거래일시</t>
  </si>
  <si>
    <t>TBGEAA254</t>
  </si>
  <si>
    <t>거래상세일련번호</t>
  </si>
  <si>
    <t>NICE특별요약표시내용</t>
  </si>
  <si>
    <t>NICE특별요약CB항목코드내용</t>
  </si>
  <si>
    <t>NICE특별요약CB항목내용</t>
  </si>
  <si>
    <t>NICE요약표시내용</t>
  </si>
  <si>
    <t>NICE요약정보</t>
  </si>
  <si>
    <t>NICE평점정보구분코드</t>
  </si>
  <si>
    <t>NICE적용배제사유구분코드3</t>
  </si>
  <si>
    <t>NICE평점사유코드1</t>
  </si>
  <si>
    <t>NICE평점사유코드2</t>
  </si>
  <si>
    <t>NICE평점사유코드3</t>
  </si>
  <si>
    <t>NICE평점사유코드4</t>
  </si>
  <si>
    <t>NICE평점사유코드5</t>
  </si>
  <si>
    <t>NICE평점사유코드6</t>
  </si>
  <si>
    <t>NICE평점신용점수</t>
  </si>
  <si>
    <t>NICE신용등급구분코드</t>
  </si>
  <si>
    <t>NICE평점결과내용2</t>
  </si>
  <si>
    <t>NICE평점결과내용3</t>
  </si>
  <si>
    <t>NICE평점오류코드</t>
  </si>
  <si>
    <t>NICE프로파일코드1</t>
  </si>
  <si>
    <t>NICE프로파일코드2</t>
  </si>
  <si>
    <t>NICE프로파일코드3</t>
  </si>
  <si>
    <t>TBGEAA251</t>
  </si>
  <si>
    <t>KCB거래구분내용</t>
  </si>
  <si>
    <t>응답결과코드</t>
  </si>
  <si>
    <t>CB오류코드</t>
  </si>
  <si>
    <t>신용정보적용배제사유내용</t>
  </si>
  <si>
    <t>KCB신용평가점수내용</t>
  </si>
  <si>
    <t>KCB신용등급구분코드</t>
  </si>
  <si>
    <t>NO</t>
    <phoneticPr fontId="2" type="noConversion"/>
  </si>
  <si>
    <t>TBGEAA252</t>
  </si>
  <si>
    <t>KCB요약내역일련번호</t>
  </si>
  <si>
    <t>KCB요약정보구분코드</t>
  </si>
  <si>
    <t>KCB요약정보</t>
  </si>
  <si>
    <t>TBGEAA257</t>
  </si>
  <si>
    <t>NICE당사대출정보포함여부</t>
  </si>
  <si>
    <t>NICE공유기준일수표시내용</t>
  </si>
  <si>
    <t>TBGEAA258</t>
  </si>
  <si>
    <t>NICE대출정보표시내용</t>
  </si>
  <si>
    <t>NICE대출정보고유번호</t>
  </si>
  <si>
    <t>NICE대출등록코드</t>
  </si>
  <si>
    <t>NICE대출거래기관업권내용</t>
  </si>
  <si>
    <t>NICE대출거래기관코드</t>
  </si>
  <si>
    <t>NICE대출거래기관명</t>
  </si>
  <si>
    <t>대출년월일</t>
  </si>
  <si>
    <t>대출금액</t>
  </si>
  <si>
    <t>NICE상품코드</t>
  </si>
  <si>
    <t>NICE특수상품코드</t>
  </si>
  <si>
    <t>NICE대출CB중복여부</t>
  </si>
  <si>
    <t>NICE대출차량명</t>
  </si>
  <si>
    <t>NICE차량색상코드</t>
  </si>
  <si>
    <t>TBGEAA260</t>
  </si>
  <si>
    <t>FRIS매칭발생여부</t>
  </si>
  <si>
    <t>FRIS종합점수</t>
  </si>
  <si>
    <t>FRIS사기점수수신합계건수</t>
  </si>
  <si>
    <t>FRIS활용규칙수신합계건수</t>
  </si>
  <si>
    <t>TBGEAA261</t>
  </si>
  <si>
    <t>FRIS사기점수구분코드</t>
  </si>
  <si>
    <t>FRIS사기점수스코어내용</t>
  </si>
  <si>
    <t>FRIS사기점수평점</t>
  </si>
  <si>
    <t>FRIS사기점수등급내용</t>
  </si>
  <si>
    <t>NICE유의거래사유코드1</t>
  </si>
  <si>
    <t>NICE유의거래사유코드2</t>
  </si>
  <si>
    <t>NICE유의거래사유코드3</t>
  </si>
  <si>
    <t>FRIS활용규칙내용</t>
  </si>
  <si>
    <t>FRIS활용규칙구분코드</t>
  </si>
  <si>
    <t>FRIS활용규칙건수</t>
  </si>
  <si>
    <t>FRIS활용규칙점수</t>
  </si>
  <si>
    <t>TBGEAA255</t>
  </si>
  <si>
    <t>KCB응답코드</t>
  </si>
  <si>
    <t>KCB전문관리번호</t>
  </si>
  <si>
    <t>KCB전문수신일시</t>
  </si>
  <si>
    <t>KCB조회동의구분코드</t>
  </si>
  <si>
    <t>KCB인증번호</t>
  </si>
  <si>
    <t>정보연속여부</t>
  </si>
  <si>
    <t>고객명</t>
  </si>
  <si>
    <t>TBGEAA256</t>
  </si>
  <si>
    <t>KCB신용정보관리번호</t>
  </si>
  <si>
    <t>표준업종명</t>
  </si>
  <si>
    <t>등록사유코드</t>
  </si>
  <si>
    <t>CB자금용도구분코드</t>
  </si>
  <si>
    <t>KCB담보설정여부</t>
  </si>
  <si>
    <t>대출약정금액</t>
  </si>
  <si>
    <t>대출확정년월일</t>
  </si>
  <si>
    <t>차량번호</t>
  </si>
  <si>
    <t>차대번호</t>
  </si>
  <si>
    <t>KCB상품코드</t>
  </si>
  <si>
    <t>당사대출여부</t>
  </si>
  <si>
    <t>표준업종코드</t>
  </si>
  <si>
    <t>KCB등록거래기관명</t>
  </si>
  <si>
    <t>TBGEAA259</t>
  </si>
  <si>
    <t>GRAS등급구분코드</t>
  </si>
  <si>
    <t>GRAS총룰점수</t>
  </si>
  <si>
    <t>GRAS총매칭신청건수</t>
  </si>
  <si>
    <t>GRAS총매칭룰건수</t>
  </si>
  <si>
    <t>TBGEAA202</t>
  </si>
  <si>
    <t>KB카드유효고객여부</t>
  </si>
  <si>
    <t>KB카드유효회원여부</t>
  </si>
  <si>
    <t>유효신용카드소지여부</t>
  </si>
  <si>
    <t>유효체크카드소지여부</t>
  </si>
  <si>
    <t>카드론대출잔액</t>
  </si>
  <si>
    <t>오토론대출잔액</t>
  </si>
  <si>
    <t>신용대출잔액</t>
  </si>
  <si>
    <t>대환론대출잔액</t>
  </si>
  <si>
    <t>가맹점대표자여부</t>
  </si>
  <si>
    <t>비회원신용대출잔액</t>
  </si>
  <si>
    <t>TBGEAA203</t>
  </si>
  <si>
    <t>카드론심사취급오류일련번호</t>
  </si>
  <si>
    <t>카드론취급불가사유구분코드</t>
  </si>
  <si>
    <t>이지론탈락사유</t>
  </si>
  <si>
    <t>카드최초가입년월일</t>
  </si>
  <si>
    <t>PD등급내용</t>
  </si>
  <si>
    <t>이지론한도금액</t>
  </si>
  <si>
    <t>이지론대출금리</t>
  </si>
  <si>
    <t>연간원리금상환금액</t>
  </si>
  <si>
    <t>론니즈등급구분코드</t>
  </si>
  <si>
    <t>최근3개월채권잔액</t>
  </si>
  <si>
    <t>신규고객여부</t>
  </si>
  <si>
    <t>등급별최대한도금액</t>
  </si>
  <si>
    <t>연령한도제한금액</t>
  </si>
  <si>
    <t>만기일시한도금액</t>
  </si>
  <si>
    <t>낙아웃구제대상여부</t>
  </si>
  <si>
    <t>이지론소액한도대상여부</t>
  </si>
  <si>
    <t>이지론최장거치개월수</t>
  </si>
  <si>
    <t>이지론최장대출기간월수</t>
  </si>
  <si>
    <t>TM적용한도금액</t>
  </si>
  <si>
    <t>신용BSS산정대상구분코드</t>
  </si>
  <si>
    <t>통합카드BSS모형구분코드</t>
  </si>
  <si>
    <t>신용카드BSS평가점수</t>
  </si>
  <si>
    <t>신용BSS등급구분코드</t>
  </si>
  <si>
    <t>카드론신규모형구분코드</t>
  </si>
  <si>
    <t>카드론신규등급구분코드</t>
  </si>
  <si>
    <t>이지론금리등급구분코드</t>
  </si>
  <si>
    <t>등급최대한도조정금액</t>
  </si>
  <si>
    <t>등급최대한도기초금액</t>
  </si>
  <si>
    <t>회원세그먼트구분코드</t>
  </si>
  <si>
    <t>다중채무대상여부</t>
  </si>
  <si>
    <t>다중채무자그룹구분코드</t>
  </si>
  <si>
    <t xml:space="preserve"> KCB사업자여부</t>
  </si>
  <si>
    <t>리스크세그먼트4그룹코드</t>
  </si>
  <si>
    <t>프리미엄론대출금리</t>
  </si>
  <si>
    <t>우량회원여부</t>
  </si>
  <si>
    <t>프리미엄론1그룹한도금액</t>
  </si>
  <si>
    <t>프리미엄론만기일시한도금액</t>
  </si>
  <si>
    <t>프리미엄론이율등급구분코드</t>
  </si>
  <si>
    <t>프리미엄론최장대출기간개월수</t>
  </si>
  <si>
    <t>파일롯대상여부</t>
  </si>
  <si>
    <t>가맹점론한도금액</t>
  </si>
  <si>
    <t>가맹점론만기일시한도금액</t>
  </si>
  <si>
    <t>가맹점론금리등급구분코드</t>
  </si>
  <si>
    <t>가맹점론최장대출기간월수</t>
  </si>
  <si>
    <t>마이비즈론대출금리</t>
  </si>
  <si>
    <t>중금리론한도금액</t>
  </si>
  <si>
    <t>중금리최장거치개월수</t>
  </si>
  <si>
    <t>중금리최장대출기간개월수</t>
  </si>
  <si>
    <t>중금리론금리등급구분코드</t>
  </si>
  <si>
    <t>중금리대출금리</t>
  </si>
  <si>
    <t>프리미엄중금리론한도금액</t>
  </si>
  <si>
    <t>프리미엄중금리론금리등급구분코드</t>
  </si>
  <si>
    <t>프리미엄중금리최장거치개월수</t>
  </si>
  <si>
    <t>프리미엄중금리최장대출개월수</t>
  </si>
  <si>
    <t>프리미엄중금리대출금리</t>
  </si>
  <si>
    <t>누리론한도금액</t>
  </si>
  <si>
    <t>누리론최장거치개월수</t>
  </si>
  <si>
    <t>누리론최장대출기간개월수</t>
  </si>
  <si>
    <t>누리론대출자격구분코드</t>
  </si>
  <si>
    <t>누리론대출금리</t>
  </si>
  <si>
    <t>최종최상위등급</t>
  </si>
  <si>
    <t>전략세그먼트등급구분코드</t>
  </si>
  <si>
    <t>이지론플러스최종대출가능금액</t>
  </si>
  <si>
    <t>이지론플러스최장거치개월수</t>
  </si>
  <si>
    <t>이지론플러스최장대출기간개월수</t>
  </si>
  <si>
    <t>최대가능금액세그먼트구분코드</t>
  </si>
  <si>
    <t>세그먼트최대대출가능금액</t>
  </si>
  <si>
    <t>이지론플러스대출금리</t>
  </si>
  <si>
    <t>최종신용등급세그먼트구분코드</t>
  </si>
  <si>
    <t>은행업권신용대출금액</t>
  </si>
  <si>
    <t>비은행업권신용대출금액</t>
  </si>
  <si>
    <t>체크BSS등급구분코드</t>
  </si>
  <si>
    <t>Y</t>
    <phoneticPr fontId="2" type="noConversion"/>
  </si>
  <si>
    <t>N</t>
    <phoneticPr fontId="2" type="noConversion"/>
  </si>
  <si>
    <t>VARCHAR2</t>
    <phoneticPr fontId="2" type="noConversion"/>
  </si>
  <si>
    <t>NUMBER</t>
    <phoneticPr fontId="2" type="noConversion"/>
  </si>
  <si>
    <t>고객식별자</t>
  </si>
  <si>
    <t>고객관리번호</t>
  </si>
  <si>
    <t>1. CB사 정보 1일 1회만 송수신 함.</t>
    <phoneticPr fontId="2" type="noConversion"/>
  </si>
  <si>
    <t>[확인필요]</t>
    <phoneticPr fontId="2" type="noConversion"/>
  </si>
  <si>
    <t>1. 심사시 사전심사정보(분석계) 존재하지 않는 경우 심사 처리 방안</t>
    <phoneticPr fontId="2" type="noConversion"/>
  </si>
  <si>
    <t>2. ASIS 일사천리론 심사항목은 무시하고 TOBE 에서는 이지론플러스와 동일하게 심사항목 적용하는건지.</t>
    <phoneticPr fontId="2" type="noConversion"/>
  </si>
  <si>
    <t xml:space="preserve">3. CB사 정보 중 NICE신용정보조회 이지론플러스에 적용하는 항목 IE0305_000 확인(항목명 불일치) </t>
    <phoneticPr fontId="2" type="noConversion"/>
  </si>
  <si>
    <t>[확인완료]</t>
    <phoneticPr fontId="2" type="noConversion"/>
  </si>
  <si>
    <t>4. 사전심사정보(분석계) 카드론 / 이지론플러스 분리하여 테이블 관리</t>
    <phoneticPr fontId="2" type="noConversion"/>
  </si>
  <si>
    <t>적용시작일자</t>
    <phoneticPr fontId="2" type="noConversion"/>
  </si>
  <si>
    <t>적용종료일자</t>
    <phoneticPr fontId="2" type="noConversion"/>
  </si>
  <si>
    <t>테이블</t>
  </si>
  <si>
    <t>형식</t>
  </si>
  <si>
    <t>항목명</t>
  </si>
  <si>
    <t>TSMADLN19</t>
  </si>
  <si>
    <t>String</t>
  </si>
  <si>
    <t>이지론탈락사유내용</t>
  </si>
  <si>
    <t>최초가입년월일</t>
  </si>
  <si>
    <t>카드론PD구분</t>
  </si>
  <si>
    <t>Numeric</t>
  </si>
  <si>
    <t>이지론한도</t>
  </si>
  <si>
    <t>대출이율</t>
  </si>
  <si>
    <t>연원리금상환금액</t>
  </si>
  <si>
    <t>TSMADLA19</t>
  </si>
  <si>
    <t>론니즈등급구분</t>
  </si>
  <si>
    <t>신용평점일련번호</t>
  </si>
  <si>
    <t>최근3개월카드채권평잔</t>
  </si>
  <si>
    <t>신규기존여부</t>
  </si>
  <si>
    <t>등급별최고한도</t>
  </si>
  <si>
    <t>연령별한도</t>
  </si>
  <si>
    <t>만기일시한도</t>
  </si>
  <si>
    <t>구제대상여부</t>
  </si>
  <si>
    <t>최장거치개월수</t>
  </si>
  <si>
    <t>최장대출기간월수</t>
  </si>
  <si>
    <t>TM적용한도</t>
  </si>
  <si>
    <t>신용BSS산정대상구분</t>
  </si>
  <si>
    <t>신용BSS모형구분</t>
  </si>
  <si>
    <t>신용BSS평점</t>
  </si>
  <si>
    <t>신용BSS등급</t>
  </si>
  <si>
    <t>카드론신규모형구분</t>
  </si>
  <si>
    <t>카드론신규등급</t>
  </si>
  <si>
    <t>이지론금리등급구분</t>
  </si>
  <si>
    <t>등급최고한도조정금액</t>
  </si>
  <si>
    <t>등급최고한도기초금액</t>
  </si>
  <si>
    <t>회원세그먼트구분</t>
  </si>
  <si>
    <t>다중채무자여부</t>
  </si>
  <si>
    <t>다중채무자그룹구분</t>
  </si>
  <si>
    <t>KCB사업자여부</t>
  </si>
  <si>
    <t>리스크세그먼트4그룹구분</t>
  </si>
  <si>
    <t>TSMADLG19</t>
  </si>
  <si>
    <t>우량회원포함여부</t>
  </si>
  <si>
    <t>우량직장인론그룹1한도</t>
  </si>
  <si>
    <t>프리미엄론만기일시한도</t>
  </si>
  <si>
    <t>우량직장인론이율등급구분</t>
  </si>
  <si>
    <t>파일롯대상여부(TSMADLG19 생성필요)</t>
  </si>
  <si>
    <t>가맹점론한도</t>
  </si>
  <si>
    <t>가맹점론만기일시한도</t>
  </si>
  <si>
    <t>가맹점론금리등급</t>
  </si>
  <si>
    <t>TSMADLNM1</t>
  </si>
  <si>
    <t>중금리론한도</t>
  </si>
  <si>
    <t>중금리론금리등급</t>
  </si>
  <si>
    <t>TSMADLNM2</t>
  </si>
  <si>
    <t>프리미엄중금리론한도</t>
  </si>
  <si>
    <t>프리미엄중금리론금리등급</t>
  </si>
  <si>
    <t>TSMADLNM3</t>
  </si>
  <si>
    <t>누리론한도</t>
  </si>
  <si>
    <t>누리론대출자격구분</t>
  </si>
  <si>
    <t>TSMADLC19</t>
  </si>
  <si>
    <t>최종HR등급</t>
  </si>
  <si>
    <t>전략세그먼트등급</t>
  </si>
  <si>
    <t>최종대출가능금액</t>
  </si>
  <si>
    <t>최고대출가능금액세그먼트구분</t>
  </si>
  <si>
    <t>세그먼트최고대출가능금액</t>
  </si>
  <si>
    <t>최종신용등급세그먼트구분</t>
  </si>
  <si>
    <t>은행신용대출금액</t>
  </si>
  <si>
    <t>비은행권신용대출금액</t>
  </si>
  <si>
    <t>신용대출ASS등급</t>
  </si>
  <si>
    <t>검토 확인 (원천)</t>
    <phoneticPr fontId="2" type="noConversion"/>
  </si>
  <si>
    <t>To-Be 테이블 및 항목</t>
    <phoneticPr fontId="2" type="noConversion"/>
  </si>
  <si>
    <t>이지론</t>
    <phoneticPr fontId="2" type="noConversion"/>
  </si>
  <si>
    <t>이지론
플러스</t>
    <phoneticPr fontId="2" type="noConversion"/>
  </si>
  <si>
    <t>○</t>
    <phoneticPr fontId="2" type="noConversion"/>
  </si>
  <si>
    <t>당사 신용카드 잔액</t>
  </si>
  <si>
    <t>당사 RLS이월잔액</t>
  </si>
  <si>
    <t>당사 RCA이월잔액</t>
  </si>
  <si>
    <t>매입할부금융잔액</t>
  </si>
  <si>
    <t>부채증명서 발급 경과일수 (단위: 일)</t>
  </si>
  <si>
    <t xml:space="preserve">우대한도소득충족여부 </t>
  </si>
  <si>
    <t>○</t>
    <phoneticPr fontId="2" type="noConversion"/>
  </si>
  <si>
    <t>응답코드</t>
  </si>
  <si>
    <t>NICE 전문 관리번호</t>
  </si>
  <si>
    <t>NICE 전문 전송시간</t>
  </si>
  <si>
    <t>Primary Bitmap</t>
  </si>
  <si>
    <t>개인/사업자/법인 구분</t>
  </si>
  <si>
    <t>정보 연속</t>
  </si>
  <si>
    <t>재요청횟수</t>
  </si>
  <si>
    <t>NICE전문정보연속내용</t>
    <phoneticPr fontId="2" type="noConversion"/>
  </si>
  <si>
    <t>비고</t>
    <phoneticPr fontId="2" type="noConversion"/>
  </si>
  <si>
    <t>NICE전문재요청횟수내용</t>
    <phoneticPr fontId="2" type="noConversion"/>
  </si>
  <si>
    <t>보고서 인증번호</t>
    <phoneticPr fontId="2" type="noConversion"/>
  </si>
  <si>
    <t>NICE전문인증번호내용</t>
    <phoneticPr fontId="2" type="noConversion"/>
  </si>
  <si>
    <t>N</t>
    <phoneticPr fontId="2" type="noConversion"/>
  </si>
  <si>
    <t>N</t>
    <phoneticPr fontId="2" type="noConversion"/>
  </si>
  <si>
    <t>특별요약정보 수신건수</t>
  </si>
  <si>
    <t>특별요약정보 요청건수</t>
  </si>
  <si>
    <t>요약정보 요청건수</t>
    <phoneticPr fontId="2" type="noConversion"/>
  </si>
  <si>
    <t>요약정보 수신건수</t>
    <phoneticPr fontId="2" type="noConversion"/>
  </si>
  <si>
    <t>평점정보 수신건수</t>
  </si>
  <si>
    <t>평점정보 요청건수</t>
    <phoneticPr fontId="2" type="noConversion"/>
  </si>
  <si>
    <t>특별요약정보상세일련번호</t>
    <phoneticPr fontId="2" type="noConversion"/>
  </si>
  <si>
    <t>요약정보상세일련번호</t>
  </si>
  <si>
    <t>정보구분</t>
  </si>
  <si>
    <t>평점 결과</t>
  </si>
  <si>
    <t>스코어구분</t>
  </si>
  <si>
    <t>적용배제사유코드1</t>
  </si>
  <si>
    <t>적용배제사유코드2</t>
  </si>
  <si>
    <t>적용배제사유코드3</t>
  </si>
  <si>
    <t>평점사유코드1</t>
  </si>
  <si>
    <t>평점사유코드2</t>
  </si>
  <si>
    <t>평점사유코드3</t>
  </si>
  <si>
    <t>평점사유코드4</t>
  </si>
  <si>
    <t>평점사유코드5</t>
  </si>
  <si>
    <t>평점사유코드6</t>
  </si>
  <si>
    <t>신용평점</t>
  </si>
  <si>
    <t>신용등급</t>
  </si>
  <si>
    <t>관련 결과값1</t>
  </si>
  <si>
    <t>관련 결과값2</t>
  </si>
  <si>
    <t>관련 결과값3</t>
  </si>
  <si>
    <t>에러코드</t>
  </si>
  <si>
    <t>PROFILE CODE1</t>
  </si>
  <si>
    <t>PROFILE CODE2</t>
  </si>
  <si>
    <t>PROFILE CODE3</t>
  </si>
  <si>
    <t>정보구분</t>
    <phoneticPr fontId="2" type="noConversion"/>
  </si>
  <si>
    <t>특별요약정보구분</t>
    <phoneticPr fontId="2" type="noConversion"/>
  </si>
  <si>
    <t>특별요약정보코드값</t>
    <phoneticPr fontId="2" type="noConversion"/>
  </si>
  <si>
    <t>특별요약정보코드</t>
    <phoneticPr fontId="2" type="noConversion"/>
  </si>
  <si>
    <t>요약정보값</t>
    <phoneticPr fontId="2" type="noConversion"/>
  </si>
  <si>
    <t>요약정보코드</t>
    <phoneticPr fontId="2" type="noConversion"/>
  </si>
  <si>
    <t>KCB 전문 관리번호</t>
  </si>
  <si>
    <t>KCB 전문 전송시간</t>
  </si>
  <si>
    <t>VARCHAR2</t>
    <phoneticPr fontId="2" type="noConversion"/>
  </si>
  <si>
    <t>Imminence등급(적용배제사유코드3)</t>
    <phoneticPr fontId="2" type="noConversion"/>
  </si>
  <si>
    <t>전문 관리번호</t>
  </si>
  <si>
    <t>Segment ID</t>
  </si>
  <si>
    <t>Score 구분코드</t>
  </si>
  <si>
    <t>기준일자</t>
  </si>
  <si>
    <t>사기거래경험자 ~ 신용관리자
까지의 각 항목 Concat</t>
    <phoneticPr fontId="2" type="noConversion"/>
  </si>
  <si>
    <t>Profile코드</t>
  </si>
  <si>
    <t>해당 값</t>
    <phoneticPr fontId="2" type="noConversion"/>
  </si>
  <si>
    <t>NICE 전문 관리번호</t>
    <phoneticPr fontId="10" type="noConversion"/>
  </si>
  <si>
    <t>응답코드</t>
    <phoneticPr fontId="10" type="noConversion"/>
  </si>
  <si>
    <t>NICE 전문 전송시간</t>
    <phoneticPr fontId="10" type="noConversion"/>
  </si>
  <si>
    <t>개인/법인구분</t>
    <phoneticPr fontId="10" type="noConversion"/>
  </si>
  <si>
    <t>정보연속구분</t>
    <phoneticPr fontId="10" type="noConversion"/>
  </si>
  <si>
    <t>응답 건수</t>
    <phoneticPr fontId="10" type="noConversion"/>
  </si>
  <si>
    <t>자사정보 포함여부</t>
    <phoneticPr fontId="10" type="noConversion"/>
  </si>
  <si>
    <t>NICE전문정보연속내용</t>
    <phoneticPr fontId="2" type="noConversion"/>
  </si>
  <si>
    <t>NICE대출정보응답건수</t>
    <phoneticPr fontId="2" type="noConversion"/>
  </si>
  <si>
    <t>정보구분</t>
    <phoneticPr fontId="10" type="noConversion"/>
  </si>
  <si>
    <t>정보고유번호</t>
    <phoneticPr fontId="10" type="noConversion"/>
  </si>
  <si>
    <t>등록구분</t>
    <phoneticPr fontId="10" type="noConversion"/>
  </si>
  <si>
    <t>거래기관코드</t>
    <phoneticPr fontId="10" type="noConversion"/>
  </si>
  <si>
    <t>거래기관명</t>
    <phoneticPr fontId="10" type="noConversion"/>
  </si>
  <si>
    <t>계좌번호</t>
    <phoneticPr fontId="10" type="noConversion"/>
  </si>
  <si>
    <t>대출일자</t>
    <phoneticPr fontId="10" type="noConversion"/>
  </si>
  <si>
    <t>대출금액(천원)</t>
    <phoneticPr fontId="10" type="noConversion"/>
  </si>
  <si>
    <t>상품코드</t>
    <phoneticPr fontId="10" type="noConversion"/>
  </si>
  <si>
    <t>특수상품코드</t>
    <phoneticPr fontId="10" type="noConversion"/>
  </si>
  <si>
    <t>CB대출중복여부</t>
    <phoneticPr fontId="10" type="noConversion"/>
  </si>
  <si>
    <t>차량번호</t>
    <phoneticPr fontId="10" type="noConversion"/>
  </si>
  <si>
    <t>차대번호</t>
    <phoneticPr fontId="10" type="noConversion"/>
  </si>
  <si>
    <t>차량명</t>
    <phoneticPr fontId="10" type="noConversion"/>
  </si>
  <si>
    <t>차량색상코드</t>
    <phoneticPr fontId="10" type="noConversion"/>
  </si>
  <si>
    <t>공유기준일수</t>
    <phoneticPr fontId="10" type="noConversion"/>
  </si>
  <si>
    <t>인증번호</t>
  </si>
  <si>
    <t>식별번호(주민등록번호/회원사고객ID/KCB ID)</t>
    <phoneticPr fontId="2" type="noConversion"/>
  </si>
  <si>
    <t>식별번호 구분코드</t>
    <phoneticPr fontId="2" type="noConversion"/>
  </si>
  <si>
    <t>KCB인증번호</t>
    <phoneticPr fontId="2" type="noConversion"/>
  </si>
  <si>
    <t>정보관리번호</t>
  </si>
  <si>
    <t>업종명</t>
  </si>
  <si>
    <t>자금용도코드</t>
  </si>
  <si>
    <t>설정여부</t>
  </si>
  <si>
    <t>약정금액</t>
  </si>
  <si>
    <t>대출일자</t>
  </si>
  <si>
    <t>확정일자</t>
  </si>
  <si>
    <t>상품코드</t>
  </si>
  <si>
    <t>자사대출건여부</t>
  </si>
  <si>
    <t>업종코드</t>
  </si>
  <si>
    <t>등록기관명</t>
  </si>
  <si>
    <t>등록기관코드</t>
    <phoneticPr fontId="2" type="noConversion"/>
  </si>
  <si>
    <t>매치 발생여부</t>
  </si>
  <si>
    <t>Total Score</t>
  </si>
  <si>
    <t>활용 Score 개수</t>
  </si>
  <si>
    <t>활용 Rule 개수</t>
  </si>
  <si>
    <t>스코어 ID</t>
    <phoneticPr fontId="2" type="noConversion"/>
  </si>
  <si>
    <t>적중 Fraud 평점</t>
    <phoneticPr fontId="10" type="noConversion"/>
  </si>
  <si>
    <t>평점 사유코드1</t>
    <phoneticPr fontId="2" type="noConversion"/>
  </si>
  <si>
    <t>평점 사유코드2</t>
    <phoneticPr fontId="2" type="noConversion"/>
  </si>
  <si>
    <t>평점 사유코드3</t>
    <phoneticPr fontId="2" type="noConversion"/>
  </si>
  <si>
    <t>적중 Fraud 등급</t>
    <phoneticPr fontId="10" type="noConversion"/>
  </si>
  <si>
    <t>FRIS사기점수등급내용</t>
    <phoneticPr fontId="2" type="noConversion"/>
  </si>
  <si>
    <t>FRIS사기점수평점</t>
    <phoneticPr fontId="2" type="noConversion"/>
  </si>
  <si>
    <t>FRIS사기점수스코어내용</t>
    <phoneticPr fontId="2" type="noConversion"/>
  </si>
  <si>
    <t>적중 Rule ID</t>
    <phoneticPr fontId="10" type="noConversion"/>
  </si>
  <si>
    <t>Rule Count</t>
    <phoneticPr fontId="10" type="noConversion"/>
  </si>
  <si>
    <t>적중 Rule Score</t>
    <phoneticPr fontId="10" type="noConversion"/>
  </si>
  <si>
    <t>인증번호</t>
    <phoneticPr fontId="2" type="noConversion"/>
  </si>
  <si>
    <t>매치 룰 코드</t>
  </si>
  <si>
    <t>매치 룰 점수</t>
  </si>
  <si>
    <t>개인 신용정보</t>
    <phoneticPr fontId="2" type="noConversion"/>
  </si>
  <si>
    <t>실시간 동시대출 정보</t>
    <phoneticPr fontId="2" type="noConversion"/>
  </si>
  <si>
    <t>사기거래적발</t>
    <phoneticPr fontId="2" type="noConversion"/>
  </si>
  <si>
    <t>전문번호</t>
    <phoneticPr fontId="2" type="noConversion"/>
  </si>
  <si>
    <t>이지론
(신용회원)</t>
    <phoneticPr fontId="2" type="noConversion"/>
  </si>
  <si>
    <t>관련테이블</t>
    <phoneticPr fontId="2" type="noConversion"/>
  </si>
  <si>
    <t>대내</t>
    <phoneticPr fontId="2" type="noConversion"/>
  </si>
  <si>
    <t>대외</t>
    <phoneticPr fontId="2" type="noConversion"/>
  </si>
  <si>
    <t>실시간동시대출</t>
    <phoneticPr fontId="2" type="noConversion"/>
  </si>
  <si>
    <t>개인 신용정보</t>
    <phoneticPr fontId="2" type="noConversion"/>
  </si>
  <si>
    <t>n/a</t>
    <phoneticPr fontId="2" type="noConversion"/>
  </si>
  <si>
    <t>사기거래허위적발 (FRAUD)</t>
    <phoneticPr fontId="2" type="noConversion"/>
  </si>
  <si>
    <t>개인연체정보 + 신용요약정보 + 개인신용평점</t>
    <phoneticPr fontId="2" type="noConversion"/>
  </si>
  <si>
    <t>개인신용평점 + 신용요약정보</t>
    <phoneticPr fontId="2" type="noConversion"/>
  </si>
  <si>
    <t>심사 내부 정보
(처리계)</t>
    <phoneticPr fontId="2" type="noConversion"/>
  </si>
  <si>
    <t>2) 심사 내부 정보 (처리계)</t>
  </si>
  <si>
    <t>심사 대상 정보
(분석계)</t>
    <phoneticPr fontId="2" type="noConversion"/>
  </si>
  <si>
    <t>3) NICE 대외 신용 정보</t>
  </si>
  <si>
    <t>4) KCB 대외 신용 정보</t>
  </si>
  <si>
    <t>4) KCB 대외 신용 정보</t>
    <phoneticPr fontId="2" type="noConversion"/>
  </si>
  <si>
    <t>심사 사전 처리계 정보</t>
    <phoneticPr fontId="2" type="noConversion"/>
  </si>
  <si>
    <t>심사 사전 대상자 정보</t>
    <phoneticPr fontId="2" type="noConversion"/>
  </si>
  <si>
    <t>1) 심사 대상 정보 (분석계)</t>
    <phoneticPr fontId="2" type="noConversion"/>
  </si>
  <si>
    <t>컬럼한글명
(TO-BE명)</t>
    <phoneticPr fontId="2" type="noConversion"/>
  </si>
  <si>
    <t>적용시작일자</t>
    <phoneticPr fontId="2" type="noConversion"/>
  </si>
  <si>
    <t>심사대상적용시작년월일</t>
    <phoneticPr fontId="2" type="noConversion"/>
  </si>
  <si>
    <t>심사대상적용종료년월일</t>
    <phoneticPr fontId="2" type="noConversion"/>
  </si>
  <si>
    <t>장기카드대출 상품에 대한 심사 가능 대상자의 기간을 적용하기 위한 시작년월일
- 분석계로부터 수신 적재시의 데이터로 기본적으로 매월 초일이 된다.</t>
    <phoneticPr fontId="2" type="noConversion"/>
  </si>
  <si>
    <t>장기카드대출 상품에 대한 심사 가능 대상자의 기간을 적용하기 위한 종료년월일
- 분석계로부터 수신 적재시의 데이터로 기본적으로 매월 말일이 된다.</t>
    <phoneticPr fontId="2" type="noConversion"/>
  </si>
  <si>
    <t>카드론심사거래년월일</t>
    <phoneticPr fontId="2" type="noConversion"/>
  </si>
  <si>
    <t>추가</t>
    <phoneticPr fontId="2" type="noConversion"/>
  </si>
  <si>
    <t>메타신규대상</t>
    <phoneticPr fontId="2" type="noConversion"/>
  </si>
  <si>
    <t>Y</t>
    <phoneticPr fontId="2" type="noConversion"/>
  </si>
  <si>
    <t>테이블
반영분류</t>
    <phoneticPr fontId="2" type="noConversion"/>
  </si>
  <si>
    <t>변경</t>
  </si>
  <si>
    <t>변경</t>
    <phoneticPr fontId="2" type="noConversion"/>
  </si>
  <si>
    <t>변경</t>
    <phoneticPr fontId="2" type="noConversion"/>
  </si>
  <si>
    <t>Y</t>
    <phoneticPr fontId="2" type="noConversion"/>
  </si>
  <si>
    <t>장기카드대출의 심사거래를 처리하는 시점의 시분초(HHMMSS) 시각</t>
    <phoneticPr fontId="2" type="noConversion"/>
  </si>
  <si>
    <t>카드론심사거래시각</t>
    <phoneticPr fontId="2" type="noConversion"/>
  </si>
  <si>
    <t>NICE신용정보조회 단일 거래에 대한 신용요약상세 내역을 관리하기 위해 순차적으로 증가하는 일련의 번호를 의미한다</t>
    <phoneticPr fontId="2" type="noConversion"/>
  </si>
  <si>
    <t>NICE신용정보조회 단일 거래에 대한 신용특별요약상세 내역을 관리하기 위해 순차적으로 증가하는 일련의 번호를 의미한다</t>
    <phoneticPr fontId="2" type="noConversion"/>
  </si>
  <si>
    <t>NICE동시대출조회 단일 거래에 대한 대출상세 내역을 관리하기 위해 순차적으로 증가하는 일련의 번호를 의미한다</t>
    <phoneticPr fontId="2" type="noConversion"/>
  </si>
  <si>
    <t>NICE허위대출조회 단일 거래에 대한 대출스코어 내역을 관리하기 위해 순차적으로 증가하는 일련의 번호를 의미한다</t>
    <phoneticPr fontId="2" type="noConversion"/>
  </si>
  <si>
    <t>NICE허위대출조회 단일 거래에 대한 대출규칙정보 내역을 관리하기 위해 순차적으로 증가하는 일련의 번호를 의미한다</t>
    <phoneticPr fontId="2" type="noConversion"/>
  </si>
  <si>
    <t>KCB허위대출조회 단일 거래에 대한 대출결과상세정보 내역을 관리하기 위해 순차적으로 증가하는 일련의 번호를 의미한다</t>
    <phoneticPr fontId="2" type="noConversion"/>
  </si>
  <si>
    <t>KCB동시대출조회 단일 거래에 대한 대출상세 내역을 관리하기 위해 순차적으로 증가하는 일련의 번호를 의미한다</t>
    <phoneticPr fontId="2" type="noConversion"/>
  </si>
  <si>
    <t>KCB신용정보조회 단일 거래에 대한 신용평점상세 내역을 관리하기 위해 순차적으로 증가하는 일련의 번호를 의미한다</t>
    <phoneticPr fontId="2" type="noConversion"/>
  </si>
  <si>
    <t>삭제</t>
    <phoneticPr fontId="2" type="noConversion"/>
  </si>
  <si>
    <t>(전문) NICE 신용정보조회 요청시 수신 받은 고객의 신용스코어 구분코드 항목이다.
( 예 : ML0100_001 , NK0200_000 등 )</t>
    <phoneticPr fontId="2" type="noConversion"/>
  </si>
  <si>
    <t>NICE 전문 관리번호</t>
    <phoneticPr fontId="2" type="noConversion"/>
  </si>
  <si>
    <t>NICE특별요약정보수신건수</t>
    <phoneticPr fontId="2" type="noConversion"/>
  </si>
  <si>
    <t>NICE요약정보수신건수</t>
    <phoneticPr fontId="2" type="noConversion"/>
  </si>
  <si>
    <t>NICE평가결과수신건수</t>
    <phoneticPr fontId="2" type="noConversion"/>
  </si>
  <si>
    <t>(전문) NICE 대외기관전문에서 수신되는 특별요약정보 중 수신한 총건수이다.</t>
    <phoneticPr fontId="2" type="noConversion"/>
  </si>
  <si>
    <t>(전문) NICE 대외기관전문에서 수신되는 요약정보 중 수신한 총건수이다.</t>
    <phoneticPr fontId="2" type="noConversion"/>
  </si>
  <si>
    <t>(전문) NICE 대외기관전문에서 수신되는 신용평점정보 중 수신한 총건수이다.</t>
    <phoneticPr fontId="2" type="noConversion"/>
  </si>
  <si>
    <t>유지</t>
    <phoneticPr fontId="2" type="noConversion"/>
  </si>
  <si>
    <t>NICE평점결과코드</t>
    <phoneticPr fontId="2" type="noConversion"/>
  </si>
  <si>
    <t>(전문) NICE신용정보조회 단일 거래에 대한 신용평점상세 내역을 관리하기 위해 순차적으로 증가하는 일련의 번호를 의미한다</t>
    <phoneticPr fontId="2" type="noConversion"/>
  </si>
  <si>
    <t>(전문) NICE 신용정보조회 요청시 수신 받은 평점정보를 구분하는 코드</t>
    <phoneticPr fontId="2" type="noConversion"/>
  </si>
  <si>
    <t>(전문) NICE 신용정보조회 요청시 수신 받은 평점결과코드</t>
    <phoneticPr fontId="2" type="noConversion"/>
  </si>
  <si>
    <t>NICE평점정보분류코드</t>
    <phoneticPr fontId="2" type="noConversion"/>
  </si>
  <si>
    <t>NICE신용스코어분류코드</t>
    <phoneticPr fontId="2" type="noConversion"/>
  </si>
  <si>
    <t>NICE적용배제사유코드1</t>
    <phoneticPr fontId="2" type="noConversion"/>
  </si>
  <si>
    <t>NICE적용배제사유코드2</t>
    <phoneticPr fontId="2" type="noConversion"/>
  </si>
  <si>
    <t>NICE적용배제사유코드3</t>
    <phoneticPr fontId="2" type="noConversion"/>
  </si>
  <si>
    <t>VARCHAR</t>
  </si>
  <si>
    <t>NICE평점사유코드1</t>
    <phoneticPr fontId="2" type="noConversion"/>
  </si>
  <si>
    <t>NICE평점결과내용1</t>
    <phoneticPr fontId="2" type="noConversion"/>
  </si>
  <si>
    <t>NICE평점결과내용1</t>
    <phoneticPr fontId="2" type="noConversion"/>
  </si>
  <si>
    <t>NICE프로파일코드1</t>
    <phoneticPr fontId="2" type="noConversion"/>
  </si>
  <si>
    <t>거래년월일</t>
    <phoneticPr fontId="2" type="noConversion"/>
  </si>
  <si>
    <t>거래시각</t>
    <phoneticPr fontId="2" type="noConversion"/>
  </si>
  <si>
    <t>Y</t>
    <phoneticPr fontId="2" type="noConversion"/>
  </si>
  <si>
    <t>정보고유번호</t>
    <phoneticPr fontId="10" type="noConversion"/>
  </si>
  <si>
    <t>NICE신용정보고유번호</t>
  </si>
  <si>
    <t>NICE대출정보응답건수</t>
    <phoneticPr fontId="2" type="noConversion"/>
  </si>
  <si>
    <t>NICE공유기준일수표시내용</t>
    <phoneticPr fontId="2" type="noConversion"/>
  </si>
  <si>
    <t>유지</t>
    <phoneticPr fontId="2" type="noConversion"/>
  </si>
  <si>
    <t>NICE대출계좌번호</t>
  </si>
  <si>
    <t>거래기관업계코드</t>
    <phoneticPr fontId="10" type="noConversion"/>
  </si>
  <si>
    <t>1000원을 곱하여 적재해야 함</t>
    <phoneticPr fontId="2" type="noConversion"/>
  </si>
  <si>
    <t>NICE유의거래사유코드</t>
    <phoneticPr fontId="2" type="noConversion"/>
  </si>
  <si>
    <t>추가</t>
    <phoneticPr fontId="2" type="noConversion"/>
  </si>
  <si>
    <t>KCB전문송신일시</t>
  </si>
  <si>
    <t>전문 전송시간</t>
    <phoneticPr fontId="2" type="noConversion"/>
  </si>
  <si>
    <t>거래년월일</t>
    <phoneticPr fontId="2" type="noConversion"/>
  </si>
  <si>
    <t>추가</t>
    <phoneticPr fontId="2" type="noConversion"/>
  </si>
  <si>
    <t>CB스코어구분코드</t>
  </si>
  <si>
    <t>(전문) KCB신용평점을 조회 하는 시점의 기준년월일</t>
    <phoneticPr fontId="2" type="noConversion"/>
  </si>
  <si>
    <t>KCB신용평점산출체크비트내용</t>
    <phoneticPr fontId="2" type="noConversion"/>
  </si>
  <si>
    <t>(전문) KCB신용점수 조회시 산출되는 우량 및 불량산출 정보의 체크 비트
- 1번째 비트 : AF1 사기거래경험자
- 2번째 비트 : AF2 파산면책자
- 3번째 비트 : AF3장기연체진행자
- 4번째 비트 : AF4 신용회복대상자
- 5번째 비트 : AF5 희망모아채무조정자
- 6번째 비트 : AF6 정정청구대상자
- 7번째 비트 : AF7 3년내조회정보삭제자
- 8번째 비트 : AF8 신용정보미보유자
- 9번째 비트 : AF95 년내금융미거래자
- 10번째 비트 : AF10 3년내금융미거래자
- 11번째 비트 : AF11 1년내금융미거래자
- 12번째 비트 : AF12 3개월미만금융거래자
- 13번째 비트 : AF13 6개월미만금융거래자
- 14번째 비트 : AF14 1년미만금융거래자
- 15번째 비트 : AF15 복수주민번호보유자
- 16번째 비트 : AF16 외국인
- 17번째 비트 : AF17 본인정보등록자
- 18번째 비트 : AF18 약속이행자
- 19번째 비트 : AF19 신용관리자</t>
    <phoneticPr fontId="2" type="noConversion"/>
  </si>
  <si>
    <t>KCB신용요약정보값</t>
  </si>
  <si>
    <t>(전문) KCB신용정보조회 단일 거래에 대한 신용요약상세 내역을 관리하기 위해 순차적으로 증가하는 일련의 번호를 의미한다</t>
    <phoneticPr fontId="2" type="noConversion"/>
  </si>
  <si>
    <t>(전문) KCB를 통한 신용정보조회 중 신용정보 항목별 요약 정보(최근3개월신용카드이용기관수, 최근3개월CA합계이용금액, 현재미상환신용대출건수 등)의 실제 값(건수, 일수, 금액 등)</t>
    <phoneticPr fontId="2" type="noConversion"/>
  </si>
  <si>
    <t>주민사업자법인번호</t>
    <phoneticPr fontId="2" type="noConversion"/>
  </si>
  <si>
    <t>KCB조회동의구분코드</t>
    <phoneticPr fontId="2" type="noConversion"/>
  </si>
  <si>
    <t>정보유무체크비트</t>
    <phoneticPr fontId="2" type="noConversion"/>
  </si>
  <si>
    <t>KCB정보유무체크비트내용</t>
  </si>
  <si>
    <t>KCB신용정보관리번호</t>
    <phoneticPr fontId="2" type="noConversion"/>
  </si>
  <si>
    <t>KCB표준업종명</t>
    <phoneticPr fontId="2" type="noConversion"/>
  </si>
  <si>
    <t>KCB등록사유코드</t>
    <phoneticPr fontId="2" type="noConversion"/>
  </si>
  <si>
    <t>(전문) KCB신용정보사에 대출정보 등록된 사유코드</t>
    <phoneticPr fontId="2" type="noConversion"/>
  </si>
  <si>
    <t>KCB담보설정여부</t>
    <phoneticPr fontId="2" type="noConversion"/>
  </si>
  <si>
    <t>KCB대출약정금액</t>
    <phoneticPr fontId="2" type="noConversion"/>
  </si>
  <si>
    <t>(전문) KCB신용정보사에 등록된 대출정보 중 해당 대출 약정금액</t>
    <phoneticPr fontId="2" type="noConversion"/>
  </si>
  <si>
    <t>(전문) KCB신용정보사에서 관리하는 표준업종코드의 업종명</t>
    <phoneticPr fontId="2" type="noConversion"/>
  </si>
  <si>
    <t>(전문) KCB신용정보사에서 관리하는 표준코드</t>
    <phoneticPr fontId="2" type="noConversion"/>
  </si>
  <si>
    <t>KCB등록거래기관명</t>
    <phoneticPr fontId="2" type="noConversion"/>
  </si>
  <si>
    <t>등록일시</t>
    <phoneticPr fontId="2" type="noConversion"/>
  </si>
  <si>
    <t>KCB대출등록기관코드</t>
    <phoneticPr fontId="2" type="noConversion"/>
  </si>
  <si>
    <t>KCB대출등록일시</t>
    <phoneticPr fontId="2" type="noConversion"/>
  </si>
  <si>
    <t>(전문) KCB 정보에 대출정보가 등록된 기관의 기관코드</t>
    <phoneticPr fontId="2" type="noConversion"/>
  </si>
  <si>
    <t>(전문) KCB 정보에 대출정보가 등록된 일시</t>
    <phoneticPr fontId="2" type="noConversion"/>
  </si>
  <si>
    <t>KCB응답코드</t>
    <phoneticPr fontId="2" type="noConversion"/>
  </si>
  <si>
    <t>응답코드</t>
    <phoneticPr fontId="2" type="noConversion"/>
  </si>
  <si>
    <t>GRAS등급</t>
  </si>
  <si>
    <t xml:space="preserve">GRAS룰점수 </t>
  </si>
  <si>
    <t>총매칭 신청건수</t>
  </si>
  <si>
    <t>총매칭 룰건수</t>
  </si>
  <si>
    <t>GRAS매칭룰내용</t>
    <phoneticPr fontId="2" type="noConversion"/>
  </si>
  <si>
    <t>GRAS매칭룰점수</t>
    <phoneticPr fontId="2" type="noConversion"/>
  </si>
  <si>
    <t>NICE신용평점정보상세일련번호</t>
  </si>
  <si>
    <t>NICE신용요약정보상세일련번호</t>
  </si>
  <si>
    <t>NICE동시대출상세일련번호</t>
  </si>
  <si>
    <t>NICE허위대출스코어상세일련번호</t>
  </si>
  <si>
    <t>KCB신용평점정보상세일련번호</t>
  </si>
  <si>
    <t>KCB신용요약정보상세일련번호</t>
  </si>
  <si>
    <t>KCB동시대출상세일련번호</t>
  </si>
  <si>
    <t>KCB허위대출결과상세일련번호</t>
  </si>
  <si>
    <t>내용</t>
    <phoneticPr fontId="2" type="noConversion"/>
  </si>
  <si>
    <t>길이</t>
    <phoneticPr fontId="2" type="noConversion"/>
  </si>
  <si>
    <t>타입</t>
    <phoneticPr fontId="2" type="noConversion"/>
  </si>
  <si>
    <t>KCB표준업종코드</t>
  </si>
  <si>
    <t>KCB표준업종코드</t>
    <phoneticPr fontId="2" type="noConversion"/>
  </si>
  <si>
    <t>용어</t>
    <phoneticPr fontId="2" type="noConversion"/>
  </si>
  <si>
    <t>SEQ</t>
    <phoneticPr fontId="2" type="noConversion"/>
  </si>
  <si>
    <t>장기카드대출의 심사거래를 처리하는 시점의 년월일</t>
    <phoneticPr fontId="2" type="noConversion"/>
  </si>
  <si>
    <t>NICE적용배제사유구분코드2</t>
    <phoneticPr fontId="2" type="noConversion"/>
  </si>
  <si>
    <t>NICE적용배제사유구분코드</t>
    <phoneticPr fontId="2" type="noConversion"/>
  </si>
  <si>
    <t>(전문) NICE 신용조회 등 전문 송수신 처리 시의 전문송신기관내용
(현재 'NICEIF' 만 존재함)</t>
  </si>
  <si>
    <t>(전문) NICE를 통한 대출사기방지 허위대출 조회 중 NICE FRIS의 정보구분(사기점수, 활용규칙) 중의 사기점수 구분값</t>
  </si>
  <si>
    <t>(전문) NICE를 통한 대출사기방지 허위대출 조회 중 NICE FRIS의 정보구분(사기점수, 활용규칙) 중의 활용규칙 구분값</t>
  </si>
  <si>
    <t>NICE요약정보값</t>
  </si>
  <si>
    <t>(전문) NICE 대외기관전문에서 수신되는 항목별 요약정보의 값이다.
(예 : KR5000001)</t>
    <phoneticPr fontId="2" type="noConversion"/>
  </si>
  <si>
    <t>Y</t>
    <phoneticPr fontId="2" type="noConversion"/>
  </si>
  <si>
    <t>[전문] NICE 대외기관전문에 수신되는 정보로 NICE 대출정보에 등재된 대출계좌번호</t>
  </si>
  <si>
    <t>Y</t>
    <phoneticPr fontId="2" type="noConversion"/>
  </si>
  <si>
    <t>KCB신용평점조회기준년월일</t>
    <phoneticPr fontId="2" type="noConversion"/>
  </si>
  <si>
    <t>KCB신용평점조회기준년월일</t>
    <phoneticPr fontId="2" type="noConversion"/>
  </si>
  <si>
    <t>NICE신용특별요약상세일련번호</t>
    <phoneticPr fontId="2" type="noConversion"/>
  </si>
  <si>
    <t>NICE신용특별요약상세일련번호</t>
    <phoneticPr fontId="2" type="noConversion"/>
  </si>
  <si>
    <t>NICE허위대출규칙상세일련번호</t>
    <phoneticPr fontId="2" type="noConversion"/>
  </si>
  <si>
    <t>NICE요약정보내용</t>
    <phoneticPr fontId="2" type="noConversion"/>
  </si>
  <si>
    <t>NICE평점결과내용</t>
    <phoneticPr fontId="2" type="noConversion"/>
  </si>
  <si>
    <t>GEA_NICE신용평점정보상세전문</t>
  </si>
  <si>
    <t>GEA_NICE신용요약정보상세전문</t>
  </si>
  <si>
    <t>GEA_NICE신용특별요약정보상세전문</t>
  </si>
  <si>
    <t>GEA_NICE동시대출전문</t>
  </si>
  <si>
    <t>GEA_NICE동시대출상세전문</t>
  </si>
  <si>
    <t>GEA_NICE허위대출전문</t>
  </si>
  <si>
    <t>GEA_NICE허위대출스코어상세전문</t>
  </si>
  <si>
    <t>GEA_NICE허위대출규칙정보상세전문</t>
  </si>
  <si>
    <t>GEA_KCB신용정보전문</t>
  </si>
  <si>
    <t>GEA_KCB신용평점정보상세전문</t>
  </si>
  <si>
    <t>GEA_KCB신용요약정보상세전문</t>
  </si>
  <si>
    <t>GEA_KCB동시대출전문</t>
  </si>
  <si>
    <t>GEA_KCB동시대출상세전문</t>
  </si>
  <si>
    <t>GEA_KCB허위대출전문</t>
  </si>
  <si>
    <t>GEA_KCB허위대출결과상세전문</t>
  </si>
  <si>
    <t>유지</t>
    <phoneticPr fontId="2" type="noConversion"/>
  </si>
  <si>
    <t>쉬프트론잔액</t>
    <phoneticPr fontId="2" type="noConversion"/>
  </si>
  <si>
    <t>TOTAL CREDIT</t>
  </si>
  <si>
    <t>TOTAL CREDIT잔여한도</t>
  </si>
  <si>
    <t>예외심사구분코드</t>
  </si>
  <si>
    <t>카드론매체구분코드</t>
  </si>
  <si>
    <t>당사 CA 잔액</t>
    <phoneticPr fontId="2" type="noConversion"/>
  </si>
  <si>
    <t>이월국내리볼빙CA잔액</t>
    <phoneticPr fontId="2" type="noConversion"/>
  </si>
  <si>
    <t>CA잔액</t>
    <phoneticPr fontId="2" type="noConversion"/>
  </si>
  <si>
    <t>이월국내리볼빙일시불잔액</t>
    <phoneticPr fontId="2" type="noConversion"/>
  </si>
  <si>
    <t>부채증명서발급경과일수</t>
    <phoneticPr fontId="2" type="noConversion"/>
  </si>
  <si>
    <t>카드론거래매체구분코드</t>
    <phoneticPr fontId="2" type="noConversion"/>
  </si>
  <si>
    <t>신용BSS등급구분코드</t>
    <phoneticPr fontId="2" type="noConversion"/>
  </si>
  <si>
    <t>신용BSS산정대상구분코드</t>
    <phoneticPr fontId="2" type="noConversion"/>
  </si>
  <si>
    <t>카드론신규등급구분코드</t>
    <phoneticPr fontId="2" type="noConversion"/>
  </si>
  <si>
    <t>신용카드BSS평가점수</t>
    <phoneticPr fontId="2" type="noConversion"/>
  </si>
  <si>
    <t>당사신용카드잔액</t>
  </si>
  <si>
    <t>신용카드 매출의 미청구금액 합계</t>
  </si>
  <si>
    <t>통합총한도금액</t>
    <phoneticPr fontId="2" type="noConversion"/>
  </si>
  <si>
    <t>통합총한도잔액</t>
  </si>
  <si>
    <t>통합총한도금액에서 미도래청구합계잔액을 차감한 금액</t>
  </si>
  <si>
    <t xml:space="preserve"> 정상적인 심사 진행이 아닌 예외심사가 진행되는 경우 구분하기 위한 코드로 예외승인대상아님,예외승인대상 등을 관리한다</t>
  </si>
  <si>
    <t>우대한도소득 기준에 충족 되는지의 여부</t>
  </si>
  <si>
    <t>NUMBER</t>
    <phoneticPr fontId="2" type="noConversion"/>
  </si>
  <si>
    <t>할부금융신용대출잔액</t>
    <phoneticPr fontId="2" type="noConversion"/>
  </si>
  <si>
    <t>메타신청일</t>
    <phoneticPr fontId="2" type="noConversion"/>
  </si>
  <si>
    <t>NICE특별요약정보내용</t>
    <phoneticPr fontId="2" type="noConversion"/>
  </si>
  <si>
    <t>NICE요약정보내용</t>
    <phoneticPr fontId="2" type="noConversion"/>
  </si>
  <si>
    <t>NICE평점결과내용</t>
    <phoneticPr fontId="2" type="noConversion"/>
  </si>
  <si>
    <t>확인중</t>
    <phoneticPr fontId="2" type="noConversion"/>
  </si>
  <si>
    <t>[1] GEA심사사전정보내역
[2] GEA심사사전부적격결과내역</t>
    <phoneticPr fontId="2" type="noConversion"/>
  </si>
  <si>
    <t>[1] GEA신용회원사전대상자내역
[2] GEA체크회원사전대상자내역</t>
    <phoneticPr fontId="2" type="noConversion"/>
  </si>
  <si>
    <t>확인중</t>
    <phoneticPr fontId="2" type="noConversion"/>
  </si>
  <si>
    <t>세그먼트번호</t>
  </si>
  <si>
    <t>(전문)KCB와 회원사 간 송수신전문의 거래를 구분하기 위한 내용
--&gt; 현재 "SEV" 또는 NULL</t>
    <phoneticPr fontId="2" type="noConversion"/>
  </si>
  <si>
    <t>불핋요</t>
    <phoneticPr fontId="2" type="noConversion"/>
  </si>
  <si>
    <t>GEA_NICE신용정보전문</t>
  </si>
  <si>
    <t>일사
천리</t>
    <phoneticPr fontId="2" type="noConversion"/>
  </si>
  <si>
    <t>시스템최종갱신일시</t>
    <phoneticPr fontId="2" type="noConversion"/>
  </si>
  <si>
    <t>N/A</t>
  </si>
  <si>
    <t>N/A</t>
    <phoneticPr fontId="2" type="noConversion"/>
  </si>
  <si>
    <t>GEA신용회원사전대상자내역</t>
  </si>
  <si>
    <t>GEA체크회원사전대상자내역</t>
  </si>
  <si>
    <t>GEA심사사전정보내역</t>
  </si>
  <si>
    <t>GEA심사사전부적격결과내역</t>
  </si>
  <si>
    <t>가맹점주등급</t>
  </si>
  <si>
    <t>최근 6개월 가맹점 매출액</t>
  </si>
  <si>
    <t>외국인여부</t>
  </si>
  <si>
    <t>접수번호</t>
  </si>
  <si>
    <t>여신연체고객(KB 국민은행정보)</t>
  </si>
  <si>
    <t>신용카드 거래정지 등록고객</t>
  </si>
  <si>
    <t>신용관리대상 및 당행정보관리 등재고객(KB 국민은행 정보)</t>
  </si>
  <si>
    <t>NICE 타사연체정보 보유고객(신용정보)</t>
  </si>
  <si>
    <t>KCB 타사연체정보 보유고객(신용정보)</t>
  </si>
  <si>
    <t>사망실종 고객(고객정보)</t>
  </si>
  <si>
    <t>거래주의보정보 등록고객(고객정보)</t>
  </si>
  <si>
    <t>워크아웃 등록고객</t>
  </si>
  <si>
    <t>장기카드대출 연체고객</t>
  </si>
  <si>
    <t>요주의 등록고객(신용정보)</t>
  </si>
  <si>
    <t>신용불량 채무관계제한 등록고객(신용정보)</t>
  </si>
  <si>
    <t>은행 사전채무조정 신청자 및 확정자 등록고객(KB 국민은행 정보)</t>
  </si>
  <si>
    <t>고객기본정보 구분코드 오류(고객정보)</t>
  </si>
  <si>
    <t>만나이</t>
  </si>
  <si>
    <t>만나이</t>
    <phoneticPr fontId="2" type="noConversion"/>
  </si>
  <si>
    <t>신용관리대상 등재고객</t>
  </si>
  <si>
    <t>신용관리대상 등재고객</t>
    <phoneticPr fontId="2" type="noConversion"/>
  </si>
  <si>
    <t>KCB 타사연체정보 보유고객 여부</t>
  </si>
  <si>
    <t>KCB 타사연체정보 보유고객 여부</t>
    <phoneticPr fontId="2" type="noConversion"/>
  </si>
  <si>
    <t>NICE 타사연체정보 보유고객 여부</t>
  </si>
  <si>
    <t>NICE 타사연체정보 보유고객 여부</t>
    <phoneticPr fontId="2" type="noConversion"/>
  </si>
  <si>
    <t>사망실종 고객 여부</t>
  </si>
  <si>
    <t>사망실종 고객 여부</t>
    <phoneticPr fontId="2" type="noConversion"/>
  </si>
  <si>
    <t>거래주의보정보 등록고객 여부</t>
  </si>
  <si>
    <t>거래주의보정보 등록고객 여부</t>
    <phoneticPr fontId="2" type="noConversion"/>
  </si>
  <si>
    <t>신용카드 거래정지 고객 여부</t>
  </si>
  <si>
    <t>신용카드 거래정지 고객 여부</t>
    <phoneticPr fontId="2" type="noConversion"/>
  </si>
  <si>
    <t>여신연체고객 여부</t>
  </si>
  <si>
    <t>여신연체고객 여부</t>
    <phoneticPr fontId="2" type="noConversion"/>
  </si>
  <si>
    <t>워크아웃 등록고객 여부</t>
  </si>
  <si>
    <t>워크아웃 등록고객 여부</t>
    <phoneticPr fontId="2" type="noConversion"/>
  </si>
  <si>
    <t>장기카드대출 연체고객 여부</t>
  </si>
  <si>
    <t>장기카드대출 연체고객 여부</t>
    <phoneticPr fontId="2" type="noConversion"/>
  </si>
  <si>
    <t>요주의 등록고객 여부</t>
  </si>
  <si>
    <t>요주의 등록고객 여부</t>
    <phoneticPr fontId="2" type="noConversion"/>
  </si>
  <si>
    <t>사전채무조정 등록고객여부</t>
  </si>
  <si>
    <t>사전채무조정 등록고객여부</t>
    <phoneticPr fontId="2" type="noConversion"/>
  </si>
  <si>
    <t>신용불량 고객 여부</t>
  </si>
  <si>
    <t>신용불량 고객 여부</t>
    <phoneticPr fontId="2" type="noConversion"/>
  </si>
  <si>
    <t>고객기본정보 구분 오류여부</t>
  </si>
  <si>
    <t>고객기본정보 구분 오류여부</t>
    <phoneticPr fontId="2" type="noConversion"/>
  </si>
  <si>
    <t>유효고객여부</t>
  </si>
  <si>
    <t>유효회원여부</t>
  </si>
  <si>
    <t>신용카드소지여부</t>
  </si>
  <si>
    <t>체크카드보유여부</t>
  </si>
  <si>
    <t>쉬프트론잔액</t>
  </si>
  <si>
    <t>CA잔액</t>
  </si>
  <si>
    <t>이월국내리볼빙일시불잔액</t>
  </si>
  <si>
    <t>이월국내리볼빙CA잔액</t>
  </si>
  <si>
    <t>할부금융신용대출잔액</t>
  </si>
  <si>
    <t>부채증명서발급경과일수</t>
  </si>
  <si>
    <t>통합총한도금액</t>
  </si>
  <si>
    <t>카드론거래매체구분코드</t>
  </si>
  <si>
    <t>추가</t>
    <phoneticPr fontId="2" type="noConversion"/>
  </si>
  <si>
    <t>비고</t>
    <phoneticPr fontId="2" type="noConversion"/>
  </si>
  <si>
    <t>1) 송신전문 관리
    - 송신한 전문에 대하여는 관리하지 않음 (유지수D 요청 사항)
2) 수신전문 관리
    - 수신된 전문은 당사의 심사전략솔루션(RCLIPS)에서
       사용시 편의성을 위하여 데이터 Parsing을 하여
       테이블에 항목별로 적재한다.
    - 당일 동일 I/F발생시 추가적인 I/F는 수행하지 않고
       해당 수신적재된 건을 이용한다.</t>
    <phoneticPr fontId="2" type="noConversion"/>
  </si>
  <si>
    <t>1) 수신 데이터 적재
    - 수신 후 해당 테이블을 매월 25일 경에 Batch로 적재한다.</t>
    <phoneticPr fontId="2" type="noConversion"/>
  </si>
  <si>
    <t>1) 심사시점에 처리계 테이블을 실시간 참조하여
    해당 테이블에 적재하고, RCLIPS I/F시 사용한다.</t>
    <phoneticPr fontId="2" type="noConversion"/>
  </si>
  <si>
    <t>항목명</t>
    <phoneticPr fontId="16" type="noConversion"/>
  </si>
  <si>
    <t>속성</t>
    <phoneticPr fontId="16" type="noConversion"/>
  </si>
  <si>
    <t>길이</t>
    <phoneticPr fontId="16" type="noConversion"/>
  </si>
  <si>
    <t>원천정보</t>
    <phoneticPr fontId="16" type="noConversion"/>
  </si>
  <si>
    <t>CB사 전문번호</t>
    <phoneticPr fontId="16" type="noConversion"/>
  </si>
  <si>
    <t>CB사 항목코드</t>
    <phoneticPr fontId="16" type="noConversion"/>
  </si>
  <si>
    <t>BITMAP</t>
    <phoneticPr fontId="16" type="noConversion"/>
  </si>
  <si>
    <t>(신용관리대상/공공정보)등록 총 건수</t>
  </si>
  <si>
    <t>B12000100</t>
  </si>
  <si>
    <t>신용정보등록건수</t>
  </si>
  <si>
    <t>(채무불이행-신용정보사)미해제등록 총 건수</t>
  </si>
  <si>
    <t>NICE개인신용정보</t>
  </si>
  <si>
    <t>B22000200</t>
  </si>
  <si>
    <t>62</t>
  </si>
  <si>
    <t>NICE미해제총건수</t>
  </si>
  <si>
    <t>BS0000051</t>
  </si>
  <si>
    <t>희망모아신용회복지원대상여부_V1</t>
  </si>
  <si>
    <t>채무불이행 최근5년내 해제건 중 최근 해제일로부터의 기간(삭제포함)</t>
  </si>
  <si>
    <t>BS0000667</t>
  </si>
  <si>
    <t>최근5년디폴트해제경과일수</t>
  </si>
  <si>
    <t>신용회복위원회 조정정보 보유 유무</t>
  </si>
  <si>
    <t>BS0000783</t>
  </si>
  <si>
    <t>신용회복위원회조정정보보유여부_V1</t>
  </si>
  <si>
    <t>상록수 신용회복지원 구분</t>
  </si>
  <si>
    <t>BS0000784</t>
  </si>
  <si>
    <t>상록수신용회복지원여부_V1</t>
  </si>
  <si>
    <t>CF0100116</t>
  </si>
  <si>
    <t>최근1개월리볼빙이용기관수_N5</t>
  </si>
  <si>
    <t>미상환카드론,CA 및 리볼빙잔액 보유 기관수</t>
  </si>
  <si>
    <t>CF0100122</t>
  </si>
  <si>
    <t>미상환카드론리볼빙보유기관수</t>
  </si>
  <si>
    <t>CF0100218</t>
  </si>
  <si>
    <t>최근1개월리볼빙잔액합계금액_N15</t>
  </si>
  <si>
    <t>최근3개월현금서비스</t>
  </si>
  <si>
    <t>CF0300227</t>
  </si>
  <si>
    <t>최근3개월CA이용금액 _N15</t>
  </si>
  <si>
    <t>최근12개월 카드 신판사용개월수(체크카드사용포함)(15일기준)</t>
  </si>
  <si>
    <t>CF1200610</t>
  </si>
  <si>
    <t>최근1년신용판매이용개월수</t>
  </si>
  <si>
    <t>파산면책 등록 유무</t>
  </si>
  <si>
    <t>CRT000005</t>
  </si>
  <si>
    <t>파산면책등록유무</t>
  </si>
  <si>
    <t>개인회생 등록 유무</t>
  </si>
  <si>
    <t>CRT000006</t>
  </si>
  <si>
    <t>개인회생등록유무</t>
  </si>
  <si>
    <t>금치산선고 유무</t>
  </si>
  <si>
    <t>CRT000013</t>
  </si>
  <si>
    <t>금치산자선고유무_V1</t>
  </si>
  <si>
    <t>한정치산선고 유무</t>
  </si>
  <si>
    <t>CRT000015</t>
  </si>
  <si>
    <t>한정금치산자선고유무_V1</t>
  </si>
  <si>
    <t>대부업계 30일이상 연체 미해제 총 건수</t>
  </si>
  <si>
    <t>DQ0052001</t>
  </si>
  <si>
    <t>대부업권30일이상연체총건수_N5</t>
  </si>
  <si>
    <t>대부업계 30일이상 연체 6개월내 경험한 총 건수</t>
  </si>
  <si>
    <t>DQ0652001</t>
  </si>
  <si>
    <t>대부업권30일연체6개월총건수_N5</t>
  </si>
  <si>
    <t>현 자택정보 최초등록일로부터의 경과일수</t>
  </si>
  <si>
    <t>EH0001601</t>
  </si>
  <si>
    <t>현거주지등록경과일수</t>
  </si>
  <si>
    <t>현 거주지의 거주유형 상세</t>
  </si>
  <si>
    <t>EH0001901</t>
  </si>
  <si>
    <t>거주유형상세코드</t>
  </si>
  <si>
    <t>현 거주지의 매매평균가(천원)</t>
  </si>
  <si>
    <t>EH0002904</t>
  </si>
  <si>
    <t>현거주지매매평균가격</t>
  </si>
  <si>
    <t>현 직장정보 최초등록일로부터의 경과일수</t>
  </si>
  <si>
    <t>EW0001601</t>
  </si>
  <si>
    <t>현직장정보등록경과일수</t>
  </si>
  <si>
    <t>상환여력정보 적중구분(0:매칭불가, 1:기업정보매칭, 2:KFB대상기업체정보매칭, 3:예외코드매칭)</t>
  </si>
  <si>
    <t>EW0001901</t>
  </si>
  <si>
    <t>상환여력정보매칭코드</t>
  </si>
  <si>
    <t>상환여력정보 예외코드</t>
  </si>
  <si>
    <t>EW0001902</t>
  </si>
  <si>
    <t>상환여력정보예외코드</t>
  </si>
  <si>
    <t>현 직장의 휴폐업여부</t>
  </si>
  <si>
    <t>EW0002801</t>
  </si>
  <si>
    <t>현직장휴폐업구분코드</t>
  </si>
  <si>
    <t>현 직장의 기업공개</t>
  </si>
  <si>
    <t>EW0002902</t>
  </si>
  <si>
    <t>현직장기업공개구분코드</t>
  </si>
  <si>
    <t>현 직장의 기업형태</t>
  </si>
  <si>
    <t>EW0002903</t>
  </si>
  <si>
    <t>현직장기업형태구분코드</t>
  </si>
  <si>
    <t>현 직장의 종업원수</t>
  </si>
  <si>
    <t>EW0002905</t>
  </si>
  <si>
    <t>현직장종업원수</t>
  </si>
  <si>
    <t>NICE등록연소득금액(IE0305_000)</t>
  </si>
  <si>
    <t>IE0300002</t>
  </si>
  <si>
    <t>NICE연소득금액</t>
  </si>
  <si>
    <t>NICE추정연소득금액(IE0305_000)</t>
  </si>
  <si>
    <t>IE0300005</t>
  </si>
  <si>
    <t>NICE추정연소득금액</t>
  </si>
  <si>
    <t>NICE최종연소득금액(IE0305_000)</t>
  </si>
  <si>
    <t>IE0300007</t>
  </si>
  <si>
    <t>최종연소득금액</t>
  </si>
  <si>
    <t>NICE직장기반추정소득값(IE0305_000)</t>
  </si>
  <si>
    <t>IE0300010</t>
  </si>
  <si>
    <t>직장기반추정소득금액_N15</t>
  </si>
  <si>
    <t>NICE부동산기반추정소득(IE0305_000)</t>
  </si>
  <si>
    <t>IE0300011</t>
  </si>
  <si>
    <t>부동산기반추정소득금액_N15</t>
  </si>
  <si>
    <t>NICE신용정보기반추정소득(IE0305_000)</t>
  </si>
  <si>
    <t>IE0300012</t>
  </si>
  <si>
    <t>신용정보기반추정소득금액_N15</t>
  </si>
  <si>
    <t>미상환 주택담보 대출총건수</t>
  </si>
  <si>
    <t>LE0000006</t>
  </si>
  <si>
    <t>미상환주택담보대출건수</t>
  </si>
  <si>
    <t>기준일 현재 행안부 사망자 여부</t>
  </si>
  <si>
    <t>LIVESTAT2</t>
  </si>
  <si>
    <t>사망자여부</t>
  </si>
  <si>
    <t>전은연대출 연간원리금상환금액(기준2)</t>
  </si>
  <si>
    <t>LRZ000201</t>
  </si>
  <si>
    <t>전은연대출 연간원리금상환금액(기준2)_주택/부동산담보대출제외</t>
  </si>
  <si>
    <t>LRZ000203</t>
  </si>
  <si>
    <t>담보제외연간원리금상환금액_N15</t>
  </si>
  <si>
    <t>최근1개월내 총 연체금액(최초연체발생일기준)</t>
  </si>
  <si>
    <t>P12001000</t>
  </si>
  <si>
    <t>최근1개월총연체금액_N15</t>
  </si>
  <si>
    <t>미해제 연체 총 건수</t>
  </si>
  <si>
    <t>P27000100</t>
  </si>
  <si>
    <t>미해제 총 연체 금액</t>
  </si>
  <si>
    <t>P27000300</t>
  </si>
  <si>
    <t>NICE미해제총금액_N15</t>
  </si>
  <si>
    <t>연체 총 잔액(해제후1년경과건제외)</t>
  </si>
  <si>
    <t>P71010400</t>
  </si>
  <si>
    <t>총연체잔액_N15</t>
  </si>
  <si>
    <t>최근 해제 후 경과일수 (3년내해제건)</t>
  </si>
  <si>
    <t>PE0000047</t>
  </si>
  <si>
    <t>최근해제후경과일수_N5</t>
  </si>
  <si>
    <t>최근3개월전체업권연체등록건수</t>
  </si>
  <si>
    <t>PS0000102</t>
  </si>
  <si>
    <t>최근3개월전체업권합계연체금액</t>
  </si>
  <si>
    <t>PS0000103</t>
  </si>
  <si>
    <t>최근3개월전체업권연체합계금액</t>
  </si>
  <si>
    <t>최근3개월전체업권최장연체일수</t>
  </si>
  <si>
    <t>PS0000104</t>
  </si>
  <si>
    <t>현재전체업권연체등록건수</t>
  </si>
  <si>
    <t>PS0000110</t>
  </si>
  <si>
    <t>현재전체업권합계연체금액</t>
  </si>
  <si>
    <t>PS0000111</t>
  </si>
  <si>
    <t>현재전체업권연체합계금액</t>
  </si>
  <si>
    <t>현재전체업권최장연체일수</t>
  </si>
  <si>
    <t>PS0000112</t>
  </si>
  <si>
    <t>PS0001725</t>
  </si>
  <si>
    <t>최장연체경험기간수</t>
  </si>
  <si>
    <t>최근3개월내 총 연체금액(최초연체발생일기준)</t>
  </si>
  <si>
    <t>PS0001730</t>
  </si>
  <si>
    <t>최근3개월연체합계금액</t>
  </si>
  <si>
    <t>최근6개월내 경험한 연체 총 건수(10만원미만제외)</t>
  </si>
  <si>
    <t>PS0001896</t>
  </si>
  <si>
    <t>최근6개월연체합계일수</t>
  </si>
  <si>
    <t>ML0100_001</t>
  </si>
  <si>
    <t>신용정보부족스코어등급코드_V4</t>
  </si>
  <si>
    <t>개인파산정보내용</t>
  </si>
  <si>
    <t>NK0200_000</t>
  </si>
  <si>
    <t>64</t>
  </si>
  <si>
    <t>개인파산정보내용_V4</t>
  </si>
  <si>
    <t>NICE PI등급</t>
  </si>
  <si>
    <t>NK0300_000</t>
  </si>
  <si>
    <t>NICE파산건전성등급코드</t>
  </si>
  <si>
    <t>NICE PI플러스등급</t>
  </si>
  <si>
    <t>PD1300_000</t>
  </si>
  <si>
    <t>NICE파산건전성플러스등급코드</t>
  </si>
  <si>
    <t>거래패턴(CP)스코어등급</t>
  </si>
  <si>
    <t>PD2400_000</t>
  </si>
  <si>
    <t>거래패턴스코어등급코드_V4</t>
  </si>
  <si>
    <t>NICE DeP등급</t>
  </si>
  <si>
    <t>RK0200_001</t>
  </si>
  <si>
    <t>NICE채무건전성스코어등급코드</t>
  </si>
  <si>
    <t>NICE CB등급</t>
  </si>
  <si>
    <t>RK0400_000</t>
  </si>
  <si>
    <t>NICE SP등급</t>
  </si>
  <si>
    <t>RK0400_700</t>
  </si>
  <si>
    <t>NICE서브프라임부실등급구분코드</t>
  </si>
  <si>
    <t>LGU+ Telco 등급</t>
  </si>
  <si>
    <t>TS0100_000</t>
  </si>
  <si>
    <t>LGU고객신용등급코드</t>
  </si>
  <si>
    <t>과다채무지수</t>
  </si>
  <si>
    <t>과다채무지수_V4</t>
  </si>
  <si>
    <t>ND0100_201</t>
  </si>
  <si>
    <t>1개월전(15일)신용카드단기카드대출(CA)이용기관수(해지포함)</t>
  </si>
  <si>
    <t>C1Z001025</t>
  </si>
  <si>
    <t>1개월전신용카드이용기관수_V9</t>
  </si>
  <si>
    <t>1개월전(15일)카드단기카드대출(CA)총이용금액(해지포함)</t>
  </si>
  <si>
    <t>0410/437</t>
  </si>
  <si>
    <t>C1N237W1P</t>
  </si>
  <si>
    <t>1개월전신용카드총이용금액_V9</t>
  </si>
  <si>
    <t>1개월전카드총리볼빙이용잔액(해지포함)</t>
  </si>
  <si>
    <t>C1N13U001</t>
  </si>
  <si>
    <t>1개월이전카드총리볼빙이용잔액_N15</t>
  </si>
  <si>
    <t>CA이용잔액보유카드기관건수</t>
  </si>
  <si>
    <t>C1N228000</t>
  </si>
  <si>
    <t>CA이용잔액보유카드기관수</t>
  </si>
  <si>
    <t>3개월내(15일)카드신판이용개월수(해지포함)</t>
  </si>
  <si>
    <t>C1Z001117</t>
  </si>
  <si>
    <t>3개월내카드신용판매이용개월수_N15</t>
  </si>
  <si>
    <t>3개월내(15일)카드단기카드대출(CA)이용개월수(해지포함)</t>
  </si>
  <si>
    <t>C1Z000752</t>
  </si>
  <si>
    <t>3개월내CA이용개월수_N5</t>
  </si>
  <si>
    <t>3개월전(15일)카드단기카드대출(CA)이용기관수(해지포함)</t>
  </si>
  <si>
    <t>C1N127W3P</t>
  </si>
  <si>
    <t>3개월전CA이용기관수_N5</t>
  </si>
  <si>
    <t>3개월전(15일)신용카드단기카드대출(CA)총이용금액(해지포함)</t>
  </si>
  <si>
    <t>C1M237W3P</t>
  </si>
  <si>
    <t>N3개월전CA이용금액</t>
  </si>
  <si>
    <t>최근3개월연체건수(KB포함)</t>
  </si>
  <si>
    <t>D10110D0K</t>
  </si>
  <si>
    <t>최근3개월연체건수</t>
  </si>
  <si>
    <t>최근6개월전체업권연체등록건수</t>
  </si>
  <si>
    <t>D10110D0N</t>
  </si>
  <si>
    <t>최근12개월전체업권연체등록건수</t>
  </si>
  <si>
    <t>D10110D0T</t>
  </si>
  <si>
    <t>최근12개월업권연체등록건수_N5</t>
  </si>
  <si>
    <t>총최초연체금액(1개월내발생)(해제포함)</t>
  </si>
  <si>
    <t>D10131001</t>
  </si>
  <si>
    <t>1개월내발생총최초연체금액_N15</t>
  </si>
  <si>
    <t>총최초연체금액(3개월내발생)(해제포함)</t>
  </si>
  <si>
    <t>D10131003</t>
  </si>
  <si>
    <t>3개월내발생총최초연체금액_N15</t>
  </si>
  <si>
    <t>총최고(경험)연체금액(대지금포함)(6개월내유지)(해제포함)</t>
  </si>
  <si>
    <t>D10132D0N</t>
  </si>
  <si>
    <t>총최고연체금액_N15</t>
  </si>
  <si>
    <t>최근1년합계연체일수</t>
  </si>
  <si>
    <t>D1013AD0T</t>
  </si>
  <si>
    <t>최근1년합계연체일수_N5</t>
  </si>
  <si>
    <t>최장연체일수(해제포함)</t>
  </si>
  <si>
    <t>D10175000</t>
  </si>
  <si>
    <t>최장연체일수</t>
  </si>
  <si>
    <t>최근연체해제후경과일수(KB포함)</t>
  </si>
  <si>
    <t>D10187D0F</t>
  </si>
  <si>
    <t>최근연체해제후경과일수_N5</t>
  </si>
  <si>
    <t>연체건수(미해제)(대지급포함)</t>
  </si>
  <si>
    <t>D10210D00</t>
  </si>
  <si>
    <t>연체건수</t>
  </si>
  <si>
    <t>D10232D00</t>
  </si>
  <si>
    <t>총연체금액_N15</t>
  </si>
  <si>
    <t>전근6월최장연체일수</t>
  </si>
  <si>
    <t>D1Z001168</t>
  </si>
  <si>
    <t>전체최근6개월최장연체일수_N5</t>
  </si>
  <si>
    <t>채무불이행(신용정보사)건수(미해제)</t>
  </si>
  <si>
    <t>D30210000</t>
  </si>
  <si>
    <t>채무불이행미해제건수</t>
  </si>
  <si>
    <t>현재미상환신용대출건수(KB포함)</t>
  </si>
  <si>
    <t>L10216000</t>
  </si>
  <si>
    <t>현재미상환신용대출건수</t>
  </si>
  <si>
    <t>장기카드대출(카드론)대출기관수(미해지)</t>
  </si>
  <si>
    <t>L1K220000</t>
  </si>
  <si>
    <t>장기카드대출미해지대출기관수_N5</t>
  </si>
  <si>
    <t>은행업종순수신용대출기관수(미해지)</t>
  </si>
  <si>
    <t>L1Z000707</t>
  </si>
  <si>
    <t>은행업종신용대출기관수_N5</t>
  </si>
  <si>
    <t>할부금융업종순수신용대출기관수(미해지)</t>
  </si>
  <si>
    <t>L1Z000710</t>
  </si>
  <si>
    <t>할부금융업종신용대출기관수_N5</t>
  </si>
  <si>
    <t>저축은행업종순수신용대출기관수(미해지)</t>
  </si>
  <si>
    <t>L1Z000711</t>
  </si>
  <si>
    <t>저축은행업권대출기관수_N5</t>
  </si>
  <si>
    <t>카드업종순수신용대출기관수(미해지)</t>
  </si>
  <si>
    <t>L1Z000714</t>
  </si>
  <si>
    <t>카드업권신용대출기관수</t>
  </si>
  <si>
    <t>보험업종순수신용대출기관수(미해지)</t>
  </si>
  <si>
    <t>L1Z000715</t>
  </si>
  <si>
    <t>보험업권신용대출기관수</t>
  </si>
  <si>
    <t>기타업종순수신용대출기관수(미해지)</t>
  </si>
  <si>
    <t>L1Z000718</t>
  </si>
  <si>
    <t>기타업권신용대출기관수</t>
  </si>
  <si>
    <t>연체대환대출기관수(미해지)</t>
  </si>
  <si>
    <t>L1022A000</t>
  </si>
  <si>
    <t>연체대환대출기관수_N5</t>
  </si>
  <si>
    <t>신용대출기관수(CIS계좌단위)(미해지)</t>
  </si>
  <si>
    <t>L2M000137</t>
  </si>
  <si>
    <t>신용대출기관수_N5</t>
  </si>
  <si>
    <t>주택담보대출기관수(CIS계좌단위)(미해지)</t>
  </si>
  <si>
    <t>L2M000012</t>
  </si>
  <si>
    <t>주택담보대출기관수_N5</t>
  </si>
  <si>
    <t>K-Score Score</t>
  </si>
  <si>
    <t>S60000000</t>
  </si>
  <si>
    <t>K스코어점수_N4</t>
  </si>
  <si>
    <t>K-Score Score등급</t>
  </si>
  <si>
    <t>K스코어신용등급코드</t>
  </si>
  <si>
    <t>3개월전 K-Score 등급</t>
  </si>
  <si>
    <t>S60001030</t>
  </si>
  <si>
    <t>3개월전K스코어신용등급코드_V2</t>
  </si>
  <si>
    <t>R-SCORE통합스코어</t>
  </si>
  <si>
    <t>S80000000</t>
  </si>
  <si>
    <t>R스코어평점</t>
  </si>
  <si>
    <t>R-SCORE통합스코어 등급</t>
  </si>
  <si>
    <t>S80001000</t>
  </si>
  <si>
    <t>R스코어등급코드</t>
  </si>
  <si>
    <t>R-Score 장기카드대출스코어</t>
  </si>
  <si>
    <t>S81000000</t>
  </si>
  <si>
    <t>R스코어장기카드대출평점_N4</t>
  </si>
  <si>
    <t>R-Score 장기카드대출스코어 등급</t>
  </si>
  <si>
    <t>S81001000</t>
  </si>
  <si>
    <t>R스코어장기카드대출등급코드_V2</t>
  </si>
  <si>
    <t>I index 스코어</t>
  </si>
  <si>
    <t>SI0000000</t>
  </si>
  <si>
    <t>인덱스스코어_N4</t>
  </si>
  <si>
    <t>I index 등급</t>
  </si>
  <si>
    <t>SI0001000</t>
  </si>
  <si>
    <t>인덱스등급_V2</t>
  </si>
  <si>
    <t>최근KCB정보직업직위내용</t>
  </si>
  <si>
    <t>최근KCB정보직업직위내용_V9</t>
  </si>
  <si>
    <t>U43002025</t>
  </si>
  <si>
    <t>소득추정모형결정연소득금액_N15</t>
  </si>
  <si>
    <t>연간원리금상환추정금액(KCB기준)</t>
  </si>
  <si>
    <t>U5P000005</t>
  </si>
  <si>
    <t>연간원리금상환추정금액</t>
  </si>
  <si>
    <t>DTI타입값3(추정소득모형3.0기준)</t>
  </si>
  <si>
    <t>U5Z20K007</t>
  </si>
  <si>
    <t>DTI타입3값</t>
  </si>
  <si>
    <t>미래상환능력지수 1.0</t>
  </si>
  <si>
    <t>U6Z000000</t>
  </si>
  <si>
    <t>미래상환능력지수_V2</t>
  </si>
  <si>
    <t>다중채무위험지수스코어</t>
  </si>
  <si>
    <t>SD0000000</t>
  </si>
  <si>
    <t>다중채무위험지수스코어_N4</t>
  </si>
  <si>
    <t>다중채무위험지수스코어 등급</t>
  </si>
  <si>
    <t>SD0001000</t>
  </si>
  <si>
    <t>다중채무위험지수스코어등급코드_V2</t>
  </si>
  <si>
    <t>유의거래 확정 신청인과 주민번호 일치</t>
  </si>
  <si>
    <t>FR16001001</t>
  </si>
  <si>
    <t>유의거래확정여부</t>
  </si>
  <si>
    <t>IR07102071</t>
  </si>
  <si>
    <t>30일 내 카드개설 조회건수 3건 이상</t>
  </si>
  <si>
    <t>IR07104031</t>
  </si>
  <si>
    <t>183일 내 추심목적 조회기관수 2건 이상</t>
  </si>
  <si>
    <t>IR10108021</t>
  </si>
  <si>
    <t>명의도용 유의 프로파일링 3-3</t>
  </si>
  <si>
    <t>MR05102003</t>
  </si>
  <si>
    <t>명의도용유의여부3_V1</t>
  </si>
  <si>
    <t>명의도용 유의 프로파일링 3-4</t>
  </si>
  <si>
    <t>MR06102001</t>
  </si>
  <si>
    <t>명의도용유의여부4_V1</t>
  </si>
  <si>
    <t>30일 내 유선전화 개통 조회건수 1건 이상 &amp; 30일 내 금융업권 대출 조회건수 3건 이상</t>
  </si>
  <si>
    <t>MR07102001</t>
  </si>
  <si>
    <t>통신조회여부1_V1</t>
  </si>
  <si>
    <t>30일 내 이동통신 개통 조회건수 2건 이상 &amp; 30일 내 금융업권 대출 조회건수 3건 이상</t>
  </si>
  <si>
    <t>MR07102002</t>
  </si>
  <si>
    <t>이동통신조회여부1_V1</t>
  </si>
  <si>
    <t>명의도용 유의 프로파일링 3-9</t>
  </si>
  <si>
    <t>MR10102018</t>
  </si>
  <si>
    <t>명의도용유의여부9_V1</t>
  </si>
  <si>
    <t>183일 내 이동통신 개통 조회건수 2건 이상 &amp; 12개월 전 카드사용 없음</t>
  </si>
  <si>
    <t>MR12102003</t>
  </si>
  <si>
    <t>이동통신조회여부2_V1</t>
  </si>
  <si>
    <t>관보등재여부 (한정치산, 금치산)</t>
  </si>
  <si>
    <t>NR00101001</t>
  </si>
  <si>
    <t>관보등재여부</t>
  </si>
  <si>
    <t>전은연 금융질서 문란 등재</t>
  </si>
  <si>
    <t>NR00101003</t>
  </si>
  <si>
    <t>금융질서문란등록여부</t>
  </si>
  <si>
    <t>[2개월 간 상승한 CB 스코어 120점 이상 or 2개월 간 상승한 SP 스코어 120점 이상] &amp; 30일 내 금융업권 대출 조회기관수(상담조회포함) 3건 이상</t>
  </si>
  <si>
    <t>CL08103001</t>
  </si>
  <si>
    <t>스코어상승여부1_V1</t>
  </si>
  <si>
    <t>[2개월 간 상승한 CB 스코어 100점 이상 or 2개월 간 상승한 SP 스코어 100점 이상] &amp; 30일 내 금융업권 대출 조회기관수(상담조회포함) 3건 이상</t>
  </si>
  <si>
    <t>CL08103005</t>
  </si>
  <si>
    <t>스코어상승여부2_V1</t>
  </si>
  <si>
    <t>5일 내 금융업권 대출 조회기관수(상담조회포함) 3건 이상</t>
  </si>
  <si>
    <t>IR03102031</t>
  </si>
  <si>
    <t>5일대출조회여부_V1</t>
  </si>
  <si>
    <t>10일 내 금융업권 대출 조회기관수(상담조회포함) 4건 이상</t>
  </si>
  <si>
    <t>IR05102041</t>
  </si>
  <si>
    <t>10일대출조회여부1_V1</t>
  </si>
  <si>
    <t>10일 내 금융업권 대출 조회기관수(상담조회포함) 5건 이상</t>
  </si>
  <si>
    <t>IR05102051</t>
  </si>
  <si>
    <t>10일대출조회여부2_V1</t>
  </si>
  <si>
    <t>10일 내 금융업권 대출 조회기관수(상담조회포함) 6건 이상</t>
  </si>
  <si>
    <t>IR05102061</t>
  </si>
  <si>
    <t>10일대출조회여부3_V1</t>
  </si>
  <si>
    <t>10일 내 금융업권 대출 조회기관수(상담조회포함) 7건 이상</t>
  </si>
  <si>
    <t>IR05102071</t>
  </si>
  <si>
    <t>10일대출조회여부4_V1</t>
  </si>
  <si>
    <t>15일 내 금융업권 대출 조회기관수(상담조회포함) 5건 이상</t>
  </si>
  <si>
    <t>IR06102051</t>
  </si>
  <si>
    <t>15일대출조회여부1_V1</t>
  </si>
  <si>
    <t>15일 내 금융업권 대출 조회기관수(상담조회포함) 6건 이상</t>
  </si>
  <si>
    <t>IR06102061</t>
  </si>
  <si>
    <t>15일대출조회여부2_V1</t>
  </si>
  <si>
    <t>15일 내 금융업권 대출 조회기관수(상담조회포함) 7건 이상</t>
  </si>
  <si>
    <t>IR06102071</t>
  </si>
  <si>
    <t>15일대출조회여부3_V1</t>
  </si>
  <si>
    <t>30일 내 금융업권 대출 조회기관수(상담조회포함) 5건 이상</t>
  </si>
  <si>
    <t>IR07102051</t>
  </si>
  <si>
    <t>30일대출조회여부1_V1</t>
  </si>
  <si>
    <t>30일 내 금융업권 대출 조회기관수(상담조회포함) 6건 이상</t>
  </si>
  <si>
    <t>IR07102061</t>
  </si>
  <si>
    <t>30일대출조회여부2_V1</t>
  </si>
  <si>
    <t>30일 내 카드개설 조회건수 4건 이상</t>
  </si>
  <si>
    <t>IR07104041</t>
  </si>
  <si>
    <t>30일카드개설조회여부_V1</t>
  </si>
  <si>
    <t>30일 내 추심목적 조회기관수 1건 이상</t>
  </si>
  <si>
    <t>IR07108011</t>
  </si>
  <si>
    <t>30일추심목적조회여부_V1</t>
  </si>
  <si>
    <t>60일 내 추심목적 조회기관수 1건 이상</t>
  </si>
  <si>
    <t>IR08108011</t>
  </si>
  <si>
    <t>60일추심목적조회여부_V1</t>
  </si>
  <si>
    <t>91일 내 추심목적 조회기관수 1건 이상</t>
  </si>
  <si>
    <t>IR09108011</t>
  </si>
  <si>
    <t>91일추심목적조회여부1_V1</t>
  </si>
  <si>
    <t>91일 내 추심목적 조회기관수 2건 이상</t>
  </si>
  <si>
    <t>IR09108021</t>
  </si>
  <si>
    <t>91일추심목적조회여부2_V1</t>
  </si>
  <si>
    <t>183일 내 추심목적 조회기관수 1건 이상</t>
  </si>
  <si>
    <t>IR10108011</t>
  </si>
  <si>
    <t>183일추심목적조회여부_V1</t>
  </si>
  <si>
    <t>1년 내 추심목적 조회기관수 2건 이상</t>
  </si>
  <si>
    <t>IR12108021</t>
  </si>
  <si>
    <t>1년추심목적조회여부_V1</t>
  </si>
  <si>
    <t>30일 내 유선전화 개통 조회건수 1건 이상 &amp; 30일 내 금융업권 대출 조회기관수(상담조회포함) 3건 이상</t>
  </si>
  <si>
    <t>MR07102003</t>
  </si>
  <si>
    <t>통신조회여부2_V1</t>
  </si>
  <si>
    <t>30일 내 이동통신 개통 조회건수 2건 이상 &amp; 30일 내 금융업권 대출 조회기관수(상담조회포함) 3건 이상</t>
  </si>
  <si>
    <t>MR07102004</t>
  </si>
  <si>
    <t>실명인증 결과 상태확인 정보 존재</t>
  </si>
  <si>
    <t>NR00101002</t>
  </si>
  <si>
    <t>실명인증여부</t>
  </si>
  <si>
    <t>신복위대상자</t>
  </si>
  <si>
    <t>NR00101006</t>
  </si>
  <si>
    <t>신용회복위원회대상자여부</t>
  </si>
  <si>
    <t>신복위 변제후 잔존채무액 존재</t>
  </si>
  <si>
    <t>NR00101007</t>
  </si>
  <si>
    <t>신용회복위원회채무존재여부</t>
  </si>
  <si>
    <t>희망모아대상자</t>
  </si>
  <si>
    <t>NR00101010</t>
  </si>
  <si>
    <t>희망모아대상자여부</t>
  </si>
  <si>
    <t>희망모아 변제후 잔존채무액 존재</t>
  </si>
  <si>
    <t>NR00101011</t>
  </si>
  <si>
    <t>희망모아채무존재여부</t>
  </si>
  <si>
    <t>부도정보보유</t>
  </si>
  <si>
    <t>NR00101012</t>
  </si>
  <si>
    <t>부도정보보유여부</t>
  </si>
  <si>
    <t>미해제 신용회복/개인파산/개인회생 보유건수 1건 이상</t>
  </si>
  <si>
    <t>NR00101037</t>
  </si>
  <si>
    <t>신용회복지원정보보유여부</t>
  </si>
  <si>
    <t>[허위정보DB매치] 주민등록번호 허위정보DB 존재</t>
  </si>
  <si>
    <t>A01</t>
  </si>
  <si>
    <t>주민등록번호허위정보존재여부_V1</t>
  </si>
  <si>
    <t>[허위정보DB매치] 사업자등록번호 허위정보DB 존재</t>
  </si>
  <si>
    <t>A02</t>
  </si>
  <si>
    <t>사업자등록번호허위정보존재여부_V1</t>
  </si>
  <si>
    <t>[허위정보DB매치] 법인등록번호 허위정보DB 존재</t>
  </si>
  <si>
    <t>A03</t>
  </si>
  <si>
    <t>법인등록번호허위정보존재여부_V1</t>
  </si>
  <si>
    <t>[사망자DB매치] 주민등록번호 사망자DB 존재</t>
  </si>
  <si>
    <t>A04</t>
  </si>
  <si>
    <t>주민등록번호사망자존재여부_V1</t>
  </si>
  <si>
    <t>[허위정보DB매치] 휴대폰번호 허위정보DB 존재</t>
  </si>
  <si>
    <t>A05</t>
  </si>
  <si>
    <t>휴대폰번호허위정보존재여부_V1</t>
  </si>
  <si>
    <t>[허위정보DB매치] 직장주소 허위정보DB 존재</t>
  </si>
  <si>
    <t>A06</t>
  </si>
  <si>
    <t>직장주소허위정보존재여부_V1</t>
  </si>
  <si>
    <t>[허위정보DB매치] 직장전화번호 허위정보DB 존재</t>
  </si>
  <si>
    <t>A07</t>
  </si>
  <si>
    <t>직장전화번호허위정보존재여부_V1</t>
  </si>
  <si>
    <t>[허위정보DB매치] 직장명&amp;직장주소 허위정보DB 존재</t>
  </si>
  <si>
    <t>A08</t>
  </si>
  <si>
    <t>직장명직장주소허위정보존재여부_V1</t>
  </si>
  <si>
    <t>[허위정보DB매치] 직장명&amp;직장전화번호 허위정보DB 존재</t>
  </si>
  <si>
    <t>A09</t>
  </si>
  <si>
    <t>직장명직장전화번호허위정보_V1</t>
  </si>
  <si>
    <t>[허위정보DB매치] 직장전화번호&amp;직장주소 허위정보DB 존재</t>
  </si>
  <si>
    <t>A10</t>
  </si>
  <si>
    <t>직장전화번호직장주소허위정보_V1</t>
  </si>
  <si>
    <t>[신청인정보변경] 30일이내 신청인 자택 상위주소 및 직장 상위주소 불일치 2건 이상</t>
  </si>
  <si>
    <t>B54</t>
  </si>
  <si>
    <t>최근30일주소불일치여부_V1</t>
  </si>
  <si>
    <t>[신청인정보변경] 30일이내 과거 신청서와 휴대폰번호 및 자택 상위주소 불일치 2건이상</t>
  </si>
  <si>
    <t>C54</t>
  </si>
  <si>
    <t>최근30일휴대폰번호주소불일치여부_V1</t>
  </si>
  <si>
    <t>[복수신청] 5일이내 동일한 신청인 3건 이상 신청</t>
  </si>
  <si>
    <t>D01</t>
  </si>
  <si>
    <t>최근5일동일신청인존재여부_V1</t>
  </si>
  <si>
    <t>[수사기관DB매치] 개인 명의도용/차용 관련자</t>
  </si>
  <si>
    <t>E01</t>
  </si>
  <si>
    <t>개인명의도용대상여부_V1</t>
  </si>
  <si>
    <t>[수사기관DB매치] 법인 명의도용/차용 관련자</t>
  </si>
  <si>
    <t>E02</t>
  </si>
  <si>
    <t>법인명의도용대상여부_V1</t>
  </si>
  <si>
    <t>[수사기관DB매치] 금융 사기사건 관련자</t>
  </si>
  <si>
    <t>E03</t>
  </si>
  <si>
    <t>금융사기대상여부_V1</t>
  </si>
  <si>
    <t>[유령법인DB] 유령법인 등재임원과 주민등록번호 매칭</t>
  </si>
  <si>
    <t>E12</t>
  </si>
  <si>
    <t>허위법인임원주민등록번호존재여부_V1</t>
  </si>
  <si>
    <t>[유령법인DB] 유령법인 연관 건과 주민등록번호  매칭</t>
  </si>
  <si>
    <t>E13</t>
  </si>
  <si>
    <t>허위법인연관주민등록번호존재여부_V1</t>
  </si>
  <si>
    <t>[유령법인DB] 유령법인 연관 건과 사업자등록번호 매칭</t>
  </si>
  <si>
    <t>E14</t>
  </si>
  <si>
    <t>허위법인연관사업자등록번호존재여부_V1</t>
  </si>
  <si>
    <t>[유령법인DB] 유령법인 연관 건과 법인등록번호  매칭</t>
  </si>
  <si>
    <t>E15</t>
  </si>
  <si>
    <t>허위법인연관법인번호존재여부_V1</t>
  </si>
  <si>
    <t>[유령법인DB] 유령법인 연관 건과 직장명&amp;직장주소 매칭</t>
  </si>
  <si>
    <t>E16</t>
  </si>
  <si>
    <t>허위법인연관직장명직장주소_V1</t>
  </si>
  <si>
    <t>[유령법인DB] 유령법인 연관 건과 직장명&amp;직장전화번호 매칭</t>
  </si>
  <si>
    <t>E17</t>
  </si>
  <si>
    <t>허위법인연관직장명직장전화번호_V1</t>
  </si>
  <si>
    <t>[유령법인DB] 유령법인 연관 건과 직장전화번호&amp;직장주소 매칭</t>
  </si>
  <si>
    <t>E18</t>
  </si>
  <si>
    <t>허위법인연관직장전화번주소_V1</t>
  </si>
  <si>
    <t>[기타 Reference DB 매치] 사금융업체와 직장정보 매치</t>
  </si>
  <si>
    <t>E52</t>
  </si>
  <si>
    <t>사기금융직장정보존재여부_V1</t>
  </si>
  <si>
    <t>[기타 Reference DB 매치] 당좌거래정지 업체와 직장정보 매치</t>
  </si>
  <si>
    <t>E53</t>
  </si>
  <si>
    <t>당좌거래정지직장정보존재여부_V1</t>
  </si>
  <si>
    <t>[Profile] 직장, 재직 및 상환능력 유의(상)</t>
  </si>
  <si>
    <t>F01</t>
  </si>
  <si>
    <t>[Profile] 직장, 재직 및 신용도 유의(하)</t>
  </si>
  <si>
    <t>F02</t>
  </si>
  <si>
    <t>신용도유의여부1_V1</t>
  </si>
  <si>
    <t>[Profile] 직장, 재직 및 동시대출 유의(하)</t>
  </si>
  <si>
    <t>F03</t>
  </si>
  <si>
    <t>동시대출유의여부1_V1</t>
  </si>
  <si>
    <t>[Profile] 직장, 재직 및 신용도 유의(중)</t>
  </si>
  <si>
    <t>FA2</t>
  </si>
  <si>
    <t>신용도유의여부2_V1</t>
  </si>
  <si>
    <t>[Profile] 직장, 재직 및 동시대출 유의(중)</t>
  </si>
  <si>
    <t>FA3</t>
  </si>
  <si>
    <t>[GRAS+] 국적상실이탈정보보유(A등급)</t>
  </si>
  <si>
    <t>X10</t>
  </si>
  <si>
    <t>국적상실이탈정보보유여부_V1</t>
  </si>
  <si>
    <t>[GRAS+] 실종정보보유(A~B등급)</t>
  </si>
  <si>
    <t>X21</t>
  </si>
  <si>
    <t>실종정보보유여부_V1</t>
  </si>
  <si>
    <t>[GRAS+] 금치산정보보유(A~B등급)</t>
  </si>
  <si>
    <t>X31</t>
  </si>
  <si>
    <t>금치산자정보보유여부_V1</t>
  </si>
  <si>
    <t>[GRAS+] 한정치산정보보유(A~B등급)</t>
  </si>
  <si>
    <t>X36</t>
  </si>
  <si>
    <t>한정금치산자정보보유여부_V1</t>
  </si>
  <si>
    <t>[GRAS+] 개인파산면책정보보유여부(KFB포함)(A~B등급)</t>
  </si>
  <si>
    <t>X41</t>
  </si>
  <si>
    <t>개인파산면책정보보유여부_V1</t>
  </si>
  <si>
    <t>[GRAS+] 개인회생정보보유여부(KFB포함)(A~B등급)</t>
  </si>
  <si>
    <t>X51</t>
  </si>
  <si>
    <t>개인회생정보보유여부_V1</t>
  </si>
  <si>
    <t>[GRAS+] 당좌거래정지정보보유여부(KFB포함)</t>
  </si>
  <si>
    <t>X60</t>
  </si>
  <si>
    <t>당좌거래정지정보보유여부_V1</t>
  </si>
  <si>
    <t>[GRAS+]  최근6개월이내법무상담이력존재</t>
  </si>
  <si>
    <t>X70</t>
  </si>
  <si>
    <t>최근6개월법무상담이력존재여부_V1</t>
  </si>
  <si>
    <t>최근 3영업일(D-2~D-0) 內 2기관이상 취급</t>
  </si>
  <si>
    <t>내부정보</t>
    <phoneticPr fontId="16" type="noConversion"/>
  </si>
  <si>
    <t>연령</t>
  </si>
  <si>
    <t>회원연령</t>
  </si>
  <si>
    <t>여신연체고객여부_V1</t>
  </si>
  <si>
    <t>거래정지등록여부_V1</t>
  </si>
  <si>
    <t>당사은행정보관리등재고객여부_V1</t>
  </si>
  <si>
    <t>NICE타사연체정보보유여부_V1</t>
  </si>
  <si>
    <t>KCB타사연체정보보유여부_V1</t>
  </si>
  <si>
    <t>사망실종여부_V1</t>
  </si>
  <si>
    <t>거래주의정보등록여부_V1</t>
  </si>
  <si>
    <t>워크아웃등록여부_V1</t>
  </si>
  <si>
    <t>장기카드대출연체여부_V1</t>
  </si>
  <si>
    <t>요주의등록여부_V1</t>
  </si>
  <si>
    <t>신용불량채무관계제한등록여부_V1</t>
  </si>
  <si>
    <t>은행사전채무조정신청여부_V1</t>
  </si>
  <si>
    <t>고객기본정보오류등록여부_V1</t>
  </si>
  <si>
    <t>유효회원여부_V1</t>
  </si>
  <si>
    <t>유효고객여부_V1</t>
  </si>
  <si>
    <t>신용카드소지여부_V1</t>
  </si>
  <si>
    <t>체크카드보유여부_V1</t>
  </si>
  <si>
    <t>가맹점주등급구분코드</t>
  </si>
  <si>
    <t>최근6개월가맹점매출금액</t>
  </si>
  <si>
    <t>순수 비회원 신용대출 잔액</t>
  </si>
  <si>
    <t>쉬프트론대출잔액</t>
  </si>
  <si>
    <t>쉬프트론대출잔액_N15</t>
  </si>
  <si>
    <t>당사신용카드잔액_N15</t>
  </si>
  <si>
    <t>당사 CA 잔액</t>
  </si>
  <si>
    <t>당사CA잔액_N15</t>
  </si>
  <si>
    <t>당사리볼빙일시불이월잔액_N15</t>
  </si>
  <si>
    <t>당사RCA이월잔액_N15</t>
  </si>
  <si>
    <t>매입할부금융잔액_N15</t>
  </si>
  <si>
    <t>예외승인여부</t>
  </si>
  <si>
    <t>예외승인대상여부_V1</t>
  </si>
  <si>
    <t>&lt; 카드론 &gt;</t>
  </si>
  <si>
    <t>* RCLIPS → 처리계</t>
  </si>
  <si>
    <t>금리등급</t>
  </si>
  <si>
    <t>Seq</t>
    <phoneticPr fontId="2" type="noConversion"/>
  </si>
  <si>
    <t>미해제 연체 총 기관수 (일보 기준)</t>
  </si>
  <si>
    <t>Number</t>
  </si>
  <si>
    <t>KR5000001</t>
  </si>
  <si>
    <t>NICE미해제연체총기관수_N5</t>
  </si>
  <si>
    <t>희망모아 신용회복지원 대상 구분</t>
  </si>
  <si>
    <t>BS0000667</t>
    <phoneticPr fontId="2" type="noConversion"/>
  </si>
  <si>
    <t xml:space="preserve">최근5년내채무불이행경과일수_V9 </t>
  </si>
  <si>
    <t>최근3개월내 미해지 신용카드 발급 총건수</t>
  </si>
  <si>
    <t>C11060600</t>
  </si>
  <si>
    <t>최근3개월내미해지신용카드발급총건수_V9</t>
  </si>
  <si>
    <t>최초 미해지 신용카드 발급일로부터의 기간</t>
  </si>
  <si>
    <t>C11061000</t>
  </si>
  <si>
    <t xml:space="preserve"> 최초미해지신용카드개설경과일수_V9 </t>
  </si>
  <si>
    <t>최근1개월 리볼빙 이용기관수(15일기준)</t>
  </si>
  <si>
    <t>현금서비스이용잔액기관수</t>
  </si>
  <si>
    <t>CS0000050</t>
  </si>
  <si>
    <t xml:space="preserve">현금서비스이용잔액기관수_V9 </t>
  </si>
  <si>
    <t>대부업계 30일이상 연체 12개월내 경험한 최장 연체 일수</t>
  </si>
  <si>
    <t>DQ1252601</t>
  </si>
  <si>
    <t>대부업12개월내연체경험일수_V9</t>
  </si>
  <si>
    <t>총신용공여 건수</t>
  </si>
  <si>
    <t>KC1000025</t>
  </si>
  <si>
    <t>총신용공여건수_V9</t>
  </si>
  <si>
    <t>총대출공여 건수</t>
  </si>
  <si>
    <t>KC2000025</t>
  </si>
  <si>
    <t>총대출공여건수_V9</t>
  </si>
  <si>
    <t>최근3개월내 캐피탈업권 미상환 대출총금액</t>
  </si>
  <si>
    <t>L21171000</t>
  </si>
  <si>
    <t xml:space="preserve"> 최근3개월내캐피탈업권미상환대출총금액_V9 </t>
  </si>
  <si>
    <t>최근1개월내 미상환 카드론 대출총건수</t>
  </si>
  <si>
    <t>L21200500</t>
  </si>
  <si>
    <t xml:space="preserve"> 최근1개월내미상환카드론대출총건수_V9</t>
  </si>
  <si>
    <t>최근3개월내 저축은행업권 미상환 대출총건수</t>
  </si>
  <si>
    <t>L21210900</t>
  </si>
  <si>
    <t>최근3개월내저축은행업권미상환대출총건수_V9</t>
  </si>
  <si>
    <t>최근1년내 미상환 주택담보제외 대출총금액</t>
  </si>
  <si>
    <t>L23001914</t>
  </si>
  <si>
    <t>최근1년주택담보제외대출금액</t>
  </si>
  <si>
    <t>전은연 미상환 계좌별 대출 총건수</t>
  </si>
  <si>
    <t>LC0000001</t>
  </si>
  <si>
    <t>은행연합회미상환대출총건수_V9</t>
  </si>
  <si>
    <t>전은연 미상환 계좌별 단위조합 대출 총건수</t>
  </si>
  <si>
    <t>LC0003001</t>
  </si>
  <si>
    <t>은행연합회단위조합대출총건수_V9</t>
  </si>
  <si>
    <t>전은연 미상환 계좌별 신용카드사 대출 총건수</t>
  </si>
  <si>
    <t>LC0005001</t>
  </si>
  <si>
    <t xml:space="preserve">은행연합회신용카드회사대출총건수_V9 </t>
  </si>
  <si>
    <t>전은연 미상환 계좌별 리스대출업권 신차 할부 총건수</t>
  </si>
  <si>
    <t>LC0016011</t>
  </si>
  <si>
    <t>은행연합회리스대출업권신차할부총건수_V9</t>
  </si>
  <si>
    <t>전은연 미상환 계좌별 할부금융업권 신차 할부 총건수</t>
  </si>
  <si>
    <t>LC0017012</t>
  </si>
  <si>
    <t>은행연합회할부금융업권신차할부총건수_V9</t>
  </si>
  <si>
    <t>전은연 미상환 계좌별 카드업권또는카드론 신용대출 총금액</t>
  </si>
  <si>
    <t>LC0024202</t>
  </si>
  <si>
    <t xml:space="preserve"> 카드업권카드론총대출금액_V9 </t>
  </si>
  <si>
    <t>전은연 미상환 계좌별 은행업권 대출 총건수</t>
  </si>
  <si>
    <t>LC0025001</t>
  </si>
  <si>
    <t>은행연합회은행업권대출총건수_N5</t>
  </si>
  <si>
    <t>전은연 미상환 계좌별 은행업권 주택담보대출 총건수</t>
  </si>
  <si>
    <t>LC0025008</t>
  </si>
  <si>
    <t>은행연합회은행업권주택담보대출총건수_N5</t>
  </si>
  <si>
    <t>전은연 미상환 계좌별 은행업권 주택외 부동산담보대출 총건수</t>
  </si>
  <si>
    <t>LC0025009</t>
  </si>
  <si>
    <t>은행연합회은행업권주택외담보대출총건수_N5</t>
  </si>
  <si>
    <t>전은연 미상환 계좌별 보험업권 대출 총건수</t>
  </si>
  <si>
    <t>LC0026001</t>
  </si>
  <si>
    <t>은행연합회보험업권대출총건수_V9</t>
  </si>
  <si>
    <t>전은연 미상환 계좌별 보험업권 주택담보대출 총건수</t>
  </si>
  <si>
    <t>LC0026005</t>
  </si>
  <si>
    <t>은행연합회보험업권주택담보대출총건수_V9</t>
  </si>
  <si>
    <t>전은연 미상환 계좌별 보험업권 주택외 부동산담보대출 총건수</t>
  </si>
  <si>
    <t>LC0026006</t>
  </si>
  <si>
    <t>은행연합회보험주택외담보대출총건수_N5</t>
  </si>
  <si>
    <t>전은연 계좌별 대출 최근 1개월 내 상환 건수</t>
  </si>
  <si>
    <t>LC0100002</t>
  </si>
  <si>
    <t>은행연합회대출최근1개월상환건수_N5</t>
  </si>
  <si>
    <t>연체총잔액_V9</t>
  </si>
  <si>
    <t>최장 연체경험기간(해제후1년경과건제외)(최초또는연체금액10만원이상)</t>
  </si>
  <si>
    <t>최근1년해제최장연체경험일수_V9</t>
  </si>
  <si>
    <t>3개월내대출총연체금액_V9</t>
  </si>
  <si>
    <t>최근6개월내연체경험총건수_V9</t>
  </si>
  <si>
    <t>적용배제사유코드1_V4</t>
  </si>
  <si>
    <t>적용배제사유코드2_V4</t>
  </si>
  <si>
    <t>적용배제사유코드3_V4</t>
  </si>
  <si>
    <t>LGU+ Telco 스코어</t>
  </si>
  <si>
    <t>LGU통신점수_N4</t>
  </si>
  <si>
    <t>평점 관련 사유코드 1</t>
  </si>
  <si>
    <t>평점사유코드1_V4</t>
  </si>
  <si>
    <t>평점 관련 사유코드 2</t>
  </si>
  <si>
    <t>평점사유코드2_V4</t>
  </si>
  <si>
    <t>평점 관련 사유코드 3</t>
  </si>
  <si>
    <t>평점사유코드3_V4</t>
  </si>
  <si>
    <t>KCB개인신용정보</t>
  </si>
  <si>
    <t>K-Score Score등급(적용배제)</t>
  </si>
  <si>
    <t>S60101000</t>
  </si>
  <si>
    <t>총연체금액(미해제)(대지급포함)</t>
  </si>
  <si>
    <t>연체대환대출건수(미해지)</t>
  </si>
  <si>
    <t>L1021A000</t>
  </si>
  <si>
    <t xml:space="preserve">미해지연체대환대출건수_N2 </t>
  </si>
  <si>
    <t>소득추정모형(결정연소득금액)(소득추정모형 VER 2.5)</t>
  </si>
  <si>
    <t>DTI율가이드적용금액</t>
  </si>
  <si>
    <t>Seq</t>
    <phoneticPr fontId="2" type="noConversion"/>
  </si>
  <si>
    <t>NICE RK0400_000(CB등급)의 Profile Code 1</t>
  </si>
  <si>
    <t>RK0400_000</t>
    <phoneticPr fontId="2" type="noConversion"/>
  </si>
  <si>
    <t>NICE RK0400_000(CB등급)의 Profile Code 2</t>
  </si>
  <si>
    <t>NICE RK0400_000(CB등급)의 Profile Code 3</t>
  </si>
  <si>
    <t>RK0400_000</t>
    <phoneticPr fontId="2" type="noConversion"/>
  </si>
  <si>
    <t>Sub-prime부실예측모형 등급</t>
  </si>
  <si>
    <t>PI등급 2.0버젼</t>
  </si>
  <si>
    <t>PI플러스스코어</t>
  </si>
  <si>
    <t>실시간 대출 기관수(당사 제외 1영업일 이내 신용대출 기관수)</t>
  </si>
  <si>
    <t>실시간대출정보(NICE)</t>
    <phoneticPr fontId="2" type="noConversion"/>
  </si>
  <si>
    <t>13003</t>
    <phoneticPr fontId="2" type="noConversion"/>
  </si>
  <si>
    <t>NICE추정연소득(IE0305_000의 평점관련결과값1)</t>
  </si>
  <si>
    <t>대출신청금액</t>
  </si>
  <si>
    <t>대출희망기간</t>
  </si>
  <si>
    <t>내부정보</t>
    <phoneticPr fontId="16" type="noConversion"/>
  </si>
  <si>
    <t>내부정보</t>
    <phoneticPr fontId="16" type="noConversion"/>
  </si>
  <si>
    <t>내부정보</t>
    <phoneticPr fontId="16" type="noConversion"/>
  </si>
  <si>
    <t>output 코드</t>
    <phoneticPr fontId="17" type="noConversion"/>
  </si>
  <si>
    <t>형식</t>
    <phoneticPr fontId="17" type="noConversion"/>
  </si>
  <si>
    <t>길이</t>
    <phoneticPr fontId="17" type="noConversion"/>
  </si>
  <si>
    <t>항목명</t>
    <phoneticPr fontId="17" type="noConversion"/>
  </si>
  <si>
    <t>R0001</t>
    <phoneticPr fontId="17" type="noConversion"/>
  </si>
  <si>
    <t>Character</t>
    <phoneticPr fontId="17" type="noConversion"/>
  </si>
  <si>
    <t>상품코드</t>
    <phoneticPr fontId="17" type="noConversion"/>
  </si>
  <si>
    <t>R0002</t>
    <phoneticPr fontId="17" type="noConversion"/>
  </si>
  <si>
    <t>Numeric</t>
    <phoneticPr fontId="17" type="noConversion"/>
  </si>
  <si>
    <t>신청평점</t>
    <phoneticPr fontId="17" type="noConversion"/>
  </si>
  <si>
    <t>R0003</t>
    <phoneticPr fontId="17" type="noConversion"/>
  </si>
  <si>
    <t>신청등급</t>
    <phoneticPr fontId="17" type="noConversion"/>
  </si>
  <si>
    <t>R0004</t>
    <phoneticPr fontId="17" type="noConversion"/>
  </si>
  <si>
    <t>결합등급</t>
    <phoneticPr fontId="17" type="noConversion"/>
  </si>
  <si>
    <t>R0005</t>
    <phoneticPr fontId="17" type="noConversion"/>
  </si>
  <si>
    <t>전략등급</t>
    <phoneticPr fontId="17" type="noConversion"/>
  </si>
  <si>
    <t>R0006</t>
    <phoneticPr fontId="17" type="noConversion"/>
  </si>
  <si>
    <t>Thin-file여부</t>
    <phoneticPr fontId="17" type="noConversion"/>
  </si>
  <si>
    <t>R0007</t>
    <phoneticPr fontId="17" type="noConversion"/>
  </si>
  <si>
    <t>Knock-out여부</t>
    <phoneticPr fontId="17" type="noConversion"/>
  </si>
  <si>
    <t>R0008</t>
    <phoneticPr fontId="17" type="noConversion"/>
  </si>
  <si>
    <t>월소득</t>
    <phoneticPr fontId="17" type="noConversion"/>
  </si>
  <si>
    <t>R0009</t>
    <phoneticPr fontId="17" type="noConversion"/>
  </si>
  <si>
    <t>DTI가중치</t>
    <phoneticPr fontId="17" type="noConversion"/>
  </si>
  <si>
    <t>R0010</t>
    <phoneticPr fontId="17" type="noConversion"/>
  </si>
  <si>
    <t>월원리금상환금액</t>
    <phoneticPr fontId="17" type="noConversion"/>
  </si>
  <si>
    <t>R0011</t>
    <phoneticPr fontId="17" type="noConversion"/>
  </si>
  <si>
    <t>월가처분소득</t>
    <phoneticPr fontId="17" type="noConversion"/>
  </si>
  <si>
    <t>R0012</t>
    <phoneticPr fontId="17" type="noConversion"/>
  </si>
  <si>
    <t>적용금리</t>
    <phoneticPr fontId="17" type="noConversion"/>
  </si>
  <si>
    <t>R0013</t>
    <phoneticPr fontId="17" type="noConversion"/>
  </si>
  <si>
    <t>적용금리코드</t>
    <phoneticPr fontId="17" type="noConversion"/>
  </si>
  <si>
    <t>R0014</t>
    <phoneticPr fontId="17" type="noConversion"/>
  </si>
  <si>
    <t>기초한도</t>
    <phoneticPr fontId="17" type="noConversion"/>
  </si>
  <si>
    <t>R0015</t>
    <phoneticPr fontId="17" type="noConversion"/>
  </si>
  <si>
    <t>신용한도CAP</t>
    <phoneticPr fontId="17" type="noConversion"/>
  </si>
  <si>
    <t>R0016</t>
    <phoneticPr fontId="17" type="noConversion"/>
  </si>
  <si>
    <t>CB등급한도CAP</t>
    <phoneticPr fontId="17" type="noConversion"/>
  </si>
  <si>
    <t>R0017</t>
    <phoneticPr fontId="17" type="noConversion"/>
  </si>
  <si>
    <t>연령한도CAP</t>
    <phoneticPr fontId="17" type="noConversion"/>
  </si>
  <si>
    <t>R0018</t>
    <phoneticPr fontId="17" type="noConversion"/>
  </si>
  <si>
    <t>신용한도</t>
    <phoneticPr fontId="17" type="noConversion"/>
  </si>
  <si>
    <t>R0019</t>
    <phoneticPr fontId="17" type="noConversion"/>
  </si>
  <si>
    <t>시스템한도금액</t>
    <phoneticPr fontId="17" type="noConversion"/>
  </si>
  <si>
    <t>R0020</t>
    <phoneticPr fontId="17" type="noConversion"/>
  </si>
  <si>
    <t>대출가능금액</t>
    <phoneticPr fontId="17" type="noConversion"/>
  </si>
  <si>
    <t>R0021</t>
    <phoneticPr fontId="17" type="noConversion"/>
  </si>
  <si>
    <t>한도충족률</t>
    <phoneticPr fontId="17" type="noConversion"/>
  </si>
  <si>
    <t>R0022</t>
    <phoneticPr fontId="17" type="noConversion"/>
  </si>
  <si>
    <t>한도결과코드</t>
    <phoneticPr fontId="17" type="noConversion"/>
  </si>
  <si>
    <t>R0023</t>
    <phoneticPr fontId="17" type="noConversion"/>
  </si>
  <si>
    <t>시스템판정결과</t>
    <phoneticPr fontId="17" type="noConversion"/>
  </si>
  <si>
    <t>R0024</t>
    <phoneticPr fontId="17" type="noConversion"/>
  </si>
  <si>
    <t>시스템상세판정코드</t>
    <phoneticPr fontId="17" type="noConversion"/>
  </si>
  <si>
    <t>R0025</t>
    <phoneticPr fontId="17" type="noConversion"/>
  </si>
  <si>
    <t>우대한도</t>
    <phoneticPr fontId="17" type="noConversion"/>
  </si>
  <si>
    <t>R0026</t>
    <phoneticPr fontId="17" type="noConversion"/>
  </si>
  <si>
    <t>DTI</t>
    <phoneticPr fontId="17" type="noConversion"/>
  </si>
  <si>
    <t>R0027</t>
    <phoneticPr fontId="17" type="noConversion"/>
  </si>
  <si>
    <t>신용가중치</t>
    <phoneticPr fontId="17" type="noConversion"/>
  </si>
  <si>
    <t>R0028</t>
    <phoneticPr fontId="17" type="noConversion"/>
  </si>
  <si>
    <t>대출가능개월수</t>
    <phoneticPr fontId="17" type="noConversion"/>
  </si>
  <si>
    <t>R0029</t>
  </si>
  <si>
    <t>거치가능개월수</t>
    <phoneticPr fontId="17" type="noConversion"/>
  </si>
  <si>
    <t>&lt; 시트 설명 &gt;</t>
    <phoneticPr fontId="2" type="noConversion"/>
  </si>
  <si>
    <t>심사테이블</t>
  </si>
  <si>
    <t>RCLIPS송신(이지론)</t>
  </si>
  <si>
    <t>RCLIPS수신(이지론)</t>
  </si>
  <si>
    <t>RCLIPS송신(이지론플러스&amp;일사천리론)</t>
  </si>
  <si>
    <t>RCLIPS수신(이지론플러스&amp;일사천리론)</t>
  </si>
  <si>
    <t>참고_AsIs_RCLIPS송신</t>
  </si>
  <si>
    <t>참고_AsIs_RCLIPS수신</t>
  </si>
  <si>
    <t>용어신청대상</t>
  </si>
  <si>
    <t>정리</t>
    <phoneticPr fontId="2" type="noConversion"/>
  </si>
  <si>
    <t>신용회원대출(이지론) 심사에 대하여 심사전략솔루션(RCLIPS)로부터 수신받은 심사결과 항목이다.</t>
    <phoneticPr fontId="2" type="noConversion"/>
  </si>
  <si>
    <t>As-Is의 RCLIPS를 이용하여 심사를 하였던 일사천리론에 대한 RCLIPS 수신시 입력항목 레이아웃이다.</t>
    <phoneticPr fontId="2" type="noConversion"/>
  </si>
  <si>
    <t>심사 프로세스에서 대내(분석계,처리계) 및 대외(NICE, KCB) 의 정보를 참조하거나 I/F등을 통하여 실제 적재 및 관리하는 테이블 레이아아웃</t>
    <phoneticPr fontId="2" type="noConversion"/>
  </si>
  <si>
    <t>신용회원대출(이지론) 심사에서 관리하는 각 테이블로부터 심사전략솔루션(RCLIPS)의 입력항목 레이아웃과 각 항목별 원천항목(SOURCE COLUMN)별 Maping Rule</t>
    <phoneticPr fontId="2" type="noConversion"/>
  </si>
  <si>
    <t>체크회원(이지론플러스) 및 비회원대출(일사천리론) 심사에서 관리하는 각 테이블로부터 심사전략솔루션(RCLIPS)의 입력항목 레이아웃과 각 항목별 원천항목(SOURCE COLUMN)별 Maping Rule</t>
    <phoneticPr fontId="2" type="noConversion"/>
  </si>
  <si>
    <t>체크회원(이지론플러스) 및 비회원대출(일사천리론) 심사에 대하여 심사전략솔루션(RCLIPS)로부터 수신받은 심사결과 항목이다.</t>
    <phoneticPr fontId="2" type="noConversion"/>
  </si>
  <si>
    <t>As-Is의 RCLIPS를 이용하여 심사를 하였던 일사천리론에 대한 RCLIPS 송신시 입력항목 레이아웃이다.</t>
    <phoneticPr fontId="2" type="noConversion"/>
  </si>
  <si>
    <t xml:space="preserve">심사 관련 테이블 추가시 반영요청 될 항목이다. </t>
    <phoneticPr fontId="2" type="noConversion"/>
  </si>
  <si>
    <t>Sheet 명</t>
    <phoneticPr fontId="2" type="noConversion"/>
  </si>
  <si>
    <t>&lt; 연관 파일 설명 &gt;</t>
    <phoneticPr fontId="2" type="noConversion"/>
  </si>
  <si>
    <t>심사 대상 정보 (분석계)</t>
    <phoneticPr fontId="2" type="noConversion"/>
  </si>
  <si>
    <t>심사 내부 정보 (처리계)</t>
    <phoneticPr fontId="2" type="noConversion"/>
  </si>
  <si>
    <t>NICE 대외 신용 정보</t>
    <phoneticPr fontId="2" type="noConversion"/>
  </si>
  <si>
    <t>NICE 대외 신용 정보</t>
    <phoneticPr fontId="2" type="noConversion"/>
  </si>
  <si>
    <t>KCB 대외 신용 정보</t>
    <phoneticPr fontId="2" type="noConversion"/>
  </si>
  <si>
    <t>KCB 대외 신용 정보</t>
    <phoneticPr fontId="2" type="noConversion"/>
  </si>
  <si>
    <t>개인 신용정보</t>
  </si>
  <si>
    <t>실시간동시대출</t>
  </si>
  <si>
    <t>사기거래허위적발 (FRAUD)</t>
  </si>
  <si>
    <t>처리정보명</t>
  </si>
  <si>
    <t>처리정보명</t>
    <phoneticPr fontId="2" type="noConversion"/>
  </si>
  <si>
    <t>구분</t>
    <phoneticPr fontId="2" type="noConversion"/>
  </si>
  <si>
    <t>파일 명</t>
    <phoneticPr fontId="2" type="noConversion"/>
  </si>
  <si>
    <t>01-1. 사전대상자정보.xlsx</t>
    <phoneticPr fontId="2" type="noConversion"/>
  </si>
  <si>
    <t>02-2. 내부정보.xlsx</t>
    <phoneticPr fontId="2" type="noConversion"/>
  </si>
  <si>
    <t>03-1. NICE_신용정보.xlsx</t>
    <phoneticPr fontId="2" type="noConversion"/>
  </si>
  <si>
    <t>03-2. KCB_신용정보.xlsx</t>
    <phoneticPr fontId="2" type="noConversion"/>
  </si>
  <si>
    <t>03-3. NICE_동시대출.xlsx</t>
    <phoneticPr fontId="2" type="noConversion"/>
  </si>
  <si>
    <t>03-4. KCB_동시대출.xlsx</t>
    <phoneticPr fontId="2" type="noConversion"/>
  </si>
  <si>
    <t>03-5. NICE_FRAUD.xlsx</t>
    <phoneticPr fontId="2" type="noConversion"/>
  </si>
  <si>
    <t>03-6. KCB_FRAUD.xlsx</t>
    <phoneticPr fontId="2" type="noConversion"/>
  </si>
  <si>
    <t>분석계로부터 수신받은 대상자(신용회원/체크회원)</t>
    <phoneticPr fontId="2" type="noConversion"/>
  </si>
  <si>
    <t>주요내용</t>
    <phoneticPr fontId="2" type="noConversion"/>
  </si>
  <si>
    <t>대외신용정보 중 NICE의 개인 신용정보 조회 I/F에 대한 입출력 항목 및 RCLIPS에서 사용할 각 종 항목에 대한LIST</t>
    <phoneticPr fontId="2" type="noConversion"/>
  </si>
  <si>
    <t>사기거래적발</t>
    <phoneticPr fontId="2" type="noConversion"/>
  </si>
  <si>
    <t>처리계 원장으로 부터 심사시 참조하는 각종 항목 및 해당 항목 추출기준</t>
    <phoneticPr fontId="2" type="noConversion"/>
  </si>
  <si>
    <t>대외신용정보 중 KCB의 개인 신용정보 조회 I/F에 대한 입출력 항목 및 RCLIPS에서 사용할 각 종 항목에 대한LIST</t>
    <phoneticPr fontId="2" type="noConversion"/>
  </si>
  <si>
    <t>대외신용정보 중 NICE의 실시간 동시대출체크 조회 I/F에 대한 입출력 항목 및 RCLIPS에서 사용할 각 종 항목에 대한LIST</t>
    <phoneticPr fontId="2" type="noConversion"/>
  </si>
  <si>
    <t>대외신용정보 중 KCB의 실시간 동시대출체크 조회 I/F에 대한 입출력 항목 및 RCLIPS에서 사용할 각 종 항목에 대한LIST</t>
    <phoneticPr fontId="2" type="noConversion"/>
  </si>
  <si>
    <t>대외신용정보 중 NICE의 사기거래허위적발 (FRAUD)조회 I/F에 대한 입출력 항목 및 RCLIPS에서 사용할 각 종 항목에 대한LIST</t>
    <phoneticPr fontId="2" type="noConversion"/>
  </si>
  <si>
    <t>대외신용정보 중 KCB의 사기거래허위적발 (FRAUD)조회 I/F에 대한 입출력 항목 및 RCLIPS에서 사용할 각 종 항목에 대한LIST</t>
    <phoneticPr fontId="2" type="noConversion"/>
  </si>
  <si>
    <t>동일거래일자내의 접수번호를 찾는 로직검토 필요.</t>
    <phoneticPr fontId="2" type="noConversion"/>
  </si>
  <si>
    <t>[1] GEA_KCB허위대출전문
[2] GEA_KCB허위대출결과상세전문</t>
    <phoneticPr fontId="2" type="noConversion"/>
  </si>
  <si>
    <t>[1] GEA_NICE신용정보전문
[2] GEA_NICE신용평점정보상세전문
[3] GEA_NICE신용요약정보상세전문
[4] GEA_NICE신용특별요약정보상세전문</t>
    <phoneticPr fontId="2" type="noConversion"/>
  </si>
  <si>
    <t>[1] GEA_KCB신용정보전문
[2] GEA_KCB신용평점정보상세전문
[3] GEA_KCB신용요약정보상세전문</t>
    <phoneticPr fontId="2" type="noConversion"/>
  </si>
  <si>
    <t>[1] GEA_NICE동시대출전문
[2] GEA_NICE동시대출상세전문</t>
    <phoneticPr fontId="2" type="noConversion"/>
  </si>
  <si>
    <t>[1] GEA_KCB동시대출전문
[2] GEA_KCB동시대출상세전문</t>
    <phoneticPr fontId="2" type="noConversion"/>
  </si>
  <si>
    <t>[1] GEA_NICE허위대출전문
[2] GEA_NICE허위대출스코어상세전문
[3] GEA_NICE허위대출규칙정보상세전문</t>
    <phoneticPr fontId="2" type="noConversion"/>
  </si>
  <si>
    <t>NICE요약CB항목코드내용</t>
    <phoneticPr fontId="2" type="noConversion"/>
  </si>
  <si>
    <t>카드론평가상품구분코드</t>
    <phoneticPr fontId="2" type="noConversion"/>
  </si>
  <si>
    <t>회원연령</t>
    <phoneticPr fontId="2" type="noConversion"/>
  </si>
  <si>
    <t>카드론신청서접수번호</t>
    <phoneticPr fontId="2" type="noConversion"/>
  </si>
  <si>
    <t>KB국민은행여신연체여부</t>
    <phoneticPr fontId="2" type="noConversion"/>
  </si>
  <si>
    <t>카드거래정지여부</t>
    <phoneticPr fontId="2" type="noConversion"/>
  </si>
  <si>
    <t>신용관리대상여부</t>
    <phoneticPr fontId="2" type="noConversion"/>
  </si>
  <si>
    <t>사망실종구분코드</t>
    <phoneticPr fontId="2" type="noConversion"/>
  </si>
  <si>
    <t>요주의인물등재여부</t>
    <phoneticPr fontId="2" type="noConversion"/>
  </si>
  <si>
    <t>워크아웃대상여부</t>
    <phoneticPr fontId="2" type="noConversion"/>
  </si>
  <si>
    <t>요주의대상여부</t>
    <phoneticPr fontId="2" type="noConversion"/>
  </si>
  <si>
    <t>신용불량여부</t>
    <phoneticPr fontId="2" type="noConversion"/>
  </si>
  <si>
    <t>KB국민은행고객정보검증오류여부</t>
    <phoneticPr fontId="2" type="noConversion"/>
  </si>
  <si>
    <t>가맹점주등급구분코드</t>
    <phoneticPr fontId="2" type="noConversion"/>
  </si>
  <si>
    <t>최근6개월가맹점매출금액</t>
    <phoneticPr fontId="2" type="noConversion"/>
  </si>
  <si>
    <t>신용카드채권잔액</t>
    <phoneticPr fontId="2" type="noConversion"/>
  </si>
  <si>
    <t>카드론예외심사구분코드</t>
    <phoneticPr fontId="2" type="noConversion"/>
  </si>
  <si>
    <t>우대한도소득기준충족여부</t>
    <phoneticPr fontId="2" type="noConversion"/>
  </si>
  <si>
    <t>카드론심사처리년월일</t>
  </si>
  <si>
    <t>카드론심사처리년월일</t>
    <phoneticPr fontId="2" type="noConversion"/>
  </si>
  <si>
    <t>카드론심사처리시각</t>
  </si>
  <si>
    <t>카드론심사처리시각</t>
    <phoneticPr fontId="2" type="noConversion"/>
  </si>
  <si>
    <t>KCB사업자여부</t>
    <phoneticPr fontId="2" type="noConversion"/>
  </si>
  <si>
    <t>이지누리론대상편성사유</t>
    <phoneticPr fontId="2" type="noConversion"/>
  </si>
  <si>
    <t>카드론니즈등급구분코드</t>
    <phoneticPr fontId="2" type="noConversion"/>
  </si>
  <si>
    <t>신규카드발급2개월초과여부</t>
    <phoneticPr fontId="2" type="noConversion"/>
  </si>
  <si>
    <t>결합등급한도금액</t>
    <phoneticPr fontId="2" type="noConversion"/>
  </si>
  <si>
    <t>이용가능한도미사용금액</t>
    <phoneticPr fontId="2" type="noConversion"/>
  </si>
  <si>
    <t>이지론일시상환한도금액</t>
    <phoneticPr fontId="2" type="noConversion"/>
  </si>
  <si>
    <t>이지누리론낙아웃구제대상여부</t>
    <phoneticPr fontId="2" type="noConversion"/>
  </si>
  <si>
    <t>이지누리론소액한도대상여부</t>
    <phoneticPr fontId="2" type="noConversion"/>
  </si>
  <si>
    <t>이지론거치기간수</t>
    <phoneticPr fontId="2" type="noConversion"/>
  </si>
  <si>
    <t>이지론분할상환대출기간수</t>
    <phoneticPr fontId="2" type="noConversion"/>
  </si>
  <si>
    <t>이지론플러스대출자격유효년월</t>
    <phoneticPr fontId="2" type="noConversion"/>
  </si>
  <si>
    <t>이지론플러스이전한도금액</t>
    <phoneticPr fontId="2" type="noConversion"/>
  </si>
  <si>
    <t>이지론증액한도금액</t>
    <phoneticPr fontId="2" type="noConversion"/>
  </si>
  <si>
    <t>신용등급최대한도조정금액</t>
    <phoneticPr fontId="2" type="noConversion"/>
  </si>
  <si>
    <t>신용등급최대한도기초금액</t>
    <phoneticPr fontId="2" type="noConversion"/>
  </si>
  <si>
    <t>프리미엄론신용우수여부</t>
    <phoneticPr fontId="2" type="noConversion"/>
  </si>
  <si>
    <t>프리미엄론한도금액</t>
    <phoneticPr fontId="2" type="noConversion"/>
  </si>
  <si>
    <t>프리미엄론일시상환한도금액</t>
    <phoneticPr fontId="2" type="noConversion"/>
  </si>
  <si>
    <t>프리미엄론금리등급구분코드</t>
    <phoneticPr fontId="2" type="noConversion"/>
  </si>
  <si>
    <t>프리미엄론파일롯대상여부</t>
    <phoneticPr fontId="2" type="noConversion"/>
  </si>
  <si>
    <t>마이비즈론우수가맹점여부</t>
    <phoneticPr fontId="2" type="noConversion"/>
  </si>
  <si>
    <t>마이비즈론우수사업자여부</t>
    <phoneticPr fontId="2" type="noConversion"/>
  </si>
  <si>
    <t>마이비즈론한도금액</t>
    <phoneticPr fontId="2" type="noConversion"/>
  </si>
  <si>
    <t>마이비즈론일시상환한도금액</t>
    <phoneticPr fontId="2" type="noConversion"/>
  </si>
  <si>
    <t>마이비즈론금리등급구분코드</t>
    <phoneticPr fontId="2" type="noConversion"/>
  </si>
  <si>
    <t>마이비즈론분할상환대출기간수</t>
    <phoneticPr fontId="2" type="noConversion"/>
  </si>
  <si>
    <t>생활든든론한도금액</t>
    <phoneticPr fontId="2" type="noConversion"/>
  </si>
  <si>
    <t>생활든든론금리등급구분코드</t>
    <phoneticPr fontId="2" type="noConversion"/>
  </si>
  <si>
    <t>생활든든론대출금리</t>
    <phoneticPr fontId="2" type="noConversion"/>
  </si>
  <si>
    <t>더나은론한도금액</t>
    <phoneticPr fontId="2" type="noConversion"/>
  </si>
  <si>
    <t>더나은론금리등급구분코드</t>
    <phoneticPr fontId="2" type="noConversion"/>
  </si>
  <si>
    <t>더나은론대출금리</t>
    <phoneticPr fontId="2" type="noConversion"/>
  </si>
  <si>
    <t>이지누리론한도금액</t>
    <phoneticPr fontId="2" type="noConversion"/>
  </si>
  <si>
    <t>이지누리론거치기간수</t>
    <phoneticPr fontId="2" type="noConversion"/>
  </si>
  <si>
    <t>이지누리론분할상환대출기간수</t>
    <phoneticPr fontId="2" type="noConversion"/>
  </si>
  <si>
    <t>이지누리론금리등급구분코드</t>
    <phoneticPr fontId="2" type="noConversion"/>
  </si>
  <si>
    <t>이지누리론대출금리</t>
    <phoneticPr fontId="2" type="noConversion"/>
  </si>
  <si>
    <t>LGU우대한도금액</t>
    <phoneticPr fontId="2" type="noConversion"/>
  </si>
  <si>
    <t>이지누리론소액한도대상여부</t>
    <phoneticPr fontId="2" type="noConversion"/>
  </si>
  <si>
    <t>최종하이리스크등급구분코드</t>
    <phoneticPr fontId="2" type="noConversion"/>
  </si>
  <si>
    <t>전략세그먼트등급구분코드</t>
    <phoneticPr fontId="2" type="noConversion"/>
  </si>
  <si>
    <t>이지론플러스한도금액</t>
    <phoneticPr fontId="2" type="noConversion"/>
  </si>
  <si>
    <t>이지론플러스거치기간수</t>
    <phoneticPr fontId="2" type="noConversion"/>
  </si>
  <si>
    <t>이지론플러스분할상환대출기간수</t>
    <phoneticPr fontId="2" type="noConversion"/>
  </si>
  <si>
    <t>주거유형별한도우대대상여부</t>
    <phoneticPr fontId="2" type="noConversion"/>
  </si>
  <si>
    <t>이지론플러스세그먼트한도금액</t>
    <phoneticPr fontId="2" type="noConversion"/>
  </si>
  <si>
    <t>NICE특별요약정보응답건수</t>
    <phoneticPr fontId="2" type="noConversion"/>
  </si>
  <si>
    <t>NICE요약정보응답건수</t>
    <phoneticPr fontId="2" type="noConversion"/>
  </si>
  <si>
    <t>NICE평가결과응답건수</t>
    <phoneticPr fontId="2" type="noConversion"/>
  </si>
  <si>
    <t>NICE평점정보구분코드</t>
    <phoneticPr fontId="2" type="noConversion"/>
  </si>
  <si>
    <t>NICE신용정보고유번호</t>
    <phoneticPr fontId="2" type="noConversion"/>
  </si>
  <si>
    <t>NICE요약표시내용</t>
    <phoneticPr fontId="2" type="noConversion"/>
  </si>
  <si>
    <t>NICE요약정보구분코드</t>
    <phoneticPr fontId="2" type="noConversion"/>
  </si>
  <si>
    <t>NICE요약정보</t>
    <phoneticPr fontId="2" type="noConversion"/>
  </si>
  <si>
    <t>NICE특별요약표시내용</t>
    <phoneticPr fontId="2" type="noConversion"/>
  </si>
  <si>
    <t>NICE신용정보관리번호</t>
    <phoneticPr fontId="2" type="noConversion"/>
  </si>
  <si>
    <t>KCB응답코드</t>
    <phoneticPr fontId="2" type="noConversion"/>
  </si>
  <si>
    <t>KCB표준업종코드명</t>
    <phoneticPr fontId="2" type="noConversion"/>
  </si>
  <si>
    <t>KCB등록사유구분코드</t>
    <phoneticPr fontId="2" type="noConversion"/>
  </si>
  <si>
    <t>KCB대출정보등록일시</t>
    <phoneticPr fontId="2" type="noConversion"/>
  </si>
  <si>
    <t>KCB대출정보등록기관코드</t>
    <phoneticPr fontId="2" type="noConversion"/>
  </si>
  <si>
    <t>GRAS매칭룰내용</t>
  </si>
  <si>
    <t>GRAS매칭룰점수</t>
  </si>
  <si>
    <t>KCB타사연체정보보유여부</t>
    <phoneticPr fontId="2" type="noConversion"/>
  </si>
  <si>
    <t>NICE타사연체정보보유여부</t>
    <phoneticPr fontId="2" type="noConversion"/>
  </si>
  <si>
    <t>사전채무조정등록여부</t>
    <phoneticPr fontId="2" type="noConversion"/>
  </si>
  <si>
    <t>TBGEAA251</t>
    <phoneticPr fontId="2" type="noConversion"/>
  </si>
  <si>
    <t>TBGEAA252</t>
    <phoneticPr fontId="2" type="noConversion"/>
  </si>
  <si>
    <t>TBGEAA253</t>
    <phoneticPr fontId="2" type="noConversion"/>
  </si>
  <si>
    <t>TBGEAA254</t>
    <phoneticPr fontId="2" type="noConversion"/>
  </si>
  <si>
    <t>TBGEAA255</t>
    <phoneticPr fontId="2" type="noConversion"/>
  </si>
  <si>
    <t>TBGEAA256</t>
    <phoneticPr fontId="2" type="noConversion"/>
  </si>
  <si>
    <t>TBGEAA257</t>
    <phoneticPr fontId="2" type="noConversion"/>
  </si>
  <si>
    <t>TBGEAA258</t>
    <phoneticPr fontId="2" type="noConversion"/>
  </si>
  <si>
    <t>TBGEAA259</t>
    <phoneticPr fontId="2" type="noConversion"/>
  </si>
  <si>
    <t>TBGEAA260</t>
    <phoneticPr fontId="2" type="noConversion"/>
  </si>
  <si>
    <t>TBGEAA261</t>
    <phoneticPr fontId="2" type="noConversion"/>
  </si>
  <si>
    <t>TBGEAA262</t>
  </si>
  <si>
    <t>TBGEAA262</t>
    <phoneticPr fontId="2" type="noConversion"/>
  </si>
  <si>
    <t>TBGEAA263</t>
  </si>
  <si>
    <t>TBGEAA263</t>
    <phoneticPr fontId="2" type="noConversion"/>
  </si>
  <si>
    <t>TBGEAA264</t>
  </si>
  <si>
    <t>TBGEAA264</t>
    <phoneticPr fontId="2" type="noConversion"/>
  </si>
  <si>
    <t>TBGEAA265</t>
  </si>
  <si>
    <t>TBGEAA265</t>
    <phoneticPr fontId="2" type="noConversion"/>
  </si>
  <si>
    <t>TBGEAA266</t>
  </si>
  <si>
    <t>TBGEAA266</t>
    <phoneticPr fontId="2" type="noConversion"/>
  </si>
  <si>
    <t>이지론플러스탈락사유</t>
    <phoneticPr fontId="2" type="noConversion"/>
  </si>
  <si>
    <t>카드론한도조정금</t>
    <phoneticPr fontId="2" type="noConversion"/>
  </si>
  <si>
    <t>카드론한도조정금액</t>
    <phoneticPr fontId="2" type="noConversion"/>
  </si>
  <si>
    <t>프리미엄론분할상환기간수</t>
    <phoneticPr fontId="2" type="noConversion"/>
  </si>
  <si>
    <t>생활든든론거치기간수</t>
    <phoneticPr fontId="2" type="noConversion"/>
  </si>
  <si>
    <t>생활든든론대출기간수</t>
    <phoneticPr fontId="2" type="noConversion"/>
  </si>
  <si>
    <t>더나은론거치기간수</t>
    <phoneticPr fontId="2" type="noConversion"/>
  </si>
  <si>
    <t>더나은론대출기간수</t>
    <phoneticPr fontId="2" type="noConversion"/>
  </si>
  <si>
    <t>이지누리론대출자격등급구분코드</t>
    <phoneticPr fontId="2" type="noConversion"/>
  </si>
  <si>
    <t>신용등급세그먼트구분코드</t>
    <phoneticPr fontId="2" type="noConversion"/>
  </si>
  <si>
    <t>최근3개월채권평잔</t>
    <phoneticPr fontId="2" type="noConversion"/>
  </si>
  <si>
    <t>TBGEAA209</t>
    <phoneticPr fontId="2" type="noConversion"/>
  </si>
  <si>
    <t>TBGEAA210</t>
    <phoneticPr fontId="2" type="noConversion"/>
  </si>
  <si>
    <t>쉬프트론대출잔액</t>
    <phoneticPr fontId="2" type="noConversion"/>
  </si>
  <si>
    <t>&lt; 이지론플러스 &gt;</t>
    <phoneticPr fontId="2" type="noConversion"/>
  </si>
  <si>
    <t>NO</t>
    <phoneticPr fontId="16" type="noConversion"/>
  </si>
  <si>
    <t>원천구분</t>
    <phoneticPr fontId="17" type="noConversion"/>
  </si>
  <si>
    <t>길이</t>
    <phoneticPr fontId="16" type="noConversion"/>
  </si>
  <si>
    <t>RCLIPS</t>
    <phoneticPr fontId="16" type="noConversion"/>
  </si>
  <si>
    <t>기준년월</t>
    <phoneticPr fontId="16" type="noConversion"/>
  </si>
  <si>
    <t xml:space="preserve"> : 신규 추가 </t>
    <phoneticPr fontId="2" type="noConversion"/>
  </si>
  <si>
    <t>접수번호</t>
    <phoneticPr fontId="16" type="noConversion"/>
  </si>
  <si>
    <t xml:space="preserve"> : 변경</t>
    <phoneticPr fontId="2" type="noConversion"/>
  </si>
  <si>
    <t>고객식별자</t>
    <phoneticPr fontId="16" type="noConversion"/>
  </si>
  <si>
    <t xml:space="preserve"> : 삭제</t>
    <phoneticPr fontId="2" type="noConversion"/>
  </si>
  <si>
    <t>회원일련번호</t>
    <phoneticPr fontId="16" type="noConversion"/>
  </si>
  <si>
    <t>★ 이지론플러스 Output 코드 : 실시간은 0001부터, 사전은 1001부터</t>
    <phoneticPr fontId="2" type="noConversion"/>
  </si>
  <si>
    <t>상품코드</t>
    <phoneticPr fontId="16" type="noConversion"/>
  </si>
  <si>
    <t>R0001</t>
    <phoneticPr fontId="2" type="noConversion"/>
  </si>
  <si>
    <t>최종대출가능금액_사전</t>
    <phoneticPr fontId="2" type="noConversion"/>
  </si>
  <si>
    <t>R1002</t>
    <phoneticPr fontId="2" type="noConversion"/>
  </si>
  <si>
    <t>최종대출가능금액_실시간</t>
    <phoneticPr fontId="2" type="noConversion"/>
  </si>
  <si>
    <t>R0002</t>
    <phoneticPr fontId="2" type="noConversion"/>
  </si>
  <si>
    <t>대출이율_사전</t>
    <phoneticPr fontId="16" type="noConversion"/>
  </si>
  <si>
    <t>R1003</t>
    <phoneticPr fontId="2" type="noConversion"/>
  </si>
  <si>
    <t>대출이율_실시간</t>
    <phoneticPr fontId="16" type="noConversion"/>
  </si>
  <si>
    <t>R0003</t>
    <phoneticPr fontId="2" type="noConversion"/>
  </si>
  <si>
    <t>금리등급_사전</t>
    <phoneticPr fontId="16" type="noConversion"/>
  </si>
  <si>
    <t>R1004</t>
    <phoneticPr fontId="2" type="noConversion"/>
  </si>
  <si>
    <t>금리등급_실시간</t>
    <phoneticPr fontId="16" type="noConversion"/>
  </si>
  <si>
    <t>R0004</t>
    <phoneticPr fontId="2" type="noConversion"/>
  </si>
  <si>
    <t>최장대출가능개월수_사전</t>
    <phoneticPr fontId="2" type="noConversion"/>
  </si>
  <si>
    <t>R1005</t>
    <phoneticPr fontId="2" type="noConversion"/>
  </si>
  <si>
    <t>최장대출가능개월수_실시간</t>
    <phoneticPr fontId="2" type="noConversion"/>
  </si>
  <si>
    <t>R0005</t>
    <phoneticPr fontId="2" type="noConversion"/>
  </si>
  <si>
    <t>최장거치가능개월수_사전</t>
    <phoneticPr fontId="2" type="noConversion"/>
  </si>
  <si>
    <t>R1006</t>
    <phoneticPr fontId="2" type="noConversion"/>
  </si>
  <si>
    <t>최장거치가능개월수_실시간</t>
    <phoneticPr fontId="2" type="noConversion"/>
  </si>
  <si>
    <t>R0006</t>
    <phoneticPr fontId="2" type="noConversion"/>
  </si>
  <si>
    <t>대출탈락사유내용_사전</t>
    <phoneticPr fontId="2" type="noConversion"/>
  </si>
  <si>
    <t>String</t>
    <phoneticPr fontId="2" type="noConversion"/>
  </si>
  <si>
    <t>R1007</t>
    <phoneticPr fontId="2" type="noConversion"/>
  </si>
  <si>
    <t>대출탈락사유내용_실시간</t>
    <phoneticPr fontId="2" type="noConversion"/>
  </si>
  <si>
    <t>R0007</t>
    <phoneticPr fontId="2" type="noConversion"/>
  </si>
  <si>
    <t>정밀심사사유내용</t>
    <phoneticPr fontId="2" type="noConversion"/>
  </si>
  <si>
    <t>R0008</t>
    <phoneticPr fontId="2" type="noConversion"/>
  </si>
  <si>
    <t>실시간KO사유내용</t>
    <phoneticPr fontId="2" type="noConversion"/>
  </si>
  <si>
    <t>R0009</t>
    <phoneticPr fontId="2" type="noConversion"/>
  </si>
  <si>
    <t>KCB추정소득_사전</t>
    <phoneticPr fontId="16" type="noConversion"/>
  </si>
  <si>
    <t>R1010</t>
    <phoneticPr fontId="2" type="noConversion"/>
  </si>
  <si>
    <t>KCB추정소득_실시간</t>
    <phoneticPr fontId="16" type="noConversion"/>
  </si>
  <si>
    <t>R0010</t>
    <phoneticPr fontId="2" type="noConversion"/>
  </si>
  <si>
    <t>NICE추정소득_사전</t>
    <phoneticPr fontId="16" type="noConversion"/>
  </si>
  <si>
    <t>R1011</t>
    <phoneticPr fontId="2" type="noConversion"/>
  </si>
  <si>
    <t>NICE추정소득_실시간</t>
    <phoneticPr fontId="16" type="noConversion"/>
  </si>
  <si>
    <t>R0011</t>
    <phoneticPr fontId="2" type="noConversion"/>
  </si>
  <si>
    <t>평균추정소득_사전</t>
    <phoneticPr fontId="2" type="noConversion"/>
  </si>
  <si>
    <t>Numeric</t>
    <phoneticPr fontId="2" type="noConversion"/>
  </si>
  <si>
    <t>R1012</t>
    <phoneticPr fontId="2" type="noConversion"/>
  </si>
  <si>
    <t>평균추정소득_실시간</t>
    <phoneticPr fontId="2" type="noConversion"/>
  </si>
  <si>
    <t>R0012</t>
    <phoneticPr fontId="2" type="noConversion"/>
  </si>
  <si>
    <t>KCB연간원리금_사전</t>
    <phoneticPr fontId="2" type="noConversion"/>
  </si>
  <si>
    <t>R1013</t>
    <phoneticPr fontId="2" type="noConversion"/>
  </si>
  <si>
    <t>KCB연간원리금_실시간</t>
    <phoneticPr fontId="2" type="noConversion"/>
  </si>
  <si>
    <t>R0013</t>
    <phoneticPr fontId="2" type="noConversion"/>
  </si>
  <si>
    <t>NICE연간원리금_사전</t>
    <phoneticPr fontId="2" type="noConversion"/>
  </si>
  <si>
    <t>R1014</t>
    <phoneticPr fontId="2" type="noConversion"/>
  </si>
  <si>
    <t>NICE연간원리금_실시간</t>
    <phoneticPr fontId="2" type="noConversion"/>
  </si>
  <si>
    <t>R0014</t>
    <phoneticPr fontId="2" type="noConversion"/>
  </si>
  <si>
    <t>월가처분소득_사전</t>
    <phoneticPr fontId="16" type="noConversion"/>
  </si>
  <si>
    <t>R1015</t>
    <phoneticPr fontId="2" type="noConversion"/>
  </si>
  <si>
    <t>월가처분소득금액_실시간</t>
    <phoneticPr fontId="16" type="noConversion"/>
  </si>
  <si>
    <t>R0015</t>
    <phoneticPr fontId="2" type="noConversion"/>
  </si>
  <si>
    <t>반영월가처분소득금액_사전</t>
    <phoneticPr fontId="2" type="noConversion"/>
  </si>
  <si>
    <t>R1016</t>
    <phoneticPr fontId="2" type="noConversion"/>
  </si>
  <si>
    <t>반영월가처분소득금액_실시간</t>
    <phoneticPr fontId="2" type="noConversion"/>
  </si>
  <si>
    <t>R0016</t>
    <phoneticPr fontId="2" type="noConversion"/>
  </si>
  <si>
    <t>전략DTI율_사전</t>
    <phoneticPr fontId="2" type="noConversion"/>
  </si>
  <si>
    <t>R1017</t>
    <phoneticPr fontId="2" type="noConversion"/>
  </si>
  <si>
    <t>전략DTI율_실시간</t>
    <phoneticPr fontId="2" type="noConversion"/>
  </si>
  <si>
    <t>R0017</t>
    <phoneticPr fontId="2" type="noConversion"/>
  </si>
  <si>
    <t>기초한도금액_사전</t>
    <phoneticPr fontId="2" type="noConversion"/>
  </si>
  <si>
    <t>R1018</t>
    <phoneticPr fontId="2" type="noConversion"/>
  </si>
  <si>
    <t>기초한도금액_실시간</t>
    <phoneticPr fontId="2" type="noConversion"/>
  </si>
  <si>
    <t>R0018</t>
    <phoneticPr fontId="2" type="noConversion"/>
  </si>
  <si>
    <t>연령최고대출가능금액_사전</t>
    <phoneticPr fontId="2" type="noConversion"/>
  </si>
  <si>
    <t>R1019</t>
    <phoneticPr fontId="2" type="noConversion"/>
  </si>
  <si>
    <t>연령최고대출가능금액_실시간</t>
    <phoneticPr fontId="2" type="noConversion"/>
  </si>
  <si>
    <t>R0019</t>
    <phoneticPr fontId="2" type="noConversion"/>
  </si>
  <si>
    <t>KCB등급_사전</t>
    <phoneticPr fontId="16" type="noConversion"/>
  </si>
  <si>
    <t>R1020</t>
    <phoneticPr fontId="2" type="noConversion"/>
  </si>
  <si>
    <t>KCB등급_실시간</t>
    <phoneticPr fontId="16" type="noConversion"/>
  </si>
  <si>
    <t>R0020</t>
    <phoneticPr fontId="2" type="noConversion"/>
  </si>
  <si>
    <t>NICE등급_사전</t>
    <phoneticPr fontId="16" type="noConversion"/>
  </si>
  <si>
    <t>R1021</t>
    <phoneticPr fontId="2" type="noConversion"/>
  </si>
  <si>
    <t>NICE등급_실시간</t>
    <phoneticPr fontId="16" type="noConversion"/>
  </si>
  <si>
    <t>R0021</t>
    <phoneticPr fontId="2" type="noConversion"/>
  </si>
  <si>
    <t>플러스론결합등급_사전</t>
    <phoneticPr fontId="2" type="noConversion"/>
  </si>
  <si>
    <t>R1022</t>
    <phoneticPr fontId="2" type="noConversion"/>
  </si>
  <si>
    <t>플러스론결합등급_실시간</t>
    <phoneticPr fontId="2" type="noConversion"/>
  </si>
  <si>
    <t>R0022</t>
    <phoneticPr fontId="2" type="noConversion"/>
  </si>
  <si>
    <t>플러스론전략등급_사전</t>
    <phoneticPr fontId="2" type="noConversion"/>
  </si>
  <si>
    <t>R1023</t>
    <phoneticPr fontId="2" type="noConversion"/>
  </si>
  <si>
    <t>플러스론전략등급_실시간</t>
    <phoneticPr fontId="2" type="noConversion"/>
  </si>
  <si>
    <t>R0023</t>
    <phoneticPr fontId="2" type="noConversion"/>
  </si>
  <si>
    <t>NICESP등급_사전</t>
    <phoneticPr fontId="16" type="noConversion"/>
  </si>
  <si>
    <t>R1024</t>
    <phoneticPr fontId="2" type="noConversion"/>
  </si>
  <si>
    <t>NICESP등급_실시간</t>
    <phoneticPr fontId="16" type="noConversion"/>
  </si>
  <si>
    <t>R0024</t>
    <phoneticPr fontId="2" type="noConversion"/>
  </si>
  <si>
    <t>그룹통합모형평점_사전</t>
    <phoneticPr fontId="2" type="noConversion"/>
  </si>
  <si>
    <t>R1025</t>
    <phoneticPr fontId="2" type="noConversion"/>
  </si>
  <si>
    <t>그룹통합모형평점_실시간</t>
    <phoneticPr fontId="2" type="noConversion"/>
  </si>
  <si>
    <t>R0025</t>
    <phoneticPr fontId="2" type="noConversion"/>
  </si>
  <si>
    <t>그룹통합모형등급_사전</t>
    <phoneticPr fontId="2" type="noConversion"/>
  </si>
  <si>
    <t>R1026</t>
    <phoneticPr fontId="2" type="noConversion"/>
  </si>
  <si>
    <t>R0026</t>
    <phoneticPr fontId="2" type="noConversion"/>
  </si>
  <si>
    <t>그룹통합모형카드등급_사전</t>
    <phoneticPr fontId="2" type="noConversion"/>
  </si>
  <si>
    <t>R1027</t>
    <phoneticPr fontId="2" type="noConversion"/>
  </si>
  <si>
    <t>그룹통합모형카드등급_실시간</t>
    <phoneticPr fontId="2" type="noConversion"/>
  </si>
  <si>
    <t>R0027</t>
    <phoneticPr fontId="2" type="noConversion"/>
  </si>
  <si>
    <t>미래능력상환지수_사전</t>
    <phoneticPr fontId="16" type="noConversion"/>
  </si>
  <si>
    <t>R1029</t>
    <phoneticPr fontId="2" type="noConversion"/>
  </si>
  <si>
    <t>미래능력상환지수_실시간</t>
    <phoneticPr fontId="16" type="noConversion"/>
  </si>
  <si>
    <t>R0029</t>
    <phoneticPr fontId="2" type="noConversion"/>
  </si>
  <si>
    <t>CB등급최고대출가능금액_사전</t>
    <phoneticPr fontId="2" type="noConversion"/>
  </si>
  <si>
    <t>R1030</t>
    <phoneticPr fontId="2" type="noConversion"/>
  </si>
  <si>
    <t>CB등급최고대출가능금액_실시간</t>
    <phoneticPr fontId="2" type="noConversion"/>
  </si>
  <si>
    <t>R0030</t>
    <phoneticPr fontId="2" type="noConversion"/>
  </si>
  <si>
    <t>한도조정금액_사전</t>
    <phoneticPr fontId="2" type="noConversion"/>
  </si>
  <si>
    <t>R1031</t>
    <phoneticPr fontId="2" type="noConversion"/>
  </si>
  <si>
    <t>한도조정금액_실시간</t>
    <phoneticPr fontId="2" type="noConversion"/>
  </si>
  <si>
    <t>R0031</t>
    <phoneticPr fontId="2" type="noConversion"/>
  </si>
  <si>
    <t>고위험군여부_사전</t>
    <phoneticPr fontId="2" type="noConversion"/>
  </si>
  <si>
    <t>R1032</t>
    <phoneticPr fontId="2" type="noConversion"/>
  </si>
  <si>
    <t>고위험군여부_실시간</t>
    <phoneticPr fontId="2" type="noConversion"/>
  </si>
  <si>
    <t>R0032</t>
    <phoneticPr fontId="2" type="noConversion"/>
  </si>
  <si>
    <t>신용등급세그먼트구분_사전</t>
    <phoneticPr fontId="2" type="noConversion"/>
  </si>
  <si>
    <t>R1033</t>
    <phoneticPr fontId="2" type="noConversion"/>
  </si>
  <si>
    <t>신용등급세그먼트구분_실시간</t>
    <phoneticPr fontId="2" type="noConversion"/>
  </si>
  <si>
    <t>R0033</t>
    <phoneticPr fontId="2" type="noConversion"/>
  </si>
  <si>
    <t>최종신용등급세그먼트구분_사전</t>
    <phoneticPr fontId="2" type="noConversion"/>
  </si>
  <si>
    <t>R1034</t>
    <phoneticPr fontId="2" type="noConversion"/>
  </si>
  <si>
    <t>최종신용등급세그먼트구분_실시간</t>
    <phoneticPr fontId="2" type="noConversion"/>
  </si>
  <si>
    <t>R0034</t>
    <phoneticPr fontId="2" type="noConversion"/>
  </si>
  <si>
    <t>최고대출가능금액세그먼트구분_사전</t>
    <phoneticPr fontId="2" type="noConversion"/>
  </si>
  <si>
    <t>R1035</t>
    <phoneticPr fontId="2" type="noConversion"/>
  </si>
  <si>
    <t>최고대출가능금액세그먼트구분_실시간</t>
    <phoneticPr fontId="2" type="noConversion"/>
  </si>
  <si>
    <t>R0035</t>
    <phoneticPr fontId="2" type="noConversion"/>
  </si>
  <si>
    <t>세그먼트최고대출가능금액_사전</t>
    <phoneticPr fontId="2" type="noConversion"/>
  </si>
  <si>
    <t>R1036</t>
    <phoneticPr fontId="2" type="noConversion"/>
  </si>
  <si>
    <t>세그먼트최고대출가능금액_실시간</t>
    <phoneticPr fontId="2" type="noConversion"/>
  </si>
  <si>
    <t>R0036</t>
    <phoneticPr fontId="2" type="noConversion"/>
  </si>
  <si>
    <t>DTI율가이드적용금액_사전</t>
    <phoneticPr fontId="2" type="noConversion"/>
  </si>
  <si>
    <t>R1037</t>
    <phoneticPr fontId="2" type="noConversion"/>
  </si>
  <si>
    <t>DTI율가이드적용금액_실시간</t>
    <phoneticPr fontId="2" type="noConversion"/>
  </si>
  <si>
    <t>R0037</t>
    <phoneticPr fontId="2" type="noConversion"/>
  </si>
  <si>
    <t>예비대출가능금액_사전</t>
    <phoneticPr fontId="2" type="noConversion"/>
  </si>
  <si>
    <t>R1038</t>
    <phoneticPr fontId="2" type="noConversion"/>
  </si>
  <si>
    <t>예비대출가능금액_실시간</t>
    <phoneticPr fontId="2" type="noConversion"/>
  </si>
  <si>
    <t>R0038</t>
    <phoneticPr fontId="2" type="noConversion"/>
  </si>
  <si>
    <t>우대전최종대출가능금액_사전</t>
    <phoneticPr fontId="2" type="noConversion"/>
  </si>
  <si>
    <t>R1039</t>
    <phoneticPr fontId="2" type="noConversion"/>
  </si>
  <si>
    <t>우대전최종대출가능금액_실시간</t>
    <phoneticPr fontId="2" type="noConversion"/>
  </si>
  <si>
    <t>R0039</t>
    <phoneticPr fontId="2" type="noConversion"/>
  </si>
  <si>
    <t>소액한도대상여부_사전</t>
    <phoneticPr fontId="2" type="noConversion"/>
  </si>
  <si>
    <t>R1040</t>
    <phoneticPr fontId="2" type="noConversion"/>
  </si>
  <si>
    <t>소액한도대상여부_실시간</t>
    <phoneticPr fontId="2" type="noConversion"/>
  </si>
  <si>
    <t>R0040</t>
    <phoneticPr fontId="2" type="noConversion"/>
  </si>
  <si>
    <t>우대대출가능금액_사전</t>
    <phoneticPr fontId="2" type="noConversion"/>
  </si>
  <si>
    <t>R1041</t>
    <phoneticPr fontId="2" type="noConversion"/>
  </si>
  <si>
    <t>우대대출가능금액_실시간</t>
    <phoneticPr fontId="2" type="noConversion"/>
  </si>
  <si>
    <t>R0041</t>
    <phoneticPr fontId="2" type="noConversion"/>
  </si>
  <si>
    <t>소개영업대상여부_사전</t>
    <phoneticPr fontId="2" type="noConversion"/>
  </si>
  <si>
    <t>R1042</t>
    <phoneticPr fontId="2" type="noConversion"/>
  </si>
  <si>
    <t>소개영업대상여부_실시간</t>
    <phoneticPr fontId="2" type="noConversion"/>
  </si>
  <si>
    <t>R0042</t>
    <phoneticPr fontId="2" type="noConversion"/>
  </si>
  <si>
    <t>부동산사유코드1_사전</t>
    <phoneticPr fontId="2" type="noConversion"/>
  </si>
  <si>
    <t>R1043</t>
    <phoneticPr fontId="2" type="noConversion"/>
  </si>
  <si>
    <t>R0043</t>
    <phoneticPr fontId="2" type="noConversion"/>
  </si>
  <si>
    <t>부동산사유코드2_사전</t>
    <phoneticPr fontId="2" type="noConversion"/>
  </si>
  <si>
    <t>R1044</t>
    <phoneticPr fontId="2" type="noConversion"/>
  </si>
  <si>
    <t>부동산사유코드3_사전</t>
    <phoneticPr fontId="2" type="noConversion"/>
  </si>
  <si>
    <t>R1045</t>
    <phoneticPr fontId="2" type="noConversion"/>
  </si>
  <si>
    <t>부동산사유코드4_사전</t>
    <phoneticPr fontId="2" type="noConversion"/>
  </si>
  <si>
    <t>R1046</t>
    <phoneticPr fontId="2" type="noConversion"/>
  </si>
  <si>
    <t>부동산사유코드4_실시간</t>
    <phoneticPr fontId="2" type="noConversion"/>
  </si>
  <si>
    <t>부동산우대여부_사전</t>
    <phoneticPr fontId="2" type="noConversion"/>
  </si>
  <si>
    <t>R1047</t>
    <phoneticPr fontId="2" type="noConversion"/>
  </si>
  <si>
    <t>RCLIPS</t>
    <phoneticPr fontId="2" type="noConversion"/>
  </si>
  <si>
    <t>은행신용대출금액_사전</t>
    <phoneticPr fontId="2" type="noConversion"/>
  </si>
  <si>
    <t>R1048</t>
    <phoneticPr fontId="2" type="noConversion"/>
  </si>
  <si>
    <t>은행신용대출금액_실시간</t>
    <phoneticPr fontId="2" type="noConversion"/>
  </si>
  <si>
    <t>R0048</t>
    <phoneticPr fontId="2" type="noConversion"/>
  </si>
  <si>
    <t>비은행권신용대출금액_사전</t>
    <phoneticPr fontId="2" type="noConversion"/>
  </si>
  <si>
    <t>R1049</t>
    <phoneticPr fontId="2" type="noConversion"/>
  </si>
  <si>
    <t>비은행권신용대출금액_실시간</t>
    <phoneticPr fontId="2" type="noConversion"/>
  </si>
  <si>
    <t>R0049</t>
    <phoneticPr fontId="2" type="noConversion"/>
  </si>
  <si>
    <t>기존카드론잔액</t>
    <phoneticPr fontId="16" type="noConversion"/>
  </si>
  <si>
    <t>기존일반대출잔액</t>
    <phoneticPr fontId="16" type="noConversion"/>
  </si>
  <si>
    <t>인정소득</t>
    <phoneticPr fontId="16" type="noConversion"/>
  </si>
  <si>
    <t>R0050</t>
    <phoneticPr fontId="2" type="noConversion"/>
  </si>
  <si>
    <t>신정원원리금상환금액</t>
    <phoneticPr fontId="16" type="noConversion"/>
  </si>
  <si>
    <t>R0051</t>
    <phoneticPr fontId="2" type="noConversion"/>
  </si>
  <si>
    <t>금감원DSR제한한도분할</t>
    <phoneticPr fontId="16" type="noConversion"/>
  </si>
  <si>
    <t>&lt; 중금리론(일사천리론) &gt;</t>
    <phoneticPr fontId="2" type="noConversion"/>
  </si>
  <si>
    <t>NO</t>
    <phoneticPr fontId="16" type="noConversion"/>
  </si>
  <si>
    <t>원천구분</t>
    <phoneticPr fontId="17" type="noConversion"/>
  </si>
  <si>
    <t>항목명</t>
    <phoneticPr fontId="17" type="noConversion"/>
  </si>
  <si>
    <t>형식</t>
    <phoneticPr fontId="17" type="noConversion"/>
  </si>
  <si>
    <t>길이</t>
    <phoneticPr fontId="16" type="noConversion"/>
  </si>
  <si>
    <t>RCLIPS</t>
    <phoneticPr fontId="16" type="noConversion"/>
  </si>
  <si>
    <t>기준년월</t>
    <phoneticPr fontId="16" type="noConversion"/>
  </si>
  <si>
    <t>접수번호</t>
    <phoneticPr fontId="16" type="noConversion"/>
  </si>
  <si>
    <t>고객식별자</t>
    <phoneticPr fontId="16" type="noConversion"/>
  </si>
  <si>
    <t>회원일련번호</t>
    <phoneticPr fontId="16" type="noConversion"/>
  </si>
  <si>
    <t>Character</t>
  </si>
  <si>
    <t>R0001</t>
  </si>
  <si>
    <t>신청평점</t>
  </si>
  <si>
    <t>R0002</t>
  </si>
  <si>
    <t>신청등급</t>
  </si>
  <si>
    <t>R0003</t>
  </si>
  <si>
    <t>결합등급</t>
  </si>
  <si>
    <t>R0004</t>
  </si>
  <si>
    <t>전략등급</t>
  </si>
  <si>
    <t>R0005</t>
  </si>
  <si>
    <t>Thin-file여부</t>
  </si>
  <si>
    <t>R0006</t>
  </si>
  <si>
    <t>Knock-out여부</t>
  </si>
  <si>
    <t>R0007</t>
  </si>
  <si>
    <t>월소득</t>
  </si>
  <si>
    <t>R0008</t>
  </si>
  <si>
    <t>DTI가중치</t>
  </si>
  <si>
    <t>R0009</t>
  </si>
  <si>
    <t>삭제 요청</t>
    <phoneticPr fontId="2" type="noConversion"/>
  </si>
  <si>
    <t>월원리금상환금액</t>
  </si>
  <si>
    <t>R0010</t>
  </si>
  <si>
    <t>월가처분소득</t>
  </si>
  <si>
    <t>R0011</t>
  </si>
  <si>
    <t>적용금리</t>
  </si>
  <si>
    <t>R0012</t>
  </si>
  <si>
    <t>적용금리코드</t>
  </si>
  <si>
    <t>R0013</t>
  </si>
  <si>
    <t>기초한도</t>
  </si>
  <si>
    <t>R0014</t>
  </si>
  <si>
    <t>신용한도CAP</t>
  </si>
  <si>
    <t>R0015</t>
  </si>
  <si>
    <t>R0016</t>
  </si>
  <si>
    <t>연령한도CAP</t>
  </si>
  <si>
    <t>R0017</t>
  </si>
  <si>
    <t>신용한도</t>
  </si>
  <si>
    <t>R0018</t>
  </si>
  <si>
    <t>시스템한도금액</t>
  </si>
  <si>
    <t>R0019</t>
  </si>
  <si>
    <t>대출가능금액</t>
  </si>
  <si>
    <t>R0020</t>
  </si>
  <si>
    <t>한도충족률</t>
  </si>
  <si>
    <t>R0021</t>
  </si>
  <si>
    <t>한도결과코드</t>
  </si>
  <si>
    <t>R0022</t>
  </si>
  <si>
    <t>시스템판정결과</t>
  </si>
  <si>
    <t>R0023</t>
  </si>
  <si>
    <t>시스템상세판정코드</t>
  </si>
  <si>
    <t>R0024</t>
  </si>
  <si>
    <t>우대한도</t>
  </si>
  <si>
    <t>R0025</t>
  </si>
  <si>
    <t>DTI</t>
  </si>
  <si>
    <t>R0026</t>
  </si>
  <si>
    <t>신용가중치</t>
  </si>
  <si>
    <t>R0027</t>
  </si>
  <si>
    <t>대출가능개월수</t>
  </si>
  <si>
    <t>R0028</t>
  </si>
  <si>
    <t>거치가능개월수</t>
  </si>
  <si>
    <t>우대대상여부</t>
  </si>
  <si>
    <t>R0030</t>
  </si>
  <si>
    <t>우대한도금액</t>
  </si>
  <si>
    <t>R0031</t>
  </si>
  <si>
    <t>KCB신용등급</t>
  </si>
  <si>
    <t>R0032</t>
  </si>
  <si>
    <t>NICE신용등급</t>
  </si>
  <si>
    <t>R0033</t>
  </si>
  <si>
    <t>KCB추정소득</t>
  </si>
  <si>
    <t>R0034</t>
  </si>
  <si>
    <t>NICE추정소득</t>
  </si>
  <si>
    <t>R0035</t>
  </si>
  <si>
    <t>연원리금상환액</t>
  </si>
  <si>
    <t>R0036</t>
  </si>
  <si>
    <t>회원구분코드</t>
  </si>
  <si>
    <t>R0037</t>
  </si>
  <si>
    <t>그룹통합모형평점</t>
  </si>
  <si>
    <t>R0038</t>
  </si>
  <si>
    <t>그룹통합모형등급</t>
  </si>
  <si>
    <t>R0039</t>
  </si>
  <si>
    <t>그룹통합모형카드등급</t>
  </si>
  <si>
    <t>R0040</t>
  </si>
  <si>
    <t>그룹통합모형은행등급</t>
  </si>
  <si>
    <t>R0041</t>
  </si>
  <si>
    <t>금감원 DSR산출용</t>
    <phoneticPr fontId="16" type="noConversion"/>
  </si>
  <si>
    <r>
      <rPr>
        <sz val="11"/>
        <rFont val="가는각진제목체"/>
        <family val="1"/>
        <charset val="129"/>
      </rPr>
      <t>기준년월</t>
    </r>
    <phoneticPr fontId="16" type="noConversion"/>
  </si>
  <si>
    <r>
      <rPr>
        <sz val="11"/>
        <rFont val="가는각진제목체"/>
        <family val="1"/>
        <charset val="129"/>
      </rPr>
      <t>접수번호</t>
    </r>
    <phoneticPr fontId="16" type="noConversion"/>
  </si>
  <si>
    <r>
      <rPr>
        <sz val="11"/>
        <rFont val="가는각진제목체"/>
        <family val="1"/>
        <charset val="129"/>
      </rPr>
      <t>고객식별자</t>
    </r>
    <phoneticPr fontId="16" type="noConversion"/>
  </si>
  <si>
    <r>
      <rPr>
        <sz val="11"/>
        <rFont val="가는각진제목체"/>
        <family val="1"/>
        <charset val="129"/>
      </rPr>
      <t>회원일련번호</t>
    </r>
    <phoneticPr fontId="16" type="noConversion"/>
  </si>
  <si>
    <r>
      <rPr>
        <sz val="11"/>
        <rFont val="가는각진제목체"/>
        <family val="1"/>
        <charset val="129"/>
      </rPr>
      <t>상품코드</t>
    </r>
    <phoneticPr fontId="16" type="noConversion"/>
  </si>
  <si>
    <t>최종대출가능금액_사전</t>
    <phoneticPr fontId="2" type="noConversion"/>
  </si>
  <si>
    <t>R1002</t>
  </si>
  <si>
    <t>최종대출가능금액_실시간</t>
    <phoneticPr fontId="2" type="noConversion"/>
  </si>
  <si>
    <t>일시한도_사전</t>
    <phoneticPr fontId="16" type="noConversion"/>
  </si>
  <si>
    <t>일시한도_실시간</t>
    <phoneticPr fontId="16" type="noConversion"/>
  </si>
  <si>
    <r>
      <t>TM</t>
    </r>
    <r>
      <rPr>
        <sz val="11"/>
        <rFont val="가는각진제목체"/>
        <family val="1"/>
        <charset val="129"/>
      </rPr>
      <t>한도</t>
    </r>
    <r>
      <rPr>
        <sz val="11"/>
        <rFont val="Arial Narrow"/>
        <family val="2"/>
      </rPr>
      <t>_</t>
    </r>
    <r>
      <rPr>
        <sz val="11"/>
        <rFont val="가는각진제목체"/>
        <family val="1"/>
        <charset val="129"/>
      </rPr>
      <t>사전</t>
    </r>
    <phoneticPr fontId="16" type="noConversion"/>
  </si>
  <si>
    <r>
      <t>TM</t>
    </r>
    <r>
      <rPr>
        <sz val="11"/>
        <rFont val="가는각진제목체"/>
        <family val="1"/>
        <charset val="129"/>
      </rPr>
      <t>한도</t>
    </r>
    <r>
      <rPr>
        <sz val="11"/>
        <rFont val="Arial Narrow"/>
        <family val="2"/>
      </rPr>
      <t>_</t>
    </r>
    <r>
      <rPr>
        <sz val="11"/>
        <rFont val="가는각진제목체"/>
        <family val="1"/>
        <charset val="129"/>
      </rPr>
      <t>실시간</t>
    </r>
    <phoneticPr fontId="16" type="noConversion"/>
  </si>
  <si>
    <t>대출이율_사전</t>
    <phoneticPr fontId="16" type="noConversion"/>
  </si>
  <si>
    <t>R1003</t>
  </si>
  <si>
    <t>대출이율_실시간</t>
    <phoneticPr fontId="16" type="noConversion"/>
  </si>
  <si>
    <t>R1004</t>
  </si>
  <si>
    <t>R1005</t>
  </si>
  <si>
    <t>R1006</t>
  </si>
  <si>
    <t>R1007</t>
  </si>
  <si>
    <t>R1010</t>
  </si>
  <si>
    <t>R1011</t>
  </si>
  <si>
    <t>R1012</t>
  </si>
  <si>
    <t>R1013</t>
  </si>
  <si>
    <t>R1014</t>
  </si>
  <si>
    <t>R1015</t>
  </si>
  <si>
    <t>R1017</t>
  </si>
  <si>
    <t>R1019</t>
  </si>
  <si>
    <t>R1020</t>
  </si>
  <si>
    <t>R1021</t>
  </si>
  <si>
    <t>R1024</t>
  </si>
  <si>
    <t>R1029</t>
  </si>
  <si>
    <t>R1030</t>
  </si>
  <si>
    <t>R0048</t>
  </si>
  <si>
    <t>R0049</t>
  </si>
  <si>
    <t>R0050</t>
  </si>
  <si>
    <t>R0051</t>
  </si>
  <si>
    <t>R0052</t>
  </si>
  <si>
    <r>
      <rPr>
        <sz val="11"/>
        <rFont val="가는각진제목체"/>
        <family val="1"/>
        <charset val="129"/>
      </rPr>
      <t>변경전금리등급</t>
    </r>
    <phoneticPr fontId="16" type="noConversion"/>
  </si>
  <si>
    <t>금리등급_실시간</t>
    <phoneticPr fontId="16" type="noConversion"/>
  </si>
  <si>
    <r>
      <rPr>
        <sz val="11"/>
        <rFont val="가는각진제목체"/>
        <family val="1"/>
        <charset val="129"/>
      </rPr>
      <t>우수사업자여부</t>
    </r>
    <phoneticPr fontId="16" type="noConversion"/>
  </si>
  <si>
    <r>
      <rPr>
        <sz val="11"/>
        <rFont val="가는각진제목체"/>
        <family val="1"/>
        <charset val="129"/>
      </rPr>
      <t>우수가맹점여부</t>
    </r>
    <phoneticPr fontId="16" type="noConversion"/>
  </si>
  <si>
    <r>
      <rPr>
        <sz val="11"/>
        <rFont val="가는각진제목체"/>
        <family val="1"/>
        <charset val="129"/>
      </rPr>
      <t>최장대출기간월수</t>
    </r>
    <r>
      <rPr>
        <sz val="11"/>
        <rFont val="Arial Narrow"/>
        <family val="2"/>
      </rPr>
      <t>_</t>
    </r>
    <r>
      <rPr>
        <sz val="11"/>
        <rFont val="가는각진제목체"/>
        <family val="1"/>
        <charset val="129"/>
      </rPr>
      <t>사전</t>
    </r>
    <phoneticPr fontId="2" type="noConversion"/>
  </si>
  <si>
    <r>
      <rPr>
        <sz val="11"/>
        <rFont val="가는각진제목체"/>
        <family val="1"/>
        <charset val="129"/>
      </rPr>
      <t>최장대출기간월수</t>
    </r>
    <r>
      <rPr>
        <sz val="11"/>
        <rFont val="Arial Narrow"/>
        <family val="2"/>
      </rPr>
      <t>_</t>
    </r>
    <r>
      <rPr>
        <sz val="11"/>
        <rFont val="가는각진제목체"/>
        <family val="1"/>
        <charset val="129"/>
      </rPr>
      <t>실시간</t>
    </r>
    <phoneticPr fontId="2" type="noConversion"/>
  </si>
  <si>
    <r>
      <rPr>
        <sz val="11"/>
        <rFont val="가는각진제목체"/>
        <family val="1"/>
        <charset val="129"/>
      </rPr>
      <t>최장거치개월수</t>
    </r>
    <r>
      <rPr>
        <sz val="11"/>
        <rFont val="Arial Narrow"/>
        <family val="2"/>
      </rPr>
      <t>_</t>
    </r>
    <r>
      <rPr>
        <sz val="11"/>
        <rFont val="가는각진제목체"/>
        <family val="1"/>
        <charset val="129"/>
      </rPr>
      <t>사전</t>
    </r>
    <phoneticPr fontId="2" type="noConversion"/>
  </si>
  <si>
    <r>
      <rPr>
        <sz val="11"/>
        <rFont val="가는각진제목체"/>
        <family val="1"/>
        <charset val="129"/>
      </rPr>
      <t>최장거치개월수</t>
    </r>
    <r>
      <rPr>
        <sz val="11"/>
        <rFont val="Arial Narrow"/>
        <family val="2"/>
      </rPr>
      <t>_</t>
    </r>
    <r>
      <rPr>
        <sz val="11"/>
        <rFont val="가는각진제목체"/>
        <family val="1"/>
        <charset val="129"/>
      </rPr>
      <t>실시간</t>
    </r>
    <phoneticPr fontId="2" type="noConversion"/>
  </si>
  <si>
    <t>이용가능한도미사용금액_사전</t>
    <phoneticPr fontId="16" type="noConversion"/>
  </si>
  <si>
    <t>이용가능한도미사용금액_실시간</t>
    <phoneticPr fontId="16" type="noConversion"/>
  </si>
  <si>
    <r>
      <rPr>
        <sz val="11"/>
        <rFont val="가는각진제목체"/>
        <family val="1"/>
        <charset val="129"/>
      </rPr>
      <t>취급불가여부</t>
    </r>
    <phoneticPr fontId="16" type="noConversion"/>
  </si>
  <si>
    <r>
      <rPr>
        <sz val="11"/>
        <rFont val="가는각진제목체"/>
        <family val="1"/>
        <charset val="129"/>
      </rPr>
      <t>대출탈락사유내용</t>
    </r>
    <r>
      <rPr>
        <sz val="11"/>
        <rFont val="Arial Narrow"/>
        <family val="2"/>
      </rPr>
      <t>_</t>
    </r>
    <r>
      <rPr>
        <sz val="11"/>
        <rFont val="가는각진제목체"/>
        <family val="1"/>
        <charset val="129"/>
      </rPr>
      <t>사전</t>
    </r>
    <phoneticPr fontId="2" type="noConversion"/>
  </si>
  <si>
    <t>String</t>
    <phoneticPr fontId="2" type="noConversion"/>
  </si>
  <si>
    <r>
      <rPr>
        <sz val="11"/>
        <rFont val="가는각진제목체"/>
        <family val="1"/>
        <charset val="129"/>
      </rPr>
      <t>대출탈락사유내용</t>
    </r>
    <r>
      <rPr>
        <sz val="11"/>
        <rFont val="Arial Narrow"/>
        <family val="2"/>
      </rPr>
      <t>_</t>
    </r>
    <r>
      <rPr>
        <sz val="11"/>
        <rFont val="가는각진제목체"/>
        <family val="1"/>
        <charset val="129"/>
      </rPr>
      <t>실시간</t>
    </r>
    <phoneticPr fontId="2" type="noConversion"/>
  </si>
  <si>
    <t>회원세그먼트구분_사전</t>
    <phoneticPr fontId="16" type="noConversion"/>
  </si>
  <si>
    <t>회원세그먼트구분_실시간</t>
    <phoneticPr fontId="16" type="noConversion"/>
  </si>
  <si>
    <r>
      <t>KCB</t>
    </r>
    <r>
      <rPr>
        <sz val="11"/>
        <rFont val="가는각진제목체"/>
        <family val="1"/>
        <charset val="129"/>
      </rPr>
      <t>추정소득</t>
    </r>
    <r>
      <rPr>
        <sz val="11"/>
        <rFont val="Arial Narrow"/>
        <family val="2"/>
      </rPr>
      <t>_</t>
    </r>
    <r>
      <rPr>
        <sz val="11"/>
        <rFont val="가는각진제목체"/>
        <family val="1"/>
        <charset val="129"/>
      </rPr>
      <t>사전</t>
    </r>
    <phoneticPr fontId="16" type="noConversion"/>
  </si>
  <si>
    <r>
      <t>KCB</t>
    </r>
    <r>
      <rPr>
        <sz val="11"/>
        <rFont val="가는각진제목체"/>
        <family val="1"/>
        <charset val="129"/>
      </rPr>
      <t>추정소득</t>
    </r>
    <r>
      <rPr>
        <sz val="11"/>
        <rFont val="Arial Narrow"/>
        <family val="2"/>
      </rPr>
      <t>_</t>
    </r>
    <r>
      <rPr>
        <sz val="11"/>
        <rFont val="가는각진제목체"/>
        <family val="1"/>
        <charset val="129"/>
      </rPr>
      <t>실시간</t>
    </r>
    <phoneticPr fontId="16" type="noConversion"/>
  </si>
  <si>
    <r>
      <t>NICE</t>
    </r>
    <r>
      <rPr>
        <sz val="11"/>
        <rFont val="가는각진제목체"/>
        <family val="1"/>
        <charset val="129"/>
      </rPr>
      <t>추정소득</t>
    </r>
    <r>
      <rPr>
        <sz val="11"/>
        <rFont val="Arial Narrow"/>
        <family val="2"/>
      </rPr>
      <t>_</t>
    </r>
    <r>
      <rPr>
        <sz val="11"/>
        <rFont val="가는각진제목체"/>
        <family val="1"/>
        <charset val="129"/>
      </rPr>
      <t>사전</t>
    </r>
    <phoneticPr fontId="16" type="noConversion"/>
  </si>
  <si>
    <r>
      <t>NICE</t>
    </r>
    <r>
      <rPr>
        <sz val="11"/>
        <rFont val="가는각진제목체"/>
        <family val="1"/>
        <charset val="129"/>
      </rPr>
      <t>추정소득</t>
    </r>
    <r>
      <rPr>
        <sz val="11"/>
        <rFont val="Arial Narrow"/>
        <family val="2"/>
      </rPr>
      <t>_</t>
    </r>
    <r>
      <rPr>
        <sz val="11"/>
        <rFont val="가는각진제목체"/>
        <family val="1"/>
        <charset val="129"/>
      </rPr>
      <t>실시간</t>
    </r>
    <phoneticPr fontId="16" type="noConversion"/>
  </si>
  <si>
    <r>
      <rPr>
        <sz val="11"/>
        <rFont val="가는각진제목체"/>
        <family val="1"/>
        <charset val="129"/>
      </rPr>
      <t>평균추정소득</t>
    </r>
    <r>
      <rPr>
        <sz val="11"/>
        <rFont val="Arial Narrow"/>
        <family val="2"/>
      </rPr>
      <t>_</t>
    </r>
    <r>
      <rPr>
        <sz val="11"/>
        <rFont val="가는각진제목체"/>
        <family val="1"/>
        <charset val="129"/>
      </rPr>
      <t>사전</t>
    </r>
    <phoneticPr fontId="2" type="noConversion"/>
  </si>
  <si>
    <t>Numeric</t>
    <phoneticPr fontId="2" type="noConversion"/>
  </si>
  <si>
    <r>
      <rPr>
        <sz val="11"/>
        <rFont val="가는각진제목체"/>
        <family val="1"/>
        <charset val="129"/>
      </rPr>
      <t>평균추정소득</t>
    </r>
    <r>
      <rPr>
        <sz val="11"/>
        <rFont val="Arial Narrow"/>
        <family val="2"/>
      </rPr>
      <t>_</t>
    </r>
    <r>
      <rPr>
        <sz val="11"/>
        <rFont val="가는각진제목체"/>
        <family val="1"/>
        <charset val="129"/>
      </rPr>
      <t>실시간</t>
    </r>
    <phoneticPr fontId="2" type="noConversion"/>
  </si>
  <si>
    <r>
      <t>KCB</t>
    </r>
    <r>
      <rPr>
        <sz val="11"/>
        <rFont val="가는각진제목체"/>
        <family val="1"/>
        <charset val="129"/>
      </rPr>
      <t>연간원리금</t>
    </r>
    <r>
      <rPr>
        <sz val="11"/>
        <rFont val="Arial Narrow"/>
        <family val="2"/>
      </rPr>
      <t>_</t>
    </r>
    <r>
      <rPr>
        <sz val="11"/>
        <rFont val="가는각진제목체"/>
        <family val="1"/>
        <charset val="129"/>
      </rPr>
      <t>사전</t>
    </r>
    <phoneticPr fontId="2" type="noConversion"/>
  </si>
  <si>
    <r>
      <t>KCB</t>
    </r>
    <r>
      <rPr>
        <sz val="11"/>
        <rFont val="가는각진제목체"/>
        <family val="1"/>
        <charset val="129"/>
      </rPr>
      <t>연간원리금</t>
    </r>
    <r>
      <rPr>
        <sz val="11"/>
        <rFont val="Arial Narrow"/>
        <family val="2"/>
      </rPr>
      <t>_</t>
    </r>
    <r>
      <rPr>
        <sz val="11"/>
        <rFont val="가는각진제목체"/>
        <family val="1"/>
        <charset val="129"/>
      </rPr>
      <t>실시간</t>
    </r>
    <phoneticPr fontId="2" type="noConversion"/>
  </si>
  <si>
    <r>
      <t>NICE</t>
    </r>
    <r>
      <rPr>
        <sz val="11"/>
        <rFont val="가는각진제목체"/>
        <family val="1"/>
        <charset val="129"/>
      </rPr>
      <t>연간원리금</t>
    </r>
    <r>
      <rPr>
        <sz val="11"/>
        <rFont val="Arial Narrow"/>
        <family val="2"/>
      </rPr>
      <t>_</t>
    </r>
    <r>
      <rPr>
        <sz val="11"/>
        <rFont val="가는각진제목체"/>
        <family val="1"/>
        <charset val="129"/>
      </rPr>
      <t>사전</t>
    </r>
    <phoneticPr fontId="2" type="noConversion"/>
  </si>
  <si>
    <r>
      <t>NICE</t>
    </r>
    <r>
      <rPr>
        <sz val="11"/>
        <rFont val="가는각진제목체"/>
        <family val="1"/>
        <charset val="129"/>
      </rPr>
      <t>연간원리금</t>
    </r>
    <r>
      <rPr>
        <sz val="11"/>
        <rFont val="Arial Narrow"/>
        <family val="2"/>
      </rPr>
      <t>_</t>
    </r>
    <r>
      <rPr>
        <sz val="11"/>
        <rFont val="가는각진제목체"/>
        <family val="1"/>
        <charset val="129"/>
      </rPr>
      <t>실시간</t>
    </r>
    <phoneticPr fontId="2" type="noConversion"/>
  </si>
  <si>
    <r>
      <rPr>
        <sz val="11"/>
        <rFont val="가는각진제목체"/>
        <family val="1"/>
        <charset val="129"/>
      </rPr>
      <t>월가처분소득</t>
    </r>
    <r>
      <rPr>
        <sz val="11"/>
        <rFont val="Arial Narrow"/>
        <family val="2"/>
      </rPr>
      <t>_</t>
    </r>
    <r>
      <rPr>
        <sz val="11"/>
        <rFont val="가는각진제목체"/>
        <family val="1"/>
        <charset val="129"/>
      </rPr>
      <t>사전</t>
    </r>
    <phoneticPr fontId="16" type="noConversion"/>
  </si>
  <si>
    <r>
      <rPr>
        <sz val="11"/>
        <rFont val="가는각진제목체"/>
        <family val="1"/>
        <charset val="129"/>
      </rPr>
      <t>월가처분소득금액</t>
    </r>
    <r>
      <rPr>
        <sz val="11"/>
        <rFont val="Arial Narrow"/>
        <family val="2"/>
      </rPr>
      <t>_</t>
    </r>
    <r>
      <rPr>
        <sz val="11"/>
        <rFont val="가는각진제목체"/>
        <family val="1"/>
        <charset val="129"/>
      </rPr>
      <t>실시간</t>
    </r>
    <phoneticPr fontId="16" type="noConversion"/>
  </si>
  <si>
    <r>
      <rPr>
        <sz val="11"/>
        <rFont val="가는각진제목체"/>
        <family val="1"/>
        <charset val="129"/>
      </rPr>
      <t>전략</t>
    </r>
    <r>
      <rPr>
        <sz val="11"/>
        <rFont val="Arial Narrow"/>
        <family val="2"/>
      </rPr>
      <t>DTI</t>
    </r>
    <r>
      <rPr>
        <sz val="11"/>
        <rFont val="가는각진제목체"/>
        <family val="1"/>
        <charset val="129"/>
      </rPr>
      <t>율</t>
    </r>
    <r>
      <rPr>
        <sz val="11"/>
        <rFont val="Arial Narrow"/>
        <family val="2"/>
      </rPr>
      <t>_</t>
    </r>
    <r>
      <rPr>
        <sz val="11"/>
        <rFont val="가는각진제목체"/>
        <family val="1"/>
        <charset val="129"/>
      </rPr>
      <t>사전</t>
    </r>
    <phoneticPr fontId="2" type="noConversion"/>
  </si>
  <si>
    <r>
      <rPr>
        <sz val="11"/>
        <rFont val="가는각진제목체"/>
        <family val="1"/>
        <charset val="129"/>
      </rPr>
      <t>전략</t>
    </r>
    <r>
      <rPr>
        <sz val="11"/>
        <rFont val="Arial Narrow"/>
        <family val="2"/>
      </rPr>
      <t>DTI</t>
    </r>
    <r>
      <rPr>
        <sz val="11"/>
        <rFont val="가는각진제목체"/>
        <family val="1"/>
        <charset val="129"/>
      </rPr>
      <t>율</t>
    </r>
    <r>
      <rPr>
        <sz val="11"/>
        <rFont val="Arial Narrow"/>
        <family val="2"/>
      </rPr>
      <t>_</t>
    </r>
    <r>
      <rPr>
        <sz val="11"/>
        <rFont val="가는각진제목체"/>
        <family val="1"/>
        <charset val="129"/>
      </rPr>
      <t>실시간</t>
    </r>
    <phoneticPr fontId="2" type="noConversion"/>
  </si>
  <si>
    <r>
      <t>DSR</t>
    </r>
    <r>
      <rPr>
        <sz val="11"/>
        <rFont val="가는각진제목체"/>
        <family val="1"/>
        <charset val="129"/>
      </rPr>
      <t>가이드한도금액</t>
    </r>
    <r>
      <rPr>
        <sz val="11"/>
        <rFont val="Arial Narrow"/>
        <family val="2"/>
      </rPr>
      <t>_</t>
    </r>
    <r>
      <rPr>
        <sz val="11"/>
        <rFont val="가는각진제목체"/>
        <family val="1"/>
        <charset val="129"/>
      </rPr>
      <t>사전</t>
    </r>
    <phoneticPr fontId="16" type="noConversion"/>
  </si>
  <si>
    <r>
      <t>DSR</t>
    </r>
    <r>
      <rPr>
        <sz val="11"/>
        <rFont val="가는각진제목체"/>
        <family val="1"/>
        <charset val="129"/>
      </rPr>
      <t>가이드한도금액</t>
    </r>
    <r>
      <rPr>
        <sz val="11"/>
        <rFont val="Arial Narrow"/>
        <family val="2"/>
      </rPr>
      <t>_</t>
    </r>
    <r>
      <rPr>
        <sz val="11"/>
        <rFont val="가는각진제목체"/>
        <family val="1"/>
        <charset val="129"/>
      </rPr>
      <t>실시간</t>
    </r>
    <phoneticPr fontId="16" type="noConversion"/>
  </si>
  <si>
    <r>
      <rPr>
        <sz val="11"/>
        <rFont val="가는각진제목체"/>
        <family val="1"/>
        <charset val="129"/>
      </rPr>
      <t>연령최고대출가능금액</t>
    </r>
    <r>
      <rPr>
        <sz val="11"/>
        <rFont val="Arial Narrow"/>
        <family val="2"/>
      </rPr>
      <t>_</t>
    </r>
    <r>
      <rPr>
        <sz val="11"/>
        <rFont val="가는각진제목체"/>
        <family val="1"/>
        <charset val="129"/>
      </rPr>
      <t>사전</t>
    </r>
    <phoneticPr fontId="2" type="noConversion"/>
  </si>
  <si>
    <r>
      <rPr>
        <sz val="11"/>
        <rFont val="가는각진제목체"/>
        <family val="1"/>
        <charset val="129"/>
      </rPr>
      <t>연령최고대출가능금액</t>
    </r>
    <r>
      <rPr>
        <sz val="11"/>
        <rFont val="Arial Narrow"/>
        <family val="2"/>
      </rPr>
      <t>_</t>
    </r>
    <r>
      <rPr>
        <sz val="11"/>
        <rFont val="가는각진제목체"/>
        <family val="1"/>
        <charset val="129"/>
      </rPr>
      <t>실시간</t>
    </r>
    <phoneticPr fontId="2" type="noConversion"/>
  </si>
  <si>
    <r>
      <t>KCB</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</si>
  <si>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KCB</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</si>
  <si>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r>
      <t>NICE</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</si>
  <si>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NICE</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</si>
  <si>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t>카드론신규등급_사전</t>
    <phoneticPr fontId="16" type="noConversion"/>
  </si>
  <si>
    <t>카드론신규등급_실시간</t>
    <phoneticPr fontId="16" type="noConversion"/>
  </si>
  <si>
    <r>
      <rPr>
        <sz val="11"/>
        <rFont val="가는각진제목체"/>
        <family val="1"/>
        <charset val="129"/>
      </rPr>
      <t>신용</t>
    </r>
    <r>
      <rPr>
        <sz val="11"/>
        <rFont val="Arial Narrow"/>
        <family val="2"/>
      </rPr>
      <t>BSS</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</si>
  <si>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rPr>
        <sz val="11"/>
        <rFont val="가는각진제목체"/>
        <family val="1"/>
        <charset val="129"/>
      </rPr>
      <t>신용</t>
    </r>
    <r>
      <rPr>
        <sz val="11"/>
        <rFont val="Arial Narrow"/>
        <family val="2"/>
      </rPr>
      <t>BSS</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</si>
  <si>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t>론니즈등급_사전</t>
    <phoneticPr fontId="16" type="noConversion"/>
  </si>
  <si>
    <t>론니즈등급_실시간</t>
    <phoneticPr fontId="16" type="noConversion"/>
  </si>
  <si>
    <t>다중채무위험지수스코어등급_사전</t>
    <phoneticPr fontId="16" type="noConversion"/>
  </si>
  <si>
    <t>다중채무위험지수스코어등급_실시간</t>
    <phoneticPr fontId="16" type="noConversion"/>
  </si>
  <si>
    <r>
      <t>NICESP</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</si>
  <si>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NICESP</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</si>
  <si>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r>
      <t>NICEPI</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</si>
  <si>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NICEPI</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</si>
  <si>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r>
      <t>TIP</t>
    </r>
    <r>
      <rPr>
        <sz val="11"/>
        <rFont val="가는각진제목체"/>
        <family val="1"/>
        <charset val="129"/>
      </rPr>
      <t>스코어등급</t>
    </r>
    <r>
      <rPr>
        <sz val="11"/>
        <rFont val="Arial Narrow"/>
        <family val="2"/>
      </rPr>
      <t>_</t>
    </r>
    <r>
      <rPr>
        <sz val="11"/>
        <rFont val="가는각진제목체"/>
        <family val="1"/>
        <charset val="129"/>
      </rPr>
      <t>사전</t>
    </r>
    <phoneticPr fontId="16" type="noConversion"/>
  </si>
  <si>
    <r>
      <t>TIP</t>
    </r>
    <r>
      <rPr>
        <sz val="11"/>
        <rFont val="가는각진제목체"/>
        <family val="1"/>
        <charset val="129"/>
      </rPr>
      <t>스코어등급</t>
    </r>
    <r>
      <rPr>
        <sz val="11"/>
        <rFont val="Arial Narrow"/>
        <family val="2"/>
      </rPr>
      <t>_</t>
    </r>
    <r>
      <rPr>
        <sz val="11"/>
        <rFont val="가는각진제목체"/>
        <family val="1"/>
        <charset val="129"/>
      </rPr>
      <t>실시간</t>
    </r>
    <phoneticPr fontId="16" type="noConversion"/>
  </si>
  <si>
    <r>
      <t>CP</t>
    </r>
    <r>
      <rPr>
        <sz val="11"/>
        <rFont val="가는각진제목체"/>
        <family val="1"/>
        <charset val="129"/>
      </rPr>
      <t>스코어등급</t>
    </r>
    <r>
      <rPr>
        <sz val="11"/>
        <rFont val="Arial Narrow"/>
        <family val="2"/>
      </rPr>
      <t>_</t>
    </r>
    <r>
      <rPr>
        <sz val="11"/>
        <rFont val="가는각진제목체"/>
        <family val="1"/>
        <charset val="129"/>
      </rPr>
      <t>사전</t>
    </r>
    <phoneticPr fontId="16" type="noConversion"/>
  </si>
  <si>
    <r>
      <t>CP</t>
    </r>
    <r>
      <rPr>
        <sz val="11"/>
        <rFont val="가는각진제목체"/>
        <family val="1"/>
        <charset val="129"/>
      </rPr>
      <t>스코어등급</t>
    </r>
    <r>
      <rPr>
        <sz val="11"/>
        <rFont val="Arial Narrow"/>
        <family val="2"/>
      </rPr>
      <t>_</t>
    </r>
    <r>
      <rPr>
        <sz val="11"/>
        <rFont val="가는각진제목체"/>
        <family val="1"/>
        <charset val="129"/>
      </rPr>
      <t>실시간</t>
    </r>
    <phoneticPr fontId="16" type="noConversion"/>
  </si>
  <si>
    <r>
      <t>DEP</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</si>
  <si>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DEP</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</si>
  <si>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r>
      <t>TELCO</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</si>
  <si>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TELCO</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</si>
  <si>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r>
      <t>INDEX</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</si>
  <si>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t>미래능력상환지수_사전</t>
    <phoneticPr fontId="16" type="noConversion"/>
  </si>
  <si>
    <t>미래능력상환지수_실시간</t>
    <phoneticPr fontId="16" type="noConversion"/>
  </si>
  <si>
    <r>
      <t>RCORE</t>
    </r>
    <r>
      <rPr>
        <sz val="11"/>
        <rFont val="가는각진제목체"/>
        <family val="1"/>
        <charset val="129"/>
      </rPr>
      <t>등급</t>
    </r>
    <r>
      <rPr>
        <sz val="11"/>
        <rFont val="Arial Narrow"/>
        <family val="2"/>
      </rPr>
      <t>_</t>
    </r>
    <r>
      <rPr>
        <sz val="11"/>
        <rFont val="가는각진제목체"/>
        <family val="1"/>
        <charset val="129"/>
      </rPr>
      <t>사전</t>
    </r>
    <phoneticPr fontId="16" type="noConversion"/>
  </si>
  <si>
    <r>
      <t>RCORE</t>
    </r>
    <r>
      <rPr>
        <sz val="11"/>
        <rFont val="가는각진제목체"/>
        <family val="1"/>
        <charset val="129"/>
      </rPr>
      <t>등급</t>
    </r>
    <r>
      <rPr>
        <sz val="11"/>
        <rFont val="Arial Narrow"/>
        <family val="2"/>
      </rPr>
      <t>_</t>
    </r>
    <r>
      <rPr>
        <sz val="11"/>
        <rFont val="가는각진제목체"/>
        <family val="1"/>
        <charset val="129"/>
      </rPr>
      <t>실시간</t>
    </r>
    <phoneticPr fontId="16" type="noConversion"/>
  </si>
  <si>
    <t>모범규준한도_사전</t>
    <phoneticPr fontId="16" type="noConversion"/>
  </si>
  <si>
    <t>모범규준한도_실시간</t>
    <phoneticPr fontId="16" type="noConversion"/>
  </si>
  <si>
    <t>다중채무자여부_사전</t>
    <phoneticPr fontId="16" type="noConversion"/>
  </si>
  <si>
    <t>다중채무자여부_실시간</t>
    <phoneticPr fontId="16" type="noConversion"/>
  </si>
  <si>
    <t>다중채무자그룹구분_사전</t>
    <phoneticPr fontId="16" type="noConversion"/>
  </si>
  <si>
    <t>다중채무자그룹구분_실시간</t>
    <phoneticPr fontId="16" type="noConversion"/>
  </si>
  <si>
    <r>
      <rPr>
        <sz val="11"/>
        <rFont val="가는각진제목체"/>
        <family val="1"/>
        <charset val="129"/>
      </rPr>
      <t>리스크세그먼트</t>
    </r>
    <r>
      <rPr>
        <sz val="11"/>
        <rFont val="Arial Narrow"/>
        <family val="2"/>
      </rPr>
      <t>4</t>
    </r>
    <r>
      <rPr>
        <sz val="11"/>
        <rFont val="가는각진제목체"/>
        <family val="1"/>
        <charset val="129"/>
      </rPr>
      <t>그룹구분</t>
    </r>
    <r>
      <rPr>
        <sz val="11"/>
        <rFont val="Arial Narrow"/>
        <family val="2"/>
      </rPr>
      <t>_</t>
    </r>
    <r>
      <rPr>
        <sz val="11"/>
        <rFont val="가는각진제목체"/>
        <family val="1"/>
        <charset val="129"/>
      </rPr>
      <t>사전</t>
    </r>
    <phoneticPr fontId="16" type="noConversion"/>
  </si>
  <si>
    <r>
      <rPr>
        <sz val="11"/>
        <rFont val="가는각진제목체"/>
        <family val="1"/>
        <charset val="129"/>
      </rPr>
      <t>리스크세그먼트</t>
    </r>
    <r>
      <rPr>
        <sz val="11"/>
        <rFont val="Arial Narrow"/>
        <family val="2"/>
      </rPr>
      <t>4</t>
    </r>
    <r>
      <rPr>
        <sz val="11"/>
        <rFont val="가는각진제목체"/>
        <family val="1"/>
        <charset val="129"/>
      </rPr>
      <t>그룹구분</t>
    </r>
    <r>
      <rPr>
        <sz val="11"/>
        <rFont val="Arial Narrow"/>
        <family val="2"/>
      </rPr>
      <t>_</t>
    </r>
    <r>
      <rPr>
        <sz val="11"/>
        <rFont val="가는각진제목체"/>
        <family val="1"/>
        <charset val="129"/>
      </rPr>
      <t>실시간</t>
    </r>
    <phoneticPr fontId="16" type="noConversion"/>
  </si>
  <si>
    <t>대출수요우대조정금액_사전</t>
    <phoneticPr fontId="16" type="noConversion"/>
  </si>
  <si>
    <t>대출수요우대조정금액_실시간</t>
    <phoneticPr fontId="16" type="noConversion"/>
  </si>
  <si>
    <t>카드론잔액보유경험조정금액_사전</t>
    <phoneticPr fontId="16" type="noConversion"/>
  </si>
  <si>
    <t>카드론잔액보유경험조정금액_실시간</t>
    <phoneticPr fontId="16" type="noConversion"/>
  </si>
  <si>
    <t>등급최고한도기초금액_사전</t>
    <phoneticPr fontId="16" type="noConversion"/>
  </si>
  <si>
    <t>등급최고한도기초금액_실시간</t>
    <phoneticPr fontId="16" type="noConversion"/>
  </si>
  <si>
    <t>등급최고한도조정금액_사전</t>
    <phoneticPr fontId="16" type="noConversion"/>
  </si>
  <si>
    <t>등급최고한도조정금액_실시간</t>
    <phoneticPr fontId="16" type="noConversion"/>
  </si>
  <si>
    <r>
      <t>CB</t>
    </r>
    <r>
      <rPr>
        <sz val="11"/>
        <rFont val="가는각진제목체"/>
        <family val="1"/>
        <charset val="129"/>
      </rPr>
      <t>등급최고대출가능금액</t>
    </r>
    <r>
      <rPr>
        <sz val="11"/>
        <rFont val="Arial Narrow"/>
        <family val="2"/>
      </rPr>
      <t>_</t>
    </r>
    <r>
      <rPr>
        <sz val="11"/>
        <rFont val="가는각진제목체"/>
        <family val="1"/>
        <charset val="129"/>
      </rPr>
      <t>사전</t>
    </r>
    <phoneticPr fontId="2" type="noConversion"/>
  </si>
  <si>
    <r>
      <t>CB</t>
    </r>
    <r>
      <rPr>
        <sz val="11"/>
        <rFont val="가는각진제목체"/>
        <family val="1"/>
        <charset val="129"/>
      </rPr>
      <t>등급최고대출가능금액</t>
    </r>
    <r>
      <rPr>
        <sz val="11"/>
        <rFont val="Arial Narrow"/>
        <family val="2"/>
      </rPr>
      <t>_</t>
    </r>
    <r>
      <rPr>
        <sz val="11"/>
        <rFont val="가는각진제목체"/>
        <family val="1"/>
        <charset val="129"/>
      </rPr>
      <t>실시간</t>
    </r>
    <phoneticPr fontId="2" type="noConversion"/>
  </si>
  <si>
    <r>
      <rPr>
        <sz val="11"/>
        <rFont val="가는각진제목체"/>
        <family val="1"/>
        <charset val="129"/>
      </rPr>
      <t>기존카드론잔액</t>
    </r>
    <phoneticPr fontId="16" type="noConversion"/>
  </si>
  <si>
    <r>
      <rPr>
        <sz val="11"/>
        <rFont val="가는각진제목체"/>
        <family val="1"/>
        <charset val="129"/>
      </rPr>
      <t>기존일반대출잔액</t>
    </r>
    <phoneticPr fontId="16" type="noConversion"/>
  </si>
  <si>
    <r>
      <rPr>
        <sz val="11"/>
        <rFont val="가는각진제목체"/>
        <family val="1"/>
        <charset val="129"/>
      </rPr>
      <t>신정원원리금상환금액</t>
    </r>
    <phoneticPr fontId="16" type="noConversion"/>
  </si>
  <si>
    <r>
      <rPr>
        <sz val="11"/>
        <rFont val="가는각진제목체"/>
        <family val="1"/>
        <charset val="129"/>
      </rPr>
      <t>금감원</t>
    </r>
    <r>
      <rPr>
        <sz val="11"/>
        <rFont val="Arial Narrow"/>
        <family val="2"/>
      </rPr>
      <t>DSR</t>
    </r>
    <r>
      <rPr>
        <sz val="11"/>
        <rFont val="가는각진제목체"/>
        <family val="1"/>
        <charset val="129"/>
      </rPr>
      <t>제한한도분할</t>
    </r>
    <phoneticPr fontId="16" type="noConversion"/>
  </si>
  <si>
    <r>
      <rPr>
        <sz val="11"/>
        <rFont val="가는각진제목체"/>
        <family val="1"/>
        <charset val="129"/>
      </rPr>
      <t>금감원</t>
    </r>
    <r>
      <rPr>
        <sz val="11"/>
        <rFont val="Arial Narrow"/>
        <family val="2"/>
      </rPr>
      <t>DSR</t>
    </r>
    <r>
      <rPr>
        <sz val="11"/>
        <rFont val="가는각진제목체"/>
        <family val="1"/>
        <charset val="129"/>
      </rPr>
      <t>제한한도일시</t>
    </r>
    <phoneticPr fontId="16" type="noConversion"/>
  </si>
  <si>
    <t>A1001</t>
  </si>
  <si>
    <t>A1004</t>
  </si>
  <si>
    <t>A1005</t>
  </si>
  <si>
    <t>A1000</t>
  </si>
  <si>
    <t>A2001</t>
  </si>
  <si>
    <t>A2002</t>
  </si>
  <si>
    <t>A2003</t>
  </si>
  <si>
    <t>A2006</t>
  </si>
  <si>
    <t>A2007</t>
  </si>
  <si>
    <t>A2008</t>
  </si>
  <si>
    <t>A2009</t>
  </si>
  <si>
    <t>A2010</t>
  </si>
  <si>
    <t>A2011</t>
  </si>
  <si>
    <t>A2012</t>
  </si>
  <si>
    <t>A2013</t>
  </si>
  <si>
    <t>A2020</t>
  </si>
  <si>
    <t>A2021</t>
  </si>
  <si>
    <t>A2022</t>
  </si>
  <si>
    <t>A2023</t>
  </si>
  <si>
    <t>A2024</t>
  </si>
  <si>
    <t>A2025</t>
  </si>
  <si>
    <t>A2026</t>
  </si>
  <si>
    <t>A2014</t>
  </si>
  <si>
    <t>A2015</t>
  </si>
  <si>
    <t>A2016</t>
  </si>
  <si>
    <t>A2017</t>
  </si>
  <si>
    <t>A2018</t>
  </si>
  <si>
    <t>A2030</t>
  </si>
  <si>
    <t>A2019</t>
  </si>
  <si>
    <t>A2027</t>
  </si>
  <si>
    <t>A2028</t>
  </si>
  <si>
    <t>A2029</t>
  </si>
  <si>
    <t>A2031</t>
  </si>
  <si>
    <t>A2032</t>
  </si>
  <si>
    <t>A2033</t>
  </si>
  <si>
    <t>A2034</t>
  </si>
  <si>
    <t>A2035</t>
  </si>
  <si>
    <t>A2036</t>
  </si>
  <si>
    <t>A2037</t>
  </si>
  <si>
    <t>A2038</t>
  </si>
  <si>
    <t>A2039</t>
  </si>
  <si>
    <t>A2040</t>
  </si>
  <si>
    <t>A2041</t>
  </si>
  <si>
    <t>A2042</t>
  </si>
  <si>
    <t>A8001</t>
  </si>
  <si>
    <t>A8002</t>
  </si>
  <si>
    <t>A8003</t>
  </si>
  <si>
    <t>A8004</t>
  </si>
  <si>
    <t>A8005</t>
  </si>
  <si>
    <t>A8006</t>
  </si>
  <si>
    <t>A8007</t>
  </si>
  <si>
    <t>A8008</t>
  </si>
  <si>
    <t>A8009</t>
  </si>
  <si>
    <t>A8010</t>
  </si>
  <si>
    <t>A8011</t>
  </si>
  <si>
    <t>A8012</t>
  </si>
  <si>
    <t>A8013</t>
  </si>
  <si>
    <t>A8014</t>
  </si>
  <si>
    <t>A8015</t>
  </si>
  <si>
    <t>A8016</t>
  </si>
  <si>
    <t>A8017</t>
  </si>
  <si>
    <t>A8018</t>
  </si>
  <si>
    <t>A8019</t>
  </si>
  <si>
    <t>A8020</t>
  </si>
  <si>
    <t>A8021</t>
  </si>
  <si>
    <t>A8022</t>
  </si>
  <si>
    <t>A8023</t>
  </si>
  <si>
    <t>A8024</t>
  </si>
  <si>
    <t>A8025</t>
  </si>
  <si>
    <t>A8026</t>
  </si>
  <si>
    <t>A8027</t>
  </si>
  <si>
    <t>A8028</t>
  </si>
  <si>
    <t>A8029</t>
  </si>
  <si>
    <t>A8030</t>
  </si>
  <si>
    <t>A8031</t>
  </si>
  <si>
    <t>A8032</t>
  </si>
  <si>
    <t>A8033</t>
  </si>
  <si>
    <t>A8034</t>
  </si>
  <si>
    <t>A8035</t>
  </si>
  <si>
    <t>A8036</t>
  </si>
  <si>
    <t>A8037</t>
  </si>
  <si>
    <t>A8038</t>
  </si>
  <si>
    <t>A8039</t>
  </si>
  <si>
    <t>A8040</t>
  </si>
  <si>
    <t>A8041</t>
  </si>
  <si>
    <t>A8042</t>
  </si>
  <si>
    <t>A8043</t>
  </si>
  <si>
    <t>A8044</t>
  </si>
  <si>
    <t>A8045</t>
  </si>
  <si>
    <t>A8046</t>
  </si>
  <si>
    <t>A8047</t>
  </si>
  <si>
    <t>A8048</t>
  </si>
  <si>
    <t>A8049</t>
  </si>
  <si>
    <t>A8050</t>
  </si>
  <si>
    <t>A8051</t>
  </si>
  <si>
    <t>A8052</t>
  </si>
  <si>
    <t>A8053</t>
  </si>
  <si>
    <t>A8054</t>
  </si>
  <si>
    <t>A8055</t>
  </si>
  <si>
    <t>A8056</t>
  </si>
  <si>
    <t>A8057</t>
  </si>
  <si>
    <t>A8058</t>
  </si>
  <si>
    <t>A8059</t>
  </si>
  <si>
    <t>A8060</t>
  </si>
  <si>
    <t>A8061</t>
  </si>
  <si>
    <t>A8062</t>
  </si>
  <si>
    <t>가맹점주대상여부</t>
  </si>
  <si>
    <t>A8063</t>
  </si>
  <si>
    <t>다중채무세그먼트구분</t>
  </si>
  <si>
    <t>A8064</t>
  </si>
  <si>
    <t>리볼빙현금서비스잔액</t>
  </si>
  <si>
    <t>A8065</t>
  </si>
  <si>
    <t>불량업주여부</t>
  </si>
  <si>
    <t>A8066</t>
  </si>
  <si>
    <t>비은행평점</t>
  </si>
  <si>
    <t>A8067</t>
  </si>
  <si>
    <t>성별우대여부</t>
  </si>
  <si>
    <t>A8068</t>
  </si>
  <si>
    <t>신규세그먼트구분</t>
  </si>
  <si>
    <t>A8069</t>
  </si>
  <si>
    <t>아파트업종납부여부</t>
  </si>
  <si>
    <t>A8070</t>
  </si>
  <si>
    <t>A8071</t>
  </si>
  <si>
    <t>자택우편번호</t>
  </si>
  <si>
    <t>A8072</t>
  </si>
  <si>
    <t>주택자금대출보유금액</t>
  </si>
  <si>
    <t>A8073</t>
  </si>
  <si>
    <t>총한도소진율</t>
  </si>
  <si>
    <t>A8074</t>
  </si>
  <si>
    <t>최근12개월잔액보유여부</t>
  </si>
  <si>
    <t>A8075</t>
  </si>
  <si>
    <t>최종가맹점등급</t>
  </si>
  <si>
    <t>A8076</t>
  </si>
  <si>
    <t>카드론잔액</t>
  </si>
  <si>
    <t>A8077</t>
  </si>
  <si>
    <t>카드론중복이용고객여부</t>
  </si>
  <si>
    <t>A8078</t>
  </si>
  <si>
    <t>통합한도</t>
  </si>
  <si>
    <t>A8079</t>
  </si>
  <si>
    <t>특수채권여부</t>
  </si>
  <si>
    <t>A8080</t>
  </si>
  <si>
    <t>페이플랜이월금액</t>
  </si>
  <si>
    <t>A8081</t>
  </si>
  <si>
    <t>한신정주거우량여부</t>
  </si>
  <si>
    <t>A8082</t>
  </si>
  <si>
    <t>한신정직업우량여부</t>
  </si>
  <si>
    <t>A8083</t>
  </si>
  <si>
    <t>현금서비스잔액</t>
  </si>
  <si>
    <t>A8084</t>
  </si>
  <si>
    <t>현금서비스한도</t>
  </si>
  <si>
    <t>A8085</t>
  </si>
  <si>
    <t>A8086</t>
  </si>
  <si>
    <t>A8087</t>
  </si>
  <si>
    <t>A8088</t>
  </si>
  <si>
    <t>A8089</t>
  </si>
  <si>
    <t>A8090</t>
  </si>
  <si>
    <t>A8091</t>
  </si>
  <si>
    <t>A8092</t>
  </si>
  <si>
    <t>A8093</t>
  </si>
  <si>
    <t>A8094</t>
  </si>
  <si>
    <t>A8095</t>
  </si>
  <si>
    <t>A8096</t>
  </si>
  <si>
    <t>A8097</t>
  </si>
  <si>
    <t>A8098</t>
  </si>
  <si>
    <t>A8099</t>
  </si>
  <si>
    <t>A8100</t>
  </si>
  <si>
    <t>A8101</t>
  </si>
  <si>
    <t>A8102</t>
  </si>
  <si>
    <t>A8103</t>
  </si>
  <si>
    <t>A8104</t>
  </si>
  <si>
    <t>A8105</t>
  </si>
  <si>
    <t>A8106</t>
  </si>
  <si>
    <t>A8107</t>
  </si>
  <si>
    <t>A8108</t>
  </si>
  <si>
    <t>A8109</t>
  </si>
  <si>
    <t>A8110</t>
  </si>
  <si>
    <t>A8111</t>
  </si>
  <si>
    <t>A8112</t>
  </si>
  <si>
    <t>A8113</t>
  </si>
  <si>
    <t>A8114</t>
  </si>
  <si>
    <t>A8115</t>
  </si>
  <si>
    <t>A8116</t>
  </si>
  <si>
    <t>A8117</t>
  </si>
  <si>
    <t>A8118</t>
  </si>
  <si>
    <t>A8119</t>
  </si>
  <si>
    <t>A8120</t>
  </si>
  <si>
    <t>A8121</t>
  </si>
  <si>
    <t>A8122</t>
  </si>
  <si>
    <t>A8123</t>
  </si>
  <si>
    <t>A8124</t>
  </si>
  <si>
    <t>A8125</t>
  </si>
  <si>
    <t>A8126</t>
  </si>
  <si>
    <t>A8127</t>
  </si>
  <si>
    <t>A8128</t>
  </si>
  <si>
    <t>A8129</t>
  </si>
  <si>
    <t>A8130</t>
  </si>
  <si>
    <t>A8131</t>
  </si>
  <si>
    <t>A8132</t>
  </si>
  <si>
    <t>A8133</t>
  </si>
  <si>
    <t>A8134</t>
  </si>
  <si>
    <t>A8135</t>
  </si>
  <si>
    <t>A8136</t>
  </si>
  <si>
    <t>A8137</t>
  </si>
  <si>
    <t>A8138</t>
  </si>
  <si>
    <t>A8139</t>
  </si>
  <si>
    <t>A8140</t>
  </si>
  <si>
    <t>A8141</t>
  </si>
  <si>
    <t>A8142</t>
  </si>
  <si>
    <t>TSMADLF19</t>
  </si>
  <si>
    <t>A8143</t>
  </si>
  <si>
    <t>A8144</t>
  </si>
  <si>
    <t>A8145</t>
  </si>
  <si>
    <t>A8146</t>
  </si>
  <si>
    <t>추가</t>
    <phoneticPr fontId="2" type="noConversion"/>
  </si>
  <si>
    <t>삭제</t>
    <phoneticPr fontId="2" type="noConversion"/>
  </si>
  <si>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</si>
  <si>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</si>
  <si>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</si>
  <si>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</si>
  <si>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</si>
  <si>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</si>
  <si>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</si>
  <si>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</si>
  <si>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</si>
  <si>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</si>
  <si>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</si>
  <si>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</si>
  <si>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</si>
  <si>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</si>
  <si>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</si>
  <si>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</si>
  <si>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</si>
  <si>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</si>
  <si>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</si>
  <si>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</si>
  <si>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</si>
  <si>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</si>
  <si>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</si>
  <si>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</si>
  <si>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</si>
  <si>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</si>
  <si>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</si>
  <si>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</si>
  <si>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</si>
  <si>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</si>
  <si>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</si>
  <si>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</si>
  <si>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</si>
  <si>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</si>
  <si>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</si>
  <si>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</si>
  <si>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</si>
  <si>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</si>
  <si>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</si>
  <si>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</si>
  <si>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</si>
  <si>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</si>
  <si>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</si>
  <si>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</si>
  <si>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</si>
  <si>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</si>
  <si>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</si>
  <si>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</si>
  <si>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</si>
  <si>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</si>
  <si>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</si>
  <si>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</si>
  <si>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</si>
  <si>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</si>
  <si>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</si>
  <si>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</si>
  <si>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</si>
  <si>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</si>
  <si>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</si>
  <si>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</si>
  <si>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</si>
  <si>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A4001</t>
  </si>
  <si>
    <t>A4002</t>
  </si>
  <si>
    <t>A4003</t>
  </si>
  <si>
    <t>A4004</t>
  </si>
  <si>
    <t>A4005</t>
  </si>
  <si>
    <t>A4006</t>
  </si>
  <si>
    <t>A4007</t>
  </si>
  <si>
    <t>A4008</t>
  </si>
  <si>
    <t>A4009</t>
  </si>
  <si>
    <t>A4010</t>
  </si>
  <si>
    <t>A4011</t>
  </si>
  <si>
    <t>A4012</t>
  </si>
  <si>
    <t>A4013</t>
  </si>
  <si>
    <t>A4014</t>
  </si>
  <si>
    <t>A4015</t>
  </si>
  <si>
    <t>A4016</t>
  </si>
  <si>
    <t>A4017</t>
  </si>
  <si>
    <t>A4018</t>
  </si>
  <si>
    <t>A4019</t>
  </si>
  <si>
    <t>A4020</t>
  </si>
  <si>
    <t>A4021</t>
  </si>
  <si>
    <t>A4022</t>
  </si>
  <si>
    <t>A4023</t>
  </si>
  <si>
    <t>A4024</t>
  </si>
  <si>
    <t>A4025</t>
  </si>
  <si>
    <t>A4026</t>
  </si>
  <si>
    <t>A4027</t>
  </si>
  <si>
    <t>A4028</t>
  </si>
  <si>
    <t>A4029</t>
  </si>
  <si>
    <t>A4030</t>
  </si>
  <si>
    <t>A4031</t>
  </si>
  <si>
    <t>A4032</t>
  </si>
  <si>
    <t>100segment_no 8</t>
  </si>
  <si>
    <t>A4033</t>
  </si>
  <si>
    <t>100segment_no 9</t>
  </si>
  <si>
    <t>A4034</t>
  </si>
  <si>
    <t>A4035</t>
  </si>
  <si>
    <t>A4036</t>
  </si>
  <si>
    <t>A4037</t>
  </si>
  <si>
    <t>A4038</t>
  </si>
  <si>
    <t>A4039</t>
  </si>
  <si>
    <t>A4040</t>
  </si>
  <si>
    <t>A4041</t>
  </si>
  <si>
    <t>A4042</t>
  </si>
  <si>
    <t>A4043</t>
  </si>
  <si>
    <t>A4044</t>
  </si>
  <si>
    <t>A4045</t>
  </si>
  <si>
    <t>A4046</t>
  </si>
  <si>
    <t>A4047</t>
  </si>
  <si>
    <t>A5001</t>
  </si>
  <si>
    <t>A5002</t>
  </si>
  <si>
    <t>A5003</t>
  </si>
  <si>
    <t>A5004</t>
  </si>
  <si>
    <t>A5005</t>
  </si>
  <si>
    <t>A5006</t>
  </si>
  <si>
    <t>A5007</t>
  </si>
  <si>
    <t>A5008</t>
  </si>
  <si>
    <t>A5009</t>
  </si>
  <si>
    <t>A5010</t>
  </si>
  <si>
    <t>A5011</t>
  </si>
  <si>
    <t>A5012</t>
  </si>
  <si>
    <t>A5013</t>
  </si>
  <si>
    <t>A5014</t>
  </si>
  <si>
    <t>A5015</t>
  </si>
  <si>
    <t>A5016</t>
  </si>
  <si>
    <t>A5017</t>
  </si>
  <si>
    <t>A5018</t>
  </si>
  <si>
    <t>A5019</t>
  </si>
  <si>
    <t>A5020</t>
  </si>
  <si>
    <t>A5021</t>
  </si>
  <si>
    <t>A5022</t>
  </si>
  <si>
    <t>A5023</t>
  </si>
  <si>
    <t>A5024</t>
  </si>
  <si>
    <t>A5025</t>
  </si>
  <si>
    <t>A5026</t>
  </si>
  <si>
    <t>A5027</t>
  </si>
  <si>
    <t>A5028</t>
  </si>
  <si>
    <t>A5029</t>
  </si>
  <si>
    <t>A5030</t>
  </si>
  <si>
    <t>A5031</t>
  </si>
  <si>
    <t>A5032</t>
  </si>
  <si>
    <t>A5033</t>
  </si>
  <si>
    <t>A5034</t>
  </si>
  <si>
    <t>A5035</t>
  </si>
  <si>
    <t>A5036</t>
  </si>
  <si>
    <t>A5037</t>
  </si>
  <si>
    <t>A5038</t>
  </si>
  <si>
    <t>A5039</t>
  </si>
  <si>
    <t>A5040</t>
  </si>
  <si>
    <t>A6001</t>
  </si>
  <si>
    <t>A6002</t>
  </si>
  <si>
    <t>A6003</t>
  </si>
  <si>
    <t>A6004</t>
  </si>
  <si>
    <t>A6005</t>
  </si>
  <si>
    <t>A6006</t>
  </si>
  <si>
    <t>A6007</t>
  </si>
  <si>
    <t>A6008</t>
  </si>
  <si>
    <t>A6009</t>
  </si>
  <si>
    <t>A6010</t>
  </si>
  <si>
    <t>A6011</t>
  </si>
  <si>
    <t>A6012</t>
  </si>
  <si>
    <t>A6013</t>
  </si>
  <si>
    <t>A6014</t>
  </si>
  <si>
    <t>A6015</t>
  </si>
  <si>
    <t>A6016</t>
  </si>
  <si>
    <t>A6017</t>
  </si>
  <si>
    <t>A6018</t>
  </si>
  <si>
    <t>A6019</t>
  </si>
  <si>
    <t>A6020</t>
  </si>
  <si>
    <t>A6021</t>
  </si>
  <si>
    <t>A6022</t>
  </si>
  <si>
    <t>A6023</t>
  </si>
  <si>
    <t>A6024</t>
  </si>
  <si>
    <t>A6025</t>
  </si>
  <si>
    <t>A6026</t>
  </si>
  <si>
    <t>A6027</t>
  </si>
  <si>
    <t>A6028</t>
  </si>
  <si>
    <t>A6029</t>
  </si>
  <si>
    <t>A6030</t>
  </si>
  <si>
    <t>A6031</t>
  </si>
  <si>
    <t>A6032</t>
  </si>
  <si>
    <t>A6033</t>
  </si>
  <si>
    <t>A6034</t>
  </si>
  <si>
    <t>A6035</t>
  </si>
  <si>
    <t>A6036</t>
  </si>
  <si>
    <t>A6037</t>
  </si>
  <si>
    <t>A6038</t>
  </si>
  <si>
    <t>A3062</t>
  </si>
  <si>
    <t>A4048</t>
  </si>
  <si>
    <t>N3개월전CB신용등급코드</t>
  </si>
  <si>
    <t>N3개월전신용BSS등급</t>
  </si>
  <si>
    <t>지역보유구분</t>
  </si>
  <si>
    <t>소유실거래가합계</t>
  </si>
  <si>
    <t>소유건축물건수</t>
  </si>
  <si>
    <t>서울부동산건수</t>
  </si>
  <si>
    <t>경기도부동산건수</t>
  </si>
  <si>
    <t>광역시부동산건수</t>
  </si>
  <si>
    <t>세종시부동산건수</t>
  </si>
  <si>
    <t>제주도부동산건수</t>
  </si>
  <si>
    <t>기타부동산건수</t>
  </si>
  <si>
    <t>자가가압류여부</t>
  </si>
  <si>
    <t>소유가압류여부</t>
  </si>
  <si>
    <t>CCS신용등급코드</t>
  </si>
  <si>
    <t>최근3개월이용합계액</t>
  </si>
  <si>
    <t>금리기여도등급</t>
  </si>
  <si>
    <t>대출가능금액기준기간월수2</t>
  </si>
  <si>
    <t>당사제외비은행신용대출금액</t>
  </si>
  <si>
    <t>최근12개월이지론대상여부</t>
  </si>
  <si>
    <t>사업자리스크등급그룹구분</t>
  </si>
  <si>
    <r>
      <t>CP스코어등급</t>
    </r>
    <r>
      <rPr>
        <sz val="11"/>
        <rFont val="Arial Narrow"/>
        <family val="2"/>
      </rPr>
      <t/>
    </r>
  </si>
  <si>
    <r>
      <t>RCORE등급</t>
    </r>
    <r>
      <rPr>
        <sz val="11"/>
        <rFont val="Arial Narrow"/>
        <family val="2"/>
      </rPr>
      <t/>
    </r>
  </si>
  <si>
    <t>I-INDEX등급</t>
  </si>
  <si>
    <t>TELCO등급</t>
  </si>
  <si>
    <t>TIP스코어</t>
  </si>
  <si>
    <t>그룹통합모형구분</t>
  </si>
  <si>
    <t>통합모형계열사평점</t>
  </si>
  <si>
    <t>통합모형KCB평점</t>
  </si>
  <si>
    <t>우수제외업종여부</t>
  </si>
  <si>
    <t>최종가입년월일</t>
  </si>
  <si>
    <t>설립년월일</t>
  </si>
  <si>
    <t>최근1년매출금액</t>
  </si>
  <si>
    <t>소호BSS등급</t>
  </si>
  <si>
    <t>N0개월전신용판매이용금액</t>
  </si>
  <si>
    <t>N1개월전신용판매이용금액</t>
  </si>
  <si>
    <t>N2개월전신용판매이용금액</t>
  </si>
  <si>
    <t>보험업종납부여부</t>
  </si>
  <si>
    <t>정수기전기가스업종납부여부</t>
  </si>
  <si>
    <t>통신업종납부여부</t>
  </si>
  <si>
    <t>KB패밀리론한도</t>
  </si>
  <si>
    <t>설립년월일</t>
    <phoneticPr fontId="2" type="noConversion"/>
  </si>
  <si>
    <t>누리론보험업종납부여부</t>
    <phoneticPr fontId="2" type="noConversion"/>
  </si>
  <si>
    <t>누리론정수기전기가스업종납부여부</t>
    <phoneticPr fontId="2" type="noConversion"/>
  </si>
  <si>
    <t>누리론통신업종납부여부</t>
    <phoneticPr fontId="2" type="noConversion"/>
  </si>
  <si>
    <t>KB패밀리론최장대출기간월수</t>
    <phoneticPr fontId="2" type="noConversion"/>
  </si>
  <si>
    <t>KB패밀리론최장거치개월수</t>
    <phoneticPr fontId="2" type="noConversion"/>
  </si>
  <si>
    <t>연령</t>
    <phoneticPr fontId="2" type="noConversion"/>
  </si>
  <si>
    <t>이지론플러스금리등급</t>
    <phoneticPr fontId="2" type="noConversion"/>
  </si>
  <si>
    <t>카드론신규모형구분</t>
    <phoneticPr fontId="2" type="noConversion"/>
  </si>
  <si>
    <t>A0002</t>
  </si>
  <si>
    <t>A0003</t>
  </si>
  <si>
    <t>A0001</t>
  </si>
  <si>
    <t>A1002</t>
  </si>
  <si>
    <t>A1003</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</si>
  <si>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</si>
  <si>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</si>
  <si>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</si>
  <si>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</si>
  <si>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</si>
  <si>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</si>
  <si>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</si>
  <si>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</si>
  <si>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</si>
  <si>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</si>
  <si>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</si>
  <si>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</si>
  <si>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</si>
  <si>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</si>
  <si>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</si>
  <si>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</si>
  <si>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</si>
  <si>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</si>
  <si>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</si>
  <si>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</si>
  <si>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</si>
  <si>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</si>
  <si>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</si>
  <si>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</si>
  <si>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</si>
  <si>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</si>
  <si>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</si>
  <si>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</si>
  <si>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</si>
  <si>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</si>
  <si>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A2004</t>
  </si>
  <si>
    <t>A2005</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</si>
  <si>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</si>
  <si>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</si>
  <si>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</si>
  <si>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</si>
  <si>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</si>
  <si>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</si>
  <si>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</si>
  <si>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</si>
  <si>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</si>
  <si>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</si>
  <si>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</si>
  <si>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</si>
  <si>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</si>
  <si>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</si>
  <si>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</si>
  <si>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</si>
  <si>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</si>
  <si>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</si>
  <si>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</si>
  <si>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</si>
  <si>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</si>
  <si>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</si>
  <si>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</si>
  <si>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</si>
  <si>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</si>
  <si>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</si>
  <si>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</si>
  <si>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</si>
  <si>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</si>
  <si>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</si>
  <si>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</si>
  <si>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</si>
  <si>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</si>
  <si>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</si>
  <si>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</si>
  <si>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</si>
  <si>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</si>
  <si>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</si>
  <si>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</si>
  <si>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</si>
  <si>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</si>
  <si>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</si>
  <si>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</si>
  <si>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</si>
  <si>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</si>
  <si>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</si>
  <si>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</si>
  <si>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</si>
  <si>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</si>
  <si>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</si>
  <si>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</si>
  <si>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</si>
  <si>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</si>
  <si>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</si>
  <si>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</si>
  <si>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</si>
  <si>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</si>
  <si>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</si>
  <si>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</si>
  <si>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</si>
  <si>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</si>
  <si>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</si>
  <si>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</si>
  <si>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</si>
  <si>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</si>
  <si>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</si>
  <si>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</si>
  <si>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</si>
  <si>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</si>
  <si>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</si>
  <si>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</si>
  <si>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</si>
  <si>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</si>
  <si>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</si>
  <si>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</si>
  <si>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</si>
  <si>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</si>
  <si>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</si>
  <si>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</si>
  <si>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</si>
  <si>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</si>
  <si>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</si>
  <si>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</si>
  <si>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</si>
  <si>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</si>
  <si>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</si>
  <si>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</si>
  <si>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</si>
  <si>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</si>
  <si>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</si>
  <si>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</si>
  <si>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</si>
  <si>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</si>
  <si>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</si>
  <si>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</si>
  <si>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</si>
  <si>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</si>
  <si>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</si>
  <si>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KCB스코어정보보유여부</t>
  </si>
  <si>
    <t>KCB프로파일정보보유여부</t>
  </si>
  <si>
    <t>NICE스코어정보보유여부</t>
  </si>
  <si>
    <t>NICE프로파일정보보유여부</t>
  </si>
  <si>
    <t>연합회신용대출금액</t>
  </si>
  <si>
    <t>연합회담보대출금액</t>
  </si>
  <si>
    <t>평균추정소득</t>
  </si>
  <si>
    <t>KCB연간원리금</t>
  </si>
  <si>
    <t>NICE연간원리금</t>
  </si>
  <si>
    <t>반영월가처분소득</t>
  </si>
  <si>
    <t>전략DTI율</t>
  </si>
  <si>
    <t>회원별거래정지여부</t>
  </si>
  <si>
    <t>회원별거래정지이력여부</t>
  </si>
  <si>
    <t>불량가맹점업주여부</t>
  </si>
  <si>
    <t>요주의인물등록여부</t>
  </si>
  <si>
    <t>부재정보등록여부</t>
  </si>
  <si>
    <t>당사카드론보유여부</t>
  </si>
  <si>
    <t>한도삭제요청여부</t>
  </si>
  <si>
    <t>현금서비스기관수</t>
  </si>
  <si>
    <t>연체대환대출총건수</t>
  </si>
  <si>
    <t>리볼빙이용기관수</t>
  </si>
  <si>
    <t>카드론니즈등급</t>
  </si>
  <si>
    <t>과다채무등급</t>
  </si>
  <si>
    <t>서브프라임신용등급코드</t>
  </si>
  <si>
    <t>연합회연체등재여부</t>
  </si>
  <si>
    <t>KCB연체등재여부</t>
  </si>
  <si>
    <t>NICE연체등재여부</t>
  </si>
  <si>
    <t>KCB연체이력여부</t>
  </si>
  <si>
    <t>NICE연체이력여부</t>
  </si>
  <si>
    <t>불량정보보유여부</t>
  </si>
  <si>
    <t>연합회불량정보등록여부</t>
  </si>
  <si>
    <t>PI신용등급코드</t>
  </si>
  <si>
    <t>최저가맹점주등급</t>
  </si>
  <si>
    <t>체크BS평점</t>
  </si>
  <si>
    <t>체크BS등급</t>
  </si>
  <si>
    <t>KCB신용평점</t>
  </si>
  <si>
    <t>KCB신용등급코드</t>
  </si>
  <si>
    <t>NICE신용평점</t>
  </si>
  <si>
    <t>NICE신용등급코드</t>
  </si>
  <si>
    <t>최고CB등급</t>
  </si>
  <si>
    <t>최저CB등급</t>
  </si>
  <si>
    <t>대출가능금액기준기간월수</t>
  </si>
  <si>
    <t>KCB직업정보코드</t>
  </si>
  <si>
    <t>KCB우량직업군여부</t>
  </si>
  <si>
    <t>우량가맹점주여부</t>
  </si>
  <si>
    <t>연령최고대출가능금액</t>
  </si>
  <si>
    <t>DTI율가이드금액</t>
  </si>
  <si>
    <t>예비대출가능금액</t>
  </si>
  <si>
    <t>타사신용카드보유여부</t>
  </si>
  <si>
    <t>KCB소득구분</t>
  </si>
  <si>
    <t>고위험지역군여부</t>
  </si>
  <si>
    <t>미래상환능력지수내용</t>
  </si>
  <si>
    <t>고위험군여부</t>
  </si>
  <si>
    <t>현금융통적발년월일</t>
  </si>
  <si>
    <t>저연령자최고대출가능금액</t>
  </si>
  <si>
    <t>CB등급최고대출가능금액</t>
  </si>
  <si>
    <t>플러스론결합등급</t>
  </si>
  <si>
    <t>플러스론전략등급</t>
  </si>
  <si>
    <t>프로파일코드1</t>
  </si>
  <si>
    <t>프로파일코드2</t>
  </si>
  <si>
    <t>프로파일코드3</t>
  </si>
  <si>
    <t>PI2신용등급코드</t>
  </si>
  <si>
    <t>DEP신용등급코드</t>
  </si>
  <si>
    <t>PIPLUS신용등급코드</t>
  </si>
  <si>
    <t>연합회불량등록총건수</t>
  </si>
  <si>
    <t>현재연합회불량등록건수</t>
  </si>
  <si>
    <t>은연카드신용대출금액</t>
  </si>
  <si>
    <t>N3M신용카드발급총건수</t>
  </si>
  <si>
    <t>총대출공여건수</t>
  </si>
  <si>
    <t>N3M저축미상환대출건수</t>
  </si>
  <si>
    <t>N3M캐피탈미상환대출액</t>
  </si>
  <si>
    <t>N1M카드론미상환대출수</t>
  </si>
  <si>
    <t>N1M은연대출상환총건수</t>
  </si>
  <si>
    <t>DEP2신용등급코드</t>
  </si>
  <si>
    <t>연체총잔액</t>
  </si>
  <si>
    <t>최근6개월체크카드이용합계액</t>
  </si>
  <si>
    <t>성별구분</t>
  </si>
  <si>
    <t>결합HR평점</t>
  </si>
  <si>
    <t>부채증명서발급여부</t>
  </si>
  <si>
    <t>소개영업대상여부</t>
  </si>
  <si>
    <t>주택담보대출잔액</t>
  </si>
  <si>
    <t>스타클럽실질등급</t>
  </si>
  <si>
    <t>최근3개월수신평잔</t>
  </si>
  <si>
    <t>파일롯1대상여부</t>
  </si>
  <si>
    <t>파일롯2대상여부</t>
  </si>
  <si>
    <t>파일롯대상대출가능금액</t>
  </si>
  <si>
    <t>FRAUD유의여부</t>
  </si>
  <si>
    <t>우대전최종대출가능금액</t>
  </si>
  <si>
    <t>최근3개월체크카드이용합계액</t>
  </si>
  <si>
    <t>최근12개월일반대출평잔</t>
  </si>
  <si>
    <t>비RF카드단독보유여부</t>
  </si>
  <si>
    <t>소액신용한도보유여부</t>
  </si>
  <si>
    <t>제외대상여부</t>
  </si>
  <si>
    <t>연합회담보대출구분</t>
  </si>
  <si>
    <t>전문직군여부</t>
  </si>
  <si>
    <t>다중채무위험등급</t>
  </si>
  <si>
    <t>그룹다중채무세그먼트등급</t>
  </si>
  <si>
    <t>통합</t>
    <phoneticPr fontId="2" type="noConversion"/>
  </si>
  <si>
    <t>누리론N0개월전신용판매이용금액</t>
    <phoneticPr fontId="2" type="noConversion"/>
  </si>
  <si>
    <t>누리론N1개월전신용판매이용금액</t>
    <phoneticPr fontId="2" type="noConversion"/>
  </si>
  <si>
    <t>누리론N2개월전신용판매이용금액</t>
    <phoneticPr fontId="2" type="noConversion"/>
  </si>
  <si>
    <t>KB패밀리론한도</t>
    <phoneticPr fontId="2" type="noConversion"/>
  </si>
  <si>
    <t>KB패밀리론대출이율</t>
    <phoneticPr fontId="2" type="noConversion"/>
  </si>
  <si>
    <t>결과코드</t>
    <phoneticPr fontId="2" type="noConversion"/>
  </si>
  <si>
    <t>String</t>
    <phoneticPr fontId="2" type="noConversion"/>
  </si>
  <si>
    <t>Numeric</t>
    <phoneticPr fontId="2" type="noConversion"/>
  </si>
  <si>
    <t>결과건수</t>
    <phoneticPr fontId="2" type="noConversion"/>
  </si>
  <si>
    <t>R0047</t>
  </si>
  <si>
    <t>추가_20180917</t>
    <phoneticPr fontId="2" type="noConversion"/>
  </si>
  <si>
    <t>0000이 아닐 경우 오류 // 추가_20180917</t>
    <phoneticPr fontId="2" type="noConversion"/>
  </si>
  <si>
    <t>신규추가 (코드5+값15) // 추가_20180917</t>
    <phoneticPr fontId="2" type="noConversion"/>
  </si>
  <si>
    <t>R-Clips 코드</t>
    <phoneticPr fontId="2" type="noConversion"/>
  </si>
  <si>
    <t>IINDEX등급</t>
    <phoneticPr fontId="2" type="noConversion"/>
  </si>
  <si>
    <t>KCB신용정보보유여부</t>
  </si>
  <si>
    <t>NICE신용정보보유여부</t>
  </si>
  <si>
    <t>KCIS신용대출금액</t>
  </si>
  <si>
    <t>KCIS담보대출금액</t>
  </si>
  <si>
    <t>사전KCB추정소득금액</t>
  </si>
  <si>
    <t>사전NICE추정소득금액</t>
  </si>
  <si>
    <t>사전평균추정소득금액</t>
  </si>
  <si>
    <t>사전KCB연간원리금상환금액</t>
  </si>
  <si>
    <t>사전NICE연간원리금상환금액</t>
  </si>
  <si>
    <t xml:space="preserve">월가처분소득금액 </t>
  </si>
  <si>
    <t>플러스론반영월가처분소득금액</t>
  </si>
  <si>
    <t>사전전략DTI비율</t>
  </si>
  <si>
    <t>이지론플러스금리등급구분코드</t>
  </si>
  <si>
    <t>회원거래정지여부</t>
  </si>
  <si>
    <t>최근1년회원거래정지이력유무</t>
  </si>
  <si>
    <t>불량가맹점주등재여부</t>
  </si>
  <si>
    <t>요주의인물등재여부</t>
  </si>
  <si>
    <t>부재정보등록유무</t>
  </si>
  <si>
    <t>당사카드론잔액보유여부</t>
  </si>
  <si>
    <t>카드론한도삭제요청여부</t>
  </si>
  <si>
    <t>CA이용금액기관수</t>
  </si>
  <si>
    <t>연체대환대출건수</t>
  </si>
  <si>
    <t>최근3개월최다리볼빙이용기관수</t>
  </si>
  <si>
    <t>사전카드론니즈등급구분코드</t>
  </si>
  <si>
    <t>과다채무등급구분코드</t>
  </si>
  <si>
    <t>KCIS당사연체정보등재여부</t>
  </si>
  <si>
    <t>KCB연체정보등재여부</t>
  </si>
  <si>
    <t>NICE연체정보등재여부</t>
  </si>
  <si>
    <t>KCB연체이력유무</t>
  </si>
  <si>
    <t>NICE연체이력유무</t>
  </si>
  <si>
    <t>불량정보등재여부</t>
  </si>
  <si>
    <t>KCIS불량정보등재여부</t>
  </si>
  <si>
    <t>가맹점등급구분코드</t>
  </si>
  <si>
    <t>체크카드회원BSS평점</t>
  </si>
  <si>
    <t>최고CB등급구분코드</t>
  </si>
  <si>
    <t>최저CB등급구분코드</t>
  </si>
  <si>
    <t xml:space="preserve">KCB직업직위코드 </t>
  </si>
  <si>
    <t>연령최대대출가능금액</t>
  </si>
  <si>
    <t>DTI가이드금액</t>
  </si>
  <si>
    <t>DTI가이드캡적용금액</t>
  </si>
  <si>
    <t>예비한도금액</t>
  </si>
  <si>
    <t>KCB소득구분코드</t>
  </si>
  <si>
    <t>고위험지역군가맹점보유여부</t>
  </si>
  <si>
    <t>KCB미래상환능력지수내용</t>
  </si>
  <si>
    <t>사전고위험군여부</t>
  </si>
  <si>
    <t>저연령최대대출가능금액</t>
  </si>
  <si>
    <t>CB등급최대대출가능금액</t>
  </si>
  <si>
    <t>사전플러스론결합등급코드</t>
  </si>
  <si>
    <t>사전플러스론전략등급구분코드</t>
  </si>
  <si>
    <t>사전NICE채무건전성등급코드1</t>
  </si>
  <si>
    <t>PI플러스신용등급구분코드</t>
  </si>
  <si>
    <t>KCIS불량정보등재건수</t>
  </si>
  <si>
    <t>신용관리대상미해제건수</t>
  </si>
  <si>
    <t>KCIS카드신용대출금액</t>
  </si>
  <si>
    <t>최근3개월미해지카드발급건수</t>
  </si>
  <si>
    <t>NICE대출공여건수</t>
  </si>
  <si>
    <t>N3개월저축업권미상환대출건수</t>
  </si>
  <si>
    <t>최근3개월캐피탈미상환대출금액</t>
  </si>
  <si>
    <t>최근1개월카드론미상환대출건수</t>
  </si>
  <si>
    <t>최근1개월KCIS대출상환건수</t>
  </si>
  <si>
    <t>사전NICE채무건전성등급코드2</t>
  </si>
  <si>
    <t>해제후1년경과제외연체잔액</t>
  </si>
  <si>
    <t>최근6개월체크카드이용금액</t>
  </si>
  <si>
    <t>성별구분코드</t>
  </si>
  <si>
    <t>결합하이리스크평점</t>
  </si>
  <si>
    <t>최근1년부채증명서발급여부</t>
  </si>
  <si>
    <t>사전소개영업대상여부</t>
  </si>
  <si>
    <t>사전다중채무대상여부</t>
  </si>
  <si>
    <t>KCIS은행주택담보대출잔액</t>
  </si>
  <si>
    <t>KB스타클럽실질고객구분코드</t>
  </si>
  <si>
    <t>파일롯버전1대상여부</t>
  </si>
  <si>
    <t>파일롯버전2대상여부</t>
  </si>
  <si>
    <t>사전우대한도금액</t>
  </si>
  <si>
    <t>NICE사기거래경험자여부</t>
  </si>
  <si>
    <t>심사우대대상지역여부</t>
  </si>
  <si>
    <t>우대적용전최종한도금액</t>
  </si>
  <si>
    <t>보유부동산실거래가합계금액</t>
  </si>
  <si>
    <t>부동산보유건수</t>
  </si>
  <si>
    <t>서울지역부동산보유건수</t>
  </si>
  <si>
    <t>경기도지역부동산보유건수</t>
  </si>
  <si>
    <t>광역시도지역부동산보유건수</t>
  </si>
  <si>
    <t>세종시지역부동산보유건수</t>
  </si>
  <si>
    <t>제주지역부동산보유건수</t>
  </si>
  <si>
    <t>기타지역부동산보유건수</t>
  </si>
  <si>
    <t>자택가압류여부</t>
  </si>
  <si>
    <t>보유부동산가압류여부</t>
  </si>
  <si>
    <t>최근3개월체크카드이용금액</t>
  </si>
  <si>
    <t>카드론신규금리기여도등급</t>
  </si>
  <si>
    <t>비RF체크카드단독보유여부</t>
  </si>
  <si>
    <t>플러스론제외대상여부</t>
  </si>
  <si>
    <t>KCIS담보대출구분코드</t>
  </si>
  <si>
    <t>다중채무위험등급구분코드</t>
  </si>
  <si>
    <t>사전다중채무위험지수구분코드</t>
  </si>
  <si>
    <t>금월일시불할부이용금액</t>
  </si>
  <si>
    <t>전월일시불할부이용금액</t>
  </si>
  <si>
    <t>N2개월전일시불할부이용금액</t>
  </si>
  <si>
    <t>보험업종승인여부</t>
  </si>
  <si>
    <t>정수기전기가스업종승인여부</t>
  </si>
  <si>
    <t>통신업종승인여부</t>
  </si>
  <si>
    <t>KB패밀리론한도금액</t>
  </si>
  <si>
    <t>KB패밀리론최장대출기간수</t>
  </si>
  <si>
    <t>KB패밀리론최장거치기간수</t>
  </si>
  <si>
    <t>KB패밀리론대출금리</t>
  </si>
  <si>
    <t>우대대상제외업종여부</t>
  </si>
  <si>
    <t>당사가맹점최종가입년월일</t>
  </si>
  <si>
    <t>이지론제외대상불량가맹점주여부</t>
  </si>
  <si>
    <t>최근1년당사가맹점매출금액</t>
  </si>
  <si>
    <t>소호BSS등급구분코드</t>
  </si>
  <si>
    <t>N3개월전KCB신용등급코드</t>
  </si>
  <si>
    <t>N3개월전신용BSS등급구분코드</t>
  </si>
  <si>
    <t>최근3개월카드이용합계금액</t>
  </si>
  <si>
    <t>당사가맹점주여부</t>
  </si>
  <si>
    <t>다중채무세그먼트구분코드</t>
  </si>
  <si>
    <t>리볼빙CA잔액</t>
  </si>
  <si>
    <t>당사제외타업권평점</t>
  </si>
  <si>
    <t>심사우대성별구분코드</t>
  </si>
  <si>
    <t>신규세그먼트구분코드</t>
  </si>
  <si>
    <t>아파트관리비자동이체신청여부</t>
  </si>
  <si>
    <t>신용카드총한도소진율</t>
  </si>
  <si>
    <t>최근12개월카드론잔액보유여부</t>
  </si>
  <si>
    <t>카드론초과이용고객여부</t>
  </si>
  <si>
    <t>통합한도금액</t>
  </si>
  <si>
    <t>특수채권잔액보유여부</t>
  </si>
  <si>
    <t xml:space="preserve">이월리볼빙금액 </t>
  </si>
  <si>
    <t xml:space="preserve">NICE주거우량여부 </t>
  </si>
  <si>
    <t xml:space="preserve">당사CA한도금액 </t>
  </si>
  <si>
    <t>일시상환최장대출기간수</t>
  </si>
  <si>
    <t>당사제외비은행신용대출잔액</t>
  </si>
  <si>
    <t>최근1년이지론대상연속선정여부</t>
  </si>
  <si>
    <t>사업자리스크등급그룹구분코드</t>
  </si>
  <si>
    <t>NICECP스코어등급구분코드</t>
  </si>
  <si>
    <t>R스코어신용등급코드</t>
  </si>
  <si>
    <t>KCB중위등급인덱스구분코드</t>
  </si>
  <si>
    <t>LGU고객평점결과코드</t>
  </si>
  <si>
    <t>팁스코어등급구분코드</t>
  </si>
  <si>
    <t>통합모형구분코드</t>
  </si>
  <si>
    <t>통합모형계열회사평점</t>
  </si>
  <si>
    <t>카드론신규모형구분코드</t>
    <phoneticPr fontId="2" type="noConversion"/>
  </si>
  <si>
    <t>추가</t>
  </si>
  <si>
    <t>통합한도잔액</t>
  </si>
  <si>
    <t>대출연체여부</t>
  </si>
  <si>
    <t>필드수</t>
    <phoneticPr fontId="2" type="noConversion"/>
  </si>
  <si>
    <t>RCLIPS코드</t>
    <phoneticPr fontId="16" type="noConversion"/>
  </si>
  <si>
    <t>A3063</t>
  </si>
  <si>
    <t>A3064</t>
  </si>
  <si>
    <t>내부항목</t>
  </si>
  <si>
    <t>NICE</t>
  </si>
  <si>
    <t>KCB</t>
  </si>
  <si>
    <t>지주</t>
  </si>
  <si>
    <t>RK1100_000</t>
  </si>
  <si>
    <t>SKBFG0000</t>
  </si>
  <si>
    <t>SKBFG0100</t>
  </si>
  <si>
    <t>SKBFGR100</t>
  </si>
  <si>
    <t>SKBFGR200</t>
  </si>
  <si>
    <t>대출광고제휴업체구분코드</t>
  </si>
  <si>
    <t>우대한도소득충족여부</t>
  </si>
  <si>
    <t>중고차할부금융잔액</t>
  </si>
  <si>
    <t>스크래핑소득_건보</t>
  </si>
  <si>
    <t>스크래핑소득_국세청</t>
  </si>
  <si>
    <t>NICE SOHO등급</t>
  </si>
  <si>
    <t>일반중금리평점</t>
  </si>
  <si>
    <t>일반중금리배제사유코드</t>
  </si>
  <si>
    <t>일반중금리결과사유코드1</t>
  </si>
  <si>
    <t>일반중금리결과사유코드2</t>
  </si>
  <si>
    <t>그룹실적모형구분</t>
  </si>
  <si>
    <t>그룹실적BSS평점</t>
  </si>
  <si>
    <t>그룹실적ASS평점</t>
  </si>
  <si>
    <t>R클립스_항목명</t>
    <phoneticPr fontId="16" type="noConversion"/>
  </si>
  <si>
    <t>삭제</t>
  </si>
  <si>
    <t>NICE비회원신용정보조회 &gt; GEA_NICE신용요약정보조회</t>
  </si>
  <si>
    <t>은행연합회보험업권주택담보대출총건수_N9</t>
  </si>
  <si>
    <t>미상환대출총건수_N9</t>
  </si>
  <si>
    <t>은행업권미상환대출총건수_N9</t>
  </si>
  <si>
    <t>조합업권미상환대출총건수_N9</t>
  </si>
  <si>
    <t>보험업권미상환대출총건수_N9</t>
  </si>
  <si>
    <t>카드업계대출총건수_N9</t>
  </si>
  <si>
    <t>캐피탈업권미상환대출총건수_N9</t>
  </si>
  <si>
    <t>은행연합회할부금융업권신차할부총건수_N9</t>
  </si>
  <si>
    <t>최근6개월연체건수</t>
  </si>
  <si>
    <t>대부업권최장연체경험일수_N10</t>
  </si>
  <si>
    <t>최초미해지신용카드발급경과일수_N9</t>
  </si>
  <si>
    <t>현금서비스이용잔액기관수_N9</t>
  </si>
  <si>
    <t>총신용공여건수_N9</t>
  </si>
  <si>
    <t>1년내미상환주택담보대출총금액_N15</t>
  </si>
  <si>
    <t>최근해제후경과일수_N9</t>
  </si>
  <si>
    <t>NICE비회원신용정보조회 &gt; GEA_NICE신용특별요약정보조회</t>
  </si>
  <si>
    <t>개월미해지카드발급건수</t>
  </si>
  <si>
    <t>총대출공여건수_N9</t>
  </si>
  <si>
    <t>최근3개월내저축은행업권미상환대출총건수_N9</t>
  </si>
  <si>
    <t>카드업권미상환대출총금액_N9</t>
  </si>
  <si>
    <t>최근1개월내미상환카드론대출총건수_N9</t>
  </si>
  <si>
    <t>최근1개월내전은행연합회대출상환총건수_N9</t>
  </si>
  <si>
    <t>NICE미해제연체총건수_N9</t>
  </si>
  <si>
    <t>NICE미해제연체총금액_N15</t>
  </si>
  <si>
    <t>NICE비회원신용정보조회 &gt; GEA_NICE신용평점정보조회</t>
  </si>
  <si>
    <t>NICE서브프라임부실등급코드_V4</t>
  </si>
  <si>
    <t>NICE채무건전성스코어등급코드_V4</t>
  </si>
  <si>
    <t>PI플러스신용등급코드</t>
  </si>
  <si>
    <t>대상건수_N10 + 대상건수_N10</t>
  </si>
  <si>
    <t>NICE소호등급구분코드</t>
  </si>
  <si>
    <t>KCB신용정보조회 &gt; GEA_KCB신용평점정보조회</t>
  </si>
  <si>
    <t>KCB신용정보조회 &gt; GEA_KCB신용요약정보조회</t>
  </si>
  <si>
    <t>일반중금리평점_N5</t>
  </si>
  <si>
    <t>일반중금리배제사유코드_V9</t>
  </si>
  <si>
    <t>일반중금리배제사유코드1_V9</t>
  </si>
  <si>
    <t>일반중금리배제사유코드2_V9</t>
  </si>
  <si>
    <t>심사사전정보내역조회 &gt; KB지주그룹실적스코어내역고객식별자기준조회</t>
  </si>
  <si>
    <t>그룹실적모형구분코드</t>
  </si>
  <si>
    <t>NICE RK0400_000(CB등급)의 Profile Code 1</t>
    <phoneticPr fontId="2" type="noConversion"/>
  </si>
  <si>
    <t>NICE대출조회 &gt; GEA_NICE동시대출건수조회
KCB대출조회 &gt; GEA_KCB동시대출건수조회</t>
    <phoneticPr fontId="2" type="noConversion"/>
  </si>
  <si>
    <t>원천정보(원본)</t>
    <phoneticPr fontId="16" type="noConversion"/>
  </si>
  <si>
    <t>N/A</t>
    <phoneticPr fontId="2" type="noConversion"/>
  </si>
  <si>
    <t>GEA_KCB신용정보전문
GEA_KCB신용평점정보상세전문
GEA_KCB신용요약정보상세전문</t>
  </si>
  <si>
    <t>GEA_KCB신용정보전문
GEA_KCB신용평점정보상세전문
GEA_KCB신용요약정보상세전문</t>
    <phoneticPr fontId="2" type="noConversion"/>
  </si>
  <si>
    <t>GEA_KCB신용정보전문
GEA_KCB신용평점정보상세전문
GEA_KCB신용요약정보상세전문</t>
    <phoneticPr fontId="2" type="noConversion"/>
  </si>
  <si>
    <t>GEA_KCB신용정보전문
GEA_KCB신용평점정보상세전문
GEA_KCB신용요약정보상세전문</t>
    <phoneticPr fontId="2" type="noConversion"/>
  </si>
  <si>
    <t>GEA_KB지주그룹실적스코어내역</t>
  </si>
  <si>
    <t>삭제</t>
    <phoneticPr fontId="2" type="noConversion"/>
  </si>
  <si>
    <t>20190325이전기삭제됨</t>
    <phoneticPr fontId="2" type="noConversion"/>
  </si>
  <si>
    <t>비고2(개발팀)</t>
    <phoneticPr fontId="17" type="noConversion"/>
  </si>
  <si>
    <t>비회원 = '18'</t>
  </si>
  <si>
    <t>'17.12 삭제</t>
  </si>
  <si>
    <t>24세 이하 소득유의고객</t>
  </si>
  <si>
    <t>KB카드실시간KO IN ('013')</t>
  </si>
  <si>
    <t>KB카드실시간KO IN ('006'), 회원별거래정지중 탈회는 재확인 필요 별도코드 신설 검토</t>
  </si>
  <si>
    <t>KB카드실시간KO IN ('014')</t>
  </si>
  <si>
    <t>KB카드실시간KO IN ('118')</t>
  </si>
  <si>
    <t>KB카드실시간KO IN ('012')</t>
  </si>
  <si>
    <t>KB카드실시간KO IN ('001')</t>
  </si>
  <si>
    <t>KB카드실시간KO IN ('003')</t>
  </si>
  <si>
    <t>KB카드실시간KO IN ('005')</t>
  </si>
  <si>
    <t>KB카드실시간KO IN ('008')</t>
  </si>
  <si>
    <t>KB카드실시간KO IN ('009')</t>
  </si>
  <si>
    <t>KB카드실시간KO IN ('010')</t>
  </si>
  <si>
    <t>KB카드실시간KO IN ('015')</t>
  </si>
  <si>
    <t>KB카드실시간KO IN ('016')</t>
  </si>
  <si>
    <t>KHC 추가 필요 항목</t>
  </si>
  <si>
    <t>건보료 스크래핑 우대 한도 여부 (유지수 대리 쪽에서 만들어서 넣어줌)</t>
  </si>
  <si>
    <t>20190320 추가</t>
  </si>
  <si>
    <t>Character에서 Numeric으로 변경</t>
  </si>
  <si>
    <t>변경(대출광고제휴업체구분코드-&gt;카드론거래매체구분코드)</t>
    <phoneticPr fontId="2" type="noConversion"/>
  </si>
  <si>
    <t>A01' : 카뱅</t>
    <phoneticPr fontId="2" type="noConversion"/>
  </si>
  <si>
    <t>카드론거래매체구분코드</t>
    <phoneticPr fontId="2" type="noConversion"/>
  </si>
  <si>
    <t>심사사전정보내역조회C &gt; GEA심사사전정보내역</t>
    <phoneticPr fontId="2" type="noConversion"/>
  </si>
  <si>
    <t>우대한도소득기준충족여부</t>
  </si>
  <si>
    <t>i신용대출RCLIPS전문조립C</t>
    <phoneticPr fontId="2" type="noConversion"/>
  </si>
  <si>
    <t>주민등록번호</t>
    <phoneticPr fontId="2" type="noConversion"/>
  </si>
  <si>
    <t>고객고유번호구분코드</t>
  </si>
  <si>
    <t>IF (불가사유코드_V3 = 103) THEN 0 ELSE 1 END</t>
    <phoneticPr fontId="2" type="noConversion"/>
  </si>
  <si>
    <t>IF (불가사유코드_V3 = 006) THEN 0 ELSE 1 END</t>
    <phoneticPr fontId="2" type="noConversion"/>
  </si>
  <si>
    <t>IF (불가사유코드_V3 = 014) THEN 0 ELSE 1 END</t>
    <phoneticPr fontId="2" type="noConversion"/>
  </si>
  <si>
    <t>IF (불가사유코드_V3 = 118) THEN 0 ELSE 1 END</t>
    <phoneticPr fontId="2" type="noConversion"/>
  </si>
  <si>
    <t>IF (불가사유코드_V3 = 012) THEN 0 ELSE 1 END</t>
    <phoneticPr fontId="2" type="noConversion"/>
  </si>
  <si>
    <t>IF (불가사유코드_V3 = 001) THEN 0 ELSE 1 END</t>
    <phoneticPr fontId="2" type="noConversion"/>
  </si>
  <si>
    <t>IF (불가사유코드_V3 = 003) THEN 0 ELSE 1 END</t>
    <phoneticPr fontId="2" type="noConversion"/>
  </si>
  <si>
    <t>IF (불가사유코드_V3 = 005) THEN 0 ELSE 1 END</t>
    <phoneticPr fontId="2" type="noConversion"/>
  </si>
  <si>
    <t>IF (불가사유코드_V3 = 008) THEN 0 ELSE 1 END</t>
    <phoneticPr fontId="2" type="noConversion"/>
  </si>
  <si>
    <t>IF (불가사유코드_V3 = 009) THEN 0 ELSE 1 END</t>
    <phoneticPr fontId="2" type="noConversion"/>
  </si>
  <si>
    <t>IF (불가사유코드_V3 = 010) THEN 0 ELSE 1 END</t>
    <phoneticPr fontId="2" type="noConversion"/>
  </si>
  <si>
    <t>IF (불가사유코드_V3 = 015) THEN 0 ELSE 1 END</t>
    <phoneticPr fontId="2" type="noConversion"/>
  </si>
  <si>
    <t>IF (불가사유코드_V3 = 016) THEN 0 ELSE 1 END</t>
    <phoneticPr fontId="2" type="noConversion"/>
  </si>
  <si>
    <t>심사사전정보내역조회C &gt; 현재일자기준대출심사모형사전조회</t>
    <phoneticPr fontId="2" type="noConversion"/>
  </si>
  <si>
    <t>순수비회원신용대출잔액_N15</t>
  </si>
  <si>
    <t>미정</t>
    <phoneticPr fontId="2" type="noConversion"/>
  </si>
  <si>
    <t>당사CA잔액
[bdCA잔액]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t>
    <phoneticPr fontId="2" type="noConversion"/>
  </si>
  <si>
    <t>당사신용카드잔액
[bd당사신용카드잔액] = [r심사사전정보내역조회C].[현재일자기준대출심사모형사전조회출력Dto].[LS연체원금_N15]
                + [r심사사전정보내역조회C].[현재일자기준대출심사모형사전조회출력Dto].[LS청구원금_N15]
                + [r심사사전정보내역조회C].[현재일자기준대출심사모형사전조회출력Dto].[IS연체원금_N15]
                + [r심사사전정보내역조회C].[현재일자기준대출심사모형사전조회출력Dto].[IS미청구원금_N15]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
                + [r심사사전정보내역조회C].[현재일자기준대출심사모형사전조회출력Dto].[RLS연체원금_N15]
                + [r심사사전정보내역조회C].[현재일자기준대출심사모형사전조회출력Dto].[RLS이월금액_N15]
                + [r심사사전정보내역조회C].[현재일자기준대출심사모형사전조회출력Dto].[RLS미청구원금_N15];</t>
    <phoneticPr fontId="2" type="noConversion"/>
  </si>
  <si>
    <t>N/A</t>
    <phoneticPr fontId="2" type="noConversion"/>
  </si>
  <si>
    <t>심사사전정보내역조회C &gt; 현재일자기준대출심사모형사전조회</t>
    <phoneticPr fontId="2" type="noConversion"/>
  </si>
  <si>
    <t>RLS이월금액_N15</t>
  </si>
  <si>
    <t>RCA이월금액_N15</t>
  </si>
  <si>
    <t>심사사전정보내역조회C</t>
  </si>
  <si>
    <t>전환대출잔액_N15</t>
  </si>
  <si>
    <t>GEA카드론심사접수내역조회E</t>
  </si>
  <si>
    <t>변경구분</t>
    <phoneticPr fontId="2" type="noConversion"/>
  </si>
  <si>
    <t>KO건수</t>
  </si>
  <si>
    <t>신규추가 (코드5+사유코드값4)</t>
  </si>
  <si>
    <t>비고(OLD)</t>
    <phoneticPr fontId="16" type="noConversion"/>
  </si>
  <si>
    <t>비고(현업)</t>
    <phoneticPr fontId="16" type="noConversion"/>
  </si>
  <si>
    <t>0000이 아닐 경우 오류</t>
  </si>
  <si>
    <t>신규추가</t>
  </si>
  <si>
    <t>구분</t>
    <phoneticPr fontId="2" type="noConversion"/>
  </si>
  <si>
    <t>결과항목</t>
  </si>
  <si>
    <t>KO항목</t>
  </si>
  <si>
    <t>비고(NEW)</t>
    <phoneticPr fontId="16" type="noConversion"/>
  </si>
  <si>
    <t>20190326 확인필요. 해당문서에는 추가로 되어있으나, 현업에서 받은 R클립스 전문에는 항목없음 (차세대_Rclips_인터페이스_Online_C6_ASS_v0.4_20190129.xlsx)</t>
    <phoneticPr fontId="2" type="noConversion"/>
  </si>
  <si>
    <t>20190326 확인필요. 해당문서에는 삭제로 되어있으나, R클립스최신전문에 포함되어 있음 (차세대_Rclips_인터페이스_Online_C6_ASS_v0.4_20190129.xlsx)</t>
    <phoneticPr fontId="2" type="noConversion"/>
  </si>
  <si>
    <t>TOBE에 적용되지 않음 - TSTAFTH08-&gt;TBGEAA216, VSTAFB036-&gt;THKBBGY21-&gt;TBGDBC001 (가맹점 이미영b)</t>
  </si>
  <si>
    <t>TOBE에 적용되지 않음 - TSMEDSB11(tobe에 카드심사업무에서 만들것임), VSTAFB036-&gt;THKBBGY21-&gt;TBGDBC001 (가맹점 이미영b)</t>
    <phoneticPr fontId="2" type="noConversion"/>
  </si>
  <si>
    <t>삭제</t>
    <phoneticPr fontId="2" type="noConversion"/>
  </si>
  <si>
    <t>A7001</t>
  </si>
  <si>
    <t>PD0300_000</t>
  </si>
  <si>
    <t>ND0200_201</t>
  </si>
  <si>
    <t>U93070000</t>
  </si>
  <si>
    <t>최근1개월 리볼빙잔액 합계(15일기준)</t>
  </si>
  <si>
    <t>TIP스코어등급</t>
  </si>
  <si>
    <t>론니즈등급구분2</t>
  </si>
  <si>
    <t>NICE타사연체등재여부</t>
  </si>
  <si>
    <t>30일 내 금융업권 대출 조회기관수(상담조회포함) 7건 이상</t>
  </si>
  <si>
    <t>신정원원리금상환금액</t>
  </si>
  <si>
    <t>CP스코어등급</t>
  </si>
  <si>
    <t>RCORE등급</t>
  </si>
  <si>
    <t>0210/231</t>
  </si>
  <si>
    <t>13003</t>
  </si>
  <si>
    <t>0410/482</t>
  </si>
  <si>
    <t>GEA_NICE허위대출전문
GEA_NICE허위대출스코어상세전문
GEA_NICE허위대출규칙정보상세전문</t>
  </si>
  <si>
    <t>GEA_KCB허위대출전문
GEA_KCB허위대출결과상세전문</t>
  </si>
  <si>
    <t>GEA_KCB동시대출전문
GEA_KCB동시대출상세전문</t>
  </si>
  <si>
    <t>GEA_신정원DSR전문</t>
  </si>
  <si>
    <t>20190325이전기삭제됨</t>
    <phoneticPr fontId="2" type="noConversion"/>
  </si>
  <si>
    <t>20190325이전추가</t>
    <phoneticPr fontId="2" type="noConversion"/>
  </si>
  <si>
    <t>PKG_ID</t>
  </si>
  <si>
    <t>CNT</t>
  </si>
  <si>
    <t>Online_C9_ASS</t>
  </si>
  <si>
    <t>제공항목건수</t>
  </si>
  <si>
    <t>구분</t>
    <phoneticPr fontId="2" type="noConversion"/>
  </si>
  <si>
    <t>제공항목</t>
  </si>
  <si>
    <t>제공항목</t>
    <phoneticPr fontId="2" type="noConversion"/>
  </si>
  <si>
    <t>항목코드5+항목값15</t>
  </si>
  <si>
    <t>X</t>
    <phoneticPr fontId="2" type="noConversion"/>
  </si>
  <si>
    <t>R0071</t>
  </si>
  <si>
    <t>R0081</t>
  </si>
  <si>
    <t>RCLIPS</t>
  </si>
  <si>
    <t>결과코드</t>
    <phoneticPr fontId="16" type="noConversion"/>
  </si>
  <si>
    <t>결과건수</t>
    <phoneticPr fontId="16" type="noConversion"/>
  </si>
  <si>
    <t>KO항목 반복부</t>
  </si>
  <si>
    <t>KO항목 반복 건수</t>
  </si>
  <si>
    <t>"KO항목코드5+사유코드4" 형식 반복</t>
  </si>
  <si>
    <t>결과항목(코드5+값15) 건수</t>
  </si>
  <si>
    <t>R1060</t>
  </si>
  <si>
    <t>R0060</t>
  </si>
  <si>
    <t>R1061</t>
  </si>
  <si>
    <t>R0061</t>
  </si>
  <si>
    <t>R0062</t>
  </si>
  <si>
    <t>R0063</t>
  </si>
  <si>
    <t>R1064</t>
  </si>
  <si>
    <t>R0064</t>
  </si>
  <si>
    <t>R0065</t>
  </si>
  <si>
    <t>R1087</t>
  </si>
  <si>
    <t>R0087</t>
  </si>
  <si>
    <t>R1066</t>
  </si>
  <si>
    <t>R0066</t>
  </si>
  <si>
    <t>R1067</t>
  </si>
  <si>
    <t>R0067</t>
  </si>
  <si>
    <t>R1068</t>
  </si>
  <si>
    <t>R0068</t>
  </si>
  <si>
    <t>R1069</t>
  </si>
  <si>
    <t>R0069</t>
  </si>
  <si>
    <t>R1070</t>
  </si>
  <si>
    <t>R0070</t>
  </si>
  <si>
    <t>R1071</t>
  </si>
  <si>
    <t>R1072</t>
  </si>
  <si>
    <t>R0072</t>
  </si>
  <si>
    <t>R1073</t>
  </si>
  <si>
    <t>R0073</t>
  </si>
  <si>
    <t>R1074</t>
  </si>
  <si>
    <t>R0074</t>
  </si>
  <si>
    <t>R1075</t>
  </si>
  <si>
    <t>R0075</t>
  </si>
  <si>
    <t>R1076</t>
  </si>
  <si>
    <t>R0076</t>
  </si>
  <si>
    <t>R1077</t>
  </si>
  <si>
    <t>R0077</t>
  </si>
  <si>
    <t>R1078</t>
  </si>
  <si>
    <t>R0078</t>
  </si>
  <si>
    <t>R1079</t>
  </si>
  <si>
    <t>R0079</t>
  </si>
  <si>
    <t>R1080</t>
  </si>
  <si>
    <t>R0080</t>
  </si>
  <si>
    <t>R1081</t>
  </si>
  <si>
    <t>R1082</t>
  </si>
  <si>
    <t>R0082</t>
  </si>
  <si>
    <t>R1083</t>
  </si>
  <si>
    <t>R0083</t>
  </si>
  <si>
    <t>R1084</t>
  </si>
  <si>
    <t>R0085</t>
  </si>
  <si>
    <t>R1086</t>
  </si>
  <si>
    <t>R0086</t>
  </si>
  <si>
    <t>R0053</t>
  </si>
  <si>
    <t>금감원 DSR산출용</t>
  </si>
  <si>
    <t>변경구분</t>
    <phoneticPr fontId="17" type="noConversion"/>
  </si>
  <si>
    <t>R클립스_비고</t>
    <phoneticPr fontId="16" type="noConversion"/>
  </si>
  <si>
    <t>원천정보그룹</t>
    <phoneticPr fontId="16" type="noConversion"/>
  </si>
  <si>
    <t>MDD_호출CPBI/EBI</t>
    <phoneticPr fontId="16" type="noConversion"/>
  </si>
  <si>
    <t>MDD_항목명</t>
    <phoneticPr fontId="16" type="noConversion"/>
  </si>
  <si>
    <t>CB사 전문번호</t>
    <phoneticPr fontId="16" type="noConversion"/>
  </si>
  <si>
    <t>BITMAP</t>
    <phoneticPr fontId="16" type="noConversion"/>
  </si>
  <si>
    <t>A2141</t>
  </si>
  <si>
    <t>A2142</t>
  </si>
  <si>
    <t>A2143</t>
  </si>
  <si>
    <t>추가</t>
    <phoneticPr fontId="2" type="noConversion"/>
  </si>
  <si>
    <t>20190326 현업엑셀파일과 본파일의 항목이 맞지않아서 추가함</t>
    <phoneticPr fontId="2" type="noConversion"/>
  </si>
  <si>
    <t>Online_C8_ASS</t>
  </si>
  <si>
    <t>론니즈등급구분코드2</t>
  </si>
  <si>
    <t>금융업권대출조회기관7건이상_V1</t>
  </si>
  <si>
    <t>30일카드개설조회3건이상_V1</t>
  </si>
  <si>
    <t>6개월추심목적조회2건이상_V1</t>
  </si>
  <si>
    <t>상환능력유의여부_V1</t>
  </si>
  <si>
    <t>동시대출유의여부2_V1</t>
  </si>
  <si>
    <t>수정</t>
  </si>
  <si>
    <t>20190325 문서정리작업전 기술되어있음.</t>
    <phoneticPr fontId="2" type="noConversion"/>
  </si>
  <si>
    <t>Long</t>
    <phoneticPr fontId="2" type="noConversion"/>
  </si>
  <si>
    <t>통합모형평점_사전</t>
  </si>
  <si>
    <t>통합모형카드등급구분_사전</t>
  </si>
  <si>
    <t>제공항목</t>
    <phoneticPr fontId="2" type="noConversion"/>
  </si>
  <si>
    <t>20190325 문서정리작업전 기술되어있음.</t>
    <phoneticPr fontId="2" type="noConversion"/>
  </si>
  <si>
    <t>추가</t>
    <phoneticPr fontId="2" type="noConversion"/>
  </si>
  <si>
    <t>변경구분</t>
    <phoneticPr fontId="17" type="noConversion"/>
  </si>
  <si>
    <t>* ASIS : 변경전금리등급</t>
  </si>
  <si>
    <t>* ASIS : 최장대출기간월수_사전</t>
  </si>
  <si>
    <t>* ASIS : 최장대출기간월수_실시간</t>
  </si>
  <si>
    <t>* ASIS : 최장거치개월수_사전</t>
  </si>
  <si>
    <t>* ASIS : 최장거치개월수_실시간</t>
  </si>
  <si>
    <t>* ASIS : DTI율가이드금액_사전</t>
  </si>
  <si>
    <t>* ASIS : DTI율가이드금액_실시간</t>
  </si>
  <si>
    <t>20190326 현업엑셀파일에 있는 항목 추가 (차세대_Rclips_인터페이스_Online_C8_ASS_v0.1_20181130(이지론플러스).xlsx)</t>
    <phoneticPr fontId="2" type="noConversion"/>
  </si>
  <si>
    <t>결과건수</t>
    <phoneticPr fontId="2" type="noConversion"/>
  </si>
  <si>
    <t>R0055</t>
    <phoneticPr fontId="2" type="noConversion"/>
  </si>
  <si>
    <t>R0056</t>
    <phoneticPr fontId="2" type="noConversion"/>
  </si>
  <si>
    <t>삭제</t>
    <phoneticPr fontId="2" type="noConversion"/>
  </si>
  <si>
    <t>20190326 삭제 - 현업엑셀파일에 없음 (차세대_Rclips_인터페이스_Online_C8_ASS_v0.1_20181130(이지론플러스).xlsx)</t>
    <phoneticPr fontId="2" type="noConversion"/>
  </si>
  <si>
    <t>R0054</t>
  </si>
  <si>
    <t>그룹다중채무세그먼트등급_실시간</t>
  </si>
  <si>
    <t>저연령자최고대출가능금액_실시간</t>
  </si>
  <si>
    <t>추가</t>
    <phoneticPr fontId="2" type="noConversion"/>
  </si>
  <si>
    <t>20190326 자료정리전에 있던 항목임</t>
    <phoneticPr fontId="2" type="noConversion"/>
  </si>
  <si>
    <t>결과항목(코드5+값80) 반복 건수</t>
    <phoneticPr fontId="16" type="noConversion"/>
  </si>
  <si>
    <t>RCLIPS</t>
    <phoneticPr fontId="16" type="noConversion"/>
  </si>
  <si>
    <t>RCLIPS</t>
    <phoneticPr fontId="16" type="noConversion"/>
  </si>
  <si>
    <t>RCLIPS</t>
    <phoneticPr fontId="16" type="noConversion"/>
  </si>
  <si>
    <t>NICE CB등급</t>
    <phoneticPr fontId="16" type="noConversion"/>
  </si>
  <si>
    <t>A3051</t>
    <phoneticPr fontId="2" type="noConversion"/>
  </si>
  <si>
    <t>삭제 요청</t>
    <phoneticPr fontId="16" type="noConversion"/>
  </si>
  <si>
    <t>Sub-prime부실예측모형 등급</t>
    <phoneticPr fontId="16" type="noConversion"/>
  </si>
  <si>
    <t>A3052</t>
    <phoneticPr fontId="2" type="noConversion"/>
  </si>
  <si>
    <t>NICE DEP등급</t>
    <phoneticPr fontId="16" type="noConversion"/>
  </si>
  <si>
    <t>A3053</t>
    <phoneticPr fontId="2" type="noConversion"/>
  </si>
  <si>
    <t>삭제 요청</t>
    <phoneticPr fontId="16" type="noConversion"/>
  </si>
  <si>
    <t>PI등급 2.0버젼</t>
    <phoneticPr fontId="16" type="noConversion"/>
  </si>
  <si>
    <t>A3054</t>
    <phoneticPr fontId="2" type="noConversion"/>
  </si>
  <si>
    <t>PI플러스스코어</t>
    <phoneticPr fontId="16" type="noConversion"/>
  </si>
  <si>
    <t>A3055</t>
    <phoneticPr fontId="2" type="noConversion"/>
  </si>
  <si>
    <t>NICE추정연소득</t>
    <phoneticPr fontId="16" type="noConversion"/>
  </si>
  <si>
    <t>A3058</t>
    <phoneticPr fontId="2" type="noConversion"/>
  </si>
  <si>
    <t>K-Score Score등급(적용배제)</t>
    <phoneticPr fontId="16" type="noConversion"/>
  </si>
  <si>
    <t>A4002</t>
    <phoneticPr fontId="2" type="noConversion"/>
  </si>
  <si>
    <t>소득추정모형(결정연소득금액)</t>
    <phoneticPr fontId="16" type="noConversion"/>
  </si>
  <si>
    <t>A4009</t>
    <phoneticPr fontId="2" type="noConversion"/>
  </si>
  <si>
    <t>실시간 대출 기관수</t>
    <phoneticPr fontId="16" type="noConversion"/>
  </si>
  <si>
    <t>A3056</t>
    <phoneticPr fontId="2" type="noConversion"/>
  </si>
  <si>
    <t>평점표항목1 항목값</t>
    <phoneticPr fontId="16" type="noConversion"/>
  </si>
  <si>
    <t>S0001</t>
    <phoneticPr fontId="2" type="noConversion"/>
  </si>
  <si>
    <t>추가_20180917</t>
    <phoneticPr fontId="16" type="noConversion"/>
  </si>
  <si>
    <t>평점표항목2 항목값</t>
    <phoneticPr fontId="16" type="noConversion"/>
  </si>
  <si>
    <t>S0002</t>
    <phoneticPr fontId="2" type="noConversion"/>
  </si>
  <si>
    <t>평점표항목3 항목값</t>
    <phoneticPr fontId="16" type="noConversion"/>
  </si>
  <si>
    <t>S0003</t>
    <phoneticPr fontId="2" type="noConversion"/>
  </si>
  <si>
    <t>추가_20180917</t>
    <phoneticPr fontId="16" type="noConversion"/>
  </si>
  <si>
    <t>평점표항목4 항목값</t>
    <phoneticPr fontId="16" type="noConversion"/>
  </si>
  <si>
    <t>S0004</t>
    <phoneticPr fontId="2" type="noConversion"/>
  </si>
  <si>
    <t>평점표항목5 항목값</t>
    <phoneticPr fontId="16" type="noConversion"/>
  </si>
  <si>
    <t>S0005</t>
    <phoneticPr fontId="2" type="noConversion"/>
  </si>
  <si>
    <t>평점표항목6 항목값</t>
    <phoneticPr fontId="16" type="noConversion"/>
  </si>
  <si>
    <t>S0006</t>
    <phoneticPr fontId="2" type="noConversion"/>
  </si>
  <si>
    <t>평점표항목7 항목값</t>
    <phoneticPr fontId="16" type="noConversion"/>
  </si>
  <si>
    <t>S0007</t>
    <phoneticPr fontId="2" type="noConversion"/>
  </si>
  <si>
    <t>평점표항목8 항목값</t>
    <phoneticPr fontId="16" type="noConversion"/>
  </si>
  <si>
    <t>S0008</t>
    <phoneticPr fontId="2" type="noConversion"/>
  </si>
  <si>
    <t>평점표항목9 항목값</t>
    <phoneticPr fontId="16" type="noConversion"/>
  </si>
  <si>
    <t>S0009</t>
    <phoneticPr fontId="2" type="noConversion"/>
  </si>
  <si>
    <t>평점표항목10 항목값</t>
    <phoneticPr fontId="16" type="noConversion"/>
  </si>
  <si>
    <t>S0010</t>
    <phoneticPr fontId="2" type="noConversion"/>
  </si>
  <si>
    <t>평점표항목11 항목값</t>
    <phoneticPr fontId="16" type="noConversion"/>
  </si>
  <si>
    <t>S0011</t>
    <phoneticPr fontId="2" type="noConversion"/>
  </si>
  <si>
    <t>평점표항목1 배점</t>
    <phoneticPr fontId="16" type="noConversion"/>
  </si>
  <si>
    <t>W0001</t>
    <phoneticPr fontId="2" type="noConversion"/>
  </si>
  <si>
    <t>평점표항목2 배점</t>
    <phoneticPr fontId="16" type="noConversion"/>
  </si>
  <si>
    <t>W0002</t>
    <phoneticPr fontId="2" type="noConversion"/>
  </si>
  <si>
    <t>평점표항목3 배점</t>
    <phoneticPr fontId="16" type="noConversion"/>
  </si>
  <si>
    <t>W0003</t>
    <phoneticPr fontId="2" type="noConversion"/>
  </si>
  <si>
    <t>평점표항목4 배점</t>
    <phoneticPr fontId="16" type="noConversion"/>
  </si>
  <si>
    <t>W0004</t>
    <phoneticPr fontId="2" type="noConversion"/>
  </si>
  <si>
    <t>평점표항목5 배점</t>
    <phoneticPr fontId="16" type="noConversion"/>
  </si>
  <si>
    <t>W0005</t>
    <phoneticPr fontId="2" type="noConversion"/>
  </si>
  <si>
    <t>평점표항목6 배점</t>
    <phoneticPr fontId="16" type="noConversion"/>
  </si>
  <si>
    <t>W0006</t>
    <phoneticPr fontId="2" type="noConversion"/>
  </si>
  <si>
    <t>평점표항목7 배점</t>
    <phoneticPr fontId="16" type="noConversion"/>
  </si>
  <si>
    <t>W0007</t>
    <phoneticPr fontId="2" type="noConversion"/>
  </si>
  <si>
    <t>평점표항목8 배점</t>
    <phoneticPr fontId="16" type="noConversion"/>
  </si>
  <si>
    <t>W0008</t>
    <phoneticPr fontId="2" type="noConversion"/>
  </si>
  <si>
    <t>추가_20180917</t>
    <phoneticPr fontId="16" type="noConversion"/>
  </si>
  <si>
    <t>평점표항목9 배점</t>
    <phoneticPr fontId="16" type="noConversion"/>
  </si>
  <si>
    <t>W0009</t>
    <phoneticPr fontId="2" type="noConversion"/>
  </si>
  <si>
    <t>평점표항목10 배점</t>
    <phoneticPr fontId="16" type="noConversion"/>
  </si>
  <si>
    <t>W0010</t>
    <phoneticPr fontId="2" type="noConversion"/>
  </si>
  <si>
    <t>평점표항목11 배점</t>
    <phoneticPr fontId="16" type="noConversion"/>
  </si>
  <si>
    <t>W0011</t>
    <phoneticPr fontId="2" type="noConversion"/>
  </si>
  <si>
    <t>KO항목 반복 건수</t>
    <phoneticPr fontId="16" type="noConversion"/>
  </si>
  <si>
    <t>KO건수</t>
    <phoneticPr fontId="2" type="noConversion"/>
  </si>
  <si>
    <t>신규추가 (코드5+사유코드값4) // 추가_20180917</t>
    <phoneticPr fontId="16" type="noConversion"/>
  </si>
  <si>
    <t>"KO사유코드4" 형식 반복</t>
    <phoneticPr fontId="16" type="noConversion"/>
  </si>
  <si>
    <t>KO항목
반복부</t>
    <phoneticPr fontId="2" type="noConversion"/>
  </si>
  <si>
    <t>ex) KORLT사유코드 결과 (K331, K215, K532)인 경우 데이터 형식은 다음과 같음
KO건수 : 003
KO항목 반복부 : KORLTK331KORLTK215KORLTK532 // 추가_20180917
※ 테이블 적재는 반복 최대 5개까지 (사유 5개까지)</t>
    <phoneticPr fontId="16" type="noConversion"/>
  </si>
  <si>
    <t>CB사 항목코드</t>
    <phoneticPr fontId="16" type="noConversion"/>
  </si>
  <si>
    <t>CB사 항목코드</t>
    <phoneticPr fontId="16" type="noConversion"/>
  </si>
  <si>
    <t>GEA_NICE동시대출전문
GEA_NICE동시대출상세전문</t>
    <phoneticPr fontId="2" type="noConversion"/>
  </si>
  <si>
    <t>GEA_NICE허위대출전문
GEA_NICE허위대출스코어상세전문
GEA_NICE허위대출규칙정보상세전문</t>
    <phoneticPr fontId="2" type="noConversion"/>
  </si>
  <si>
    <t>GEA_NICE허위대출전문
GEA_NICE허위대출스코어상세전문
GEA_NICE허위대출규칙정보상세전문</t>
    <phoneticPr fontId="2" type="noConversion"/>
  </si>
  <si>
    <t>NICE허위대출조회C &gt; GEA_NICE허위대출규칙정보상세전문조회</t>
    <phoneticPr fontId="2" type="noConversion"/>
  </si>
  <si>
    <t>이동통신조회여부3_V1</t>
  </si>
  <si>
    <t>NICE</t>
    <phoneticPr fontId="2" type="noConversion"/>
  </si>
  <si>
    <t>KCB</t>
    <phoneticPr fontId="2" type="noConversion"/>
  </si>
  <si>
    <t>내부정보</t>
  </si>
  <si>
    <t>내부정보</t>
    <phoneticPr fontId="2" type="noConversion"/>
  </si>
  <si>
    <t>KCB</t>
    <phoneticPr fontId="2" type="noConversion"/>
  </si>
  <si>
    <t>KFOB</t>
    <phoneticPr fontId="2" type="noConversion"/>
  </si>
  <si>
    <t>EDW(신용회원사전대상자)</t>
  </si>
  <si>
    <t>EDW(신용회원사전대상자)</t>
    <phoneticPr fontId="2" type="noConversion"/>
  </si>
  <si>
    <t>심사사전정보내역조회C &gt; 현재일자기준대출심사모형사전조회</t>
  </si>
  <si>
    <t>KCB신용정보조회C &gt; GEA_KCB신용요약정보조회</t>
    <phoneticPr fontId="2" type="noConversion"/>
  </si>
  <si>
    <t>KCB신용정보조회C &gt; GEA_KCB신용평점정보조회</t>
    <phoneticPr fontId="2" type="noConversion"/>
  </si>
  <si>
    <t>R스코어등급코드_V9</t>
  </si>
  <si>
    <t>대상건수_N10</t>
  </si>
  <si>
    <t>KCB대출조회C &gt; GEA_KCB동시대출건수조회</t>
    <phoneticPr fontId="2" type="noConversion"/>
  </si>
  <si>
    <t>KCB허위대출조회 &gt; GEA_KCB허위대출결과상세전문조회</t>
    <phoneticPr fontId="2" type="noConversion"/>
  </si>
  <si>
    <t>한국신용정보대출현금서비스DSR정보조회C</t>
  </si>
  <si>
    <t>신DTI연간추정금액_N10</t>
    <phoneticPr fontId="2" type="noConversion"/>
  </si>
  <si>
    <t>GEA신용회원사전대상자내역조회E</t>
    <phoneticPr fontId="2" type="noConversion"/>
  </si>
  <si>
    <t>이지누리론대상편성사유</t>
  </si>
  <si>
    <t>카드론니즈등급구분코드</t>
  </si>
  <si>
    <t>최근3개월채권평잔</t>
  </si>
  <si>
    <t>신규카드발급2개월경과여부</t>
  </si>
  <si>
    <t>최근1년카드론평잔</t>
  </si>
  <si>
    <t>결합등급한도금액</t>
  </si>
  <si>
    <t>이지론일시상환한도금액</t>
  </si>
  <si>
    <t>이지누리론낙아웃구제대상여부</t>
  </si>
  <si>
    <t>이지누리론소액한도대상여부</t>
  </si>
  <si>
    <t>이지론거치기간수</t>
  </si>
  <si>
    <t>이지론분할상환대출기간수</t>
  </si>
  <si>
    <t>이지론플러스대출자격유효년월</t>
  </si>
  <si>
    <t>이지론플러스이전한도금액</t>
  </si>
  <si>
    <t>이지론증액한도금액</t>
  </si>
  <si>
    <t>카드론한도조정금액</t>
  </si>
  <si>
    <t>신용등급최대한도조정금액</t>
  </si>
  <si>
    <t>신용등급최대한도기초금액</t>
  </si>
  <si>
    <t>리스크세그먼트4그룹구분코드</t>
  </si>
  <si>
    <t>N3개월전K스코어신용등급코드</t>
  </si>
  <si>
    <t>최근1년카드론잔액보유여부</t>
  </si>
  <si>
    <t>이월리볼빙금액</t>
  </si>
  <si>
    <t>당사CA한도금액</t>
  </si>
  <si>
    <t>프리미엄론신용우수여부</t>
  </si>
  <si>
    <t>프리미엄론한도금액</t>
  </si>
  <si>
    <t>프리미엄론일시상환한도금액</t>
  </si>
  <si>
    <t>프리미엄론금리등급구분코드</t>
  </si>
  <si>
    <t>프리미엄론분할상환기간수</t>
  </si>
  <si>
    <t>프리미엄론파일롯대상여부</t>
  </si>
  <si>
    <t>마이비즈론우수가맹점여부</t>
  </si>
  <si>
    <t>마이비즈론우수사업자여부</t>
  </si>
  <si>
    <t>마이비즈론한도금액</t>
  </si>
  <si>
    <t>마이비즈론일시상환한도금액</t>
  </si>
  <si>
    <t>마이비즈론금리등급구분코드</t>
  </si>
  <si>
    <t>마이비즈론분할상환대출기간수</t>
  </si>
  <si>
    <t>생활든든론한도금액</t>
  </si>
  <si>
    <t>생활든든론거치기간수</t>
  </si>
  <si>
    <t>생활든든론대출기간수</t>
  </si>
  <si>
    <t>생활든든론금리등급구분코드</t>
  </si>
  <si>
    <t>생활든든론대출금리</t>
  </si>
  <si>
    <t>더나은론한도금액</t>
  </si>
  <si>
    <t>더나은론금리등급구분코드</t>
  </si>
  <si>
    <t>더나은론거치기간수</t>
  </si>
  <si>
    <t>더나은론대출기간수</t>
  </si>
  <si>
    <t>더나은론대출금리</t>
  </si>
  <si>
    <t>이지누리론한도금액</t>
  </si>
  <si>
    <t>이지누리론거치기간수</t>
  </si>
  <si>
    <t>이지누리론분할상환대출기간수</t>
  </si>
  <si>
    <t>이지누리론금리등급구분코드</t>
  </si>
  <si>
    <t>이지누리론대출자격등급구분코드</t>
  </si>
  <si>
    <t>이지누리론대출금리</t>
  </si>
  <si>
    <t>i카드론대출RCLIPS전문조립C</t>
  </si>
  <si>
    <t>카드론평가상품구분코드</t>
  </si>
  <si>
    <t>주민등록번호</t>
  </si>
  <si>
    <t>심사사전정보내역조회C &gt; GEA심사사전정보내역</t>
  </si>
  <si>
    <t>IF (불가사유코드_V3 = 103) THEN 0 ELSE 1 END</t>
  </si>
  <si>
    <t>IF (불가사유코드_V3 = 006) THEN 0 ELSE 1 END</t>
  </si>
  <si>
    <t>IF (불가사유코드_V3 = 014) THEN 0 ELSE 1 END</t>
  </si>
  <si>
    <t>IF (불가사유코드_V3 = 001) THEN 0 ELSE 1 END</t>
  </si>
  <si>
    <t>IF (불가사유코드_V3 = 003) THEN 0 ELSE 1 END</t>
  </si>
  <si>
    <t>IF (불가사유코드_V3 = 005) THEN 0 ELSE 1 END</t>
  </si>
  <si>
    <t>IF (불가사유코드_V3 = 008) THEN 0 ELSE 1 END</t>
  </si>
  <si>
    <t>IF (불가사유코드_V3 = 009) THEN 0 ELSE 1 END</t>
  </si>
  <si>
    <t>IF (불가사유코드_V3 = 010) THEN 0 ELSE 1 END</t>
  </si>
  <si>
    <t>IF (불가사유코드_V3 = 015) THEN 0 ELSE 1 END</t>
  </si>
  <si>
    <t>IF (불가사유코드_V3 = 016) THEN 0 ELSE 1 END</t>
  </si>
  <si>
    <t>당사신용카드잔액
[bd당사신용카드잔액] = [r심사사전정보내역조회C].[현재일자기준대출심사모형사전조회출력Dto].[LS연체원금_N15]
                + [r심사사전정보내역조회C].[현재일자기준대출심사모형사전조회출력Dto].[LS청구원금_N15]
                + [r심사사전정보내역조회C].[현재일자기준대출심사모형사전조회출력Dto].[IS연체원금_N15]
                + [r심사사전정보내역조회C].[현재일자기준대출심사모형사전조회출력Dto].[IS미청구원금_N15]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
                + [r심사사전정보내역조회C].[현재일자기준대출심사모형사전조회출력Dto].[RLS연체원금_N15]
                + [r심사사전정보내역조회C].[현재일자기준대출심사모형사전조회출력Dto].[RLS이월금액_N15]
                + [r심사사전정보내역조회C].[현재일자기준대출심사모형사전조회출력Dto].[RLS미청구원금_N15];</t>
  </si>
  <si>
    <t>미정</t>
  </si>
  <si>
    <t>NICE대출조회 &gt; GEA_NICE동시대출건수조회
KCB대출조회 &gt; GEA_KCB동시대출건수조회</t>
  </si>
  <si>
    <t>당사CA잔액
[bdCA잔액]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t>
    <phoneticPr fontId="2" type="noConversion"/>
  </si>
  <si>
    <t>A2144</t>
    <phoneticPr fontId="2" type="noConversion"/>
  </si>
  <si>
    <t>A2145</t>
    <phoneticPr fontId="2" type="noConversion"/>
  </si>
  <si>
    <t>A2146</t>
    <phoneticPr fontId="2" type="noConversion"/>
  </si>
  <si>
    <t>추가</t>
    <phoneticPr fontId="2" type="noConversion"/>
  </si>
  <si>
    <t>KCB소호머신러닝등급_사전</t>
  </si>
  <si>
    <t>KCB소호머신러닝스코어_사전</t>
  </si>
  <si>
    <t>KCB소호구분_사전</t>
  </si>
  <si>
    <t>?</t>
    <phoneticPr fontId="2" type="noConversion"/>
  </si>
  <si>
    <t>A4049</t>
  </si>
  <si>
    <t>A4050</t>
  </si>
  <si>
    <t>A4051</t>
  </si>
  <si>
    <t>KCB</t>
    <phoneticPr fontId="2" type="noConversion"/>
  </si>
  <si>
    <t>Long</t>
    <phoneticPr fontId="2" type="noConversion"/>
  </si>
  <si>
    <t>20190409 신규추가</t>
  </si>
  <si>
    <t>제공항목</t>
    <phoneticPr fontId="2" type="noConversion"/>
  </si>
  <si>
    <t>그룹통합모형등급_실시간</t>
    <phoneticPr fontId="2" type="noConversion"/>
  </si>
  <si>
    <t>20190326 삭제 - 현업엑셀파일에 없음 (차세대_Rclips_인터페이스_Online_C8_ASS_v0.1_20181130(이지론플러스).xlsx)</t>
    <phoneticPr fontId="2" type="noConversion"/>
  </si>
  <si>
    <t>RCLIPS</t>
    <phoneticPr fontId="16" type="noConversion"/>
  </si>
  <si>
    <t>그룹통합모형은행등급_사전</t>
    <phoneticPr fontId="2" type="noConversion"/>
  </si>
  <si>
    <t>R1028</t>
    <phoneticPr fontId="2" type="noConversion"/>
  </si>
  <si>
    <t>그룹통합모형은행등급_실시간</t>
    <phoneticPr fontId="2" type="noConversion"/>
  </si>
  <si>
    <t>String</t>
    <phoneticPr fontId="2" type="noConversion"/>
  </si>
  <si>
    <t>R0028</t>
    <phoneticPr fontId="2" type="noConversion"/>
  </si>
  <si>
    <t>부동산사유코드1_실시간</t>
    <phoneticPr fontId="2" type="noConversion"/>
  </si>
  <si>
    <t>부동산사유코드2_실시간</t>
    <phoneticPr fontId="2" type="noConversion"/>
  </si>
  <si>
    <t>String</t>
    <phoneticPr fontId="2" type="noConversion"/>
  </si>
  <si>
    <t>R0044</t>
    <phoneticPr fontId="2" type="noConversion"/>
  </si>
  <si>
    <t>20190326 삭제 - 현업엑셀파일에 없음 (차세대_Rclips_인터페이스_Online_C8_ASS_v0.1_20181130(이지론플러스).xlsx)</t>
    <phoneticPr fontId="2" type="noConversion"/>
  </si>
  <si>
    <t>RCLIPS</t>
    <phoneticPr fontId="16" type="noConversion"/>
  </si>
  <si>
    <t>부동산사유코드3_실시간</t>
    <phoneticPr fontId="2" type="noConversion"/>
  </si>
  <si>
    <t>R0045</t>
    <phoneticPr fontId="2" type="noConversion"/>
  </si>
  <si>
    <t>RCLIPS</t>
    <phoneticPr fontId="16" type="noConversion"/>
  </si>
  <si>
    <t>String</t>
    <phoneticPr fontId="2" type="noConversion"/>
  </si>
  <si>
    <t>R0046</t>
    <phoneticPr fontId="2" type="noConversion"/>
  </si>
  <si>
    <t>삭제</t>
    <phoneticPr fontId="2" type="noConversion"/>
  </si>
  <si>
    <t>부동산우대여부_실시간</t>
    <phoneticPr fontId="2" type="noConversion"/>
  </si>
  <si>
    <t>R0047</t>
    <phoneticPr fontId="2" type="noConversion"/>
  </si>
  <si>
    <t>삭제</t>
    <phoneticPr fontId="2" type="noConversion"/>
  </si>
  <si>
    <t>필수입력</t>
    <phoneticPr fontId="17" type="noConversion"/>
  </si>
  <si>
    <t>필수</t>
    <phoneticPr fontId="2" type="noConversion"/>
  </si>
  <si>
    <t>SS1000000</t>
  </si>
  <si>
    <t>SS1001000</t>
  </si>
  <si>
    <t>SS1200000</t>
  </si>
  <si>
    <t>KCB소호구분_V1</t>
    <phoneticPr fontId="2" type="noConversion"/>
  </si>
  <si>
    <t>KCB소호스코어_N4</t>
    <phoneticPr fontId="2" type="noConversion"/>
  </si>
  <si>
    <t>20190418 삭제 (이관용c 확인)
20190409 신규추가</t>
    <phoneticPr fontId="2" type="noConversion"/>
  </si>
  <si>
    <t>삭제</t>
    <phoneticPr fontId="2" type="noConversion"/>
  </si>
  <si>
    <t>삭제</t>
    <phoneticPr fontId="2" type="noConversion"/>
  </si>
  <si>
    <t>A4052</t>
    <phoneticPr fontId="2" type="noConversion"/>
  </si>
  <si>
    <t>A4053</t>
    <phoneticPr fontId="2" type="noConversion"/>
  </si>
  <si>
    <t>1개월전총대출잔액(CIS기업신용)월말기준</t>
  </si>
  <si>
    <t>소득추정모형(결정연소득금액)(소득추정모형 VER 3.0)</t>
  </si>
  <si>
    <t>KCB결정연간소득금액_N15</t>
    <phoneticPr fontId="2" type="noConversion"/>
  </si>
  <si>
    <t>LA0000146</t>
  </si>
  <si>
    <t>U43002020</t>
  </si>
  <si>
    <t>20190418 신규추가</t>
    <phoneticPr fontId="2" type="noConversion"/>
  </si>
  <si>
    <t>KCB</t>
    <phoneticPr fontId="2" type="noConversion"/>
  </si>
  <si>
    <t>추가</t>
    <phoneticPr fontId="2" type="noConversion"/>
  </si>
  <si>
    <t>20190409 신규추가</t>
    <phoneticPr fontId="2" type="noConversion"/>
  </si>
  <si>
    <t>KCB1개월전체대출잔액_N15</t>
  </si>
  <si>
    <t>20190419 추가</t>
    <phoneticPr fontId="2" type="noConversion"/>
  </si>
  <si>
    <t>KCB소호머신러닝등급</t>
  </si>
  <si>
    <t>KCB소호머신러닝평점</t>
  </si>
  <si>
    <t>KCB표준DSR</t>
  </si>
  <si>
    <t>자산평가지수등급</t>
  </si>
  <si>
    <t>KCB추정소득30</t>
  </si>
  <si>
    <t>기간파일롯테스트여부</t>
  </si>
  <si>
    <t>자산평가지수구분코드</t>
  </si>
  <si>
    <t>자산평가지수구분코드</t>
    <phoneticPr fontId="2" type="noConversion"/>
  </si>
  <si>
    <t>KCB추정소득금액</t>
  </si>
  <si>
    <t>KCB추정소득금액</t>
    <phoneticPr fontId="2" type="noConversion"/>
  </si>
  <si>
    <t>KCB표준원리금상환DSR비율</t>
  </si>
  <si>
    <t>KCB소호머신러닝등급구분코드</t>
  </si>
  <si>
    <t>KCB소호머신러닝등급구분코드</t>
    <phoneticPr fontId="2" type="noConversion"/>
  </si>
  <si>
    <t>KCB소호머신러닝평점</t>
    <phoneticPr fontId="2" type="noConversion"/>
  </si>
  <si>
    <t>파일롯대상여부</t>
    <phoneticPr fontId="2" type="noConversion"/>
  </si>
  <si>
    <t>A8147</t>
  </si>
  <si>
    <t>A8148</t>
  </si>
  <si>
    <t>A8149</t>
  </si>
  <si>
    <t>A8150</t>
  </si>
  <si>
    <t>A8151</t>
  </si>
  <si>
    <t>A8152</t>
  </si>
  <si>
    <t>20190419 추가</t>
    <phoneticPr fontId="2" type="noConversion"/>
  </si>
  <si>
    <t>KCB표준DSR비율</t>
    <phoneticPr fontId="2" type="noConversion"/>
  </si>
  <si>
    <t>필수 ("1","0")</t>
    <phoneticPr fontId="2" type="noConversion"/>
  </si>
  <si>
    <t>20190425 R클립스속성변경(String-&gt;Long)
20190409 신규추가</t>
    <phoneticPr fontId="2" type="noConversion"/>
  </si>
  <si>
    <t>필수(만원단위)</t>
    <phoneticPr fontId="2" type="noConversion"/>
  </si>
  <si>
    <t>필수(천원단위)</t>
    <phoneticPr fontId="2" type="noConversion"/>
  </si>
  <si>
    <t>20190426 입력(A2018)값과 동일함 (이시정k 확인)</t>
    <phoneticPr fontId="2" type="noConversion"/>
  </si>
  <si>
    <t>20190426 입력(A3060)값과 동일함 (이시정k 확인)</t>
    <phoneticPr fontId="16" type="noConversion"/>
  </si>
  <si>
    <t>20190426 입력(A8011)값과 동일함 (이시정k 확인)</t>
    <phoneticPr fontId="16" type="noConversion"/>
  </si>
  <si>
    <t>20190426 입력(A8026)값과 동일함 (이시정k 확인)</t>
    <phoneticPr fontId="16" type="noConversion"/>
  </si>
  <si>
    <t>20190507 입력(A8036)값과 동일함 (이관용C 확인)</t>
    <phoneticPr fontId="16" type="noConversion"/>
  </si>
  <si>
    <t>20190507 입력(A2039, A8086)값으로 산출함 (이관용C 확인)</t>
    <phoneticPr fontId="16" type="noConversion"/>
  </si>
  <si>
    <t>필수</t>
    <phoneticPr fontId="2" type="noConversion"/>
  </si>
  <si>
    <t>중고차대출잔액</t>
    <phoneticPr fontId="2" type="noConversion"/>
  </si>
  <si>
    <t>20190514 추가 (현업문서에는 미존재함)</t>
    <phoneticPr fontId="2" type="noConversion"/>
  </si>
  <si>
    <t>A2000</t>
    <phoneticPr fontId="2" type="noConversion"/>
  </si>
  <si>
    <t>중고차대출잔액</t>
    <phoneticPr fontId="2" type="noConversion"/>
  </si>
  <si>
    <t>중고차대출잔액</t>
    <phoneticPr fontId="2" type="noConversion"/>
  </si>
  <si>
    <t>20190514 세팅항목확정</t>
    <phoneticPr fontId="2" type="noConversion"/>
  </si>
  <si>
    <t>변경</t>
    <phoneticPr fontId="2" type="noConversion"/>
  </si>
  <si>
    <t>추가</t>
    <phoneticPr fontId="2" type="noConversion"/>
  </si>
  <si>
    <t>20190514추가</t>
    <phoneticPr fontId="2" type="noConversion"/>
  </si>
  <si>
    <t>THKAASCE1 (20190220)</t>
  </si>
  <si>
    <t>20190514 추가 (유지수D,이관용C 메신저협의완료 - 현업문서에는 미존재함)</t>
    <phoneticPr fontId="2" type="noConversion"/>
  </si>
  <si>
    <t>A1036</t>
    <phoneticPr fontId="2" type="noConversion"/>
  </si>
  <si>
    <t>신용BSS모형구분</t>
    <phoneticPr fontId="2" type="noConversion"/>
  </si>
  <si>
    <t>SOHO ML스코어 V1.0 평점</t>
  </si>
  <si>
    <t>SOHO ML스코어 V1.0 등급</t>
  </si>
  <si>
    <t>SOHO ML스코어 V1.0 KCB SOHO 여부</t>
  </si>
  <si>
    <t>KCB소호등급_V2</t>
    <phoneticPr fontId="2" type="noConversion"/>
  </si>
  <si>
    <t>KCB소호등급_V2</t>
    <phoneticPr fontId="2" type="noConversion"/>
  </si>
  <si>
    <t>A1037</t>
  </si>
  <si>
    <t>A1038</t>
  </si>
  <si>
    <t>A1039</t>
  </si>
  <si>
    <t>A1040</t>
  </si>
  <si>
    <t>A1041</t>
  </si>
  <si>
    <t>카드론금리등급구분코드</t>
  </si>
  <si>
    <t>카드론한도금액</t>
  </si>
  <si>
    <t>일시상환한도금액</t>
  </si>
  <si>
    <t>분할상환대출기간수</t>
  </si>
  <si>
    <t>거치기간수</t>
  </si>
  <si>
    <t>TBGEAA001(20190515) - 예외승인된 건에 대해 필요</t>
  </si>
  <si>
    <t>20190514 추가 (20190314 현업제공 누락분 추가)</t>
    <phoneticPr fontId="2" type="noConversion"/>
  </si>
  <si>
    <t>20190515 추가 (신규항목추가)</t>
    <phoneticPr fontId="2" type="noConversion"/>
  </si>
  <si>
    <t>대출광고제휴업체구분코드와 통합(주의! KHC04077040 출력항목 아님)</t>
  </si>
  <si>
    <t>카카오뱅크 실소득 충족여부(주의! KHC04077040 출력항목 아님)</t>
  </si>
  <si>
    <t>GEA카드론대상자기본조회</t>
  </si>
  <si>
    <t>심사사전정보내역조회C &gt; 현재일자기준대출심사모형사전조회 &gt; 고객신용평가정보기본조회C</t>
  </si>
  <si>
    <t>심사사전정보내역조회C &gt; 현재일자기준대출심사모형사전조회 &gt; 고객신용평가정보기본조회C</t>
    <phoneticPr fontId="2" type="noConversion"/>
  </si>
  <si>
    <t>심사사전정보내역조회C &gt; 현재일자기준대출심사모형사전조회</t>
    <phoneticPr fontId="2" type="noConversion"/>
  </si>
  <si>
    <t>N/A (요건미정의로 초기값설정)</t>
    <phoneticPr fontId="2" type="noConversion"/>
  </si>
  <si>
    <t>심사사전정보내역조회C &gt; 부채증명서발급정보조회</t>
    <phoneticPr fontId="2" type="noConversion"/>
  </si>
  <si>
    <t>심사사전정보내역조회C &gt; 실시간심사6개월가맹점매출금액조회E</t>
    <phoneticPr fontId="2" type="noConversion"/>
  </si>
  <si>
    <t>최근6개월가맹점매출금액</t>
    <phoneticPr fontId="2" type="noConversion"/>
  </si>
  <si>
    <t>심사사전정보내역조회C &gt; 가맹점주등급조회E</t>
    <phoneticPr fontId="2" type="noConversion"/>
  </si>
  <si>
    <t>20190701 데이터타입변경(long-&gt;string):이관용c요청
20190409 신규추가</t>
    <phoneticPr fontId="2" type="noConversion"/>
  </si>
  <si>
    <t>최종신용등급세그먼트구분_사전</t>
    <phoneticPr fontId="2" type="noConversion"/>
  </si>
  <si>
    <t>A2141</t>
    <phoneticPr fontId="2" type="noConversion"/>
  </si>
  <si>
    <t>20190711 자릿수변경(4-&gt;2)</t>
    <phoneticPr fontId="2" type="noConversion"/>
  </si>
  <si>
    <t>20190711 추가(이시정K, 문선희K)
20190326 현업엑셀파일과 본파일의 항목이 맞지않아서 추가함</t>
    <phoneticPr fontId="2" type="noConversion"/>
  </si>
  <si>
    <t>20190711 추가(이시정K, 문선희K)
20190326 현업엑셀파일과 본파일의 항목이 맞지않아서 추가함</t>
    <phoneticPr fontId="2" type="noConversion"/>
  </si>
  <si>
    <t>20190711 추가(이시정K, 문선희K)
20190418 삭제 (이관용c 확인)
20190409 신규추가</t>
    <phoneticPr fontId="2" type="noConversion"/>
  </si>
  <si>
    <t>20190711 추가(이시정K, 문선희K)
20190418 삭제 (이관용c 확인)
20190409 신규추가</t>
    <phoneticPr fontId="2" type="noConversion"/>
  </si>
  <si>
    <t>A2147</t>
    <phoneticPr fontId="2" type="noConversion"/>
  </si>
  <si>
    <t>A2148</t>
    <phoneticPr fontId="2" type="noConversion"/>
  </si>
  <si>
    <t>A2149</t>
    <phoneticPr fontId="2" type="noConversion"/>
  </si>
  <si>
    <t>A2150</t>
    <phoneticPr fontId="2" type="noConversion"/>
  </si>
  <si>
    <t>20190711 추가(이시정K, 문선희K)</t>
    <phoneticPr fontId="2" type="noConversion"/>
  </si>
  <si>
    <t>20190325 문서정리작업전 기술되어있음.</t>
    <phoneticPr fontId="2" type="noConversion"/>
  </si>
  <si>
    <t>통합모형평점</t>
  </si>
  <si>
    <t>통합모형카드등급구분</t>
  </si>
  <si>
    <t>KCB소호머신러닝스코어</t>
  </si>
  <si>
    <t>KCB소호구분</t>
  </si>
  <si>
    <t>환산DSR비율</t>
  </si>
  <si>
    <t>대부업잔액</t>
  </si>
  <si>
    <t>신용정보원원리금추정금액</t>
  </si>
  <si>
    <t>KCB현금서비스이용잔액합계액</t>
  </si>
  <si>
    <t>5,2</t>
    <phoneticPr fontId="2" type="noConversion"/>
  </si>
  <si>
    <t>5,2</t>
    <phoneticPr fontId="2" type="noConversion"/>
  </si>
  <si>
    <t>20190711 추가</t>
    <phoneticPr fontId="2" type="noConversion"/>
  </si>
  <si>
    <t>통합모형카드등급구분코드</t>
  </si>
  <si>
    <t>KCB소호구분코드</t>
  </si>
  <si>
    <t>대부업권대출잔액</t>
  </si>
  <si>
    <t>KCBCA잔액</t>
  </si>
  <si>
    <t>신용등급세그먼트구분코드</t>
  </si>
  <si>
    <t>환산DSR비율_사전</t>
    <phoneticPr fontId="2" type="noConversion"/>
  </si>
  <si>
    <t>대부업권대출잔액_사전</t>
    <phoneticPr fontId="2" type="noConversion"/>
  </si>
  <si>
    <t>연간원리금상환추정금액_사전</t>
    <phoneticPr fontId="2" type="noConversion"/>
  </si>
  <si>
    <t>KCBCA잔액_사전</t>
    <phoneticPr fontId="2" type="noConversion"/>
  </si>
  <si>
    <t>A7001</t>
    <phoneticPr fontId="2" type="noConversion"/>
  </si>
  <si>
    <t>A7002</t>
    <phoneticPr fontId="2" type="noConversion"/>
  </si>
  <si>
    <t>A7003</t>
    <phoneticPr fontId="2" type="noConversion"/>
  </si>
  <si>
    <t>006</t>
    <phoneticPr fontId="2" type="noConversion"/>
  </si>
  <si>
    <t>014</t>
    <phoneticPr fontId="2" type="noConversion"/>
  </si>
  <si>
    <t>001</t>
    <phoneticPr fontId="2" type="noConversion"/>
  </si>
  <si>
    <t>003</t>
    <phoneticPr fontId="2" type="noConversion"/>
  </si>
  <si>
    <t>005</t>
    <phoneticPr fontId="2" type="noConversion"/>
  </si>
  <si>
    <t>008</t>
    <phoneticPr fontId="2" type="noConversion"/>
  </si>
  <si>
    <t>009</t>
    <phoneticPr fontId="2" type="noConversion"/>
  </si>
  <si>
    <t>010</t>
    <phoneticPr fontId="2" type="noConversion"/>
  </si>
  <si>
    <t>015</t>
    <phoneticPr fontId="2" type="noConversion"/>
  </si>
  <si>
    <t>016</t>
    <phoneticPr fontId="2" type="noConversion"/>
  </si>
  <si>
    <t>GEA카드론계약기본대출잔액조회</t>
    <phoneticPr fontId="2" type="noConversion"/>
  </si>
  <si>
    <t>[rGEA카드론계약기본대출잔액조회E].[오토론대출잔액] + [r고객별상품별잔액조회C].[신차오토론잔액_N18]</t>
    <phoneticPr fontId="2" type="noConversion"/>
  </si>
  <si>
    <t>[r고객별상품별잔액조회C].[중고차오토론잔액_N18]</t>
  </si>
  <si>
    <t>--&gt;</t>
    <phoneticPr fontId="2" type="noConversion"/>
  </si>
  <si>
    <t>r고객식별자유효카드존재여부조회</t>
    <phoneticPr fontId="2" type="noConversion"/>
  </si>
  <si>
    <t>r가맹점매출실적산출</t>
    <phoneticPr fontId="2" type="noConversion"/>
  </si>
  <si>
    <t>r심사전략고도화결제금액조회C</t>
  </si>
  <si>
    <t>rCI연계정보고객번호상호조회C (GAA)</t>
    <phoneticPr fontId="2" type="noConversion"/>
  </si>
  <si>
    <t>r고객식별자유효카드존재여부조회 (GAG)</t>
    <phoneticPr fontId="2" type="noConversion"/>
  </si>
  <si>
    <t>r가맹점매출실적산출 (GDB)</t>
    <phoneticPr fontId="2" type="noConversion"/>
  </si>
  <si>
    <t>r심사전략고도화결제금액조회C (GBC)</t>
    <phoneticPr fontId="2" type="noConversion"/>
  </si>
  <si>
    <t>[r고객별상품별잔액조회C].[SY캐피탈오토할부잔액_N18];</t>
    <phoneticPr fontId="2" type="noConversion"/>
  </si>
  <si>
    <t>[rGEA카드론계약기본대출잔액조회E].[전환대출잔액_N15]</t>
  </si>
  <si>
    <t>[r부채증명서발급정보조회C] (GFA)</t>
    <phoneticPr fontId="2" type="noConversion"/>
  </si>
  <si>
    <t xml:space="preserve">0,1,2,3 </t>
    <phoneticPr fontId="2" type="noConversion"/>
  </si>
  <si>
    <t>카드론예외승인구분코드if ([i카드론대출RCLIPS전문조립C].[인터페이스제외여부_V1]  ==  "1") {
 [s카드론예외승인구분코드] =  "2";  //카드론예외승인구분코드: 2 실시간 심사 CB전문 제외
} else {
 [s카드론예외승인구분코드] =  [r심사사전정보내역조회C].[현재일자기준대출심사모형사전조회출력Dto].[카드론예외승인구분코드];
 if([s카드론예외승인구분코드] == "0" &amp;&amp; [s사전대상자존재여부] == "0"){
  [s카드론예외승인구분코드] =  "3";
 } 
}</t>
    <phoneticPr fontId="2" type="noConversion"/>
  </si>
  <si>
    <t>THKAASCE1 (20180502) [r고객신용평가정보기본조회C] (GHA)</t>
    <phoneticPr fontId="2" type="noConversion"/>
  </si>
  <si>
    <t>THKAASCE1 (20180912) - 추가  [r고객신용평가정보기본조회C] (GHA)</t>
    <phoneticPr fontId="2" type="noConversion"/>
  </si>
  <si>
    <t>THKAASCE1 (20190220)  [r고객신용평가정보기본조회C] (GHA)</t>
    <phoneticPr fontId="2" type="noConversion"/>
  </si>
  <si>
    <t>우대한도소득기준충족여부
// 실직소득산출 = ( (보험료납부금액 (2 + 3 + 4) / 3 / 3.12% ) * 12
if ( [sSKIP여부_V1] == "0") {
    [bd계산금액] = [i카카오뱅크연계소득금액계산C].[N2개월전건강보험료납부금액]
                 + [i카카오뱅크연계소득금액계산C].[N3개월전건강보험료납부금액]
                 + [i카카오뱅크연계소득금액계산C].[N4개월전건강보험료납부금액];
    if ([bd계산금액] &gt;= 20000000 ) {
        [r카카오뱅크연계소득금액계산C].[실질소득충족여부_V1] = "1"; 
if ([r카카오뱅크연계소득금액계산C].[실질소득충족여부_V1] == "1") {
 [t심사모형사전기본정보].[우대한도소득기준충족여부] =  "1";</t>
    <phoneticPr fontId="2" type="noConversion"/>
  </si>
  <si>
    <t>A7002</t>
  </si>
  <si>
    <t>표준DSR업권코드</t>
    <phoneticPr fontId="2" type="noConversion"/>
  </si>
  <si>
    <t>추가</t>
    <phoneticPr fontId="2" type="noConversion"/>
  </si>
  <si>
    <t>20191220 추가</t>
    <phoneticPr fontId="2" type="noConversion"/>
  </si>
  <si>
    <t>20190325이전추가</t>
    <phoneticPr fontId="2" type="noConversion"/>
  </si>
  <si>
    <t>KFOB</t>
    <phoneticPr fontId="2" type="noConversion"/>
  </si>
  <si>
    <t>추가</t>
    <phoneticPr fontId="2" type="noConversion"/>
  </si>
  <si>
    <t>표준DSR업권코드</t>
    <phoneticPr fontId="2" type="noConversion"/>
  </si>
  <si>
    <t>추가</t>
    <phoneticPr fontId="2" type="noConversion"/>
  </si>
  <si>
    <t>20191220 추가</t>
    <phoneticPr fontId="2" type="noConversion"/>
  </si>
  <si>
    <t>A2039</t>
    <phoneticPr fontId="2" type="noConversion"/>
  </si>
  <si>
    <t>DSR규제대상주담대구분</t>
    <phoneticPr fontId="2" type="noConversion"/>
  </si>
  <si>
    <t>KFOB</t>
    <phoneticPr fontId="2" type="noConversion"/>
  </si>
  <si>
    <t>R0057</t>
    <phoneticPr fontId="2" type="noConversion"/>
  </si>
  <si>
    <t>취급불가여부</t>
    <phoneticPr fontId="2" type="noConversion"/>
  </si>
  <si>
    <t>20191220 추가</t>
    <phoneticPr fontId="2" type="noConversion"/>
  </si>
  <si>
    <t>원리금상환금액_신정원</t>
    <phoneticPr fontId="2" type="noConversion"/>
  </si>
  <si>
    <t>20200109 추가</t>
    <phoneticPr fontId="2" type="noConversion"/>
  </si>
  <si>
    <t>신DTI연간추정금액</t>
    <phoneticPr fontId="2" type="noConversion"/>
  </si>
  <si>
    <t>NICE최종연소득금액_N15</t>
    <phoneticPr fontId="2" type="noConversion"/>
  </si>
  <si>
    <t>20191202_변경, 정보계에서 받은데이터 용도변경</t>
    <phoneticPr fontId="2" type="noConversion"/>
  </si>
  <si>
    <t>A2049</t>
    <phoneticPr fontId="2" type="noConversion"/>
  </si>
  <si>
    <t>이용가능한도미사용금액</t>
    <phoneticPr fontId="2" type="noConversion"/>
  </si>
  <si>
    <t>20200204 추가</t>
    <phoneticPr fontId="2" type="noConversion"/>
  </si>
  <si>
    <t>20190515 추가 (신규항목추가)</t>
    <phoneticPr fontId="2" type="noConversion"/>
  </si>
  <si>
    <t>A3065</t>
  </si>
  <si>
    <t>A3066</t>
  </si>
  <si>
    <t>A3067</t>
  </si>
  <si>
    <t>A3068</t>
  </si>
  <si>
    <t>A3069</t>
  </si>
  <si>
    <t>A3070</t>
  </si>
  <si>
    <t>A3071</t>
  </si>
  <si>
    <t>A3072</t>
  </si>
  <si>
    <t>A3073</t>
  </si>
  <si>
    <t>20200204추가</t>
    <phoneticPr fontId="2" type="noConversion"/>
  </si>
  <si>
    <t xml:space="preserve">IE0400007       </t>
  </si>
  <si>
    <t>IE0400001</t>
  </si>
  <si>
    <t xml:space="preserve">    </t>
  </si>
  <si>
    <t xml:space="preserve">IE0400002       </t>
  </si>
  <si>
    <t xml:space="preserve">IE0400003       </t>
  </si>
  <si>
    <t xml:space="preserve">IE0400004       </t>
  </si>
  <si>
    <t xml:space="preserve">IE0400005       </t>
  </si>
  <si>
    <t xml:space="preserve">IE0400006       </t>
  </si>
  <si>
    <t xml:space="preserve">IE0400008         </t>
  </si>
  <si>
    <t xml:space="preserve">IE0400009     </t>
  </si>
  <si>
    <t>IE0400021</t>
  </si>
  <si>
    <t xml:space="preserve"> </t>
  </si>
  <si>
    <t>등록연소득정보보유여부</t>
  </si>
  <si>
    <t>등록연소득금액</t>
  </si>
  <si>
    <t>등록연소득업계</t>
  </si>
  <si>
    <t>등록연소득입수일자</t>
  </si>
  <si>
    <t>추정연소득금액</t>
  </si>
  <si>
    <t>추정연소득모형구분</t>
  </si>
  <si>
    <t>최종소득등급</t>
  </si>
  <si>
    <t>소득등급적용배제사유</t>
  </si>
  <si>
    <t>최근1년내은행업계에서등록한최대실연소득금액</t>
  </si>
  <si>
    <t>A4054</t>
    <phoneticPr fontId="2" type="noConversion"/>
  </si>
  <si>
    <t>A4055</t>
    <phoneticPr fontId="2" type="noConversion"/>
  </si>
  <si>
    <t>A4056</t>
  </si>
  <si>
    <t>A4057</t>
  </si>
  <si>
    <t>은행업권주택담보대출건수</t>
    <phoneticPr fontId="2" type="noConversion"/>
  </si>
  <si>
    <t>은행업권주택담보대출건수</t>
    <phoneticPr fontId="2" type="noConversion"/>
  </si>
  <si>
    <t>KCB전월세지수</t>
    <phoneticPr fontId="2" type="noConversion"/>
  </si>
  <si>
    <t>KCB전월세지수</t>
    <phoneticPr fontId="2" type="noConversion"/>
  </si>
  <si>
    <t>KCB거주지평균월세가</t>
    <phoneticPr fontId="2" type="noConversion"/>
  </si>
  <si>
    <t>KCB거주지평균월세가</t>
    <phoneticPr fontId="2" type="noConversion"/>
  </si>
  <si>
    <t>결정연소득중최근1년은행등록연소득</t>
    <phoneticPr fontId="2" type="noConversion"/>
  </si>
  <si>
    <t>L2M000066</t>
    <phoneticPr fontId="2" type="noConversion"/>
  </si>
  <si>
    <t>UR1101100</t>
    <phoneticPr fontId="2" type="noConversion"/>
  </si>
  <si>
    <t>UR1102100</t>
    <phoneticPr fontId="2" type="noConversion"/>
  </si>
  <si>
    <t>U43002230</t>
    <phoneticPr fontId="2" type="noConversion"/>
  </si>
  <si>
    <t>추가</t>
    <phoneticPr fontId="2" type="noConversion"/>
  </si>
  <si>
    <t>20200204 신규추가</t>
    <phoneticPr fontId="2" type="noConversion"/>
  </si>
  <si>
    <t>A8153</t>
  </si>
  <si>
    <t>A8154</t>
  </si>
  <si>
    <t>A8155</t>
  </si>
  <si>
    <t>A8156</t>
  </si>
  <si>
    <t>A8157</t>
  </si>
  <si>
    <t>A8158</t>
  </si>
  <si>
    <t>A8159</t>
  </si>
  <si>
    <t xml:space="preserve">은행업권미상환주택담보대출건수     </t>
  </si>
  <si>
    <t xml:space="preserve">미상환주택담보대출건수             </t>
  </si>
  <si>
    <t xml:space="preserve">전략DTI률                          </t>
  </si>
  <si>
    <t xml:space="preserve">KCB결정연소득금액                  </t>
  </si>
  <si>
    <t xml:space="preserve">NICE최종연소득금액                 </t>
  </si>
  <si>
    <t xml:space="preserve">KCB전월세지수                      </t>
  </si>
  <si>
    <t xml:space="preserve">SOHO신용개설가능지수 </t>
  </si>
  <si>
    <t>은행업권미상환주택담보대출건수</t>
    <phoneticPr fontId="2" type="noConversion"/>
  </si>
  <si>
    <t>미상환주택담보대출건수</t>
    <phoneticPr fontId="2" type="noConversion"/>
  </si>
  <si>
    <t xml:space="preserve">전략DTI률                     </t>
    <phoneticPr fontId="2" type="noConversion"/>
  </si>
  <si>
    <t xml:space="preserve">KCB결정연소득금액             </t>
    <phoneticPr fontId="2" type="noConversion"/>
  </si>
  <si>
    <t xml:space="preserve">NICE최종연소득금액           </t>
    <phoneticPr fontId="2" type="noConversion"/>
  </si>
  <si>
    <t xml:space="preserve">KCB전월세지수                </t>
    <phoneticPr fontId="2" type="noConversion"/>
  </si>
  <si>
    <t>TBGEAA222</t>
  </si>
  <si>
    <t>A3074</t>
  </si>
  <si>
    <t>A3075</t>
  </si>
  <si>
    <t>RK0600_000</t>
    <phoneticPr fontId="2" type="noConversion"/>
  </si>
  <si>
    <t>ML0100_002</t>
    <phoneticPr fontId="2" type="noConversion"/>
  </si>
  <si>
    <t>20211005추가</t>
    <phoneticPr fontId="2" type="noConversion"/>
  </si>
  <si>
    <t>NICE스코어_V5</t>
    <phoneticPr fontId="2" type="noConversion"/>
  </si>
  <si>
    <t>NPML등급_V4</t>
    <phoneticPr fontId="2" type="noConversion"/>
  </si>
  <si>
    <t>NPML등급</t>
    <phoneticPr fontId="2" type="noConversion"/>
  </si>
  <si>
    <t>A7003</t>
  </si>
  <si>
    <t>A7004</t>
  </si>
  <si>
    <t>A7005</t>
  </si>
  <si>
    <t>A7007</t>
  </si>
  <si>
    <t>A7009</t>
  </si>
  <si>
    <t>A7011</t>
  </si>
  <si>
    <t>A7014</t>
  </si>
  <si>
    <t>A7015</t>
  </si>
  <si>
    <t>한신정신용대출잔액_N15</t>
    <phoneticPr fontId="2" type="noConversion"/>
  </si>
  <si>
    <t>한신정카드론대출잔액_N15</t>
    <phoneticPr fontId="2" type="noConversion"/>
  </si>
  <si>
    <t>대출총잔액_N15</t>
    <phoneticPr fontId="2" type="noConversion"/>
  </si>
  <si>
    <t>A7016</t>
  </si>
  <si>
    <t>A7017</t>
  </si>
  <si>
    <t>A7018</t>
  </si>
  <si>
    <t>A7019</t>
  </si>
  <si>
    <t>CA금액_N15</t>
    <phoneticPr fontId="2" type="noConversion"/>
  </si>
  <si>
    <t>CA이용기관수_N5</t>
    <phoneticPr fontId="2" type="noConversion"/>
  </si>
  <si>
    <t>카드론이용기관수_N5</t>
    <phoneticPr fontId="2" type="noConversion"/>
  </si>
  <si>
    <t>DSR규제대상총대출잔액_N15</t>
    <phoneticPr fontId="2" type="noConversion"/>
  </si>
  <si>
    <t>다중채무대상대출기관수_N5</t>
    <phoneticPr fontId="2" type="noConversion"/>
  </si>
  <si>
    <t>A7013</t>
    <phoneticPr fontId="2" type="noConversion"/>
  </si>
  <si>
    <t>KCIS은행업권대출보유여부_V1</t>
    <phoneticPr fontId="2" type="noConversion"/>
  </si>
  <si>
    <t>캐피탈업권신용대출잔액_N15</t>
    <phoneticPr fontId="2" type="noConversion"/>
  </si>
  <si>
    <t>저축은행업권신용대출잔액_N15</t>
    <phoneticPr fontId="2" type="noConversion"/>
  </si>
  <si>
    <t>r심사사전정보내역조회C</t>
    <phoneticPr fontId="2" type="noConversion"/>
  </si>
  <si>
    <t>TBGHAIR04</t>
    <phoneticPr fontId="2" type="noConversion"/>
  </si>
  <si>
    <t>은행업권대출보유여부_신정원</t>
  </si>
  <si>
    <t>캐피탈업권신용대출잔액_신정원</t>
  </si>
  <si>
    <t>저축은행업권신용대출잔액_신정원</t>
  </si>
  <si>
    <t>신용대출잔액_신정원_당일포함</t>
  </si>
  <si>
    <t>카드론대출잔액_신정원_당일포함</t>
  </si>
  <si>
    <t>대출총잔액_신정원</t>
  </si>
  <si>
    <t>신용대출잔액_신정원</t>
  </si>
  <si>
    <t>카드론잔액_신정원</t>
  </si>
  <si>
    <t>CA잔액_신정원</t>
  </si>
  <si>
    <t>CA이용기관수_신정원</t>
  </si>
  <si>
    <t>카드론이용기관수_신정원</t>
  </si>
  <si>
    <t>대출총잔액_DSR규제대상_신정원</t>
  </si>
  <si>
    <t>다중채무대상대출기관수_신정원</t>
  </si>
  <si>
    <t>카드최장연체일수1년</t>
  </si>
  <si>
    <t>카드론연체해제후경과월수3년</t>
  </si>
  <si>
    <t>카드론합계연체일수1월</t>
  </si>
  <si>
    <t>신용카드최근1개월한도소진율</t>
  </si>
  <si>
    <t>은행급여이체금액3개월합계</t>
  </si>
  <si>
    <t>은행저축성평잔1개월신탁등포함</t>
  </si>
  <si>
    <t>비은행총수신평잔1개월신탁등포함</t>
  </si>
  <si>
    <t>최근6개월평균할부금액</t>
  </si>
  <si>
    <t>업종3최근6개월카드총이용건수비율체크포함CA제외</t>
  </si>
  <si>
    <t>최근1개월현금서비스이용금액</t>
  </si>
  <si>
    <t>최근3개월평균할부금액</t>
  </si>
  <si>
    <t>최근1개월현금서비스이용건수</t>
  </si>
  <si>
    <t>B2001</t>
  </si>
  <si>
    <t>B2002</t>
  </si>
  <si>
    <t>B2003</t>
  </si>
  <si>
    <t>B2004</t>
  </si>
  <si>
    <t>B2005</t>
  </si>
  <si>
    <t>B2006</t>
  </si>
  <si>
    <t>B2007</t>
  </si>
  <si>
    <t>B2008</t>
  </si>
  <si>
    <t>B2009</t>
  </si>
  <si>
    <t>B2010</t>
  </si>
  <si>
    <t>B2011</t>
  </si>
  <si>
    <t>B2012</t>
  </si>
  <si>
    <t>B3001</t>
  </si>
  <si>
    <t>B3002</t>
  </si>
  <si>
    <t>B3003</t>
  </si>
  <si>
    <t>B3004</t>
  </si>
  <si>
    <t>B3005</t>
  </si>
  <si>
    <t>B3006</t>
  </si>
  <si>
    <t>B3007</t>
  </si>
  <si>
    <t>B3008</t>
  </si>
  <si>
    <t>B3009</t>
  </si>
  <si>
    <t>B3010</t>
  </si>
  <si>
    <t>B3011</t>
  </si>
  <si>
    <t>B4001</t>
  </si>
  <si>
    <t>B4002</t>
  </si>
  <si>
    <t>B4003</t>
  </si>
  <si>
    <t>B4004</t>
  </si>
  <si>
    <t>B4005</t>
  </si>
  <si>
    <t>B4006</t>
  </si>
  <si>
    <t>B4008</t>
  </si>
  <si>
    <t>B4009</t>
  </si>
  <si>
    <t>B4010</t>
  </si>
  <si>
    <t>B4011</t>
  </si>
  <si>
    <t>B4012</t>
  </si>
  <si>
    <t>B4013</t>
  </si>
  <si>
    <t>B4014</t>
  </si>
  <si>
    <t>B4015</t>
  </si>
  <si>
    <t>B4016</t>
  </si>
  <si>
    <t>B4017</t>
  </si>
  <si>
    <t>B4018</t>
  </si>
  <si>
    <t>B4019</t>
  </si>
  <si>
    <t>B4020</t>
  </si>
  <si>
    <t>B4021</t>
  </si>
  <si>
    <t>B4022</t>
  </si>
  <si>
    <t>B4023</t>
  </si>
  <si>
    <t>B4024</t>
  </si>
  <si>
    <t>B4025</t>
  </si>
  <si>
    <t>B4026</t>
  </si>
  <si>
    <t>B4027</t>
  </si>
  <si>
    <t>B4028</t>
  </si>
  <si>
    <t>B4030</t>
  </si>
  <si>
    <t>B4031</t>
  </si>
  <si>
    <t>B4032</t>
  </si>
  <si>
    <t>B4033</t>
  </si>
  <si>
    <t>미해지최초카드개설경과일수</t>
  </si>
  <si>
    <t>최근6월현금서비스이용률</t>
  </si>
  <si>
    <t>최근6월신용카드이용금액증감율</t>
  </si>
  <si>
    <t>현거주지국토부실거래최근매매가</t>
  </si>
  <si>
    <t>소유건축물면적합계</t>
  </si>
  <si>
    <t>최근1년내처분건축물수</t>
  </si>
  <si>
    <t>연체해제후경과일수</t>
  </si>
  <si>
    <t>최장연체경험기간</t>
  </si>
  <si>
    <t>최근1년연체금액</t>
  </si>
  <si>
    <t>건축물실거래합계금액</t>
  </si>
  <si>
    <t>소유주택수</t>
  </si>
  <si>
    <t>N3년자택주소이력건수</t>
  </si>
  <si>
    <t>최근자택전화번호변경경과일수</t>
  </si>
  <si>
    <t>현거주지평형</t>
  </si>
  <si>
    <t>N1월현거주지동연령신판이용금액</t>
  </si>
  <si>
    <t>CA이용합계잔액</t>
  </si>
  <si>
    <t>카드이용합계잔액</t>
  </si>
  <si>
    <t>최근1년대지급포함최장연체일수</t>
  </si>
  <si>
    <t>미해지보증총금액</t>
  </si>
  <si>
    <t>미해지할부금융신용대출총금액</t>
  </si>
  <si>
    <t>최초대출신용카드개설경과일수</t>
  </si>
  <si>
    <t>N1년해지포함대출금액증가율</t>
  </si>
  <si>
    <t>N1년해지포함담보제외대출증가율</t>
  </si>
  <si>
    <t>최근1월비은행기업신용과목수</t>
  </si>
  <si>
    <t>최근1월비은행기업신용평잔합계</t>
  </si>
  <si>
    <t>최근3월비은행기업신용평잔합계</t>
  </si>
  <si>
    <t>보유주택매매총합계금액</t>
  </si>
  <si>
    <t>주부특화자산평가지수구분코드</t>
  </si>
  <si>
    <t>사업자최초등록일경과일수</t>
  </si>
  <si>
    <t>대부업권대출금액</t>
  </si>
  <si>
    <t>미해지LV15제외대출기관수</t>
  </si>
  <si>
    <t>미해지LV123456제외대출기관수</t>
  </si>
  <si>
    <t>미해지LV123제외대출금액</t>
  </si>
  <si>
    <t>미해지LV1234제외대출금액</t>
  </si>
  <si>
    <t>미해지LV123456제외대출금액</t>
  </si>
  <si>
    <t>은행업권제외신용대출기관수</t>
  </si>
  <si>
    <t>미해지신용대출총대출금액</t>
  </si>
  <si>
    <t>연체대지급포함해제일수</t>
  </si>
  <si>
    <t>최근1년총최고경험연체금액</t>
  </si>
  <si>
    <t>N1년월평균CA총이용금액</t>
  </si>
  <si>
    <t>소유부동산주택건수</t>
  </si>
  <si>
    <t>A8160</t>
  </si>
  <si>
    <t>가맹점실적스코어</t>
  </si>
  <si>
    <t>A8161</t>
  </si>
  <si>
    <t>그룹실적스코어</t>
  </si>
  <si>
    <t>A8162</t>
  </si>
  <si>
    <t>사업자특화대상구분</t>
  </si>
  <si>
    <t>A8163</t>
  </si>
  <si>
    <t>은행권신용대출잔액_LN19</t>
  </si>
  <si>
    <t>A8164</t>
  </si>
  <si>
    <t>우대직업군구분_LN19</t>
  </si>
  <si>
    <t>A8165</t>
  </si>
  <si>
    <t>신차오토론잔액_LN19</t>
  </si>
  <si>
    <t>A8166</t>
  </si>
  <si>
    <t>N3개월KB은행급여이체합계금액_LN19</t>
  </si>
  <si>
    <t>A8167</t>
  </si>
  <si>
    <t>환산DSR비율_LN19</t>
  </si>
  <si>
    <t>A8168</t>
  </si>
  <si>
    <t>전월이지론한도_LN19</t>
  </si>
  <si>
    <t>A8169</t>
  </si>
  <si>
    <t>다중채무세그먼트등급구분_LN19</t>
  </si>
  <si>
    <t>A8170</t>
  </si>
  <si>
    <t>다중채무위험등급_LN19</t>
  </si>
  <si>
    <t>A8171</t>
  </si>
  <si>
    <t>총한도소진율_LN19</t>
  </si>
  <si>
    <t>A8172</t>
  </si>
  <si>
    <t>관리대상총대출기관수_LN19</t>
  </si>
  <si>
    <t>A8173</t>
  </si>
  <si>
    <t>KCBDSR연간상환원리금4_LN19</t>
  </si>
  <si>
    <t>A8174</t>
  </si>
  <si>
    <t>최근1년A그룹카드론거래여부_LN19</t>
  </si>
  <si>
    <t>A8175</t>
  </si>
  <si>
    <t>최근1년B그룹카드론거래여부_LN19</t>
  </si>
  <si>
    <t>A8176</t>
  </si>
  <si>
    <t>비대면연계대출등급</t>
  </si>
  <si>
    <t>A8177</t>
  </si>
  <si>
    <t>비대면신용개설가능등급</t>
  </si>
  <si>
    <t>A8178</t>
  </si>
  <si>
    <t>비은행업권스코어패턴분류코드</t>
  </si>
  <si>
    <t>A8179</t>
  </si>
  <si>
    <t>전체업권대상스코어신용패턴지수</t>
  </si>
  <si>
    <t>A8180</t>
  </si>
  <si>
    <t>신용거래신용패턴지수</t>
  </si>
  <si>
    <t>A8181</t>
  </si>
  <si>
    <t>A8182</t>
  </si>
  <si>
    <t>비대면신용개설가능예측지표코드_LN19</t>
  </si>
  <si>
    <t>A8183</t>
  </si>
  <si>
    <t>CA이용잔액보유카드기관수_LN19</t>
  </si>
  <si>
    <t>A8184</t>
  </si>
  <si>
    <t>카드론대출기관수_LN19</t>
  </si>
  <si>
    <t>A8185</t>
  </si>
  <si>
    <t>중위등급세그먼트등급구분코드_LN19</t>
  </si>
  <si>
    <t>A8186</t>
  </si>
  <si>
    <t>그룹다중채무세그먼트등급구분코드_LN19</t>
  </si>
  <si>
    <t>A8187</t>
  </si>
  <si>
    <t>미래상환능력지수내용_LN19</t>
  </si>
  <si>
    <t>A8188</t>
  </si>
  <si>
    <t>다중채무탈락여부_모범규준_LN19</t>
  </si>
  <si>
    <t>A4059</t>
  </si>
  <si>
    <t>KCB표준DSR비율</t>
  </si>
  <si>
    <t>A4060</t>
  </si>
  <si>
    <t>비대면연계대출등급_실시간</t>
  </si>
  <si>
    <t>A4061</t>
  </si>
  <si>
    <t>비대면신용개설가능등급_실시간</t>
  </si>
  <si>
    <t>A4062</t>
  </si>
  <si>
    <t>신용패턴지수_비은행업권_실시간</t>
  </si>
  <si>
    <t>A4063</t>
  </si>
  <si>
    <t>신용패턴지수_전체업권_실시간</t>
  </si>
  <si>
    <t>A4064</t>
  </si>
  <si>
    <t>신용거래신용패턴지수_실시간</t>
  </si>
  <si>
    <t>A4065</t>
  </si>
  <si>
    <t>은행업권대출건수_K</t>
  </si>
  <si>
    <t>A4066</t>
  </si>
  <si>
    <t>다중채무대상대출기관수_K</t>
  </si>
  <si>
    <t>국세청소득구분코드</t>
  </si>
  <si>
    <t>건강보험가입자구분코드</t>
  </si>
  <si>
    <t>건강보험3개월납부여부</t>
  </si>
  <si>
    <t>채널구분코드</t>
  </si>
  <si>
    <t>스크래핑소득_제휴채널</t>
  </si>
  <si>
    <t>스크래핑소득_건보_N6M이력</t>
  </si>
  <si>
    <t>건강보험가입자구분코드_N6M이력</t>
  </si>
  <si>
    <t>기업대출한도평가정보조회</t>
  </si>
  <si>
    <t>기업대출잔액</t>
  </si>
  <si>
    <t>R0088</t>
  </si>
  <si>
    <t>R0089</t>
  </si>
  <si>
    <t>스크래핑_건보</t>
  </si>
  <si>
    <t>R0090</t>
  </si>
  <si>
    <t>스크래핑_국세청</t>
  </si>
  <si>
    <t>R0091</t>
  </si>
  <si>
    <t>KCB은행등록추정소득_실시간</t>
  </si>
  <si>
    <t>R0092</t>
  </si>
  <si>
    <t>NICE은행등록추정소득_실시간</t>
  </si>
  <si>
    <t>R0093</t>
  </si>
  <si>
    <t>NICE주담제외원리금_실시간</t>
  </si>
  <si>
    <t>R0094</t>
  </si>
  <si>
    <t>KCB신용평점_실시간</t>
  </si>
  <si>
    <t>R0095</t>
  </si>
  <si>
    <t>NICE신용평점_실시간</t>
  </si>
  <si>
    <t>R1094</t>
  </si>
  <si>
    <t>KCB신용평점_사전</t>
  </si>
  <si>
    <t>R1095</t>
  </si>
  <si>
    <t>NICE신용평점_사전</t>
  </si>
  <si>
    <t>R0096</t>
  </si>
  <si>
    <t>기존오토론잔액</t>
  </si>
  <si>
    <t>R0097</t>
  </si>
  <si>
    <t>기존중고차잔액</t>
  </si>
  <si>
    <t>R0098</t>
  </si>
  <si>
    <t>기존대환론잔액</t>
  </si>
  <si>
    <t>R0099</t>
  </si>
  <si>
    <t>기존쉬프트론잔액</t>
  </si>
  <si>
    <t>R0100</t>
  </si>
  <si>
    <t>기존SY채권잔액</t>
  </si>
  <si>
    <t>R0106</t>
  </si>
  <si>
    <t>증감액구분</t>
  </si>
  <si>
    <t>R0107</t>
  </si>
  <si>
    <t>신상품대상구분코드</t>
  </si>
  <si>
    <t>R0108</t>
  </si>
  <si>
    <t>고소득자여부</t>
  </si>
  <si>
    <t>R0109</t>
  </si>
  <si>
    <t>DSR임시소득</t>
  </si>
  <si>
    <t>R0110</t>
  </si>
  <si>
    <t>DSR용_대출잔액</t>
  </si>
  <si>
    <t>R0111</t>
  </si>
  <si>
    <t>금소법용_대출잔액</t>
  </si>
  <si>
    <t>R0112</t>
  </si>
  <si>
    <t>DSR관리대상자여부</t>
  </si>
  <si>
    <t>R0113</t>
  </si>
  <si>
    <t>CSM연소득금액_실시간</t>
  </si>
  <si>
    <t>R0114</t>
  </si>
  <si>
    <t>최대추정소득_실시간</t>
  </si>
  <si>
    <t>R0115</t>
  </si>
  <si>
    <t>한도제한용소득_실시간</t>
  </si>
  <si>
    <t>R0116</t>
  </si>
  <si>
    <t>DSR관리대상내최대한도</t>
  </si>
  <si>
    <t>R0117</t>
  </si>
  <si>
    <t>DSR제한한도_일반</t>
  </si>
  <si>
    <t>R0118</t>
  </si>
  <si>
    <t>DSR제한한도_관리대상</t>
  </si>
  <si>
    <t>R0101</t>
  </si>
  <si>
    <t>환산DSR비율_실시간</t>
  </si>
  <si>
    <t>R1101</t>
  </si>
  <si>
    <t>환산DSR비율_사전</t>
  </si>
  <si>
    <t>R0102</t>
  </si>
  <si>
    <t>R1102</t>
  </si>
  <si>
    <t>은행권신용대출잔액_사전</t>
  </si>
  <si>
    <t>R0103</t>
  </si>
  <si>
    <t>한도소진율_실시간</t>
  </si>
  <si>
    <t>R1103</t>
  </si>
  <si>
    <t>총한도소진율_사전</t>
  </si>
  <si>
    <t>R0104</t>
  </si>
  <si>
    <t>우대직업군구분_실시간</t>
  </si>
  <si>
    <t>R1104</t>
  </si>
  <si>
    <t>우대직업군구분_사전</t>
  </si>
  <si>
    <t>R0105</t>
  </si>
  <si>
    <t>R1105</t>
  </si>
  <si>
    <t>N3개월KB은행급여이체합계금액_사전</t>
  </si>
  <si>
    <t>R0119</t>
  </si>
  <si>
    <t>다중채무탈락여부_모범규준_실시간</t>
  </si>
  <si>
    <t>R1119</t>
  </si>
  <si>
    <t>다중채무탈락여부_모범규준_사전</t>
  </si>
  <si>
    <t>R0120</t>
  </si>
  <si>
    <t>DSR반영전실시간기초한도</t>
  </si>
  <si>
    <t>R0121</t>
  </si>
  <si>
    <t>본건제외DSR관리대상구분_마케팅용</t>
  </si>
  <si>
    <t>신청 일자</t>
  </si>
  <si>
    <t>신청서접수번호</t>
  </si>
  <si>
    <t>개업일</t>
  </si>
  <si>
    <t>사업자번호</t>
  </si>
  <si>
    <t>입력업종코드</t>
  </si>
  <si>
    <t>기업카드연체여부</t>
  </si>
  <si>
    <t>기업카드특수채권보유여부</t>
  </si>
  <si>
    <t>대표자개인카드연체여부</t>
  </si>
  <si>
    <t>대표자특수채권보유여부</t>
  </si>
  <si>
    <t>GHA소매비소매구분</t>
  </si>
  <si>
    <t>기업카드거래정지여부</t>
  </si>
  <si>
    <t>대표자개인카드거래정지여부</t>
  </si>
  <si>
    <t>GAF은행익스포져금액</t>
  </si>
  <si>
    <t>GAF카드익스포져금액</t>
  </si>
  <si>
    <t>GHA기업BS등급</t>
  </si>
  <si>
    <t>GHA그룹CRS등급</t>
  </si>
  <si>
    <t>대표자스타클럽구분</t>
  </si>
  <si>
    <t>거래주의정보 등록고객</t>
  </si>
  <si>
    <t>워크아웃등록고객</t>
  </si>
  <si>
    <t>대표자장기카드대출연체여부</t>
  </si>
  <si>
    <t>요주의 등록고객</t>
  </si>
  <si>
    <t>신용불량채무관계제한등록고객</t>
  </si>
  <si>
    <t>고객기본정보 구분코드 오류</t>
  </si>
  <si>
    <t>순수비회원신용대출잔액</t>
  </si>
  <si>
    <t>최근6개월가맹점매출액</t>
  </si>
  <si>
    <t>당사CA잔액</t>
  </si>
  <si>
    <t>당사RLS이월잔액</t>
  </si>
  <si>
    <t>당사RCA이월잔액</t>
  </si>
  <si>
    <t>카드론한도</t>
  </si>
  <si>
    <t>이지론플러스한도</t>
  </si>
  <si>
    <t>순수신용대출한도</t>
  </si>
  <si>
    <t>건보소득</t>
  </si>
  <si>
    <t>국세청소득</t>
  </si>
  <si>
    <t>대출상환유예차주여부</t>
  </si>
  <si>
    <t>프로모션코드</t>
  </si>
  <si>
    <t>추가가맹점월매출금액</t>
  </si>
  <si>
    <t>NICE_NPML등급</t>
  </si>
  <si>
    <t>NICE_소호ML등급</t>
  </si>
  <si>
    <t>NICE_최종연소득금액</t>
  </si>
  <si>
    <t>NICE_최근1년내은행업계등록연소득금액</t>
  </si>
  <si>
    <t>NICE사망자</t>
  </si>
  <si>
    <t>NICE파산면책여부</t>
  </si>
  <si>
    <t>NICE개인회생여부</t>
  </si>
  <si>
    <t>NICE신용회복위원회조정유무</t>
  </si>
  <si>
    <t>NICE세금체납건수</t>
  </si>
  <si>
    <t>NICE부도정보건수</t>
  </si>
  <si>
    <t>NICE연체대환대출총건수</t>
  </si>
  <si>
    <t>A4208</t>
  </si>
  <si>
    <t>건축물총실거래가격</t>
  </si>
  <si>
    <t>A4209</t>
  </si>
  <si>
    <t>NICE미해제연체총건수</t>
  </si>
  <si>
    <t>A4210</t>
  </si>
  <si>
    <t>NICE미해제총연체금액</t>
  </si>
  <si>
    <t>A4211</t>
  </si>
  <si>
    <t>NICE연체총잔액(해제후1년경과건제외,1년내경험)</t>
  </si>
  <si>
    <t>A4212</t>
  </si>
  <si>
    <t>NICE최근1년내최장연체경험기간</t>
  </si>
  <si>
    <t>A4213</t>
  </si>
  <si>
    <t>NICE대부업30일이상연체건수</t>
  </si>
  <si>
    <t>A4214</t>
  </si>
  <si>
    <t>NICE소호미해제연체총건수</t>
  </si>
  <si>
    <t>A4215</t>
  </si>
  <si>
    <t>NICE최근3개월내카드발급총건수</t>
  </si>
  <si>
    <t>A4216</t>
  </si>
  <si>
    <t>NICE현금서비스잔액보유기관수</t>
  </si>
  <si>
    <t>A4217</t>
  </si>
  <si>
    <t>NICE최근1개월내현금서비스이용기관수</t>
  </si>
  <si>
    <t>A4218</t>
  </si>
  <si>
    <t>NICE카드론CA리볼빙이용기관수</t>
  </si>
  <si>
    <t>A4219</t>
  </si>
  <si>
    <t>NICE서민금융보증부대출건수</t>
  </si>
  <si>
    <t>A4220</t>
  </si>
  <si>
    <t>NICE새희망홀씨대출총건수</t>
  </si>
  <si>
    <t>A4221</t>
  </si>
  <si>
    <t>NICE캠코전환대출총건수</t>
  </si>
  <si>
    <t>A4222</t>
  </si>
  <si>
    <t>NICE신정원최근1년경험기업여신연체기관수</t>
  </si>
  <si>
    <t>A4223</t>
  </si>
  <si>
    <t>NICE신정원최근1년경험기업여신최장연체일수</t>
  </si>
  <si>
    <t>A4224</t>
  </si>
  <si>
    <t>NICE신정원제2금융권총대출공여건수</t>
  </si>
  <si>
    <t>A4225</t>
  </si>
  <si>
    <t>NICE신정원최근12개월내연체경험월수</t>
  </si>
  <si>
    <t>A4226</t>
  </si>
  <si>
    <t>NICE신정원카드업신용대출총금액</t>
  </si>
  <si>
    <t>A4227</t>
  </si>
  <si>
    <t>NICE최근3개월저축은행미상환대출건수</t>
  </si>
  <si>
    <t>A4228</t>
  </si>
  <si>
    <t>NICE최근1개월카드론대출총건수</t>
  </si>
  <si>
    <t>A4229</t>
  </si>
  <si>
    <t>A4230</t>
  </si>
  <si>
    <t>NICE전업권연체등록건수</t>
  </si>
  <si>
    <t>A4231</t>
  </si>
  <si>
    <t>A4232</t>
  </si>
  <si>
    <t>NICE동시대출여부</t>
  </si>
  <si>
    <t>A4233</t>
  </si>
  <si>
    <t>NICE사업자금융질서문란총건수</t>
  </si>
  <si>
    <t>KCB SOHO ML스코어등급</t>
  </si>
  <si>
    <t>KCB 비대면연계대출등급</t>
  </si>
  <si>
    <t>KCB 비대면신용개설가능등급</t>
  </si>
  <si>
    <t>KCB 다중채무위험지수등급</t>
  </si>
  <si>
    <t>KCB미폐업사업체창업경과일수</t>
  </si>
  <si>
    <t>KCB업종지역단위대출연체율</t>
  </si>
  <si>
    <t>KCBN1년상호명이력건수</t>
  </si>
  <si>
    <t>KCB지역단위폐업률</t>
  </si>
  <si>
    <t>결정연소득최근1년은행등록연소득</t>
  </si>
  <si>
    <t>K-DSR Basic 연간상환원리금, 개인대출(대부업포함)</t>
  </si>
  <si>
    <t>KCB미해제연체건수</t>
  </si>
  <si>
    <t>A6242</t>
  </si>
  <si>
    <t>N6월현금서비스잔액보유기관수</t>
  </si>
  <si>
    <t>A6243</t>
  </si>
  <si>
    <t>N1년KB포함카드신판이용개월수</t>
  </si>
  <si>
    <t>A6244</t>
  </si>
  <si>
    <t>미해지대부업권총대출금액</t>
  </si>
  <si>
    <t>A6245</t>
  </si>
  <si>
    <t>N6월장기카드대출기관수</t>
  </si>
  <si>
    <t>A6246</t>
  </si>
  <si>
    <t>N1년개설대출기관수</t>
  </si>
  <si>
    <t>A6254</t>
  </si>
  <si>
    <t>휴폐업제외사업자경과일수</t>
  </si>
  <si>
    <t>A6256</t>
  </si>
  <si>
    <t>미해제신용도판단공공정보건수</t>
  </si>
  <si>
    <t>A6257</t>
  </si>
  <si>
    <t>신용도판단공공정보해제경과일수</t>
  </si>
  <si>
    <t>A6259</t>
  </si>
  <si>
    <t>N6월신판합계이용금액</t>
  </si>
  <si>
    <t>A6260</t>
  </si>
  <si>
    <t>N1년신판합계이용금액</t>
  </si>
  <si>
    <t>A6263</t>
  </si>
  <si>
    <t>N1년LV12345제외대출기관수</t>
  </si>
  <si>
    <t>A6265</t>
  </si>
  <si>
    <t>미해지은행신차제외대출금액</t>
  </si>
  <si>
    <t>A6266</t>
  </si>
  <si>
    <t>카드최초개설경과일수</t>
  </si>
  <si>
    <t>A6267</t>
  </si>
  <si>
    <t>KCB미해제총연체금액</t>
  </si>
  <si>
    <t>A6269</t>
  </si>
  <si>
    <t>KCB기업미해제연체총기관수</t>
  </si>
  <si>
    <t>A6270</t>
  </si>
  <si>
    <t>KB제외비은행신용대출기관수</t>
  </si>
  <si>
    <t>A6271</t>
  </si>
  <si>
    <t>A6272</t>
  </si>
  <si>
    <t>A6273</t>
  </si>
  <si>
    <t>KCB소호매출추정연매출금액(인별합산)</t>
  </si>
  <si>
    <t>A6274</t>
  </si>
  <si>
    <t>KCB연체대환대출총건수</t>
  </si>
  <si>
    <t>A6275</t>
  </si>
  <si>
    <t>KCB부동산임대업보유여부</t>
  </si>
  <si>
    <t>A6276</t>
  </si>
  <si>
    <t>KCB건축물보유건수</t>
  </si>
  <si>
    <t>A6277</t>
  </si>
  <si>
    <t>KCB부동산일반권리침해건수</t>
  </si>
  <si>
    <t>A6278</t>
  </si>
  <si>
    <t>KCB일반소호스코어</t>
  </si>
  <si>
    <t>A6279</t>
  </si>
  <si>
    <t>KCB주택담보대출기관수</t>
  </si>
  <si>
    <t>A6280</t>
  </si>
  <si>
    <t>KCB동시대출여부</t>
  </si>
  <si>
    <t>A6281</t>
  </si>
  <si>
    <t>A6282</t>
  </si>
  <si>
    <t>KCB업종단위대출연체율</t>
  </si>
  <si>
    <t>가맹점_종합사업성환산점수</t>
  </si>
  <si>
    <t>가맹점_프랜차이즈여부</t>
  </si>
  <si>
    <t>가맹점_사업장업력지수</t>
  </si>
  <si>
    <t>가맹점_N1월사업주대출집중수준지수</t>
  </si>
  <si>
    <t>N3년KED연체해제경과일수, 명세, 281</t>
  </si>
  <si>
    <t>A7006</t>
  </si>
  <si>
    <t>소호특화통합등급</t>
  </si>
  <si>
    <t>KED타사연체여부, 연체, 280</t>
  </si>
  <si>
    <t>A7008</t>
  </si>
  <si>
    <t>GAF대표기업대분류업종코드</t>
  </si>
  <si>
    <t>GAF가맹점최근1년추정매출금액</t>
  </si>
  <si>
    <t>A7010</t>
  </si>
  <si>
    <t>GAF가맹점특화머신러닝평점</t>
  </si>
  <si>
    <t>GAF그룹실적ASS평점</t>
  </si>
  <si>
    <t>A7012</t>
  </si>
  <si>
    <t>GAF소호특화가중치구분코드</t>
  </si>
  <si>
    <t>A7013</t>
  </si>
  <si>
    <t>가맹점_전동기대비3개월매출증감률</t>
  </si>
  <si>
    <t>GAF대표가맹점업종코드</t>
  </si>
  <si>
    <t>기업결합등급</t>
  </si>
  <si>
    <t>기업AS평점</t>
  </si>
  <si>
    <t>기업AS등급</t>
  </si>
  <si>
    <t>최저CBML등급</t>
  </si>
  <si>
    <t>소호특화통합평점</t>
  </si>
  <si>
    <t>통합소호등급</t>
  </si>
  <si>
    <t>최종한도</t>
  </si>
  <si>
    <t>최장대출기간</t>
  </si>
  <si>
    <t>최장거치기간</t>
  </si>
  <si>
    <t>초기한도</t>
  </si>
  <si>
    <t>N1차조정후한도</t>
  </si>
  <si>
    <t>N2차조정후한도</t>
  </si>
  <si>
    <t>N3차조정후한도</t>
  </si>
  <si>
    <t>대표자한도조정그룹</t>
  </si>
  <si>
    <t>크레딧트리한도조정그룹</t>
  </si>
  <si>
    <t>CB사업장한도조정그룹</t>
  </si>
  <si>
    <t>소호세그먼트구분</t>
  </si>
  <si>
    <t>한도조정그룹1차</t>
  </si>
  <si>
    <t>최초컷오프통과여부</t>
  </si>
  <si>
    <t>최종컷오프통과여부</t>
  </si>
  <si>
    <t>낙아웃탈락여부</t>
  </si>
  <si>
    <t>NPML등급</t>
  </si>
  <si>
    <t>ASS평점표ID</t>
  </si>
  <si>
    <t>ASS평점표명</t>
  </si>
  <si>
    <t>상한금액</t>
  </si>
  <si>
    <t>업체결제능력한도</t>
  </si>
  <si>
    <t>대표자결제능력한도</t>
  </si>
  <si>
    <t>하한금액</t>
  </si>
  <si>
    <t>업체결제능력승수</t>
  </si>
  <si>
    <t>대표자결제능력승수</t>
  </si>
  <si>
    <t>업체결제능력금액</t>
  </si>
  <si>
    <t>최근1년추정매출금액</t>
  </si>
  <si>
    <t>한도조정그룹</t>
  </si>
  <si>
    <t>한도조정비율</t>
  </si>
  <si>
    <t>소매비소매구분제한여부</t>
  </si>
  <si>
    <t>R0045</t>
  </si>
  <si>
    <t>R0046</t>
  </si>
  <si>
    <t>대표자KCBDSR비율</t>
  </si>
  <si>
    <t>대표자소득금액</t>
  </si>
  <si>
    <t>N4차조정후한도</t>
  </si>
  <si>
    <t>최종시스템판정결과</t>
  </si>
  <si>
    <t>R1001</t>
  </si>
  <si>
    <t>소호로지스틱ASS버전명</t>
  </si>
  <si>
    <t>소호로지스틱ASS긍정사유코드값1</t>
  </si>
  <si>
    <t>소호로지스틱ASS긍정사유코드값2</t>
  </si>
  <si>
    <t>소호로지스틱ASS긍정사유코드값3</t>
  </si>
  <si>
    <t>소호로지스틱ASS부정사유코드값1</t>
  </si>
  <si>
    <t>소호로지스틱ASS부정사유코드값2</t>
  </si>
  <si>
    <t>소호로지스틱ASS부정사유코드값3</t>
  </si>
  <si>
    <t>S</t>
  </si>
  <si>
    <t>8</t>
  </si>
  <si>
    <t>14</t>
  </si>
  <si>
    <t>L</t>
  </si>
  <si>
    <t>15</t>
  </si>
  <si>
    <t>1</t>
  </si>
  <si>
    <t>2</t>
  </si>
  <si>
    <t>10</t>
  </si>
  <si>
    <t>3</t>
  </si>
  <si>
    <t>4</t>
  </si>
  <si>
    <t>D</t>
  </si>
  <si>
    <t>5.2</t>
  </si>
  <si>
    <t>9.2</t>
  </si>
  <si>
    <t>기업대출한도</t>
  </si>
  <si>
    <t>연소득금액(네이버_국세청)</t>
  </si>
  <si>
    <t>rep최근3년 연체해제후경과월수(KB포함)</t>
  </si>
  <si>
    <t>cop최근3개월 비은행업권기업신용공여평균과목수</t>
  </si>
  <si>
    <t xml:space="preserve"> SOHO매출추정3개월전대비 증감률</t>
  </si>
  <si>
    <t>A6283</t>
  </si>
  <si>
    <t>소호왓츠인덱스등급코드</t>
  </si>
  <si>
    <t>A6284</t>
  </si>
  <si>
    <t>미해지금융지원대출추정여부</t>
  </si>
  <si>
    <t>A6285</t>
  </si>
  <si>
    <t>미해지만기연장지원추정여부</t>
  </si>
  <si>
    <t>Rclips버젼</t>
  </si>
  <si>
    <t>A1000</t>
    <phoneticPr fontId="17" type="noConversion"/>
  </si>
  <si>
    <t>A2030</t>
    <phoneticPr fontId="17" type="noConversion"/>
  </si>
  <si>
    <t>A2031</t>
    <phoneticPr fontId="17" type="noConversion"/>
  </si>
  <si>
    <t>A2032</t>
    <phoneticPr fontId="17" type="noConversion"/>
  </si>
  <si>
    <t>A2033</t>
    <phoneticPr fontId="17" type="noConversion"/>
  </si>
  <si>
    <t>A2034</t>
    <phoneticPr fontId="17" type="noConversion"/>
  </si>
  <si>
    <t>A2035</t>
    <phoneticPr fontId="17" type="noConversion"/>
  </si>
  <si>
    <t>A2036</t>
    <phoneticPr fontId="17" type="noConversion"/>
  </si>
  <si>
    <t>A2037</t>
    <phoneticPr fontId="17" type="noConversion"/>
  </si>
  <si>
    <t>A2041</t>
    <phoneticPr fontId="17" type="noConversion"/>
  </si>
  <si>
    <t>A2055</t>
    <phoneticPr fontId="17" type="noConversion"/>
  </si>
  <si>
    <t>A2060</t>
    <phoneticPr fontId="17" type="noConversion"/>
  </si>
  <si>
    <t>A2061</t>
    <phoneticPr fontId="17" type="noConversion"/>
  </si>
  <si>
    <t>A2064</t>
    <phoneticPr fontId="17" type="noConversion"/>
  </si>
  <si>
    <t>A2065</t>
    <phoneticPr fontId="17" type="noConversion"/>
  </si>
  <si>
    <t>A2066</t>
    <phoneticPr fontId="17" type="noConversion"/>
  </si>
  <si>
    <t>B2001</t>
    <phoneticPr fontId="17" type="noConversion"/>
  </si>
  <si>
    <t>A3056</t>
    <phoneticPr fontId="17" type="noConversion"/>
  </si>
  <si>
    <t>A3065</t>
    <phoneticPr fontId="17" type="noConversion"/>
  </si>
  <si>
    <t>A3066</t>
    <phoneticPr fontId="17" type="noConversion"/>
  </si>
  <si>
    <t>A3073</t>
    <phoneticPr fontId="2" type="noConversion"/>
  </si>
  <si>
    <t>A3074</t>
    <phoneticPr fontId="2" type="noConversion"/>
  </si>
  <si>
    <t>A3076</t>
  </si>
  <si>
    <t>A3077</t>
  </si>
  <si>
    <t>A3078</t>
  </si>
  <si>
    <t>A3079</t>
  </si>
  <si>
    <t>A3080</t>
  </si>
  <si>
    <t>A3081</t>
  </si>
  <si>
    <t>A3082</t>
  </si>
  <si>
    <t>A3083</t>
  </si>
  <si>
    <t>A3084</t>
  </si>
  <si>
    <t>A3085</t>
  </si>
  <si>
    <t>B3001</t>
    <phoneticPr fontId="2" type="noConversion"/>
  </si>
  <si>
    <t>B3012</t>
  </si>
  <si>
    <t>B3013</t>
    <phoneticPr fontId="2" type="noConversion"/>
  </si>
  <si>
    <t>B3014</t>
  </si>
  <si>
    <t>B3015</t>
    <phoneticPr fontId="2" type="noConversion"/>
  </si>
  <si>
    <t>B3022</t>
    <phoneticPr fontId="17" type="noConversion"/>
  </si>
  <si>
    <t>B3023</t>
    <phoneticPr fontId="17" type="noConversion"/>
  </si>
  <si>
    <t>B3025</t>
    <phoneticPr fontId="17" type="noConversion"/>
  </si>
  <si>
    <t>B3026</t>
    <phoneticPr fontId="17" type="noConversion"/>
  </si>
  <si>
    <t>B3027</t>
    <phoneticPr fontId="17" type="noConversion"/>
  </si>
  <si>
    <t>B3028</t>
    <phoneticPr fontId="17" type="noConversion"/>
  </si>
  <si>
    <t>B3029</t>
    <phoneticPr fontId="17" type="noConversion"/>
  </si>
  <si>
    <t>B3031</t>
    <phoneticPr fontId="17" type="noConversion"/>
  </si>
  <si>
    <t>A4014</t>
    <phoneticPr fontId="17" type="noConversion"/>
  </si>
  <si>
    <t>A4015</t>
    <phoneticPr fontId="17" type="noConversion"/>
  </si>
  <si>
    <t>A4019</t>
    <phoneticPr fontId="17" type="noConversion"/>
  </si>
  <si>
    <t>A4028</t>
    <phoneticPr fontId="17" type="noConversion"/>
  </si>
  <si>
    <t>A4033</t>
    <phoneticPr fontId="17" type="noConversion"/>
  </si>
  <si>
    <t>A4034</t>
    <phoneticPr fontId="17" type="noConversion"/>
  </si>
  <si>
    <t>A4051</t>
    <phoneticPr fontId="17" type="noConversion"/>
  </si>
  <si>
    <t>A4052</t>
    <phoneticPr fontId="17" type="noConversion"/>
  </si>
  <si>
    <t>A4053</t>
    <phoneticPr fontId="17" type="noConversion"/>
  </si>
  <si>
    <t>A4054</t>
    <phoneticPr fontId="17" type="noConversion"/>
  </si>
  <si>
    <t>A4055</t>
    <phoneticPr fontId="17" type="noConversion"/>
  </si>
  <si>
    <t>B4007</t>
  </si>
  <si>
    <t>B4029</t>
  </si>
  <si>
    <t>B4034</t>
  </si>
  <si>
    <t>B4035</t>
  </si>
  <si>
    <t>B4036</t>
  </si>
  <si>
    <t>B4037</t>
  </si>
  <si>
    <t>B4038</t>
  </si>
  <si>
    <t>B4039</t>
  </si>
  <si>
    <t>B4040</t>
  </si>
  <si>
    <t>B4041</t>
  </si>
  <si>
    <t>B4042</t>
  </si>
  <si>
    <t>B4043</t>
  </si>
  <si>
    <t>B4044</t>
  </si>
  <si>
    <t>B4045</t>
  </si>
  <si>
    <t>B4046</t>
  </si>
  <si>
    <t>B4047</t>
  </si>
  <si>
    <t>B4048</t>
  </si>
  <si>
    <t>B4049</t>
  </si>
  <si>
    <t>B4050</t>
  </si>
  <si>
    <t>B4051</t>
  </si>
  <si>
    <t>B4052</t>
  </si>
  <si>
    <t>B4053</t>
  </si>
  <si>
    <t>B4054</t>
  </si>
  <si>
    <t>B4055</t>
  </si>
  <si>
    <t>B4061</t>
    <phoneticPr fontId="17" type="noConversion"/>
  </si>
  <si>
    <t>B4063</t>
    <phoneticPr fontId="17" type="noConversion"/>
  </si>
  <si>
    <t>B4064</t>
    <phoneticPr fontId="17" type="noConversion"/>
  </si>
  <si>
    <t>B4066</t>
    <phoneticPr fontId="17" type="noConversion"/>
  </si>
  <si>
    <t>B4068</t>
    <phoneticPr fontId="17" type="noConversion"/>
  </si>
  <si>
    <t>B4069</t>
    <phoneticPr fontId="17" type="noConversion"/>
  </si>
  <si>
    <t>B4074</t>
    <phoneticPr fontId="17" type="noConversion"/>
  </si>
  <si>
    <t>B4075</t>
    <phoneticPr fontId="17" type="noConversion"/>
  </si>
  <si>
    <t>B4076</t>
    <phoneticPr fontId="17" type="noConversion"/>
  </si>
  <si>
    <t>B4077</t>
    <phoneticPr fontId="17" type="noConversion"/>
  </si>
  <si>
    <t>B4079</t>
    <phoneticPr fontId="17" type="noConversion"/>
  </si>
  <si>
    <t>B4083</t>
    <phoneticPr fontId="17" type="noConversion"/>
  </si>
  <si>
    <t>B4086</t>
    <phoneticPr fontId="17" type="noConversion"/>
  </si>
  <si>
    <t>B4088</t>
    <phoneticPr fontId="17" type="noConversion"/>
  </si>
  <si>
    <t>B4090</t>
    <phoneticPr fontId="17" type="noConversion"/>
  </si>
  <si>
    <t>A7001</t>
    <phoneticPr fontId="17" type="noConversion"/>
  </si>
  <si>
    <t>A7002</t>
    <phoneticPr fontId="17" type="noConversion"/>
  </si>
  <si>
    <t>A7003</t>
    <phoneticPr fontId="17" type="noConversion"/>
  </si>
  <si>
    <t>String</t>
    <phoneticPr fontId="17" type="noConversion"/>
  </si>
  <si>
    <t>Long</t>
    <phoneticPr fontId="17" type="noConversion"/>
  </si>
  <si>
    <t>연령</t>
    <phoneticPr fontId="17" type="noConversion"/>
  </si>
  <si>
    <t>외국인여부</t>
    <phoneticPr fontId="17" type="noConversion"/>
  </si>
  <si>
    <t>Double</t>
    <phoneticPr fontId="17" type="noConversion"/>
  </si>
  <si>
    <t>순수 비회원 신용대출 잔액</t>
    <phoneticPr fontId="17" type="noConversion"/>
  </si>
  <si>
    <t>당사 신용카드 잔액</t>
    <phoneticPr fontId="17" type="noConversion"/>
  </si>
  <si>
    <t>최근 6개월 가맹점 매출액</t>
    <phoneticPr fontId="17" type="noConversion"/>
  </si>
  <si>
    <t>매입할부금융잔액</t>
    <phoneticPr fontId="17" type="noConversion"/>
  </si>
  <si>
    <t>대출광고제휴업체구분코드</t>
    <phoneticPr fontId="17" type="noConversion"/>
  </si>
  <si>
    <t>우대한도소득충족여부</t>
    <phoneticPr fontId="17" type="noConversion"/>
  </si>
  <si>
    <t>중고차할부금융잔액</t>
    <phoneticPr fontId="17" type="noConversion"/>
  </si>
  <si>
    <t>스크래핑소득_건보</t>
    <phoneticPr fontId="17" type="noConversion"/>
  </si>
  <si>
    <t>스크래핑소득_국세청</t>
    <phoneticPr fontId="17" type="noConversion"/>
  </si>
  <si>
    <t>국민은행N6M수신평잔</t>
    <phoneticPr fontId="17" type="noConversion"/>
  </si>
  <si>
    <t>혜택가맹점구분</t>
  </si>
  <si>
    <t>혜택가맹점할인율</t>
  </si>
  <si>
    <t>사업자등록경과일수</t>
  </si>
  <si>
    <t>개인사업자여부</t>
  </si>
  <si>
    <t>소호고객여부</t>
  </si>
  <si>
    <t>소호특화등급산정대상여부</t>
  </si>
  <si>
    <t>소호특화가중치구분코드</t>
  </si>
  <si>
    <t>소호특화통합평가점수</t>
  </si>
  <si>
    <t>소호특화통합등급구분코드</t>
  </si>
  <si>
    <t>가맹점신규경과월수</t>
  </si>
  <si>
    <t>N3M1M평균매출액변동률</t>
  </si>
  <si>
    <t>N6M3M평균매출액변동률</t>
  </si>
  <si>
    <t>순수비회원신용대출_계좌수</t>
    <phoneticPr fontId="17" type="noConversion"/>
  </si>
  <si>
    <t>국은6개월신탁평잔</t>
  </si>
  <si>
    <t>국은6개월방카평잔</t>
  </si>
  <si>
    <t>개인특수채권보유여부</t>
    <phoneticPr fontId="17" type="noConversion"/>
  </si>
  <si>
    <t>개인카드연체여부</t>
    <phoneticPr fontId="17" type="noConversion"/>
  </si>
  <si>
    <t>카드론금리등급구분코드</t>
    <phoneticPr fontId="17" type="noConversion"/>
  </si>
  <si>
    <t>이지론플러스금리등급구분코드</t>
    <phoneticPr fontId="17" type="noConversion"/>
  </si>
  <si>
    <t>Double</t>
  </si>
  <si>
    <t>대출이동대상_상환예정금액</t>
    <phoneticPr fontId="17" type="noConversion"/>
  </si>
  <si>
    <t>대출이동대상_원리금</t>
    <phoneticPr fontId="17" type="noConversion"/>
  </si>
  <si>
    <t>대출이동대상_기관코드</t>
    <phoneticPr fontId="17" type="noConversion"/>
  </si>
  <si>
    <t>대출이동대상_업권</t>
    <phoneticPr fontId="17" type="noConversion"/>
  </si>
  <si>
    <t>최저보유업권</t>
    <phoneticPr fontId="17" type="noConversion"/>
  </si>
  <si>
    <t>Long</t>
  </si>
  <si>
    <t>(카드)최장연체일수1년</t>
  </si>
  <si>
    <t>(카드+론)연체해제후경과월수(3년)</t>
  </si>
  <si>
    <t>(카드+론)합계연체일수1월</t>
  </si>
  <si>
    <t>(신용카드)최근1개월한도소진율</t>
  </si>
  <si>
    <t>(은행)급여이체금액3개월합계</t>
  </si>
  <si>
    <t>(은행)저축성평잔1개월(신탁등포함)</t>
  </si>
  <si>
    <t>(비은행)총수신평잔1개월(신탁등포함)</t>
  </si>
  <si>
    <t>최근6개월 평균할부금액(무제)</t>
  </si>
  <si>
    <t>업종3_최근6개월카드총이용건수비율(체크포함CA제외)</t>
  </si>
  <si>
    <t>최근3개월 평균할부금액(무제)</t>
  </si>
  <si>
    <t>BS0000783</t>
    <phoneticPr fontId="17" type="noConversion"/>
  </si>
  <si>
    <t>CF0100116</t>
    <phoneticPr fontId="17" type="noConversion"/>
  </si>
  <si>
    <t>P12001000</t>
    <phoneticPr fontId="17" type="noConversion"/>
  </si>
  <si>
    <t>실시간 대출 기관수(당사 제외 1영업일 이내 신용대출 기관수)</t>
    <phoneticPr fontId="17" type="noConversion"/>
  </si>
  <si>
    <t>LRZ000201</t>
    <phoneticPr fontId="17" type="noConversion"/>
  </si>
  <si>
    <t>IE0400007</t>
  </si>
  <si>
    <t>최종연소득금액(4.0)</t>
  </si>
  <si>
    <t>최근1년내은행업계에서등록한최대실연소득금액(4.0)</t>
  </si>
  <si>
    <t>NICE스코어(3)</t>
  </si>
  <si>
    <t>ND0200_201</t>
    <phoneticPr fontId="17" type="noConversion"/>
  </si>
  <si>
    <t>CCS신용등급코드</t>
    <phoneticPr fontId="17" type="noConversion"/>
  </si>
  <si>
    <t>ML0100_002</t>
    <phoneticPr fontId="17" type="noConversion"/>
  </si>
  <si>
    <t>NICE중금리ML등급</t>
    <phoneticPr fontId="17" type="noConversion"/>
  </si>
  <si>
    <t>PS0000110</t>
    <phoneticPr fontId="2" type="noConversion"/>
  </si>
  <si>
    <t>NICE전업권연체등록건수</t>
    <phoneticPr fontId="2" type="noConversion"/>
  </si>
  <si>
    <t>LA0000038</t>
  </si>
  <si>
    <t>LA0000039</t>
  </si>
  <si>
    <t>LA0000040</t>
  </si>
  <si>
    <t>BS0000917</t>
  </si>
  <si>
    <t>BS0000041</t>
  </si>
  <si>
    <t>LA0000011</t>
    <phoneticPr fontId="2" type="noConversion"/>
  </si>
  <si>
    <t>NICE연체대환대출총건수</t>
    <phoneticPr fontId="2" type="noConversion"/>
  </si>
  <si>
    <t>PS1200601</t>
    <phoneticPr fontId="2" type="noConversion"/>
  </si>
  <si>
    <t>NICE최근1년내최장연체경험기간</t>
    <phoneticPr fontId="2" type="noConversion"/>
  </si>
  <si>
    <t>CF0100115</t>
    <phoneticPr fontId="2" type="noConversion"/>
  </si>
  <si>
    <t>AE0000016</t>
  </si>
  <si>
    <t>N1년미해지CB거래건수</t>
  </si>
  <si>
    <t>LC0600004</t>
  </si>
  <si>
    <t>동일일신용대출발생2건이상합계</t>
  </si>
  <si>
    <t>LH0000001</t>
  </si>
  <si>
    <t>최초대출개설경과일수</t>
  </si>
  <si>
    <t>LH0000008</t>
  </si>
  <si>
    <t>최근대출개설경과일수</t>
  </si>
  <si>
    <t>LH0000150</t>
  </si>
  <si>
    <t>N6월캐피탈대출건수</t>
  </si>
  <si>
    <t>LS0000499</t>
  </si>
  <si>
    <t>N6월미해지캐피탈주담외대출건수</t>
  </si>
  <si>
    <t>PS0001973</t>
  </si>
  <si>
    <t>N3년최장연체일수</t>
  </si>
  <si>
    <t>LA0000005</t>
  </si>
  <si>
    <t>미해제한도대출건수</t>
  </si>
  <si>
    <t>EHL103302</t>
  </si>
  <si>
    <t>현거주지국토부실거래최근전세가</t>
  </si>
  <si>
    <t>EW0003901</t>
  </si>
  <si>
    <t>현직장매출금액</t>
  </si>
  <si>
    <t>C11061001</t>
  </si>
  <si>
    <t>C12000401</t>
  </si>
  <si>
    <t>N1월미해지신용개설건수</t>
  </si>
  <si>
    <t>EHL103301</t>
  </si>
  <si>
    <t>PH0000225</t>
  </si>
  <si>
    <t>KB포함최근연체해제경과일수</t>
  </si>
  <si>
    <t>RABAC0058</t>
    <phoneticPr fontId="17" type="noConversion"/>
  </si>
  <si>
    <t>CF0600941</t>
  </si>
  <si>
    <t>CF9900902</t>
  </si>
  <si>
    <t>RABAC0055</t>
  </si>
  <si>
    <t>RABAC0057</t>
  </si>
  <si>
    <t>PS0000113</t>
  </si>
  <si>
    <t>P13000501</t>
  </si>
  <si>
    <t>PS0000095</t>
  </si>
  <si>
    <t>RABAC0056</t>
  </si>
  <si>
    <t>D10232D00</t>
    <phoneticPr fontId="17" type="noConversion"/>
  </si>
  <si>
    <t>L1021A000</t>
    <phoneticPr fontId="17" type="noConversion"/>
  </si>
  <si>
    <t>KCB동시대출</t>
    <phoneticPr fontId="17" type="noConversion"/>
  </si>
  <si>
    <t>L2M000066</t>
  </si>
  <si>
    <t>은행업권주택담보대출건수(미해지)(KFB계좌단위)</t>
  </si>
  <si>
    <t>UR1101100</t>
  </si>
  <si>
    <t>KCB전월세지수</t>
  </si>
  <si>
    <t>UR1102100</t>
  </si>
  <si>
    <t>KCB거주지평균월세가</t>
  </si>
  <si>
    <t>U43002230</t>
  </si>
  <si>
    <t xml:space="preserve"> 결정연소득중최근1년은행등록연소득(3.0)</t>
  </si>
  <si>
    <t>U43002030</t>
    <phoneticPr fontId="17" type="noConversion"/>
  </si>
  <si>
    <t>KCB_소득추정모형_VER_3_0_U43002030</t>
    <phoneticPr fontId="17" type="noConversion"/>
  </si>
  <si>
    <t>다중채무위험등급_K</t>
  </si>
  <si>
    <t>L2Z001242</t>
  </si>
  <si>
    <t>SS1001000</t>
    <phoneticPr fontId="16" type="noConversion"/>
  </si>
  <si>
    <t>SOHO ML스코어 V1.0 등급 (코드 확인)</t>
    <phoneticPr fontId="16" type="noConversion"/>
  </si>
  <si>
    <t>SS1200000</t>
    <phoneticPr fontId="17" type="noConversion"/>
  </si>
  <si>
    <t>SOHO ML스코어 V1.0 KCB SOHO 여부</t>
    <phoneticPr fontId="16" type="noConversion"/>
  </si>
  <si>
    <t>U5D001002</t>
    <phoneticPr fontId="17" type="noConversion"/>
  </si>
  <si>
    <t>KCB표준DSR비율</t>
    <phoneticPr fontId="17" type="noConversion"/>
  </si>
  <si>
    <t>SKBSH0000</t>
  </si>
  <si>
    <t>KB일반소호평점</t>
  </si>
  <si>
    <t>SUL001000</t>
  </si>
  <si>
    <t>SP0000000</t>
  </si>
  <si>
    <t>신용패턴지수_신용급변동</t>
  </si>
  <si>
    <t>SP0100000</t>
  </si>
  <si>
    <t>신용패턴지수_씬파일탈출</t>
  </si>
  <si>
    <t>SP0201000</t>
  </si>
  <si>
    <t>신용패턴지수_TYPE1</t>
  </si>
  <si>
    <t>SP0202000</t>
  </si>
  <si>
    <t>신용패턴지수_TYPE2</t>
  </si>
  <si>
    <t>SP0203000</t>
  </si>
  <si>
    <t>신용패턴지수_TYPE3</t>
  </si>
  <si>
    <t>SP0300000</t>
  </si>
  <si>
    <t>신용패턴지수_신용거래패턴</t>
  </si>
  <si>
    <t>SP0400000</t>
  </si>
  <si>
    <t>신용패턴지수_카드이용충성도</t>
  </si>
  <si>
    <t>신용패턴지수_대출거래패턴</t>
  </si>
  <si>
    <t>U21001000</t>
  </si>
  <si>
    <t>비대면신용개설가능지수등급</t>
  </si>
  <si>
    <t>U21100000</t>
  </si>
  <si>
    <t>비대면신용개설가능예측지표코드</t>
    <phoneticPr fontId="17" type="noConversion"/>
  </si>
  <si>
    <t>L1K220000</t>
    <phoneticPr fontId="17" type="noConversion"/>
  </si>
  <si>
    <t>카드론대출기관수_L1K220000</t>
    <phoneticPr fontId="17" type="noConversion"/>
  </si>
  <si>
    <t>L2M000002</t>
    <phoneticPr fontId="17" type="noConversion"/>
  </si>
  <si>
    <t>은행업권대출건수_K</t>
    <phoneticPr fontId="17" type="noConversion"/>
  </si>
  <si>
    <t>L2P000002</t>
    <phoneticPr fontId="17" type="noConversion"/>
  </si>
  <si>
    <t>다중채무대상대출기관수_K</t>
    <phoneticPr fontId="17" type="noConversion"/>
  </si>
  <si>
    <t>U44001130</t>
  </si>
  <si>
    <t>주택보유자산의제소득</t>
    <phoneticPr fontId="17" type="noConversion"/>
  </si>
  <si>
    <t>U44001230</t>
  </si>
  <si>
    <t>주택미보유포함자산의제소득</t>
    <phoneticPr fontId="17" type="noConversion"/>
  </si>
  <si>
    <t>신용대출총건수</t>
    <phoneticPr fontId="17" type="noConversion"/>
  </si>
  <si>
    <t>L90216100</t>
  </si>
  <si>
    <t>은행업권신용대출총건수</t>
    <phoneticPr fontId="17" type="noConversion"/>
  </si>
  <si>
    <t>D1013AD0T</t>
    <phoneticPr fontId="17" type="noConversion"/>
  </si>
  <si>
    <t>최근1년합계연체일수</t>
    <phoneticPr fontId="17" type="noConversion"/>
  </si>
  <si>
    <t>D20210000</t>
  </si>
  <si>
    <t>미해제신용도판단공공정보건수</t>
    <phoneticPr fontId="16" type="noConversion"/>
  </si>
  <si>
    <t>C1Z000762</t>
  </si>
  <si>
    <t>N1년신판이용금액</t>
    <phoneticPr fontId="16" type="noConversion"/>
  </si>
  <si>
    <t>C1Z000397</t>
  </si>
  <si>
    <t>N3월신판이용금액</t>
    <phoneticPr fontId="16" type="noConversion"/>
  </si>
  <si>
    <t>L2Z001247</t>
  </si>
  <si>
    <t>미해지LV1234제외대출금액</t>
    <phoneticPr fontId="16" type="noConversion"/>
  </si>
  <si>
    <t>D2Z000078</t>
  </si>
  <si>
    <t>신용도판단공공정보해제경과일수</t>
    <phoneticPr fontId="16" type="noConversion"/>
  </si>
  <si>
    <t>AS3C30110</t>
  </si>
  <si>
    <t>보유부동산실거래가합계금액</t>
    <phoneticPr fontId="16" type="noConversion"/>
  </si>
  <si>
    <t>C1Z200122</t>
  </si>
  <si>
    <t>N6월카드유효한도소진율</t>
    <phoneticPr fontId="16" type="noConversion"/>
  </si>
  <si>
    <t>AL012G020</t>
  </si>
  <si>
    <t>N5년휴대폰번호이력건수</t>
    <phoneticPr fontId="16" type="noConversion"/>
  </si>
  <si>
    <t>C1Z200113</t>
  </si>
  <si>
    <t>N3월카드유효한도소진율</t>
    <phoneticPr fontId="16" type="noConversion"/>
  </si>
  <si>
    <t>AS1C20126</t>
  </si>
  <si>
    <t>소유부동산주택건수</t>
    <phoneticPr fontId="16" type="noConversion"/>
  </si>
  <si>
    <t>AL018G002</t>
  </si>
  <si>
    <t>최근자택전화번호변경경과일수</t>
    <phoneticPr fontId="16" type="noConversion"/>
  </si>
  <si>
    <t>C1L120357</t>
    <phoneticPr fontId="17" type="noConversion"/>
  </si>
  <si>
    <t>N6월CA활성한도소진율</t>
    <phoneticPr fontId="16" type="noConversion"/>
  </si>
  <si>
    <t>L2Z000142</t>
  </si>
  <si>
    <t>최초대출신용카드개설경과일수</t>
    <phoneticPr fontId="16" type="noConversion"/>
  </si>
  <si>
    <t>AH1020023</t>
  </si>
  <si>
    <t>N3년폐업사업체수</t>
    <phoneticPr fontId="16" type="noConversion"/>
  </si>
  <si>
    <t>AL012G018</t>
  </si>
  <si>
    <t>N2년휴대폰번호이력건수</t>
    <phoneticPr fontId="16" type="noConversion"/>
  </si>
  <si>
    <t>AL018G001</t>
  </si>
  <si>
    <t>최근자택주소변경경과일수</t>
    <phoneticPr fontId="16" type="noConversion"/>
  </si>
  <si>
    <t>AT46A0007</t>
  </si>
  <si>
    <t>N1월현거주지동연령카드이용금액</t>
    <phoneticPr fontId="16" type="noConversion"/>
  </si>
  <si>
    <t>C1Z001471</t>
  </si>
  <si>
    <t>N1년월평균신판이용기관수</t>
    <phoneticPr fontId="16" type="noConversion"/>
  </si>
  <si>
    <t>C1L120238</t>
  </si>
  <si>
    <t>N6월카드활성한도소진율</t>
    <phoneticPr fontId="16" type="noConversion"/>
  </si>
  <si>
    <t>C1L120255</t>
  </si>
  <si>
    <t>N3월CA유효활성한도소진율</t>
    <phoneticPr fontId="16" type="noConversion"/>
  </si>
  <si>
    <t>C1N218000</t>
  </si>
  <si>
    <t>미해지CA이용잔액보유카드건수</t>
    <phoneticPr fontId="16" type="noConversion"/>
  </si>
  <si>
    <t>C1N2D4W0C</t>
  </si>
  <si>
    <t>N1년월평균일시불이용기관수</t>
    <phoneticPr fontId="16" type="noConversion"/>
  </si>
  <si>
    <t>C1Z000824</t>
  </si>
  <si>
    <t>N1년월평균신판총이용금액</t>
    <phoneticPr fontId="16" type="noConversion"/>
  </si>
  <si>
    <t>C1Z001043</t>
  </si>
  <si>
    <t>N6월평균이용기관수</t>
    <phoneticPr fontId="16" type="noConversion"/>
  </si>
  <si>
    <t>C20272000</t>
  </si>
  <si>
    <t>최초신용거래개설경과일수</t>
    <phoneticPr fontId="16" type="noConversion"/>
  </si>
  <si>
    <t>C20282000</t>
  </si>
  <si>
    <t>최근신용거래개설경과일수</t>
    <phoneticPr fontId="16" type="noConversion"/>
  </si>
  <si>
    <t>L1013HW0C</t>
  </si>
  <si>
    <t>N1년해지포함총상환원금</t>
    <phoneticPr fontId="16" type="noConversion"/>
  </si>
  <si>
    <t>L1Z000967</t>
  </si>
  <si>
    <t>당사제외신용대출건수</t>
    <phoneticPr fontId="16" type="noConversion"/>
  </si>
  <si>
    <t>L2Z001266</t>
  </si>
  <si>
    <t>미해지LV123제외대출기관수</t>
    <phoneticPr fontId="16" type="noConversion"/>
  </si>
  <si>
    <t>L2Z001243</t>
  </si>
  <si>
    <t>미해지LV123456제외대출기관수</t>
    <phoneticPr fontId="16" type="noConversion"/>
  </si>
  <si>
    <t>L2Z001248</t>
  </si>
  <si>
    <t>미해지LV123456제외대출금액</t>
    <phoneticPr fontId="16" type="noConversion"/>
  </si>
  <si>
    <t>L2Z001267</t>
  </si>
  <si>
    <t>N6월LV1신규대출기관수</t>
    <phoneticPr fontId="16" type="noConversion"/>
  </si>
  <si>
    <t>L2Z001268</t>
  </si>
  <si>
    <t>N6월LV1제외신규대출기관수</t>
    <phoneticPr fontId="16" type="noConversion"/>
  </si>
  <si>
    <t>L2M000028</t>
  </si>
  <si>
    <t>미해지담보대출총금액</t>
    <phoneticPr fontId="16" type="noConversion"/>
  </si>
  <si>
    <t>L2M000045</t>
  </si>
  <si>
    <t>미해지할부금융신용대출총금액</t>
    <phoneticPr fontId="16" type="noConversion"/>
  </si>
  <si>
    <t>L2M000098</t>
  </si>
  <si>
    <t>미해지신용대출총대출금액</t>
    <phoneticPr fontId="16" type="noConversion"/>
  </si>
  <si>
    <t>L2M000140</t>
  </si>
  <si>
    <t>N3월은행제외신규대출기관수</t>
    <phoneticPr fontId="16" type="noConversion"/>
  </si>
  <si>
    <t>L2Z000194</t>
  </si>
  <si>
    <t>N1년해지포함대출금액증가율</t>
    <phoneticPr fontId="16" type="noConversion"/>
  </si>
  <si>
    <t>L2Z000217</t>
  </si>
  <si>
    <t>N1년해지포함담보제외대출증가율</t>
    <phoneticPr fontId="16" type="noConversion"/>
  </si>
  <si>
    <t>L2Z001063</t>
  </si>
  <si>
    <t>은행신차제외대출개설경과일수</t>
    <phoneticPr fontId="16" type="noConversion"/>
  </si>
  <si>
    <t>LA0000056</t>
  </si>
  <si>
    <t>N1월전비은행기업신용공여기관수</t>
    <phoneticPr fontId="16" type="noConversion"/>
  </si>
  <si>
    <t>U5D002011</t>
  </si>
  <si>
    <t>KCBDSR연간상환원리금5</t>
    <phoneticPr fontId="16" type="noConversion"/>
  </si>
  <si>
    <t>U81501010</t>
  </si>
  <si>
    <t>주부특화자산평가지수구분코드</t>
    <phoneticPr fontId="16" type="noConversion"/>
  </si>
  <si>
    <t>L20231O00</t>
  </si>
  <si>
    <t>대부업권대출금액</t>
    <phoneticPr fontId="16" type="noConversion"/>
  </si>
  <si>
    <t>C1N238000</t>
  </si>
  <si>
    <t>CA이용합계잔액</t>
    <phoneticPr fontId="16" type="noConversion"/>
  </si>
  <si>
    <t>C1Z000963</t>
  </si>
  <si>
    <t>N1년월평균CA총이용금액</t>
    <phoneticPr fontId="16" type="noConversion"/>
  </si>
  <si>
    <t>C1Z001432</t>
  </si>
  <si>
    <t>미해지당사제외CA이용잔액</t>
    <phoneticPr fontId="16" type="noConversion"/>
  </si>
  <si>
    <t>C1Z001436</t>
  </si>
  <si>
    <t>N1년당사제외월평균CA총이용금액</t>
    <phoneticPr fontId="16" type="noConversion"/>
  </si>
  <si>
    <t>C1Z001430</t>
  </si>
  <si>
    <t>N1월전당사제외카드이용잔액</t>
    <phoneticPr fontId="16" type="noConversion"/>
  </si>
  <si>
    <t>C1Z001472</t>
  </si>
  <si>
    <t>N1년당사제외월평균카드이용잔액</t>
    <phoneticPr fontId="16" type="noConversion"/>
  </si>
  <si>
    <t>C1Z001046</t>
  </si>
  <si>
    <t>N6월신판이용금액</t>
    <phoneticPr fontId="16" type="noConversion"/>
  </si>
  <si>
    <t>C1N2A6W06</t>
  </si>
  <si>
    <t>N6월CA월평균총이용금액</t>
    <phoneticPr fontId="16" type="noConversion"/>
  </si>
  <si>
    <t xml:space="preserve">C1N2A6W07 </t>
  </si>
  <si>
    <t>N6월당사제외CA월평균총이용금액</t>
    <phoneticPr fontId="16" type="noConversion"/>
  </si>
  <si>
    <t>KB포함최근연체해제경과일수</t>
    <phoneticPr fontId="16" type="noConversion"/>
  </si>
  <si>
    <t>해지포함최장연체일수</t>
    <phoneticPr fontId="16" type="noConversion"/>
  </si>
  <si>
    <t>AL012G005</t>
  </si>
  <si>
    <t>AS120G001</t>
  </si>
  <si>
    <t>AT46A0001</t>
  </si>
  <si>
    <t>C1N239000</t>
  </si>
  <si>
    <t>D10175D0T</t>
  </si>
  <si>
    <t>G20231000</t>
  </si>
  <si>
    <t>LA0000036</t>
  </si>
  <si>
    <t>LA0000077</t>
  </si>
  <si>
    <t>LA0000078</t>
  </si>
  <si>
    <t>U81102010</t>
  </si>
  <si>
    <t>UA1040006</t>
  </si>
  <si>
    <t>L2Z001246</t>
  </si>
  <si>
    <t>L2Z001255</t>
  </si>
  <si>
    <t>D10187D00</t>
  </si>
  <si>
    <t>D10132D0T</t>
  </si>
  <si>
    <t>원리금상환금액_신정원</t>
    <phoneticPr fontId="17" type="noConversion"/>
  </si>
  <si>
    <t>신용대출잔액_신정원_당일포함</t>
    <phoneticPr fontId="17" type="noConversion"/>
  </si>
  <si>
    <t>카드론대출잔액_신정원_당일포함</t>
    <phoneticPr fontId="17" type="noConversion"/>
  </si>
  <si>
    <t>대출총잔액_신정원</t>
    <phoneticPr fontId="17" type="noConversion"/>
  </si>
  <si>
    <t>신용대출잔액_신정원</t>
    <phoneticPr fontId="17" type="noConversion"/>
  </si>
  <si>
    <t>카드론잔액_신정원</t>
    <phoneticPr fontId="17" type="noConversion"/>
  </si>
  <si>
    <t>CA잔액_신정원</t>
    <phoneticPr fontId="17" type="noConversion"/>
  </si>
  <si>
    <t>CA이용기관수_신정원</t>
    <phoneticPr fontId="17" type="noConversion"/>
  </si>
  <si>
    <t>신용대출(C6_A1006)와동일</t>
  </si>
  <si>
    <t>신용대출(C6_A1004)와동일</t>
  </si>
  <si>
    <t>신용대출(C6_A1005)와동일</t>
  </si>
  <si>
    <t>신용대출(C6_A2001)와동일</t>
  </si>
  <si>
    <t>신용대출(C6_A2003)와동일</t>
  </si>
  <si>
    <t>신용대출(C6_A2004)와동일</t>
  </si>
  <si>
    <t>신용대출(C6_A2005)와동일</t>
  </si>
  <si>
    <t>신용대출(C6_A2006)와동일</t>
  </si>
  <si>
    <t>신용대출(C6_A2007)와동일</t>
  </si>
  <si>
    <t>신용대출(C6_A2008)와동일</t>
  </si>
  <si>
    <t>신용대출(C6_A2010)와동일</t>
  </si>
  <si>
    <t>신용대출(C6_A2011)와동일</t>
  </si>
  <si>
    <t>신용대출(C6_A2012)와동일</t>
  </si>
  <si>
    <t>신용대출(C6_A2013)와동일</t>
  </si>
  <si>
    <t>신용대출(C6_A2014)와동일- 대상상품코드 확인바람</t>
    <phoneticPr fontId="17" type="noConversion"/>
  </si>
  <si>
    <t>신용대출(C6_A2015)와동일</t>
  </si>
  <si>
    <t>신용대출(C6_A2016)와동일</t>
  </si>
  <si>
    <t>신용대출(C6_A2017)와동일</t>
  </si>
  <si>
    <t>신용대출(C6_A2018)와동일</t>
  </si>
  <si>
    <t>신용대출(C6_A2019)와동일</t>
  </si>
  <si>
    <t>신용대출(C6_A2024)와동일</t>
  </si>
  <si>
    <t>신용대출(C6_A2026)와동일</t>
    <phoneticPr fontId="17" type="noConversion"/>
  </si>
  <si>
    <t>신용대출(C6_A2030)와동일</t>
  </si>
  <si>
    <t>신용대출(C6_A2031)와동일</t>
  </si>
  <si>
    <t>신용대출(C6_A2032)와동일</t>
  </si>
  <si>
    <t>신용대출(C6_A2033)와동일</t>
  </si>
  <si>
    <t>신용대출(C6_A2034)와동일</t>
  </si>
  <si>
    <t>신용대출(C6_A2035)와동일</t>
  </si>
  <si>
    <t>신용대출(C6_A2036와동일</t>
  </si>
  <si>
    <t>신용대출(C6_A2037와동일</t>
  </si>
  <si>
    <t>신용대출(C6_A2041)와동일</t>
  </si>
  <si>
    <t>신용대출(C6_A2043)와동일</t>
  </si>
  <si>
    <t>신용대출(C6_A2044)와동일</t>
  </si>
  <si>
    <t>신용대출(C6_A2045)와동일</t>
  </si>
  <si>
    <t>신용대출(C6_A2046)와동일</t>
    <phoneticPr fontId="17" type="noConversion"/>
  </si>
  <si>
    <t>신용대출(C6_A2047)와동일</t>
    <phoneticPr fontId="17" type="noConversion"/>
  </si>
  <si>
    <t>신용대출(C6_A2048)와동일</t>
  </si>
  <si>
    <t>신용대출(C6_A2049)와동일</t>
  </si>
  <si>
    <t>신용대출(C6_A2050)와동일</t>
  </si>
  <si>
    <t>신용대출(C6_A2051)와동일</t>
  </si>
  <si>
    <t>신용대출(C6_A2052)와동일</t>
  </si>
  <si>
    <t>신용대출(C6_A2053)와동일</t>
  </si>
  <si>
    <t>신용대출(C6_A2054)와동일</t>
  </si>
  <si>
    <t>신용대출(C6_A2055)와동일</t>
  </si>
  <si>
    <t>신용대출(C6_A2060)와동일</t>
  </si>
  <si>
    <t>신용대출(C6_A2061)와동일</t>
  </si>
  <si>
    <t>신용대출(C6_A2062)와동일</t>
  </si>
  <si>
    <t>신용대출(C6_A2063)와동일</t>
  </si>
  <si>
    <t>개사대출(C11_A2007)과동일</t>
    <phoneticPr fontId="17" type="noConversion"/>
  </si>
  <si>
    <t>개사대출(C11_A2039)요건확인</t>
    <phoneticPr fontId="17" type="noConversion"/>
  </si>
  <si>
    <t>개사대출(C11_A2040)요건확인</t>
    <phoneticPr fontId="17" type="noConversion"/>
  </si>
  <si>
    <t>개사대출(C11_A2041)요건확인</t>
    <phoneticPr fontId="17" type="noConversion"/>
  </si>
  <si>
    <t>카드론(C9_B2001)와동일</t>
  </si>
  <si>
    <t>카드론(C9_B2002)와동일</t>
  </si>
  <si>
    <t>카드론(C9_B2003)와동일</t>
  </si>
  <si>
    <t>카드론(C9_B2004)와동일</t>
  </si>
  <si>
    <t>카드론(C9_B2005)와동일</t>
  </si>
  <si>
    <t>카드론(C9_B2006)와동일</t>
  </si>
  <si>
    <t>카드론(C9_B2007)와동일</t>
  </si>
  <si>
    <t>카드론(C9_B2008)와동일</t>
  </si>
  <si>
    <t>카드론(C9_B2009)와동일</t>
  </si>
  <si>
    <t>카드론(C9_B2010)와동일</t>
  </si>
  <si>
    <t>카드론(C9_B2011)와동일</t>
  </si>
  <si>
    <t>카드론(C9_B2012)와동일</t>
  </si>
  <si>
    <t>신용대출(C6_A3021)와동일</t>
  </si>
  <si>
    <t>신용대출(C6_A3022)와동일</t>
  </si>
  <si>
    <t>신용대출(C6_A3026)와동일</t>
  </si>
  <si>
    <t>신용대출(C6_A3027)와동일</t>
  </si>
  <si>
    <t>신용대출(C6_A3028)와동일</t>
  </si>
  <si>
    <t>신용대출(C6_A3029)와동일</t>
  </si>
  <si>
    <t>신용대출(C6_A3030)와동일</t>
  </si>
  <si>
    <t>신용대출(C6_A3031)와동일</t>
  </si>
  <si>
    <t>신용대출(C6_A3032)와동일</t>
  </si>
  <si>
    <t>신용대출(C6_A3033)와동일</t>
  </si>
  <si>
    <t>신용대출(C6_A3034)와동일</t>
  </si>
  <si>
    <t>신용대출(C6_A3035)와동일</t>
  </si>
  <si>
    <t>신용대출(C6_A3036)와동일</t>
  </si>
  <si>
    <t>신용대출(C6_A3037)와동일</t>
  </si>
  <si>
    <t>신용대출(C6_A3038)와동일</t>
  </si>
  <si>
    <t>신용대출(C6_A3039)와동일</t>
  </si>
  <si>
    <t>신용대출(C6_A3040)와동일</t>
  </si>
  <si>
    <t>신용대출(C6_A3041)와동일</t>
  </si>
  <si>
    <t>신용대출(C6_A3044)와동일</t>
  </si>
  <si>
    <t>신용대출(C6_A3045)와동일</t>
  </si>
  <si>
    <t>신용대출(C6_A3046)와동일</t>
  </si>
  <si>
    <t>신용대출(C6_A3047)와동일</t>
  </si>
  <si>
    <t>신용대출(C6_A3048)와동일</t>
  </si>
  <si>
    <t>신용대출(C6_A3049)와동일</t>
  </si>
  <si>
    <t>신용대출(C6_A3050)와동일</t>
  </si>
  <si>
    <t>신용대출(C6_A3051)와동일</t>
  </si>
  <si>
    <t>신용대출(C6_A3052)와동일</t>
  </si>
  <si>
    <t>신용대출(C6_A3053)와동일</t>
  </si>
  <si>
    <t>신용대출(C6_A3054)와동일</t>
  </si>
  <si>
    <t>신용대출(C6_A3055)와동일</t>
  </si>
  <si>
    <t>신용대출(C6_A3056)와동일</t>
  </si>
  <si>
    <t>신용대출(C6_A3057)와동일</t>
  </si>
  <si>
    <t>신용대출(C6_A3064)와동일</t>
  </si>
  <si>
    <t>신용대출(C6_A3065)와동일</t>
  </si>
  <si>
    <t>신용대출(C6_A3066)와동일</t>
  </si>
  <si>
    <t>신용대출(C6_A3070)와동일</t>
  </si>
  <si>
    <t>신용대출(C6_A3071)와동일</t>
  </si>
  <si>
    <t>신용대출(C6_A3072)와동일</t>
  </si>
  <si>
    <t>신용대출(C6_A3073)와동일</t>
  </si>
  <si>
    <t>신용대출(C6_A3074)와동일</t>
  </si>
  <si>
    <t>이지론(C9_A3075) 과 동일</t>
    <phoneticPr fontId="2" type="noConversion"/>
  </si>
  <si>
    <t>개사대출(C11_A4230) 과 동일</t>
    <phoneticPr fontId="2" type="noConversion"/>
  </si>
  <si>
    <t>개사대출(C11_A4219) 과 동일</t>
    <phoneticPr fontId="2" type="noConversion"/>
  </si>
  <si>
    <t>개사대출(C11_A4220) 과 동일</t>
    <phoneticPr fontId="2" type="noConversion"/>
  </si>
  <si>
    <t>개사대출(C11_A4221) 과 동일</t>
    <phoneticPr fontId="2" type="noConversion"/>
  </si>
  <si>
    <t>개사대출(C11_A4010) 과 동일</t>
    <phoneticPr fontId="2" type="noConversion"/>
  </si>
  <si>
    <t>개사대출(C11_A4011) 과 동일</t>
    <phoneticPr fontId="2" type="noConversion"/>
  </si>
  <si>
    <t>개사대출(C11_A4012) 과 동일</t>
    <phoneticPr fontId="2" type="noConversion"/>
  </si>
  <si>
    <t>개사대출(C11_A4212) 과 동일</t>
    <phoneticPr fontId="2" type="noConversion"/>
  </si>
  <si>
    <t>개사대출(C11_A4218) 과 동일</t>
    <phoneticPr fontId="2" type="noConversion"/>
  </si>
  <si>
    <t>신용대출(C6_B3001)와동일</t>
  </si>
  <si>
    <t>신용대출(C6_B3002)와동일</t>
  </si>
  <si>
    <t>신용대출(C6_B3003)와동일</t>
  </si>
  <si>
    <t>신용대출(C6_B3004)와동일</t>
  </si>
  <si>
    <t>신용대출(C6_B3005)와동일</t>
  </si>
  <si>
    <t>신용대출(C6_B3006)와동일</t>
  </si>
  <si>
    <t>신용대출(C6_B3007)와동일</t>
  </si>
  <si>
    <t>신용대출(C6_B3008)와동일</t>
  </si>
  <si>
    <t>신용대출(C6_B3009)와동일</t>
  </si>
  <si>
    <t>신용대출(C6_B3010)와동일</t>
  </si>
  <si>
    <t>신용대출(C6_B3012)와동일</t>
  </si>
  <si>
    <t>신용대출(C6_B3014)와동일</t>
  </si>
  <si>
    <t>카드론(C9_B3002)와동일</t>
    <phoneticPr fontId="17" type="noConversion"/>
  </si>
  <si>
    <t>카드론(C9_B3003)와동일</t>
    <phoneticPr fontId="17" type="noConversion"/>
  </si>
  <si>
    <t>카드론(C9_B3005)와동일</t>
    <phoneticPr fontId="17" type="noConversion"/>
  </si>
  <si>
    <t>카드론(C9_B3006)와동일</t>
    <phoneticPr fontId="17" type="noConversion"/>
  </si>
  <si>
    <t>카드론(C9_B3007)와동일</t>
    <phoneticPr fontId="17" type="noConversion"/>
  </si>
  <si>
    <t>카드론(C9_B3008)와동일</t>
    <phoneticPr fontId="17" type="noConversion"/>
  </si>
  <si>
    <t>카드론(C9_B3009)와동일</t>
    <phoneticPr fontId="17" type="noConversion"/>
  </si>
  <si>
    <t>카드론(C9_B3011)와동일</t>
    <phoneticPr fontId="17" type="noConversion"/>
  </si>
  <si>
    <t>신용대출(C6_A4001)와동일</t>
  </si>
  <si>
    <t>신용대출(C6_A4002)와동일</t>
  </si>
  <si>
    <t>신용대출(C6_A4003)와동일</t>
  </si>
  <si>
    <t>신용대출(C6_A4004)와동일</t>
  </si>
  <si>
    <t>신용대출(C6_A4005)와동일</t>
  </si>
  <si>
    <t>신용대출(C6_A4006)와동일</t>
  </si>
  <si>
    <t>신용대출(C6_A4007)와동일</t>
  </si>
  <si>
    <t>신용대출(C6_A4008)와동일</t>
  </si>
  <si>
    <t>신용대출(C6_A4015)와동일</t>
  </si>
  <si>
    <t>신용대출(C6_A4016)와동일</t>
  </si>
  <si>
    <t>신용대출(C6_A4017)와동일</t>
  </si>
  <si>
    <t>신용대출(C6_A4018)와동일</t>
  </si>
  <si>
    <t>신용대출(C6_A4019)와동일</t>
  </si>
  <si>
    <t>신용대출(C6_A4022)와동일</t>
  </si>
  <si>
    <t>신용대출(C6_A4023)와동일</t>
  </si>
  <si>
    <t>신용대출(C6_A4025)와동일</t>
  </si>
  <si>
    <t>신용대출(C6_A4027)와동일</t>
  </si>
  <si>
    <t>카드론(C9_B4021)와동일</t>
    <phoneticPr fontId="17" type="noConversion"/>
  </si>
  <si>
    <t>신용대출(C6_A4029)와동일</t>
  </si>
  <si>
    <t>신용대출(C6_A4031)와동일</t>
  </si>
  <si>
    <t>신용대출(C6_A4032)와동일</t>
  </si>
  <si>
    <t>신용대출(C6_A4033)와동일</t>
  </si>
  <si>
    <t>신용대출(C6_A4034)와동일</t>
  </si>
  <si>
    <t>신용대출(C6_A4035)와동일</t>
  </si>
  <si>
    <t>신용대출(C6_A4037)와동일</t>
  </si>
  <si>
    <t>신용대출(C6_A4038)와동일</t>
  </si>
  <si>
    <t>신용대출(C6_A4039)와동일</t>
  </si>
  <si>
    <t>신용대출(C6_A4040)와동일</t>
  </si>
  <si>
    <t>카드론(C9_A4063)와동일</t>
    <phoneticPr fontId="17" type="noConversion"/>
  </si>
  <si>
    <t>카드론(C9_A4064)와동일</t>
    <phoneticPr fontId="17" type="noConversion"/>
  </si>
  <si>
    <t>신용대출(C6_A4043)와동일</t>
  </si>
  <si>
    <t>신용대출(C6_A4044)와동일</t>
  </si>
  <si>
    <t>신용대출(C6_A4046)와동일</t>
  </si>
  <si>
    <t>신용대출(C6_A4047)와동일</t>
  </si>
  <si>
    <t>카드론(C9_A4023)와동일</t>
    <phoneticPr fontId="17" type="noConversion"/>
  </si>
  <si>
    <t>카드론(C9_A4065)와동일</t>
    <phoneticPr fontId="17" type="noConversion"/>
  </si>
  <si>
    <t>카드론(C9_A4066)와동일</t>
    <phoneticPr fontId="17" type="noConversion"/>
  </si>
  <si>
    <t>신용대출(C6_A4051)와동일</t>
  </si>
  <si>
    <t>신용대출(C6_A4052)와동일</t>
  </si>
  <si>
    <t>신용대출(C6_A4053)와동일</t>
  </si>
  <si>
    <t>신용대출(C6_A4054)와동일</t>
  </si>
  <si>
    <t>카드론(C9_A4015)와동일</t>
    <phoneticPr fontId="17" type="noConversion"/>
  </si>
  <si>
    <t>신용대출(C6_B4001)와동일</t>
  </si>
  <si>
    <t>신용대출(C6_B4002)와동일</t>
  </si>
  <si>
    <t>신용대출(C6_B4003)와동일</t>
  </si>
  <si>
    <t>신용대출(C6_B4005)와동일</t>
  </si>
  <si>
    <t>신용대출(C6_B4007)와동일</t>
  </si>
  <si>
    <t>신용대출(C6_B4008)와동일</t>
  </si>
  <si>
    <t>신용대출(C6_B4009)와동일</t>
  </si>
  <si>
    <t>신용대출(C6_B4012)와동일</t>
  </si>
  <si>
    <t>신용대출(C6_B4014)와동일</t>
  </si>
  <si>
    <t>신용대출(C6_B4015)와동일</t>
  </si>
  <si>
    <t>신용대출(C6_B4016)와동일</t>
  </si>
  <si>
    <t>신용대출(C6_B4017)와동일</t>
  </si>
  <si>
    <t>신용대출(C6_B4018)와동일</t>
  </si>
  <si>
    <t>신용대출(C6_B4019)와동일</t>
  </si>
  <si>
    <t>신용대출(C6_B4020)와동일</t>
  </si>
  <si>
    <t>신용대출(C6_B4021)와동일</t>
  </si>
  <si>
    <t>신용대출(C6_B4022)와동일</t>
  </si>
  <si>
    <t>신용대출(C6_B4023)와동일</t>
  </si>
  <si>
    <t>신용대출(C6_B4024)와동일</t>
  </si>
  <si>
    <t>신용대출(C6_B4025)와동일</t>
  </si>
  <si>
    <t>신용대출(C6_B4026)와동일</t>
  </si>
  <si>
    <t>신용대출(C6_B4027)와동일</t>
  </si>
  <si>
    <t>신용대출(C6_B4028)와동일</t>
  </si>
  <si>
    <t>신용대출(C6_B4029)와동일</t>
  </si>
  <si>
    <t>신용대출(C6_B4032)와동일</t>
  </si>
  <si>
    <t>신용대출(C6_B4033)와동일</t>
  </si>
  <si>
    <t>신용대출(C6_B4034)와동일</t>
  </si>
  <si>
    <t>신용대출(C6_B4037)와동일</t>
  </si>
  <si>
    <t>신용대출(C6_B4040)와동일</t>
  </si>
  <si>
    <t>신용대출(C6_B4041)와동일</t>
  </si>
  <si>
    <t>신용대출(C6_B4042)와동일</t>
  </si>
  <si>
    <t>신용대출(C6_B4047)와동일</t>
  </si>
  <si>
    <t>신용대출(C6_B4048)와동일</t>
  </si>
  <si>
    <t>신용대출(C6_B4049)와동일</t>
  </si>
  <si>
    <t>신용대출(C6_B4050)와동일</t>
  </si>
  <si>
    <t>신용대출(C6_B4051)와동일</t>
  </si>
  <si>
    <t>신용대출(C6_B4052)와동일</t>
  </si>
  <si>
    <t>신용대출(C6_B4053)와동일</t>
  </si>
  <si>
    <t>신용대출(C6_B4054)와동일</t>
  </si>
  <si>
    <t>카드론(C9_B4001)와동일</t>
    <phoneticPr fontId="17" type="noConversion"/>
  </si>
  <si>
    <t>카드론(C9_B4003)와동일</t>
  </si>
  <si>
    <t>카드론(C9_B4004)와동일</t>
  </si>
  <si>
    <t>카드론(C9_B4006)와동일</t>
  </si>
  <si>
    <t>카드론(C9_B4008)와동일</t>
  </si>
  <si>
    <t>카드론(C9_B4009)와동일</t>
  </si>
  <si>
    <t>카드론(C9_B4014)와동일</t>
  </si>
  <si>
    <t>카드론(C9_B4015)와동일</t>
  </si>
  <si>
    <t>카드론(C9_B4016)와동일</t>
  </si>
  <si>
    <t>카드론(C9_B4017)와동일</t>
  </si>
  <si>
    <t>카드론(C9_B4019)와동일</t>
  </si>
  <si>
    <t>카드론(C9_B4023)와동일</t>
  </si>
  <si>
    <t>카드론(C9_B4026)와동일</t>
  </si>
  <si>
    <t>카드론(C9_B4028)와동일</t>
  </si>
  <si>
    <t>카드론(C9_B4030)와동일</t>
  </si>
  <si>
    <t>카드론(C9_A7001)와동일</t>
  </si>
  <si>
    <t>카드론(C9_A7002)와동일</t>
  </si>
  <si>
    <t>카드론(C9_A7003)와동일</t>
  </si>
  <si>
    <t>카드론(C9_A7004)와동일</t>
  </si>
  <si>
    <t>카드론(C9_A7005)와동일</t>
  </si>
  <si>
    <t>카드론(C9_A7007)와동일</t>
  </si>
  <si>
    <t>카드론(C9_A7009)와동일</t>
  </si>
  <si>
    <t>카드론(C9_A7011)와동일</t>
  </si>
  <si>
    <t>카드론(C9_A7013)와동일</t>
  </si>
  <si>
    <t>카드론(C9_A7014)와동일</t>
  </si>
  <si>
    <t>A1001</t>
    <phoneticPr fontId="17" type="noConversion"/>
  </si>
  <si>
    <t>A2079</t>
    <phoneticPr fontId="17" type="noConversion"/>
  </si>
  <si>
    <t>A2080</t>
    <phoneticPr fontId="17" type="noConversion"/>
  </si>
  <si>
    <t>A2081</t>
    <phoneticPr fontId="17" type="noConversion"/>
  </si>
  <si>
    <t>A2082</t>
    <phoneticPr fontId="17" type="noConversion"/>
  </si>
  <si>
    <t>A4056</t>
    <phoneticPr fontId="17" type="noConversion"/>
  </si>
  <si>
    <t>A4058</t>
  </si>
  <si>
    <t>A4062</t>
    <phoneticPr fontId="17" type="noConversion"/>
  </si>
  <si>
    <t>이지론플러스대출잔액</t>
    <phoneticPr fontId="17" type="noConversion"/>
  </si>
  <si>
    <t>국세청소득구분코드</t>
    <phoneticPr fontId="17" type="noConversion"/>
  </si>
  <si>
    <t>건강보험가입자구분코드</t>
    <phoneticPr fontId="17" type="noConversion"/>
  </si>
  <si>
    <t>건강보험3개월납부여부</t>
    <phoneticPr fontId="17" type="noConversion"/>
  </si>
  <si>
    <t>신용카드최초가입년월일</t>
    <phoneticPr fontId="17" type="noConversion"/>
  </si>
  <si>
    <t>대출상환유예차주여부</t>
    <phoneticPr fontId="17" type="noConversion"/>
  </si>
  <si>
    <t>이지대환대출잔액</t>
    <phoneticPr fontId="17" type="noConversion"/>
  </si>
  <si>
    <t>대출이동대상_대출잔액</t>
    <phoneticPr fontId="17" type="noConversion"/>
  </si>
  <si>
    <t>미해제_연체_총_건수_P27000100</t>
    <phoneticPr fontId="17" type="noConversion"/>
  </si>
  <si>
    <t>미해제_총_연체_금액_P27000300</t>
    <phoneticPr fontId="17" type="noConversion"/>
  </si>
  <si>
    <t>NICE신용등급_N</t>
    <phoneticPr fontId="17" type="noConversion"/>
  </si>
  <si>
    <t>전은연대출_연간원리금상환금액(기준2)</t>
    <phoneticPr fontId="17" type="noConversion"/>
  </si>
  <si>
    <t>NICE동시대출여부</t>
    <phoneticPr fontId="17" type="noConversion"/>
  </si>
  <si>
    <t>NICE중금리ML등급_NPML</t>
    <phoneticPr fontId="17" type="noConversion"/>
  </si>
  <si>
    <t>KCB신용평점</t>
    <phoneticPr fontId="17" type="noConversion"/>
  </si>
  <si>
    <t>KCB신용등급_K</t>
    <phoneticPr fontId="17" type="noConversion"/>
  </si>
  <si>
    <t>연체대환대출건수(미해지)</t>
    <phoneticPr fontId="17" type="noConversion"/>
  </si>
  <si>
    <t>은행업신용대출기관수_K</t>
    <phoneticPr fontId="17" type="noConversion"/>
  </si>
  <si>
    <t>할부업신용대출기관수_K</t>
    <phoneticPr fontId="17" type="noConversion"/>
  </si>
  <si>
    <t>저축업신용대출기관수_K</t>
    <phoneticPr fontId="17" type="noConversion"/>
  </si>
  <si>
    <t>카드업신용대출기관수_K</t>
    <phoneticPr fontId="17" type="noConversion"/>
  </si>
  <si>
    <t>보험업신용대출기관수_K</t>
    <phoneticPr fontId="17" type="noConversion"/>
  </si>
  <si>
    <t>기타업신용대출기관수_K</t>
    <phoneticPr fontId="17" type="noConversion"/>
  </si>
  <si>
    <t>자산평가지수구분코드_K</t>
    <phoneticPr fontId="17" type="noConversion"/>
  </si>
  <si>
    <t>DSR규제대상주담대구분_신정원</t>
    <phoneticPr fontId="17" type="noConversion"/>
  </si>
  <si>
    <t>신용대출(C6_A2002)와동일/C11_A2004와다름</t>
    <phoneticPr fontId="17" type="noConversion"/>
  </si>
  <si>
    <t>신용대출(C6_A2009)와동일/C11_A2006과동일</t>
    <phoneticPr fontId="17" type="noConversion"/>
  </si>
  <si>
    <t>신용대출(C6_A2020)와동일</t>
    <phoneticPr fontId="17" type="noConversion"/>
  </si>
  <si>
    <t>신용대출(C6_A2021)와동일</t>
    <phoneticPr fontId="17" type="noConversion"/>
  </si>
  <si>
    <t>신용대출(C6_A2022)와동일</t>
    <phoneticPr fontId="17" type="noConversion"/>
  </si>
  <si>
    <t>신용대출(C6_A2023)와동일</t>
    <phoneticPr fontId="17" type="noConversion"/>
  </si>
  <si>
    <t>신용대출(C6_A2027)와동일</t>
    <phoneticPr fontId="17" type="noConversion"/>
  </si>
  <si>
    <t>신용대출(C6_A2028)와동일</t>
    <phoneticPr fontId="17" type="noConversion"/>
  </si>
  <si>
    <t>신용대출(C6_A2029)와동일</t>
    <phoneticPr fontId="17" type="noConversion"/>
  </si>
  <si>
    <t>신용대출(C6_A2042)와동일/C9_A2056동일여부확인</t>
    <phoneticPr fontId="17" type="noConversion"/>
  </si>
  <si>
    <t>개사대출(C11_A2005)요건확인</t>
    <phoneticPr fontId="17" type="noConversion"/>
  </si>
  <si>
    <t>카드론(C9_A2052)와동일</t>
    <phoneticPr fontId="17" type="noConversion"/>
  </si>
  <si>
    <t>카드론(C9_A2053)와동일</t>
    <phoneticPr fontId="17" type="noConversion"/>
  </si>
  <si>
    <t>카드론(C9_A2054)와동일</t>
    <phoneticPr fontId="17" type="noConversion"/>
  </si>
  <si>
    <t>개사대출(C11_A2046)과동일</t>
    <phoneticPr fontId="17" type="noConversion"/>
  </si>
  <si>
    <t>A2014같은거 대출나간거</t>
    <phoneticPr fontId="17" type="noConversion"/>
  </si>
  <si>
    <t>신용대출(C6_B3011)와동일)/카드론(C9_B3001)</t>
    <phoneticPr fontId="17" type="noConversion"/>
  </si>
  <si>
    <t>신용대출(C6_B3013)와동일)/카드론(C9_B3004)</t>
    <phoneticPr fontId="17" type="noConversion"/>
  </si>
  <si>
    <t>신용대출(C6_B3015)와동일)/카드론(C9_B3010)</t>
    <phoneticPr fontId="17" type="noConversion"/>
  </si>
  <si>
    <t>신용대출(C6_A4014)와동일</t>
    <phoneticPr fontId="17" type="noConversion"/>
  </si>
  <si>
    <t>카드론(C9_A4024)와동일</t>
    <phoneticPr fontId="17" type="noConversion"/>
  </si>
  <si>
    <t>카드론(C9_A4025)와동일</t>
  </si>
  <si>
    <t>카드론(C9_A4026)와동일</t>
  </si>
  <si>
    <t>카드론(C9_A4027)와동일</t>
  </si>
  <si>
    <t>카드론(C9_A4028)와동일</t>
  </si>
  <si>
    <t>카드론(C9_A4029)와동일</t>
  </si>
  <si>
    <t>신용대출(C6_B4004)와동일/카드론(C9_B4024)</t>
    <phoneticPr fontId="17" type="noConversion"/>
  </si>
  <si>
    <t>신용대출(C6_B4006)와동일/카드론(C9_B4032)</t>
    <phoneticPr fontId="17" type="noConversion"/>
  </si>
  <si>
    <t>신용대출(C6_B4010)와동일/카드론(C9_B4033)</t>
    <phoneticPr fontId="17" type="noConversion"/>
  </si>
  <si>
    <t>신용대출(C6_B4011)와동일/카드론(C9_B4002)</t>
    <phoneticPr fontId="17" type="noConversion"/>
  </si>
  <si>
    <t>신용대출(C6_B4013)와동일/카드론(C9_B4011)</t>
    <phoneticPr fontId="17" type="noConversion"/>
  </si>
  <si>
    <t>신용대출(C6_B4030)와동일/카드론(C9_B4022)</t>
    <phoneticPr fontId="17" type="noConversion"/>
  </si>
  <si>
    <t>신용대출(C6_B4031)와동일/카드론(C9_B4025)</t>
    <phoneticPr fontId="17" type="noConversion"/>
  </si>
  <si>
    <t>신용대출(C6_B4035)와동일/카드론(C9_B4010)</t>
    <phoneticPr fontId="17" type="noConversion"/>
  </si>
  <si>
    <t>신용대출(C6_B4036)와동일/카드론(C9_B4027)</t>
    <phoneticPr fontId="17" type="noConversion"/>
  </si>
  <si>
    <t>신용대출(C6_B4038)와동일/카드론(C9_B4012)</t>
    <phoneticPr fontId="17" type="noConversion"/>
  </si>
  <si>
    <t>신용대출(C6_B4039)와동일/카드론(C9_B4013)</t>
    <phoneticPr fontId="17" type="noConversion"/>
  </si>
  <si>
    <t>신용대출(C6_B4043)와동일/카드론(C9_B4018)</t>
    <phoneticPr fontId="17" type="noConversion"/>
  </si>
  <si>
    <t>신용대출(C6_B4044)와동일/카드론(C9_B4020)</t>
    <phoneticPr fontId="17" type="noConversion"/>
  </si>
  <si>
    <t>신용대출(C6_B4045)와동일/카드론(C9_B4005)</t>
    <phoneticPr fontId="17" type="noConversion"/>
  </si>
  <si>
    <t>신용대출(C6_B4046)와동일/카드론(C9_B4031)</t>
    <phoneticPr fontId="17" type="noConversion"/>
  </si>
  <si>
    <t>신용대출(C6_B4055)와동일/카드론(C9_A4016)</t>
    <phoneticPr fontId="17" type="noConversion"/>
  </si>
  <si>
    <t>BS0000051</t>
    <phoneticPr fontId="17" type="noConversion"/>
  </si>
  <si>
    <t>B22000200</t>
    <phoneticPr fontId="17" type="noConversion"/>
  </si>
  <si>
    <t>SP0500000</t>
  </si>
  <si>
    <t>L1Z000707</t>
    <phoneticPr fontId="17" type="noConversion"/>
  </si>
  <si>
    <t>L1Z000710</t>
    <phoneticPr fontId="17" type="noConversion"/>
  </si>
  <si>
    <t>L1Z000711</t>
    <phoneticPr fontId="17" type="noConversion"/>
  </si>
  <si>
    <t>L1Z000714</t>
    <phoneticPr fontId="17" type="noConversion"/>
  </si>
  <si>
    <t>L1Z000715</t>
    <phoneticPr fontId="17" type="noConversion"/>
  </si>
  <si>
    <t>L1Z000718</t>
    <phoneticPr fontId="17" type="noConversion"/>
  </si>
  <si>
    <t>U81203010</t>
  </si>
  <si>
    <t>R0042</t>
  </si>
  <si>
    <t>R0043</t>
  </si>
  <si>
    <t>R0044</t>
  </si>
  <si>
    <t>R0055</t>
  </si>
  <si>
    <t>R0056</t>
  </si>
  <si>
    <t>R0057</t>
  </si>
  <si>
    <t>R0058</t>
  </si>
  <si>
    <t>R0059</t>
  </si>
  <si>
    <t>R0075</t>
    <phoneticPr fontId="17" type="noConversion"/>
  </si>
  <si>
    <t>R0077</t>
    <phoneticPr fontId="17" type="noConversion"/>
  </si>
  <si>
    <t>접수번호</t>
    <phoneticPr fontId="17" type="noConversion"/>
  </si>
  <si>
    <t>최종대출가능금액</t>
    <phoneticPr fontId="17" type="noConversion"/>
  </si>
  <si>
    <t>금리등급</t>
    <phoneticPr fontId="17" type="noConversion"/>
  </si>
  <si>
    <t>대출이율</t>
    <phoneticPr fontId="17" type="noConversion"/>
  </si>
  <si>
    <t>최장대출기간</t>
    <phoneticPr fontId="17" type="noConversion"/>
  </si>
  <si>
    <t>최장거치기간</t>
    <phoneticPr fontId="17" type="noConversion"/>
  </si>
  <si>
    <t>당사신용체크회원구분</t>
    <phoneticPr fontId="17" type="noConversion"/>
  </si>
  <si>
    <t>사업자여부</t>
    <phoneticPr fontId="17" type="noConversion"/>
  </si>
  <si>
    <t>취급불가내용</t>
    <phoneticPr fontId="17" type="noConversion"/>
  </si>
  <si>
    <t>대출탈락사유내용</t>
    <phoneticPr fontId="17" type="noConversion"/>
  </si>
  <si>
    <t>컷오프통과여부</t>
    <phoneticPr fontId="17" type="noConversion"/>
  </si>
  <si>
    <t>낙아웃탈락여부</t>
    <phoneticPr fontId="17" type="noConversion"/>
  </si>
  <si>
    <t>한도전략그룹</t>
    <phoneticPr fontId="17" type="noConversion"/>
  </si>
  <si>
    <t>시스템판정코드</t>
    <phoneticPr fontId="17" type="noConversion"/>
  </si>
  <si>
    <t>이지대환결합등급</t>
    <phoneticPr fontId="17" type="noConversion"/>
  </si>
  <si>
    <t>RISK등급</t>
    <phoneticPr fontId="17" type="noConversion"/>
  </si>
  <si>
    <t>카드론신청평점</t>
    <phoneticPr fontId="17" type="noConversion"/>
  </si>
  <si>
    <t>카드론신청등급</t>
    <phoneticPr fontId="17" type="noConversion"/>
  </si>
  <si>
    <t>신용대출신청평점</t>
    <phoneticPr fontId="17" type="noConversion"/>
  </si>
  <si>
    <t>신용대출신청등급</t>
    <phoneticPr fontId="17" type="noConversion"/>
  </si>
  <si>
    <t>대출이동상환총액</t>
    <phoneticPr fontId="17" type="noConversion"/>
  </si>
  <si>
    <t>대출이동대상계좌_원리금</t>
    <phoneticPr fontId="17" type="noConversion"/>
  </si>
  <si>
    <t>대출이동대상계좌_기관코드</t>
    <phoneticPr fontId="17" type="noConversion"/>
  </si>
  <si>
    <t>대출이동대상계좌_업권</t>
    <phoneticPr fontId="17" type="noConversion"/>
  </si>
  <si>
    <t>대출이동대상고객_최저보유업권</t>
    <phoneticPr fontId="17" type="noConversion"/>
  </si>
  <si>
    <t>월가처분소득_기존</t>
    <phoneticPr fontId="17" type="noConversion"/>
  </si>
  <si>
    <t>월가처분소득_이동원리금제외</t>
    <phoneticPr fontId="17" type="noConversion"/>
  </si>
  <si>
    <t>등급별최대한도</t>
    <phoneticPr fontId="17" type="noConversion"/>
  </si>
  <si>
    <t>가처분소득기초한도</t>
    <phoneticPr fontId="17" type="noConversion"/>
  </si>
  <si>
    <t>카드론처리계한도</t>
    <phoneticPr fontId="17" type="noConversion"/>
  </si>
  <si>
    <t>이지론플러스처리계한도</t>
    <phoneticPr fontId="17" type="noConversion"/>
  </si>
  <si>
    <t>순수신용대출처리계한도</t>
    <phoneticPr fontId="17" type="noConversion"/>
  </si>
  <si>
    <t>당사기존대출잔액_상품별한도계산용</t>
    <phoneticPr fontId="17" type="noConversion"/>
  </si>
  <si>
    <t>당사기존대출잔액_DSR용</t>
    <phoneticPr fontId="17" type="noConversion"/>
  </si>
  <si>
    <t>금감원DSR제한한도_최종</t>
    <phoneticPr fontId="17" type="noConversion"/>
  </si>
  <si>
    <t>금감원DSR제한한도_일반</t>
    <phoneticPr fontId="17" type="noConversion"/>
  </si>
  <si>
    <t>금감원DSR제한한도_관리대상</t>
    <phoneticPr fontId="17" type="noConversion"/>
  </si>
  <si>
    <t>DSR관리대상자여부</t>
    <phoneticPr fontId="17" type="noConversion"/>
  </si>
  <si>
    <t>DSR관리대상내최대한도</t>
    <phoneticPr fontId="17" type="noConversion"/>
  </si>
  <si>
    <t>총대출잔액_신정원</t>
    <phoneticPr fontId="17" type="noConversion"/>
  </si>
  <si>
    <t>인정소득</t>
    <phoneticPr fontId="17" type="noConversion"/>
  </si>
  <si>
    <t>신정원원리금상환금액</t>
    <phoneticPr fontId="17" type="noConversion"/>
  </si>
  <si>
    <t>DSR반영전한도</t>
    <phoneticPr fontId="17" type="noConversion"/>
  </si>
  <si>
    <t>NICE신용평점</t>
    <phoneticPr fontId="17" type="noConversion"/>
  </si>
  <si>
    <t>KCB신용등급</t>
    <phoneticPr fontId="17" type="noConversion"/>
  </si>
  <si>
    <t>NICE신용등급</t>
    <phoneticPr fontId="17" type="noConversion"/>
  </si>
  <si>
    <t>KCB비대면연계대출등급</t>
    <phoneticPr fontId="17" type="noConversion"/>
  </si>
  <si>
    <t>다중채무위험등급</t>
    <phoneticPr fontId="17" type="noConversion"/>
  </si>
  <si>
    <t>미래상환능력지수</t>
    <phoneticPr fontId="17" type="noConversion"/>
  </si>
  <si>
    <t>KCB소호머신러닝등급</t>
    <phoneticPr fontId="17" type="noConversion"/>
  </si>
  <si>
    <t>INDEX등급</t>
    <phoneticPr fontId="17" type="noConversion"/>
  </si>
  <si>
    <t>PI등급</t>
    <phoneticPr fontId="17" type="noConversion"/>
  </si>
  <si>
    <t>PI플러스등급</t>
    <phoneticPr fontId="17" type="noConversion"/>
  </si>
  <si>
    <t>그룹다중채무세그먼트등급_카드론</t>
    <phoneticPr fontId="17" type="noConversion"/>
  </si>
  <si>
    <t>그룹다중채무세그먼트등급_일반대출</t>
    <phoneticPr fontId="17" type="noConversion"/>
  </si>
  <si>
    <t>KCB추정소득</t>
    <phoneticPr fontId="17" type="noConversion"/>
  </si>
  <si>
    <t>NICE추정소득</t>
    <phoneticPr fontId="17" type="noConversion"/>
  </si>
  <si>
    <t>KCB은행등록추정소득</t>
    <phoneticPr fontId="17" type="noConversion"/>
  </si>
  <si>
    <t>NICE은행등록추정소득</t>
    <phoneticPr fontId="17" type="noConversion"/>
  </si>
  <si>
    <t>CSM연소득</t>
    <phoneticPr fontId="17" type="noConversion"/>
  </si>
  <si>
    <t>스크래핑연환산소득_건보</t>
    <phoneticPr fontId="17" type="noConversion"/>
  </si>
  <si>
    <t>스크래핑연환산소득_국세청</t>
    <phoneticPr fontId="17" type="noConversion"/>
  </si>
  <si>
    <t>다중채무자여부</t>
    <phoneticPr fontId="17" type="noConversion"/>
  </si>
  <si>
    <t>카드론결합CB등급구분코드</t>
    <phoneticPr fontId="17" type="noConversion"/>
  </si>
  <si>
    <t>ASS사용구분</t>
    <phoneticPr fontId="17" type="noConversion"/>
  </si>
  <si>
    <t>예외승인여부</t>
    <phoneticPr fontId="17" type="noConversion"/>
  </si>
  <si>
    <t>알클립스버전코드_확인용</t>
    <phoneticPr fontId="17" type="noConversion"/>
  </si>
  <si>
    <t>시스템판정결과상세코드</t>
    <phoneticPr fontId="17" type="noConversion"/>
  </si>
  <si>
    <t>금소법용_연대출잔액</t>
    <phoneticPr fontId="17" type="noConversion"/>
  </si>
  <si>
    <t>금소법용_연평균추정소득</t>
    <phoneticPr fontId="17" type="noConversion"/>
  </si>
  <si>
    <t>금결원_신정원_계좌불일치여부</t>
  </si>
  <si>
    <t>소개대출여부</t>
  </si>
  <si>
    <t>C</t>
  </si>
  <si>
    <t>최근6개월수신평잔</t>
  </si>
  <si>
    <t>네이버파이낸셜관련 로직 추가.(카드론 대출가능금액조회시 네이버에서는 건보료, 신용대출의 경우 건보료, 사업자대출의 경우 국세청)</t>
  </si>
  <si>
    <t>[i이지대환대출RCLIPS전문조립C].[연소득금액]</t>
    <phoneticPr fontId="2" type="noConversion"/>
  </si>
  <si>
    <t>[i이지대환대출RCLIPS전문조립C]</t>
  </si>
  <si>
    <t>[r비회원사전대상자내역기간조회E].[혜택가맹점구분코드]</t>
  </si>
  <si>
    <t>[r비회원사전대상자내역기간조회E].[혜택가맹점할인률]</t>
  </si>
  <si>
    <t>[r비회원사전대상자내역기간조회E].[사업자등록경과일수]</t>
  </si>
  <si>
    <t>[r비회원사전대상자내역기간조회E].[개인사업자여부]</t>
  </si>
  <si>
    <t>[r비회원사전대상자내역기간조회E].[소호고객여부]</t>
  </si>
  <si>
    <t>[r비회원사전대상자내역기간조회E].[소호특화등급산정대상여부]</t>
  </si>
  <si>
    <t>[r비회원사전대상자내역기간조회E].[소호특화가중치구분코드]</t>
  </si>
  <si>
    <t>[r비회원사전대상자내역기간조회E].[소호특화통합평가점수]</t>
  </si>
  <si>
    <t>[r비회원사전대상자내역기간조회E].[소호특화통합등급구분코드]</t>
  </si>
  <si>
    <t>[r비회원사전대상자내역기간조회E].[가맹점신규경과월수]</t>
  </si>
  <si>
    <t>[r비회원사전대상자내역기간조회E].[N3개월1개월평균매출금액변동률]</t>
  </si>
  <si>
    <t>[r비회원사전대상자내역기간조회E].[N6개월3개월평균매출금액변동률]</t>
  </si>
  <si>
    <t>비회원신용대출건수_N9</t>
  </si>
  <si>
    <t>고객입력연소득금액_N15</t>
  </si>
  <si>
    <t>A2056</t>
    <phoneticPr fontId="17" type="noConversion"/>
  </si>
  <si>
    <t>고객으로부터 입력받은 연소득금액</t>
    <phoneticPr fontId="2" type="noConversion"/>
  </si>
  <si>
    <t>[r비회원사전대상자내역기간조회E].[KB국민은행6개월신탁평잔]</t>
  </si>
  <si>
    <t>[r비회원사전대상자내역기간조회E].[KB국민은행6개월방카슈랑스평잔]</t>
  </si>
  <si>
    <t>개인사업자대출잔액_N15</t>
  </si>
  <si>
    <t>bd개인사업자대출가능금액</t>
  </si>
  <si>
    <t>입력값</t>
    <phoneticPr fontId="2" type="noConversion"/>
  </si>
  <si>
    <t>TBGEAA274</t>
    <phoneticPr fontId="2" type="noConversion"/>
  </si>
  <si>
    <t>TBGEAA272</t>
    <phoneticPr fontId="2" type="noConversion"/>
  </si>
  <si>
    <t>TBGEAA001</t>
    <phoneticPr fontId="2" type="noConversion"/>
  </si>
  <si>
    <t>s대표자특수채권보유여부</t>
  </si>
  <si>
    <t>s대표자개인카드연체여부</t>
  </si>
  <si>
    <t>bd카드론대출가능금액</t>
  </si>
  <si>
    <t>bd이지론플러스대출가능금액</t>
  </si>
  <si>
    <t>bd신용대출대출가능금액</t>
  </si>
  <si>
    <t>s카드론금리등급구분코드</t>
  </si>
  <si>
    <t>s이지론플러스금리등급구분코드</t>
  </si>
  <si>
    <t>[i이지대환대출RCLIPS전문조립C].[대출이동대상상환예정금액_N15]</t>
  </si>
  <si>
    <t>rGEA신용정보원대출정보비교조회E</t>
  </si>
  <si>
    <t>신DTI연간추정금액</t>
  </si>
  <si>
    <t>KCIS부점코드</t>
  </si>
  <si>
    <t>TBGEAA222</t>
    <phoneticPr fontId="2" type="noConversion"/>
  </si>
  <si>
    <t>[i이지대환대출RCLIPS전문조립C].[대출이동대상업권_V2]</t>
  </si>
  <si>
    <t>[i이지대환대출RCLIPS전문조립C].[최저보유업권_V2]</t>
  </si>
  <si>
    <t>[r스크래핑국세청최종소득금액조회E].[국세청소득구분코드]</t>
  </si>
  <si>
    <t>[r스크래핑건강보험최종소득금액조회E].[건강보험가입자구분코드]</t>
  </si>
  <si>
    <t>[r스크래핑건강보험최종소득금액조회E].[건강보험3개월납부여부_V1]</t>
  </si>
  <si>
    <t>[rGAC회원기본고객식별자조회E].[회원최초신규발급년월일]</t>
  </si>
  <si>
    <t>[r카드론상환유예건수조회E].[유예건수_N13]</t>
  </si>
  <si>
    <t>이지대환대출잔액_N15</t>
  </si>
  <si>
    <t>KCIS대출잔액</t>
  </si>
  <si>
    <t>s계좌불일치여부</t>
  </si>
  <si>
    <t>소개대출여부_V1</t>
  </si>
  <si>
    <t>소개대출접수번호일 경우 1, 당사접수분일경우 0</t>
  </si>
  <si>
    <t>r신용회원사전대상자내역기간조회E</t>
  </si>
  <si>
    <t>r한국신용정보대출현금서비스DSR정보조회C</t>
  </si>
  <si>
    <t>A2062</t>
    <phoneticPr fontId="2" type="noConversion"/>
  </si>
  <si>
    <t>A2063</t>
    <phoneticPr fontId="2" type="noConversion"/>
  </si>
  <si>
    <t>기업대출한도</t>
    <phoneticPr fontId="2" type="noConversion"/>
  </si>
  <si>
    <t>기업대출금액</t>
    <phoneticPr fontId="2" type="noConversion"/>
  </si>
  <si>
    <t>이지대환대출한도</t>
    <phoneticPr fontId="2" type="noConversion"/>
  </si>
  <si>
    <t>이지대환대출금액</t>
    <phoneticPr fontId="2" type="noConversion"/>
  </si>
  <si>
    <t>A2051</t>
    <phoneticPr fontId="2" type="noConversion"/>
  </si>
  <si>
    <t>이지대환대출가능금액</t>
    <phoneticPr fontId="2" type="noConversion"/>
  </si>
  <si>
    <t>이지대환대출잔액</t>
    <phoneticPr fontId="2" type="noConversion"/>
  </si>
  <si>
    <t>이지대환대출한도</t>
    <phoneticPr fontId="2" type="noConversion"/>
  </si>
  <si>
    <t>이지대환대출잔액</t>
    <phoneticPr fontId="2" type="noConversion"/>
  </si>
  <si>
    <t>C1N2A6W07</t>
  </si>
  <si>
    <t>U5D001002</t>
  </si>
  <si>
    <t>미해지당사제외CA이용잔액</t>
  </si>
  <si>
    <t xml:space="preserve">     </t>
  </si>
  <si>
    <t>N1년당사제외월평균CA총이용금액</t>
  </si>
  <si>
    <t>N1월전당사제외카드이용잔액</t>
  </si>
  <si>
    <t xml:space="preserve">   </t>
  </si>
  <si>
    <t>N1년당사제외월평균카드이용잔액</t>
  </si>
  <si>
    <t>N6월신판이용금액</t>
  </si>
  <si>
    <t xml:space="preserve">             </t>
  </si>
  <si>
    <t>N6월CA월평균총이용금액</t>
  </si>
  <si>
    <t xml:space="preserve">       </t>
  </si>
  <si>
    <t>N6월당사제외CA월평균총이용금액</t>
  </si>
  <si>
    <t xml:space="preserve">               </t>
  </si>
  <si>
    <t>A1043</t>
  </si>
  <si>
    <t>A1044</t>
  </si>
  <si>
    <t>A1045</t>
  </si>
  <si>
    <t>A1046</t>
  </si>
  <si>
    <t>A1047</t>
  </si>
  <si>
    <t>A1048</t>
  </si>
  <si>
    <t>A1049</t>
  </si>
  <si>
    <t xml:space="preserve">스크래핑소득_국세청                </t>
  </si>
  <si>
    <t xml:space="preserve">스크래핑소득_건보                  </t>
  </si>
  <si>
    <t xml:space="preserve">기업대출한도평가정보조회           </t>
  </si>
  <si>
    <t xml:space="preserve">기업대출잔액                       </t>
  </si>
  <si>
    <t xml:space="preserve">이지대환한도평가정보조회           </t>
  </si>
  <si>
    <t xml:space="preserve">이지대환대출잔액                   </t>
  </si>
  <si>
    <t xml:space="preserve">채널구분코드     </t>
    <phoneticPr fontId="2" type="noConversion"/>
  </si>
  <si>
    <t>한신정카드론대출잔액_N15</t>
  </si>
  <si>
    <t>대출총잔액_N15</t>
  </si>
  <si>
    <t>한신정신용대출잔액_N15</t>
  </si>
  <si>
    <t>CA금액_N15</t>
  </si>
  <si>
    <t>CA이용기관수_N5</t>
  </si>
  <si>
    <t>카드론이용기관수_N5</t>
  </si>
  <si>
    <t>DSR규제대상총대출잔액_N15</t>
  </si>
  <si>
    <t>다중채무대상대출기관수_N5</t>
  </si>
  <si>
    <t>R0122</t>
    <phoneticPr fontId="16" type="noConversion"/>
  </si>
  <si>
    <t>추적제한전한도</t>
    <phoneticPr fontId="16" type="noConversion"/>
  </si>
  <si>
    <t>국민은행N6M수신평잔</t>
  </si>
  <si>
    <t>비회원신용대출건수</t>
  </si>
  <si>
    <t>연소득금액(고객입력)</t>
  </si>
  <si>
    <t>NICE동시대출건수</t>
  </si>
  <si>
    <t>tip스코어등급</t>
  </si>
  <si>
    <t>NICE스코어_V5</t>
  </si>
  <si>
    <t>알클립스버젼</t>
    <phoneticPr fontId="16" type="noConversion"/>
  </si>
  <si>
    <t>R0078</t>
    <phoneticPr fontId="2" type="noConversion"/>
  </si>
  <si>
    <t>총대출잔액_대출이동계좌제외</t>
    <phoneticPr fontId="2" type="noConversion"/>
  </si>
  <si>
    <t>신정원원리금상환금액_대출이동계좌제외</t>
    <phoneticPr fontId="2" type="noConversion"/>
  </si>
  <si>
    <t>대출이동대상계좌_대출잔액</t>
    <phoneticPr fontId="2" type="noConversion"/>
  </si>
  <si>
    <t>이지론오버라이드한도보유여부</t>
    <phoneticPr fontId="2" type="noConversion"/>
  </si>
  <si>
    <t>이지대환대출한도평가정보조회</t>
    <phoneticPr fontId="2" type="noConversion"/>
  </si>
  <si>
    <t>KCB동시대출건수</t>
    <phoneticPr fontId="2" type="noConversion"/>
  </si>
  <si>
    <t>은행업권주택담보대출건수(미해지)(KFB계좌단위)</t>
    <phoneticPr fontId="2" type="noConversion"/>
  </si>
  <si>
    <t>KCB전월세지수</t>
    <phoneticPr fontId="2" type="noConversion"/>
  </si>
  <si>
    <t>KCB거주지평균월세가</t>
    <phoneticPr fontId="2" type="noConversion"/>
  </si>
  <si>
    <t>결정연소득중최근1년은행등록연소득</t>
    <phoneticPr fontId="2" type="noConversion"/>
  </si>
  <si>
    <t>소득추정모형(결정연소득금액)</t>
    <phoneticPr fontId="2" type="noConversion"/>
  </si>
  <si>
    <t>우대한도구분</t>
  </si>
  <si>
    <t>스크래핑소득적용구분</t>
  </si>
  <si>
    <t>최종적용소득</t>
  </si>
  <si>
    <t>DSR_본건제외(항목만 만들어져있고 값산출 X)</t>
  </si>
  <si>
    <t>DSR_본건포함(항목만 만들어져있고 값산출 X)</t>
  </si>
  <si>
    <t>소호특화대상구분</t>
  </si>
  <si>
    <t>DSR관리대상여부</t>
  </si>
  <si>
    <t>DSR관리대상자_소득</t>
  </si>
  <si>
    <t>DSR가능한도금액</t>
  </si>
  <si>
    <t>사업자평가대상여부</t>
  </si>
  <si>
    <t>사업자대출가능금액</t>
  </si>
  <si>
    <t>파일럿대상구분</t>
  </si>
  <si>
    <t>인정소득금액</t>
  </si>
  <si>
    <t>다중채무조정금액</t>
  </si>
  <si>
    <t>다중채무여부_모범규준_실시간</t>
  </si>
  <si>
    <t>B3013</t>
  </si>
  <si>
    <t>B3015</t>
  </si>
  <si>
    <t>N1년신판이용금액</t>
  </si>
  <si>
    <t>N3월신판이용금액</t>
  </si>
  <si>
    <t>N6월카드유효한도소진율</t>
  </si>
  <si>
    <t>N5년휴대폰번호이력건수</t>
  </si>
  <si>
    <t>N3월카드유효한도소진율</t>
  </si>
  <si>
    <t>N6월CA활성한도소진율</t>
  </si>
  <si>
    <t>N3년폐업사업체수</t>
  </si>
  <si>
    <t>N2년휴대폰번호이력건수</t>
  </si>
  <si>
    <t>최근자택주소변경경과일수</t>
  </si>
  <si>
    <t>N1월현거주지동연령카드이용금액</t>
  </si>
  <si>
    <t>N1년월평균신판이용기관수</t>
  </si>
  <si>
    <t>N6월카드활성한도소진율</t>
  </si>
  <si>
    <t>N3월CA유효활성한도소진율</t>
  </si>
  <si>
    <t>미해지CA이용잔액보유카드건수</t>
  </si>
  <si>
    <t>N1년월평균일시불이용기관수</t>
  </si>
  <si>
    <t>N1년월평균신판총이용금액</t>
  </si>
  <si>
    <t>N6월평균이용기관수</t>
  </si>
  <si>
    <t>최초신용거래개설경과일수</t>
  </si>
  <si>
    <t>최근신용거래개설경과일수</t>
  </si>
  <si>
    <t>N1년해지포함총상환원금</t>
  </si>
  <si>
    <t>당사제외신용대출건수</t>
  </si>
  <si>
    <t>미해지LV123제외대출기관수</t>
  </si>
  <si>
    <t>N6월LV1신규대출기관수</t>
  </si>
  <si>
    <t>N6월LV1제외신규대출기관수</t>
  </si>
  <si>
    <t>미해지담보대출총금액</t>
  </si>
  <si>
    <t>N3월은행제외신규대출기관수</t>
  </si>
  <si>
    <t>N1월전비은행기업신용공여기관수</t>
  </si>
  <si>
    <t>KCBDSR연간상환원리금5</t>
  </si>
  <si>
    <t>해지포함최장연체일수</t>
  </si>
  <si>
    <t>다중채무위험스코어_K</t>
  </si>
  <si>
    <t>비대면연계대출스코어</t>
  </si>
  <si>
    <t>신용패턴지수(신용도 급변동 고객군)</t>
  </si>
  <si>
    <t>신용패턴지수(THIN-FILE 탈출 고객군)</t>
  </si>
  <si>
    <t>신용패턴지수(스코어패턴 TYPE1)</t>
  </si>
  <si>
    <t>신용패턴지수(스코어패턴 TYPE2)</t>
  </si>
  <si>
    <t>신용패턴지수(스코어패턴 TYPE3)</t>
  </si>
  <si>
    <t>신용패턴지수(신용거래패턴)</t>
  </si>
  <si>
    <t>신용패턴지수(카드이용 충성도)</t>
  </si>
  <si>
    <t>신용패턴지수(대출거래 패턴)</t>
  </si>
  <si>
    <t>비대면 신용개설가능지수 스코어</t>
  </si>
  <si>
    <t>비대면 신용개설가능지수 등급</t>
  </si>
  <si>
    <t>비대면 신용개설가능지수 신용변동 예측지표</t>
  </si>
  <si>
    <t>카드론대출기관수_L1K220000</t>
  </si>
  <si>
    <t>주택보유자산의제소득금액</t>
  </si>
  <si>
    <t>A4052</t>
  </si>
  <si>
    <t>주택미보유포함자산의제소득금액</t>
  </si>
  <si>
    <t>A4053</t>
  </si>
  <si>
    <t>신용대출건수</t>
  </si>
  <si>
    <t>A4054</t>
  </si>
  <si>
    <t>은행업종신용대출건수</t>
  </si>
  <si>
    <t>5</t>
  </si>
  <si>
    <t>A4110</t>
  </si>
  <si>
    <t>K2개인모델 스코어(Ver2)</t>
  </si>
  <si>
    <t>A4111</t>
  </si>
  <si>
    <t>K2개인모델 스코어(적용배제)(Ver2)</t>
  </si>
  <si>
    <t>A4112</t>
  </si>
  <si>
    <t>K2개인모델 스코어 가점사유코드(Ver2)</t>
  </si>
  <si>
    <t>A4113</t>
  </si>
  <si>
    <t>K2개인모델 스코어 감점사유코드(Ver2)</t>
  </si>
  <si>
    <t>A4114</t>
  </si>
  <si>
    <t>K2개인모델 세그먼트(Ver2)</t>
  </si>
  <si>
    <t>A4115</t>
  </si>
  <si>
    <t>중위등급세분화CBOnly모델스코어</t>
  </si>
  <si>
    <t>A4116</t>
  </si>
  <si>
    <t>중위등급세분화CBOnly모델스코어_적용배제</t>
  </si>
  <si>
    <t>A4117</t>
  </si>
  <si>
    <t>중위등급세분화CBOnly모델스코어_가점사유코드</t>
  </si>
  <si>
    <t>A4118</t>
  </si>
  <si>
    <t>중위등급세분화CBOnly모델스코어_감점사유코드</t>
  </si>
  <si>
    <t>A4119</t>
  </si>
  <si>
    <t>중위등급세분화CBOnly모델스코어_세그먼트</t>
  </si>
  <si>
    <t>9</t>
  </si>
  <si>
    <t>A8189</t>
  </si>
  <si>
    <t>A8190</t>
  </si>
  <si>
    <t>A8191</t>
  </si>
  <si>
    <t>A8192</t>
  </si>
  <si>
    <t>A8193</t>
  </si>
  <si>
    <t>KBGS카드특화등급_LN19</t>
  </si>
  <si>
    <t>KBGS중위신용등급세분화_LN19</t>
  </si>
  <si>
    <t>KBGS상환능력평가모델_LN19</t>
  </si>
  <si>
    <t>핵심고위험세그먼트</t>
  </si>
  <si>
    <t>카드론포함신용대출총잔액_LN19</t>
  </si>
  <si>
    <t>IE0400007</t>
    <phoneticPr fontId="2" type="noConversion"/>
  </si>
  <si>
    <t>IE0400021</t>
    <phoneticPr fontId="2" type="noConversion"/>
  </si>
  <si>
    <t>LIVESTAT2</t>
    <phoneticPr fontId="2" type="noConversion"/>
  </si>
  <si>
    <t>CRT000005</t>
    <phoneticPr fontId="2" type="noConversion"/>
  </si>
  <si>
    <t>CRT000006</t>
    <phoneticPr fontId="2" type="noConversion"/>
  </si>
  <si>
    <t>BS0000783</t>
    <phoneticPr fontId="2" type="noConversion"/>
  </si>
  <si>
    <t>BS0000917</t>
    <phoneticPr fontId="2" type="noConversion"/>
  </si>
  <si>
    <t>BS0000041</t>
    <phoneticPr fontId="2" type="noConversion"/>
  </si>
  <si>
    <t>PH0000225</t>
    <phoneticPr fontId="2" type="noConversion"/>
  </si>
  <si>
    <t>RABAC0058</t>
    <phoneticPr fontId="2" type="noConversion"/>
  </si>
  <si>
    <t>P27000100</t>
    <phoneticPr fontId="2" type="noConversion"/>
  </si>
  <si>
    <t>P27000300</t>
    <phoneticPr fontId="2" type="noConversion"/>
  </si>
  <si>
    <t>P71010400</t>
    <phoneticPr fontId="2" type="noConversion"/>
  </si>
  <si>
    <t>DQ0052001</t>
    <phoneticPr fontId="2" type="noConversion"/>
  </si>
  <si>
    <t>SD0000001</t>
    <phoneticPr fontId="2" type="noConversion"/>
  </si>
  <si>
    <t>C11060600</t>
    <phoneticPr fontId="2" type="noConversion"/>
  </si>
  <si>
    <t>CS0000050</t>
    <phoneticPr fontId="2" type="noConversion"/>
  </si>
  <si>
    <t>CF0100122</t>
    <phoneticPr fontId="2" type="noConversion"/>
  </si>
  <si>
    <t>LA0000038</t>
    <phoneticPr fontId="2" type="noConversion"/>
  </si>
  <si>
    <t>LA0000039</t>
    <phoneticPr fontId="2" type="noConversion"/>
  </si>
  <si>
    <t>LA0000040</t>
    <phoneticPr fontId="2" type="noConversion"/>
  </si>
  <si>
    <t>KD1200101</t>
    <phoneticPr fontId="2" type="noConversion"/>
  </si>
  <si>
    <t>KD1200601</t>
    <phoneticPr fontId="2" type="noConversion"/>
  </si>
  <si>
    <t>KC2000027</t>
    <phoneticPr fontId="2" type="noConversion"/>
  </si>
  <si>
    <t>KC5000015</t>
    <phoneticPr fontId="2" type="noConversion"/>
  </si>
  <si>
    <t>LC0024202</t>
    <phoneticPr fontId="2" type="noConversion"/>
  </si>
  <si>
    <t>L21210900</t>
    <phoneticPr fontId="2" type="noConversion"/>
  </si>
  <si>
    <t>L21200500</t>
    <phoneticPr fontId="2" type="noConversion"/>
  </si>
  <si>
    <t>B32000200</t>
    <phoneticPr fontId="2" type="noConversion"/>
  </si>
  <si>
    <t>SS1001000</t>
    <phoneticPr fontId="2" type="noConversion"/>
  </si>
  <si>
    <t>SUL001000</t>
    <phoneticPr fontId="2" type="noConversion"/>
  </si>
  <si>
    <t>U21001000</t>
    <phoneticPr fontId="2" type="noConversion"/>
  </si>
  <si>
    <t>SD0001000</t>
    <phoneticPr fontId="2" type="noConversion"/>
  </si>
  <si>
    <t>AH1070004</t>
    <phoneticPr fontId="2" type="noConversion"/>
  </si>
  <si>
    <t>AH40D0001</t>
    <phoneticPr fontId="2" type="noConversion"/>
  </si>
  <si>
    <t>AH2020009</t>
    <phoneticPr fontId="2" type="noConversion"/>
  </si>
  <si>
    <t>AH40D0008</t>
    <phoneticPr fontId="2" type="noConversion"/>
  </si>
  <si>
    <t>U43002030</t>
    <phoneticPr fontId="2" type="noConversion"/>
  </si>
  <si>
    <t>U5DD02001</t>
  </si>
  <si>
    <t>LA0000037</t>
  </si>
  <si>
    <t>C1N128006</t>
    <phoneticPr fontId="2" type="noConversion"/>
  </si>
  <si>
    <t>C1Z001222</t>
    <phoneticPr fontId="2" type="noConversion"/>
  </si>
  <si>
    <t>L20231O00</t>
    <phoneticPr fontId="2" type="noConversion"/>
  </si>
  <si>
    <t>L2Z001254</t>
    <phoneticPr fontId="2" type="noConversion"/>
  </si>
  <si>
    <t>L2Z000131</t>
    <phoneticPr fontId="2" type="noConversion"/>
  </si>
  <si>
    <t>UA1040007</t>
    <phoneticPr fontId="2" type="noConversion"/>
  </si>
  <si>
    <t>D20210000</t>
    <phoneticPr fontId="2" type="noConversion"/>
  </si>
  <si>
    <t>D2Z000078</t>
    <phoneticPr fontId="2" type="noConversion"/>
  </si>
  <si>
    <t>C1Z001046</t>
    <phoneticPr fontId="2" type="noConversion"/>
  </si>
  <si>
    <t>C1Z000762</t>
    <phoneticPr fontId="2" type="noConversion"/>
  </si>
  <si>
    <t>L2Z001253</t>
  </si>
  <si>
    <t>L2M000116</t>
    <phoneticPr fontId="2" type="noConversion"/>
  </si>
  <si>
    <t>L2Z000142</t>
    <phoneticPr fontId="2" type="noConversion"/>
  </si>
  <si>
    <t>DA1000053</t>
    <phoneticPr fontId="2" type="noConversion"/>
  </si>
  <si>
    <t>L1Z000970</t>
    <phoneticPr fontId="2" type="noConversion"/>
  </si>
  <si>
    <t>UBC0K3000</t>
    <phoneticPr fontId="2" type="noConversion"/>
  </si>
  <si>
    <t>L1022A000</t>
    <phoneticPr fontId="2" type="noConversion"/>
  </si>
  <si>
    <t>AH1010001</t>
    <phoneticPr fontId="2" type="noConversion"/>
  </si>
  <si>
    <t>AS1C20102</t>
    <phoneticPr fontId="2" type="noConversion"/>
  </si>
  <si>
    <t>ASCD20152</t>
    <phoneticPr fontId="2" type="noConversion"/>
  </si>
  <si>
    <t>SKBSH0000</t>
    <phoneticPr fontId="2" type="noConversion"/>
  </si>
  <si>
    <t>UBC0K5003</t>
    <phoneticPr fontId="2" type="noConversion"/>
  </si>
  <si>
    <t>AH40D0004</t>
    <phoneticPr fontId="2" type="noConversion"/>
  </si>
  <si>
    <t>SBD3CMPGR</t>
    <phoneticPr fontId="2" type="noConversion"/>
  </si>
  <si>
    <t>SBD300024</t>
    <phoneticPr fontId="2" type="noConversion"/>
  </si>
  <si>
    <t>SBD300043</t>
    <phoneticPr fontId="2" type="noConversion"/>
  </si>
  <si>
    <t>SBD300047</t>
    <phoneticPr fontId="2" type="noConversion"/>
  </si>
  <si>
    <t>TBGAFT026</t>
    <phoneticPr fontId="2" type="noConversion"/>
  </si>
  <si>
    <t>TBGAFT044</t>
    <phoneticPr fontId="2" type="noConversion"/>
  </si>
  <si>
    <t>SBD300031</t>
    <phoneticPr fontId="2" type="noConversion"/>
  </si>
  <si>
    <t>KED (0400/C09)</t>
    <phoneticPr fontId="2" type="noConversion"/>
  </si>
  <si>
    <t>KED (0400/C01)</t>
    <phoneticPr fontId="2" type="noConversion"/>
  </si>
  <si>
    <t>A1050</t>
  </si>
  <si>
    <t>대출상환유예차주여부</t>
    <phoneticPr fontId="2" type="noConversion"/>
  </si>
  <si>
    <t>카드론상환유예건수조회jebi</t>
    <phoneticPr fontId="2" type="noConversion"/>
  </si>
  <si>
    <t xml:space="preserve">최종연소득금액 </t>
  </si>
  <si>
    <t xml:space="preserve">등록연소득정보보유여부 </t>
  </si>
  <si>
    <t xml:space="preserve">등록연소득금액 </t>
  </si>
  <si>
    <t xml:space="preserve">등록연소득업계 </t>
  </si>
  <si>
    <t xml:space="preserve">등록연소득입수일자 </t>
  </si>
  <si>
    <t xml:space="preserve">추정연소득금액 </t>
  </si>
  <si>
    <t xml:space="preserve">추정연소득모형구분 </t>
  </si>
  <si>
    <t xml:space="preserve">최종소득등급 </t>
  </si>
  <si>
    <t xml:space="preserve">소득등급적용배제사유 </t>
  </si>
  <si>
    <t xml:space="preserve">최근1년내은행업계에서등록한최대실연소득금액 </t>
  </si>
  <si>
    <t>IE0400002</t>
  </si>
  <si>
    <t>IE0400003</t>
  </si>
  <si>
    <t>IE0400004</t>
  </si>
  <si>
    <t>IE0400005</t>
  </si>
  <si>
    <t>IE0400006</t>
  </si>
  <si>
    <t>IE0400008</t>
  </si>
  <si>
    <t>IE0400009</t>
  </si>
  <si>
    <t>RK0600_000</t>
  </si>
  <si>
    <t>ML0100_002</t>
  </si>
  <si>
    <t>NPML등급_V4</t>
  </si>
  <si>
    <t>A4055</t>
  </si>
  <si>
    <t>A4067</t>
  </si>
  <si>
    <t>결정연소득중최근1년은행등록연소득(3.0)</t>
  </si>
  <si>
    <t>장기카드대출미해지대출기관수</t>
  </si>
  <si>
    <t>KCB은행업권대출건수_N15</t>
  </si>
  <si>
    <t>주택보유자산의제소득</t>
  </si>
  <si>
    <t>주택미보유포함자산의제소득</t>
  </si>
  <si>
    <t>비대면신용개설가능지수지표</t>
  </si>
  <si>
    <t>L2M000002</t>
  </si>
  <si>
    <t>L2P000002</t>
  </si>
  <si>
    <t xml:space="preserve">신용대출잔액_신정원 </t>
  </si>
  <si>
    <t xml:space="preserve">카드론대출잔액_신정원_당일포함  </t>
  </si>
  <si>
    <t xml:space="preserve">대출총잔액_신정원  </t>
  </si>
  <si>
    <t xml:space="preserve">다중채무대상대출기관수_신정원 </t>
  </si>
  <si>
    <t xml:space="preserve">한신정신용대출잔액_N15    </t>
  </si>
  <si>
    <t xml:space="preserve">한신정카드론대출잔액_N15  </t>
  </si>
  <si>
    <t xml:space="preserve">대출총잔액_N15            </t>
  </si>
  <si>
    <t xml:space="preserve">CA금액_N15                </t>
  </si>
  <si>
    <t xml:space="preserve">CA이용기관수_N5           </t>
  </si>
  <si>
    <t xml:space="preserve">카드론이용기관수_N5       </t>
  </si>
  <si>
    <t xml:space="preserve">DSR규제대상총대출잔액_N15 </t>
  </si>
  <si>
    <t xml:space="preserve">다중채무대상대출기관수_N5 </t>
  </si>
  <si>
    <t>r체크회원사전대상자내역기간조회E</t>
  </si>
  <si>
    <t>이지론플러스탈락사유</t>
  </si>
  <si>
    <t>상생대출신청여부_V1</t>
  </si>
  <si>
    <t>i신용대출RCLIPS전문조립C</t>
  </si>
  <si>
    <t>상생대출신청여부</t>
    <phoneticPr fontId="2" type="noConversion"/>
  </si>
  <si>
    <t>이지론플러스한도금액</t>
  </si>
  <si>
    <t>카드론신규등급구분</t>
  </si>
  <si>
    <t>카드론회원세그먼트구분</t>
  </si>
  <si>
    <t>현재일자기준대출심사모형사전조회출력Dto</t>
  </si>
  <si>
    <t>[i신용대출RCLIPS전문조립C].[연소득금액] / 12</t>
    <phoneticPr fontId="2" type="noConversion"/>
  </si>
  <si>
    <t>r스크래핑건강보험최종소득금액조회E</t>
  </si>
  <si>
    <t>r비회원사전대상자내역기간조회E</t>
  </si>
  <si>
    <t>혜택가맹점구분코드</t>
  </si>
  <si>
    <t>KB국민은행6개월신탁평잔</t>
  </si>
  <si>
    <t>KB국민은행6개월방카슈랑스평잔</t>
  </si>
  <si>
    <t>A7020</t>
  </si>
  <si>
    <t>A7021</t>
  </si>
  <si>
    <t>r심사사전정보내역조회C</t>
  </si>
  <si>
    <t>KCIS은행업권대출보유여부_V1</t>
  </si>
  <si>
    <t>캐피탈업권신용대출잔액_N15</t>
  </si>
  <si>
    <t>저축은행업권신용대출잔액_N15</t>
  </si>
  <si>
    <t>TBGHAIR04</t>
  </si>
  <si>
    <t>스트레스DSR반영연간원리금총잔액_N15</t>
  </si>
  <si>
    <t>일반DSR반영신정원원리금_N15</t>
  </si>
  <si>
    <t>스트레스DSR반영신정원원리금</t>
  </si>
  <si>
    <t>기존 신DTI연간추정금액 합계</t>
  </si>
  <si>
    <t>GEA_KCB신용요약정보조회Dto</t>
  </si>
  <si>
    <t>SC0000000</t>
  </si>
  <si>
    <t>ibi 호출</t>
    <phoneticPr fontId="2" type="noConversion"/>
  </si>
  <si>
    <t>은행업권주택담보대출건수_N9</t>
  </si>
  <si>
    <t>KCB전월세지수_N15</t>
  </si>
  <si>
    <t>KCB거주지평균월세가_N15</t>
  </si>
  <si>
    <t>결정연소득중최근1년은행등록연소득_N15</t>
  </si>
  <si>
    <t>KCB결정연간소득금액_N15</t>
  </si>
  <si>
    <t>U43002030</t>
  </si>
  <si>
    <t>SUL000000</t>
  </si>
  <si>
    <t>U21000000</t>
  </si>
  <si>
    <t>S8RA01000</t>
  </si>
  <si>
    <t>SPP001000</t>
  </si>
  <si>
    <t>SSV001000</t>
  </si>
  <si>
    <t>SSV2H0000</t>
  </si>
  <si>
    <t>SSV300M00</t>
  </si>
  <si>
    <t>미해지LV15제외대출기관수_N5</t>
  </si>
  <si>
    <t>KCB소호스코어_N4</t>
  </si>
  <si>
    <t>KCB소호등급_V2</t>
  </si>
  <si>
    <t>KCB소호구분_V1</t>
  </si>
  <si>
    <t>일반소호평점</t>
  </si>
  <si>
    <t>비대면연계대출평점</t>
  </si>
  <si>
    <t>신용도급변동신용패턴지수</t>
  </si>
  <si>
    <t>신용정보부족탈출신용패턴지수</t>
  </si>
  <si>
    <t>은행업권스코어패턴분류코드</t>
  </si>
  <si>
    <t>카드이용충성도신용패턴지수</t>
  </si>
  <si>
    <t>대출거래신용패턴지수</t>
  </si>
  <si>
    <t>비대면신용개설가능지수</t>
  </si>
  <si>
    <t>비대면신용개설가능예측지표코드</t>
  </si>
  <si>
    <t>KCB다중채무대상대출기관수_N5</t>
  </si>
  <si>
    <t>은행업종신용대출건수_V9</t>
  </si>
  <si>
    <t>R스코어ML신용등급_V2</t>
  </si>
  <si>
    <t>POSITIVESCORE등급_V9</t>
  </si>
  <si>
    <t>소호변동성지수등급_V9</t>
  </si>
  <si>
    <t>소호변동성지수고변동여부_V1</t>
  </si>
  <si>
    <t>소호변동성지수ML조정등급_V9</t>
  </si>
  <si>
    <t>R스코어ML신용등급</t>
    <phoneticPr fontId="2" type="noConversion"/>
  </si>
  <si>
    <t>POSITIVESCORE등급</t>
    <phoneticPr fontId="2" type="noConversion"/>
  </si>
  <si>
    <t>소호변동성지수등급</t>
    <phoneticPr fontId="2" type="noConversion"/>
  </si>
  <si>
    <t>소호변동성지수고변동여부</t>
    <phoneticPr fontId="2" type="noConversion"/>
  </si>
  <si>
    <t>소호변동성지수ML조정등급</t>
    <phoneticPr fontId="2" type="noConversion"/>
  </si>
  <si>
    <t xml:space="preserve">                    </t>
  </si>
  <si>
    <t xml:space="preserve">                </t>
  </si>
  <si>
    <t xml:space="preserve">K2개인모델스코어_N9  </t>
  </si>
  <si>
    <t>SKBFG0300</t>
  </si>
  <si>
    <t>K2개인모델스코어적용배제_V9</t>
  </si>
  <si>
    <t>SKBFGR130</t>
  </si>
  <si>
    <t xml:space="preserve">K2개인모델스코어가점사유코드_V9              </t>
  </si>
  <si>
    <t>SKBFGR230</t>
  </si>
  <si>
    <t xml:space="preserve">K2개인모델스코어감점사유코드_V9              </t>
  </si>
  <si>
    <t>SKBFGS300</t>
  </si>
  <si>
    <t>K2개인모델스코어세그먼트_N9</t>
  </si>
  <si>
    <t>SKBFG0020</t>
  </si>
  <si>
    <t>중위등급세분화스코어_N9</t>
  </si>
  <si>
    <t>SKBFG0200</t>
  </si>
  <si>
    <t xml:space="preserve">중위등급세분화적용배제_V9  </t>
  </si>
  <si>
    <t>SKBFGR120</t>
  </si>
  <si>
    <t xml:space="preserve">중위등급세분화가점사유코드_V9              </t>
  </si>
  <si>
    <t>SKBFGR220</t>
  </si>
  <si>
    <t>중위등급세분화감점사유코드_V9</t>
  </si>
  <si>
    <t>SKBFGS200</t>
  </si>
  <si>
    <t>중위등급세분화세그먼트_N9</t>
  </si>
  <si>
    <t>N1년미해지CB거래건수_N5</t>
  </si>
  <si>
    <t>동일일신용대출발생2건이상합계_N15</t>
  </si>
  <si>
    <t>N6월캐피탈대출건수_N5</t>
  </si>
  <si>
    <t>N6월미해지캐피탈주담외대출건수_N5</t>
  </si>
  <si>
    <t>N3년최장연체일수_N5</t>
  </si>
  <si>
    <t>현거주지국토부실거래최근전세가_N15</t>
  </si>
  <si>
    <t>미해지최초카드개설경과일수_N5</t>
  </si>
  <si>
    <t>N1월미해지신용개설건수_N5</t>
  </si>
  <si>
    <t>현거주지국토부실거래최근매매가_N15</t>
  </si>
  <si>
    <t>KB포함최근연체해제경과일수_N5</t>
  </si>
  <si>
    <t>RABAC0058</t>
  </si>
  <si>
    <t>최근6월현금서비스이용률_N9_2</t>
  </si>
  <si>
    <t>최근6월신용카드이용금액증감율_N9_2</t>
  </si>
  <si>
    <t>소유건축물면적합계_N15</t>
  </si>
  <si>
    <t>최근1년내처분건축물수_N5</t>
  </si>
  <si>
    <t>연체해제후경과일수_N5</t>
  </si>
  <si>
    <t>최장연체경험기간수_V9</t>
  </si>
  <si>
    <t>소유주택수_N5</t>
  </si>
  <si>
    <t>미해제신용도판단공공정보건수_N5</t>
  </si>
  <si>
    <t>N1년신판이용금액_N15</t>
  </si>
  <si>
    <t>N3월신판이용금액_N15</t>
  </si>
  <si>
    <t>미해지LV1234제외대출금액_N15</t>
  </si>
  <si>
    <t>신용도판단공공정보해제경과일수_N5</t>
  </si>
  <si>
    <t>N6월카드유효한도소진율_N9_2</t>
  </si>
  <si>
    <t>N5년휴대폰번호이력건수_N5</t>
  </si>
  <si>
    <t>N3월카드유효한도소진율_N9_2</t>
  </si>
  <si>
    <t>최근자택전화번호변경경과일수_V9</t>
  </si>
  <si>
    <t>C1L120357</t>
  </si>
  <si>
    <t>N6월CA활성한도소진율_N9_2</t>
  </si>
  <si>
    <t>최초대출신용카드개설경과일수_N5</t>
  </si>
  <si>
    <t>N1월현거주지동연령카드이용금액_N15</t>
  </si>
  <si>
    <t>N1년월평균신판이용기관수_N9_2</t>
  </si>
  <si>
    <t>N6월카드활성한도소진율_N9_2</t>
  </si>
  <si>
    <t>N3월CA유효활성한도소진율_N9_2</t>
  </si>
  <si>
    <t>미해지CA이용잔액보유카드건수_N5</t>
  </si>
  <si>
    <t>N1년월평균일시불이용기관수_N9_2</t>
  </si>
  <si>
    <t>N1년월평균신판총이용금액_N15</t>
  </si>
  <si>
    <t>N6월평균이용기관수_N9_2</t>
  </si>
  <si>
    <t>N1년해지포함총상환원금_N15</t>
  </si>
  <si>
    <t>미해지LV123제외대출기관수_N5</t>
  </si>
  <si>
    <t>미해지LV123456제외대출기관수_N5</t>
  </si>
  <si>
    <t>미해지LV123456제외대출금액_N15</t>
  </si>
  <si>
    <t>N6월LV1신규대출기관수_N5</t>
  </si>
  <si>
    <t>N6월LV1제외신규대출기관수_N5</t>
  </si>
  <si>
    <t>미해지담보대출총금액_N15</t>
  </si>
  <si>
    <t>미해지할부금융신용대출총금액_N15</t>
  </si>
  <si>
    <t>미해지신용대출총대출금액_N15</t>
  </si>
  <si>
    <t>N3월은행제외신규대출기관수_N5</t>
  </si>
  <si>
    <t>N1년해지포함담보제외대출증가율_N9_2</t>
  </si>
  <si>
    <t>은행신차제외대출개설경과일수</t>
  </si>
  <si>
    <t>N1월전비은행기업신용공여기관수_N5</t>
  </si>
  <si>
    <t>KCBDSR연간상환원리금</t>
  </si>
  <si>
    <t>주부특화자산평가지수구분코드_V10</t>
  </si>
  <si>
    <t>N1년월평균CA총이용금액_N15</t>
  </si>
  <si>
    <t>미해지당사제외CA이용잔액_N15</t>
  </si>
  <si>
    <t>N1년당사제외월평균CA총이용금액_N15</t>
  </si>
  <si>
    <t>N1월전당사제외카드이용잔액_N15</t>
  </si>
  <si>
    <t>N1년당사제외월평균카드이용잔액_N15</t>
  </si>
  <si>
    <t>N6월신판이용금액_N15</t>
  </si>
  <si>
    <t>N6월CA월평균총이용금액_N15</t>
  </si>
  <si>
    <t>N6월당사제외CA월평균총이용금액_N15</t>
  </si>
  <si>
    <t>N3년자택주소이력건수_N9</t>
  </si>
  <si>
    <t>현거주지평형_V9</t>
  </si>
  <si>
    <t>N1월현거주지동연령신판이용금액_N15</t>
  </si>
  <si>
    <t>미해지보증총금액_N15</t>
  </si>
  <si>
    <t>최근1월비은행기업신용과목수_N9_2</t>
  </si>
  <si>
    <t>최근1월비은행기업신용평잔합계_N15</t>
  </si>
  <si>
    <t>최근3월비은행기업신용평잔합계_N15</t>
  </si>
  <si>
    <t>보유주택매매총합계금액_N15</t>
  </si>
  <si>
    <t>사업자최초등록일경과일수_N5</t>
  </si>
  <si>
    <t>미해지LV123제외대출금액_N15</t>
  </si>
  <si>
    <t>은행업권제외신용대출기관수_N5</t>
  </si>
  <si>
    <t>KCB최근연체대지급포함해제일수_V9</t>
  </si>
  <si>
    <t>최근1년총최고경험연체금액_N15</t>
  </si>
  <si>
    <t>B4056</t>
  </si>
  <si>
    <t>B4057</t>
  </si>
  <si>
    <t>B4058</t>
  </si>
  <si>
    <t>B4059</t>
  </si>
  <si>
    <t>B4060</t>
  </si>
  <si>
    <t>B4061</t>
  </si>
  <si>
    <t>B4062</t>
  </si>
  <si>
    <t>B4063</t>
  </si>
  <si>
    <t>B4064</t>
  </si>
  <si>
    <t>B4065</t>
  </si>
  <si>
    <t>B4066</t>
  </si>
  <si>
    <t>B4067</t>
  </si>
  <si>
    <t>B4068</t>
  </si>
  <si>
    <t>B4069</t>
  </si>
  <si>
    <t>B4070</t>
  </si>
  <si>
    <t>B4071</t>
  </si>
  <si>
    <t>B3016</t>
  </si>
  <si>
    <t>B3017</t>
  </si>
  <si>
    <t>B3018</t>
  </si>
  <si>
    <t>B3019</t>
  </si>
  <si>
    <t>B3020</t>
  </si>
  <si>
    <t>B3021</t>
  </si>
  <si>
    <t>B3022</t>
  </si>
  <si>
    <t>B3023</t>
  </si>
  <si>
    <t>GEA_NICE신용요약정보조회Dto</t>
  </si>
  <si>
    <t>KF0B</t>
    <phoneticPr fontId="2" type="noConversion"/>
  </si>
  <si>
    <t>A8000</t>
  </si>
  <si>
    <t>A8001</t>
    <phoneticPr fontId="2" type="noConversion"/>
  </si>
  <si>
    <t>이지신용카드론신청서접수번호_V14</t>
  </si>
  <si>
    <t>신용대출평가사유구분코드</t>
  </si>
  <si>
    <t>rGEA카드론심사결과내역조회E</t>
  </si>
  <si>
    <t>이지신용대출전환대상구분코드</t>
  </si>
  <si>
    <t>이지신용대출탈락코드내용</t>
  </si>
  <si>
    <t>이지신용대출탈락코드</t>
  </si>
  <si>
    <t>고객가치그룹구분</t>
    <phoneticPr fontId="2" type="noConversion"/>
  </si>
  <si>
    <t>여신평균잔액</t>
  </si>
  <si>
    <t>r개인고객가치지수조회C</t>
  </si>
  <si>
    <t>최근3개월평균여신월말잔액</t>
  </si>
  <si>
    <t>실시간카드론신규등급구분코드</t>
  </si>
  <si>
    <t>s고객가치그룹구분</t>
  </si>
  <si>
    <t>이지신용대출DSR제한한도일반</t>
  </si>
  <si>
    <t>이지신용DSR제한한도일반금액</t>
  </si>
  <si>
    <t>이지신용대출DSR제한한도관리대상</t>
  </si>
  <si>
    <t>이지론한도_C9산출</t>
  </si>
  <si>
    <t>이지론대출이율_C9산출</t>
  </si>
  <si>
    <t>이지신용대출한도_C9산출</t>
  </si>
  <si>
    <t>이지신용대출출기간_C9산출</t>
  </si>
  <si>
    <t>이지신용대출거치기간_C9산출</t>
  </si>
  <si>
    <t>이지신용대출금리코드_C9산출</t>
  </si>
  <si>
    <t>이지신용대출이율_C9산출</t>
  </si>
  <si>
    <t>이지신용대출탈락대상_C9산출</t>
  </si>
  <si>
    <t>이지신용DSR추정최대소득금액_C9산출</t>
  </si>
  <si>
    <t>이지신용스트레스DSR사용구분_C9산출</t>
  </si>
  <si>
    <t xml:space="preserve">이지신용DSR제한한도관리대상값  </t>
  </si>
  <si>
    <t xml:space="preserve">실시간최종한도금액                   </t>
  </si>
  <si>
    <t xml:space="preserve">실시간적용이율                     </t>
  </si>
  <si>
    <t xml:space="preserve">이지신용대출한도금액               </t>
  </si>
  <si>
    <t xml:space="preserve">이지신용대출기간수               </t>
  </si>
  <si>
    <t xml:space="preserve">이지신용대출거치기간수           </t>
  </si>
  <si>
    <t xml:space="preserve">이지신용금리등급구분코드         </t>
  </si>
  <si>
    <t xml:space="preserve">이지신용대출이율                   </t>
  </si>
  <si>
    <t xml:space="preserve">이지신용대출탈락사유             </t>
  </si>
  <si>
    <t xml:space="preserve">이지신용DSR추정최대소득금액    </t>
  </si>
  <si>
    <t xml:space="preserve">이지신용스트레스DSR사용여부 </t>
  </si>
  <si>
    <t>N1년카드최장연체일수</t>
  </si>
  <si>
    <t>최근3년연체해제경과일수</t>
  </si>
  <si>
    <t>N1월카드론합계연체일수_N15</t>
  </si>
  <si>
    <t>N1개월신용카드한도소진율</t>
  </si>
  <si>
    <t>급여이체금액</t>
  </si>
  <si>
    <t>N1개월KB국민은행수신평잔</t>
  </si>
  <si>
    <t>N1개월KB은행제외KB그룹수신평잔</t>
  </si>
  <si>
    <t>최근6개월평균할부이용금액</t>
  </si>
  <si>
    <t>N6개월업종3카드이용건수비율</t>
  </si>
  <si>
    <t>N1개월CA이용금액</t>
  </si>
  <si>
    <t>최근3개월평균할부이용금액</t>
  </si>
  <si>
    <t>최근1개월CA이용건수_N5</t>
  </si>
  <si>
    <t>TBGEAA209</t>
  </si>
  <si>
    <t>TBGEAA217</t>
    <phoneticPr fontId="2" type="noConversion"/>
  </si>
  <si>
    <t>1 or 0</t>
    <phoneticPr fontId="2" type="noConversion"/>
  </si>
  <si>
    <t>[GEA_NICE동시대출건수조회Dto].[신용상품대출건수_N10] &gt;= 2</t>
  </si>
  <si>
    <t>GEA_NICE동시대출건수조회Dto</t>
  </si>
  <si>
    <t>최종연소득금액_N15</t>
  </si>
  <si>
    <t>최근1년내은행업계에서등록한최대실연소득금액_N15</t>
  </si>
  <si>
    <t>PD0300_00</t>
  </si>
  <si>
    <t>GEA_NICE신용평점정보조회Dto</t>
  </si>
  <si>
    <t>ML0100_00</t>
  </si>
  <si>
    <t>론니즈등급구분2_V4</t>
  </si>
  <si>
    <t>TBGEAA204</t>
    <phoneticPr fontId="2" type="noConversion"/>
  </si>
  <si>
    <t>input값</t>
    <phoneticPr fontId="2" type="noConversion"/>
  </si>
  <si>
    <t>내부항목</t>
    <phoneticPr fontId="2" type="noConversion"/>
  </si>
  <si>
    <t>전업권연체등록건수</t>
  </si>
  <si>
    <t>서민금융보증부대출건수</t>
  </si>
  <si>
    <t>서민금융보증대출건수_N9</t>
  </si>
  <si>
    <t>새희망홀씨대출총건수</t>
  </si>
  <si>
    <t>새희망홀씨좌수_N5</t>
  </si>
  <si>
    <t>캠코전환대출총건수</t>
  </si>
  <si>
    <t>전환대출건수_N9</t>
  </si>
  <si>
    <t>N세금체납건수</t>
  </si>
  <si>
    <t>대표자세금체납관련미해제등록합계건수_V9</t>
  </si>
  <si>
    <t>N부도정보건수</t>
  </si>
  <si>
    <t>대표자부도정보미해제합계건수_V9</t>
  </si>
  <si>
    <t>LA0000011</t>
  </si>
  <si>
    <t>N연체대환대출총건수</t>
  </si>
  <si>
    <t>연체대환대출건수_V9</t>
  </si>
  <si>
    <t>PS1200601</t>
  </si>
  <si>
    <t>N최근1년내최장연체경험기간</t>
  </si>
  <si>
    <t>최근1년최장연체일수_V9</t>
  </si>
  <si>
    <t>CF0100115</t>
  </si>
  <si>
    <t>N최근1개월내현금서비스이용기관수</t>
  </si>
  <si>
    <t>최근1년내CA이용기관수_N9</t>
  </si>
  <si>
    <t>N카드론CA리볼빙이용기관수</t>
  </si>
  <si>
    <t>미상환카드론CA리볼빙잔액보유기관수_N9</t>
  </si>
  <si>
    <t>A3086</t>
  </si>
  <si>
    <t>LA0000055</t>
  </si>
  <si>
    <t>안전망대출미해제대출총건수</t>
  </si>
  <si>
    <t>안전망대출미해제대출총건수_N9</t>
  </si>
  <si>
    <t>A3087</t>
  </si>
  <si>
    <t>사잇돌대출미해제대출총건수</t>
  </si>
  <si>
    <t>사잇돌대출미해제대출총건수_N9</t>
  </si>
  <si>
    <t>A3088</t>
  </si>
  <si>
    <t>LA0000058</t>
  </si>
  <si>
    <t>햇살론17미해제대출총건수</t>
  </si>
  <si>
    <t>햇살론17미해제대출총건수_N9</t>
  </si>
  <si>
    <t>A3089</t>
  </si>
  <si>
    <t>LA0000251</t>
  </si>
  <si>
    <t>서민금융대출미해제대출총잔액</t>
  </si>
  <si>
    <t>서민금융대출미해제대출총잔액_N15</t>
  </si>
  <si>
    <t>A3090</t>
  </si>
  <si>
    <t>LA0000801</t>
  </si>
  <si>
    <t>특정특수상품대출미해제보유여부</t>
  </si>
  <si>
    <t>특정특수상품대출미해제보유여부_V1</t>
  </si>
  <si>
    <t>A3091</t>
  </si>
  <si>
    <t>LA0000802</t>
  </si>
  <si>
    <t>미해제정책서민금융상품보유여부</t>
  </si>
  <si>
    <t>미해제정책서민금융상품보유여부_V1</t>
  </si>
  <si>
    <t>A3092</t>
  </si>
  <si>
    <t>P00000001</t>
  </si>
  <si>
    <t>안전망대출미해제연체총건수</t>
  </si>
  <si>
    <t>안전망대출미해제연체총건수_N9</t>
  </si>
  <si>
    <t>A3093</t>
  </si>
  <si>
    <t>P03600001</t>
  </si>
  <si>
    <t>최근3년내안전망대출연체총건수</t>
  </si>
  <si>
    <t>최근3년내안전망대출연체총건수_N9</t>
  </si>
  <si>
    <t>A3094</t>
  </si>
  <si>
    <t>LA0100018</t>
  </si>
  <si>
    <t>N1M햇살론사잇돌발생총건수</t>
  </si>
  <si>
    <t>N1M햇살론사잇돌발생총건수_N9</t>
  </si>
  <si>
    <t>A3095</t>
  </si>
  <si>
    <t>네이버페이스코어등급_V4</t>
  </si>
  <si>
    <t>A3096</t>
  </si>
  <si>
    <t>네이버페이스코어등급_Thin</t>
  </si>
  <si>
    <t xml:space="preserve">NF1000_102 </t>
  </si>
  <si>
    <t>네이버페이신용정보부족스코어등급_V4</t>
  </si>
  <si>
    <t>NF1000_101</t>
    <phoneticPr fontId="2" type="noConversion"/>
  </si>
  <si>
    <t>네이버페이스코어등급</t>
    <phoneticPr fontId="2" type="noConversion"/>
  </si>
  <si>
    <t>목록으로</t>
    <phoneticPr fontId="2" type="noConversion"/>
  </si>
  <si>
    <t>입력</t>
    <phoneticPr fontId="2" type="noConversion"/>
  </si>
  <si>
    <t>출력</t>
    <phoneticPr fontId="2" type="noConversion"/>
  </si>
  <si>
    <t>DATA</t>
    <phoneticPr fontId="2" type="noConversion"/>
  </si>
  <si>
    <t>코드</t>
    <phoneticPr fontId="2" type="noConversion"/>
  </si>
  <si>
    <t>코드명</t>
    <phoneticPr fontId="2" type="noConversion"/>
  </si>
  <si>
    <t>DATA TYPE</t>
    <phoneticPr fontId="2" type="noConversion"/>
  </si>
  <si>
    <t>LENGTH</t>
    <phoneticPr fontId="2" type="noConversion"/>
  </si>
  <si>
    <t>코드값</t>
    <phoneticPr fontId="2" type="noConversion"/>
  </si>
  <si>
    <t>ASIS_존재여부체크</t>
    <phoneticPr fontId="2" type="noConversion"/>
  </si>
  <si>
    <t>ASIS_값일치여부</t>
    <phoneticPr fontId="2" type="noConversion"/>
  </si>
  <si>
    <t>TOBE_원천</t>
    <phoneticPr fontId="2" type="noConversion"/>
  </si>
  <si>
    <t>사유</t>
    <phoneticPr fontId="2" type="noConversion"/>
  </si>
  <si>
    <t>R클립스결과코드</t>
    <phoneticPr fontId="2" type="noConversion"/>
  </si>
  <si>
    <t xml:space="preserve">Online_C6_ASS       344A100118             A1004000000000000034A10050              A100618000130398524 A20010              A20020              A20030              A20040              A20050              A20060              A20070              A20080              A20090              A20100              A20110              A20120              A20130              A2014000000000000000A2015000000000000000A2016000000000000000A2017000000000000000A2018000000000000000A2019000000000000000A20200              A20210              A20220              A20230              A20240              A2026000000000000000A2027000000000000000A2028000000000000000A2029000000000000000A2030000000000000000A2031000000000000000A2032000000000000000A2033               A20340              A2035000000000000000A2036000000000000000A2037000000000000000A2057               A2042000000000000000A2043               A2044000000000000000A2045000000000000000A2046               A2047               A2048               A2049               A2050000000000000000A2051               A2052000000000000000A2053000000000000000A2054000000000000000A2055000000000000000A2056000000000000000A2060000000000000000A2061000000000000000A2062000000000000000A2063000000000000000A2064000000000000000A2065000000000000000A20662              A2067000000000000000A2069000000000000000A2070               A2071               A2072000000000000000A20740              A2038000000000031165A203923             A2040000000000053000A2041000000000000000A3016               A3017               A3018               A3021000000000000000A3022000000000000000A3026000000000000000A3027000000000000000A3028000000000000000A3029000000000000009A3030000000000000009A3031000000000000000A3032000000000000000A3033000000000000000A3034000000000000000A3035000000000000000A3036000000000000000A3037000000000000000A3038000000000000000A3039000000000000000A3040000000000000000A3041000000000000000A3044000000000000000A3045000000000000000A3046000000000000000A3047000000000000000A3048000000000000000A3049000000000000000A3050000000000000000A3051000000000000003A3052000000000000002A3053000000000000006A3054000000000000003A3055000000000000004A3056000000000000000A3057000000000002717A3064000000000000000A3065000000000000000A3066000000000000000A3070000000000000000A4001000000000000938A4002000000000000002A4003000000000000000A4004000000000000000A4005000000000000000A4006000000000000000A4007000000000000000A4008000000000000000A4014000000000000000A4015000000000000000A4016000000000000007A4017-00000099999999A4018000000000000000A4019000000000025000A7001               A7002000000000000000A7003000000000000000A7004000000000000000A7005000000000158500A7007000000000053000A7009000000000000000A7011000000000000000A7013000000000000000A7014000000000000000A7015000000000155500A7016000000000000002A70170              A7018000000000000000A7019000000000000000A7020000000000031165A7021000000000031165A307107             A307202             A3073000000000000871A30740008           A30750005           A3076000000000000000A3077000000000000000A3078000000000000000A3079000000000000000A3080000000000000000A3081000000000000000A3082000000000000000A3083000000000000000A3084000000000000000A3085000000000000000A3086000000000000000A3087000000000000000A3088000000000000000A3089000000000000000A3090000000000000000A3091000000000000000A3092000000000000000A3093000000000000000A3094000000000000000A30950000           A30960000           B3001000000000000000B3002000000000000000B3003000000000003940B3004000000000001887B3005000000000000000B3006000000000000000B3007000000000000000B3008000000000000000B3009000000999999999B3010000000999999999B3011000000000006796B3012000000000000000B3013000000999999999B3014000000000099999B3015000000000000000A4021000000000000000A402200             A402300             A4024000000000000687A402502             A4026000000000000661A402707             A4028000000000000000A4029000000000000000A4030000000000000676A403105             A4032P              A40330000009999999.9A4034000000000000722A403502          </t>
  </si>
  <si>
    <t xml:space="preserve">   A4036000000000000948A40370              A40380              A4039SCPTB999       A4040SCPTN999       A40413              A40420              A40431              A404499             A4045000000000000344A4046000000000000012A4047D              A4048000000000000000A4049000000000000000A4050000000000000000A4051000000000000000A4052000000000000000A4053000000000000000A4054000000000000000A405505             A405602             A405703             A4058N              A40590              B4001000000000000000B4002000000000003390B4003000000000000000B4004000000000000000B4005000000999999999B4006-00000099999999B40070000008888888.8B4008000000000000002B40090000008888888.8B4010000000000000000B4011000000000000011B40120000008888888.8B4013000000000004081B4014000000000000000B4015000000000000001B4016000000000000001B4017000000000002827B40180000000000000.6B40190000008888888.8B40200000008888888.8B4021000000000000000B40220000000000000.6B4023000000000000282B40240000000000000.0B4025000000000002500B4026000000000002500B4027000000000000000B4028000000000000000B4029000000000000000B4030000000000000000B4031000000000000000B4032000000000000000B4033000000000000000B4034000000000000000B4035000000000000000B4036000000000000000B4037000000000000000B40380000009999999.9B40390000009999999.9B4040000000000000000B4041000000000000000B4042000000000000000B4043000000000220120B4044000000000000000B4045000000000000000B4046000000000000000B4047000000000000000B4048000000000000000B4049000000000000000B4050000000000000133B4051000000000000000B4052000000000000000B4053000000000000000B4054000000999999999B4055000000000000000B4056000000000000000B4057000000000000002B4058000000000000001B4059000000000002738B4060000000000000420B4061000000000000000B4062000000000000000B4063000000000000000B4064000000000000000B4065000000000000000B4066000000000000000B4067000000000005048B3016000000000000000B3017-00000000000999B3018000000000000000B3019000000000000000B3020000000000000000B3021000000000000000B3022000000000000000B3023000000000000000B4068000000000000000B4069000000000000000B4070000000999999999B4071000000000000000A4110000000000000741A4111741            A4112P28P78P36      A4113N74            A41144              A4115000000000000763A4116763            A4117P15P12P10      A4118N39N24         A41192              A8000               A8001               A8002               A8003               A8004               A8005000000000000000A8006000000000000000A8007000000000000000A8008000000000000000A8009000000000000000A8010000000000000000A8011000000000000000A8012000000000000000A8013               A8014000000000000000A8015               A8016000000000000000A8017               B2001000000000000000B2002000000000000000B2003000000000000000B2004000000000000000B2005000000000000000B2006000000000000000B2007000000000000000B2008000000000000000B2009000000000000000B2010000000000000000B2011000000000000000B2012000000000000000A2068               A2073               </t>
  </si>
  <si>
    <t>OK</t>
    <phoneticPr fontId="2" type="noConversion"/>
  </si>
  <si>
    <t>정상</t>
    <phoneticPr fontId="2" type="noConversion"/>
  </si>
  <si>
    <t>현재일자</t>
    <phoneticPr fontId="2" type="noConversion"/>
  </si>
  <si>
    <t>일치</t>
    <phoneticPr fontId="2" type="noConversion"/>
  </si>
  <si>
    <t>0000300002A305103             A305202             A305306             A305403             A305504             A3056000000000000000A3066000000000000000A400202             A4019000000000025000R000118             R0002000000000000719R000304             R00044              R0005E              R00060              R00071              R0008000000002083333R0009000000000000060R0010000000000226416R0011000000001023583R00120000000000016.4R0013C2             R0014000000011200000R0015000000003000000R0016000000009500000R0017000000030000000R0018000000011200000R0019000000003000000R0020000000003000000R0021000000000000015R0022A              R0023DR             R0024EA             R0025000000000000000R0026000000000000011R0027000000000000100R0028000000000000024R0029000000000000003R00300              R0031000000000000000R00320000000000002.0R00330000000000003.0R0034000000025000000R0035000000000000000R0036000000002716992R003704             R00380000000000741.0R003906             R004005             R004107             R0042               R004300             R0044000000002083333R0045000000000000000R0046000000000000000R004701             A4001000000000000938A3073000000000000871R00510              R0052000000019999996R0053000000053000000R0054000000053000000R0055000000003000000R005005             R00561              R0057               R0058000000012800000R00590              R0060000000019999996R0061000000000000000R00620              R00660              R00672              R00680              R0069000000000000763R007002             R007103             R00720              R8000               R8001               R8002               R800307             R8004               R80050000000000000.0R8006B04            R8007               R8008000000000000000R80090000000000000.0R8010000000000000000R80110              S0001000000000000000S0002000000000000000S0003000000000000000S0004000000000000000S0005000000000000000S0006000000000000000S0007000000000000000S0008000000000000000S0009000000000000000S0010000000000000000S0011000000000000000S0012000000000000000S0013000000000000000S0014000000000000000S0015000000000003940S0016000000000001887S0017000000000000000S0018000000000000000S0019000000000000000S0020000000000000000S0021000000999999999S0022000000999999999S0023000000000006796S0024000000000006796S0025000000000000000S0026000000999999999S0027000000999999999S0028000000000000000S0029-00000000000999S0030000000000000000S0031000000000000000S0032000000999999999S0033000000000000002S0034000000008888888S0035000000000000000S0036000000000000011S0037000000000000011S0038000000008888888S0039000000000004081S0040000000000004081S0041000000000000000S0042000000000000001S0043000000000000001S0044000000000002827S0045000000008888888S0046000000008888888S0047000000000000000S0048000000000000000S0049000000000000282S0050000000000000000S0051000000000002500S0052000000000002500S0053000000000000000S0054000000000000000S0055000000000000000S0056000000000000000S0057000000000000000S0058000000000000000S0059000000000000000S0060000000009999999S0061000000009999999S0062000000009999999S0063000000009999999S0064000000000000000S0065000000000220120S0066000000000220120S0067000000000000000S0068000000000000000S0069000000000000000S0070000000000000002S0071000000000000001S0072000000000002738S0073000000000000420S0074000000000000000S0075000000000000000S0076000000000000000S0077000000000000000S0078000000000000000S0079000000000000000S0080000000000005048S0081000000000000000S0082000000000000000S0083000000000000000S0084000000000000000S0085000000000000000S0086000000000000000S0087000000000000000S0088000000000000000S0089000000000000000S0090000000000000000S0091000000888888888S0092000000000000100S0093000000888888888S0094000000888888888S0095000000888888888S0096000000000000000S0097000000000000000S0098000000000000000S0099000000000000000S0100000000888888888S0101000000000000000S0102000000000000000S0103000000888888888S0104-00000099999999S0105000000000000000W0001-00000000000002W0002000000000000003W0003000000000000001W0004000000000000001W0005-0000</t>
  </si>
  <si>
    <t>0000000003W0006-00000000000002W0007-00000000000002W0008000000000000002W0009-00000000000012W0010000000000000002W0011000000000000001W0012000000000000002W0013000000000000005W0014000000000000001W0015000000000000008W0016000000000000003W0017000000000000001W0018000000000000000W0019000000000000005W0020000000000000002W0021-00000000000002W0022-00000000000001W0023000000000000024W0024000000000000024W0025000000000000001W0026-00000000000001W0027-00000000000001W0028000000000000003W0029-00000000000032W0030-00000000000002W0031000000000000001W0032000000000000001W0033000000000000005W0034-00000000000002W0035-00000000000002W0036-00000000000002W0037-00000000000002W0038-00000000000002W0039-00000000000002W0040-00000000000002W0041000000000000001W0042000000000000001W0043-00000000000011W0044000000000000016W0045-00000000000001W0046-00000000000001W0047000000000000007W0048-00000000000006W0049-00000000000005W0050-00000000000005W0051000000000000005W0052000000000000005W0053-00000000000014W0054000000000000005W0055-00000000000001W0056000000000000001W0057-00000000000001W0058000000000000002W0059000000000000002W0060-00000000000014W0061-00000000000014W0062-00000000000008W0063-00000000000008W0064000000000000000W0065000000000000007W0066000000000000007W0067000000000000003W0068000000000000003W0069000000000000001W0070000000000000004W0071-00000000000002W0072000000000000010W0073000000000000004W0074000000000000001W0075000000000000002W0076000000000000001W0077000000000000001W0078000000000000001W0079-00000000000001W0080-00000000000001W0081000000000000002W0082000000000000001W0083000000000000001W0084000000000000001W0085000000000000001W0086000000000000025W0087000000000000025W0088000000000000004W0089000000000000017W0090000000000000007W0091-00000000000016W0092-00000000000012W0093-00000000000001W0094000000000000001W0095000000000000001W0096000000000000001W0097000000000000006W0098000000000000020W0099000000000000001W0100000000000000004W0101000000000000002W0102000000000000001W0103000000000000001W0104-00000000000002W0105-00000000000002KORLTK373KORLTK362</t>
  </si>
  <si>
    <t>OK - 전문확인을 위해 KCB에 대출정보 데이터 세팅 요청하여 받은 것임</t>
    <phoneticPr fontId="2" type="noConversion"/>
  </si>
  <si>
    <t>심사사전정보내역</t>
    <phoneticPr fontId="2" type="noConversion"/>
  </si>
  <si>
    <t>일치 (20190625 현업테스트, 20190701 개발팀테스트)</t>
    <phoneticPr fontId="2" type="noConversion"/>
  </si>
  <si>
    <t>NICE비회원</t>
    <phoneticPr fontId="2" type="noConversion"/>
  </si>
  <si>
    <t>ASIS 와 TOBE 테스트계 NICE수신전문 다름</t>
    <phoneticPr fontId="2" type="noConversion"/>
  </si>
  <si>
    <t>KCB대출</t>
    <phoneticPr fontId="2" type="noConversion"/>
  </si>
  <si>
    <t>OK - KCB에 대출정보 요청함</t>
    <phoneticPr fontId="2" type="noConversion"/>
  </si>
  <si>
    <t>ASIS누락됨. ASIS 에서 확인필요</t>
    <phoneticPr fontId="2" type="noConversion"/>
  </si>
  <si>
    <t>Online_C8_ASS       319A000112000138934969 A000212             A0003000000000000027A00040              A0005               A10020              A10030              A10040              A10050              A10060              A10070              A10080              A10090              A10100              A10110              A10121              A10131              A10140              A10151              A10160              A1017               A1018000000000000000A1019000000000000000A1020000000000000000A1021000000000000000A1022000000000000000A1023000000000000000A1024000000000000000A1025000000000000000A1026000000000000000A1027000000000000000A1028000000000000000A1029000000000000000A1030000000000000000A1031000000000000000A1032000000000000000A10330              A103415             A10350              A1036PB             A1037D1             A1038000000007000000A1039000000000000000A1040000000000000018A1041000000000000003A10500              A2000000000000000000A2001               A20021              A20031              A20041              A20051              A2008000000003000000A2009000000010280000A2010000000020000000A2011000000020000000A2012000000001032000A2013000000000975000A2014000000001585416A2015000000001109791A2016000000000004.88A2017000000000001960A2018D1             A2019000000000000027A2028000000000000000A203206             A20340004           A2029000000000000000A2046000000000000748A204705             A2048000000000000848A204903             A2052YA             A2053000000000000018A2054000000000000003A2056               A20570              A2060000000000000000A2061000000030000000A2062000000009937637A2063000000000000000A2064000000005000000A2065000000005000000A20670              A20700              A20723              A20730              A2076000000005000000A2077000000000000000A207807             A207907             A208004             A2081               A2082               A2083               A20840002           A2085               A20860002           A20970003           A21000              A2101U4             A210248091          A21040              A2107000000000000000A21090              A21100              A2117000000000000000A2120000000005000000A21360              A21373              A21380              A213903             A214001             A214107             A2142000000000000000A214305             A214405             A2145000000000000703A21460              A2147000000000003.33A2148000000000000000A2149000000000533100A2150000000000000000A2151000000000975000A2152000000000000000A2153000000000000000A2154000000010280000A2155000000020000000A215600             A2157000            A2158000000000000000A215902             A2160000000000000000A216104             A2162000000000000000A216303             A3011000000000000012A3016000000000000506A30171              A3018000000000900000A3019000000999999999A30209              A302199             A30229              A302399             A302499             A3025000000999999999A3026000000000000000A3027000000000002000A3028000000000002000A3029000000000000000A3030000000000001400A3031000000000002000A3032000000000000000A30330              A3034000000000000706A3035000000000000706A3039000000000000000A30500005           A30510003           A30520003           A30530002           A30540002           A30550003           A30560004           A30570003           A30590006           A30610006           A30620              A30630              A3064000000000002000A3065000000000      A3066000000000000000A3067000000000      A3068000000000      A3069000000000002000A3070000001114      A3071000000013      A3072000000000      A3073000000000000000A3074000000000000828A30750007           A4004000000000000000A4016000000000000000A4030000000000000000A4017000000999999999A4018000000000000000A4019000000000000000A4033000000000000748A403405             A4035000000000000693A403602             A4037000000000000894A403801             A4039000000000000747A404004             A4041               A4042000000000010280A4043000000000000</t>
  </si>
  <si>
    <t>820A40440000000000002.6A404503             A4046000000000000792A404703             A40480              A4049000000000000703A405007             A4051N              A4052000000000000000A4053000000000010280A4054000000000000000A4055000000000000012A4056000000000001030A4057000000000000000A4060000000000000000A4061000000000000001A4062000000000000000A406302             A4064000000000000000A4065000000000000000A4066000000000000006A4067S              A406804             A4069N              A40700              A407105             A7001000000000000777A700223             A7003000000000003000A7004000000000000000A7005000000000003000A7007000000000003000A7009000000000000000A7011000000000000000A7013000000000000000A7014000000000000000A7015000000000000000A7016000000000000000A70171              A7018000000000000000A7019000000000000000A7020000000000000777A7021000000000000777B3001000000000000001B3002000000000000000B3003000000000000849B3004000000000000094B3005000000000000000B3006000000000000000B3007000000000000000B3008000000000000001B3009000000000260000B3010000000999999999B3011000000000000000B3012000000000000000B3013000000000900000B3014000000000099999B3015000000000000000B4001000000000000000B4002000000000010803B4003000000000001540B4004000000000000000B4005000000999999999B4006-00000099999999B40070000008888888.8B4008000000000000002B40090000008888888.8B4010000000000000000B4011000000000000004B40120000008888888.8B4013000000000000000B4014000000000000000B4015000000000000002B4016000000000000016B4017000000000001212B40180000000000001.2B40190000008888888.8B40200000008888888.8B4021000000000000000B40220000000000001.2B4023000000000000900B40240000000000001.2B4025000000000000000B4026000000000000000B4027000000000000000B4028000000000000001B4029000000000000000B4030000000000000000B4031000000000000000B4032000000000000000B4033000000000000001B4034000000000000000B4035000000000000000B4036000000000003000B4037000000000000000B40380000009999999.9B40390000009999999.9B4040000000000000549B4041000000000000000B4042000000000000000B4043000000000263530B4044000000000000000B4045000000000000000B4046000000000000000B4047000000000000000B4048000000000000000B4049000000000000000B4050000000000000000B4051000000000004883B4052000000000000000B4053000000000000000A4058000000000000000A4059000000000000005A1044000000000000000A1043000000000857483A104503             A1046000000000000000A1047000000000000000A1048000000000000000A1049000000000000000</t>
  </si>
  <si>
    <t>0000227001A10020              A10330              A21170000000000000.0K00010              K00021              K00030              R0002000000000000000R00030000000000019.6R0004D1             R0005000000000000012R0006000000000000000R00071              R0008               R0009               R0010000000010280000R0011000000020000000R0012000000020000000R0013000000000820000R0014000000000706000R0015000000001607833R0016000000001125483R0017000000000003.53R0018000000010181029R0019000000030000000R002005             R00210004           R002208             R002305             R00240003           R0025000000000000000R0026               R0027               R0028               R002903             R0030000000004000000R0031000000000000000R00320              R0033YA             R0034               R0035               R0036000000000000000R0037000000000000000R0038000000004000000R0039000000000000000R00400              R0041000000000000000R00427              R0048000000000000000R0049000000000000000R0050000000016000000R0051000000000777000R005200000000009.7E7R005301             R0054000000000000000R00550000000000000.0R00560000000000000.0R00570001           R00580              R0059000000000000748R0060000000000000828R006100000000001.6E7R00620000003000000.0R00630000003000000.0R00640              R00660              R00670              R10020000005000000.0R10030000000000019.6R1004D1             R1005000000000000018R1006000000000000003R1007               R1010000000001.028E7R101100000000002.0E7R101200000000002.0E7R10130000001032000.0R10140000000975000.0R10150000001585416.0R10160000001109791.0R1017000000000004.88R10180000009937637.0R101900000000003.0E7R102005             R102103             R102207             R102304             R10240004           R1025000000000000000R102705             R102903             R10300000005000000.0R10310000000000000.0R10320              R1033YA             R103407             R1035U4             R10360000000000000.0R10370000000000000.0R10380000005000000.0R10390000005000000.0R10400              R10410000000000000.0R10420              R1043000000000000667R104407             R104507             R10480000003000000.0R10490000000000000.0R1059000000000000748R1060000000000000848R1066               T000105             T0002000000007.97665T00030000000001.2146T0004000000000056.47S0001000000000000012S0002000000000000000S0003000000000000001S0004000000000000000S0005000000000000849S0006000000000000094S0007000000000000000S0008000000000000000S0009000000000000000S0010000000000000001S0011000000000260000S0012000000999999999S0013000000000000000S0014000000000000000S0015000000000900000S0016000000999999999S0017000000000000002S0018000000008888888S0019000000000000000S0020000000000000004S0021000000008888888S0022000000000000000S0023000000000000000S0024000000000000002S0025000000000000016S0026000000000001212S0027000000008888888S0028000000008888888S0029000000000000000S0030000000000000001S0031000000000000900S0032000000000000001S0033000000000000000S0034000000000000000S0035000000000000000S0036000000000000001S0037000000000000000S0038000000000000001S0039000000000000000S0040000000000000000S0041000000009999999S0042000000009999999S0043000000000000000S0044000000000263530S0045000000000000000S0046000000000000000S0047000000000000000S0048000000000003000S0049000000000000000S0050000000000000000S0051000000888888888S0052000000000000036S0053000000000000009S0054000000888888888S0055000000888888888S0056000000888888888W0001000000000000000W0002000000000000003W0003000000000000001W0004000000000000001W0005-00000000000006W0006000000000000001W0007000000000000001W0008000000000000000W0009000000000000005W0010-00000000000017W0011000000000000011W0012-00000000000001W0013-00000000000007W0014000000000000001W0015000000000000009W0016000000000000001W0017000000000000005W0018-00000000000002W0019-00000000000002W0020-00000000000002W0021-00000000000002W0022-00000000000019W0023000000000000001W0024000000000000001W0025000000000000004W0026-00000000000001W0027-00000000000001W0028-00000000000001W002900000</t>
  </si>
  <si>
    <t>0000000007W0030000000000000001W0031000000000000003W0032-00000000000005W0033-00000000000006W0034-00000000000005W0035-00000000000014W0036000000000000005W0037-00000000000001W0038000000000000001W0039-00000000000001W0040000000000000002W0041-00000000000008W0042-00000000000002W0043000000000000000W0044000000000000008W0045000000000000002W0046000000000000001W0047000000000000001W0048000000000000007W0049000000000000004W0050000000000000017W0051-00000000000005W0052-00000000000001W0053000000000000006W0054-00000000000001W0055000000000000001W0056000000000000001KORLTK109</t>
  </si>
  <si>
    <t>A0004</t>
    <phoneticPr fontId="2" type="noConversion"/>
  </si>
  <si>
    <t>A0005</t>
  </si>
  <si>
    <t>신용대출심사결과</t>
  </si>
  <si>
    <t>TBGEAA201</t>
    <phoneticPr fontId="2" type="noConversion"/>
  </si>
  <si>
    <t>A2151</t>
  </si>
  <si>
    <t>주택담보제외상환원리금_사전</t>
  </si>
  <si>
    <t>주택담보제외상환원리금</t>
  </si>
  <si>
    <t>A2152</t>
  </si>
  <si>
    <t>은행업권미상환주택담보대출건수_사전</t>
  </si>
  <si>
    <t>은행업권미상환주택담보대출건수</t>
  </si>
  <si>
    <t>A2153</t>
  </si>
  <si>
    <t>미상환주택담보대출건수_사전</t>
  </si>
  <si>
    <t>A2154</t>
  </si>
  <si>
    <t>KCB결정연소득금액_30_사전</t>
  </si>
  <si>
    <t>A2155</t>
  </si>
  <si>
    <t>NICE최종연소득금액_40_사전</t>
  </si>
  <si>
    <t>NICE추정소득금액</t>
  </si>
  <si>
    <t>A2156</t>
  </si>
  <si>
    <t>우대파일럿구분_사전</t>
  </si>
  <si>
    <t>KCB등급내용</t>
  </si>
  <si>
    <t xml:space="preserve"> 20220801:GEA220118  (LC04M 용도변경, KCB전월세지수_사전-&gt;우대파일럿구분_사전)</t>
  </si>
  <si>
    <t>A2157</t>
  </si>
  <si>
    <t>중위세분화저축은행등급</t>
  </si>
  <si>
    <t>신용평가점수내용</t>
  </si>
  <si>
    <t>SOHO신용개설가능지수_사전  -&gt; 중위세분화저축은행등급 (용도변경, 20230817, GEA230154)</t>
  </si>
  <si>
    <t>A2158</t>
  </si>
  <si>
    <t>KCB_RSCORE_ 통합</t>
  </si>
  <si>
    <t>R스코어_V5</t>
  </si>
  <si>
    <t>A2159</t>
  </si>
  <si>
    <t>KCB_RSCORE등급_ 통합</t>
  </si>
  <si>
    <t>KCBR스코어등급코드</t>
  </si>
  <si>
    <t>A2160</t>
  </si>
  <si>
    <t>KCB_I_INDEX스코어</t>
  </si>
  <si>
    <t>A2161</t>
  </si>
  <si>
    <t>KCB_I_INDEX등급</t>
  </si>
  <si>
    <t>KCB인덱스등급구분코드</t>
  </si>
  <si>
    <t>A2162</t>
  </si>
  <si>
    <t>A2163</t>
  </si>
  <si>
    <t>IBI</t>
    <phoneticPr fontId="2" type="noConversion"/>
  </si>
  <si>
    <t xml:space="preserve">KCBDSR연간상환원리금5 </t>
  </si>
  <si>
    <t xml:space="preserve"> 대부업권대출금액</t>
  </si>
  <si>
    <t>GEA_KCB신용요약정보상세전문</t>
    <phoneticPr fontId="2" type="noConversion"/>
  </si>
  <si>
    <t>A4068</t>
  </si>
  <si>
    <t>A4069</t>
  </si>
  <si>
    <t>A4070</t>
  </si>
  <si>
    <t>A4071</t>
  </si>
  <si>
    <t>소호변동성지수등급</t>
  </si>
  <si>
    <t xml:space="preserve">소호변동성지수등급_V9            </t>
  </si>
  <si>
    <t>소호변동성지수고변동여부</t>
  </si>
  <si>
    <t>소호변동성지수ML조정등급</t>
  </si>
  <si>
    <t>KCB_POSITIVE등급</t>
  </si>
  <si>
    <t xml:space="preserve">POSITIVESCORE등급_V9               </t>
  </si>
  <si>
    <t>대출평가결과구분코드</t>
  </si>
  <si>
    <t>i이지론플러스대출RCLIPS전문조립C</t>
  </si>
  <si>
    <t>+주민등록번호 5.6.7.8</t>
    <phoneticPr fontId="2" type="noConversion"/>
  </si>
  <si>
    <t>r신용대출심사결과조회E</t>
  </si>
  <si>
    <t>013</t>
  </si>
  <si>
    <t>014</t>
  </si>
  <si>
    <t>015</t>
  </si>
  <si>
    <t>016</t>
  </si>
  <si>
    <t>006</t>
  </si>
  <si>
    <t>001</t>
  </si>
  <si>
    <t>003</t>
  </si>
  <si>
    <t>005</t>
  </si>
  <si>
    <t>008</t>
  </si>
  <si>
    <t>009</t>
  </si>
  <si>
    <t>010</t>
  </si>
  <si>
    <t>bd당사신용카드잔액</t>
  </si>
  <si>
    <t>bdCA잔액</t>
  </si>
  <si>
    <t>A1 + 001 예외승인 + 사전대상</t>
    <phoneticPr fontId="2" type="noConversion"/>
  </si>
  <si>
    <t>r스크래핑국세청최종소득금액조회E</t>
  </si>
  <si>
    <t>스크래핑국세청최종소득금액_N15</t>
  </si>
  <si>
    <t>스크래핑건강보험최종소득금액_N15</t>
  </si>
  <si>
    <t>입력COMDtoctx</t>
  </si>
  <si>
    <t>SDT채널구분코드</t>
  </si>
  <si>
    <t>r대출가능개월수월별원리금조회C</t>
  </si>
  <si>
    <t>대출가능금액(25)</t>
    <phoneticPr fontId="2" type="noConversion"/>
  </si>
  <si>
    <t>대출가능금액(26)</t>
    <phoneticPr fontId="2" type="noConversion"/>
  </si>
  <si>
    <t>r카드론상환유예건수조회E</t>
  </si>
  <si>
    <t>유예건수_N13</t>
  </si>
  <si>
    <t>[유예건수_N13] &gt; 0 , 1</t>
    <phoneticPr fontId="2" type="noConversion"/>
  </si>
  <si>
    <t>이지론플러스분할상환대출기간수</t>
  </si>
  <si>
    <t>이지론플러스거치기간수</t>
  </si>
  <si>
    <t>KCB직업직위코드</t>
  </si>
  <si>
    <t>이지론플러스세그먼트한도금액</t>
  </si>
  <si>
    <t>LGU우대한도금액</t>
  </si>
  <si>
    <t>신용대출ASS등급구분코드</t>
  </si>
  <si>
    <t>주거유형별한도우대대상여부</t>
  </si>
  <si>
    <t>INDEX스코어_V5</t>
  </si>
  <si>
    <t>TIP스코어_V5</t>
  </si>
  <si>
    <t>TIP스코어등급_V2</t>
  </si>
  <si>
    <t>ibi</t>
    <phoneticPr fontId="2" type="noConversion"/>
  </si>
  <si>
    <t>GEA_NICE연체정보조회Dto</t>
  </si>
  <si>
    <t>NICE연체여부</t>
  </si>
  <si>
    <t>rNICE대출조회C</t>
  </si>
  <si>
    <t>rNICE신용정보조회C</t>
  </si>
  <si>
    <t>신용상품대출건수_N10</t>
  </si>
  <si>
    <t>, 1</t>
    <phoneticPr fontId="2" type="noConversion"/>
  </si>
  <si>
    <t>KCB스코어_V5</t>
  </si>
  <si>
    <t>rCB신용등급평점구간정보신용등급조회C</t>
  </si>
  <si>
    <t>GEA_KCB동시대출건수조회Dto</t>
  </si>
  <si>
    <t>[신용상품대출건수_N10] &gt;= 2, 1</t>
    <phoneticPr fontId="2" type="noConversion"/>
  </si>
  <si>
    <t>118</t>
    <phoneticPr fontId="2" type="noConversion"/>
  </si>
  <si>
    <t>012</t>
    <phoneticPr fontId="2" type="noConversion"/>
  </si>
  <si>
    <t>연소득금액</t>
  </si>
  <si>
    <t>sKCB신용등급구분코드</t>
  </si>
  <si>
    <t>[GEA_KCB동시대출건수조회Dto].[신용상품대출건수_N10] &gt;= 2, 1</t>
    <phoneticPr fontId="2" type="noConversion"/>
  </si>
  <si>
    <t>rKCB대출조회C</t>
  </si>
  <si>
    <t>C6기준 C8항목값</t>
    <phoneticPr fontId="2" type="noConversion"/>
  </si>
  <si>
    <t>c8 원천값, 이거랑 B항목 비교</t>
    <phoneticPr fontId="2" type="noConversion"/>
  </si>
  <si>
    <t>C8기준 C6항목값</t>
    <phoneticPr fontId="2" type="noConversion"/>
  </si>
  <si>
    <t>E값이 있고 G=1인값만 사용가능</t>
    <phoneticPr fontId="2" type="noConversion"/>
  </si>
  <si>
    <t>박힌값</t>
    <phoneticPr fontId="2" type="noConversion"/>
  </si>
  <si>
    <t>[0]</t>
    <phoneticPr fontId="2" type="noConversion"/>
  </si>
  <si>
    <t>r한국신용정보대출현금서비스DSR정보조회C</t>
    <phoneticPr fontId="2" type="noConversion"/>
  </si>
  <si>
    <t xml:space="preserve">대출총잔액_N15            </t>
    <phoneticPr fontId="2" type="noConversion"/>
  </si>
  <si>
    <t>H값있고 L에 값없는걸 C6에 추가해야함</t>
    <phoneticPr fontId="2" type="noConversion"/>
  </si>
  <si>
    <t>GEA_NICE신용요약정보조회Dto</t>
    <phoneticPr fontId="2" type="noConversion"/>
  </si>
  <si>
    <t>GEA_KCB신용요약정보조회Dto</t>
    <phoneticPr fontId="2" type="noConversion"/>
  </si>
  <si>
    <t>최종연소득금액_N15</t>
    <phoneticPr fontId="2" type="noConversion"/>
  </si>
  <si>
    <t>PI신용등급코드</t>
    <phoneticPr fontId="2" type="noConversion"/>
  </si>
  <si>
    <t>PI플러스신용등급코드</t>
    <phoneticPr fontId="2" type="noConversion"/>
  </si>
  <si>
    <t>NICE채무건전성스코어등급코드_V4</t>
    <phoneticPr fontId="2" type="noConversion"/>
  </si>
  <si>
    <t>NICE서브프라임부실등급구분코드</t>
    <phoneticPr fontId="2" type="noConversion"/>
  </si>
  <si>
    <t>채널구분</t>
  </si>
  <si>
    <t>채널세부구분</t>
  </si>
  <si>
    <t>A2078</t>
    <phoneticPr fontId="2" type="noConversion"/>
  </si>
  <si>
    <t>TotalCredit</t>
  </si>
  <si>
    <t>TotalCredit_잔여한도</t>
  </si>
  <si>
    <t>플러스론금리등급구분코드</t>
    <phoneticPr fontId="2" type="noConversion"/>
  </si>
  <si>
    <t>플러스론한도금액</t>
    <phoneticPr fontId="2" type="noConversion"/>
  </si>
  <si>
    <t>박힌값</t>
  </si>
  <si>
    <t>A1051</t>
  </si>
  <si>
    <t>A1036</t>
  </si>
  <si>
    <t>플러스론일시상환한도금액</t>
    <phoneticPr fontId="2" type="noConversion"/>
  </si>
  <si>
    <t>플러스론분할상환대출기간수</t>
    <phoneticPr fontId="2" type="noConversion"/>
  </si>
  <si>
    <t>플러스론거치기간수</t>
    <phoneticPr fontId="2" type="noConversion"/>
  </si>
  <si>
    <t>A9001</t>
    <phoneticPr fontId="2" type="noConversion"/>
  </si>
  <si>
    <t>KCB스코어보유여부_사전</t>
  </si>
  <si>
    <t>A9002</t>
  </si>
  <si>
    <t>KCB프로파일보유여부_사전</t>
  </si>
  <si>
    <t>A9003</t>
  </si>
  <si>
    <t>NICE스코어보유여부_사전</t>
  </si>
  <si>
    <t>A9004</t>
  </si>
  <si>
    <t>NICE프로파일보유여부_사전</t>
  </si>
  <si>
    <t>A9005</t>
  </si>
  <si>
    <t>은행신용대출금액_사전</t>
  </si>
  <si>
    <t>A9006</t>
  </si>
  <si>
    <t>KCB추정소득_사전</t>
  </si>
  <si>
    <t>A9007</t>
  </si>
  <si>
    <t>NICE추정소득_사전</t>
  </si>
  <si>
    <t>A9008</t>
  </si>
  <si>
    <t>평균추정소득_사전</t>
  </si>
  <si>
    <t>A9009</t>
  </si>
  <si>
    <t>KCB연간원리금_사전</t>
  </si>
  <si>
    <t>A9010</t>
  </si>
  <si>
    <t>NICE연간원리금_사전</t>
  </si>
  <si>
    <t>A9011</t>
  </si>
  <si>
    <t>월가처분소득_사전</t>
  </si>
  <si>
    <t>A9012</t>
  </si>
  <si>
    <t>반영월가처분소득_사전</t>
  </si>
  <si>
    <t>A9013</t>
  </si>
  <si>
    <t>전략DTI율_사전</t>
  </si>
  <si>
    <t>A9014</t>
  </si>
  <si>
    <t>대출이율_사전</t>
  </si>
  <si>
    <t>A9015</t>
  </si>
  <si>
    <t>금리등급_사전</t>
  </si>
  <si>
    <t>A9016</t>
  </si>
  <si>
    <t>연령_사전_사전</t>
  </si>
  <si>
    <t>A9017</t>
  </si>
  <si>
    <t>비은행권신용대출금액_사전</t>
  </si>
  <si>
    <t>A9018</t>
  </si>
  <si>
    <t>현금서비스기관수_사전</t>
  </si>
  <si>
    <t>A9019</t>
  </si>
  <si>
    <t xml:space="preserve">카드론니즈등급_사전 &gt;&gt; CSS신용등급코드  </t>
    <phoneticPr fontId="2" type="noConversion"/>
  </si>
  <si>
    <t>A9020</t>
  </si>
  <si>
    <t>서브프라임신용등급코드_사전</t>
  </si>
  <si>
    <t>A9021</t>
  </si>
  <si>
    <t>A9022</t>
  </si>
  <si>
    <t>KCB신용등급코드_사전</t>
  </si>
  <si>
    <t>A9023</t>
  </si>
  <si>
    <t>A9024</t>
  </si>
  <si>
    <t>NICE신용등급코드_사전</t>
  </si>
  <si>
    <t>A9025</t>
  </si>
  <si>
    <t>신용등급세그먼트구분_사전</t>
  </si>
  <si>
    <t>A9026</t>
  </si>
  <si>
    <t>최장대출기간월수_사전</t>
  </si>
  <si>
    <t>A9027</t>
  </si>
  <si>
    <t>최장거치개월수_사전</t>
  </si>
  <si>
    <t>A9028</t>
  </si>
  <si>
    <t>KCB직업정보코드_사전</t>
  </si>
  <si>
    <t>A9029</t>
  </si>
  <si>
    <t>KCB우량직업군여부_사전</t>
  </si>
  <si>
    <t>A9030</t>
  </si>
  <si>
    <t>우대파일럿_대출가능금액_사전</t>
  </si>
  <si>
    <t>A9031</t>
  </si>
  <si>
    <t>연령최고대출가능금액_사전</t>
  </si>
  <si>
    <t>A9032</t>
  </si>
  <si>
    <t>DTI율가이드금액_사전</t>
  </si>
  <si>
    <t>A9033</t>
  </si>
  <si>
    <t>DTI율가이드적용금액_사전</t>
  </si>
  <si>
    <t>A9034</t>
  </si>
  <si>
    <t>예비대출가능금액_사전</t>
  </si>
  <si>
    <t>A9035</t>
  </si>
  <si>
    <t>타사신용카드보유여부_사전</t>
  </si>
  <si>
    <t>A9036</t>
  </si>
  <si>
    <t>NICE직업우량여부_사전</t>
  </si>
  <si>
    <t>A9037</t>
  </si>
  <si>
    <t>미래상환능력지수내용_사전</t>
  </si>
  <si>
    <t>A9038</t>
  </si>
  <si>
    <t>고위험군여부_사전</t>
  </si>
  <si>
    <t>A9039</t>
  </si>
  <si>
    <t>리스크론니즈최고대출가능금액</t>
  </si>
  <si>
    <t>A9040</t>
  </si>
  <si>
    <t>우대대출가능금액_사전</t>
  </si>
  <si>
    <t>A9041</t>
  </si>
  <si>
    <t>신용대출ASS등급_사전</t>
  </si>
  <si>
    <t>A9042</t>
  </si>
  <si>
    <t>플러스론결합등급_사전</t>
  </si>
  <si>
    <t>A9043</t>
  </si>
  <si>
    <t>플러스론전략등급_사전</t>
  </si>
  <si>
    <t>A9044</t>
  </si>
  <si>
    <t>프로파일코드1_사전</t>
  </si>
  <si>
    <t>A9045</t>
  </si>
  <si>
    <t>프로파일코드2_사전</t>
  </si>
  <si>
    <t>A9046</t>
  </si>
  <si>
    <t>프로파일코드3_사전</t>
  </si>
  <si>
    <t>A9047</t>
  </si>
  <si>
    <t>PI2신용등급코드_사전</t>
  </si>
  <si>
    <t>A9048</t>
  </si>
  <si>
    <t>DEP신용등급코드_사전</t>
  </si>
  <si>
    <t>A9049</t>
  </si>
  <si>
    <t>PIPLUS신용등급코드_사전</t>
  </si>
  <si>
    <t>A9050</t>
  </si>
  <si>
    <t>DEP2신용등급코드_사전</t>
  </si>
  <si>
    <t>A9051</t>
  </si>
  <si>
    <t>소액한도대상여부_사전</t>
  </si>
  <si>
    <t>A9052</t>
  </si>
  <si>
    <t>최고대출가능금액세그먼트구분_사전</t>
  </si>
  <si>
    <t>A9053</t>
  </si>
  <si>
    <t>자택우편번호_사전</t>
  </si>
  <si>
    <t>A9054</t>
  </si>
  <si>
    <t>주거우대여부_사전</t>
  </si>
  <si>
    <t>A9055</t>
  </si>
  <si>
    <t>한도조정금액_사전</t>
  </si>
  <si>
    <t>A9056</t>
  </si>
  <si>
    <t>소개영업대상여부_사전</t>
  </si>
  <si>
    <t>A9057</t>
  </si>
  <si>
    <t>다중채무자여부_사전</t>
  </si>
  <si>
    <t>A9058</t>
  </si>
  <si>
    <t>파일롯대상대출가능금액_사전</t>
  </si>
  <si>
    <t>A9059</t>
  </si>
  <si>
    <t>우대전최종대출가능금액_사전</t>
  </si>
  <si>
    <t>A9060</t>
  </si>
  <si>
    <t>제외대상여부_사전</t>
  </si>
  <si>
    <t>A9061</t>
  </si>
  <si>
    <t>연합회담보대출구분_사전</t>
  </si>
  <si>
    <t>A9062</t>
  </si>
  <si>
    <t>전문직군여부_사전</t>
  </si>
  <si>
    <t>A9063</t>
  </si>
  <si>
    <t>다중채무위험등급_사전</t>
  </si>
  <si>
    <t>A9064</t>
  </si>
  <si>
    <t>그룹다중채무세그먼트등급_사전</t>
  </si>
  <si>
    <t>A9065</t>
  </si>
  <si>
    <t>소호특화통합등급구분코드 &gt;&gt; 리스크론니즈최고대출가능금액</t>
    <phoneticPr fontId="2" type="noConversion"/>
  </si>
  <si>
    <t>A9066</t>
  </si>
  <si>
    <t>A9067</t>
  </si>
  <si>
    <t>A9068</t>
  </si>
  <si>
    <t>A2144</t>
  </si>
  <si>
    <t>A9069</t>
  </si>
  <si>
    <t>A2145</t>
  </si>
  <si>
    <t>A9070</t>
  </si>
  <si>
    <t>A2146</t>
  </si>
  <si>
    <t>A9071</t>
  </si>
  <si>
    <t>A2147</t>
  </si>
  <si>
    <t>A9072</t>
  </si>
  <si>
    <t>A2148</t>
  </si>
  <si>
    <t>A9073</t>
  </si>
  <si>
    <t>A2149</t>
  </si>
  <si>
    <t>A9074</t>
  </si>
  <si>
    <t>A2150</t>
  </si>
  <si>
    <t>A9075</t>
  </si>
  <si>
    <t>TBGEAA210</t>
  </si>
  <si>
    <t>A9076</t>
  </si>
  <si>
    <t>A9077</t>
  </si>
  <si>
    <t>A9078</t>
  </si>
  <si>
    <t>A9079</t>
  </si>
  <si>
    <t>A9080</t>
  </si>
  <si>
    <t>A9081</t>
  </si>
  <si>
    <t>SOHO신용개설가능지수_사전</t>
  </si>
  <si>
    <t>A9082</t>
  </si>
  <si>
    <t>KCB_RSCORE_통합_사전</t>
  </si>
  <si>
    <t>A9083</t>
  </si>
  <si>
    <t>KCB_RSCORE등급_통합_사전</t>
  </si>
  <si>
    <t>A9084</t>
  </si>
  <si>
    <t>KCB_I_INDEX스코어_사전</t>
  </si>
  <si>
    <t>A9085</t>
  </si>
  <si>
    <t>KCB_I_INDEX등급_사전</t>
  </si>
  <si>
    <t>A9086</t>
  </si>
  <si>
    <t>TIP스코어_사전</t>
  </si>
  <si>
    <t>A9087</t>
  </si>
  <si>
    <t>TIP스코어등급_사전</t>
  </si>
  <si>
    <t>A3097</t>
    <phoneticPr fontId="2" type="noConversion"/>
  </si>
  <si>
    <t>현거주지등록경과일수_N</t>
  </si>
  <si>
    <t>A3098</t>
  </si>
  <si>
    <t>거주유형상세코드_N</t>
  </si>
  <si>
    <t>A3099</t>
  </si>
  <si>
    <t>현거주지매매평균가_N</t>
  </si>
  <si>
    <t>A3100</t>
  </si>
  <si>
    <t>현직장등록경과일수_N</t>
  </si>
  <si>
    <t>A3101</t>
  </si>
  <si>
    <t>상환여력정보매칭코드_N</t>
  </si>
  <si>
    <t>A3102</t>
  </si>
  <si>
    <t>상환여력정보예외코드_N</t>
  </si>
  <si>
    <t>A3103</t>
  </si>
  <si>
    <t>현직장휴폐업여부_N</t>
  </si>
  <si>
    <t>A3104</t>
  </si>
  <si>
    <t>현직장기업공개구분코드_N</t>
  </si>
  <si>
    <t>A3105</t>
  </si>
  <si>
    <t>현직장기업형태구분코드_N</t>
  </si>
  <si>
    <t>A3106</t>
  </si>
  <si>
    <t>현직장종업원수_N</t>
  </si>
  <si>
    <t>A3107</t>
  </si>
  <si>
    <t>NICE연소득금액_N</t>
  </si>
  <si>
    <t>A3108</t>
  </si>
  <si>
    <t>NICE추정연소득금액_N</t>
  </si>
  <si>
    <t>A3109</t>
  </si>
  <si>
    <t>최종연소득금액_N</t>
  </si>
  <si>
    <t>NICE최종연소득금액_N15</t>
  </si>
  <si>
    <t>A3110</t>
  </si>
  <si>
    <t>직장기반추정소득금액_N</t>
  </si>
  <si>
    <t>A3111</t>
  </si>
  <si>
    <t>부동산기반추정소득금액_N</t>
  </si>
  <si>
    <t>A3112</t>
  </si>
  <si>
    <t>신용정보기반추정소득금액_N</t>
  </si>
  <si>
    <t>A3113</t>
  </si>
  <si>
    <t>미상환주택담보대출건수_N</t>
  </si>
  <si>
    <t>A3114</t>
  </si>
  <si>
    <t>담보제외연원리금상환금액_N</t>
  </si>
  <si>
    <t>A3115</t>
  </si>
  <si>
    <t>개인파산정보내용_N</t>
  </si>
  <si>
    <t>A3116</t>
  </si>
  <si>
    <t>CP스코어등급_N</t>
  </si>
  <si>
    <t>A3117</t>
  </si>
  <si>
    <t>타사연체등재여부_N</t>
  </si>
  <si>
    <t>A3118</t>
  </si>
  <si>
    <t>등록연소득정보보유여부(4.0)</t>
  </si>
  <si>
    <t>A3119</t>
  </si>
  <si>
    <t>등록연소득금액(4.0)</t>
  </si>
  <si>
    <t>A3120</t>
  </si>
  <si>
    <t>등록연소득업계(4.0)</t>
  </si>
  <si>
    <t>A3121</t>
  </si>
  <si>
    <t>등록연소득입수일자(4.0)</t>
  </si>
  <si>
    <t>A3122</t>
  </si>
  <si>
    <t>추정연소득금액(4.0)</t>
  </si>
  <si>
    <t>A3123</t>
  </si>
  <si>
    <t>추정연소득모형구분(4.0)</t>
  </si>
  <si>
    <t>A3124</t>
  </si>
  <si>
    <t>최종소득등급(4.0)</t>
  </si>
  <si>
    <t>A3125</t>
  </si>
  <si>
    <t>소득등급적용배제사유(4.0)</t>
  </si>
  <si>
    <t>A4060</t>
    <phoneticPr fontId="2" type="noConversion"/>
  </si>
  <si>
    <t>CA잔액보유기관수_K</t>
  </si>
  <si>
    <t>C1N228000</t>
    <phoneticPr fontId="2" type="noConversion"/>
  </si>
  <si>
    <t>연체대환대출기관수_K</t>
  </si>
  <si>
    <t>RSCORE_카드_K</t>
  </si>
  <si>
    <t>RSCORE등급_카드_K</t>
  </si>
  <si>
    <t>KCB정보직업직위내용_K</t>
  </si>
  <si>
    <t>KCB추정소득_K</t>
  </si>
  <si>
    <t>DTI타입값_K</t>
  </si>
  <si>
    <t>1개월전총대출잔액월말기준_K</t>
  </si>
  <si>
    <t>A4001</t>
    <phoneticPr fontId="16" type="noConversion"/>
  </si>
  <si>
    <t>실시간KCB신용평점</t>
    <phoneticPr fontId="16" type="noConversion"/>
  </si>
  <si>
    <t>A3073</t>
    <phoneticPr fontId="16" type="noConversion"/>
  </si>
  <si>
    <t>실시간NICE신용평점</t>
    <phoneticPr fontId="16" type="noConversion"/>
  </si>
  <si>
    <t>A4035</t>
    <phoneticPr fontId="16" type="noConversion"/>
  </si>
  <si>
    <t>비대면연계</t>
    <phoneticPr fontId="16" type="noConversion"/>
  </si>
  <si>
    <t>s비대면연계대출등급</t>
    <phoneticPr fontId="16" type="noConversion"/>
  </si>
  <si>
    <t>A3075</t>
    <phoneticPr fontId="16" type="noConversion"/>
  </si>
  <si>
    <t>중금리ML</t>
    <phoneticPr fontId="16" type="noConversion"/>
  </si>
  <si>
    <t>s중금리ML스코어신용등급코드</t>
    <phoneticPr fontId="16" type="noConversion"/>
  </si>
  <si>
    <t>A2084</t>
    <phoneticPr fontId="16" type="noConversion"/>
  </si>
  <si>
    <t>이지론플러스한도금액</t>
    <phoneticPr fontId="16" type="noConversion"/>
  </si>
  <si>
    <t>sNICE신용등급구분코드
NICE신용평가등급코드</t>
    <phoneticPr fontId="16" type="noConversion"/>
  </si>
  <si>
    <t>NICE서브프라임부실등급구분코드</t>
    <phoneticPr fontId="16" type="noConversion"/>
  </si>
  <si>
    <t>NICE채무건전성스코어등급코드</t>
    <phoneticPr fontId="16" type="noConversion"/>
  </si>
  <si>
    <t>NICE파산건전성등급코드</t>
    <phoneticPr fontId="16" type="noConversion"/>
  </si>
  <si>
    <t>NICE파산건전성플러스등급코드</t>
    <phoneticPr fontId="16" type="noConversion"/>
  </si>
  <si>
    <t>NICE실시간대출조회수</t>
    <phoneticPr fontId="16" type="noConversion"/>
  </si>
  <si>
    <t>A3066</t>
    <phoneticPr fontId="16" type="noConversion"/>
  </si>
  <si>
    <t>NICE추정연소득금액</t>
    <phoneticPr fontId="16" type="noConversion"/>
  </si>
  <si>
    <t>sKCB신용등급구분코드
KCB신용평가등급코드</t>
    <phoneticPr fontId="16" type="noConversion"/>
  </si>
  <si>
    <t>A4019</t>
    <phoneticPr fontId="16" type="noConversion"/>
  </si>
  <si>
    <t>KCB결정연소득금액</t>
    <phoneticPr fontId="16" type="noConversion"/>
  </si>
  <si>
    <t>대출신청평점</t>
    <phoneticPr fontId="16" type="noConversion"/>
  </si>
  <si>
    <t>대출한도충족률</t>
  </si>
  <si>
    <t>신청등급코드
s신청등급</t>
    <phoneticPr fontId="16" type="noConversion"/>
  </si>
  <si>
    <t>결합등급코드
s결합등급</t>
    <phoneticPr fontId="16" type="noConversion"/>
  </si>
  <si>
    <t>전략등급코드</t>
    <phoneticPr fontId="16" type="noConversion"/>
  </si>
  <si>
    <t>18번 12번 전략에 따라 자릿수 다름</t>
    <phoneticPr fontId="16" type="noConversion"/>
  </si>
  <si>
    <t>신용정보부족대상자여부</t>
  </si>
  <si>
    <t>낙아웃여부</t>
  </si>
  <si>
    <t>월소득금액</t>
  </si>
  <si>
    <t>DTI계산율</t>
  </si>
  <si>
    <t>적용이율</t>
  </si>
  <si>
    <t>RCLIPS초기한도금액</t>
  </si>
  <si>
    <t>RCLIPS신용한도제한금액</t>
  </si>
  <si>
    <t>CB등급한도제한금액</t>
  </si>
  <si>
    <t>신용한도금액</t>
  </si>
  <si>
    <t>RCLIPS신용한도금액</t>
  </si>
  <si>
    <t>대출평가결과구분코드
s대출평가결과구분코드</t>
    <phoneticPr fontId="16" type="noConversion"/>
  </si>
  <si>
    <t>DTI월상환원금</t>
  </si>
  <si>
    <t>RCLIPS신용가중치율</t>
  </si>
  <si>
    <t>신청가능거치기간개월수</t>
  </si>
  <si>
    <t>제휴기관연계대출우대대상여부</t>
  </si>
  <si>
    <t>제휴기관연계대출우대한도금액</t>
  </si>
  <si>
    <t>i컷오프KCB등급</t>
    <phoneticPr fontId="16" type="noConversion"/>
  </si>
  <si>
    <t>통합모형전체등급구분코드</t>
  </si>
  <si>
    <t>통합모형은행등급구분코드</t>
  </si>
  <si>
    <t>신용대출우대한도구분코드</t>
  </si>
  <si>
    <t>스크래핑소득적용구분코드</t>
  </si>
  <si>
    <t>최종스크래핑적용소득금액</t>
  </si>
  <si>
    <t>추정소득금액</t>
  </si>
  <si>
    <t>타사대출금액</t>
  </si>
  <si>
    <t>부채합계금액</t>
  </si>
  <si>
    <t>신용대출테스트대상구분코드</t>
  </si>
  <si>
    <t>R0068</t>
    <phoneticPr fontId="16" type="noConversion"/>
  </si>
  <si>
    <t>유효신용카드소지여부</t>
    <phoneticPr fontId="16" type="noConversion"/>
  </si>
  <si>
    <t>R0071</t>
    <phoneticPr fontId="16" type="noConversion"/>
  </si>
  <si>
    <t>R0072</t>
    <phoneticPr fontId="16" type="noConversion"/>
  </si>
  <si>
    <t>카드론결합CB등급구분코드</t>
    <phoneticPr fontId="16" type="noConversion"/>
  </si>
  <si>
    <t>신용대출1억원초과여부</t>
    <phoneticPr fontId="16" type="noConversion"/>
  </si>
  <si>
    <t>R8001</t>
  </si>
  <si>
    <t>R8002</t>
    <phoneticPr fontId="16" type="noConversion"/>
  </si>
  <si>
    <t>R8003</t>
  </si>
  <si>
    <t>R8004</t>
  </si>
  <si>
    <t>R8005</t>
  </si>
  <si>
    <t>R8006</t>
  </si>
  <si>
    <t>이지신용대출전환대상</t>
  </si>
  <si>
    <t>실시간카드론신청등급</t>
  </si>
  <si>
    <t>고객가치그룹구분</t>
  </si>
  <si>
    <t>고객가치구분코드</t>
  </si>
  <si>
    <t>가계여신평잔</t>
  </si>
  <si>
    <t>기여도등급</t>
  </si>
  <si>
    <t>이지신용기여도등급</t>
  </si>
  <si>
    <t>이지신용대출한도</t>
  </si>
  <si>
    <t>R8010</t>
    <phoneticPr fontId="16" type="noConversion"/>
  </si>
  <si>
    <t>R8011</t>
    <phoneticPr fontId="16" type="noConversion"/>
  </si>
  <si>
    <t>이지신용대출대상구분코드</t>
  </si>
  <si>
    <t>이지신용대출한도금액</t>
  </si>
  <si>
    <t>R0075</t>
    <phoneticPr fontId="16" type="noConversion"/>
  </si>
  <si>
    <t>심사전략적용평가상품구분코드</t>
  </si>
  <si>
    <t>사전기타취급불가사유코드</t>
  </si>
  <si>
    <t>실시간카드론결합CB등급</t>
  </si>
  <si>
    <t>신용대출1억초과여부</t>
  </si>
  <si>
    <t>신용카드소지여부</t>
    <phoneticPr fontId="16" type="noConversion"/>
  </si>
  <si>
    <t>플러스론한도금액</t>
    <phoneticPr fontId="16" type="noConversion"/>
  </si>
  <si>
    <t>최종연소득금액</t>
    <phoneticPr fontId="16" type="noConversion"/>
  </si>
  <si>
    <t>NICE스코어_V5</t>
    <phoneticPr fontId="16" type="noConversion"/>
  </si>
  <si>
    <t>K-Score Score</t>
    <phoneticPr fontId="16" type="noConversion"/>
  </si>
  <si>
    <t>소득추정모형(결정연소득금액)(소득추정모형 VER 3.0)</t>
    <phoneticPr fontId="16" type="noConversion"/>
  </si>
  <si>
    <t>입력항목</t>
    <phoneticPr fontId="16" type="noConversion"/>
  </si>
  <si>
    <t>컬럼명</t>
    <phoneticPr fontId="16" type="noConversion"/>
  </si>
  <si>
    <t>A6001</t>
    <phoneticPr fontId="2" type="noConversion"/>
  </si>
  <si>
    <t>A6002</t>
    <phoneticPr fontId="2" type="noConversion"/>
  </si>
  <si>
    <t>B3012</t>
    <phoneticPr fontId="2" type="noConversion"/>
  </si>
  <si>
    <t>B4072</t>
  </si>
  <si>
    <t>B4073</t>
  </si>
  <si>
    <t>B4074</t>
  </si>
  <si>
    <t>B4075</t>
  </si>
  <si>
    <t>B4076</t>
  </si>
  <si>
    <t>B4077</t>
  </si>
  <si>
    <t>B4078</t>
  </si>
  <si>
    <t>B4079</t>
  </si>
  <si>
    <t>B4080</t>
  </si>
  <si>
    <t>B4081</t>
  </si>
  <si>
    <t>B4082</t>
  </si>
  <si>
    <t>B4083</t>
  </si>
  <si>
    <t>B4084</t>
  </si>
  <si>
    <t>B4085</t>
  </si>
  <si>
    <t>B4086</t>
  </si>
  <si>
    <t>B4087</t>
  </si>
  <si>
    <t>B4088</t>
  </si>
  <si>
    <t>B4089</t>
  </si>
  <si>
    <t>B4090</t>
  </si>
  <si>
    <t>B4091</t>
  </si>
  <si>
    <t>B4092</t>
  </si>
  <si>
    <t>B4093</t>
  </si>
  <si>
    <t>B4094</t>
  </si>
  <si>
    <t>B4095</t>
  </si>
  <si>
    <t>B4096</t>
  </si>
  <si>
    <t>B4097</t>
  </si>
  <si>
    <t>B4098</t>
  </si>
  <si>
    <t>그룹고객식별자</t>
  </si>
  <si>
    <t>그룹상매각금액보유여부</t>
    <phoneticPr fontId="2" type="noConversion"/>
  </si>
  <si>
    <t>N3개월그룹총수신평잔</t>
    <phoneticPr fontId="2" type="noConversion"/>
  </si>
  <si>
    <t>N6개월그룹총수신평잔</t>
    <phoneticPr fontId="2" type="noConversion"/>
  </si>
  <si>
    <t>N6개월그룹수신연속증가개월수</t>
    <phoneticPr fontId="2" type="noConversion"/>
  </si>
  <si>
    <t>N1년그룹수신평잔연속증가개월수</t>
    <phoneticPr fontId="2" type="noConversion"/>
  </si>
  <si>
    <t>N3개월평균그룹총수신평잔</t>
    <phoneticPr fontId="2" type="noConversion"/>
  </si>
  <si>
    <t>N3개월자산보유계열사수</t>
    <phoneticPr fontId="2" type="noConversion"/>
  </si>
  <si>
    <t>N6개월카드거래패턴코드</t>
    <phoneticPr fontId="2" type="noConversion"/>
  </si>
  <si>
    <t>AS0000138</t>
  </si>
  <si>
    <t>B12000200</t>
  </si>
  <si>
    <t>B4E000002</t>
  </si>
  <si>
    <t>BE0000801</t>
  </si>
  <si>
    <t>BS0000169</t>
  </si>
  <si>
    <t>BS0000171</t>
  </si>
  <si>
    <t>BS0000172</t>
  </si>
  <si>
    <t>BU0024001</t>
  </si>
  <si>
    <t>AH1070004</t>
  </si>
  <si>
    <t>AL012G003</t>
  </si>
  <si>
    <t>AL012G019</t>
  </si>
  <si>
    <t>AS1C0G158</t>
  </si>
  <si>
    <t>AS1C20102</t>
  </si>
  <si>
    <t>C1L120190</t>
  </si>
  <si>
    <t>C1L120292</t>
  </si>
  <si>
    <t>C1L120333</t>
  </si>
  <si>
    <t>C1M220000</t>
  </si>
  <si>
    <t>C1N2A3W03</t>
  </si>
  <si>
    <t>C1N2A3W0C</t>
  </si>
  <si>
    <t>C1Z000753</t>
  </si>
  <si>
    <t>C1Z001141</t>
  </si>
  <si>
    <t>C20172001</t>
  </si>
  <si>
    <t>C23272000</t>
  </si>
  <si>
    <t>D1017500T</t>
  </si>
  <si>
    <t>D10275D00</t>
  </si>
  <si>
    <t>D20210Z00</t>
  </si>
  <si>
    <t>D21210000</t>
  </si>
  <si>
    <t>D2Z000047</t>
  </si>
  <si>
    <t>D2Z000048</t>
  </si>
  <si>
    <t>D2Z000049</t>
  </si>
  <si>
    <t>D2Z000072</t>
  </si>
  <si>
    <t>D2Z000075</t>
  </si>
  <si>
    <t>DA0000016</t>
  </si>
  <si>
    <t>미정(개발중)</t>
  </si>
  <si>
    <t>DA1000066</t>
  </si>
  <si>
    <t>DA1000148</t>
  </si>
  <si>
    <t>DD0210X10</t>
  </si>
  <si>
    <t>DDC001000</t>
  </si>
  <si>
    <t>DUN000028</t>
  </si>
  <si>
    <t>L1021080C</t>
  </si>
  <si>
    <t>L10232000</t>
  </si>
  <si>
    <t>L1023C000</t>
  </si>
  <si>
    <t>L1Z000080</t>
  </si>
  <si>
    <t>L1Z000806</t>
  </si>
  <si>
    <t>L1Z000813</t>
  </si>
  <si>
    <t>L1Z000832</t>
  </si>
  <si>
    <t>L1Z000934</t>
  </si>
  <si>
    <t>L1Z000938</t>
  </si>
  <si>
    <t>L1Z001135</t>
  </si>
  <si>
    <t>L1Z001139</t>
  </si>
  <si>
    <t>L1Z001140</t>
  </si>
  <si>
    <t>L1Z001141</t>
  </si>
  <si>
    <t>L2017300H</t>
  </si>
  <si>
    <t>L20231000</t>
  </si>
  <si>
    <t>L2Z000196</t>
  </si>
  <si>
    <t>L2Z000197</t>
  </si>
  <si>
    <t>L2Z001013</t>
  </si>
  <si>
    <t>L2Z001314</t>
  </si>
  <si>
    <t>LA1000041</t>
  </si>
  <si>
    <t>LA1000070</t>
  </si>
  <si>
    <t>LA1000076</t>
  </si>
  <si>
    <t>R20000002</t>
  </si>
  <si>
    <t>SC0100000</t>
  </si>
  <si>
    <t>U10000001</t>
  </si>
  <si>
    <t>U81202010</t>
  </si>
  <si>
    <t>그룹상매각금액보유여부</t>
  </si>
  <si>
    <t>N3개월그룹총수신평잔</t>
  </si>
  <si>
    <t>N6개월그룹총수신평잔</t>
  </si>
  <si>
    <t>N6개월그룹수신연속증가개월수</t>
  </si>
  <si>
    <t>N1년그룹수신평잔연속증가개월수</t>
  </si>
  <si>
    <t>N3개월평균그룹총수신평잔</t>
  </si>
  <si>
    <t>N3개월자산보유계열사수</t>
  </si>
  <si>
    <t>N6개월카드거래패턴코드</t>
  </si>
  <si>
    <t>[신청] 외국인 구분(0:외국인, 1:내국인)</t>
  </si>
  <si>
    <t>(신용관리대상/공공정보)미해제등록 총 건수</t>
  </si>
  <si>
    <t>(채무불이행-연합회)미해제등록 총 건수</t>
  </si>
  <si>
    <t>현재 개인회생신청정보 미해제 여부(0/1)(신정원 기준)</t>
  </si>
  <si>
    <t>(공공정보)미해제건 중 개인회생절차 진행건수</t>
  </si>
  <si>
    <t>(공공정보)미해제건 중 신용회복지원대상자 확정건수</t>
  </si>
  <si>
    <t>(공공정보)미해제건 중 파산으로인한 면책결정건수</t>
  </si>
  <si>
    <t>전은연 채무불이행 대부업권 미해제 총건수</t>
  </si>
  <si>
    <t>최초사업체창업일로부터의기간(미폐업)</t>
  </si>
  <si>
    <t>1년내자택주소이력건수(구간화)</t>
  </si>
  <si>
    <t>3년내휴대폰번호이력건수(구간화)</t>
  </si>
  <si>
    <t>5년내휴대폰번호이력건수(구간화)</t>
  </si>
  <si>
    <t>주택보유구분상태(코드화)</t>
  </si>
  <si>
    <t>소유부동산건축물건수</t>
  </si>
  <si>
    <t>1년내(15일)신용카드총유효한도소진율80%이상개월수(활성카드)(미해지)</t>
  </si>
  <si>
    <t>6개월내(15일)이용신용카드총이용잔액유효한도소진율(2+)(활성카드)(해지포함)</t>
  </si>
  <si>
    <t>3개월내(15일)신용카드총이용잔액유효한도소진율(2+)(활성카드)(해지포함)</t>
  </si>
  <si>
    <t>신용카드기관수(미해지)</t>
  </si>
  <si>
    <t>단기카드대출(CA)이용잔액보유카드기관수(미해지)</t>
  </si>
  <si>
    <t>3개월내(15일)카드월평균총이용금액(해지포함)</t>
  </si>
  <si>
    <t>1년내(15일)카드월평균총이용금액(해지포함)</t>
  </si>
  <si>
    <t>6개월내(15일)카드단기카드대출(CA)이용개월수(해지포함)</t>
  </si>
  <si>
    <t>1년내(15일)카드단기카드대출(CA)이용개월수(해지포함)</t>
  </si>
  <si>
    <t>최초신용거래개설일자로부터경과일수(CIS)(5년내유지)</t>
  </si>
  <si>
    <t>최초신용카드개설일자로부터경과일수(CIS)(미해지)</t>
  </si>
  <si>
    <t>연체건수(대지급포함)(1년내유지)(해제포함)</t>
  </si>
  <si>
    <t>최장연체일수(1년내유지)(해제포함)</t>
  </si>
  <si>
    <t>최장연체일수(미해제)(대지급포함)</t>
  </si>
  <si>
    <t>신용도판단정보공공정보건수(CIS)(미해제)(대부업포함)</t>
  </si>
  <si>
    <t>연체등정보건수(CIS)(미해제)</t>
  </si>
  <si>
    <t>신용회복지원확정여부(CIS)(미해제)</t>
  </si>
  <si>
    <t>개인회생확정여부(CIS)(미해제)</t>
  </si>
  <si>
    <t>파산면책확정여부(CIS)(미해제)</t>
  </si>
  <si>
    <t>신용도판단정보공공정보최근해제일자로부터경과일수(CIS)(해제,삭제)</t>
  </si>
  <si>
    <t>개인회생신청정보보유여부(CIS)(미해제)</t>
  </si>
  <si>
    <t>장기연체정보(신용정보사)건수(미해제)</t>
  </si>
  <si>
    <t>장기연체정보(신용정보사)최근해제일자로부터경과일수</t>
  </si>
  <si>
    <t>1개월전기업신용공여연체최장연체일수(CIS기업신용)(월말기준)</t>
  </si>
  <si>
    <t>최장연체일수[기업여신/법인카드]</t>
  </si>
  <si>
    <t>최장연체일수(1년내유지)(해제포함)[기업여신/법인카드]</t>
  </si>
  <si>
    <t>연체건수(1년내유지)(해제포함)[기업여신/법인카드]</t>
  </si>
  <si>
    <t>대부업권 대출 연체총건수(미해제)(연체일수 30일 이상)</t>
  </si>
  <si>
    <t>대부업권 연체등정보건수(미해제)</t>
  </si>
  <si>
    <t>최근연체해제일자로부터경과일수(개인소호포함)</t>
  </si>
  <si>
    <t>저축은행업종대출건수(해지포함)(1년내신규개설)</t>
  </si>
  <si>
    <t>총대출금액(미해지)</t>
  </si>
  <si>
    <t>총대출잔액(미해지)</t>
  </si>
  <si>
    <t>순수신용대출총대출잔액(미해지)</t>
  </si>
  <si>
    <t>학자금자동차리스예적금담보제외저축은행기타업종대출기관수(미해지)</t>
  </si>
  <si>
    <t>학자금자동차리스예적금담보제외카드업종대출건수(미해지)</t>
  </si>
  <si>
    <t>학자금자동차리스예적금담보제외카드업종대출건수(1년내유지)(해지포함)</t>
  </si>
  <si>
    <t>학자금자동차리스예적금담보신차제외은행업종제외대출금액(미해지)</t>
  </si>
  <si>
    <t>1년내학자금자동차리스예적금담보신차제외카드업종본인변제해지대출건수(해지)</t>
  </si>
  <si>
    <t>학자금자동차리스예적금담보신차제외6개월전은행업종제외대출금액(미해지)</t>
  </si>
  <si>
    <t>학자금자동차리스예적금담보신차제외할부금융업종대출건수(미해지)</t>
  </si>
  <si>
    <t>학자금자동차리스예적금담보신차제외저축은행업종대출건수(미해지)</t>
  </si>
  <si>
    <t>학자금자동차리스예적금담보제외은행업종대출기관수(6개월내신규개설)(해지포함)</t>
  </si>
  <si>
    <t>최초대출개설일자로부터경과일수(CIS)(해지포함)(5년내유지)</t>
  </si>
  <si>
    <t>총대출금액(CIS)(미해지)</t>
  </si>
  <si>
    <t>대출기관수(CIS)(카드론포함)(6개월내신규개설)(해지포함)(주택,신차,예적금,유가증권담보,보험계약제외)</t>
  </si>
  <si>
    <t>대출기관수(CIS)(카드론포함)(1년내신규개설)(해지포함)(주택,신차,예적금,유가증권담보,보험계약대출제외)</t>
  </si>
  <si>
    <t>은행업권제외대출총건수(은행업권외카드론포함)(CIS계좌단위)(신차예적금주택유가증권담보제외)(미해지)</t>
  </si>
  <si>
    <t>은행업권제외대출기관수(주택,신차,예적금,유가증권,금융리스,집단대출제외)(CIS계좌단위)(미해지)</t>
  </si>
  <si>
    <t>1개월전비은행업권기업신용공여총기관수(CIS기업신용)(월말기준)</t>
  </si>
  <si>
    <t>대출총건수(미해지)[기업여신]</t>
  </si>
  <si>
    <t>대출건수(해지포함)(1년내신규개설)[기업여신]</t>
  </si>
  <si>
    <t>최근대출개설일자로부터의경과일수(미해지)[기업여신]</t>
  </si>
  <si>
    <t>사망일자</t>
  </si>
  <si>
    <t>K-Score2.0평점(적용배제)</t>
  </si>
  <si>
    <t>SOHO ML 스코어 V1.0 KCB SOHO 여부</t>
  </si>
  <si>
    <t>자산평가지수(순자산평가금액)</t>
  </si>
  <si>
    <t>외국인구분_V9</t>
  </si>
  <si>
    <t>신용관리공공미해제등록건수_N9</t>
  </si>
  <si>
    <t>미해제등록총건수_N9</t>
  </si>
  <si>
    <t>공공정보미해제개인회생절차진행건수_N9</t>
  </si>
  <si>
    <t>공공정보미해제신용회복지원대상자확정건수_N9</t>
  </si>
  <si>
    <t>공공정보미해제파산면책결정건수_N9</t>
  </si>
  <si>
    <t>전은연채무불이행대부업권미해제총건수_N9</t>
  </si>
  <si>
    <t>최초사업체창업일경과기간_N9</t>
  </si>
  <si>
    <t>N1년자택주소이력건수</t>
  </si>
  <si>
    <t>N3년휴대폰번호이력건수</t>
  </si>
  <si>
    <t>주택보유구분코드_V9</t>
  </si>
  <si>
    <t>KCB건축물보유건수_N9</t>
  </si>
  <si>
    <t>1년내신용카드유효한도소진율80이상개월수_N9</t>
  </si>
  <si>
    <t>6개월이내신용카드전체이용잔액유효한도소진율_N9_2</t>
  </si>
  <si>
    <t>미해지신용카드기관수_N9</t>
  </si>
  <si>
    <t>N3개월카드월평균이용금액</t>
  </si>
  <si>
    <t>N1년카드월평균이용금액</t>
  </si>
  <si>
    <t>N6개월CA이용개월수</t>
  </si>
  <si>
    <t>N1년CA이용개월수</t>
  </si>
  <si>
    <t>최초신용거래개설경과일수_N9</t>
  </si>
  <si>
    <t>학자금자동차리스예적금담보신차은행제외대출금액_N9</t>
  </si>
  <si>
    <t>대지급포함해제포함1년내유지연체건수_N15</t>
  </si>
  <si>
    <t>N1년유지해지포함최장연체일수</t>
  </si>
  <si>
    <t>대지급포함미해제최장연체일수_N9</t>
  </si>
  <si>
    <t>신용도판단정보공공정보건수_N9</t>
  </si>
  <si>
    <t>연체등정보건수_N9</t>
  </si>
  <si>
    <t>신용회복지원확정여부_V9</t>
  </si>
  <si>
    <t>미해지개인회생확정여부</t>
  </si>
  <si>
    <t xml:space="preserve"> CIS미해제파산면책확정여부_V9</t>
  </si>
  <si>
    <t>신용도판단정보공공정보해제일자기준경과일수_N15</t>
  </si>
  <si>
    <t>미해지개인회생신청정보보유여부</t>
  </si>
  <si>
    <t>장기연체정보최근해제일자로부터경과일수_N9</t>
  </si>
  <si>
    <t>N1개월전기업신용공여최장연체일수_N9</t>
  </si>
  <si>
    <t>N1년유지해지포함기업여신최장연체일수_N9</t>
  </si>
  <si>
    <t>기업여신해제포함1년내유지연체건수_N15</t>
  </si>
  <si>
    <t>금융대부업권30일이상연체건수</t>
  </si>
  <si>
    <t>대부업권연체건수</t>
  </si>
  <si>
    <t>최근연체해제경과일수_N9</t>
  </si>
  <si>
    <t>1년내해지포함저축은행업종대출건수_N9</t>
  </si>
  <si>
    <t>미해지총대출금액_N9</t>
  </si>
  <si>
    <t>미해지총대출잔액_N9</t>
  </si>
  <si>
    <t>순수신용대출미해지총대출잔액_N15</t>
  </si>
  <si>
    <t>학자금등제외저축은행기타업종미해지대출기관수_N9</t>
  </si>
  <si>
    <t>학자금등제외미해지카드업종대출건수_N9</t>
  </si>
  <si>
    <t>학자금등제외1년내유지해지포함카드업종대출건수_N9</t>
  </si>
  <si>
    <t xml:space="preserve"> 학자금등제외은행업종제외미해지대출금액_N9</t>
  </si>
  <si>
    <t>1년내학자금등제외카드업종본인변제해지대출건수_N9</t>
  </si>
  <si>
    <t>학자금등제외6개월전은행업종제외미해지대출금액_N9</t>
  </si>
  <si>
    <t xml:space="preserve"> 학자금등제외할부금융업종미해지대출건수_N9</t>
  </si>
  <si>
    <t xml:space="preserve"> 학자금등제외저축은행업종미해지대출건수_N9</t>
  </si>
  <si>
    <t>학자금등제외6개월내신규은행업종대출기관수_N9</t>
  </si>
  <si>
    <t>최초대출개설경과일수_N9</t>
  </si>
  <si>
    <t>CIS미해지총대출금액_N9</t>
  </si>
  <si>
    <t>M6년신규CIS대출기관수_N9</t>
  </si>
  <si>
    <t>N1년신규CIS대출기관수_N9</t>
  </si>
  <si>
    <t>은행업권제외대출총건수_N15</t>
  </si>
  <si>
    <t>은행업권제외대출기관수_N15</t>
  </si>
  <si>
    <t>미해지기업여신대출합계건수</t>
  </si>
  <si>
    <t>N1년기업여신신규대출건수</t>
  </si>
  <si>
    <t>최근대출개설일이후경과일수_N9</t>
  </si>
  <si>
    <t>사망일자_V9</t>
  </si>
  <si>
    <t>자산평가지수순자산평가금액_N15</t>
  </si>
  <si>
    <t>그룹</t>
    <phoneticPr fontId="2" type="noConversion"/>
  </si>
  <si>
    <t>NICE신용정보조회&gt;GEA_NICE신용요약정보조회</t>
    <phoneticPr fontId="2" type="noConversion"/>
  </si>
  <si>
    <t>TBMEDLE00.그룹고객식별자
① 온라인.주민등록번호(양방향), TBMEDN001.주민사업자등록번호 JOIN
② TBMEDN001.고객매핑번호, TBMEDLE00.고객매핑번호 JOIN</t>
  </si>
  <si>
    <t>B3024</t>
    <phoneticPr fontId="2" type="noConversion"/>
  </si>
  <si>
    <t>B3025</t>
  </si>
  <si>
    <t>B3026</t>
  </si>
  <si>
    <t>B3027</t>
  </si>
  <si>
    <t>B3028</t>
  </si>
  <si>
    <t>B3029</t>
  </si>
  <si>
    <t>B3030</t>
  </si>
  <si>
    <t>B3031</t>
  </si>
  <si>
    <t>B3032</t>
  </si>
  <si>
    <t>B3033</t>
  </si>
  <si>
    <t>B3034</t>
  </si>
  <si>
    <t>B3035</t>
  </si>
  <si>
    <t>B3036</t>
  </si>
  <si>
    <t>B3037</t>
  </si>
  <si>
    <t>B3038</t>
  </si>
  <si>
    <t>B3039</t>
  </si>
  <si>
    <t>B3040</t>
  </si>
  <si>
    <t>B3041</t>
  </si>
  <si>
    <t>B3042</t>
  </si>
  <si>
    <t>B3043</t>
  </si>
  <si>
    <t>B3044</t>
  </si>
  <si>
    <t>B3045</t>
  </si>
  <si>
    <t>B3046</t>
  </si>
  <si>
    <t>B4072</t>
    <phoneticPr fontId="2" type="noConversion"/>
  </si>
  <si>
    <t>B4099</t>
  </si>
  <si>
    <t>B4100</t>
  </si>
  <si>
    <t>B4101</t>
  </si>
  <si>
    <t>B4102</t>
  </si>
  <si>
    <t>B4103</t>
  </si>
  <si>
    <t>B4104</t>
  </si>
  <si>
    <t>B4105</t>
  </si>
  <si>
    <t>B4106</t>
  </si>
  <si>
    <t>B4107</t>
  </si>
  <si>
    <t>B4108</t>
  </si>
  <si>
    <t>B4109</t>
  </si>
  <si>
    <t>B4110</t>
  </si>
  <si>
    <t>B4111</t>
  </si>
  <si>
    <t>B4112</t>
  </si>
  <si>
    <t>B4113</t>
  </si>
  <si>
    <t>B4114</t>
  </si>
  <si>
    <t>B4115</t>
  </si>
  <si>
    <t>B4116</t>
  </si>
  <si>
    <t>B4117</t>
  </si>
  <si>
    <t>B4118</t>
  </si>
  <si>
    <t>B4119</t>
  </si>
  <si>
    <t>B4120</t>
  </si>
  <si>
    <t>B4121</t>
  </si>
  <si>
    <t>B4122</t>
  </si>
  <si>
    <t>B4123</t>
  </si>
  <si>
    <t>B4124</t>
  </si>
  <si>
    <t>B4125</t>
  </si>
  <si>
    <t>B4126</t>
  </si>
  <si>
    <t>B4127</t>
  </si>
  <si>
    <t>B4128</t>
  </si>
  <si>
    <t>B4129</t>
  </si>
  <si>
    <t>B4130</t>
  </si>
  <si>
    <t>B4131</t>
  </si>
  <si>
    <t>B4132</t>
  </si>
  <si>
    <t>B4133</t>
  </si>
  <si>
    <t>B4134</t>
  </si>
  <si>
    <t>B4135</t>
  </si>
  <si>
    <t>B4136</t>
  </si>
  <si>
    <t>B4137</t>
  </si>
  <si>
    <t>B4138</t>
  </si>
  <si>
    <t>B4139</t>
  </si>
  <si>
    <t>B4140</t>
  </si>
  <si>
    <t>B4141</t>
  </si>
  <si>
    <t>B4142</t>
  </si>
  <si>
    <t>B4143</t>
    <phoneticPr fontId="2" type="noConversion"/>
  </si>
  <si>
    <t>B4144</t>
    <phoneticPr fontId="2" type="noConversion"/>
  </si>
  <si>
    <t>B4145</t>
  </si>
  <si>
    <t>B4146</t>
  </si>
  <si>
    <t>B4147</t>
  </si>
  <si>
    <t>B4148</t>
  </si>
  <si>
    <t>B4149</t>
  </si>
  <si>
    <t>B4150</t>
  </si>
  <si>
    <t>B4151</t>
  </si>
  <si>
    <t>B4152</t>
  </si>
  <si>
    <t>B4153</t>
  </si>
  <si>
    <t>B4154</t>
  </si>
  <si>
    <t>B4155</t>
  </si>
  <si>
    <t>B4156</t>
  </si>
  <si>
    <t>B4157</t>
  </si>
  <si>
    <t>B4158</t>
  </si>
  <si>
    <t>B4159</t>
  </si>
  <si>
    <t>B4160</t>
  </si>
  <si>
    <t>B4161</t>
  </si>
  <si>
    <t>B4162</t>
  </si>
  <si>
    <t>B4163</t>
  </si>
  <si>
    <t>B4164</t>
  </si>
  <si>
    <t>B4165</t>
  </si>
  <si>
    <t>B4166</t>
  </si>
  <si>
    <t>B4167</t>
  </si>
  <si>
    <t>B4168</t>
  </si>
  <si>
    <t>B4169</t>
  </si>
  <si>
    <t>B4170</t>
  </si>
  <si>
    <t>B4171</t>
  </si>
  <si>
    <t>B4172</t>
  </si>
  <si>
    <t>B4173</t>
  </si>
  <si>
    <t>B4174</t>
  </si>
  <si>
    <t>B4175</t>
  </si>
  <si>
    <t>B4176</t>
  </si>
  <si>
    <t>B4177</t>
  </si>
  <si>
    <t>B4178</t>
  </si>
  <si>
    <t>B4179</t>
  </si>
  <si>
    <t>B4180</t>
  </si>
  <si>
    <t>B4181</t>
  </si>
  <si>
    <t>B4182</t>
  </si>
  <si>
    <t>B4183</t>
  </si>
  <si>
    <t>B4184</t>
  </si>
  <si>
    <t>B4185</t>
  </si>
  <si>
    <t>B4186</t>
  </si>
  <si>
    <t>B4187</t>
  </si>
  <si>
    <t>B4188</t>
  </si>
  <si>
    <t>B4189</t>
  </si>
  <si>
    <t>B4190</t>
  </si>
  <si>
    <t>B4191</t>
  </si>
  <si>
    <t>B4192</t>
  </si>
  <si>
    <t>B4193</t>
  </si>
  <si>
    <t>B4194</t>
  </si>
  <si>
    <t>A5001</t>
    <phoneticPr fontId="2" type="noConversion"/>
  </si>
  <si>
    <t>N1개월그룹총수신평잔</t>
  </si>
  <si>
    <t>N3개월카드거래패턴코드</t>
  </si>
  <si>
    <t>N1년카드거래패턴코드</t>
  </si>
  <si>
    <t>N3개월공과금페이지방문수</t>
  </si>
  <si>
    <t>MTCA12201</t>
  </si>
  <si>
    <t>MTCA12202</t>
  </si>
  <si>
    <t>MTDQ00001</t>
  </si>
  <si>
    <t>MTDQ06001</t>
  </si>
  <si>
    <t>MTDQ06201</t>
  </si>
  <si>
    <t>MTDQ12601</t>
  </si>
  <si>
    <t>MTUS06001</t>
  </si>
  <si>
    <t>MTUS06005</t>
  </si>
  <si>
    <t>MTUS06007</t>
  </si>
  <si>
    <t>MTUS06201</t>
  </si>
  <si>
    <t>MTUS06601</t>
  </si>
  <si>
    <t>MTUS12002</t>
  </si>
  <si>
    <t>MTUS12007</t>
  </si>
  <si>
    <t>MTUS12202</t>
  </si>
  <si>
    <t>AH1070002</t>
  </si>
  <si>
    <t>AH1070003</t>
  </si>
  <si>
    <t>AH2020011</t>
  </si>
  <si>
    <t>AH3020003</t>
  </si>
  <si>
    <t>AL012G002</t>
  </si>
  <si>
    <t>AL012G004</t>
  </si>
  <si>
    <t>AL012G015</t>
  </si>
  <si>
    <t>AL012G016</t>
  </si>
  <si>
    <t>AL012G017</t>
  </si>
  <si>
    <t>AR1C00003</t>
  </si>
  <si>
    <t>AS136G004</t>
  </si>
  <si>
    <t>AS136G006</t>
  </si>
  <si>
    <t>AS3C30111</t>
  </si>
  <si>
    <t>AJFAAK402</t>
  </si>
  <si>
    <t>AMFCAK051</t>
  </si>
  <si>
    <t>AMFR3KC41</t>
  </si>
  <si>
    <t>AMFRAKC61</t>
  </si>
  <si>
    <t>AXFR6K001</t>
  </si>
  <si>
    <t>AXFR6K011</t>
  </si>
  <si>
    <t>AZFD6K002</t>
  </si>
  <si>
    <t>AZFDAK002</t>
  </si>
  <si>
    <t>ATFA3K015</t>
  </si>
  <si>
    <t>ATFA6K015</t>
  </si>
  <si>
    <t>ATFAAK015</t>
  </si>
  <si>
    <t>ATFCAK015</t>
  </si>
  <si>
    <t>ATFCAK029</t>
  </si>
  <si>
    <t>ATFCAK227</t>
  </si>
  <si>
    <t>ATFCAK235</t>
  </si>
  <si>
    <t>ATFCAK729</t>
  </si>
  <si>
    <t>AZFA1K001</t>
  </si>
  <si>
    <t>AZFA1K005</t>
  </si>
  <si>
    <t>AZFA3K001</t>
  </si>
  <si>
    <t>AZFA3K005</t>
  </si>
  <si>
    <t>AZFA6K005</t>
  </si>
  <si>
    <t>AZFAAK001</t>
  </si>
  <si>
    <t>AZFAAK002</t>
  </si>
  <si>
    <t>AZFAAK003</t>
  </si>
  <si>
    <t>AZFAAK005</t>
  </si>
  <si>
    <t>AZFAAK006</t>
  </si>
  <si>
    <t>AZFC3K005</t>
  </si>
  <si>
    <t>AZFC6K002</t>
  </si>
  <si>
    <t>AZFCAK002</t>
  </si>
  <si>
    <t>AZFCAK005</t>
  </si>
  <si>
    <t>AZFJ1K003</t>
  </si>
  <si>
    <t>T1H200004</t>
  </si>
  <si>
    <t>T2A200013</t>
  </si>
  <si>
    <t>T2A400010</t>
  </si>
  <si>
    <t>T2B300008</t>
  </si>
  <si>
    <t>T2B500011</t>
  </si>
  <si>
    <t>T2E200001</t>
  </si>
  <si>
    <t>T2G400008</t>
  </si>
  <si>
    <t>T2Q200006</t>
  </si>
  <si>
    <t>T2Q200007</t>
  </si>
  <si>
    <t>T2Q200008</t>
  </si>
  <si>
    <t>T2Q300003</t>
  </si>
  <si>
    <t>T2Q300004</t>
  </si>
  <si>
    <t>T2Q400003</t>
  </si>
  <si>
    <t>T2Q400009</t>
  </si>
  <si>
    <t>T2Q400013</t>
  </si>
  <si>
    <t>T2Q400017</t>
  </si>
  <si>
    <t>T2R300007</t>
  </si>
  <si>
    <t>T2V400010</t>
  </si>
  <si>
    <t>SBD300034</t>
  </si>
  <si>
    <t>SBD300035</t>
  </si>
  <si>
    <t>SBD300038</t>
  </si>
  <si>
    <t>SBD300047</t>
  </si>
  <si>
    <t>SBD200123</t>
  </si>
  <si>
    <t>최근12개월 소액결제 게임관련 금액</t>
  </si>
  <si>
    <t>최근12개월 소액결제 교육관련 금액</t>
  </si>
  <si>
    <t>기준일 진행 중 연체 건수</t>
  </si>
  <si>
    <t>최근6개월 연체경험 건수</t>
  </si>
  <si>
    <t>최근6개월 총 연체경험건의 결제금액</t>
  </si>
  <si>
    <t>[연체정보]최근12개월최대연체경험회차</t>
  </si>
  <si>
    <t>최근6개월 소액결제 사용건수</t>
  </si>
  <si>
    <t>[사용량정보]최근6개월 소액결제 시도건수</t>
  </si>
  <si>
    <t>[사용량정보]최근6개월 소액결제 차단건수(결제금액이 잔여한도 초과 외)</t>
  </si>
  <si>
    <t>최근6개월 소액결제 총 사용금액</t>
  </si>
  <si>
    <t>최근6개월 소액결제 사용개월수</t>
  </si>
  <si>
    <t>[사용량정보]최근12개월소액결제최대사용건수(월별)</t>
  </si>
  <si>
    <t>[사용량정보]최근12개월소액결제차단건수(결제금액이잔여한도초과외)</t>
  </si>
  <si>
    <t>[사용량정보]최근12개월소액결제최대사용금액(월별)</t>
  </si>
  <si>
    <t>NICE대안정보응답코드</t>
    <phoneticPr fontId="2" type="noConversion"/>
  </si>
  <si>
    <t>최초사업체창업일로부터의기간(3년내유지)</t>
  </si>
  <si>
    <t>최초사업체창업일로부터의기간(1년내유지)</t>
  </si>
  <si>
    <t>3년내상호명이력건수(최장업력사업체기준CIS)</t>
  </si>
  <si>
    <t>1년내사업체주소이력건수(최장업력사업체기준KCB)</t>
  </si>
  <si>
    <t>6개월내자택주소이력건수(구간화)</t>
  </si>
  <si>
    <t>2년내자택주소이력건수(구간화)</t>
  </si>
  <si>
    <t>3년내자택전화번호이력건수(구간화)</t>
  </si>
  <si>
    <t>5년내자택전화번호이력건수(구간화)</t>
  </si>
  <si>
    <t>1년내휴대폰번호이력건수(구간화)</t>
  </si>
  <si>
    <t>소유부동산아파트보유건수</t>
  </si>
  <si>
    <t>1년내현거주지평균월세보증금액(구간화)</t>
  </si>
  <si>
    <t>2년내현거주지평균전세거래가(구간화)</t>
  </si>
  <si>
    <t>소유부동산공동주택실거래가합계</t>
  </si>
  <si>
    <t>세금/공과금전액출금금액(1년내)</t>
  </si>
  <si>
    <t>금융거래잔액부족건수(1년내)</t>
  </si>
  <si>
    <t>잔액부족으로인한부분미출금및전액미출금건수중세금공과금건수(3개월내)</t>
  </si>
  <si>
    <t>잔액부족으로 인한 부분미출금 및 전액미출금 건수 중 카드|캐피탈|증권|공단|기타업권 건수(1년내)</t>
  </si>
  <si>
    <t>잔액부족으로 인한 부분미출금 및 전액미출금 금액 비율(6개월내)</t>
  </si>
  <si>
    <t>잔액부족으로 인한 부분미출금 및 전액미출금 건수 비율(6개월내)</t>
  </si>
  <si>
    <t>전액출금 기간(6개월내)</t>
  </si>
  <si>
    <t>전액출금 기간(1년내)</t>
  </si>
  <si>
    <t>보험전액출금금액(3개월내)</t>
  </si>
  <si>
    <t>보험전액출금금액(6개월내)</t>
  </si>
  <si>
    <t>보험 전액출금 금액(1년내)</t>
  </si>
  <si>
    <t>보험 전액출금 건수(1년내)</t>
  </si>
  <si>
    <t>저축은행 전액출금 건수(1년내)</t>
  </si>
  <si>
    <t>은행업권전액출금건수(1년내)</t>
  </si>
  <si>
    <t>증권전액출금건수(1년내)</t>
  </si>
  <si>
    <t>저축은행 전액미출금 및 부분미출금 건수(1년내)</t>
  </si>
  <si>
    <t>출금의뢰금액(1개월내)</t>
  </si>
  <si>
    <t>부분미출금 및 전액미출금 금액(1개월내)</t>
  </si>
  <si>
    <t>출금의뢰금액(3개월내)</t>
  </si>
  <si>
    <t>부분미출금 및 전액미출금 금액(3개월내)</t>
  </si>
  <si>
    <t>부분미출금 및 전액미출금 금액(6개월내)</t>
  </si>
  <si>
    <t>출금의뢰금액(1년내)</t>
  </si>
  <si>
    <t>전액출금금액(1년내)</t>
  </si>
  <si>
    <t>전액미출금 금액(1년내)</t>
  </si>
  <si>
    <t>부분미출금및전액미출금금액(1년내)</t>
  </si>
  <si>
    <t>부분미출금금액(1년내)</t>
  </si>
  <si>
    <t>부분출금및전액미출금건수(3개월내)</t>
  </si>
  <si>
    <t>전액출금건수(6개월내)</t>
  </si>
  <si>
    <t>전액출금 건수(1년내)</t>
  </si>
  <si>
    <t>부분출금 및 전액미출금 건수(1년내)</t>
  </si>
  <si>
    <t>전액미출금업권수(대분류)(1개월내)</t>
  </si>
  <si>
    <t>12개월내멤버십사용횟수합계</t>
  </si>
  <si>
    <t>무선전화미납이용정지건수합계</t>
  </si>
  <si>
    <t>최근무선전화계약상태변경일자로부터의경과개월수</t>
  </si>
  <si>
    <t>12개월내최고무선전화총청구요금</t>
  </si>
  <si>
    <t>6개월내무선전화총청구요금합계대비기본요금합계비율</t>
  </si>
  <si>
    <t>최고무선전화유료부가서비스가입건수</t>
  </si>
  <si>
    <t>무선전화최대결합회선수</t>
  </si>
  <si>
    <t>3개월내무선전화미납경험건수</t>
  </si>
  <si>
    <t>6개월내무선전화미납경험건수</t>
  </si>
  <si>
    <t>12개월내무선전화미납경험건수</t>
  </si>
  <si>
    <t>6개월내무선전화최대미납금액</t>
  </si>
  <si>
    <t>12개월내무선전화최대미납금액</t>
  </si>
  <si>
    <t>6개월내무선전화최장미납회차</t>
  </si>
  <si>
    <t>6개월내무선전화미납경험개월수</t>
  </si>
  <si>
    <t>6개월내무선전화미납경험개월수(1만원이상)</t>
  </si>
  <si>
    <t>6개월내무선전화미납경험개월수(2회차이상)</t>
  </si>
  <si>
    <t>6개월내최고무선전화소액결제청구요금</t>
  </si>
  <si>
    <t>무선전화단말기할부종료일자로부터최대잔여개월수</t>
  </si>
  <si>
    <t>KCB대안정보응답코드</t>
  </si>
  <si>
    <t>가맹점_N3월총매출액지수</t>
  </si>
  <si>
    <t>가맹점_전동대N3월이용고객수증감율</t>
  </si>
  <si>
    <t>가맹점_N3월이용고객수지수</t>
  </si>
  <si>
    <t>상권업종_N3월충성고객수비중</t>
  </si>
  <si>
    <t>N1년소액결제게임관련금액_N9</t>
  </si>
  <si>
    <t>N1년소액결제교육관련금액_N9</t>
  </si>
  <si>
    <t>기준일연체진행건수_N9</t>
  </si>
  <si>
    <t>N6월연체경험건수_N9</t>
  </si>
  <si>
    <t>N6월연체경험결제금액_N9</t>
  </si>
  <si>
    <t>N1년최대연체경험회차_N9</t>
  </si>
  <si>
    <t>N6월소액결제사용건수_N9</t>
  </si>
  <si>
    <t>N6월소액결제시도건수_N9</t>
  </si>
  <si>
    <t>N6월소액결제차단건수_N9</t>
  </si>
  <si>
    <t>N6월소액결제사용금액_N9</t>
  </si>
  <si>
    <t>N6월소액결제사용개월수_N9</t>
  </si>
  <si>
    <t>N1년월별최대소액결제사용건수_N9</t>
  </si>
  <si>
    <t>N1년소액결제차단건수_N9</t>
  </si>
  <si>
    <t>N1년월별최대소액결제사용금액_N9</t>
  </si>
  <si>
    <t>3년내유지최초사업체창업일경과기간_N9</t>
  </si>
  <si>
    <t>5년내유지최초사업체창업일경과기간_N9</t>
  </si>
  <si>
    <t>N3년상호명이력건수_N9</t>
  </si>
  <si>
    <t>N1년사업체주소이력건수_N9</t>
  </si>
  <si>
    <t>N6개월자택주소이력건수</t>
  </si>
  <si>
    <t>N2년자택주소이력건수</t>
  </si>
  <si>
    <t>N3년자택전화이력건수</t>
  </si>
  <si>
    <t>N5년자택전화이력건수_N9</t>
  </si>
  <si>
    <t>N1년휴대폰번호이력건수</t>
  </si>
  <si>
    <t>소유부동산아파트보유건수_N9</t>
  </si>
  <si>
    <t>N1년현거주지평균월세금액</t>
  </si>
  <si>
    <t>N2년거주지평균전세가격_N9</t>
  </si>
  <si>
    <t>소유부동산공동주택실거래가합계_N15</t>
  </si>
  <si>
    <t>N1년세금공과금전액출금금액_N9</t>
  </si>
  <si>
    <t>N1년금융거래잔액부족건수_N9</t>
  </si>
  <si>
    <t>N3월세금공과금잔액부족건수_N9</t>
  </si>
  <si>
    <t>N1년카드캐피탈잔액부족건수_N9</t>
  </si>
  <si>
    <t>N3월보험전액출금금액_N9</t>
  </si>
  <si>
    <t>N6월보험전액출금금액_N9</t>
  </si>
  <si>
    <t>N1년보험전액출금금액_N9</t>
  </si>
  <si>
    <t>N1년보험전액출금건수_N9</t>
  </si>
  <si>
    <t>N1년저축은행전액출금건수_N9</t>
  </si>
  <si>
    <t>N1년은행업권전액출금건수_N9</t>
  </si>
  <si>
    <t>N1년증권전액출금건수_N9</t>
  </si>
  <si>
    <t>N1년저축은행잔액부족건수_N9</t>
  </si>
  <si>
    <t>N1월출금의뢰금액_N9</t>
  </si>
  <si>
    <t>N1월부분전액출금불가금액_N9</t>
  </si>
  <si>
    <t>N3월출금의뢰금액_N9</t>
  </si>
  <si>
    <t>N3월부분전액출금불가금액_N9</t>
  </si>
  <si>
    <t>N6월부분전액출금불가금액_N9</t>
  </si>
  <si>
    <t>N1년출금의뢰금액_N9</t>
  </si>
  <si>
    <t>N1년전액출금금액_N9</t>
  </si>
  <si>
    <t>N1년전액출금불가금액_N9</t>
  </si>
  <si>
    <t>N1년부분전액출금불가금액_N9</t>
  </si>
  <si>
    <t>N1년부분출금불가금액_N9</t>
  </si>
  <si>
    <t>N3월부분출금전액출금불가건수_N9</t>
  </si>
  <si>
    <t>N6월전액출금건수_N9</t>
  </si>
  <si>
    <t>N1년전액출금건수_N9</t>
  </si>
  <si>
    <t>N1년부분출금전액출금불가건수_N9</t>
  </si>
  <si>
    <t>N1년전액출금불가업권건수_N9</t>
  </si>
  <si>
    <t>N1년멤버쉽사용횟수합계_N9</t>
  </si>
  <si>
    <t>무선전화미납이용정지건수합계_N9</t>
  </si>
  <si>
    <t>무선전화계약상태변경경과개월수_N9</t>
  </si>
  <si>
    <t>N1년무선전화청구요금합계_N9</t>
  </si>
  <si>
    <t>N6월무선전화청구요금합계대비기본요금합계비율_N9</t>
  </si>
  <si>
    <t>최대유료부가서비스가입건수_N9</t>
  </si>
  <si>
    <t>무선전화결합회선건수_N9</t>
  </si>
  <si>
    <t>N3월무선전화미납건수_N9</t>
  </si>
  <si>
    <t>N6월무선전화미납건수_N9</t>
  </si>
  <si>
    <t>N1년무선전화미납건수_N9</t>
  </si>
  <si>
    <t>N6월무선전화최대미납금액_N9</t>
  </si>
  <si>
    <t>N1년무선전화최대미납금액_N9</t>
  </si>
  <si>
    <t>N6월무선전화치대미납회차_N9</t>
  </si>
  <si>
    <t>N6월무선전화미납경험개월수_N9</t>
  </si>
  <si>
    <t>N6월무선전화1만원이상미납경험개월수_N9</t>
  </si>
  <si>
    <t>N6월무선전화2회차이상미납경험개월수_N9</t>
  </si>
  <si>
    <t>N6월무선전화최대소액결제청구요금_N9</t>
  </si>
  <si>
    <t>무선전화할부종료최대잔여개월수_N9</t>
  </si>
  <si>
    <t>NICE(다날)</t>
    <phoneticPr fontId="2" type="noConversion"/>
  </si>
  <si>
    <t>KCB(금융결제원)</t>
    <phoneticPr fontId="2" type="noConversion"/>
  </si>
  <si>
    <t>KCB(Telco)</t>
    <phoneticPr fontId="2" type="noConversion"/>
  </si>
  <si>
    <t>KCB(대안정보)</t>
    <phoneticPr fontId="2" type="noConversion"/>
  </si>
  <si>
    <t>KODATA</t>
    <phoneticPr fontId="2" type="noConversion"/>
  </si>
  <si>
    <t>rNICE통합대안정보조회C</t>
  </si>
  <si>
    <t>GEA_NICE통합대안정보조회Dto</t>
  </si>
  <si>
    <t>rKCB통합대안정보조회C</t>
  </si>
  <si>
    <t>GEA_KCB통합대안정보조회Dto</t>
  </si>
  <si>
    <t>A3001</t>
    <phoneticPr fontId="2" type="noConversion"/>
  </si>
  <si>
    <t>B4001</t>
    <phoneticPr fontId="2" type="noConversion"/>
  </si>
  <si>
    <t>B6001</t>
    <phoneticPr fontId="2" type="noConversion"/>
  </si>
  <si>
    <t>B6002</t>
  </si>
  <si>
    <t>B6003</t>
  </si>
  <si>
    <t>B6004</t>
  </si>
  <si>
    <t>B6005</t>
  </si>
  <si>
    <t>B6006</t>
  </si>
  <si>
    <t>B6007</t>
  </si>
  <si>
    <t>B6008</t>
  </si>
  <si>
    <t>B6009</t>
  </si>
  <si>
    <t>B6010</t>
  </si>
  <si>
    <t>B6011</t>
  </si>
  <si>
    <t>B6012</t>
  </si>
  <si>
    <t>B6013</t>
    <phoneticPr fontId="2" type="noConversion"/>
  </si>
  <si>
    <t>B6014</t>
  </si>
  <si>
    <t>B6015</t>
  </si>
  <si>
    <t>B6016</t>
  </si>
  <si>
    <t>B6017</t>
  </si>
  <si>
    <t>B6018</t>
  </si>
  <si>
    <t>B6019</t>
  </si>
  <si>
    <t>B6020</t>
  </si>
  <si>
    <t>B6021</t>
  </si>
  <si>
    <t>B6022</t>
  </si>
  <si>
    <t>B6023</t>
  </si>
  <si>
    <t>B6024</t>
  </si>
  <si>
    <t>B6025</t>
  </si>
  <si>
    <t>B6026</t>
    <phoneticPr fontId="2" type="noConversion"/>
  </si>
  <si>
    <t>B6027</t>
  </si>
  <si>
    <t>B6028</t>
  </si>
  <si>
    <t>B6029</t>
  </si>
  <si>
    <t>B6030</t>
  </si>
  <si>
    <t>B6031</t>
  </si>
  <si>
    <t>B6032</t>
  </si>
  <si>
    <t>B6033</t>
  </si>
  <si>
    <t>B6034</t>
  </si>
  <si>
    <t>B6035</t>
  </si>
  <si>
    <t>B6036</t>
  </si>
  <si>
    <t>B6037</t>
  </si>
  <si>
    <t>B6038</t>
  </si>
  <si>
    <t>B6039</t>
  </si>
  <si>
    <t>B6040</t>
  </si>
  <si>
    <t>B6041</t>
  </si>
  <si>
    <t>B6042</t>
  </si>
  <si>
    <t>B6043</t>
  </si>
  <si>
    <t>B6044</t>
  </si>
  <si>
    <t>B6045</t>
  </si>
  <si>
    <t>B6046</t>
  </si>
  <si>
    <t>B6047</t>
  </si>
  <si>
    <t>B6048</t>
  </si>
  <si>
    <t>B6049</t>
  </si>
  <si>
    <t>B6050</t>
  </si>
  <si>
    <t>B6051</t>
  </si>
  <si>
    <t>B6052</t>
  </si>
  <si>
    <t>B6053</t>
  </si>
  <si>
    <t>B6054</t>
  </si>
  <si>
    <t>B6055</t>
  </si>
  <si>
    <t>B6056</t>
  </si>
  <si>
    <t>B6057</t>
  </si>
  <si>
    <t>B6058</t>
  </si>
  <si>
    <t>B6059</t>
  </si>
  <si>
    <t>B6060</t>
  </si>
  <si>
    <t>B6061</t>
  </si>
  <si>
    <t>B6062</t>
  </si>
  <si>
    <t>B6063</t>
  </si>
  <si>
    <t>B6064</t>
  </si>
  <si>
    <t>B6065</t>
  </si>
  <si>
    <t>B6066</t>
  </si>
  <si>
    <t>B6067</t>
  </si>
  <si>
    <t>B6068</t>
  </si>
  <si>
    <t>B6069</t>
  </si>
  <si>
    <t>B6070</t>
  </si>
  <si>
    <t>B6071</t>
  </si>
  <si>
    <t>B6072</t>
  </si>
  <si>
    <t>B6073</t>
  </si>
  <si>
    <t>B6074</t>
  </si>
  <si>
    <t>B6075</t>
  </si>
  <si>
    <t>B6076</t>
  </si>
  <si>
    <t>B6077</t>
  </si>
  <si>
    <t>B6078</t>
  </si>
  <si>
    <t>B6079</t>
  </si>
  <si>
    <t>B6080</t>
  </si>
  <si>
    <t>B6081</t>
  </si>
  <si>
    <t>B6082</t>
  </si>
  <si>
    <t>B6083</t>
  </si>
  <si>
    <t>B6084</t>
  </si>
  <si>
    <t>B6085</t>
  </si>
  <si>
    <t>B6086</t>
  </si>
  <si>
    <t>B6087</t>
  </si>
  <si>
    <t>B6088</t>
  </si>
  <si>
    <t>B6089</t>
  </si>
  <si>
    <t>B6090</t>
  </si>
  <si>
    <t>B6091</t>
  </si>
  <si>
    <t>B6092</t>
  </si>
  <si>
    <t>B6093</t>
  </si>
  <si>
    <t>B6094</t>
  </si>
  <si>
    <t>B6095</t>
  </si>
  <si>
    <t>B6096</t>
  </si>
  <si>
    <t>B6097</t>
  </si>
  <si>
    <t>B6098</t>
  </si>
  <si>
    <t>B6099</t>
  </si>
  <si>
    <t>B6100</t>
  </si>
  <si>
    <t>B6101</t>
  </si>
  <si>
    <t>B6102</t>
  </si>
  <si>
    <t>B6103</t>
  </si>
  <si>
    <t>B6104</t>
  </si>
  <si>
    <t>B6105</t>
  </si>
  <si>
    <t>B6106</t>
  </si>
  <si>
    <t>B6107</t>
  </si>
  <si>
    <t>B6108</t>
  </si>
  <si>
    <t>B6109</t>
  </si>
  <si>
    <t>B6110</t>
  </si>
  <si>
    <t>B6111</t>
  </si>
  <si>
    <t>B6112</t>
  </si>
  <si>
    <t>B6113</t>
  </si>
  <si>
    <t>B6114</t>
  </si>
  <si>
    <t>B6115</t>
  </si>
  <si>
    <t>B6116</t>
  </si>
  <si>
    <t>B6117</t>
  </si>
  <si>
    <t>B6118</t>
  </si>
  <si>
    <t>B6119</t>
  </si>
  <si>
    <t>B6120</t>
  </si>
  <si>
    <t>B6121</t>
  </si>
  <si>
    <t>B6122</t>
  </si>
  <si>
    <t>B6123</t>
  </si>
  <si>
    <t>B6124</t>
  </si>
  <si>
    <t>B6125</t>
  </si>
  <si>
    <t>B6126</t>
  </si>
  <si>
    <t>B6127</t>
  </si>
  <si>
    <t>B6128</t>
  </si>
  <si>
    <t>B6129</t>
  </si>
  <si>
    <t>B6130</t>
  </si>
  <si>
    <t>B6131</t>
  </si>
  <si>
    <t>B6132</t>
  </si>
  <si>
    <t>A7018</t>
    <phoneticPr fontId="2" type="noConversion"/>
  </si>
  <si>
    <t>A7019</t>
    <phoneticPr fontId="2" type="noConversion"/>
  </si>
  <si>
    <t>A7020</t>
    <phoneticPr fontId="2" type="noConversion"/>
  </si>
  <si>
    <t>A7021</t>
    <phoneticPr fontId="2" type="noConversion"/>
  </si>
  <si>
    <t>SS1200000</t>
    <phoneticPr fontId="2" type="noConversion"/>
  </si>
  <si>
    <t>직장휴폐업경험여부</t>
  </si>
  <si>
    <t>최근1년간대출금액증가율(카드론포함)(CIS)(해지포함)(주택,신차,예적금,유가증권담보,보험계약제외)</t>
  </si>
  <si>
    <t>최장연체일수(대지급포함)(1년내유지)(해제포함)</t>
  </si>
  <si>
    <t>최근연체해제일자로부터경과일수(대지급포함)</t>
  </si>
  <si>
    <t>3년내자택주소이력건수(구간화)</t>
  </si>
  <si>
    <t>2년내휴대폰번호이력건수(구간화)</t>
  </si>
  <si>
    <t>소유주택건수</t>
  </si>
  <si>
    <t>최신 SOHO ML 스코어 V1.0 KCB SOHO 여부</t>
  </si>
  <si>
    <t>내부(MED→GAF→GEA)</t>
    <phoneticPr fontId="2" type="noConversion"/>
  </si>
  <si>
    <t>N3개월신용카드이용잔액유효한도소진율_N9_2</t>
    <phoneticPr fontId="2" type="noConversion"/>
  </si>
  <si>
    <t>K스코어2평점적용배제_V9</t>
    <phoneticPr fontId="2" type="noConversion"/>
  </si>
  <si>
    <t>GEA240211</t>
  </si>
  <si>
    <t>D1Z001672</t>
  </si>
  <si>
    <t>연체건수_18개월내발생_해제포함</t>
  </si>
  <si>
    <t>GEA250069</t>
  </si>
  <si>
    <t>시나리오단계구분</t>
    <phoneticPr fontId="2" type="noConversion"/>
  </si>
  <si>
    <t>r카드론거래제어기준조회C</t>
  </si>
  <si>
    <t>입출금거래가능여부</t>
  </si>
  <si>
    <t>DSR감액대상여부</t>
  </si>
  <si>
    <t>r이지론심사결과조회E</t>
  </si>
  <si>
    <t>대출심사유입경로구분코드</t>
  </si>
  <si>
    <t>s카드론상환유예여부</t>
  </si>
  <si>
    <t>이지누리한도금액</t>
  </si>
  <si>
    <t>bd이지누리론대출가능금액</t>
  </si>
  <si>
    <t>SDT채널세부업무구분코드</t>
  </si>
  <si>
    <t>DSR감액대상여부_V1</t>
  </si>
  <si>
    <t>A8194</t>
  </si>
  <si>
    <t>A8195</t>
  </si>
  <si>
    <t>이용패턴세그먼트구분</t>
  </si>
  <si>
    <t>1년내유지최초사업체창업일경과기간_N9</t>
    <phoneticPr fontId="2" type="noConversion"/>
  </si>
  <si>
    <t>GEA_NICE신용요약정보조회</t>
    <phoneticPr fontId="2" type="noConversion"/>
  </si>
  <si>
    <t>DA1000160</t>
  </si>
  <si>
    <t>동시대출</t>
    <phoneticPr fontId="2" type="noConversion"/>
  </si>
  <si>
    <t>20200601 삭제</t>
  </si>
  <si>
    <t>U43002020에서 변경</t>
    <phoneticPr fontId="2" type="noConversion"/>
  </si>
  <si>
    <t>UA1040006</t>
    <phoneticPr fontId="2" type="noConversion"/>
  </si>
  <si>
    <t>D30484001</t>
    <phoneticPr fontId="2" type="noConversion"/>
  </si>
  <si>
    <t xml:space="preserve">2020.3까지 있었는데 2020.7에 대량삭제하면서… </t>
    <phoneticPr fontId="2" type="noConversion"/>
  </si>
  <si>
    <t>개인회생신청정보미해제_V1</t>
    <phoneticPr fontId="2" type="noConversion"/>
  </si>
  <si>
    <t>A8196</t>
  </si>
  <si>
    <t>그룹비대면신용등급</t>
    <phoneticPr fontId="2" type="noConversion"/>
  </si>
  <si>
    <t>GEA250094</t>
    <phoneticPr fontId="2" type="noConversion"/>
  </si>
  <si>
    <t>s비대면연계대출등급</t>
  </si>
  <si>
    <t>s중금리ML스코어신용등급코드</t>
  </si>
  <si>
    <t>M1004</t>
  </si>
  <si>
    <t>s결합등급</t>
  </si>
  <si>
    <t>사전최종한도금액</t>
  </si>
  <si>
    <t>실시간최종한도금액</t>
  </si>
  <si>
    <t>사전일시상환한도금액</t>
  </si>
  <si>
    <t>실시간일시상환한도금액</t>
  </si>
  <si>
    <t>사전이지론증액한도금액</t>
  </si>
  <si>
    <t>실시간이지론증액한도금액</t>
  </si>
  <si>
    <t>사전적용이율</t>
  </si>
  <si>
    <t>실시간적용이율</t>
  </si>
  <si>
    <t>사전금리등급구분코드</t>
  </si>
  <si>
    <t>실시간금리등급구분코드</t>
  </si>
  <si>
    <t>사전최장대출기간수</t>
  </si>
  <si>
    <t>실시간최장대출기간수</t>
  </si>
  <si>
    <t>사전최장거치기간수</t>
  </si>
  <si>
    <t>실시간최장거치기간수</t>
  </si>
  <si>
    <t>사전이용가능한도미사용금액</t>
  </si>
  <si>
    <t>실시간이용가능한도미사용금액</t>
  </si>
  <si>
    <t>사전대출탈락사유</t>
  </si>
  <si>
    <t>실시간대출탈락사유</t>
  </si>
  <si>
    <t>사전회원세그먼트구분코드</t>
  </si>
  <si>
    <t>실시간회원세그먼트구분코드</t>
  </si>
  <si>
    <t>실시간KCB추정소득금액</t>
  </si>
  <si>
    <t>실시간NICE추정소득금액</t>
  </si>
  <si>
    <t>실시간평균추정소득금액</t>
  </si>
  <si>
    <t>실시간KCB연간원리금상환금액</t>
  </si>
  <si>
    <t>실시간NICE연간원리금상환금액</t>
  </si>
  <si>
    <t>사전월가처분소득금액</t>
  </si>
  <si>
    <t>실시간월가처분소득금액</t>
  </si>
  <si>
    <t>실시간전략DTI비율</t>
  </si>
  <si>
    <t>사전DSR가이드한도금액</t>
  </si>
  <si>
    <t>실시간DSR가이드한도금액</t>
  </si>
  <si>
    <t>사전연령한도금액</t>
  </si>
  <si>
    <t>실시간연령한도금액</t>
  </si>
  <si>
    <t>사전KCB신용등급구분코드</t>
  </si>
  <si>
    <t>실시간KCB신용등급구분코드</t>
  </si>
  <si>
    <t>사전NICE신용등급구분코드</t>
  </si>
  <si>
    <t>실시간NICE신용등급구분코드</t>
  </si>
  <si>
    <t>사전카드론신규등급구분코드</t>
  </si>
  <si>
    <t>[s신청등급]</t>
  </si>
  <si>
    <t>사전신용BSS등급구분코드</t>
  </si>
  <si>
    <t>실시간신용BSS등급구분코드</t>
  </si>
  <si>
    <t>[sBSS등급구분코드]</t>
  </si>
  <si>
    <t>실시간카드론니즈등급구분코드</t>
  </si>
  <si>
    <t>실시간다중채무위험지수구분코드</t>
  </si>
  <si>
    <t>사전서브프라임신용등급코드</t>
  </si>
  <si>
    <t>실시간서브프라임신용등급코드</t>
  </si>
  <si>
    <t>사전PI신용등급코드</t>
  </si>
  <si>
    <t>실시간PI신용등급코드</t>
  </si>
  <si>
    <t>사전팁스코어등급구분코드</t>
  </si>
  <si>
    <t>실시간팁스코어등급구분코드</t>
  </si>
  <si>
    <t>사전NICECP스코어등급구분코드</t>
  </si>
  <si>
    <t>실시간NICECP스코어등급구분코드</t>
  </si>
  <si>
    <t>사전NICE채무건전성등급코드</t>
  </si>
  <si>
    <t>실시간NICE채무건전성등급코드</t>
  </si>
  <si>
    <t>사전LGU고객신용등급코드</t>
  </si>
  <si>
    <t>실시간LGU고객신용등급코드</t>
  </si>
  <si>
    <t>사전KCB인덱스등급구분코드</t>
  </si>
  <si>
    <t>실시간KCB인덱스등급구분코드</t>
  </si>
  <si>
    <t>사전미래상환능력등급구분코드</t>
  </si>
  <si>
    <t>실시간미래상환능력등급구분코드</t>
  </si>
  <si>
    <t>사전R스코어신용등급코드</t>
  </si>
  <si>
    <t>실시간R스코어신용등급코드</t>
  </si>
  <si>
    <t>사전모범규준원리금상환금액1</t>
  </si>
  <si>
    <t>실시간모범규준원리금상환금액1</t>
  </si>
  <si>
    <t>실시간다중채무대상여부</t>
  </si>
  <si>
    <t>사전다중채무자그룹구분코드</t>
  </si>
  <si>
    <t>실시간다중채무자그룹구분코드</t>
  </si>
  <si>
    <t>사전리스크세그먼트4구분코드</t>
  </si>
  <si>
    <t>실시간리스크세그먼트4구분코드</t>
  </si>
  <si>
    <t>사전대출수요우대조정금액</t>
  </si>
  <si>
    <t>실시간대출수요우대조정금액</t>
  </si>
  <si>
    <t>사전카드론잔액보유조정금액</t>
  </si>
  <si>
    <t>실시간카드론잔액보유조정금액</t>
  </si>
  <si>
    <t>사전등급최대한도기초금액</t>
  </si>
  <si>
    <t>R0084</t>
  </si>
  <si>
    <t>실시간등급최대한도기초금액</t>
  </si>
  <si>
    <t>사전등급최대한도조정금액</t>
  </si>
  <si>
    <t>실시간등급최대한도조정금액</t>
  </si>
  <si>
    <t>사전CB등급최대대출가능금액</t>
  </si>
  <si>
    <t>실시간CB등급최대대출가능금액</t>
  </si>
  <si>
    <t>일반대출잔액</t>
  </si>
  <si>
    <t>KCIS원리금상환금액</t>
  </si>
  <si>
    <t>금융감독원DSR제한분할한도금액</t>
  </si>
  <si>
    <t>금융감독원DSR제한일시한도금액</t>
  </si>
  <si>
    <t>주무부서예외승인여부</t>
  </si>
  <si>
    <t>건강보험공단스크래핑소득금액</t>
  </si>
  <si>
    <t>국세청스크래핑소득금액</t>
  </si>
  <si>
    <t>실시간KCB신용평점</t>
  </si>
  <si>
    <t>사전KCB신용평점</t>
  </si>
  <si>
    <t>실시간NICE신용평점</t>
  </si>
  <si>
    <t>사전NICE신용평점</t>
  </si>
  <si>
    <t>카드론우대대상구분코드</t>
  </si>
  <si>
    <t>sDSR관리대상구분코드</t>
  </si>
  <si>
    <t>R0123</t>
  </si>
  <si>
    <t>신용대출1억원초과여부</t>
  </si>
  <si>
    <t>R0124</t>
  </si>
  <si>
    <t>R0125</t>
  </si>
  <si>
    <t>금리결합CB1등급</t>
  </si>
  <si>
    <t>R0126</t>
  </si>
  <si>
    <t>금리결합CB2등급</t>
  </si>
  <si>
    <t>R0127</t>
  </si>
  <si>
    <t>금리신결합CB등급</t>
  </si>
  <si>
    <t>R0128</t>
  </si>
  <si>
    <t>금리기여도등급구분코드</t>
  </si>
  <si>
    <t>R0129</t>
  </si>
  <si>
    <t>금리리스크등급구분코드</t>
  </si>
  <si>
    <t>Z6001</t>
  </si>
  <si>
    <t>Z6002</t>
  </si>
  <si>
    <t>이지신용대출탈락사유</t>
  </si>
  <si>
    <t>Z6003</t>
  </si>
  <si>
    <t>Z6004</t>
  </si>
  <si>
    <t>이지신용대출기간수</t>
  </si>
  <si>
    <t>Z6005</t>
  </si>
  <si>
    <t>이지신용대출거치기간수</t>
  </si>
  <si>
    <t>Z6006</t>
  </si>
  <si>
    <t>이지신용대출이율</t>
  </si>
  <si>
    <t>Z6007</t>
  </si>
  <si>
    <t>Z6008</t>
  </si>
  <si>
    <t>Z6009</t>
  </si>
  <si>
    <t>이지신용DSR제한한도관리대상값</t>
  </si>
  <si>
    <t>Z6010</t>
  </si>
  <si>
    <t>이지신용금리등급구분코드</t>
  </si>
  <si>
    <t>Z6011</t>
  </si>
  <si>
    <t>이지신용스트레스DSR사용여부</t>
  </si>
  <si>
    <t>Z6012</t>
  </si>
  <si>
    <t>이지신용DSR추정최대소득금액</t>
  </si>
  <si>
    <t>TBGEAA204, MDD항목</t>
    <phoneticPr fontId="16" type="noConversion"/>
  </si>
  <si>
    <t>E컬럼 #N/A 항목, TBGEAA204에 저장하거나 , MDD 항목으로 출력안함. 현업참고</t>
    <phoneticPr fontId="16" type="noConversion"/>
  </si>
  <si>
    <r>
      <rPr>
        <b/>
        <sz val="11"/>
        <rFont val="가는각진제목체"/>
        <family val="1"/>
        <charset val="129"/>
      </rPr>
      <t>인정소득</t>
    </r>
    <phoneticPr fontId="16" type="noConversion"/>
  </si>
  <si>
    <r>
      <t>금감원</t>
    </r>
    <r>
      <rPr>
        <b/>
        <sz val="11"/>
        <rFont val="Arial Narrow"/>
        <family val="2"/>
      </rPr>
      <t xml:space="preserve"> DSR</t>
    </r>
    <r>
      <rPr>
        <b/>
        <sz val="11"/>
        <rFont val="Arial Narrow"/>
        <family val="2"/>
        <charset val="129"/>
      </rPr>
      <t>산출용</t>
    </r>
  </si>
  <si>
    <t xml:space="preserve">기존신용대출 + 심사결과로 나온신용대출 합산해서 1억초과시 1 , 한도가 3000나왔어도 실제 취급시에는 300만 취급하면 1억초과되지 않아서 스트레스 dsr 3단계적용 안받을수 있다. </t>
    <phoneticPr fontId="16" type="noConversion"/>
  </si>
  <si>
    <t>기존 모든대출의 합산으로 계산</t>
    <phoneticPr fontId="16" type="noConversion"/>
  </si>
  <si>
    <t>금융소비자보호법 안내용</t>
  </si>
  <si>
    <r>
      <t>금융소비자보호법</t>
    </r>
    <r>
      <rPr>
        <b/>
        <sz val="11"/>
        <rFont val="Arial Narrow"/>
        <family val="2"/>
        <charset val="129"/>
      </rPr>
      <t xml:space="preserve"> </t>
    </r>
    <r>
      <rPr>
        <b/>
        <sz val="11"/>
        <rFont val="돋움"/>
        <family val="3"/>
        <charset val="129"/>
      </rPr>
      <t>안내용</t>
    </r>
  </si>
  <si>
    <t>s붙은건 MDD항목명</t>
    <phoneticPr fontId="16" type="noConversion"/>
  </si>
  <si>
    <t>#N/A 테이블에 저장안함</t>
    <phoneticPr fontId="16" type="noConversion"/>
  </si>
  <si>
    <t>개인사업자CB결합등급구분코드
s결합등급</t>
    <phoneticPr fontId="2" type="noConversion"/>
  </si>
  <si>
    <t>소호ASS평점</t>
    <phoneticPr fontId="2" type="noConversion"/>
  </si>
  <si>
    <t>소호ASS등급
i컷오프신청등급
s소호ASS등급</t>
    <phoneticPr fontId="2" type="noConversion"/>
  </si>
  <si>
    <t>최저CB등급구분코드</t>
    <phoneticPr fontId="2" type="noConversion"/>
  </si>
  <si>
    <t>소호특화통합평가점수</t>
    <phoneticPr fontId="2" type="noConversion"/>
  </si>
  <si>
    <t>소호특화등급구분코드
s소호특화등급코드</t>
    <phoneticPr fontId="2" type="noConversion"/>
  </si>
  <si>
    <t>소호BSS등급구분코드</t>
    <phoneticPr fontId="2" type="noConversion"/>
  </si>
  <si>
    <t>실시간최종한도금액</t>
    <phoneticPr fontId="2" type="noConversion"/>
  </si>
  <si>
    <t>실시간최장대출기간수</t>
    <phoneticPr fontId="2" type="noConversion"/>
  </si>
  <si>
    <t>실시간최장거치기간수</t>
    <phoneticPr fontId="2" type="noConversion"/>
  </si>
  <si>
    <t>RCLIPS초기한도금액</t>
    <phoneticPr fontId="2" type="noConversion"/>
  </si>
  <si>
    <t>N1차조정후한도금액</t>
    <phoneticPr fontId="2" type="noConversion"/>
  </si>
  <si>
    <t>N2차조정후한도금액</t>
    <phoneticPr fontId="2" type="noConversion"/>
  </si>
  <si>
    <t>N3차조정후한도금액</t>
    <phoneticPr fontId="2" type="noConversion"/>
  </si>
  <si>
    <t>대표자한도조정구분코드</t>
    <phoneticPr fontId="2" type="noConversion"/>
  </si>
  <si>
    <t>KB개인사업자한도조정구분코드</t>
    <phoneticPr fontId="2" type="noConversion"/>
  </si>
  <si>
    <t>KCB개인사업자한도조정구분코드</t>
    <phoneticPr fontId="2" type="noConversion"/>
  </si>
  <si>
    <t>소호ASS등급구분코드</t>
    <phoneticPr fontId="2" type="noConversion"/>
  </si>
  <si>
    <t>한도조정1차결과내용</t>
    <phoneticPr fontId="2" type="noConversion"/>
  </si>
  <si>
    <t>최초컷오프통과여부</t>
    <phoneticPr fontId="2" type="noConversion"/>
  </si>
  <si>
    <t>최종컷오프통과여부</t>
    <phoneticPr fontId="2" type="noConversion"/>
  </si>
  <si>
    <t>낙아웃탈락여부</t>
    <phoneticPr fontId="2" type="noConversion"/>
  </si>
  <si>
    <t>개인사업자대출심사결과코드</t>
    <phoneticPr fontId="2" type="noConversion"/>
  </si>
  <si>
    <t>중금리ML스코어신용등급코드
s중금리ML스코어신용등급코드</t>
    <phoneticPr fontId="2" type="noConversion"/>
  </si>
  <si>
    <t>다중채무위험등급구분코드</t>
    <phoneticPr fontId="2" type="noConversion"/>
  </si>
  <si>
    <t>ASS등급산출초기값</t>
    <phoneticPr fontId="2" type="noConversion"/>
  </si>
  <si>
    <t>ASS평점표식별내용</t>
    <phoneticPr fontId="2" type="noConversion"/>
  </si>
  <si>
    <t>비대면연계대출등급
s비대면연계대출등급</t>
    <phoneticPr fontId="2" type="noConversion"/>
  </si>
  <si>
    <t>RCLIPS신용한도상한금액</t>
    <phoneticPr fontId="2" type="noConversion"/>
  </si>
  <si>
    <t>기업결제능력한도금액</t>
    <phoneticPr fontId="2" type="noConversion"/>
  </si>
  <si>
    <t>대표자결제능력한도금액</t>
    <phoneticPr fontId="2" type="noConversion"/>
  </si>
  <si>
    <t>RCLIPS신용한도하한금액</t>
    <phoneticPr fontId="2" type="noConversion"/>
  </si>
  <si>
    <t>기업결제능력승수율</t>
    <phoneticPr fontId="2" type="noConversion"/>
  </si>
  <si>
    <t>대표자결제능력승수율</t>
    <phoneticPr fontId="2" type="noConversion"/>
  </si>
  <si>
    <t>실시간월가처분소득금액</t>
    <phoneticPr fontId="2" type="noConversion"/>
  </si>
  <si>
    <t>기업결제능력금액</t>
    <phoneticPr fontId="2" type="noConversion"/>
  </si>
  <si>
    <t>최근1년추정매출금액</t>
    <phoneticPr fontId="2" type="noConversion"/>
  </si>
  <si>
    <t>기업대출한도조정구분코드</t>
    <phoneticPr fontId="2" type="noConversion"/>
  </si>
  <si>
    <t>한도조정비율</t>
    <phoneticPr fontId="2" type="noConversion"/>
  </si>
  <si>
    <t>소매비소매구분제한여부</t>
    <phoneticPr fontId="2" type="noConversion"/>
  </si>
  <si>
    <t>내부정책발급제한내용</t>
    <phoneticPr fontId="2" type="noConversion"/>
  </si>
  <si>
    <t>사업장발급제한내용</t>
    <phoneticPr fontId="2" type="noConversion"/>
  </si>
  <si>
    <t>대표자발급제한내용</t>
    <phoneticPr fontId="2" type="noConversion"/>
  </si>
  <si>
    <t>최종불가사유결과내용</t>
    <phoneticPr fontId="2" type="noConversion"/>
  </si>
  <si>
    <t>카드론금리등급구분코드</t>
    <phoneticPr fontId="2" type="noConversion"/>
  </si>
  <si>
    <t>최종대출적용금리</t>
    <phoneticPr fontId="2" type="noConversion"/>
  </si>
  <si>
    <t>대표자KCBDSR비율</t>
    <phoneticPr fontId="2" type="noConversion"/>
  </si>
  <si>
    <t>대표자소득금액</t>
    <phoneticPr fontId="2" type="noConversion"/>
  </si>
  <si>
    <t>N4차조정후한도금액</t>
    <phoneticPr fontId="2" type="noConversion"/>
  </si>
  <si>
    <t>대출평가결과구분코드
s대출평가결과구분코드</t>
    <phoneticPr fontId="2" type="noConversion"/>
  </si>
  <si>
    <t>소호로지스틱ASS버전명</t>
    <phoneticPr fontId="2" type="noConversion"/>
  </si>
  <si>
    <t>소호로지스틱ASS긍정사유코드값1</t>
    <phoneticPr fontId="2" type="noConversion"/>
  </si>
  <si>
    <t>TBGEAA218,MDD 항목명</t>
    <phoneticPr fontId="2" type="noConversion"/>
  </si>
  <si>
    <t>가맹점특화머신러닝평점</t>
  </si>
  <si>
    <t>NICE_최종연소득금액</t>
    <phoneticPr fontId="2" type="noConversion"/>
  </si>
  <si>
    <t>연간원리금상환추정금액</t>
    <phoneticPr fontId="2" type="noConversion"/>
  </si>
  <si>
    <t>NICE신용평점</t>
    <phoneticPr fontId="2" type="noConversion"/>
  </si>
  <si>
    <t>KCB추정소득</t>
    <phoneticPr fontId="2" type="noConversion"/>
  </si>
  <si>
    <t>KCB신용등급</t>
    <phoneticPr fontId="2" type="noConversion"/>
  </si>
  <si>
    <t>GAF가맹점특화머신러닝평점</t>
    <phoneticPr fontId="2" type="noConversion"/>
  </si>
  <si>
    <t>내부정책발급제한내용</t>
  </si>
  <si>
    <t>사업장발급제한내용</t>
  </si>
  <si>
    <t>대표자발급제한내용</t>
  </si>
  <si>
    <t>최종KO결과코드</t>
  </si>
  <si>
    <t>입력항목</t>
    <phoneticPr fontId="2" type="noConversion"/>
  </si>
  <si>
    <t>TBGEAA219,MDD 항목명</t>
    <phoneticPr fontId="2" type="noConversion"/>
  </si>
  <si>
    <t>이지대환금리등급구분코드</t>
  </si>
  <si>
    <t>이지대환회원구분코드</t>
  </si>
  <si>
    <t>대출심사취급불가내용</t>
  </si>
  <si>
    <t>한도전략그룹코드</t>
  </si>
  <si>
    <t>이지대환리스크등급그룹구분코드</t>
  </si>
  <si>
    <t>카드론신청평점</t>
  </si>
  <si>
    <t>카드론신청등급코드</t>
  </si>
  <si>
    <t>비회원신용대출신청평점</t>
  </si>
  <si>
    <t>비회원신용대출신청등급코드</t>
  </si>
  <si>
    <t>대출이동상환합계금액</t>
  </si>
  <si>
    <t>대출이동원리금상환금액</t>
  </si>
  <si>
    <t>대출이동계좌기관코드</t>
  </si>
  <si>
    <t>대출이동계좌업권코드</t>
  </si>
  <si>
    <t>대출이동계좌최저업권코드</t>
  </si>
  <si>
    <t>이동원리금제외월가처분소득</t>
  </si>
  <si>
    <t>신용가중치값</t>
  </si>
  <si>
    <t>DTI가중치값</t>
  </si>
  <si>
    <t>가처분소득신용한도금액</t>
  </si>
  <si>
    <t>카드론처리계한도금액</t>
  </si>
  <si>
    <t>이지론플러스처리계한도금액</t>
  </si>
  <si>
    <t>순수신용대출처리계한도금액</t>
  </si>
  <si>
    <t>상품별당사대출잔액</t>
  </si>
  <si>
    <t>DSR당사대출잔액</t>
  </si>
  <si>
    <t>DSR최종제한한도금액</t>
  </si>
  <si>
    <t>DSR일반제한한도금액</t>
  </si>
  <si>
    <t>DSR관리대상제한한도금액</t>
  </si>
  <si>
    <t>DSR관리내최대한도금액</t>
  </si>
  <si>
    <t>KCIS총대출잔액</t>
  </si>
  <si>
    <t>DSR반영전한도금액</t>
  </si>
  <si>
    <t>인덱스등급구분코드</t>
  </si>
  <si>
    <t>PI신용등급구분코드</t>
  </si>
  <si>
    <t>카드론다중채무구분코드</t>
  </si>
  <si>
    <t>일반대출다중채무구분코드</t>
  </si>
  <si>
    <t>KCB은행등록추정소득금액</t>
  </si>
  <si>
    <t>NICE은행등록추정소득금액</t>
  </si>
  <si>
    <t>건강보험스크래핑연환산소득금액</t>
  </si>
  <si>
    <t>국세청스크래핑연환산소득금액</t>
  </si>
  <si>
    <t>카드론결합CB등급구분코드</t>
  </si>
  <si>
    <t>ASS사용구분값</t>
  </si>
  <si>
    <t>카드론예외승인구분코드</t>
  </si>
  <si>
    <t>RCLIPS버전정보</t>
  </si>
  <si>
    <t>저장안함</t>
    <phoneticPr fontId="2" type="noConversion"/>
  </si>
  <si>
    <t>당사기존대출잔액_동일인여신한도용</t>
    <phoneticPr fontId="2" type="noConversion"/>
  </si>
  <si>
    <t>신용대출1억원초과여부</t>
    <phoneticPr fontId="2" type="noConversion"/>
  </si>
  <si>
    <t>신용대출잔액_대출이동계좌제외</t>
  </si>
  <si>
    <t>금리결합CB등급1</t>
  </si>
  <si>
    <t>금리결합CB등급2</t>
  </si>
  <si>
    <t>금리리스크등급</t>
  </si>
  <si>
    <t>연소득제한대상여부</t>
  </si>
  <si>
    <t>신정원신용대출카드론잔액</t>
  </si>
  <si>
    <t>금리결합CB1등급</t>
    <phoneticPr fontId="2" type="noConversion"/>
  </si>
  <si>
    <t>금리결합CB2등급</t>
    <phoneticPr fontId="2" type="noConversion"/>
  </si>
  <si>
    <t>금리신결합CB등급</t>
    <phoneticPr fontId="2" type="noConversion"/>
  </si>
  <si>
    <t>금리리스크등급구분코드</t>
    <phoneticPr fontId="2" type="noConversion"/>
  </si>
  <si>
    <t>실시간KCB신용등급구분코드
sKCB신용등급구분코드</t>
    <phoneticPr fontId="2" type="noConversion"/>
  </si>
  <si>
    <t>실시간NICE신용등급구분코드
sNICE신용등급구분코드</t>
    <phoneticPr fontId="2" type="noConversion"/>
  </si>
  <si>
    <t>결합등급코드
s결합등급</t>
    <phoneticPr fontId="2" type="noConversion"/>
  </si>
  <si>
    <t>[입력COMDtoctx].[SDT채널구분코드]</t>
    <phoneticPr fontId="2" type="noConversion"/>
  </si>
  <si>
    <t>r스크래핑건강보험최종소득금액조회E</t>
    <phoneticPr fontId="2" type="noConversion"/>
  </si>
  <si>
    <t>건강보험3개월납부여부_V1</t>
  </si>
  <si>
    <t>[i카드론대출RCLIPS전문조립C].[연소득금액] / 12</t>
    <phoneticPr fontId="2" type="noConversion"/>
  </si>
  <si>
    <t>오늘 스크래핑 접수번호 없을시 고객번호로 6개월치 뒤져서 조회</t>
    <phoneticPr fontId="2" type="noConversion"/>
  </si>
  <si>
    <t>개인사업자대출잔액_N15</t>
    <phoneticPr fontId="2" type="noConversion"/>
  </si>
  <si>
    <t>현재일자기준대출심사모형사전조회출력Dto</t>
    <phoneticPr fontId="2" type="noConversion"/>
  </si>
  <si>
    <t>bd개인사업자대출가능금액</t>
    <phoneticPr fontId="2" type="noConversion"/>
  </si>
  <si>
    <t>bd이지대환대출가능금액</t>
    <phoneticPr fontId="2" type="noConversion"/>
  </si>
  <si>
    <t>대출가능개월수월별원리금조회</t>
    <phoneticPr fontId="2" type="noConversion"/>
  </si>
  <si>
    <t>rGAF_MED그룹비대면신용모델내역조회E</t>
  </si>
  <si>
    <t>rGAF_MED그룹비대면신용모델내역조회E</t>
    <phoneticPr fontId="2" type="noConversion"/>
  </si>
  <si>
    <t>A4072</t>
  </si>
  <si>
    <t>다중채무위험등급버젼2</t>
  </si>
  <si>
    <t>다중채무위험등급버젼2</t>
    <phoneticPr fontId="2" type="noConversion"/>
  </si>
  <si>
    <t>SD0201000</t>
  </si>
  <si>
    <t>SD0201000</t>
    <phoneticPr fontId="2" type="noConversion"/>
  </si>
  <si>
    <t>A4067</t>
    <phoneticPr fontId="2" type="noConversion"/>
  </si>
  <si>
    <t>A4068</t>
    <phoneticPr fontId="2" type="noConversion"/>
  </si>
  <si>
    <t>A6299</t>
  </si>
  <si>
    <t>KBCGCB100</t>
  </si>
  <si>
    <t xml:space="preserve">중위등급세분화가점사유코드_V9 </t>
  </si>
  <si>
    <t xml:space="preserve">R스코어ML신용등급             </t>
  </si>
  <si>
    <t xml:space="preserve">소호변동성지수등급            </t>
  </si>
  <si>
    <t xml:space="preserve">소호변동성지수고변동여부      </t>
  </si>
  <si>
    <t xml:space="preserve">소호변동성지수ML조정등급      </t>
  </si>
  <si>
    <t xml:space="preserve">KCB_POSITIVE등급              </t>
  </si>
  <si>
    <t xml:space="preserve">KCB대표자모형적용배제사유코드 </t>
  </si>
  <si>
    <t xml:space="preserve">KCB대표자모형스코어           </t>
  </si>
  <si>
    <t xml:space="preserve">다중채무위험등급버젼2         </t>
  </si>
  <si>
    <t>A6286</t>
  </si>
  <si>
    <t>A6287</t>
  </si>
  <si>
    <t>A6288</t>
  </si>
  <si>
    <t>A6289</t>
  </si>
  <si>
    <t>A6290</t>
  </si>
  <si>
    <t>A6291</t>
  </si>
  <si>
    <t>A6292</t>
  </si>
  <si>
    <t>A6293</t>
  </si>
  <si>
    <t>A6294</t>
  </si>
  <si>
    <t>A6295</t>
  </si>
  <si>
    <t>A6296</t>
  </si>
  <si>
    <t>A6297</t>
  </si>
  <si>
    <t>A6298</t>
  </si>
  <si>
    <t>UW0100000</t>
  </si>
  <si>
    <t>UW0301001</t>
  </si>
  <si>
    <t>UW0302001</t>
  </si>
  <si>
    <t>플러스론최종대출가능금액_실시간사전비교</t>
  </si>
  <si>
    <t>소득반영전사전대출가능금액</t>
  </si>
  <si>
    <t>신정원총대출잔액</t>
  </si>
  <si>
    <t>크레딧트리2결합스코어</t>
  </si>
  <si>
    <t>크레딧트리2결합등급</t>
  </si>
  <si>
    <t>저장안함</t>
    <phoneticPr fontId="16" type="noConversion"/>
  </si>
  <si>
    <t>R8007</t>
  </si>
  <si>
    <t>이지신용대출탈락대상_C9</t>
  </si>
  <si>
    <t>R8008</t>
  </si>
  <si>
    <t>이지론한도_C9</t>
  </si>
  <si>
    <t>R8009</t>
  </si>
  <si>
    <t>이지론대출이율_C9</t>
  </si>
  <si>
    <t>R8012</t>
  </si>
  <si>
    <t>R8013</t>
  </si>
  <si>
    <t>R8015</t>
  </si>
  <si>
    <t>N1M현금서비스이용건수</t>
    <phoneticPr fontId="16" type="noConversion"/>
  </si>
  <si>
    <t>실시간카드론ML평점</t>
    <phoneticPr fontId="16" type="noConversion"/>
  </si>
  <si>
    <t>금리리스크등급</t>
    <phoneticPr fontId="16" type="noConversion"/>
  </si>
  <si>
    <t>금리리스크등급구분코드</t>
    <phoneticPr fontId="16" type="noConversion"/>
  </si>
  <si>
    <t>그룹다중채무세그먼트구분코드</t>
  </si>
  <si>
    <t>//20201229, 김지애G, A3058-&gt;A3066</t>
    <phoneticPr fontId="16" type="noConversion"/>
  </si>
  <si>
    <t>//20201229, 김지애G, A4009-&gt;A4019</t>
  </si>
  <si>
    <t xml:space="preserve"> [i카드론신청서접수번호신규조회E].[카드론평가상품구분코드] input값 저장, 카드론평가상품구분코드</t>
    <phoneticPr fontId="16" type="noConversion"/>
  </si>
  <si>
    <t>KBGS중위세분화CBonly등급</t>
    <phoneticPr fontId="2" type="noConversion"/>
  </si>
  <si>
    <t>KBGS중위세분화신용등급</t>
    <phoneticPr fontId="2" type="noConversion"/>
  </si>
  <si>
    <t>kcb</t>
    <phoneticPr fontId="2" type="noConversion"/>
  </si>
  <si>
    <t>그룹고객식별자보유여부</t>
    <phoneticPr fontId="2" type="noConversion"/>
  </si>
  <si>
    <t>문자-&gt;숫자 변경</t>
    <phoneticPr fontId="2" type="noConversion"/>
  </si>
  <si>
    <t>A8197</t>
  </si>
  <si>
    <t>A8198</t>
  </si>
  <si>
    <t>A8199</t>
  </si>
  <si>
    <t>A8200</t>
  </si>
  <si>
    <t>A8201</t>
  </si>
  <si>
    <t>A8202</t>
  </si>
  <si>
    <t>소득반영후사전대출가능금액</t>
  </si>
  <si>
    <t>소득내감액구분코드</t>
  </si>
  <si>
    <t>프리미엄파일롯대상구분코드</t>
  </si>
  <si>
    <t>추가취급가능금액</t>
  </si>
  <si>
    <t>가맹점실적스코어_N4</t>
  </si>
  <si>
    <t>그룹실적스코어_N4</t>
  </si>
  <si>
    <t>사업자특화대상구분_V2</t>
  </si>
  <si>
    <t>은행업권대출잔액</t>
  </si>
  <si>
    <t>카드론우대직업군구분코드</t>
  </si>
  <si>
    <t>신차오토론잔액</t>
  </si>
  <si>
    <t>N3개월KB은행급여이체합계금액</t>
  </si>
  <si>
    <t>전월이지론한도금액</t>
  </si>
  <si>
    <t>다중채무세그먼트구분코드2</t>
  </si>
  <si>
    <t>카드총한도소진율</t>
  </si>
  <si>
    <t>KCBDSR연간상환원리금4</t>
  </si>
  <si>
    <t>최근1년A그룹카드론거래여부</t>
  </si>
  <si>
    <t>최근1년B그룹카드론거래여부</t>
  </si>
  <si>
    <t>K2그룹통합모델카드등급구분코드</t>
  </si>
  <si>
    <t>KBGS중위신용등급세분화모델등급</t>
  </si>
  <si>
    <t>KBGS상환능력평가모델등급</t>
  </si>
  <si>
    <t>이지론파일롯대상등급</t>
  </si>
  <si>
    <t>예상할인적용대출이율</t>
  </si>
  <si>
    <t>스크래핑소득_국민연금환산</t>
  </si>
  <si>
    <t>스크래핑소득_공무원연금환산</t>
  </si>
  <si>
    <t>당사기대출잔액_상품별한도계산용</t>
  </si>
  <si>
    <t>소득내취급감액대상여부</t>
  </si>
  <si>
    <t>18개월내발생연체건수해제포함_N9</t>
  </si>
  <si>
    <t>다중채무위험등급버젼2_V2</t>
  </si>
  <si>
    <t>b스크래핑건강보험최종소득금액_N15</t>
  </si>
  <si>
    <t>s건강보험가입자구분코드</t>
  </si>
  <si>
    <t>할인적용금리1_N5_2</t>
  </si>
  <si>
    <t>r금리서비스적용조회C</t>
  </si>
  <si>
    <t>스크래핑국민연금최종소득금액_N15</t>
  </si>
  <si>
    <t>r스크래핑국민연금최종소득금액조회E</t>
  </si>
  <si>
    <t>r스크래핑공무원연금최종소득금액조회E</t>
  </si>
  <si>
    <t>스크래핑공무원연금최종소득금액_N15</t>
  </si>
  <si>
    <t>bd기대출금액</t>
  </si>
  <si>
    <t>소득내취급감액대상여부_V1</t>
  </si>
  <si>
    <t>R1096</t>
  </si>
  <si>
    <t>CB등급최고대출가능금액_사전</t>
  </si>
  <si>
    <t>R0131</t>
  </si>
  <si>
    <t>예상취급가능한도</t>
  </si>
  <si>
    <t>R0132</t>
  </si>
  <si>
    <t>소득반영전사전대출가능금액</t>
    <phoneticPr fontId="16" type="noConversion"/>
  </si>
  <si>
    <r>
      <rPr>
        <sz val="11"/>
        <rFont val="굴림체"/>
        <family val="2"/>
        <charset val="129"/>
      </rPr>
      <t>사전</t>
    </r>
    <r>
      <rPr>
        <sz val="11"/>
        <rFont val="Arial Narrow"/>
        <family val="2"/>
      </rPr>
      <t>CB</t>
    </r>
    <r>
      <rPr>
        <sz val="11"/>
        <rFont val="굴림체"/>
        <family val="2"/>
        <charset val="129"/>
      </rPr>
      <t>등급최대대출가능금액</t>
    </r>
    <phoneticPr fontId="16" type="noConversion"/>
  </si>
  <si>
    <t>TBGEAE010, B1</t>
    <phoneticPr fontId="2" type="noConversion"/>
  </si>
  <si>
    <t>TBGEAE010, C1, k701</t>
    <phoneticPr fontId="2" type="noConversion"/>
  </si>
  <si>
    <t>TBGEAE010, C1, k707</t>
    <phoneticPr fontId="2" type="noConversion"/>
  </si>
  <si>
    <t>평가정보조회</t>
    <phoneticPr fontId="2" type="noConversion"/>
  </si>
  <si>
    <t>INPUT</t>
    <phoneticPr fontId="2" type="noConversion"/>
  </si>
  <si>
    <t>할부리스조회여부_V1</t>
  </si>
  <si>
    <t>할부리스 : 02</t>
    <phoneticPr fontId="2" type="noConversion"/>
  </si>
  <si>
    <t xml:space="preserve">쓸모없음.. </t>
    <phoneticPr fontId="2" type="noConversion"/>
  </si>
  <si>
    <t>필수 예:B01,B02,B03 등등</t>
    <phoneticPr fontId="2" type="noConversion"/>
  </si>
  <si>
    <t>N6개월정상매출건수여부</t>
  </si>
  <si>
    <t>사업체실적머신러닝평점</t>
  </si>
  <si>
    <t>60</t>
  </si>
  <si>
    <t>rGAF_MDT개인사업자CB타영역공용집계내역조회E</t>
  </si>
  <si>
    <t>rGAF_MDT개인사업자CB타영역공용집계내역조회E</t>
    <phoneticPr fontId="2" type="noConversion"/>
  </si>
  <si>
    <t>A4120</t>
  </si>
  <si>
    <t>A4121</t>
  </si>
  <si>
    <t>KCB대표자모형적용배제사유코드</t>
  </si>
  <si>
    <t>KCB대표자모형스코어</t>
  </si>
  <si>
    <t>GEA_KCB신용평점정보조회Dto</t>
  </si>
  <si>
    <t>SKBFG0030</t>
  </si>
  <si>
    <t>신용대출연소득감액전달여부</t>
  </si>
  <si>
    <t>이지신용대출연소득제한대상여부_C9산출</t>
  </si>
  <si>
    <t>상생대출여부</t>
  </si>
  <si>
    <t>중위등급세분화모델스코어</t>
  </si>
  <si>
    <t>중위등급세분화모델등급_저축</t>
  </si>
  <si>
    <t>중위세분화통합등급구분코드</t>
  </si>
  <si>
    <t>R8000</t>
    <phoneticPr fontId="16" type="noConversion"/>
  </si>
  <si>
    <t>카드론사전한도</t>
  </si>
  <si>
    <t>이지론플러스사전한도</t>
  </si>
  <si>
    <t>A4234</t>
  </si>
  <si>
    <t>NICE_CCS신용등급코드</t>
  </si>
  <si>
    <t>KBGS중위세분화신용등급</t>
  </si>
  <si>
    <t>상권성장지수</t>
  </si>
  <si>
    <t>소재시도업종사업장수증가율</t>
  </si>
  <si>
    <t>15.3</t>
  </si>
  <si>
    <t>내부</t>
    <phoneticPr fontId="2" type="noConversion"/>
  </si>
  <si>
    <t>내부(GHA)</t>
    <phoneticPr fontId="2" type="noConversion"/>
  </si>
  <si>
    <t>내부(GEA)</t>
    <phoneticPr fontId="2" type="noConversion"/>
  </si>
  <si>
    <t>NICE (개인 1F003)</t>
    <phoneticPr fontId="2" type="noConversion"/>
  </si>
  <si>
    <t>NICE (동시대출13003)</t>
    <phoneticPr fontId="2" type="noConversion"/>
  </si>
  <si>
    <t>NICE (사업자 24001)</t>
    <phoneticPr fontId="2" type="noConversion"/>
  </si>
  <si>
    <t>KCB (개인0400/437)</t>
    <phoneticPr fontId="2" type="noConversion"/>
  </si>
  <si>
    <t>KCB (동시대출0400/482)</t>
    <phoneticPr fontId="2" type="noConversion"/>
  </si>
  <si>
    <t>DAA→MAD→GEAA217</t>
    <phoneticPr fontId="2" type="noConversion"/>
  </si>
  <si>
    <t>A7022</t>
  </si>
  <si>
    <t>A7023</t>
  </si>
  <si>
    <t>A7024</t>
  </si>
  <si>
    <t>A7025</t>
  </si>
  <si>
    <t>rGAF_DAA사업장지수월별정보내역조회E</t>
  </si>
  <si>
    <t>가맹점3개월합계매출액지수</t>
  </si>
  <si>
    <t>GCA_응답코드_V4</t>
  </si>
  <si>
    <t>가맹점전년대비3개월이용증감율</t>
  </si>
  <si>
    <t>가맹점3개월이용고객수지수</t>
  </si>
  <si>
    <t>가맹점1개월사업자대출집중지수</t>
  </si>
  <si>
    <t>N3개월상권업종충성고객비중</t>
  </si>
  <si>
    <t>TBGAFT049</t>
    <phoneticPr fontId="2" type="noConversion"/>
  </si>
  <si>
    <t>TBGAFT050</t>
  </si>
  <si>
    <t>그룹고객식별자보유여부</t>
  </si>
  <si>
    <t>TBGAFT047</t>
  </si>
  <si>
    <t>rKED기업연체명세조회C</t>
  </si>
  <si>
    <t>N3년KED연체해제경과일수_N9</t>
  </si>
  <si>
    <t>가맹점사업장업력지수</t>
  </si>
  <si>
    <t>N1개월사업자대출집중수준지수</t>
  </si>
  <si>
    <t>전년동기대비3개월매출증감율</t>
  </si>
  <si>
    <t xml:space="preserve"> / 1000</t>
    <phoneticPr fontId="2" type="noConversion"/>
  </si>
  <si>
    <t>가맹점종합사업성환산점수</t>
  </si>
  <si>
    <t>가맹점프랜차이즈여부</t>
  </si>
  <si>
    <t>00</t>
    <phoneticPr fontId="2" type="noConversion"/>
  </si>
  <si>
    <t>일괄 박힌값</t>
    <phoneticPr fontId="2" type="noConversion"/>
  </si>
  <si>
    <t>연체여부_V1</t>
  </si>
  <si>
    <t>rGAF_MED개인사업자차주정보최종조회E</t>
  </si>
  <si>
    <t>대표기업표준산업분류코드</t>
  </si>
  <si>
    <t>rGAF_MED소호특화기본조회E</t>
  </si>
  <si>
    <t>대표가맹점업종코드</t>
  </si>
  <si>
    <t>rNICE개인사업자신용정보조회C</t>
  </si>
  <si>
    <t>일괄 박은값</t>
    <phoneticPr fontId="2" type="noConversion"/>
  </si>
  <si>
    <t>0000</t>
    <phoneticPr fontId="2" type="noConversion"/>
  </si>
  <si>
    <t>sNICE신용등급구분코드</t>
  </si>
  <si>
    <t>신용상품대출건수_N10 &gt;= 2</t>
    <phoneticPr fontId="2" type="noConversion"/>
  </si>
  <si>
    <t>0 or 1</t>
    <phoneticPr fontId="2" type="noConversion"/>
  </si>
  <si>
    <t>rNICE법인등록번호기준신용정보조회C</t>
  </si>
  <si>
    <t>NICE불량미해제합계건수_V9</t>
  </si>
  <si>
    <t>CB신용등급평점구간정보신용등급조회ibi</t>
    <phoneticPr fontId="2" type="noConversion"/>
  </si>
  <si>
    <t>SC0000000</t>
    <phoneticPr fontId="2" type="noConversion"/>
  </si>
  <si>
    <t>i개인사업자대출RCLIPS전문조립C</t>
  </si>
  <si>
    <t>/ 12</t>
    <phoneticPr fontId="2" type="noConversion"/>
  </si>
  <si>
    <t>bd이지대환대출가능금액</t>
  </si>
  <si>
    <t>rGEA우대프랜차이즈대상여부조회E</t>
  </si>
  <si>
    <t>우대프랜차이즈대상여부_V1</t>
  </si>
  <si>
    <t>bd카드론최고금액</t>
  </si>
  <si>
    <t>tbgeaa209 Max값</t>
  </si>
  <si>
    <t>대출가능개월수월별원리금조회</t>
  </si>
  <si>
    <t>대출이동대상_금결원_은행코드||하위기관코드</t>
  </si>
  <si>
    <t>캐피탈대출잔액합계</t>
  </si>
  <si>
    <t>오토론대출잔액_차세대이전ONLY</t>
  </si>
  <si>
    <t>신용카드통합한도금액</t>
  </si>
  <si>
    <t>대출이동대상_신용대출여부</t>
  </si>
  <si>
    <t>6</t>
  </si>
  <si>
    <t>R0093</t>
    <phoneticPr fontId="2" type="noConversion"/>
  </si>
  <si>
    <t>12, "16", "62", "66", "67", "69"</t>
  </si>
  <si>
    <t>12","16", "62", "66", "67", "69</t>
  </si>
  <si>
    <t>R4001</t>
  </si>
  <si>
    <t>R4002</t>
  </si>
  <si>
    <t>R4003</t>
  </si>
  <si>
    <t>R4004</t>
  </si>
  <si>
    <t>R4005</t>
  </si>
  <si>
    <t>R4006</t>
  </si>
  <si>
    <t>R4007</t>
  </si>
  <si>
    <t>R4008</t>
  </si>
  <si>
    <t>R4009</t>
  </si>
  <si>
    <t>R4010</t>
  </si>
  <si>
    <t>R4011</t>
  </si>
  <si>
    <t>R4012</t>
  </si>
  <si>
    <t>KB금융그룹유효고객여부</t>
  </si>
  <si>
    <t>비대면신용산정대상구분코드</t>
  </si>
  <si>
    <t>비대면신용모형구분코드</t>
  </si>
  <si>
    <t>비대면신용세그먼트구분코드</t>
  </si>
  <si>
    <t>비대면신용평가점수</t>
  </si>
  <si>
    <t>비대면신용등급구분코드</t>
  </si>
  <si>
    <t>대안모델산정대상구분코드</t>
  </si>
  <si>
    <t>대안모델모형구분코드</t>
  </si>
  <si>
    <t>대안모델세그먼트구분코드</t>
  </si>
  <si>
    <t>대안모델평가점수</t>
  </si>
  <si>
    <t>대안모델등급구분코드</t>
  </si>
  <si>
    <t>R2001</t>
  </si>
  <si>
    <t>R2002</t>
  </si>
  <si>
    <t>R2003</t>
  </si>
  <si>
    <t>R2004</t>
  </si>
  <si>
    <t>R2005</t>
  </si>
  <si>
    <t>R2006</t>
  </si>
  <si>
    <t>R2007</t>
  </si>
  <si>
    <t>R2008</t>
  </si>
  <si>
    <t>R2009</t>
  </si>
  <si>
    <t>R2010</t>
  </si>
  <si>
    <t>R2011</t>
  </si>
  <si>
    <t>R2012</t>
  </si>
  <si>
    <t>::</t>
    <phoneticPr fontId="16" type="noConversion"/>
  </si>
  <si>
    <t>**</t>
    <phoneticPr fontId="16" type="noConversion"/>
  </si>
  <si>
    <t>^^</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</si>
</sst>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quot;* #,##0_-;\-&quot;₩&quot;* #,##0_-;_-&quot;₩&quot;* &quot;-&quot;_-;_-@_-"/>
    <numFmt numFmtId="41" formatCode="_-* #,##0_-;\-* #,##0_-;_-* &quot;-&quot;_-;_-@_-"/>
    <numFmt numFmtId="176" formatCode="0_);[Red]\(0\)"/>
    <numFmt numFmtId="177" formatCode="_ * #,##0.00_ ;_ * \-#,##0.00_ ;_ * &quot;-&quot;??_ ;_ @_ "/>
    <numFmt numFmtId="178" formatCode="&quot;₩&quot;#,##0;[Red]&quot;₩&quot;&quot;-&quot;#,##0"/>
    <numFmt numFmtId="179" formatCode="&quot;₩&quot;#,##0.00;&quot;₩&quot;&quot;₩&quot;&quot;₩&quot;&quot;₩&quot;&quot;₩&quot;&quot;₩&quot;&quot;₩&quot;&quot;₩&quot;\-#,##0.00"/>
    <numFmt numFmtId="180" formatCode="\###0;[Red]\-#,##0"/>
    <numFmt numFmtId="181" formatCode="\###0.00;[Red]\-#,##0.00"/>
    <numFmt numFmtId="182" formatCode="&quot;₩&quot;&quot;₩&quot;\$#,##0_);&quot;₩&quot;&quot;₩&quot;\(&quot;₩&quot;&quot;₩&quot;\$#,##0&quot;₩&quot;&quot;₩&quot;\)"/>
    <numFmt numFmtId="183" formatCode="_(&quot;$&quot;* #,##0_);_(&quot;$&quot;* \(#,##0\);_(&quot;$&quot;* &quot;-&quot;??_);_(@_)"/>
    <numFmt numFmtId="184" formatCode="&quot;$&quot;#,##0.00;[Red]&quot;$&quot;#,##0.00"/>
    <numFmt numFmtId="185" formatCode="&quot;$&quot;#,##0.00"/>
    <numFmt numFmtId="186" formatCode="0_ "/>
  </numFmts>
  <fonts count="143">
    <font>
      <sz val="11"/>
      <color theme="1"/>
      <name val="맑은 고딕"/>
      <family val="2"/>
      <charset val="129"/>
      <scheme val="minor"/>
    </font>
    <font>
      <sz val="11"/>
      <color theme="1"/>
      <name val="Arial Narrow"/>
      <family val="2"/>
      <charset val="129"/>
    </font>
    <font>
      <sz val="8"/>
      <name val="맑은 고딕"/>
      <family val="2"/>
      <charset val="129"/>
      <scheme val="minor"/>
    </font>
    <font>
      <sz val="11"/>
      <name val="돋움"/>
      <family val="3"/>
      <charset val="129"/>
    </font>
    <font>
      <sz val="10"/>
      <color theme="1"/>
      <name val="맑은 고딕"/>
      <family val="2"/>
      <charset val="129"/>
    </font>
    <font>
      <sz val="10"/>
      <name val="KB금융 본문체 Light"/>
      <family val="3"/>
      <charset val="129"/>
    </font>
    <font>
      <sz val="10"/>
      <color theme="1"/>
      <name val="KB금융 본문체 Light"/>
      <family val="3"/>
      <charset val="129"/>
    </font>
    <font>
      <b/>
      <sz val="10"/>
      <name val="KB금융 본문체 Light"/>
      <family val="3"/>
      <charset val="129"/>
    </font>
    <font>
      <sz val="10"/>
      <color rgb="FFFF0000"/>
      <name val="KB금융 본문체 Light"/>
      <family val="3"/>
      <charset val="129"/>
    </font>
    <font>
      <b/>
      <sz val="10"/>
      <color rgb="FFFF0000"/>
      <name val="KB금융 본문체 Light"/>
      <family val="3"/>
      <charset val="129"/>
    </font>
    <font>
      <sz val="8"/>
      <name val="돋움"/>
      <family val="3"/>
      <charset val="129"/>
    </font>
    <font>
      <sz val="11"/>
      <name val="굴림체"/>
      <family val="3"/>
      <charset val="129"/>
    </font>
    <font>
      <b/>
      <sz val="10"/>
      <color rgb="FF000000"/>
      <name val="KB금융 본문체 Light"/>
      <family val="3"/>
      <charset val="129"/>
    </font>
    <font>
      <sz val="10"/>
      <color rgb="FF000000"/>
      <name val="KB금융 본문체 Light"/>
      <family val="3"/>
      <charset val="129"/>
    </font>
    <font>
      <sz val="12"/>
      <name val="바탕체"/>
      <family val="1"/>
      <charset val="129"/>
    </font>
    <font>
      <b/>
      <sz val="10"/>
      <color theme="1"/>
      <name val="KB금융 본문체 Light"/>
      <family val="3"/>
      <charset val="129"/>
    </font>
    <font>
      <sz val="8"/>
      <name val="Arial Narrow"/>
      <family val="2"/>
      <charset val="129"/>
    </font>
    <font>
      <sz val="8"/>
      <name val="맑은 고딕"/>
      <family val="2"/>
      <charset val="129"/>
    </font>
    <font>
      <sz val="10"/>
      <color indexed="8"/>
      <name val="KB금융 본문체 Light"/>
      <family val="3"/>
      <charset val="129"/>
    </font>
    <font>
      <sz val="11"/>
      <name val="Arial Narrow"/>
      <family val="2"/>
    </font>
    <font>
      <sz val="11"/>
      <name val="가는각진제목체"/>
      <family val="1"/>
      <charset val="129"/>
    </font>
    <font>
      <sz val="11"/>
      <color theme="1"/>
      <name val="맑은 고딕"/>
      <family val="2"/>
      <charset val="129"/>
      <scheme val="minor"/>
    </font>
    <font>
      <sz val="12"/>
      <color theme="1"/>
      <name val="KB금융 제목체 Medium"/>
      <family val="3"/>
      <charset val="129"/>
    </font>
    <font>
      <sz val="10"/>
      <color theme="1"/>
      <name val="KB금융 제목체 Medium"/>
      <family val="3"/>
      <charset val="129"/>
    </font>
    <font>
      <sz val="11"/>
      <color theme="1"/>
      <name val="KB금융 본문체 Light"/>
      <family val="3"/>
      <charset val="129"/>
    </font>
    <font>
      <sz val="11"/>
      <name val="KB금융 제목체 Medium"/>
      <family val="3"/>
      <charset val="129"/>
    </font>
    <font>
      <sz val="11"/>
      <color theme="1"/>
      <name val="돋움"/>
      <family val="3"/>
      <charset val="129"/>
    </font>
    <font>
      <strike/>
      <sz val="11"/>
      <color rgb="FFFF0000"/>
      <name val="맑은 고딕"/>
      <family val="3"/>
      <charset val="129"/>
    </font>
    <font>
      <sz val="11"/>
      <color rgb="FFFF0000"/>
      <name val="돋움"/>
      <family val="3"/>
      <charset val="129"/>
    </font>
    <font>
      <sz val="10"/>
      <name val="맑은 고딕"/>
      <family val="3"/>
      <charset val="129"/>
    </font>
    <font>
      <sz val="11"/>
      <color theme="1"/>
      <name val="맑은 고딕"/>
      <family val="3"/>
      <charset val="129"/>
      <scheme val="minor"/>
    </font>
    <font>
      <sz val="10"/>
      <name val="돋움체"/>
      <family val="3"/>
      <charset val="129"/>
    </font>
    <font>
      <b/>
      <sz val="10"/>
      <name val="MS Sans Serif"/>
      <family val="2"/>
    </font>
    <font>
      <u/>
      <sz val="11"/>
      <color theme="10"/>
      <name val="맑은 고딕"/>
      <family val="3"/>
      <charset val="129"/>
    </font>
    <font>
      <sz val="10"/>
      <name val="Arial"/>
      <family val="2"/>
    </font>
    <font>
      <sz val="11"/>
      <color rgb="FFFF0000"/>
      <name val="맑은 고딕"/>
      <family val="3"/>
      <charset val="129"/>
      <scheme val="minor"/>
    </font>
    <font>
      <b/>
      <sz val="11"/>
      <color theme="1"/>
      <name val="맑은 고딕"/>
      <family val="3"/>
      <charset val="129"/>
      <scheme val="minor"/>
    </font>
    <font>
      <sz val="10"/>
      <color theme="1"/>
      <name val="맑은 고딕"/>
      <family val="2"/>
      <charset val="129"/>
      <scheme val="minor"/>
    </font>
    <font>
      <b/>
      <sz val="11"/>
      <color theme="0"/>
      <name val="맑은 고딕"/>
      <family val="3"/>
      <charset val="129"/>
      <scheme val="minor"/>
    </font>
    <font>
      <sz val="11"/>
      <color theme="0"/>
      <name val="맑은 고딕"/>
      <family val="3"/>
      <charset val="129"/>
      <scheme val="minor"/>
    </font>
    <font>
      <sz val="11"/>
      <color theme="0"/>
      <name val="돋움"/>
      <family val="3"/>
      <charset val="129"/>
    </font>
    <font>
      <b/>
      <sz val="10"/>
      <name val="Helv"/>
      <family val="2"/>
    </font>
    <font>
      <sz val="10"/>
      <name val="MS Sans Serif"/>
      <family val="2"/>
    </font>
    <font>
      <sz val="8"/>
      <name val="Arial"/>
      <family val="2"/>
    </font>
    <font>
      <b/>
      <sz val="12"/>
      <name val="Helv"/>
      <family val="2"/>
    </font>
    <font>
      <b/>
      <sz val="12"/>
      <name val="Arial"/>
      <family val="2"/>
    </font>
    <font>
      <b/>
      <sz val="11"/>
      <name val="Helv"/>
      <family val="2"/>
    </font>
    <font>
      <b/>
      <sz val="11"/>
      <color rgb="FFFA7D00"/>
      <name val="맑은 고딕"/>
      <family val="3"/>
      <charset val="129"/>
      <scheme val="minor"/>
    </font>
    <font>
      <b/>
      <sz val="11"/>
      <color rgb="FFFA7D00"/>
      <name val="돋움"/>
      <family val="3"/>
      <charset val="129"/>
    </font>
    <font>
      <sz val="11"/>
      <color rgb="FF9C0006"/>
      <name val="맑은 고딕"/>
      <family val="3"/>
      <charset val="129"/>
      <scheme val="minor"/>
    </font>
    <font>
      <sz val="11"/>
      <color rgb="FF9C0006"/>
      <name val="돋움"/>
      <family val="3"/>
      <charset val="129"/>
    </font>
    <font>
      <sz val="11"/>
      <name val="Century Gothic"/>
      <family val="2"/>
    </font>
    <font>
      <sz val="11"/>
      <color rgb="FF9C6500"/>
      <name val="맑은 고딕"/>
      <family val="3"/>
      <charset val="129"/>
      <scheme val="minor"/>
    </font>
    <font>
      <sz val="11"/>
      <color rgb="FF9C6500"/>
      <name val="돋움"/>
      <family val="3"/>
      <charset val="129"/>
    </font>
    <font>
      <sz val="12"/>
      <name val="뼻뮝"/>
      <family val="1"/>
      <charset val="129"/>
    </font>
    <font>
      <i/>
      <sz val="11"/>
      <color rgb="FF7F7F7F"/>
      <name val="맑은 고딕"/>
      <family val="3"/>
      <charset val="129"/>
      <scheme val="minor"/>
    </font>
    <font>
      <i/>
      <sz val="11"/>
      <color rgb="FF7F7F7F"/>
      <name val="돋움"/>
      <family val="3"/>
      <charset val="129"/>
    </font>
    <font>
      <b/>
      <sz val="11"/>
      <color theme="0"/>
      <name val="돋움"/>
      <family val="3"/>
      <charset val="129"/>
    </font>
    <font>
      <sz val="11"/>
      <color rgb="FFFA7D00"/>
      <name val="맑은 고딕"/>
      <family val="3"/>
      <charset val="129"/>
      <scheme val="minor"/>
    </font>
    <font>
      <sz val="11"/>
      <color rgb="FFFA7D00"/>
      <name val="돋움"/>
      <family val="3"/>
      <charset val="129"/>
    </font>
    <font>
      <b/>
      <sz val="11"/>
      <color theme="1"/>
      <name val="돋움"/>
      <family val="3"/>
      <charset val="129"/>
    </font>
    <font>
      <sz val="11"/>
      <color rgb="FF3F3F76"/>
      <name val="맑은 고딕"/>
      <family val="3"/>
      <charset val="129"/>
      <scheme val="minor"/>
    </font>
    <font>
      <sz val="11"/>
      <color rgb="FF3F3F76"/>
      <name val="돋움"/>
      <family val="3"/>
      <charset val="129"/>
    </font>
    <font>
      <b/>
      <sz val="15"/>
      <color theme="3"/>
      <name val="맑은 고딕"/>
      <family val="3"/>
      <charset val="129"/>
      <scheme val="minor"/>
    </font>
    <font>
      <b/>
      <sz val="15"/>
      <color theme="3"/>
      <name val="돋움"/>
      <family val="3"/>
      <charset val="129"/>
    </font>
    <font>
      <b/>
      <sz val="18"/>
      <color theme="3"/>
      <name val="맑은 고딕"/>
      <family val="3"/>
      <charset val="129"/>
      <scheme val="major"/>
    </font>
    <font>
      <b/>
      <sz val="13"/>
      <color theme="3"/>
      <name val="맑은 고딕"/>
      <family val="3"/>
      <charset val="129"/>
      <scheme val="minor"/>
    </font>
    <font>
      <b/>
      <sz val="13"/>
      <color theme="3"/>
      <name val="돋움"/>
      <family val="3"/>
      <charset val="129"/>
    </font>
    <font>
      <b/>
      <sz val="11"/>
      <color theme="3"/>
      <name val="맑은 고딕"/>
      <family val="3"/>
      <charset val="129"/>
      <scheme val="minor"/>
    </font>
    <font>
      <b/>
      <sz val="11"/>
      <color theme="3"/>
      <name val="돋움"/>
      <family val="3"/>
      <charset val="129"/>
    </font>
    <font>
      <sz val="11"/>
      <color rgb="FF006100"/>
      <name val="맑은 고딕"/>
      <family val="3"/>
      <charset val="129"/>
      <scheme val="minor"/>
    </font>
    <font>
      <sz val="11"/>
      <color rgb="FF006100"/>
      <name val="돋움"/>
      <family val="3"/>
      <charset val="129"/>
    </font>
    <font>
      <b/>
      <sz val="11"/>
      <color rgb="FF3F3F3F"/>
      <name val="맑은 고딕"/>
      <family val="3"/>
      <charset val="129"/>
      <scheme val="minor"/>
    </font>
    <font>
      <b/>
      <sz val="11"/>
      <color rgb="FF3F3F3F"/>
      <name val="돋움"/>
      <family val="3"/>
      <charset val="129"/>
    </font>
    <font>
      <sz val="11"/>
      <color theme="1"/>
      <name val="하나 L"/>
      <family val="2"/>
      <charset val="129"/>
    </font>
    <font>
      <sz val="10"/>
      <name val="Helv"/>
      <family val="2"/>
    </font>
    <font>
      <sz val="11"/>
      <color indexed="8"/>
      <name val="맑은 고딕"/>
      <family val="3"/>
      <charset val="129"/>
    </font>
    <font>
      <sz val="11"/>
      <color indexed="9"/>
      <name val="맑은 고딕"/>
      <family val="3"/>
      <charset val="129"/>
    </font>
    <font>
      <sz val="11"/>
      <color indexed="20"/>
      <name val="맑은 고딕"/>
      <family val="3"/>
      <charset val="129"/>
    </font>
    <font>
      <b/>
      <sz val="11"/>
      <color indexed="52"/>
      <name val="맑은 고딕"/>
      <family val="3"/>
      <charset val="129"/>
    </font>
    <font>
      <b/>
      <sz val="11"/>
      <color indexed="9"/>
      <name val="맑은 고딕"/>
      <family val="3"/>
      <charset val="129"/>
    </font>
    <font>
      <i/>
      <sz val="11"/>
      <color indexed="23"/>
      <name val="맑은 고딕"/>
      <family val="3"/>
      <charset val="129"/>
    </font>
    <font>
      <sz val="11"/>
      <color indexed="17"/>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62"/>
      <name val="맑은 고딕"/>
      <family val="3"/>
      <charset val="129"/>
    </font>
    <font>
      <sz val="11"/>
      <color indexed="52"/>
      <name val="맑은 고딕"/>
      <family val="3"/>
      <charset val="129"/>
    </font>
    <font>
      <sz val="11"/>
      <color indexed="60"/>
      <name val="맑은 고딕"/>
      <family val="3"/>
      <charset val="129"/>
    </font>
    <font>
      <b/>
      <sz val="11"/>
      <color indexed="63"/>
      <name val="맑은 고딕"/>
      <family val="3"/>
      <charset val="129"/>
    </font>
    <font>
      <b/>
      <sz val="18"/>
      <color indexed="56"/>
      <name val="맑은 고딕"/>
      <family val="3"/>
      <charset val="129"/>
    </font>
    <font>
      <b/>
      <sz val="11"/>
      <color indexed="8"/>
      <name val="맑은 고딕"/>
      <family val="3"/>
      <charset val="129"/>
    </font>
    <font>
      <sz val="11"/>
      <color indexed="10"/>
      <name val="맑은 고딕"/>
      <family val="3"/>
      <charset val="129"/>
    </font>
    <font>
      <sz val="10"/>
      <color theme="1"/>
      <name val="맑은 고딕"/>
      <family val="3"/>
      <charset val="129"/>
    </font>
    <font>
      <sz val="10"/>
      <name val="굴림체"/>
      <family val="3"/>
      <charset val="129"/>
    </font>
    <font>
      <sz val="9"/>
      <name val="굴림"/>
      <family val="3"/>
      <charset val="129"/>
    </font>
    <font>
      <sz val="9"/>
      <color theme="1"/>
      <name val="맑은 고딕"/>
      <family val="2"/>
      <charset val="129"/>
      <scheme val="minor"/>
    </font>
    <font>
      <sz val="11"/>
      <color rgb="FFFF0000"/>
      <name val="맑은 고딕"/>
      <family val="2"/>
      <charset val="129"/>
      <scheme val="minor"/>
    </font>
    <font>
      <b/>
      <sz val="9"/>
      <color rgb="FF000000"/>
      <name val="맑은 고딕"/>
      <family val="3"/>
      <charset val="129"/>
    </font>
    <font>
      <sz val="9"/>
      <color theme="1"/>
      <name val="굴림체"/>
      <family val="3"/>
      <charset val="129"/>
    </font>
    <font>
      <sz val="9"/>
      <color rgb="FFFF0000"/>
      <name val="굴림체"/>
      <family val="3"/>
      <charset val="129"/>
    </font>
    <font>
      <strike/>
      <sz val="9"/>
      <color theme="1"/>
      <name val="굴림체"/>
      <family val="3"/>
      <charset val="129"/>
    </font>
    <font>
      <b/>
      <sz val="9"/>
      <name val="굴림체"/>
      <family val="3"/>
      <charset val="129"/>
    </font>
    <font>
      <b/>
      <sz val="9"/>
      <color theme="1"/>
      <name val="굴림체"/>
      <family val="3"/>
      <charset val="129"/>
    </font>
    <font>
      <sz val="9"/>
      <name val="굴림체"/>
      <family val="3"/>
      <charset val="129"/>
    </font>
    <font>
      <sz val="11"/>
      <name val="Arial Narrow"/>
      <family val="2"/>
      <charset val="129"/>
    </font>
    <font>
      <strike/>
      <sz val="9"/>
      <name val="굴림체"/>
      <family val="3"/>
      <charset val="129"/>
    </font>
    <font>
      <strike/>
      <sz val="9"/>
      <color rgb="FFFF0000"/>
      <name val="굴림체"/>
      <family val="3"/>
      <charset val="129"/>
    </font>
    <font>
      <sz val="9"/>
      <color indexed="81"/>
      <name val="Tahoma"/>
      <family val="2"/>
    </font>
    <font>
      <sz val="9"/>
      <color indexed="81"/>
      <name val="돋움"/>
      <family val="3"/>
      <charset val="129"/>
    </font>
    <font>
      <sz val="9"/>
      <color theme="1"/>
      <name val="KB금융 본문체 Light"/>
      <family val="3"/>
      <charset val="129"/>
    </font>
    <font>
      <sz val="9"/>
      <name val="KB금융 본문체 Light"/>
      <family val="3"/>
      <charset val="129"/>
    </font>
    <font>
      <sz val="9"/>
      <color rgb="FFFF0000"/>
      <name val="KB금융 본문체 Light"/>
      <family val="3"/>
      <charset val="129"/>
    </font>
    <font>
      <sz val="9"/>
      <color indexed="8"/>
      <name val="맑은 고딕"/>
      <family val="3"/>
      <charset val="129"/>
    </font>
    <font>
      <b/>
      <sz val="9"/>
      <name val="KB금융 본문체 Light"/>
      <family val="3"/>
      <charset val="129"/>
    </font>
    <font>
      <b/>
      <sz val="9"/>
      <color theme="1"/>
      <name val="KB금융 본문체 Light"/>
      <family val="3"/>
      <charset val="129"/>
    </font>
    <font>
      <sz val="9"/>
      <color theme="1"/>
      <name val="KB금융 본문체 Bold"/>
      <family val="3"/>
      <charset val="129"/>
    </font>
    <font>
      <strike/>
      <sz val="9"/>
      <color theme="1"/>
      <name val="KB금융 본문체 Light"/>
      <family val="3"/>
      <charset val="129"/>
    </font>
    <font>
      <strike/>
      <sz val="9"/>
      <name val="KB금융 본문체 Light"/>
      <family val="3"/>
      <charset val="129"/>
    </font>
    <font>
      <b/>
      <sz val="9"/>
      <color theme="1"/>
      <name val="맑은 고딕"/>
      <family val="2"/>
      <charset val="129"/>
      <scheme val="minor"/>
    </font>
    <font>
      <u/>
      <sz val="11"/>
      <color theme="10"/>
      <name val="맑은 고딕"/>
      <family val="2"/>
      <charset val="129"/>
      <scheme val="minor"/>
    </font>
    <font>
      <sz val="9"/>
      <color theme="0"/>
      <name val="굴림체"/>
      <family val="3"/>
      <charset val="129"/>
    </font>
    <font>
      <b/>
      <sz val="9"/>
      <color theme="0"/>
      <name val="굴림체"/>
      <family val="3"/>
      <charset val="129"/>
    </font>
    <font>
      <strike/>
      <sz val="9"/>
      <color theme="1"/>
      <name val="맑은 고딕"/>
      <family val="2"/>
      <charset val="129"/>
      <scheme val="minor"/>
    </font>
    <font>
      <b/>
      <sz val="9"/>
      <color rgb="FF0000FF"/>
      <name val="굴림체"/>
      <family val="3"/>
      <charset val="129"/>
    </font>
    <font>
      <sz val="11"/>
      <name val="맑은 고딕"/>
      <family val="2"/>
      <charset val="129"/>
      <scheme val="minor"/>
    </font>
    <font>
      <b/>
      <sz val="9"/>
      <color rgb="FFFF0000"/>
      <name val="굴림체"/>
      <family val="3"/>
      <charset val="129"/>
    </font>
    <font>
      <b/>
      <sz val="11"/>
      <color theme="1"/>
      <name val="맑은 고딕"/>
      <family val="2"/>
      <charset val="129"/>
      <scheme val="minor"/>
    </font>
    <font>
      <sz val="11"/>
      <name val="맑은 고딕"/>
      <family val="3"/>
      <charset val="129"/>
      <scheme val="major"/>
    </font>
    <font>
      <sz val="11"/>
      <color theme="1"/>
      <name val="맑은 고딕"/>
      <family val="3"/>
      <charset val="129"/>
      <scheme val="major"/>
    </font>
    <font>
      <b/>
      <sz val="11"/>
      <name val="Arial Narrow"/>
      <family val="2"/>
    </font>
    <font>
      <b/>
      <sz val="11"/>
      <name val="가는각진제목체"/>
      <family val="1"/>
      <charset val="129"/>
    </font>
    <font>
      <b/>
      <sz val="11"/>
      <name val="Arial Narrow"/>
      <family val="2"/>
      <charset val="129"/>
    </font>
    <font>
      <b/>
      <sz val="11"/>
      <name val="돋움"/>
      <family val="3"/>
      <charset val="129"/>
    </font>
    <font>
      <strike/>
      <sz val="10"/>
      <name val="KB금융 본문체 Light"/>
      <family val="3"/>
      <charset val="129"/>
    </font>
    <font>
      <strike/>
      <sz val="11"/>
      <color theme="1"/>
      <name val="맑은 고딕"/>
      <family val="2"/>
      <charset val="129"/>
      <scheme val="minor"/>
    </font>
    <font>
      <strike/>
      <sz val="10"/>
      <color theme="1"/>
      <name val="KB금융 본문체 Light"/>
      <family val="3"/>
      <charset val="129"/>
    </font>
    <font>
      <sz val="11"/>
      <name val="굴림체"/>
      <family val="2"/>
      <charset val="129"/>
    </font>
    <font>
      <sz val="9"/>
      <name val="kb"/>
      <family val="3"/>
      <charset val="129"/>
    </font>
    <font>
      <sz val="9"/>
      <color theme="1"/>
      <name val="kb"/>
      <family val="3"/>
      <charset val="129"/>
    </font>
    <font>
      <sz val="9"/>
      <name val="KB금융 본문체 Medium"/>
      <family val="3"/>
      <charset val="129"/>
    </font>
    <font>
      <sz val="9"/>
      <color theme="1"/>
      <name val="KB금융 본문체 Medium"/>
      <family val="3"/>
      <charset val="129"/>
    </font>
    <font>
      <sz val="10"/>
      <color theme="1"/>
      <name val="굴림체"/>
      <family val="3"/>
      <charset val="129"/>
    </font>
  </fonts>
  <fills count="85">
    <fill>
      <patternFill patternType="none"/>
    </fill>
    <fill>
      <patternFill patternType="gray125"/>
    </fill>
    <fill>
      <patternFill patternType="solid">
        <fgColor rgb="FFFFFF00"/>
        <bgColor indexed="64"/>
      </patternFill>
    </fill>
    <fill>
      <patternFill patternType="solid">
        <fgColor rgb="FFD9D9D9"/>
        <bgColor indexed="64"/>
      </patternFill>
    </fill>
    <fill>
      <patternFill patternType="solid">
        <fgColor indexed="5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indexed="2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FF0000"/>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39997558519241921"/>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rgb="FF00B050"/>
        <bgColor indexed="64"/>
      </patternFill>
    </fill>
    <fill>
      <patternFill patternType="solid">
        <fgColor rgb="FFFFFFFF"/>
      </patternFill>
    </fill>
    <fill>
      <patternFill patternType="solid">
        <fgColor theme="0" tint="-0.34998626667073579"/>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DE9D9"/>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FF99"/>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5029">
    <xf numFmtId="0" fontId="0" fillId="0" borderId="0">
      <alignment vertical="center"/>
    </xf>
    <xf numFmtId="0" fontId="3" fillId="0" borderId="0">
      <alignment vertical="center"/>
    </xf>
    <xf numFmtId="0" fontId="4" fillId="0" borderId="0">
      <alignment vertical="center"/>
    </xf>
    <xf numFmtId="0" fontId="11" fillId="0" borderId="0"/>
    <xf numFmtId="0" fontId="3" fillId="0" borderId="0"/>
    <xf numFmtId="0" fontId="14" fillId="0" borderId="0"/>
    <xf numFmtId="0" fontId="3" fillId="0" borderId="0"/>
    <xf numFmtId="0" fontId="3" fillId="0" borderId="0"/>
    <xf numFmtId="0" fontId="14" fillId="0" borderId="0"/>
    <xf numFmtId="0" fontId="1" fillId="0" borderId="0">
      <alignment vertical="center"/>
    </xf>
    <xf numFmtId="0" fontId="3" fillId="0" borderId="0">
      <alignment vertical="center"/>
    </xf>
    <xf numFmtId="0" fontId="30" fillId="0" borderId="0">
      <alignment vertical="center"/>
    </xf>
    <xf numFmtId="0" fontId="30" fillId="0" borderId="0">
      <alignment vertical="center"/>
    </xf>
    <xf numFmtId="0" fontId="31" fillId="0" borderId="0"/>
    <xf numFmtId="0" fontId="3" fillId="0" borderId="0"/>
    <xf numFmtId="0" fontId="32" fillId="0" borderId="0" applyNumberFormat="0" applyFill="0" applyBorder="0" applyAlignment="0" applyProtection="0"/>
    <xf numFmtId="0" fontId="3" fillId="0" borderId="0"/>
    <xf numFmtId="0" fontId="14" fillId="0" borderId="0"/>
    <xf numFmtId="0" fontId="30" fillId="22" borderId="0" applyNumberFormat="0" applyBorder="0" applyAlignment="0" applyProtection="0">
      <alignment vertical="center"/>
    </xf>
    <xf numFmtId="0" fontId="3" fillId="0" borderId="0">
      <alignment vertical="center"/>
    </xf>
    <xf numFmtId="0" fontId="10"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3" fillId="0" borderId="0"/>
    <xf numFmtId="0" fontId="3" fillId="0" borderId="0">
      <alignment vertical="center"/>
    </xf>
    <xf numFmtId="0" fontId="21" fillId="0" borderId="0">
      <alignment vertical="center"/>
    </xf>
    <xf numFmtId="0" fontId="21" fillId="0" borderId="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6" fillId="22" borderId="0" applyNumberFormat="0" applyBorder="0" applyAlignment="0" applyProtection="0">
      <alignment vertical="center"/>
    </xf>
    <xf numFmtId="0" fontId="26"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6"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1" fillId="0" borderId="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 fillId="0" borderId="0" applyNumberFormat="0" applyFill="0" applyBorder="0" applyAlignment="0" applyProtection="0"/>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6"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4" fillId="0" borderId="0"/>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6"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 fillId="0" borderId="0" applyNumberFormat="0" applyFill="0" applyBorder="0" applyAlignment="0" applyProtection="0"/>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26"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26"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26"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0"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26"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4"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26"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26"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3"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26"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26"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1"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26"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5"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26"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26"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40"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4"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40"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28"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40"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40"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36"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40"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0"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41" fillId="0" borderId="0"/>
    <xf numFmtId="38" fontId="42" fillId="0" borderId="0" applyFont="0" applyFill="0" applyBorder="0" applyAlignment="0" applyProtection="0"/>
    <xf numFmtId="177" fontId="34" fillId="0" borderId="0" applyFont="0" applyFill="0" applyBorder="0" applyAlignment="0" applyProtection="0"/>
    <xf numFmtId="178" fontId="42" fillId="0" borderId="0" applyFont="0" applyFill="0" applyBorder="0" applyAlignment="0" applyProtection="0"/>
    <xf numFmtId="179" fontId="34" fillId="0" borderId="0" applyFont="0" applyFill="0" applyBorder="0" applyAlignment="0" applyProtection="0"/>
    <xf numFmtId="38" fontId="43" fillId="47" borderId="0" applyNumberFormat="0" applyBorder="0" applyAlignment="0" applyProtection="0"/>
    <xf numFmtId="0" fontId="44" fillId="0" borderId="0">
      <alignment horizontal="left"/>
    </xf>
    <xf numFmtId="0" fontId="45" fillId="0" borderId="23" applyNumberFormat="0" applyAlignment="0" applyProtection="0">
      <alignment horizontal="left" vertical="center"/>
    </xf>
    <xf numFmtId="0" fontId="45" fillId="0" borderId="8">
      <alignment horizontal="left" vertical="center"/>
    </xf>
    <xf numFmtId="10" fontId="43" fillId="47" borderId="1" applyNumberFormat="0" applyBorder="0" applyAlignment="0" applyProtection="0"/>
    <xf numFmtId="0" fontId="46" fillId="0" borderId="22"/>
    <xf numFmtId="0" fontId="14" fillId="0" borderId="0"/>
    <xf numFmtId="0" fontId="34" fillId="0" borderId="0"/>
    <xf numFmtId="10" fontId="34" fillId="0" borderId="0" applyFont="0" applyFill="0" applyBorder="0" applyAlignment="0" applyProtection="0"/>
    <xf numFmtId="0" fontId="46" fillId="0" borderId="0"/>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40"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1"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40"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5"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40"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40"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40"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8"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7" fillId="18" borderId="13" applyNumberFormat="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50"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49" fillId="15" borderId="0" applyNumberFormat="0" applyBorder="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26"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0" fontId="30" fillId="20" borderId="17" applyNumberFormat="0" applyFont="0" applyAlignment="0" applyProtection="0">
      <alignment vertical="center"/>
    </xf>
    <xf numFmtId="9" fontId="51" fillId="0" borderId="0" applyFont="0" applyFill="0" applyBorder="0" applyAlignment="0" applyProtection="0">
      <alignment vertical="center"/>
    </xf>
    <xf numFmtId="9" fontId="3" fillId="0" borderId="0" applyFont="0" applyFill="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3"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2" fillId="16" borderId="0" applyNumberFormat="0" applyBorder="0" applyAlignment="0" applyProtection="0">
      <alignment vertical="center"/>
    </xf>
    <xf numFmtId="0" fontId="54" fillId="0" borderId="0"/>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57"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0" fontId="38" fillId="19" borderId="16" applyNumberFormat="0" applyAlignment="0" applyProtection="0">
      <alignment vertical="center"/>
    </xf>
    <xf numFmtId="41" fontId="51" fillId="0" borderId="0" applyFont="0" applyFill="0" applyBorder="0" applyAlignment="0" applyProtection="0">
      <alignment vertical="center"/>
    </xf>
    <xf numFmtId="41" fontId="3" fillId="0" borderId="0" applyFont="0" applyFill="0" applyBorder="0" applyAlignment="0" applyProtection="0">
      <alignment vertical="center"/>
    </xf>
    <xf numFmtId="0" fontId="34" fillId="0" borderId="0"/>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9"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58" fillId="0" borderId="15"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0"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36" fillId="0" borderId="18" applyNumberFormat="0" applyFill="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2"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1" fillId="17" borderId="13" applyNumberFormat="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4"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3" fillId="0" borderId="10"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7"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6" fillId="0" borderId="11"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9"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8" fillId="0" borderId="12" applyNumberFormat="0" applyFill="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3"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0" fontId="72" fillId="18" borderId="14" applyNumberFormat="0" applyAlignment="0" applyProtection="0">
      <alignment vertical="center"/>
    </xf>
    <xf numFmtId="180" fontId="34" fillId="0" borderId="0" applyFont="0" applyFill="0" applyProtection="0"/>
    <xf numFmtId="181" fontId="34" fillId="0" borderId="0" applyFont="0" applyFill="0" applyProtection="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1" fillId="0" borderId="0">
      <alignment vertical="center"/>
    </xf>
    <xf numFmtId="0" fontId="74" fillId="0" borderId="0">
      <alignment vertical="center"/>
    </xf>
    <xf numFmtId="0" fontId="21"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9" fillId="0" borderId="0">
      <alignment vertical="center"/>
    </xf>
    <xf numFmtId="0" fontId="26" fillId="0" borderId="0">
      <alignment vertical="center"/>
    </xf>
    <xf numFmtId="0" fontId="3" fillId="0" borderId="0" applyNumberFormat="0" applyFill="0" applyBorder="0" applyAlignment="0" applyProtection="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1" fillId="0" borderId="0">
      <alignment vertical="center"/>
    </xf>
    <xf numFmtId="0" fontId="21" fillId="0" borderId="0">
      <alignment vertical="center"/>
    </xf>
    <xf numFmtId="0" fontId="32" fillId="0" borderId="0" applyNumberFormat="0" applyFill="0" applyBorder="0" applyAlignment="0" applyProtection="0"/>
    <xf numFmtId="0" fontId="75" fillId="0" borderId="0"/>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6" fillId="50" borderId="0" applyNumberFormat="0" applyBorder="0" applyAlignment="0" applyProtection="0">
      <alignment vertical="center"/>
    </xf>
    <xf numFmtId="0" fontId="76" fillId="51" borderId="0" applyNumberFormat="0" applyBorder="0" applyAlignment="0" applyProtection="0">
      <alignment vertical="center"/>
    </xf>
    <xf numFmtId="0" fontId="76" fillId="52" borderId="0" applyNumberFormat="0" applyBorder="0" applyAlignment="0" applyProtection="0">
      <alignment vertical="center"/>
    </xf>
    <xf numFmtId="0" fontId="76" fillId="53" borderId="0" applyNumberFormat="0" applyBorder="0" applyAlignment="0" applyProtection="0">
      <alignment vertical="center"/>
    </xf>
    <xf numFmtId="0" fontId="76" fillId="54" borderId="0" applyNumberFormat="0" applyBorder="0" applyAlignment="0" applyProtection="0">
      <alignment vertical="center"/>
    </xf>
    <xf numFmtId="0" fontId="76" fillId="55" borderId="0" applyNumberFormat="0" applyBorder="0" applyAlignment="0" applyProtection="0">
      <alignment vertical="center"/>
    </xf>
    <xf numFmtId="0" fontId="76" fillId="56" borderId="0" applyNumberFormat="0" applyBorder="0" applyAlignment="0" applyProtection="0">
      <alignment vertical="center"/>
    </xf>
    <xf numFmtId="0" fontId="76" fillId="51" borderId="0" applyNumberFormat="0" applyBorder="0" applyAlignment="0" applyProtection="0">
      <alignment vertical="center"/>
    </xf>
    <xf numFmtId="0" fontId="76" fillId="54" borderId="0" applyNumberFormat="0" applyBorder="0" applyAlignment="0" applyProtection="0">
      <alignment vertical="center"/>
    </xf>
    <xf numFmtId="0" fontId="76" fillId="57" borderId="0" applyNumberFormat="0" applyBorder="0" applyAlignment="0" applyProtection="0">
      <alignment vertical="center"/>
    </xf>
    <xf numFmtId="0" fontId="77" fillId="58" borderId="0" applyNumberFormat="0" applyBorder="0" applyAlignment="0" applyProtection="0">
      <alignment vertical="center"/>
    </xf>
    <xf numFmtId="0" fontId="77" fillId="55" borderId="0" applyNumberFormat="0" applyBorder="0" applyAlignment="0" applyProtection="0">
      <alignment vertical="center"/>
    </xf>
    <xf numFmtId="0" fontId="77" fillId="56" borderId="0" applyNumberFormat="0" applyBorder="0" applyAlignment="0" applyProtection="0">
      <alignment vertical="center"/>
    </xf>
    <xf numFmtId="0" fontId="77" fillId="59" borderId="0" applyNumberFormat="0" applyBorder="0" applyAlignment="0" applyProtection="0">
      <alignment vertical="center"/>
    </xf>
    <xf numFmtId="0" fontId="77" fillId="60" borderId="0" applyNumberFormat="0" applyBorder="0" applyAlignment="0" applyProtection="0">
      <alignment vertical="center"/>
    </xf>
    <xf numFmtId="0" fontId="77" fillId="61" borderId="0" applyNumberFormat="0" applyBorder="0" applyAlignment="0" applyProtection="0">
      <alignment vertical="center"/>
    </xf>
    <xf numFmtId="9" fontId="31" fillId="0" borderId="0" applyFont="0" applyFill="0" applyBorder="0" applyAlignment="0" applyProtection="0"/>
    <xf numFmtId="9" fontId="3" fillId="0" borderId="0" applyFont="0" applyFill="0" applyBorder="0" applyAlignment="0" applyProtection="0">
      <alignment vertical="center"/>
    </xf>
    <xf numFmtId="9" fontId="30" fillId="0" borderId="0" applyFont="0" applyFill="0" applyBorder="0" applyAlignment="0" applyProtection="0">
      <alignment vertical="center"/>
    </xf>
    <xf numFmtId="9" fontId="30" fillId="0" borderId="0" applyFont="0" applyFill="0" applyBorder="0" applyAlignment="0" applyProtection="0">
      <alignment vertical="center"/>
    </xf>
    <xf numFmtId="9" fontId="3" fillId="0" borderId="0" applyFont="0" applyFill="0" applyBorder="0" applyAlignment="0" applyProtection="0">
      <alignment vertical="center"/>
    </xf>
    <xf numFmtId="41" fontId="30" fillId="0" borderId="0" applyFont="0" applyFill="0" applyBorder="0" applyAlignment="0" applyProtection="0">
      <alignment vertical="center"/>
    </xf>
    <xf numFmtId="0" fontId="30" fillId="0" borderId="0">
      <alignment vertical="center"/>
    </xf>
    <xf numFmtId="0" fontId="30" fillId="0" borderId="0">
      <alignment vertical="center"/>
    </xf>
    <xf numFmtId="0" fontId="31" fillId="0" borderId="0"/>
    <xf numFmtId="0" fontId="30" fillId="0" borderId="0">
      <alignment vertical="center"/>
    </xf>
    <xf numFmtId="0" fontId="30" fillId="0" borderId="0">
      <alignment vertical="center"/>
    </xf>
    <xf numFmtId="0" fontId="77" fillId="62" borderId="0" applyNumberFormat="0" applyBorder="0" applyAlignment="0" applyProtection="0">
      <alignment vertical="center"/>
    </xf>
    <xf numFmtId="0" fontId="77" fillId="63" borderId="0" applyNumberFormat="0" applyBorder="0" applyAlignment="0" applyProtection="0">
      <alignment vertical="center"/>
    </xf>
    <xf numFmtId="0" fontId="77" fillId="64" borderId="0" applyNumberFormat="0" applyBorder="0" applyAlignment="0" applyProtection="0">
      <alignment vertical="center"/>
    </xf>
    <xf numFmtId="0" fontId="77" fillId="59" borderId="0" applyNumberFormat="0" applyBorder="0" applyAlignment="0" applyProtection="0">
      <alignment vertical="center"/>
    </xf>
    <xf numFmtId="0" fontId="77" fillId="60" borderId="0" applyNumberFormat="0" applyBorder="0" applyAlignment="0" applyProtection="0">
      <alignment vertical="center"/>
    </xf>
    <xf numFmtId="0" fontId="77" fillId="65" borderId="0" applyNumberFormat="0" applyBorder="0" applyAlignment="0" applyProtection="0">
      <alignment vertical="center"/>
    </xf>
    <xf numFmtId="0" fontId="78" fillId="49" borderId="0" applyNumberFormat="0" applyBorder="0" applyAlignment="0" applyProtection="0">
      <alignment vertical="center"/>
    </xf>
    <xf numFmtId="0" fontId="79" fillId="66" borderId="24" applyNumberFormat="0" applyAlignment="0" applyProtection="0">
      <alignment vertical="center"/>
    </xf>
    <xf numFmtId="0" fontId="80" fillId="67" borderId="25" applyNumberFormat="0" applyAlignment="0" applyProtection="0">
      <alignment vertical="center"/>
    </xf>
    <xf numFmtId="182" fontId="14" fillId="0" borderId="0"/>
    <xf numFmtId="184" fontId="14" fillId="0" borderId="0"/>
    <xf numFmtId="185" fontId="14" fillId="0" borderId="0"/>
    <xf numFmtId="0" fontId="81" fillId="0" borderId="0" applyNumberFormat="0" applyFill="0" applyBorder="0" applyAlignment="0" applyProtection="0">
      <alignment vertical="center"/>
    </xf>
    <xf numFmtId="0" fontId="82" fillId="50" borderId="0" applyNumberFormat="0" applyBorder="0" applyAlignment="0" applyProtection="0">
      <alignment vertical="center"/>
    </xf>
    <xf numFmtId="38" fontId="43" fillId="9" borderId="0" applyNumberFormat="0" applyBorder="0" applyAlignment="0" applyProtection="0"/>
    <xf numFmtId="0" fontId="83" fillId="0" borderId="26" applyNumberFormat="0" applyFill="0" applyAlignment="0" applyProtection="0">
      <alignment vertical="center"/>
    </xf>
    <xf numFmtId="0" fontId="84" fillId="0" borderId="27" applyNumberFormat="0" applyFill="0" applyAlignment="0" applyProtection="0">
      <alignment vertical="center"/>
    </xf>
    <xf numFmtId="0" fontId="85" fillId="0" borderId="28" applyNumberFormat="0" applyFill="0" applyAlignment="0" applyProtection="0">
      <alignment vertical="center"/>
    </xf>
    <xf numFmtId="0" fontId="85" fillId="0" borderId="0" applyNumberFormat="0" applyFill="0" applyBorder="0" applyAlignment="0" applyProtection="0">
      <alignment vertical="center"/>
    </xf>
    <xf numFmtId="0" fontId="86" fillId="53" borderId="24" applyNumberFormat="0" applyAlignment="0" applyProtection="0">
      <alignment vertical="center"/>
    </xf>
    <xf numFmtId="10" fontId="43" fillId="68" borderId="1" applyNumberFormat="0" applyBorder="0" applyAlignment="0" applyProtection="0"/>
    <xf numFmtId="0" fontId="87" fillId="0" borderId="29" applyNumberFormat="0" applyFill="0" applyAlignment="0" applyProtection="0">
      <alignment vertical="center"/>
    </xf>
    <xf numFmtId="0" fontId="88" fillId="69" borderId="0" applyNumberFormat="0" applyBorder="0" applyAlignment="0" applyProtection="0">
      <alignment vertical="center"/>
    </xf>
    <xf numFmtId="183" fontId="14" fillId="0" borderId="0"/>
    <xf numFmtId="0" fontId="3" fillId="70" borderId="30" applyNumberFormat="0" applyFont="0" applyAlignment="0" applyProtection="0">
      <alignment vertical="center"/>
    </xf>
    <xf numFmtId="0" fontId="89" fillId="66" borderId="31" applyNumberFormat="0" applyAlignment="0" applyProtection="0">
      <alignment vertical="center"/>
    </xf>
    <xf numFmtId="0" fontId="14" fillId="0" borderId="0"/>
    <xf numFmtId="0" fontId="90" fillId="0" borderId="0" applyNumberFormat="0" applyFill="0" applyBorder="0" applyAlignment="0" applyProtection="0">
      <alignment vertical="center"/>
    </xf>
    <xf numFmtId="0" fontId="91" fillId="0" borderId="32" applyNumberFormat="0" applyFill="0" applyAlignment="0" applyProtection="0">
      <alignment vertical="center"/>
    </xf>
    <xf numFmtId="0" fontId="92" fillId="0" borderId="0" applyNumberFormat="0" applyFill="0" applyBorder="0" applyAlignment="0" applyProtection="0">
      <alignment vertical="center"/>
    </xf>
    <xf numFmtId="0" fontId="21" fillId="0" borderId="0">
      <alignment vertical="center"/>
    </xf>
    <xf numFmtId="0" fontId="14" fillId="0" borderId="0"/>
    <xf numFmtId="41" fontId="37" fillId="0" borderId="0" applyFont="0" applyFill="0" applyBorder="0" applyAlignment="0" applyProtection="0">
      <alignment vertical="center"/>
    </xf>
    <xf numFmtId="0" fontId="21" fillId="0" borderId="0">
      <alignment vertical="center"/>
    </xf>
    <xf numFmtId="0" fontId="3" fillId="0" borderId="0"/>
    <xf numFmtId="41" fontId="3" fillId="0" borderId="0" applyFont="0" applyFill="0" applyBorder="0" applyAlignment="0" applyProtection="0"/>
    <xf numFmtId="0" fontId="21" fillId="0" borderId="0">
      <alignment vertical="center"/>
    </xf>
    <xf numFmtId="10" fontId="43" fillId="68" borderId="33" applyNumberFormat="0" applyBorder="0" applyAlignment="0" applyProtection="0"/>
    <xf numFmtId="0" fontId="45" fillId="0" borderId="34">
      <alignment horizontal="left" vertical="center"/>
    </xf>
    <xf numFmtId="0" fontId="3" fillId="0" borderId="0"/>
    <xf numFmtId="42" fontId="3" fillId="0" borderId="0" applyFont="0" applyFill="0" applyBorder="0" applyAlignment="0" applyProtection="0"/>
    <xf numFmtId="0" fontId="3" fillId="0" borderId="0"/>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42" fontId="3" fillId="0" borderId="0" applyFont="0" applyFill="0" applyBorder="0" applyAlignment="0" applyProtection="0"/>
    <xf numFmtId="0" fontId="30" fillId="0" borderId="0">
      <alignment vertical="center"/>
    </xf>
    <xf numFmtId="0" fontId="93" fillId="0" borderId="0">
      <alignment vertical="center"/>
    </xf>
    <xf numFmtId="0" fontId="3" fillId="0" borderId="0"/>
    <xf numFmtId="0" fontId="30" fillId="0" borderId="0">
      <alignment vertical="center"/>
    </xf>
    <xf numFmtId="0" fontId="33"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4" fillId="0" borderId="0">
      <alignment vertical="center"/>
    </xf>
    <xf numFmtId="0" fontId="9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21" fillId="0" borderId="0">
      <alignment vertical="center"/>
    </xf>
    <xf numFmtId="0" fontId="3" fillId="0" borderId="0"/>
    <xf numFmtId="0" fontId="3" fillId="0" borderId="0"/>
    <xf numFmtId="0" fontId="3" fillId="0" borderId="0">
      <alignment vertical="center"/>
    </xf>
    <xf numFmtId="0" fontId="1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1" fillId="0" borderId="0">
      <alignment vertical="center"/>
    </xf>
    <xf numFmtId="0" fontId="3" fillId="0" borderId="0"/>
    <xf numFmtId="0" fontId="21" fillId="0" borderId="0">
      <alignment vertical="center"/>
    </xf>
    <xf numFmtId="0" fontId="3" fillId="0" borderId="0"/>
    <xf numFmtId="0" fontId="3" fillId="0" borderId="0"/>
    <xf numFmtId="0" fontId="3" fillId="0" borderId="0"/>
    <xf numFmtId="0" fontId="21" fillId="0" borderId="0">
      <alignment vertical="center"/>
    </xf>
    <xf numFmtId="0" fontId="3" fillId="0" borderId="0"/>
    <xf numFmtId="0" fontId="3" fillId="0" borderId="0">
      <alignment vertical="center"/>
    </xf>
    <xf numFmtId="0" fontId="21" fillId="0" borderId="0">
      <alignment vertical="center"/>
    </xf>
    <xf numFmtId="0" fontId="3" fillId="0" borderId="0">
      <alignment vertical="center"/>
    </xf>
    <xf numFmtId="0" fontId="3" fillId="0" borderId="0"/>
    <xf numFmtId="0" fontId="21" fillId="0" borderId="0">
      <alignment vertical="center"/>
    </xf>
    <xf numFmtId="0" fontId="3" fillId="0" borderId="0">
      <alignment vertical="center"/>
    </xf>
    <xf numFmtId="0" fontId="3" fillId="0" borderId="0"/>
    <xf numFmtId="0" fontId="3" fillId="0" borderId="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alignment vertical="center"/>
    </xf>
    <xf numFmtId="0" fontId="3" fillId="0" borderId="0">
      <alignment vertical="center"/>
    </xf>
    <xf numFmtId="0" fontId="3" fillId="0" borderId="0"/>
    <xf numFmtId="0" fontId="3" fillId="0" borderId="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21" fillId="0" borderId="0">
      <alignment vertical="center"/>
    </xf>
    <xf numFmtId="0" fontId="3" fillId="0" borderId="0"/>
    <xf numFmtId="0" fontId="3" fillId="0" borderId="0"/>
    <xf numFmtId="0" fontId="3" fillId="0" borderId="0">
      <alignment vertical="center"/>
    </xf>
    <xf numFmtId="0" fontId="3" fillId="0" borderId="0">
      <alignment vertical="center"/>
    </xf>
    <xf numFmtId="0" fontId="21" fillId="0" borderId="0">
      <alignment vertical="center"/>
    </xf>
    <xf numFmtId="0" fontId="3" fillId="0" borderId="0"/>
    <xf numFmtId="0" fontId="3" fillId="0" borderId="0"/>
    <xf numFmtId="0" fontId="3" fillId="0" borderId="0">
      <alignment vertical="center"/>
    </xf>
    <xf numFmtId="0" fontId="3" fillId="0" borderId="0"/>
    <xf numFmtId="0" fontId="3" fillId="0" borderId="0"/>
    <xf numFmtId="0" fontId="3" fillId="0" borderId="0">
      <alignment vertical="center"/>
    </xf>
    <xf numFmtId="0" fontId="3" fillId="0" borderId="0"/>
    <xf numFmtId="0" fontId="21" fillId="0" borderId="0">
      <alignment vertical="center"/>
    </xf>
    <xf numFmtId="0" fontId="3" fillId="0" borderId="0">
      <alignment vertical="center"/>
    </xf>
    <xf numFmtId="0" fontId="3" fillId="0" borderId="0">
      <alignment vertical="center"/>
    </xf>
    <xf numFmtId="0" fontId="3" fillId="0" borderId="0">
      <alignment vertical="center"/>
    </xf>
    <xf numFmtId="0" fontId="21" fillId="0" borderId="0">
      <alignment vertical="center"/>
    </xf>
    <xf numFmtId="0" fontId="3" fillId="0" borderId="0">
      <alignment vertical="center"/>
    </xf>
    <xf numFmtId="0" fontId="3" fillId="0" borderId="0"/>
    <xf numFmtId="0" fontId="3" fillId="0" borderId="0">
      <alignment vertical="center"/>
    </xf>
    <xf numFmtId="0" fontId="3" fillId="0" borderId="0">
      <alignment vertical="center"/>
    </xf>
    <xf numFmtId="0" fontId="3" fillId="0" borderId="0"/>
    <xf numFmtId="0" fontId="21" fillId="0" borderId="0">
      <alignment vertical="center"/>
    </xf>
    <xf numFmtId="0" fontId="3" fillId="0" borderId="0"/>
    <xf numFmtId="0" fontId="3" fillId="0" borderId="0"/>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alignment vertical="center"/>
    </xf>
    <xf numFmtId="0" fontId="21" fillId="0" borderId="0">
      <alignment vertical="center"/>
    </xf>
    <xf numFmtId="0" fontId="3" fillId="0" borderId="0"/>
    <xf numFmtId="0" fontId="3" fillId="0" borderId="0"/>
    <xf numFmtId="0" fontId="2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1" fillId="0" borderId="0">
      <alignment vertical="center"/>
    </xf>
    <xf numFmtId="0" fontId="3" fillId="0" borderId="0">
      <alignment vertical="center"/>
    </xf>
    <xf numFmtId="0" fontId="3" fillId="0" borderId="0"/>
    <xf numFmtId="0" fontId="3" fillId="0" borderId="0">
      <alignment vertical="center"/>
    </xf>
    <xf numFmtId="0" fontId="21" fillId="0" borderId="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alignment vertical="center"/>
    </xf>
    <xf numFmtId="0" fontId="3" fillId="0" borderId="0">
      <alignment vertical="center"/>
    </xf>
    <xf numFmtId="0" fontId="21" fillId="0" borderId="0">
      <alignment vertical="center"/>
    </xf>
    <xf numFmtId="0" fontId="3" fillId="0" borderId="0"/>
    <xf numFmtId="0" fontId="3" fillId="0" borderId="0"/>
    <xf numFmtId="0" fontId="3" fillId="0" borderId="0">
      <alignment vertical="center"/>
    </xf>
    <xf numFmtId="0" fontId="3" fillId="0" borderId="0">
      <alignment vertical="center"/>
    </xf>
    <xf numFmtId="0" fontId="21" fillId="0" borderId="0">
      <alignment vertical="center"/>
    </xf>
    <xf numFmtId="0" fontId="3" fillId="0" borderId="0">
      <alignment vertical="center"/>
    </xf>
    <xf numFmtId="0" fontId="3" fillId="0" borderId="0"/>
    <xf numFmtId="0" fontId="3" fillId="0" borderId="0"/>
    <xf numFmtId="0" fontId="3" fillId="0" borderId="0">
      <alignment vertical="center"/>
    </xf>
    <xf numFmtId="0" fontId="21" fillId="0" borderId="0">
      <alignment vertical="center"/>
    </xf>
    <xf numFmtId="0" fontId="3" fillId="0" borderId="0"/>
    <xf numFmtId="0" fontId="3" fillId="0" borderId="0"/>
    <xf numFmtId="0" fontId="3" fillId="0" borderId="0">
      <alignment vertical="center"/>
    </xf>
    <xf numFmtId="0" fontId="3" fillId="0" borderId="0">
      <alignment vertical="center"/>
    </xf>
    <xf numFmtId="0" fontId="3" fillId="0" borderId="0"/>
    <xf numFmtId="0" fontId="3" fillId="0" borderId="0"/>
    <xf numFmtId="0" fontId="34" fillId="0" borderId="0"/>
    <xf numFmtId="0" fontId="4" fillId="0" borderId="0">
      <alignment vertical="center"/>
    </xf>
    <xf numFmtId="0" fontId="21" fillId="0" borderId="0">
      <alignment vertical="center"/>
    </xf>
    <xf numFmtId="0" fontId="4" fillId="0" borderId="0">
      <alignment vertical="center"/>
    </xf>
    <xf numFmtId="0" fontId="95" fillId="0" borderId="0">
      <protection locked="0"/>
    </xf>
    <xf numFmtId="0" fontId="4" fillId="0" borderId="0">
      <alignment vertical="center"/>
    </xf>
    <xf numFmtId="0" fontId="95" fillId="0" borderId="0">
      <protection locked="0"/>
    </xf>
    <xf numFmtId="0" fontId="93" fillId="0" borderId="0">
      <alignment vertical="center"/>
    </xf>
    <xf numFmtId="0" fontId="93" fillId="0" borderId="0">
      <alignment vertical="center"/>
    </xf>
    <xf numFmtId="0" fontId="96" fillId="0" borderId="0">
      <alignment vertical="center"/>
    </xf>
    <xf numFmtId="41" fontId="96" fillId="0" borderId="0" applyFont="0" applyFill="0" applyBorder="0" applyAlignment="0" applyProtection="0">
      <alignment vertical="center"/>
    </xf>
    <xf numFmtId="10" fontId="43" fillId="68" borderId="33" applyNumberFormat="0" applyBorder="0" applyAlignment="0" applyProtection="0"/>
    <xf numFmtId="10" fontId="43" fillId="47" borderId="33" applyNumberFormat="0" applyBorder="0" applyAlignment="0" applyProtection="0"/>
    <xf numFmtId="10" fontId="43" fillId="47" borderId="33" applyNumberFormat="0" applyBorder="0" applyAlignment="0" applyProtection="0"/>
    <xf numFmtId="0" fontId="79" fillId="66" borderId="24" applyNumberFormat="0" applyAlignment="0" applyProtection="0">
      <alignment vertical="center"/>
    </xf>
    <xf numFmtId="0" fontId="86" fillId="53" borderId="24" applyNumberFormat="0" applyAlignment="0" applyProtection="0">
      <alignment vertical="center"/>
    </xf>
    <xf numFmtId="10" fontId="43" fillId="68" borderId="33" applyNumberFormat="0" applyBorder="0" applyAlignment="0" applyProtection="0"/>
    <xf numFmtId="0" fontId="3" fillId="70" borderId="30" applyNumberFormat="0" applyFont="0" applyAlignment="0" applyProtection="0">
      <alignment vertical="center"/>
    </xf>
    <xf numFmtId="0" fontId="89" fillId="66" borderId="31" applyNumberFormat="0" applyAlignment="0" applyProtection="0">
      <alignment vertical="center"/>
    </xf>
    <xf numFmtId="0" fontId="91" fillId="0" borderId="32" applyNumberFormat="0" applyFill="0" applyAlignment="0" applyProtection="0">
      <alignment vertical="center"/>
    </xf>
    <xf numFmtId="41" fontId="1" fillId="0" borderId="0" applyFont="0" applyFill="0" applyBorder="0" applyAlignment="0" applyProtection="0">
      <alignment vertical="center"/>
    </xf>
    <xf numFmtId="0" fontId="89" fillId="66" borderId="48" applyNumberFormat="0" applyAlignment="0" applyProtection="0">
      <alignment vertical="center"/>
    </xf>
    <xf numFmtId="10" fontId="43" fillId="68" borderId="50" applyNumberFormat="0" applyBorder="0" applyAlignment="0" applyProtection="0"/>
    <xf numFmtId="10" fontId="43" fillId="68" borderId="57" applyNumberFormat="0" applyBorder="0" applyAlignment="0" applyProtection="0"/>
    <xf numFmtId="0" fontId="3" fillId="70" borderId="47" applyNumberFormat="0" applyFont="0" applyAlignment="0" applyProtection="0">
      <alignment vertical="center"/>
    </xf>
    <xf numFmtId="0" fontId="79" fillId="66" borderId="89" applyNumberFormat="0" applyAlignment="0" applyProtection="0">
      <alignment vertical="center"/>
    </xf>
    <xf numFmtId="0" fontId="86" fillId="53" borderId="46" applyNumberFormat="0" applyAlignment="0" applyProtection="0">
      <alignment vertical="center"/>
    </xf>
    <xf numFmtId="0" fontId="91" fillId="0" borderId="49" applyNumberFormat="0" applyFill="0" applyAlignment="0" applyProtection="0">
      <alignment vertical="center"/>
    </xf>
    <xf numFmtId="10" fontId="43" fillId="47" borderId="51" applyNumberFormat="0" applyBorder="0" applyAlignment="0" applyProtection="0"/>
    <xf numFmtId="0" fontId="89" fillId="66" borderId="74" applyNumberFormat="0" applyAlignment="0" applyProtection="0">
      <alignment vertical="center"/>
    </xf>
    <xf numFmtId="0" fontId="79" fillId="66" borderId="40" applyNumberFormat="0" applyAlignment="0" applyProtection="0">
      <alignment vertical="center"/>
    </xf>
    <xf numFmtId="0" fontId="86" fillId="53" borderId="40" applyNumberFormat="0" applyAlignment="0" applyProtection="0">
      <alignment vertical="center"/>
    </xf>
    <xf numFmtId="10" fontId="43" fillId="47" borderId="76" applyNumberFormat="0" applyBorder="0" applyAlignment="0" applyProtection="0"/>
    <xf numFmtId="0" fontId="3" fillId="70" borderId="41" applyNumberFormat="0" applyFont="0" applyAlignment="0" applyProtection="0">
      <alignment vertical="center"/>
    </xf>
    <xf numFmtId="10" fontId="43" fillId="47" borderId="64" applyNumberFormat="0" applyBorder="0" applyAlignment="0" applyProtection="0"/>
    <xf numFmtId="0" fontId="91" fillId="0" borderId="43" applyNumberFormat="0" applyFill="0" applyAlignment="0" applyProtection="0">
      <alignment vertical="center"/>
    </xf>
    <xf numFmtId="0" fontId="45" fillId="0" borderId="52">
      <alignment horizontal="left" vertical="center"/>
    </xf>
    <xf numFmtId="0" fontId="89" fillId="66" borderId="42" applyNumberFormat="0" applyAlignment="0" applyProtection="0">
      <alignment vertical="center"/>
    </xf>
    <xf numFmtId="0" fontId="79" fillId="66" borderId="95" applyNumberFormat="0" applyAlignment="0" applyProtection="0">
      <alignment vertical="center"/>
    </xf>
    <xf numFmtId="10" fontId="43" fillId="68" borderId="1" applyNumberFormat="0" applyBorder="0" applyAlignment="0" applyProtection="0"/>
    <xf numFmtId="0" fontId="3" fillId="70" borderId="60" applyNumberFormat="0" applyFont="0" applyAlignment="0" applyProtection="0">
      <alignment vertical="center"/>
    </xf>
    <xf numFmtId="0" fontId="3" fillId="70" borderId="85" applyNumberFormat="0" applyFont="0" applyAlignment="0" applyProtection="0">
      <alignment vertical="center"/>
    </xf>
    <xf numFmtId="0" fontId="89" fillId="66" borderId="61" applyNumberFormat="0" applyAlignment="0" applyProtection="0">
      <alignment vertical="center"/>
    </xf>
    <xf numFmtId="0" fontId="89" fillId="66" borderId="91" applyNumberFormat="0" applyAlignment="0" applyProtection="0">
      <alignment vertical="center"/>
    </xf>
    <xf numFmtId="0" fontId="45" fillId="0" borderId="77">
      <alignment horizontal="left" vertical="center"/>
    </xf>
    <xf numFmtId="0" fontId="86" fillId="53" borderId="89" applyNumberFormat="0" applyAlignment="0" applyProtection="0">
      <alignment vertical="center"/>
    </xf>
    <xf numFmtId="0" fontId="86" fillId="53" borderId="59" applyNumberFormat="0" applyAlignment="0" applyProtection="0">
      <alignment vertical="center"/>
    </xf>
    <xf numFmtId="10" fontId="43" fillId="68" borderId="76" applyNumberFormat="0" applyBorder="0" applyAlignment="0" applyProtection="0"/>
    <xf numFmtId="0" fontId="89" fillId="66" borderId="80" applyNumberFormat="0" applyAlignment="0" applyProtection="0">
      <alignment vertical="center"/>
    </xf>
    <xf numFmtId="0" fontId="86" fillId="53" borderId="78" applyNumberFormat="0" applyAlignment="0" applyProtection="0">
      <alignment vertical="center"/>
    </xf>
    <xf numFmtId="0" fontId="91" fillId="0" borderId="92" applyNumberFormat="0" applyFill="0" applyAlignment="0" applyProtection="0">
      <alignment vertical="center"/>
    </xf>
    <xf numFmtId="0" fontId="45" fillId="0" borderId="45">
      <alignment horizontal="left" vertical="center"/>
    </xf>
    <xf numFmtId="10" fontId="43" fillId="47" borderId="44" applyNumberFormat="0" applyBorder="0" applyAlignment="0" applyProtection="0"/>
    <xf numFmtId="10" fontId="43" fillId="47" borderId="57" applyNumberFormat="0" applyBorder="0" applyAlignment="0" applyProtection="0"/>
    <xf numFmtId="0" fontId="45" fillId="0" borderId="71">
      <alignment horizontal="left" vertical="center"/>
    </xf>
    <xf numFmtId="10" fontId="43" fillId="47" borderId="70" applyNumberFormat="0" applyBorder="0" applyAlignment="0" applyProtection="0"/>
    <xf numFmtId="0" fontId="45" fillId="0" borderId="83">
      <alignment horizontal="left" vertical="center"/>
    </xf>
    <xf numFmtId="10" fontId="43" fillId="47" borderId="82" applyNumberFormat="0" applyBorder="0" applyAlignment="0" applyProtection="0"/>
    <xf numFmtId="0" fontId="45" fillId="0" borderId="94">
      <alignment horizontal="left" vertical="center"/>
    </xf>
    <xf numFmtId="10" fontId="43" fillId="47" borderId="93" applyNumberFormat="0" applyBorder="0" applyAlignment="0" applyProtection="0"/>
    <xf numFmtId="0" fontId="45" fillId="0" borderId="77">
      <alignment horizontal="left" vertical="center"/>
    </xf>
    <xf numFmtId="0" fontId="91" fillId="0" borderId="75" applyNumberFormat="0" applyFill="0" applyAlignment="0" applyProtection="0">
      <alignment vertical="center"/>
    </xf>
    <xf numFmtId="0" fontId="86" fillId="53" borderId="72" applyNumberFormat="0" applyAlignment="0" applyProtection="0">
      <alignment vertical="center"/>
    </xf>
    <xf numFmtId="0" fontId="79" fillId="66" borderId="78" applyNumberFormat="0" applyAlignment="0" applyProtection="0">
      <alignment vertical="center"/>
    </xf>
    <xf numFmtId="0" fontId="3" fillId="70" borderId="79" applyNumberFormat="0" applyFont="0" applyAlignment="0" applyProtection="0">
      <alignment vertical="center"/>
    </xf>
    <xf numFmtId="10" fontId="43" fillId="68" borderId="93" applyNumberFormat="0" applyBorder="0" applyAlignment="0" applyProtection="0"/>
    <xf numFmtId="0" fontId="3" fillId="70" borderId="90" applyNumberFormat="0" applyFont="0" applyAlignment="0" applyProtection="0">
      <alignment vertical="center"/>
    </xf>
    <xf numFmtId="0" fontId="79" fillId="66" borderId="72" applyNumberFormat="0" applyAlignment="0" applyProtection="0">
      <alignment vertical="center"/>
    </xf>
    <xf numFmtId="10" fontId="43" fillId="68" borderId="70" applyNumberFormat="0" applyBorder="0" applyAlignment="0" applyProtection="0"/>
    <xf numFmtId="0" fontId="89" fillId="66" borderId="68" applyNumberFormat="0" applyAlignment="0" applyProtection="0">
      <alignment vertical="center"/>
    </xf>
    <xf numFmtId="0" fontId="3" fillId="70" borderId="67" applyNumberFormat="0" applyFont="0" applyAlignment="0" applyProtection="0">
      <alignment vertical="center"/>
    </xf>
    <xf numFmtId="10" fontId="43" fillId="68" borderId="44" applyNumberFormat="0" applyBorder="0" applyAlignment="0" applyProtection="0"/>
    <xf numFmtId="0" fontId="91" fillId="0" borderId="87" applyNumberFormat="0" applyFill="0" applyAlignment="0" applyProtection="0">
      <alignment vertical="center"/>
    </xf>
    <xf numFmtId="0" fontId="86" fillId="53" borderId="66" applyNumberFormat="0" applyAlignment="0" applyProtection="0">
      <alignment vertical="center"/>
    </xf>
    <xf numFmtId="0" fontId="79" fillId="66" borderId="35" applyNumberFormat="0" applyAlignment="0" applyProtection="0">
      <alignment vertical="center"/>
    </xf>
    <xf numFmtId="0" fontId="86" fillId="53" borderId="35" applyNumberFormat="0" applyAlignment="0" applyProtection="0">
      <alignment vertical="center"/>
    </xf>
    <xf numFmtId="0" fontId="3" fillId="70" borderId="36" applyNumberFormat="0" applyFont="0" applyAlignment="0" applyProtection="0">
      <alignment vertical="center"/>
    </xf>
    <xf numFmtId="0" fontId="89" fillId="66" borderId="37" applyNumberFormat="0" applyAlignment="0" applyProtection="0">
      <alignment vertical="center"/>
    </xf>
    <xf numFmtId="0" fontId="91" fillId="0" borderId="38" applyNumberFormat="0" applyFill="0" applyAlignment="0" applyProtection="0">
      <alignment vertical="center"/>
    </xf>
    <xf numFmtId="0" fontId="79" fillId="66" borderId="46" applyNumberFormat="0" applyAlignment="0" applyProtection="0">
      <alignment vertical="center"/>
    </xf>
    <xf numFmtId="10" fontId="43" fillId="68" borderId="39" applyNumberFormat="0" applyBorder="0" applyAlignment="0" applyProtection="0"/>
    <xf numFmtId="0" fontId="45" fillId="0" borderId="58">
      <alignment horizontal="left" vertical="center"/>
    </xf>
    <xf numFmtId="0" fontId="91" fillId="0" borderId="81" applyNumberFormat="0" applyFill="0" applyAlignment="0" applyProtection="0">
      <alignment vertical="center"/>
    </xf>
    <xf numFmtId="0" fontId="45" fillId="0" borderId="52">
      <alignment horizontal="left" vertical="center"/>
    </xf>
    <xf numFmtId="10" fontId="43" fillId="68" borderId="63" applyNumberFormat="0" applyBorder="0" applyAlignment="0" applyProtection="0"/>
    <xf numFmtId="10" fontId="43" fillId="68" borderId="64" applyNumberFormat="0" applyBorder="0" applyAlignment="0" applyProtection="0"/>
    <xf numFmtId="0" fontId="79" fillId="66" borderId="59" applyNumberFormat="0" applyAlignment="0" applyProtection="0">
      <alignment vertical="center"/>
    </xf>
    <xf numFmtId="0" fontId="3" fillId="70" borderId="73" applyNumberFormat="0" applyFont="0" applyAlignment="0" applyProtection="0">
      <alignment vertical="center"/>
    </xf>
    <xf numFmtId="10" fontId="43" fillId="68" borderId="88" applyNumberFormat="0" applyBorder="0" applyAlignment="0" applyProtection="0"/>
    <xf numFmtId="10" fontId="43" fillId="68" borderId="76" applyNumberFormat="0" applyBorder="0" applyAlignment="0" applyProtection="0"/>
    <xf numFmtId="10" fontId="43" fillId="68" borderId="39" applyNumberFormat="0" applyBorder="0" applyAlignment="0" applyProtection="0"/>
    <xf numFmtId="10" fontId="43" fillId="47" borderId="39" applyNumberFormat="0" applyBorder="0" applyAlignment="0" applyProtection="0"/>
    <xf numFmtId="10" fontId="43" fillId="47" borderId="39" applyNumberFormat="0" applyBorder="0" applyAlignment="0" applyProtection="0"/>
    <xf numFmtId="0" fontId="79" fillId="66" borderId="35" applyNumberFormat="0" applyAlignment="0" applyProtection="0">
      <alignment vertical="center"/>
    </xf>
    <xf numFmtId="0" fontId="86" fillId="53" borderId="35" applyNumberFormat="0" applyAlignment="0" applyProtection="0">
      <alignment vertical="center"/>
    </xf>
    <xf numFmtId="10" fontId="43" fillId="68" borderId="39" applyNumberFormat="0" applyBorder="0" applyAlignment="0" applyProtection="0"/>
    <xf numFmtId="0" fontId="3" fillId="70" borderId="36" applyNumberFormat="0" applyFont="0" applyAlignment="0" applyProtection="0">
      <alignment vertical="center"/>
    </xf>
    <xf numFmtId="0" fontId="89" fillId="66" borderId="37" applyNumberFormat="0" applyAlignment="0" applyProtection="0">
      <alignment vertical="center"/>
    </xf>
    <xf numFmtId="0" fontId="91" fillId="0" borderId="38" applyNumberFormat="0" applyFill="0" applyAlignment="0" applyProtection="0">
      <alignment vertical="center"/>
    </xf>
    <xf numFmtId="0" fontId="89" fillId="66" borderId="55" applyNumberFormat="0" applyAlignment="0" applyProtection="0">
      <alignment vertical="center"/>
    </xf>
    <xf numFmtId="0" fontId="91" fillId="0" borderId="56" applyNumberFormat="0" applyFill="0" applyAlignment="0" applyProtection="0">
      <alignment vertical="center"/>
    </xf>
    <xf numFmtId="0" fontId="91" fillId="0" borderId="69" applyNumberFormat="0" applyFill="0" applyAlignment="0" applyProtection="0">
      <alignment vertical="center"/>
    </xf>
    <xf numFmtId="0" fontId="86" fillId="53" borderId="53" applyNumberFormat="0" applyAlignment="0" applyProtection="0">
      <alignment vertical="center"/>
    </xf>
    <xf numFmtId="0" fontId="79" fillId="66" borderId="53" applyNumberFormat="0" applyAlignment="0" applyProtection="0">
      <alignment vertical="center"/>
    </xf>
    <xf numFmtId="10" fontId="43" fillId="68" borderId="51" applyNumberFormat="0" applyBorder="0" applyAlignment="0" applyProtection="0"/>
    <xf numFmtId="0" fontId="3" fillId="70" borderId="54" applyNumberFormat="0" applyFont="0" applyAlignment="0" applyProtection="0">
      <alignment vertical="center"/>
    </xf>
    <xf numFmtId="0" fontId="45" fillId="0" borderId="65">
      <alignment horizontal="left" vertical="center"/>
    </xf>
    <xf numFmtId="10" fontId="43" fillId="68" borderId="51" applyNumberFormat="0" applyBorder="0" applyAlignment="0" applyProtection="0"/>
    <xf numFmtId="0" fontId="79" fillId="66" borderId="66" applyNumberFormat="0" applyAlignment="0" applyProtection="0">
      <alignment vertical="center"/>
    </xf>
    <xf numFmtId="10" fontId="43" fillId="68" borderId="1" applyNumberFormat="0" applyBorder="0" applyAlignment="0" applyProtection="0"/>
    <xf numFmtId="10" fontId="43" fillId="47" borderId="1" applyNumberFormat="0" applyBorder="0" applyAlignment="0" applyProtection="0"/>
    <xf numFmtId="10" fontId="43" fillId="47" borderId="1" applyNumberFormat="0" applyBorder="0" applyAlignment="0" applyProtection="0"/>
    <xf numFmtId="0" fontId="79" fillId="66" borderId="40" applyNumberFormat="0" applyAlignment="0" applyProtection="0">
      <alignment vertical="center"/>
    </xf>
    <xf numFmtId="0" fontId="86" fillId="53" borderId="40" applyNumberFormat="0" applyAlignment="0" applyProtection="0">
      <alignment vertical="center"/>
    </xf>
    <xf numFmtId="10" fontId="43" fillId="68" borderId="1" applyNumberFormat="0" applyBorder="0" applyAlignment="0" applyProtection="0"/>
    <xf numFmtId="0" fontId="3" fillId="70" borderId="41" applyNumberFormat="0" applyFont="0" applyAlignment="0" applyProtection="0">
      <alignment vertical="center"/>
    </xf>
    <xf numFmtId="0" fontId="89" fillId="66" borderId="42" applyNumberFormat="0" applyAlignment="0" applyProtection="0">
      <alignment vertical="center"/>
    </xf>
    <xf numFmtId="0" fontId="91" fillId="0" borderId="43" applyNumberFormat="0" applyFill="0" applyAlignment="0" applyProtection="0">
      <alignment vertical="center"/>
    </xf>
    <xf numFmtId="0" fontId="91" fillId="0" borderId="62" applyNumberFormat="0" applyFill="0" applyAlignment="0" applyProtection="0">
      <alignment vertical="center"/>
    </xf>
    <xf numFmtId="10" fontId="43" fillId="68" borderId="50" applyNumberFormat="0" applyBorder="0" applyAlignment="0" applyProtection="0"/>
    <xf numFmtId="10" fontId="43" fillId="47" borderId="50" applyNumberFormat="0" applyBorder="0" applyAlignment="0" applyProtection="0"/>
    <xf numFmtId="10" fontId="43" fillId="47" borderId="50" applyNumberFormat="0" applyBorder="0" applyAlignment="0" applyProtection="0"/>
    <xf numFmtId="0" fontId="79" fillId="66" borderId="46" applyNumberFormat="0" applyAlignment="0" applyProtection="0">
      <alignment vertical="center"/>
    </xf>
    <xf numFmtId="0" fontId="86" fillId="53" borderId="46" applyNumberFormat="0" applyAlignment="0" applyProtection="0">
      <alignment vertical="center"/>
    </xf>
    <xf numFmtId="10" fontId="43" fillId="68" borderId="50" applyNumberFormat="0" applyBorder="0" applyAlignment="0" applyProtection="0"/>
    <xf numFmtId="0" fontId="3" fillId="70" borderId="47" applyNumberFormat="0" applyFont="0" applyAlignment="0" applyProtection="0">
      <alignment vertical="center"/>
    </xf>
    <xf numFmtId="0" fontId="89" fillId="66" borderId="48" applyNumberFormat="0" applyAlignment="0" applyProtection="0">
      <alignment vertical="center"/>
    </xf>
    <xf numFmtId="0" fontId="91" fillId="0" borderId="49" applyNumberFormat="0" applyFill="0" applyAlignment="0" applyProtection="0">
      <alignment vertical="center"/>
    </xf>
    <xf numFmtId="10" fontId="43" fillId="68" borderId="51" applyNumberFormat="0" applyBorder="0" applyAlignment="0" applyProtection="0"/>
    <xf numFmtId="10" fontId="43" fillId="47" borderId="51" applyNumberFormat="0" applyBorder="0" applyAlignment="0" applyProtection="0"/>
    <xf numFmtId="10" fontId="43" fillId="47" borderId="51" applyNumberFormat="0" applyBorder="0" applyAlignment="0" applyProtection="0"/>
    <xf numFmtId="0" fontId="79" fillId="66" borderId="53" applyNumberFormat="0" applyAlignment="0" applyProtection="0">
      <alignment vertical="center"/>
    </xf>
    <xf numFmtId="0" fontId="86" fillId="53" borderId="53" applyNumberFormat="0" applyAlignment="0" applyProtection="0">
      <alignment vertical="center"/>
    </xf>
    <xf numFmtId="10" fontId="43" fillId="68" borderId="51" applyNumberFormat="0" applyBorder="0" applyAlignment="0" applyProtection="0"/>
    <xf numFmtId="0" fontId="3" fillId="70" borderId="54" applyNumberFormat="0" applyFont="0" applyAlignment="0" applyProtection="0">
      <alignment vertical="center"/>
    </xf>
    <xf numFmtId="0" fontId="89" fillId="66" borderId="55" applyNumberFormat="0" applyAlignment="0" applyProtection="0">
      <alignment vertical="center"/>
    </xf>
    <xf numFmtId="0" fontId="91" fillId="0" borderId="56" applyNumberFormat="0" applyFill="0" applyAlignment="0" applyProtection="0">
      <alignment vertical="center"/>
    </xf>
    <xf numFmtId="10" fontId="43" fillId="68" borderId="63" applyNumberFormat="0" applyBorder="0" applyAlignment="0" applyProtection="0"/>
    <xf numFmtId="10" fontId="43" fillId="47" borderId="63" applyNumberFormat="0" applyBorder="0" applyAlignment="0" applyProtection="0"/>
    <xf numFmtId="10" fontId="43" fillId="47" borderId="63" applyNumberFormat="0" applyBorder="0" applyAlignment="0" applyProtection="0"/>
    <xf numFmtId="0" fontId="79" fillId="66" borderId="59" applyNumberFormat="0" applyAlignment="0" applyProtection="0">
      <alignment vertical="center"/>
    </xf>
    <xf numFmtId="0" fontId="86" fillId="53" borderId="59" applyNumberFormat="0" applyAlignment="0" applyProtection="0">
      <alignment vertical="center"/>
    </xf>
    <xf numFmtId="10" fontId="43" fillId="68" borderId="63" applyNumberFormat="0" applyBorder="0" applyAlignment="0" applyProtection="0"/>
    <xf numFmtId="0" fontId="3" fillId="70" borderId="60" applyNumberFormat="0" applyFont="0" applyAlignment="0" applyProtection="0">
      <alignment vertical="center"/>
    </xf>
    <xf numFmtId="0" fontId="89" fillId="66" borderId="61" applyNumberFormat="0" applyAlignment="0" applyProtection="0">
      <alignment vertical="center"/>
    </xf>
    <xf numFmtId="0" fontId="91" fillId="0" borderId="62" applyNumberFormat="0" applyFill="0" applyAlignment="0" applyProtection="0">
      <alignment vertical="center"/>
    </xf>
    <xf numFmtId="0" fontId="79" fillId="66" borderId="66" applyNumberFormat="0" applyAlignment="0" applyProtection="0">
      <alignment vertical="center"/>
    </xf>
    <xf numFmtId="0" fontId="86" fillId="53" borderId="66" applyNumberFormat="0" applyAlignment="0" applyProtection="0">
      <alignment vertical="center"/>
    </xf>
    <xf numFmtId="0" fontId="3" fillId="70" borderId="67" applyNumberFormat="0" applyFont="0" applyAlignment="0" applyProtection="0">
      <alignment vertical="center"/>
    </xf>
    <xf numFmtId="0" fontId="89" fillId="66" borderId="68" applyNumberFormat="0" applyAlignment="0" applyProtection="0">
      <alignment vertical="center"/>
    </xf>
    <xf numFmtId="0" fontId="91" fillId="0" borderId="69" applyNumberFormat="0" applyFill="0" applyAlignment="0" applyProtection="0">
      <alignment vertical="center"/>
    </xf>
    <xf numFmtId="0" fontId="86" fillId="53" borderId="84" applyNumberFormat="0" applyAlignment="0" applyProtection="0">
      <alignment vertical="center"/>
    </xf>
    <xf numFmtId="10" fontId="43" fillId="68" borderId="82" applyNumberFormat="0" applyBorder="0" applyAlignment="0" applyProtection="0"/>
    <xf numFmtId="0" fontId="89" fillId="66" borderId="86" applyNumberFormat="0" applyAlignment="0" applyProtection="0">
      <alignment vertical="center"/>
    </xf>
    <xf numFmtId="0" fontId="86" fillId="53" borderId="95" applyNumberFormat="0" applyAlignment="0" applyProtection="0">
      <alignment vertical="center"/>
    </xf>
    <xf numFmtId="0" fontId="79" fillId="66" borderId="84" applyNumberFormat="0" applyAlignment="0" applyProtection="0">
      <alignment vertical="center"/>
    </xf>
    <xf numFmtId="0" fontId="79" fillId="66" borderId="72" applyNumberFormat="0" applyAlignment="0" applyProtection="0">
      <alignment vertical="center"/>
    </xf>
    <xf numFmtId="0" fontId="86" fillId="53" borderId="72" applyNumberFormat="0" applyAlignment="0" applyProtection="0">
      <alignment vertical="center"/>
    </xf>
    <xf numFmtId="0" fontId="3" fillId="70" borderId="73" applyNumberFormat="0" applyFont="0" applyAlignment="0" applyProtection="0">
      <alignment vertical="center"/>
    </xf>
    <xf numFmtId="0" fontId="89" fillId="66" borderId="74" applyNumberFormat="0" applyAlignment="0" applyProtection="0">
      <alignment vertical="center"/>
    </xf>
    <xf numFmtId="0" fontId="91" fillId="0" borderId="75" applyNumberFormat="0" applyFill="0" applyAlignment="0" applyProtection="0">
      <alignment vertical="center"/>
    </xf>
    <xf numFmtId="10" fontId="43" fillId="68" borderId="76" applyNumberFormat="0" applyBorder="0" applyAlignment="0" applyProtection="0"/>
    <xf numFmtId="10" fontId="43" fillId="47" borderId="76" applyNumberFormat="0" applyBorder="0" applyAlignment="0" applyProtection="0"/>
    <xf numFmtId="10" fontId="43" fillId="47" borderId="76" applyNumberFormat="0" applyBorder="0" applyAlignment="0" applyProtection="0"/>
    <xf numFmtId="0" fontId="79" fillId="66" borderId="78" applyNumberFormat="0" applyAlignment="0" applyProtection="0">
      <alignment vertical="center"/>
    </xf>
    <xf numFmtId="0" fontId="86" fillId="53" borderId="78" applyNumberFormat="0" applyAlignment="0" applyProtection="0">
      <alignment vertical="center"/>
    </xf>
    <xf numFmtId="10" fontId="43" fillId="68" borderId="76" applyNumberFormat="0" applyBorder="0" applyAlignment="0" applyProtection="0"/>
    <xf numFmtId="0" fontId="3" fillId="70" borderId="79" applyNumberFormat="0" applyFont="0" applyAlignment="0" applyProtection="0">
      <alignment vertical="center"/>
    </xf>
    <xf numFmtId="0" fontId="89" fillId="66" borderId="80" applyNumberFormat="0" applyAlignment="0" applyProtection="0">
      <alignment vertical="center"/>
    </xf>
    <xf numFmtId="0" fontId="91" fillId="0" borderId="81" applyNumberFormat="0" applyFill="0" applyAlignment="0" applyProtection="0">
      <alignment vertical="center"/>
    </xf>
    <xf numFmtId="10" fontId="43" fillId="68" borderId="93" applyNumberFormat="0" applyBorder="0" applyAlignment="0" applyProtection="0"/>
    <xf numFmtId="0" fontId="91" fillId="0" borderId="98" applyNumberFormat="0" applyFill="0" applyAlignment="0" applyProtection="0">
      <alignment vertical="center"/>
    </xf>
    <xf numFmtId="0" fontId="3" fillId="70" borderId="96" applyNumberFormat="0" applyFont="0" applyAlignment="0" applyProtection="0">
      <alignment vertical="center"/>
    </xf>
    <xf numFmtId="0" fontId="89" fillId="66" borderId="97" applyNumberFormat="0" applyAlignment="0" applyProtection="0">
      <alignment vertical="center"/>
    </xf>
    <xf numFmtId="10" fontId="43" fillId="68" borderId="88" applyNumberFormat="0" applyBorder="0" applyAlignment="0" applyProtection="0"/>
    <xf numFmtId="10" fontId="43" fillId="47" borderId="88" applyNumberFormat="0" applyBorder="0" applyAlignment="0" applyProtection="0"/>
    <xf numFmtId="10" fontId="43" fillId="47" borderId="88" applyNumberFormat="0" applyBorder="0" applyAlignment="0" applyProtection="0"/>
    <xf numFmtId="0" fontId="79" fillId="66" borderId="84" applyNumberFormat="0" applyAlignment="0" applyProtection="0">
      <alignment vertical="center"/>
    </xf>
    <xf numFmtId="0" fontId="86" fillId="53" borderId="84" applyNumberFormat="0" applyAlignment="0" applyProtection="0">
      <alignment vertical="center"/>
    </xf>
    <xf numFmtId="10" fontId="43" fillId="68" borderId="88" applyNumberFormat="0" applyBorder="0" applyAlignment="0" applyProtection="0"/>
    <xf numFmtId="0" fontId="3" fillId="70" borderId="85" applyNumberFormat="0" applyFont="0" applyAlignment="0" applyProtection="0">
      <alignment vertical="center"/>
    </xf>
    <xf numFmtId="0" fontId="89" fillId="66" borderId="86" applyNumberFormat="0" applyAlignment="0" applyProtection="0">
      <alignment vertical="center"/>
    </xf>
    <xf numFmtId="0" fontId="91" fillId="0" borderId="87" applyNumberFormat="0" applyFill="0" applyAlignment="0" applyProtection="0">
      <alignment vertical="center"/>
    </xf>
    <xf numFmtId="0" fontId="79" fillId="66" borderId="89" applyNumberFormat="0" applyAlignment="0" applyProtection="0">
      <alignment vertical="center"/>
    </xf>
    <xf numFmtId="0" fontId="86" fillId="53" borderId="89" applyNumberFormat="0" applyAlignment="0" applyProtection="0">
      <alignment vertical="center"/>
    </xf>
    <xf numFmtId="0" fontId="3" fillId="70" borderId="90" applyNumberFormat="0" applyFont="0" applyAlignment="0" applyProtection="0">
      <alignment vertical="center"/>
    </xf>
    <xf numFmtId="0" fontId="89" fillId="66" borderId="91" applyNumberFormat="0" applyAlignment="0" applyProtection="0">
      <alignment vertical="center"/>
    </xf>
    <xf numFmtId="0" fontId="91" fillId="0" borderId="92" applyNumberFormat="0" applyFill="0" applyAlignment="0" applyProtection="0">
      <alignment vertical="center"/>
    </xf>
    <xf numFmtId="10" fontId="43" fillId="68" borderId="93" applyNumberFormat="0" applyBorder="0" applyAlignment="0" applyProtection="0"/>
    <xf numFmtId="10" fontId="43" fillId="47" borderId="93" applyNumberFormat="0" applyBorder="0" applyAlignment="0" applyProtection="0"/>
    <xf numFmtId="10" fontId="43" fillId="47" borderId="93" applyNumberFormat="0" applyBorder="0" applyAlignment="0" applyProtection="0"/>
    <xf numFmtId="0" fontId="79" fillId="66" borderId="95" applyNumberFormat="0" applyAlignment="0" applyProtection="0">
      <alignment vertical="center"/>
    </xf>
    <xf numFmtId="0" fontId="86" fillId="53" borderId="95" applyNumberFormat="0" applyAlignment="0" applyProtection="0">
      <alignment vertical="center"/>
    </xf>
    <xf numFmtId="10" fontId="43" fillId="68" borderId="93" applyNumberFormat="0" applyBorder="0" applyAlignment="0" applyProtection="0"/>
    <xf numFmtId="0" fontId="3" fillId="70" borderId="96" applyNumberFormat="0" applyFont="0" applyAlignment="0" applyProtection="0">
      <alignment vertical="center"/>
    </xf>
    <xf numFmtId="0" fontId="89" fillId="66" borderId="97" applyNumberFormat="0" applyAlignment="0" applyProtection="0">
      <alignment vertical="center"/>
    </xf>
    <xf numFmtId="0" fontId="91" fillId="0" borderId="98" applyNumberFormat="0" applyFill="0" applyAlignment="0" applyProtection="0">
      <alignment vertical="center"/>
    </xf>
    <xf numFmtId="0" fontId="120" fillId="0" borderId="0" applyNumberFormat="0" applyFill="0" applyBorder="0" applyAlignment="0" applyProtection="0">
      <alignment vertical="center"/>
    </xf>
    <xf numFmtId="0" fontId="3" fillId="0" borderId="0">
      <alignment vertical="center"/>
    </xf>
  </cellStyleXfs>
  <cellXfs count="786">
    <xf numFmtId="0" fontId="0" fillId="0" borderId="0" xfId="0">
      <alignment vertical="center"/>
    </xf>
    <xf numFmtId="0" fontId="6" fillId="0" borderId="1" xfId="0" applyFont="1" applyBorder="1">
      <alignment vertical="center"/>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8" fillId="0" borderId="1" xfId="0" applyFont="1" applyFill="1" applyBorder="1" applyAlignment="1">
      <alignment vertical="center"/>
    </xf>
    <xf numFmtId="0" fontId="7" fillId="4" borderId="1" xfId="0" applyFont="1" applyFill="1" applyBorder="1" applyAlignment="1">
      <alignment horizontal="center" vertical="center" wrapText="1"/>
    </xf>
    <xf numFmtId="0" fontId="7" fillId="4" borderId="1" xfId="0" applyNumberFormat="1" applyFont="1" applyFill="1" applyBorder="1" applyAlignment="1">
      <alignment horizontal="center" vertical="center"/>
    </xf>
    <xf numFmtId="0" fontId="9" fillId="4" borderId="1" xfId="0" applyFont="1" applyFill="1" applyBorder="1" applyAlignment="1">
      <alignment horizontal="center" vertical="center" wrapText="1"/>
    </xf>
    <xf numFmtId="0" fontId="6" fillId="0" borderId="0" xfId="0" applyFont="1">
      <alignment vertical="center"/>
    </xf>
    <xf numFmtId="0" fontId="12" fillId="2" borderId="1" xfId="0" applyFont="1" applyFill="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alignment horizontal="left" vertical="center"/>
    </xf>
    <xf numFmtId="0" fontId="8" fillId="3" borderId="1" xfId="0" applyFont="1" applyFill="1" applyBorder="1" applyAlignment="1">
      <alignment horizontal="center" vertical="center"/>
    </xf>
    <xf numFmtId="0" fontId="13" fillId="0" borderId="1" xfId="0" applyFont="1" applyBorder="1" applyAlignment="1">
      <alignment horizontal="left" vertical="center" wrapText="1"/>
    </xf>
    <xf numFmtId="0" fontId="5" fillId="0" borderId="1" xfId="0" applyFont="1" applyFill="1" applyBorder="1">
      <alignment vertical="center"/>
    </xf>
    <xf numFmtId="0" fontId="5" fillId="0" borderId="1" xfId="0" applyFont="1" applyFill="1" applyBorder="1" applyAlignment="1">
      <alignment horizontal="left" vertical="center"/>
    </xf>
    <xf numFmtId="0" fontId="7" fillId="4" borderId="1" xfId="0" applyFont="1" applyFill="1" applyBorder="1" applyAlignment="1">
      <alignment horizontal="center" vertical="center"/>
    </xf>
    <xf numFmtId="0" fontId="5" fillId="0" borderId="1" xfId="0" applyNumberFormat="1" applyFont="1" applyFill="1" applyBorder="1" applyAlignment="1">
      <alignment vertical="center" wrapText="1"/>
    </xf>
    <xf numFmtId="0" fontId="5" fillId="0" borderId="1" xfId="0" applyFont="1" applyFill="1" applyBorder="1" applyAlignment="1">
      <alignment vertical="center" wrapText="1"/>
    </xf>
    <xf numFmtId="176" fontId="5" fillId="0" borderId="1" xfId="0" applyNumberFormat="1" applyFont="1" applyFill="1" applyBorder="1" applyAlignment="1">
      <alignment horizontal="center" vertical="center" wrapText="1"/>
    </xf>
    <xf numFmtId="0" fontId="6" fillId="0" borderId="1" xfId="0" applyFont="1" applyFill="1" applyBorder="1">
      <alignment vertical="center"/>
    </xf>
    <xf numFmtId="0" fontId="5" fillId="0" borderId="1" xfId="0" applyFont="1" applyFill="1" applyBorder="1" applyAlignment="1">
      <alignment horizontal="left" vertical="center" wrapText="1"/>
    </xf>
    <xf numFmtId="0" fontId="7" fillId="5"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0" xfId="0" applyFont="1" applyFill="1">
      <alignment vertical="center"/>
    </xf>
    <xf numFmtId="0" fontId="6" fillId="0" borderId="0" xfId="0" applyFont="1" applyFill="1" applyAlignment="1">
      <alignment horizontal="center" vertical="center"/>
    </xf>
    <xf numFmtId="0" fontId="7" fillId="6" borderId="1" xfId="0" applyFont="1" applyFill="1" applyBorder="1" applyAlignment="1">
      <alignment horizontal="left" vertical="center"/>
    </xf>
    <xf numFmtId="0" fontId="15" fillId="6" borderId="1" xfId="0" applyFont="1" applyFill="1" applyBorder="1">
      <alignment vertical="center"/>
    </xf>
    <xf numFmtId="0" fontId="15" fillId="6" borderId="1" xfId="0" applyFont="1" applyFill="1" applyBorder="1" applyAlignment="1">
      <alignment horizontal="center" vertical="center"/>
    </xf>
    <xf numFmtId="0" fontId="15" fillId="0" borderId="0" xfId="0" applyFont="1" applyFill="1">
      <alignment vertical="center"/>
    </xf>
    <xf numFmtId="0" fontId="6" fillId="0" borderId="6" xfId="0" applyFont="1" applyFill="1" applyBorder="1">
      <alignment vertical="center"/>
    </xf>
    <xf numFmtId="0" fontId="6" fillId="0" borderId="6" xfId="0" applyFont="1" applyFill="1" applyBorder="1" applyAlignment="1">
      <alignment horizontal="center" vertical="center"/>
    </xf>
    <xf numFmtId="0" fontId="6" fillId="0" borderId="5" xfId="0" applyFont="1" applyFill="1" applyBorder="1">
      <alignment vertical="center"/>
    </xf>
    <xf numFmtId="0" fontId="6" fillId="0" borderId="5" xfId="0" applyFont="1" applyFill="1" applyBorder="1" applyAlignment="1">
      <alignment vertic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14" fontId="6" fillId="0" borderId="1" xfId="0" applyNumberFormat="1" applyFont="1" applyFill="1" applyBorder="1" applyAlignment="1">
      <alignment horizontal="center" vertical="center"/>
    </xf>
    <xf numFmtId="0" fontId="7" fillId="4" borderId="1" xfId="0" applyFont="1" applyFill="1" applyBorder="1" applyAlignment="1">
      <alignment vertical="center"/>
    </xf>
    <xf numFmtId="0" fontId="9" fillId="4" borderId="1" xfId="0" applyFont="1" applyFill="1" applyBorder="1" applyAlignment="1">
      <alignment vertical="center"/>
    </xf>
    <xf numFmtId="0" fontId="7" fillId="7" borderId="1" xfId="0" applyFont="1" applyFill="1" applyBorder="1" applyAlignment="1">
      <alignment vertical="center"/>
    </xf>
    <xf numFmtId="0" fontId="9"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xf>
    <xf numFmtId="0" fontId="7" fillId="0" borderId="1" xfId="0" applyFont="1" applyFill="1" applyBorder="1" applyAlignment="1">
      <alignment vertical="center"/>
    </xf>
    <xf numFmtId="0" fontId="8" fillId="0" borderId="1" xfId="0" applyFont="1" applyFill="1" applyBorder="1" applyAlignment="1">
      <alignment vertical="center" wrapText="1"/>
    </xf>
    <xf numFmtId="0" fontId="5" fillId="8" borderId="1" xfId="0" applyFont="1" applyFill="1" applyBorder="1" applyAlignment="1">
      <alignment horizontal="center" vertical="center"/>
    </xf>
    <xf numFmtId="0" fontId="5" fillId="8" borderId="1" xfId="0" applyFont="1" applyFill="1" applyBorder="1" applyAlignment="1">
      <alignment vertical="center"/>
    </xf>
    <xf numFmtId="0" fontId="8" fillId="8" borderId="1" xfId="0" applyFont="1" applyFill="1" applyBorder="1" applyAlignment="1">
      <alignment vertical="center"/>
    </xf>
    <xf numFmtId="176" fontId="5" fillId="8" borderId="1" xfId="0" applyNumberFormat="1" applyFont="1" applyFill="1" applyBorder="1" applyAlignment="1">
      <alignment vertical="center"/>
    </xf>
    <xf numFmtId="176" fontId="5" fillId="8" borderId="1" xfId="0" applyNumberFormat="1" applyFont="1" applyFill="1" applyBorder="1" applyAlignment="1">
      <alignment horizontal="center" vertical="center"/>
    </xf>
    <xf numFmtId="0" fontId="5" fillId="8" borderId="1" xfId="0" applyNumberFormat="1" applyFont="1" applyFill="1" applyBorder="1" applyAlignment="1">
      <alignment horizontal="center" vertical="center" wrapText="1"/>
    </xf>
    <xf numFmtId="0" fontId="5" fillId="8" borderId="1" xfId="0" applyNumberFormat="1" applyFont="1" applyFill="1" applyBorder="1" applyAlignment="1">
      <alignment vertical="center" wrapText="1"/>
    </xf>
    <xf numFmtId="0" fontId="13" fillId="0" borderId="1" xfId="0" applyFont="1" applyBorder="1" applyAlignment="1">
      <alignment horizontal="center" vertical="center"/>
    </xf>
    <xf numFmtId="0" fontId="7" fillId="9" borderId="1" xfId="1" applyFont="1" applyFill="1" applyBorder="1" applyAlignment="1">
      <alignment horizontal="center" vertical="center"/>
    </xf>
    <xf numFmtId="0" fontId="15" fillId="12" borderId="2" xfId="0" applyFont="1" applyFill="1" applyBorder="1" applyAlignment="1">
      <alignment horizontal="center" vertical="center" shrinkToFit="1"/>
    </xf>
    <xf numFmtId="0" fontId="6" fillId="0" borderId="1" xfId="0" applyFont="1" applyFill="1" applyBorder="1" applyAlignment="1">
      <alignment horizontal="center" vertical="center" shrinkToFit="1"/>
    </xf>
    <xf numFmtId="0" fontId="6" fillId="13" borderId="1" xfId="0" applyFont="1" applyFill="1" applyBorder="1" applyAlignment="1">
      <alignment horizontal="center" vertical="center" shrinkToFit="1"/>
    </xf>
    <xf numFmtId="0" fontId="6" fillId="0" borderId="1" xfId="0" applyFont="1" applyFill="1" applyBorder="1" applyAlignment="1">
      <alignment vertical="center" shrinkToFit="1"/>
    </xf>
    <xf numFmtId="0" fontId="8" fillId="2" borderId="1" xfId="0" applyFont="1" applyFill="1" applyBorder="1" applyAlignment="1">
      <alignment horizontal="center" vertical="center" shrinkToFit="1"/>
    </xf>
    <xf numFmtId="0" fontId="9" fillId="2" borderId="1" xfId="0" applyFont="1" applyFill="1" applyBorder="1" applyAlignment="1">
      <alignment horizontal="center" vertical="center" shrinkToFit="1"/>
    </xf>
    <xf numFmtId="0" fontId="9" fillId="2" borderId="1" xfId="0" applyFont="1" applyFill="1" applyBorder="1" applyAlignment="1">
      <alignment vertical="center" shrinkToFit="1"/>
    </xf>
    <xf numFmtId="0" fontId="15" fillId="0" borderId="0" xfId="0" applyFont="1" applyAlignment="1">
      <alignment horizontal="center" vertical="center"/>
    </xf>
    <xf numFmtId="0" fontId="6" fillId="0" borderId="1" xfId="0" quotePrefix="1" applyFont="1" applyBorder="1">
      <alignment vertical="center"/>
    </xf>
    <xf numFmtId="0" fontId="6" fillId="0" borderId="1" xfId="0" applyFont="1" applyFill="1" applyBorder="1" applyAlignment="1">
      <alignment vertical="center"/>
    </xf>
    <xf numFmtId="0" fontId="6" fillId="10" borderId="1" xfId="0" applyFont="1" applyFill="1" applyBorder="1">
      <alignment vertical="center"/>
    </xf>
    <xf numFmtId="0" fontId="6" fillId="10" borderId="1" xfId="0" quotePrefix="1" applyFont="1" applyFill="1" applyBorder="1">
      <alignment vertical="center"/>
    </xf>
    <xf numFmtId="0" fontId="15" fillId="0" borderId="0" xfId="0" applyFont="1">
      <alignment vertical="center"/>
    </xf>
    <xf numFmtId="0" fontId="6" fillId="0" borderId="0" xfId="0" applyFont="1" applyAlignment="1">
      <alignment horizontal="center" vertical="center"/>
    </xf>
    <xf numFmtId="0" fontId="15" fillId="0" borderId="0" xfId="0" applyFont="1" applyBorder="1">
      <alignment vertical="center"/>
    </xf>
    <xf numFmtId="0" fontId="7" fillId="2" borderId="1" xfId="1" applyFont="1" applyFill="1" applyBorder="1" applyAlignment="1">
      <alignment horizontal="center" vertical="center"/>
    </xf>
    <xf numFmtId="0" fontId="5" fillId="0" borderId="0" xfId="0" applyFont="1" applyFill="1" applyBorder="1">
      <alignment vertical="center"/>
    </xf>
    <xf numFmtId="0" fontId="5" fillId="0" borderId="1" xfId="2" applyFont="1" applyFill="1" applyBorder="1" applyAlignment="1">
      <alignment horizontal="left" vertical="center" wrapText="1"/>
    </xf>
    <xf numFmtId="0" fontId="5" fillId="8" borderId="0" xfId="0" applyFont="1" applyFill="1" applyBorder="1" applyAlignment="1">
      <alignment vertical="center"/>
    </xf>
    <xf numFmtId="0" fontId="5" fillId="0" borderId="1" xfId="1" applyFont="1" applyFill="1" applyBorder="1" applyAlignment="1">
      <alignment horizontal="center" vertical="center"/>
    </xf>
    <xf numFmtId="0" fontId="5" fillId="0" borderId="1" xfId="1" applyFont="1" applyFill="1" applyBorder="1" applyAlignment="1">
      <alignment horizontal="left" vertical="center"/>
    </xf>
    <xf numFmtId="0" fontId="5" fillId="0" borderId="1" xfId="0" applyFont="1" applyFill="1" applyBorder="1" applyAlignment="1"/>
    <xf numFmtId="0" fontId="7" fillId="0" borderId="1" xfId="0" applyFont="1" applyFill="1" applyBorder="1" applyAlignment="1"/>
    <xf numFmtId="0" fontId="7" fillId="0" borderId="1" xfId="0" applyFont="1" applyFill="1" applyBorder="1" applyAlignment="1" applyProtection="1">
      <alignment horizontal="left" vertical="center"/>
      <protection locked="0"/>
    </xf>
    <xf numFmtId="0" fontId="5" fillId="0" borderId="1" xfId="0" applyFont="1" applyFill="1" applyBorder="1" applyAlignment="1">
      <alignment horizontal="center"/>
    </xf>
    <xf numFmtId="0" fontId="8" fillId="0" borderId="1" xfId="0" applyFont="1" applyFill="1" applyBorder="1" applyAlignment="1"/>
    <xf numFmtId="0" fontId="5" fillId="0" borderId="1" xfId="0" applyFont="1" applyFill="1" applyBorder="1" applyAlignment="1" applyProtection="1">
      <alignment horizontal="left" vertical="center"/>
      <protection locked="0"/>
    </xf>
    <xf numFmtId="0" fontId="5" fillId="8" borderId="1" xfId="0" applyFont="1" applyFill="1" applyBorder="1">
      <alignment vertical="center"/>
    </xf>
    <xf numFmtId="0" fontId="5" fillId="8" borderId="0" xfId="0" applyFont="1" applyFill="1" applyBorder="1">
      <alignment vertical="center"/>
    </xf>
    <xf numFmtId="0" fontId="5" fillId="0" borderId="1" xfId="4" applyFont="1" applyFill="1" applyBorder="1"/>
    <xf numFmtId="0" fontId="6" fillId="0" borderId="1" xfId="4" applyFont="1" applyFill="1" applyBorder="1" applyAlignment="1">
      <alignment horizontal="center" vertical="center"/>
    </xf>
    <xf numFmtId="0" fontId="18" fillId="0" borderId="1" xfId="4" applyFont="1" applyFill="1" applyBorder="1" applyAlignment="1">
      <alignment horizontal="center" vertical="center"/>
    </xf>
    <xf numFmtId="0" fontId="5" fillId="0" borderId="1" xfId="4" applyFont="1" applyFill="1" applyBorder="1" applyAlignment="1">
      <alignment vertical="center"/>
    </xf>
    <xf numFmtId="0" fontId="5" fillId="0" borderId="1" xfId="1" applyFont="1" applyFill="1" applyBorder="1" applyAlignment="1">
      <alignment vertical="center"/>
    </xf>
    <xf numFmtId="0" fontId="5" fillId="0" borderId="1" xfId="5" applyFont="1" applyFill="1" applyBorder="1" applyAlignment="1">
      <alignment horizontal="center" vertical="center"/>
    </xf>
    <xf numFmtId="0" fontId="5" fillId="0" borderId="1" xfId="3" applyFont="1" applyFill="1" applyBorder="1" applyAlignment="1">
      <alignment vertical="center"/>
    </xf>
    <xf numFmtId="0" fontId="18" fillId="0" borderId="1" xfId="1" applyFont="1" applyFill="1" applyBorder="1" applyAlignment="1">
      <alignment vertical="center"/>
    </xf>
    <xf numFmtId="0" fontId="18" fillId="0" borderId="1" xfId="3" applyFont="1" applyFill="1" applyBorder="1" applyAlignment="1">
      <alignment vertical="center"/>
    </xf>
    <xf numFmtId="0" fontId="6" fillId="0"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6" fillId="0" borderId="0" xfId="0" applyFont="1" applyBorder="1">
      <alignment vertical="center"/>
    </xf>
    <xf numFmtId="0" fontId="6" fillId="0" borderId="0" xfId="0" applyFont="1" applyBorder="1" applyAlignment="1">
      <alignment vertical="center"/>
    </xf>
    <xf numFmtId="0" fontId="8" fillId="0" borderId="0" xfId="0" applyFont="1" applyBorder="1" applyAlignment="1">
      <alignment vertical="center"/>
    </xf>
    <xf numFmtId="0" fontId="6" fillId="0" borderId="0" xfId="0" applyFont="1" applyBorder="1" applyAlignment="1">
      <alignment horizontal="center" vertical="center"/>
    </xf>
    <xf numFmtId="0" fontId="5" fillId="5" borderId="0" xfId="0" applyFont="1" applyFill="1" applyBorder="1" applyAlignment="1">
      <alignment horizontal="center" vertical="center" wrapText="1"/>
    </xf>
    <xf numFmtId="0" fontId="6" fillId="0" borderId="1" xfId="0" applyFont="1" applyBorder="1" applyAlignment="1">
      <alignment vertical="center"/>
    </xf>
    <xf numFmtId="0" fontId="15" fillId="2"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8" fillId="2" borderId="1" xfId="0" applyFont="1" applyFill="1" applyBorder="1" applyAlignment="1">
      <alignment vertical="center"/>
    </xf>
    <xf numFmtId="0" fontId="19" fillId="13" borderId="1" xfId="0" applyFont="1" applyFill="1" applyBorder="1" applyAlignment="1">
      <alignment horizontal="center" vertical="center"/>
    </xf>
    <xf numFmtId="0" fontId="19" fillId="0" borderId="1" xfId="0" applyFont="1" applyFill="1" applyBorder="1" applyAlignment="1">
      <alignment horizontal="center" vertical="center" shrinkToFit="1"/>
    </xf>
    <xf numFmtId="0" fontId="19" fillId="13" borderId="1" xfId="2" applyFont="1" applyFill="1" applyBorder="1" applyAlignment="1">
      <alignment horizontal="center" vertical="center" shrinkToFit="1"/>
    </xf>
    <xf numFmtId="0" fontId="22" fillId="0" borderId="0" xfId="0" applyFont="1">
      <alignment vertical="center"/>
    </xf>
    <xf numFmtId="0" fontId="23" fillId="0" borderId="0" xfId="0" applyFont="1">
      <alignment vertical="center"/>
    </xf>
    <xf numFmtId="0" fontId="23" fillId="0" borderId="0" xfId="0" applyFont="1" applyAlignment="1">
      <alignment horizontal="center" vertical="center"/>
    </xf>
    <xf numFmtId="0" fontId="24" fillId="0" borderId="0" xfId="0" applyFont="1">
      <alignment vertical="center"/>
    </xf>
    <xf numFmtId="0" fontId="25" fillId="11" borderId="1" xfId="0" applyFont="1" applyFill="1" applyBorder="1" applyAlignment="1">
      <alignment horizontal="center" vertical="center"/>
    </xf>
    <xf numFmtId="0" fontId="25" fillId="11" borderId="1" xfId="0" applyFont="1" applyFill="1" applyBorder="1" applyAlignment="1">
      <alignment horizontal="center" vertical="center" shrinkToFit="1"/>
    </xf>
    <xf numFmtId="0" fontId="5" fillId="0" borderId="1" xfId="0" applyFont="1" applyFill="1" applyBorder="1" applyAlignment="1">
      <alignment horizontal="center" vertical="center" shrinkToFit="1"/>
    </xf>
    <xf numFmtId="0" fontId="6" fillId="2" borderId="0" xfId="0" applyFont="1" applyFill="1">
      <alignment vertical="center"/>
    </xf>
    <xf numFmtId="0" fontId="6" fillId="45" borderId="0" xfId="0" applyFont="1" applyFill="1">
      <alignment vertical="center"/>
    </xf>
    <xf numFmtId="0" fontId="6" fillId="46" borderId="0" xfId="0" applyFont="1" applyFill="1">
      <alignment vertical="center"/>
    </xf>
    <xf numFmtId="0" fontId="5" fillId="0" borderId="1" xfId="2" applyFont="1" applyFill="1" applyBorder="1" applyAlignment="1">
      <alignment horizontal="center" vertical="center" shrinkToFit="1"/>
    </xf>
    <xf numFmtId="0" fontId="19" fillId="2" borderId="19" xfId="0" applyFont="1" applyFill="1" applyBorder="1" applyAlignment="1">
      <alignment horizontal="center" vertical="center"/>
    </xf>
    <xf numFmtId="0" fontId="19" fillId="2" borderId="20" xfId="0" applyFont="1" applyFill="1" applyBorder="1" applyAlignment="1">
      <alignment horizontal="center" vertical="center" shrinkToFit="1"/>
    </xf>
    <xf numFmtId="0" fontId="19" fillId="2" borderId="20" xfId="0" applyFont="1" applyFill="1" applyBorder="1" applyAlignment="1">
      <alignment horizontal="center" vertical="center"/>
    </xf>
    <xf numFmtId="0" fontId="19" fillId="2" borderId="21" xfId="0"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1" xfId="2" applyFont="1" applyFill="1" applyBorder="1" applyAlignment="1">
      <alignment horizontal="center" vertical="center" shrinkToFit="1"/>
    </xf>
    <xf numFmtId="0" fontId="15" fillId="13" borderId="0" xfId="0" applyFont="1" applyFill="1">
      <alignment vertical="center"/>
    </xf>
    <xf numFmtId="0" fontId="6" fillId="13" borderId="0" xfId="0" applyFont="1" applyFill="1">
      <alignment vertical="center"/>
    </xf>
    <xf numFmtId="0" fontId="5" fillId="6" borderId="76" xfId="0" applyFont="1" applyFill="1" applyBorder="1">
      <alignment vertical="center"/>
    </xf>
    <xf numFmtId="0" fontId="8" fillId="6" borderId="82" xfId="0" applyFont="1" applyFill="1" applyBorder="1" applyAlignment="1">
      <alignment vertical="center"/>
    </xf>
    <xf numFmtId="0" fontId="8" fillId="6" borderId="82" xfId="0" applyNumberFormat="1" applyFont="1" applyFill="1" applyBorder="1" applyAlignment="1">
      <alignment horizontal="center" vertical="center" wrapText="1"/>
    </xf>
    <xf numFmtId="0" fontId="5" fillId="6" borderId="1" xfId="0" applyFont="1" applyFill="1" applyBorder="1" applyAlignment="1">
      <alignment horizontal="center" vertical="center"/>
    </xf>
    <xf numFmtId="0" fontId="8" fillId="6" borderId="70" xfId="0" applyFont="1" applyFill="1" applyBorder="1" applyAlignment="1">
      <alignment horizontal="center" vertical="center"/>
    </xf>
    <xf numFmtId="176" fontId="8" fillId="6" borderId="1" xfId="0" applyNumberFormat="1" applyFont="1" applyFill="1" applyBorder="1" applyAlignment="1">
      <alignment horizontal="center" vertical="center"/>
    </xf>
    <xf numFmtId="0" fontId="8" fillId="6" borderId="70" xfId="2" applyFont="1" applyFill="1" applyBorder="1" applyAlignment="1">
      <alignment horizontal="center" vertical="center" shrinkToFit="1"/>
    </xf>
    <xf numFmtId="0" fontId="8" fillId="6" borderId="76" xfId="2" applyFont="1" applyFill="1" applyBorder="1" applyAlignment="1">
      <alignment horizontal="center" vertical="center" shrinkToFit="1"/>
    </xf>
    <xf numFmtId="0" fontId="8" fillId="6" borderId="3" xfId="9" applyFont="1" applyFill="1" applyBorder="1" applyAlignment="1">
      <alignment horizontal="left" vertical="center"/>
    </xf>
    <xf numFmtId="0" fontId="8" fillId="6" borderId="3" xfId="9" applyFont="1" applyFill="1" applyBorder="1" applyAlignment="1">
      <alignment horizontal="center" vertical="center" shrinkToFit="1"/>
    </xf>
    <xf numFmtId="0" fontId="8" fillId="6" borderId="3" xfId="2" applyFont="1" applyFill="1" applyBorder="1" applyAlignment="1">
      <alignment horizontal="center" vertical="center" shrinkToFit="1"/>
    </xf>
    <xf numFmtId="0" fontId="5" fillId="0" borderId="70" xfId="0" applyNumberFormat="1" applyFont="1" applyFill="1" applyBorder="1" applyAlignment="1">
      <alignment horizontal="center" vertical="center"/>
    </xf>
    <xf numFmtId="0" fontId="5" fillId="0" borderId="70" xfId="0" applyNumberFormat="1" applyFont="1" applyFill="1" applyBorder="1" applyAlignment="1">
      <alignment horizontal="center" vertical="center" wrapText="1"/>
    </xf>
    <xf numFmtId="0" fontId="8" fillId="6" borderId="76" xfId="0" applyFont="1" applyFill="1" applyBorder="1" applyAlignment="1">
      <alignment horizontal="center" vertical="center"/>
    </xf>
    <xf numFmtId="0" fontId="5" fillId="6" borderId="82" xfId="0" applyFont="1" applyFill="1" applyBorder="1" applyAlignment="1">
      <alignment horizontal="center" vertical="center"/>
    </xf>
    <xf numFmtId="0" fontId="8" fillId="6" borderId="1" xfId="2" applyFont="1" applyFill="1" applyBorder="1" applyAlignment="1">
      <alignment horizontal="left" vertical="center" wrapText="1"/>
    </xf>
    <xf numFmtId="0" fontId="8" fillId="6" borderId="82" xfId="0" applyFont="1" applyFill="1" applyBorder="1" applyAlignment="1">
      <alignment horizontal="center" vertical="center"/>
    </xf>
    <xf numFmtId="0" fontId="8" fillId="6" borderId="76" xfId="2" applyFont="1" applyFill="1" applyBorder="1" applyAlignment="1">
      <alignment horizontal="left" vertical="center" shrinkToFit="1"/>
    </xf>
    <xf numFmtId="0" fontId="8" fillId="6" borderId="70" xfId="9" applyFont="1" applyFill="1" applyBorder="1" applyAlignment="1">
      <alignment horizontal="left" vertical="center"/>
    </xf>
    <xf numFmtId="0" fontId="8" fillId="6" borderId="63" xfId="9" applyFont="1" applyFill="1" applyBorder="1" applyAlignment="1">
      <alignment horizontal="center" vertical="center" shrinkToFit="1"/>
    </xf>
    <xf numFmtId="0" fontId="8" fillId="6" borderId="63" xfId="9" applyFont="1" applyFill="1" applyBorder="1" applyAlignment="1">
      <alignment horizontal="left" vertical="center"/>
    </xf>
    <xf numFmtId="0" fontId="6" fillId="0" borderId="76" xfId="2" applyFont="1" applyFill="1" applyBorder="1" applyAlignment="1">
      <alignment horizontal="center" vertical="center" shrinkToFit="1"/>
    </xf>
    <xf numFmtId="0" fontId="8" fillId="6" borderId="63" xfId="2" applyFont="1" applyFill="1" applyBorder="1" applyAlignment="1">
      <alignment horizontal="center" vertical="center" shrinkToFit="1"/>
    </xf>
    <xf numFmtId="0" fontId="8" fillId="6" borderId="82" xfId="0" applyFont="1" applyFill="1" applyBorder="1">
      <alignment vertical="center"/>
    </xf>
    <xf numFmtId="0" fontId="5" fillId="0" borderId="82" xfId="0" applyNumberFormat="1" applyFont="1" applyFill="1" applyBorder="1" applyAlignment="1">
      <alignment horizontal="center" vertical="center"/>
    </xf>
    <xf numFmtId="0" fontId="8" fillId="6" borderId="1" xfId="0" applyNumberFormat="1" applyFont="1" applyFill="1" applyBorder="1" applyAlignment="1">
      <alignment horizontal="center" vertical="center" wrapText="1"/>
    </xf>
    <xf numFmtId="0" fontId="6" fillId="0" borderId="76" xfId="9" applyFont="1" applyFill="1" applyBorder="1" applyAlignment="1">
      <alignment horizontal="center" vertical="center" shrinkToFit="1"/>
    </xf>
    <xf numFmtId="0" fontId="5" fillId="6" borderId="76" xfId="0" applyNumberFormat="1" applyFont="1" applyFill="1" applyBorder="1" applyAlignment="1">
      <alignment horizontal="center" vertical="center"/>
    </xf>
    <xf numFmtId="0" fontId="5" fillId="0" borderId="70" xfId="0" applyFont="1" applyFill="1" applyBorder="1">
      <alignment vertical="center"/>
    </xf>
    <xf numFmtId="0" fontId="5" fillId="6" borderId="70" xfId="0" applyFont="1" applyFill="1" applyBorder="1" applyAlignment="1">
      <alignment horizontal="center" vertical="center"/>
    </xf>
    <xf numFmtId="0" fontId="8" fillId="6" borderId="70" xfId="9" applyFont="1" applyFill="1" applyBorder="1" applyAlignment="1">
      <alignment horizontal="center" vertical="center"/>
    </xf>
    <xf numFmtId="0" fontId="5" fillId="6" borderId="76" xfId="0" applyNumberFormat="1" applyFont="1" applyFill="1" applyBorder="1" applyAlignment="1">
      <alignment horizontal="center" vertical="center" wrapText="1"/>
    </xf>
    <xf numFmtId="0" fontId="5" fillId="0" borderId="82" xfId="0" applyNumberFormat="1" applyFont="1" applyFill="1" applyBorder="1" applyAlignment="1">
      <alignment horizontal="center" vertical="center" wrapText="1"/>
    </xf>
    <xf numFmtId="0" fontId="8" fillId="6" borderId="1" xfId="0" applyFont="1" applyFill="1" applyBorder="1">
      <alignment vertical="center"/>
    </xf>
    <xf numFmtId="0" fontId="8" fillId="6" borderId="1" xfId="0" applyFont="1" applyFill="1" applyBorder="1" applyAlignment="1">
      <alignment vertical="center"/>
    </xf>
    <xf numFmtId="0" fontId="8" fillId="6" borderId="1" xfId="0" applyFont="1" applyFill="1" applyBorder="1" applyAlignment="1">
      <alignment horizontal="center" vertical="center"/>
    </xf>
    <xf numFmtId="0" fontId="8" fillId="6" borderId="76" xfId="9" applyFont="1" applyFill="1" applyBorder="1">
      <alignment vertical="center"/>
    </xf>
    <xf numFmtId="0" fontId="8" fillId="6" borderId="70" xfId="9" applyFont="1" applyFill="1" applyBorder="1">
      <alignment vertical="center"/>
    </xf>
    <xf numFmtId="0" fontId="8" fillId="6" borderId="1" xfId="0" applyFont="1" applyFill="1" applyBorder="1" applyAlignment="1">
      <alignment horizontal="left" vertical="center"/>
    </xf>
    <xf numFmtId="0" fontId="5" fillId="6" borderId="76" xfId="0" applyFont="1" applyFill="1" applyBorder="1" applyAlignment="1">
      <alignment horizontal="center" vertical="center" wrapText="1"/>
    </xf>
    <xf numFmtId="0" fontId="8" fillId="6" borderId="76" xfId="9" applyFont="1" applyFill="1" applyBorder="1" applyAlignment="1">
      <alignment horizontal="center" vertical="center"/>
    </xf>
    <xf numFmtId="0" fontId="5" fillId="6" borderId="76" xfId="0" applyFont="1" applyFill="1" applyBorder="1" applyAlignment="1">
      <alignment horizontal="center" vertical="center"/>
    </xf>
    <xf numFmtId="0" fontId="8" fillId="6" borderId="76" xfId="9" applyFont="1" applyFill="1" applyBorder="1" applyAlignment="1">
      <alignment horizontal="center" vertical="center" shrinkToFit="1"/>
    </xf>
    <xf numFmtId="0" fontId="8" fillId="6" borderId="76" xfId="0" applyFont="1" applyFill="1" applyBorder="1">
      <alignment vertical="center"/>
    </xf>
    <xf numFmtId="176" fontId="8" fillId="6" borderId="82" xfId="0" applyNumberFormat="1" applyFont="1" applyFill="1" applyBorder="1" applyAlignment="1">
      <alignment horizontal="center" vertical="center"/>
    </xf>
    <xf numFmtId="0" fontId="8" fillId="6" borderId="63" xfId="9" applyFont="1" applyFill="1" applyBorder="1" applyAlignment="1">
      <alignment horizontal="center" vertical="center"/>
    </xf>
    <xf numFmtId="0" fontId="5" fillId="0" borderId="82" xfId="0" applyFont="1" applyFill="1" applyBorder="1">
      <alignment vertical="center"/>
    </xf>
    <xf numFmtId="0" fontId="6" fillId="0" borderId="76" xfId="2" applyFont="1" applyFill="1" applyBorder="1" applyAlignment="1">
      <alignment horizontal="left" vertical="center" shrinkToFit="1"/>
    </xf>
    <xf numFmtId="0" fontId="15" fillId="2" borderId="1" xfId="0" applyFont="1" applyFill="1" applyBorder="1" applyAlignment="1">
      <alignment horizontal="centerContinuous" vertical="center"/>
    </xf>
    <xf numFmtId="0" fontId="5" fillId="0" borderId="44" xfId="0" applyFont="1" applyFill="1" applyBorder="1">
      <alignment vertical="center"/>
    </xf>
    <xf numFmtId="0" fontId="0" fillId="0" borderId="44" xfId="0" applyBorder="1">
      <alignment vertical="center"/>
    </xf>
    <xf numFmtId="0" fontId="99" fillId="0" borderId="0" xfId="0" applyFont="1">
      <alignment vertical="center"/>
    </xf>
    <xf numFmtId="0" fontId="99" fillId="0" borderId="0" xfId="0" applyFont="1" applyAlignment="1">
      <alignment vertical="center" wrapText="1"/>
    </xf>
    <xf numFmtId="0" fontId="100" fillId="0" borderId="0" xfId="0" applyFont="1">
      <alignment vertical="center"/>
    </xf>
    <xf numFmtId="0" fontId="101" fillId="0" borderId="0" xfId="0" applyFont="1">
      <alignment vertical="center"/>
    </xf>
    <xf numFmtId="0" fontId="99" fillId="0" borderId="0" xfId="0" quotePrefix="1" applyFont="1">
      <alignment vertical="center"/>
    </xf>
    <xf numFmtId="0" fontId="25" fillId="11" borderId="44" xfId="0" applyFont="1" applyFill="1" applyBorder="1" applyAlignment="1">
      <alignment horizontal="center" vertical="center"/>
    </xf>
    <xf numFmtId="0" fontId="5" fillId="0" borderId="44" xfId="0" applyFont="1" applyFill="1" applyBorder="1" applyAlignment="1">
      <alignment horizontal="center" vertical="center"/>
    </xf>
    <xf numFmtId="0" fontId="5" fillId="0" borderId="44" xfId="2" applyFont="1" applyFill="1" applyBorder="1" applyAlignment="1">
      <alignment horizontal="center" vertical="center" shrinkToFit="1"/>
    </xf>
    <xf numFmtId="0" fontId="23" fillId="0" borderId="0" xfId="0" applyFont="1" applyAlignment="1">
      <alignment vertical="center"/>
    </xf>
    <xf numFmtId="0" fontId="6" fillId="0" borderId="0" xfId="0" applyFont="1" applyAlignment="1">
      <alignment vertical="center"/>
    </xf>
    <xf numFmtId="0" fontId="5" fillId="0" borderId="1" xfId="0" applyFont="1" applyFill="1" applyBorder="1" applyAlignment="1">
      <alignment vertical="center" shrinkToFit="1"/>
    </xf>
    <xf numFmtId="0" fontId="5" fillId="0" borderId="1" xfId="6" applyFont="1" applyFill="1" applyBorder="1" applyAlignment="1">
      <alignment vertical="center"/>
    </xf>
    <xf numFmtId="0" fontId="5" fillId="0" borderId="44" xfId="0" applyFont="1" applyFill="1" applyBorder="1" applyAlignment="1">
      <alignment vertical="center"/>
    </xf>
    <xf numFmtId="0" fontId="5" fillId="0" borderId="44" xfId="2" applyFont="1" applyFill="1" applyBorder="1" applyAlignment="1">
      <alignment vertical="center" shrinkToFit="1"/>
    </xf>
    <xf numFmtId="0" fontId="102" fillId="9" borderId="1" xfId="1" applyFont="1" applyFill="1" applyBorder="1" applyAlignment="1">
      <alignment horizontal="center" vertical="center"/>
    </xf>
    <xf numFmtId="0" fontId="103" fillId="0" borderId="0" xfId="0" applyFont="1" applyAlignment="1">
      <alignment horizontal="center" vertical="center"/>
    </xf>
    <xf numFmtId="0" fontId="104" fillId="0" borderId="1" xfId="0" applyFont="1" applyFill="1" applyBorder="1" applyAlignment="1">
      <alignment vertical="center"/>
    </xf>
    <xf numFmtId="0" fontId="99" fillId="0" borderId="0" xfId="0" applyFont="1" applyAlignment="1">
      <alignment horizontal="center" vertical="center"/>
    </xf>
    <xf numFmtId="0" fontId="99" fillId="0" borderId="0" xfId="0" applyFont="1" applyAlignment="1">
      <alignment vertical="center"/>
    </xf>
    <xf numFmtId="0" fontId="104" fillId="0" borderId="44" xfId="0" applyFont="1" applyFill="1" applyBorder="1" applyAlignment="1">
      <alignment vertical="center"/>
    </xf>
    <xf numFmtId="0" fontId="6" fillId="13" borderId="0" xfId="0" applyFont="1" applyFill="1" applyAlignment="1">
      <alignment vertical="center"/>
    </xf>
    <xf numFmtId="0" fontId="20" fillId="0" borderId="1" xfId="7" applyFont="1" applyFill="1" applyBorder="1" applyAlignment="1">
      <alignment vertical="center"/>
    </xf>
    <xf numFmtId="0" fontId="19" fillId="2" borderId="20" xfId="0" applyFont="1" applyFill="1" applyBorder="1" applyAlignment="1">
      <alignment vertical="center" shrinkToFit="1"/>
    </xf>
    <xf numFmtId="0" fontId="19" fillId="2" borderId="1" xfId="6" applyFont="1" applyFill="1" applyBorder="1" applyAlignment="1">
      <alignment vertical="center"/>
    </xf>
    <xf numFmtId="0" fontId="5" fillId="13" borderId="0" xfId="0" applyFont="1" applyFill="1" applyAlignment="1">
      <alignment vertical="center"/>
    </xf>
    <xf numFmtId="0" fontId="105" fillId="13" borderId="44" xfId="0" applyFont="1" applyFill="1" applyBorder="1" applyAlignment="1">
      <alignment vertical="center"/>
    </xf>
    <xf numFmtId="0" fontId="6" fillId="13" borderId="44" xfId="0" applyFont="1" applyFill="1" applyBorder="1">
      <alignment vertical="center"/>
    </xf>
    <xf numFmtId="0" fontId="105" fillId="2" borderId="44" xfId="0" applyFont="1" applyFill="1" applyBorder="1" applyAlignment="1">
      <alignment vertical="center"/>
    </xf>
    <xf numFmtId="0" fontId="105" fillId="0" borderId="44" xfId="0" applyFont="1" applyFill="1" applyBorder="1" applyAlignment="1">
      <alignment vertical="center"/>
    </xf>
    <xf numFmtId="0" fontId="102" fillId="71" borderId="1" xfId="1" applyFont="1" applyFill="1" applyBorder="1" applyAlignment="1">
      <alignment horizontal="center" vertical="center"/>
    </xf>
    <xf numFmtId="0" fontId="102" fillId="71" borderId="44" xfId="1" applyFont="1" applyFill="1" applyBorder="1" applyAlignment="1">
      <alignment horizontal="center" vertical="center"/>
    </xf>
    <xf numFmtId="0" fontId="102" fillId="7" borderId="1" xfId="1" applyFont="1" applyFill="1" applyBorder="1" applyAlignment="1">
      <alignment horizontal="center" vertical="center"/>
    </xf>
    <xf numFmtId="0" fontId="99" fillId="2" borderId="0" xfId="0" applyFont="1" applyFill="1">
      <alignment vertical="center"/>
    </xf>
    <xf numFmtId="0" fontId="104" fillId="11" borderId="1" xfId="0" applyFont="1" applyFill="1" applyBorder="1" applyAlignment="1">
      <alignment horizontal="center" vertical="center"/>
    </xf>
    <xf numFmtId="0" fontId="104" fillId="11" borderId="1" xfId="0" applyFont="1" applyFill="1" applyBorder="1" applyAlignment="1">
      <alignment horizontal="center" vertical="center" shrinkToFit="1"/>
    </xf>
    <xf numFmtId="0" fontId="104" fillId="13" borderId="1" xfId="0" applyFont="1" applyFill="1" applyBorder="1" applyAlignment="1">
      <alignment horizontal="center" vertical="center"/>
    </xf>
    <xf numFmtId="0" fontId="104" fillId="0" borderId="1" xfId="0" applyFont="1" applyFill="1" applyBorder="1" applyAlignment="1">
      <alignment horizontal="center" vertical="center" shrinkToFit="1"/>
    </xf>
    <xf numFmtId="0" fontId="100" fillId="45" borderId="1" xfId="0" applyFont="1" applyFill="1" applyBorder="1" applyAlignment="1">
      <alignment horizontal="center" vertical="center"/>
    </xf>
    <xf numFmtId="0" fontId="104" fillId="13" borderId="1" xfId="2" applyFont="1" applyFill="1" applyBorder="1" applyAlignment="1">
      <alignment horizontal="center" vertical="center" shrinkToFit="1"/>
    </xf>
    <xf numFmtId="0" fontId="100" fillId="45" borderId="1" xfId="2" applyFont="1" applyFill="1" applyBorder="1" applyAlignment="1">
      <alignment horizontal="center" vertical="center" shrinkToFit="1"/>
    </xf>
    <xf numFmtId="0" fontId="99" fillId="45" borderId="0" xfId="0" applyFont="1" applyFill="1">
      <alignment vertical="center"/>
    </xf>
    <xf numFmtId="0" fontId="99" fillId="46" borderId="0" xfId="0" applyFont="1" applyFill="1">
      <alignment vertical="center"/>
    </xf>
    <xf numFmtId="0" fontId="104" fillId="0" borderId="1" xfId="0" applyFont="1" applyBorder="1" applyAlignment="1">
      <alignment horizontal="center" vertical="center"/>
    </xf>
    <xf numFmtId="0" fontId="104" fillId="0" borderId="1" xfId="0" applyFont="1" applyFill="1" applyBorder="1" applyAlignment="1">
      <alignment horizontal="center" vertical="center"/>
    </xf>
    <xf numFmtId="0" fontId="100" fillId="2" borderId="1" xfId="0" applyFont="1" applyFill="1" applyBorder="1" applyAlignment="1">
      <alignment horizontal="center" vertical="center"/>
    </xf>
    <xf numFmtId="0" fontId="100" fillId="2" borderId="1" xfId="0" applyFont="1" applyFill="1" applyBorder="1" applyAlignment="1">
      <alignment horizontal="center" vertical="center" shrinkToFit="1"/>
    </xf>
    <xf numFmtId="0" fontId="104" fillId="13" borderId="44" xfId="0" applyFont="1" applyFill="1" applyBorder="1" applyAlignment="1">
      <alignment horizontal="center" vertical="center"/>
    </xf>
    <xf numFmtId="0" fontId="104" fillId="13" borderId="1" xfId="0" applyFont="1" applyFill="1" applyBorder="1" applyAlignment="1">
      <alignment vertical="center"/>
    </xf>
    <xf numFmtId="0" fontId="104" fillId="13" borderId="1" xfId="0" applyFont="1" applyFill="1" applyBorder="1" applyAlignment="1">
      <alignment vertical="center" shrinkToFit="1"/>
    </xf>
    <xf numFmtId="0" fontId="104" fillId="0" borderId="1" xfId="6" applyFont="1" applyFill="1" applyBorder="1" applyAlignment="1">
      <alignment vertical="center"/>
    </xf>
    <xf numFmtId="0" fontId="104" fillId="0" borderId="1" xfId="0" applyFont="1" applyBorder="1" applyAlignment="1">
      <alignment vertical="center"/>
    </xf>
    <xf numFmtId="0" fontId="104" fillId="0" borderId="1" xfId="8" applyFont="1" applyFill="1" applyBorder="1" applyAlignment="1">
      <alignment vertical="center"/>
    </xf>
    <xf numFmtId="0" fontId="100" fillId="45" borderId="1" xfId="8" applyFont="1" applyFill="1" applyBorder="1" applyAlignment="1">
      <alignment vertical="center"/>
    </xf>
    <xf numFmtId="0" fontId="100" fillId="45" borderId="1" xfId="0" applyFont="1" applyFill="1" applyBorder="1" applyAlignment="1">
      <alignment vertical="center"/>
    </xf>
    <xf numFmtId="0" fontId="100" fillId="2" borderId="1" xfId="0" applyFont="1" applyFill="1" applyBorder="1" applyAlignment="1">
      <alignment vertical="center"/>
    </xf>
    <xf numFmtId="0" fontId="104" fillId="13" borderId="44" xfId="0" applyFont="1" applyFill="1" applyBorder="1" applyAlignment="1">
      <alignment vertical="center"/>
    </xf>
    <xf numFmtId="0" fontId="104" fillId="11" borderId="44" xfId="0" applyFont="1" applyFill="1" applyBorder="1" applyAlignment="1">
      <alignment horizontal="center" vertical="center"/>
    </xf>
    <xf numFmtId="0" fontId="5" fillId="0" borderId="1" xfId="2" applyFont="1" applyFill="1" applyBorder="1" applyAlignment="1">
      <alignment vertical="center" shrinkToFit="1"/>
    </xf>
    <xf numFmtId="0" fontId="102" fillId="9" borderId="1" xfId="1" applyFont="1" applyFill="1" applyBorder="1" applyAlignment="1">
      <alignment vertical="center"/>
    </xf>
    <xf numFmtId="0" fontId="104" fillId="0" borderId="44" xfId="0" applyFont="1" applyFill="1" applyBorder="1" applyAlignment="1">
      <alignment vertical="center" wrapText="1"/>
    </xf>
    <xf numFmtId="0" fontId="104" fillId="0" borderId="44" xfId="9" applyFont="1" applyFill="1" applyBorder="1" applyAlignment="1">
      <alignment horizontal="center" vertical="center" shrinkToFit="1"/>
    </xf>
    <xf numFmtId="0" fontId="104" fillId="0" borderId="44" xfId="0" applyFont="1" applyFill="1" applyBorder="1">
      <alignment vertical="center"/>
    </xf>
    <xf numFmtId="0" fontId="104" fillId="0" borderId="44" xfId="0" applyFont="1" applyFill="1" applyBorder="1" applyAlignment="1">
      <alignment horizontal="center" vertical="center"/>
    </xf>
    <xf numFmtId="0" fontId="104" fillId="0" borderId="44" xfId="2" applyFont="1" applyFill="1" applyBorder="1" applyAlignment="1">
      <alignment horizontal="center" vertical="center" shrinkToFit="1"/>
    </xf>
    <xf numFmtId="0" fontId="106" fillId="0" borderId="44" xfId="0" applyFont="1" applyFill="1" applyBorder="1">
      <alignment vertical="center"/>
    </xf>
    <xf numFmtId="0" fontId="106" fillId="0" borderId="44" xfId="0" applyFont="1" applyFill="1" applyBorder="1" applyAlignment="1">
      <alignment horizontal="center" vertical="center"/>
    </xf>
    <xf numFmtId="0" fontId="104" fillId="0" borderId="44" xfId="2" applyFont="1" applyFill="1" applyBorder="1" applyAlignment="1">
      <alignment horizontal="left" vertical="center" shrinkToFit="1"/>
    </xf>
    <xf numFmtId="0" fontId="104" fillId="0" borderId="44" xfId="9" applyFont="1" applyFill="1" applyBorder="1">
      <alignment vertical="center"/>
    </xf>
    <xf numFmtId="0" fontId="104" fillId="0" borderId="44" xfId="9" applyFont="1" applyFill="1" applyBorder="1" applyAlignment="1">
      <alignment horizontal="center" vertical="center" wrapText="1"/>
    </xf>
    <xf numFmtId="0" fontId="104" fillId="0" borderId="44" xfId="9" applyFont="1" applyFill="1" applyBorder="1" applyAlignment="1">
      <alignment vertical="center" wrapText="1"/>
    </xf>
    <xf numFmtId="0" fontId="106" fillId="0" borderId="44" xfId="0" applyFont="1" applyFill="1" applyBorder="1" applyAlignment="1">
      <alignment vertical="center"/>
    </xf>
    <xf numFmtId="0" fontId="106" fillId="0" borderId="44" xfId="0" applyFont="1" applyFill="1" applyBorder="1" applyAlignment="1">
      <alignment vertical="center" wrapText="1"/>
    </xf>
    <xf numFmtId="49" fontId="104" fillId="0" borderId="44" xfId="0" applyNumberFormat="1" applyFont="1" applyFill="1" applyBorder="1" applyAlignment="1">
      <alignment vertical="center"/>
    </xf>
    <xf numFmtId="0" fontId="104" fillId="0" borderId="44" xfId="0" quotePrefix="1" applyFont="1" applyFill="1" applyBorder="1" applyAlignment="1">
      <alignment vertical="center" wrapText="1"/>
    </xf>
    <xf numFmtId="0" fontId="104" fillId="0" borderId="0" xfId="0" applyFont="1" applyFill="1">
      <alignment vertical="center"/>
    </xf>
    <xf numFmtId="0" fontId="104" fillId="0" borderId="44" xfId="6" applyFont="1" applyFill="1" applyBorder="1" applyAlignment="1">
      <alignment horizontal="center" vertical="center"/>
    </xf>
    <xf numFmtId="0" fontId="104" fillId="0" borderId="44" xfId="0" quotePrefix="1" applyFont="1" applyFill="1" applyBorder="1" applyAlignment="1">
      <alignment vertical="center"/>
    </xf>
    <xf numFmtId="0" fontId="104" fillId="0" borderId="44" xfId="9" applyFont="1" applyFill="1" applyBorder="1" applyAlignment="1">
      <alignment horizontal="center" vertical="center"/>
    </xf>
    <xf numFmtId="0" fontId="104" fillId="0" borderId="44" xfId="0" quotePrefix="1" applyFont="1" applyFill="1" applyBorder="1">
      <alignment vertical="center"/>
    </xf>
    <xf numFmtId="0" fontId="104" fillId="0" borderId="44" xfId="9" applyFont="1" applyFill="1" applyBorder="1" applyAlignment="1">
      <alignment horizontal="left" vertical="center"/>
    </xf>
    <xf numFmtId="0" fontId="104" fillId="0" borderId="44" xfId="9" applyFont="1" applyFill="1" applyBorder="1" applyAlignment="1">
      <alignment vertical="center"/>
    </xf>
    <xf numFmtId="0" fontId="104" fillId="0" borderId="44" xfId="0" applyFont="1" applyFill="1" applyBorder="1" applyAlignment="1">
      <alignment horizontal="center" vertical="center" wrapText="1"/>
    </xf>
    <xf numFmtId="0" fontId="102" fillId="71" borderId="93" xfId="1" applyFont="1" applyFill="1" applyBorder="1" applyAlignment="1">
      <alignment horizontal="center" vertical="center"/>
    </xf>
    <xf numFmtId="0" fontId="102" fillId="9" borderId="93" xfId="1" applyFont="1" applyFill="1" applyBorder="1" applyAlignment="1">
      <alignment horizontal="center" vertical="center"/>
    </xf>
    <xf numFmtId="0" fontId="102" fillId="7" borderId="93" xfId="1" applyFont="1" applyFill="1" applyBorder="1" applyAlignment="1">
      <alignment horizontal="center" vertical="center"/>
    </xf>
    <xf numFmtId="0" fontId="99" fillId="0" borderId="93" xfId="0" applyFont="1" applyBorder="1">
      <alignment vertical="center"/>
    </xf>
    <xf numFmtId="0" fontId="101" fillId="0" borderId="93" xfId="0" applyFont="1" applyBorder="1">
      <alignment vertical="center"/>
    </xf>
    <xf numFmtId="0" fontId="99" fillId="0" borderId="93" xfId="0" applyFont="1" applyBorder="1" applyAlignment="1">
      <alignment vertical="center" wrapText="1"/>
    </xf>
    <xf numFmtId="0" fontId="101" fillId="0" borderId="93" xfId="0" applyFont="1" applyBorder="1" applyAlignment="1">
      <alignment vertical="center" wrapText="1"/>
    </xf>
    <xf numFmtId="0" fontId="106" fillId="13" borderId="1" xfId="0" applyFont="1" applyFill="1" applyBorder="1" applyAlignment="1">
      <alignment horizontal="center" vertical="center"/>
    </xf>
    <xf numFmtId="0" fontId="107" fillId="2" borderId="1" xfId="0" applyFont="1" applyFill="1" applyBorder="1" applyAlignment="1">
      <alignment horizontal="center" vertical="center" shrinkToFit="1"/>
    </xf>
    <xf numFmtId="0" fontId="107" fillId="2" borderId="1" xfId="0" applyFont="1" applyFill="1" applyBorder="1" applyAlignment="1">
      <alignment vertical="center"/>
    </xf>
    <xf numFmtId="0" fontId="107" fillId="2" borderId="1" xfId="0" applyFont="1" applyFill="1" applyBorder="1" applyAlignment="1">
      <alignment horizontal="center" vertical="center"/>
    </xf>
    <xf numFmtId="0" fontId="106" fillId="13" borderId="1" xfId="0" applyFont="1" applyFill="1" applyBorder="1" applyAlignment="1">
      <alignment vertical="center"/>
    </xf>
    <xf numFmtId="0" fontId="104" fillId="7" borderId="44" xfId="0" applyFont="1" applyFill="1" applyBorder="1">
      <alignment vertical="center"/>
    </xf>
    <xf numFmtId="0" fontId="104" fillId="7" borderId="93" xfId="0" applyFont="1" applyFill="1" applyBorder="1" applyAlignment="1">
      <alignment horizontal="center" vertical="center"/>
    </xf>
    <xf numFmtId="0" fontId="104" fillId="7" borderId="93" xfId="0" applyFont="1" applyFill="1" applyBorder="1" applyAlignment="1">
      <alignment vertical="center"/>
    </xf>
    <xf numFmtId="0" fontId="104" fillId="7" borderId="93" xfId="0" applyFont="1" applyFill="1" applyBorder="1">
      <alignment vertical="center"/>
    </xf>
    <xf numFmtId="0" fontId="104" fillId="7" borderId="44" xfId="0" applyFont="1" applyFill="1" applyBorder="1" applyAlignment="1">
      <alignment vertical="center"/>
    </xf>
    <xf numFmtId="0" fontId="99" fillId="7" borderId="93" xfId="0" applyFont="1" applyFill="1" applyBorder="1">
      <alignment vertical="center"/>
    </xf>
    <xf numFmtId="0" fontId="104" fillId="7" borderId="0" xfId="0" applyFont="1" applyFill="1">
      <alignment vertical="center"/>
    </xf>
    <xf numFmtId="0" fontId="104" fillId="7" borderId="44" xfId="0" applyFont="1" applyFill="1" applyBorder="1" applyAlignment="1">
      <alignment horizontal="center" vertical="center"/>
    </xf>
    <xf numFmtId="0" fontId="104" fillId="72" borderId="44" xfId="0" applyFont="1" applyFill="1" applyBorder="1">
      <alignment vertical="center"/>
    </xf>
    <xf numFmtId="0" fontId="104" fillId="72" borderId="44" xfId="9" applyFont="1" applyFill="1" applyBorder="1">
      <alignment vertical="center"/>
    </xf>
    <xf numFmtId="0" fontId="104" fillId="72" borderId="93" xfId="0" applyFont="1" applyFill="1" applyBorder="1" applyAlignment="1">
      <alignment horizontal="center" vertical="center"/>
    </xf>
    <xf numFmtId="0" fontId="104" fillId="72" borderId="93" xfId="0" applyFont="1" applyFill="1" applyBorder="1" applyAlignment="1">
      <alignment vertical="center"/>
    </xf>
    <xf numFmtId="0" fontId="104" fillId="72" borderId="93" xfId="9" applyFont="1" applyFill="1" applyBorder="1">
      <alignment vertical="center"/>
    </xf>
    <xf numFmtId="0" fontId="104" fillId="72" borderId="93" xfId="0" applyFont="1" applyFill="1" applyBorder="1">
      <alignment vertical="center"/>
    </xf>
    <xf numFmtId="0" fontId="104" fillId="72" borderId="0" xfId="0" applyFont="1" applyFill="1">
      <alignment vertical="center"/>
    </xf>
    <xf numFmtId="0" fontId="99" fillId="72" borderId="93" xfId="0" applyFont="1" applyFill="1" applyBorder="1" applyAlignment="1">
      <alignment vertical="center" wrapText="1"/>
    </xf>
    <xf numFmtId="0" fontId="8" fillId="6" borderId="93" xfId="9" applyFont="1" applyFill="1" applyBorder="1">
      <alignment vertical="center"/>
    </xf>
    <xf numFmtId="0" fontId="5" fillId="6" borderId="93" xfId="0" applyFont="1" applyFill="1" applyBorder="1">
      <alignment vertical="center"/>
    </xf>
    <xf numFmtId="0" fontId="5" fillId="6" borderId="93" xfId="0" applyFont="1" applyFill="1" applyBorder="1" applyAlignment="1">
      <alignment horizontal="center" vertical="center" wrapText="1"/>
    </xf>
    <xf numFmtId="0" fontId="8" fillId="6" borderId="93" xfId="9" applyFont="1" applyFill="1" applyBorder="1" applyAlignment="1">
      <alignment horizontal="center" vertical="center"/>
    </xf>
    <xf numFmtId="0" fontId="5" fillId="6" borderId="93" xfId="0" applyNumberFormat="1" applyFont="1" applyFill="1" applyBorder="1" applyAlignment="1">
      <alignment horizontal="center" vertical="center"/>
    </xf>
    <xf numFmtId="0" fontId="5" fillId="6" borderId="93" xfId="0" applyNumberFormat="1" applyFont="1" applyFill="1" applyBorder="1" applyAlignment="1">
      <alignment horizontal="center" vertical="center" wrapText="1"/>
    </xf>
    <xf numFmtId="0" fontId="8" fillId="6" borderId="93" xfId="2" applyFont="1" applyFill="1" applyBorder="1" applyAlignment="1">
      <alignment horizontal="center" vertical="center" shrinkToFit="1"/>
    </xf>
    <xf numFmtId="0" fontId="5" fillId="6" borderId="93" xfId="0" applyFont="1" applyFill="1" applyBorder="1" applyAlignment="1">
      <alignment horizontal="center" vertical="center"/>
    </xf>
    <xf numFmtId="0" fontId="8" fillId="0" borderId="76" xfId="0" applyFont="1" applyFill="1" applyBorder="1" applyAlignment="1">
      <alignment horizontal="center" vertical="center"/>
    </xf>
    <xf numFmtId="0" fontId="8" fillId="0" borderId="1" xfId="0" applyFont="1" applyFill="1" applyBorder="1" applyAlignment="1">
      <alignment horizontal="left" vertical="center"/>
    </xf>
    <xf numFmtId="0" fontId="8" fillId="0" borderId="70" xfId="9" applyFont="1" applyFill="1" applyBorder="1" applyAlignment="1">
      <alignment horizontal="left" vertical="center"/>
    </xf>
    <xf numFmtId="0" fontId="8" fillId="0" borderId="70" xfId="9" applyFont="1" applyFill="1" applyBorder="1">
      <alignment vertical="center"/>
    </xf>
    <xf numFmtId="0" fontId="5" fillId="0" borderId="76" xfId="0" applyFont="1" applyFill="1" applyBorder="1">
      <alignment vertical="center"/>
    </xf>
    <xf numFmtId="0" fontId="5" fillId="0" borderId="76" xfId="0" applyFont="1" applyFill="1" applyBorder="1" applyAlignment="1">
      <alignment horizontal="center" vertical="center" wrapText="1"/>
    </xf>
    <xf numFmtId="0" fontId="8" fillId="0" borderId="63" xfId="9" applyFont="1" applyFill="1" applyBorder="1" applyAlignment="1">
      <alignment horizontal="center" vertical="center"/>
    </xf>
    <xf numFmtId="0" fontId="5" fillId="0" borderId="76" xfId="0" applyFont="1" applyFill="1" applyBorder="1" applyAlignment="1">
      <alignment horizontal="center" vertical="center"/>
    </xf>
    <xf numFmtId="0" fontId="5" fillId="0" borderId="76" xfId="0" applyNumberFormat="1" applyFont="1" applyFill="1" applyBorder="1" applyAlignment="1">
      <alignment horizontal="center" vertical="center"/>
    </xf>
    <xf numFmtId="0" fontId="5" fillId="0" borderId="76" xfId="0" applyNumberFormat="1" applyFont="1" applyFill="1" applyBorder="1" applyAlignment="1">
      <alignment horizontal="center" vertical="center" wrapText="1"/>
    </xf>
    <xf numFmtId="0" fontId="8" fillId="0" borderId="63" xfId="2" applyFont="1" applyFill="1" applyBorder="1" applyAlignment="1">
      <alignment horizontal="center" vertical="center" shrinkToFit="1"/>
    </xf>
    <xf numFmtId="0" fontId="0" fillId="0" borderId="0" xfId="0" applyFill="1">
      <alignment vertical="center"/>
    </xf>
    <xf numFmtId="0" fontId="8" fillId="0" borderId="63" xfId="9" applyFont="1" applyFill="1" applyBorder="1" applyAlignment="1">
      <alignment horizontal="center" vertical="center" shrinkToFit="1"/>
    </xf>
    <xf numFmtId="0" fontId="8" fillId="0" borderId="70" xfId="9" applyFont="1" applyFill="1" applyBorder="1" applyAlignment="1">
      <alignment horizontal="center" vertical="center"/>
    </xf>
    <xf numFmtId="0" fontId="8" fillId="0" borderId="70" xfId="2" applyFont="1" applyFill="1" applyBorder="1" applyAlignment="1">
      <alignment horizontal="center" vertical="center" shrinkToFit="1"/>
    </xf>
    <xf numFmtId="0" fontId="8" fillId="0" borderId="0" xfId="0" applyFont="1" applyFill="1" applyBorder="1">
      <alignment vertical="center"/>
    </xf>
    <xf numFmtId="0" fontId="104" fillId="73" borderId="44" xfId="0" applyFont="1" applyFill="1" applyBorder="1">
      <alignment vertical="center"/>
    </xf>
    <xf numFmtId="0" fontId="104" fillId="73" borderId="44" xfId="9" applyFont="1" applyFill="1" applyBorder="1">
      <alignment vertical="center"/>
    </xf>
    <xf numFmtId="0" fontId="104" fillId="73" borderId="44" xfId="0" applyFont="1" applyFill="1" applyBorder="1" applyAlignment="1">
      <alignment horizontal="center" vertical="center"/>
    </xf>
    <xf numFmtId="0" fontId="104" fillId="73" borderId="44" xfId="2" applyFont="1" applyFill="1" applyBorder="1" applyAlignment="1">
      <alignment horizontal="center" vertical="center" shrinkToFit="1"/>
    </xf>
    <xf numFmtId="0" fontId="104" fillId="73" borderId="44" xfId="9" applyFont="1" applyFill="1" applyBorder="1" applyAlignment="1">
      <alignment vertical="center"/>
    </xf>
    <xf numFmtId="0" fontId="104" fillId="73" borderId="44" xfId="0" applyFont="1" applyFill="1" applyBorder="1" applyAlignment="1">
      <alignment vertical="center"/>
    </xf>
    <xf numFmtId="0" fontId="104" fillId="73" borderId="44" xfId="9" applyFont="1" applyFill="1" applyBorder="1" applyAlignment="1">
      <alignment horizontal="center" vertical="center"/>
    </xf>
    <xf numFmtId="0" fontId="104" fillId="73" borderId="0" xfId="0" applyFont="1" applyFill="1">
      <alignment vertical="center"/>
    </xf>
    <xf numFmtId="0" fontId="104" fillId="0" borderId="93" xfId="0" applyFont="1" applyFill="1" applyBorder="1">
      <alignment vertical="center"/>
    </xf>
    <xf numFmtId="0" fontId="104" fillId="73" borderId="93" xfId="0" applyFont="1" applyFill="1" applyBorder="1">
      <alignment vertical="center"/>
    </xf>
    <xf numFmtId="0" fontId="102" fillId="74" borderId="93" xfId="1" applyFont="1" applyFill="1" applyBorder="1" applyAlignment="1">
      <alignment horizontal="center" vertical="center"/>
    </xf>
    <xf numFmtId="0" fontId="6" fillId="13" borderId="44" xfId="0" applyFont="1" applyFill="1" applyBorder="1" applyAlignment="1">
      <alignment vertical="center"/>
    </xf>
    <xf numFmtId="0" fontId="104" fillId="0" borderId="93" xfId="0" applyFont="1" applyFill="1" applyBorder="1" applyAlignment="1">
      <alignment vertical="center" wrapText="1"/>
    </xf>
    <xf numFmtId="0" fontId="104" fillId="7" borderId="44" xfId="9" applyFont="1" applyFill="1" applyBorder="1">
      <alignment vertical="center"/>
    </xf>
    <xf numFmtId="0" fontId="104" fillId="7" borderId="44" xfId="9" applyFont="1" applyFill="1" applyBorder="1" applyAlignment="1">
      <alignment vertical="center" wrapText="1"/>
    </xf>
    <xf numFmtId="0" fontId="104" fillId="7" borderId="44" xfId="9" applyFont="1" applyFill="1" applyBorder="1" applyAlignment="1">
      <alignment horizontal="center" vertical="center" wrapText="1"/>
    </xf>
    <xf numFmtId="0" fontId="99" fillId="7" borderId="0" xfId="0" applyFont="1" applyFill="1">
      <alignment vertical="center"/>
    </xf>
    <xf numFmtId="0" fontId="104" fillId="7" borderId="93" xfId="9" applyFont="1" applyFill="1" applyBorder="1">
      <alignment vertical="center"/>
    </xf>
    <xf numFmtId="0" fontId="104" fillId="7" borderId="93" xfId="9" applyFont="1" applyFill="1" applyBorder="1" applyAlignment="1">
      <alignment horizontal="center" vertical="center" wrapText="1"/>
    </xf>
    <xf numFmtId="0" fontId="104" fillId="7" borderId="93" xfId="9" applyFont="1" applyFill="1" applyBorder="1" applyAlignment="1">
      <alignment vertical="center" wrapText="1"/>
    </xf>
    <xf numFmtId="0" fontId="99" fillId="7" borderId="93" xfId="0" applyFont="1" applyFill="1" applyBorder="1" applyAlignment="1">
      <alignment horizontal="center" vertical="center"/>
    </xf>
    <xf numFmtId="0" fontId="104" fillId="10" borderId="44" xfId="0" applyFont="1" applyFill="1" applyBorder="1">
      <alignment vertical="center"/>
    </xf>
    <xf numFmtId="0" fontId="104" fillId="10" borderId="44" xfId="0" applyFont="1" applyFill="1" applyBorder="1" applyAlignment="1">
      <alignment horizontal="center" vertical="center"/>
    </xf>
    <xf numFmtId="0" fontId="104" fillId="10" borderId="44" xfId="0" applyFont="1" applyFill="1" applyBorder="1" applyAlignment="1">
      <alignment vertical="center"/>
    </xf>
    <xf numFmtId="0" fontId="104" fillId="10" borderId="44" xfId="2" applyFont="1" applyFill="1" applyBorder="1" applyAlignment="1">
      <alignment horizontal="center" vertical="center" shrinkToFit="1"/>
    </xf>
    <xf numFmtId="0" fontId="104" fillId="10" borderId="93" xfId="0" applyFont="1" applyFill="1" applyBorder="1">
      <alignment vertical="center"/>
    </xf>
    <xf numFmtId="0" fontId="104" fillId="10" borderId="0" xfId="0" applyFont="1" applyFill="1">
      <alignment vertical="center"/>
    </xf>
    <xf numFmtId="0" fontId="99" fillId="0" borderId="93" xfId="0" applyFont="1" applyFill="1" applyBorder="1">
      <alignment vertical="center"/>
    </xf>
    <xf numFmtId="0" fontId="99" fillId="0" borderId="93" xfId="0" applyFont="1" applyFill="1" applyBorder="1" applyAlignment="1">
      <alignment vertical="center" wrapText="1"/>
    </xf>
    <xf numFmtId="0" fontId="99" fillId="0" borderId="0" xfId="0" applyFont="1" applyFill="1">
      <alignment vertical="center"/>
    </xf>
    <xf numFmtId="49" fontId="104" fillId="0" borderId="44" xfId="0" applyNumberFormat="1" applyFont="1" applyFill="1" applyBorder="1">
      <alignment vertical="center"/>
    </xf>
    <xf numFmtId="0" fontId="104" fillId="0" borderId="93" xfId="0" applyFont="1" applyFill="1" applyBorder="1" applyAlignment="1">
      <alignment horizontal="center" vertical="center"/>
    </xf>
    <xf numFmtId="0" fontId="104" fillId="0" borderId="93" xfId="0" applyFont="1" applyFill="1" applyBorder="1" applyAlignment="1">
      <alignment vertical="center"/>
    </xf>
    <xf numFmtId="0" fontId="104" fillId="0" borderId="93" xfId="0" quotePrefix="1" applyFont="1" applyFill="1" applyBorder="1">
      <alignment vertical="center"/>
    </xf>
    <xf numFmtId="0" fontId="104" fillId="0" borderId="93" xfId="9" applyFont="1" applyFill="1" applyBorder="1" applyAlignment="1">
      <alignment horizontal="center" vertical="center"/>
    </xf>
    <xf numFmtId="0" fontId="104" fillId="0" borderId="93" xfId="9" applyFont="1" applyFill="1" applyBorder="1" applyAlignment="1">
      <alignment horizontal="center" vertical="center" shrinkToFit="1"/>
    </xf>
    <xf numFmtId="0" fontId="104" fillId="0" borderId="93" xfId="9" applyFont="1" applyFill="1" applyBorder="1">
      <alignment vertical="center"/>
    </xf>
    <xf numFmtId="0" fontId="99" fillId="0" borderId="0" xfId="0" applyFont="1" applyBorder="1">
      <alignment vertical="center"/>
    </xf>
    <xf numFmtId="0" fontId="104" fillId="13" borderId="93" xfId="0" applyFont="1" applyFill="1" applyBorder="1" applyAlignment="1">
      <alignment horizontal="center" vertical="center"/>
    </xf>
    <xf numFmtId="0" fontId="104" fillId="0" borderId="93" xfId="0" applyFont="1" applyFill="1" applyBorder="1" applyAlignment="1">
      <alignment horizontal="center" vertical="center" shrinkToFit="1"/>
    </xf>
    <xf numFmtId="0" fontId="100" fillId="45" borderId="93" xfId="0" applyFont="1" applyFill="1" applyBorder="1" applyAlignment="1">
      <alignment horizontal="center" vertical="center"/>
    </xf>
    <xf numFmtId="0" fontId="104" fillId="13" borderId="93" xfId="0" applyFont="1" applyFill="1" applyBorder="1" applyAlignment="1">
      <alignment vertical="center"/>
    </xf>
    <xf numFmtId="0" fontId="104" fillId="13" borderId="93" xfId="2" applyFont="1" applyFill="1" applyBorder="1" applyAlignment="1">
      <alignment horizontal="center" vertical="center" shrinkToFit="1"/>
    </xf>
    <xf numFmtId="0" fontId="104" fillId="0" borderId="93" xfId="0" applyFont="1" applyFill="1" applyBorder="1" applyAlignment="1">
      <alignment horizontal="center" vertical="center" wrapText="1"/>
    </xf>
    <xf numFmtId="0" fontId="104" fillId="0" borderId="93" xfId="2" applyFont="1" applyFill="1" applyBorder="1" applyAlignment="1">
      <alignment horizontal="center" vertical="center" shrinkToFit="1"/>
    </xf>
    <xf numFmtId="0" fontId="99" fillId="0" borderId="93" xfId="0" applyFont="1" applyBorder="1" applyAlignment="1">
      <alignment vertical="center"/>
    </xf>
    <xf numFmtId="0" fontId="0" fillId="75" borderId="93" xfId="0" applyFill="1" applyBorder="1" applyAlignment="1">
      <alignment horizontal="left" vertical="center"/>
    </xf>
    <xf numFmtId="0" fontId="99" fillId="75" borderId="93" xfId="0" applyFont="1" applyFill="1" applyBorder="1" applyAlignment="1">
      <alignment horizontal="left" vertical="center"/>
    </xf>
    <xf numFmtId="0" fontId="99" fillId="75" borderId="93" xfId="0" applyFont="1" applyFill="1" applyBorder="1" applyAlignment="1">
      <alignment horizontal="center" vertical="center"/>
    </xf>
    <xf numFmtId="0" fontId="104" fillId="0" borderId="1" xfId="7" applyFont="1" applyFill="1" applyBorder="1" applyAlignment="1">
      <alignment vertical="center"/>
    </xf>
    <xf numFmtId="0" fontId="104" fillId="13" borderId="7" xfId="0" applyFont="1" applyFill="1" applyBorder="1" applyAlignment="1">
      <alignment horizontal="center" vertical="center"/>
    </xf>
    <xf numFmtId="0" fontId="99" fillId="13" borderId="44" xfId="0" applyFont="1" applyFill="1" applyBorder="1" applyAlignment="1">
      <alignment vertical="center"/>
    </xf>
    <xf numFmtId="0" fontId="99" fillId="13" borderId="44" xfId="0" applyFont="1" applyFill="1" applyBorder="1">
      <alignment vertical="center"/>
    </xf>
    <xf numFmtId="0" fontId="104" fillId="13" borderId="101" xfId="0" applyFont="1" applyFill="1" applyBorder="1" applyAlignment="1">
      <alignment horizontal="center" vertical="center"/>
    </xf>
    <xf numFmtId="0" fontId="104" fillId="0" borderId="101" xfId="0" applyFont="1" applyFill="1" applyBorder="1" applyAlignment="1">
      <alignment horizontal="center" vertical="center" shrinkToFit="1"/>
    </xf>
    <xf numFmtId="0" fontId="104" fillId="0" borderId="101" xfId="7" applyFont="1" applyFill="1" applyBorder="1" applyAlignment="1">
      <alignment vertical="center"/>
    </xf>
    <xf numFmtId="0" fontId="104" fillId="13" borderId="101" xfId="2" applyFont="1" applyFill="1" applyBorder="1" applyAlignment="1">
      <alignment horizontal="center" vertical="center" shrinkToFit="1"/>
    </xf>
    <xf numFmtId="0" fontId="104" fillId="13" borderId="102" xfId="0" applyFont="1" applyFill="1" applyBorder="1" applyAlignment="1">
      <alignment horizontal="center" vertical="center"/>
    </xf>
    <xf numFmtId="0" fontId="104" fillId="13" borderId="101" xfId="0" applyFont="1" applyFill="1" applyBorder="1" applyAlignment="1">
      <alignment vertical="center"/>
    </xf>
    <xf numFmtId="0" fontId="99" fillId="13" borderId="101" xfId="0" applyFont="1" applyFill="1" applyBorder="1" applyAlignment="1">
      <alignment vertical="center"/>
    </xf>
    <xf numFmtId="0" fontId="99" fillId="13" borderId="101" xfId="0" applyFont="1" applyFill="1" applyBorder="1">
      <alignment vertical="center"/>
    </xf>
    <xf numFmtId="0" fontId="104" fillId="2" borderId="88" xfId="0" applyFont="1" applyFill="1" applyBorder="1" applyAlignment="1">
      <alignment horizontal="center" vertical="center"/>
    </xf>
    <xf numFmtId="0" fontId="104" fillId="2" borderId="88" xfId="0" applyFont="1" applyFill="1" applyBorder="1" applyAlignment="1">
      <alignment horizontal="center" vertical="center" shrinkToFit="1"/>
    </xf>
    <xf numFmtId="0" fontId="104" fillId="2" borderId="88" xfId="0" applyFont="1" applyFill="1" applyBorder="1" applyAlignment="1">
      <alignment vertical="center" shrinkToFit="1"/>
    </xf>
    <xf numFmtId="0" fontId="104" fillId="2" borderId="88" xfId="0" applyFont="1" applyFill="1" applyBorder="1">
      <alignment vertical="center"/>
    </xf>
    <xf numFmtId="0" fontId="104" fillId="2" borderId="88" xfId="0" applyFont="1" applyFill="1" applyBorder="1" applyAlignment="1">
      <alignment vertical="center"/>
    </xf>
    <xf numFmtId="0" fontId="99" fillId="13" borderId="88" xfId="0" applyFont="1" applyFill="1" applyBorder="1" applyAlignment="1">
      <alignment vertical="center"/>
    </xf>
    <xf numFmtId="0" fontId="99" fillId="13" borderId="88" xfId="0" applyFont="1" applyFill="1" applyBorder="1">
      <alignment vertical="center"/>
    </xf>
    <xf numFmtId="0" fontId="104" fillId="2" borderId="88" xfId="2" applyFont="1" applyFill="1" applyBorder="1" applyAlignment="1">
      <alignment horizontal="center" vertical="center" shrinkToFit="1"/>
    </xf>
    <xf numFmtId="0" fontId="104" fillId="2" borderId="88" xfId="6" applyFont="1" applyFill="1" applyBorder="1" applyAlignment="1">
      <alignment vertical="center"/>
    </xf>
    <xf numFmtId="0" fontId="99" fillId="75" borderId="88" xfId="0" applyFont="1" applyFill="1" applyBorder="1" applyAlignment="1">
      <alignment horizontal="left" vertical="center"/>
    </xf>
    <xf numFmtId="0" fontId="99" fillId="75" borderId="88" xfId="0" applyFont="1" applyFill="1" applyBorder="1" applyAlignment="1">
      <alignment horizontal="center" vertical="center"/>
    </xf>
    <xf numFmtId="0" fontId="99" fillId="0" borderId="88" xfId="0" applyFont="1" applyBorder="1">
      <alignment vertical="center"/>
    </xf>
    <xf numFmtId="0" fontId="104" fillId="0" borderId="88" xfId="0" applyFont="1" applyFill="1" applyBorder="1" applyAlignment="1">
      <alignment horizontal="center" vertical="center" shrinkToFit="1"/>
    </xf>
    <xf numFmtId="0" fontId="99" fillId="0" borderId="88" xfId="0" applyFont="1" applyBorder="1" applyAlignment="1">
      <alignment horizontal="center" vertical="center"/>
    </xf>
    <xf numFmtId="0" fontId="99" fillId="0" borderId="3" xfId="0" applyFont="1" applyFill="1" applyBorder="1" applyAlignment="1">
      <alignment vertical="center" shrinkToFit="1"/>
    </xf>
    <xf numFmtId="0" fontId="99" fillId="0" borderId="93" xfId="0" applyFont="1" applyFill="1" applyBorder="1" applyAlignment="1">
      <alignment horizontal="center" vertical="center" shrinkToFit="1"/>
    </xf>
    <xf numFmtId="0" fontId="99" fillId="2" borderId="3" xfId="0" applyFont="1" applyFill="1" applyBorder="1" applyAlignment="1">
      <alignment vertical="center" shrinkToFit="1"/>
    </xf>
    <xf numFmtId="0" fontId="99" fillId="76" borderId="3" xfId="0" applyFont="1" applyFill="1" applyBorder="1" applyAlignment="1">
      <alignment vertical="center" shrinkToFit="1"/>
    </xf>
    <xf numFmtId="0" fontId="99" fillId="76" borderId="93" xfId="0" applyFont="1" applyFill="1" applyBorder="1" applyAlignment="1">
      <alignment horizontal="center" vertical="center" shrinkToFit="1"/>
    </xf>
    <xf numFmtId="0" fontId="99" fillId="0" borderId="93" xfId="0" applyFont="1" applyFill="1" applyBorder="1" applyAlignment="1">
      <alignment horizontal="left" vertical="center" shrinkToFit="1"/>
    </xf>
    <xf numFmtId="0" fontId="99" fillId="2" borderId="93" xfId="0" applyFont="1" applyFill="1" applyBorder="1" applyAlignment="1">
      <alignment horizontal="center" vertical="center" shrinkToFit="1"/>
    </xf>
    <xf numFmtId="0" fontId="99" fillId="0" borderId="93" xfId="0" applyFont="1" applyFill="1" applyBorder="1" applyAlignment="1">
      <alignment vertical="center" shrinkToFit="1"/>
    </xf>
    <xf numFmtId="0" fontId="100" fillId="0" borderId="93" xfId="0" applyFont="1" applyFill="1" applyBorder="1" applyAlignment="1">
      <alignment horizontal="center" vertical="center" shrinkToFit="1"/>
    </xf>
    <xf numFmtId="0" fontId="100" fillId="0" borderId="93" xfId="0" applyFont="1" applyFill="1" applyBorder="1" applyAlignment="1">
      <alignment vertical="center" shrinkToFit="1"/>
    </xf>
    <xf numFmtId="0" fontId="99" fillId="77" borderId="93" xfId="0" applyFont="1" applyFill="1" applyBorder="1" applyAlignment="1">
      <alignment horizontal="center" vertical="center" shrinkToFit="1"/>
    </xf>
    <xf numFmtId="0" fontId="103" fillId="77" borderId="93" xfId="0" applyFont="1" applyFill="1" applyBorder="1" applyAlignment="1">
      <alignment vertical="center" shrinkToFit="1"/>
    </xf>
    <xf numFmtId="0" fontId="99" fillId="77" borderId="93" xfId="0" applyFont="1" applyFill="1" applyBorder="1" applyAlignment="1">
      <alignment vertical="center" shrinkToFit="1"/>
    </xf>
    <xf numFmtId="0" fontId="99" fillId="78" borderId="93" xfId="0" applyFont="1" applyFill="1" applyBorder="1" applyAlignment="1">
      <alignment vertical="center" shrinkToFit="1"/>
    </xf>
    <xf numFmtId="0" fontId="99" fillId="78" borderId="93" xfId="0" applyFont="1" applyFill="1" applyBorder="1" applyAlignment="1">
      <alignment horizontal="center" vertical="center" shrinkToFit="1"/>
    </xf>
    <xf numFmtId="0" fontId="103" fillId="0" borderId="93" xfId="0" applyFont="1" applyFill="1" applyBorder="1" applyAlignment="1">
      <alignment vertical="center" shrinkToFit="1"/>
    </xf>
    <xf numFmtId="0" fontId="99" fillId="2" borderId="93" xfId="0" applyFont="1" applyFill="1" applyBorder="1" applyAlignment="1">
      <alignment vertical="center" shrinkToFit="1"/>
    </xf>
    <xf numFmtId="0" fontId="99" fillId="78" borderId="3" xfId="0" applyFont="1" applyFill="1" applyBorder="1" applyAlignment="1">
      <alignment vertical="center" shrinkToFit="1"/>
    </xf>
    <xf numFmtId="0" fontId="99" fillId="2" borderId="93" xfId="4627" applyFont="1" applyFill="1" applyBorder="1" applyAlignment="1">
      <alignment horizontal="left" vertical="center" shrinkToFit="1"/>
    </xf>
    <xf numFmtId="0" fontId="99" fillId="13" borderId="93" xfId="4627" applyFont="1" applyFill="1" applyBorder="1" applyAlignment="1">
      <alignment horizontal="center" vertical="center" shrinkToFit="1"/>
    </xf>
    <xf numFmtId="0" fontId="99" fillId="13" borderId="93" xfId="4627" applyFont="1" applyFill="1" applyBorder="1" applyAlignment="1">
      <alignment horizontal="left" vertical="center" shrinkToFit="1"/>
    </xf>
    <xf numFmtId="0" fontId="99" fillId="2" borderId="93" xfId="0" applyFont="1" applyFill="1" applyBorder="1" applyAlignment="1">
      <alignment horizontal="left" vertical="center" shrinkToFit="1"/>
    </xf>
    <xf numFmtId="0" fontId="103" fillId="78" borderId="3" xfId="0" applyFont="1" applyFill="1" applyBorder="1" applyAlignment="1">
      <alignment vertical="center" shrinkToFit="1"/>
    </xf>
    <xf numFmtId="0" fontId="103" fillId="79" borderId="3" xfId="0" applyFont="1" applyFill="1" applyBorder="1" applyAlignment="1">
      <alignment vertical="center" shrinkToFit="1"/>
    </xf>
    <xf numFmtId="0" fontId="99" fillId="79" borderId="93" xfId="0" applyFont="1" applyFill="1" applyBorder="1" applyAlignment="1">
      <alignment horizontal="center" vertical="center" shrinkToFit="1"/>
    </xf>
    <xf numFmtId="0" fontId="99" fillId="77" borderId="3" xfId="0" applyFont="1" applyFill="1" applyBorder="1" applyAlignment="1">
      <alignment vertical="center" shrinkToFit="1"/>
    </xf>
    <xf numFmtId="0" fontId="99" fillId="79" borderId="3" xfId="0" applyFont="1" applyFill="1" applyBorder="1" applyAlignment="1">
      <alignment vertical="center" shrinkToFit="1"/>
    </xf>
    <xf numFmtId="0" fontId="102" fillId="0" borderId="44" xfId="0" applyFont="1" applyFill="1" applyBorder="1">
      <alignment vertical="center"/>
    </xf>
    <xf numFmtId="0" fontId="103" fillId="0" borderId="0" xfId="0" applyFont="1">
      <alignment vertical="center"/>
    </xf>
    <xf numFmtId="0" fontId="5" fillId="0" borderId="93" xfId="0" applyFont="1" applyFill="1" applyBorder="1" applyAlignment="1">
      <alignment horizontal="center" vertical="center"/>
    </xf>
    <xf numFmtId="0" fontId="5" fillId="0" borderId="93" xfId="0" applyFont="1" applyFill="1" applyBorder="1" applyAlignment="1">
      <alignment vertical="center"/>
    </xf>
    <xf numFmtId="0" fontId="5" fillId="0" borderId="93" xfId="2" applyFont="1" applyFill="1" applyBorder="1" applyAlignment="1">
      <alignment horizontal="center" vertical="center" shrinkToFit="1"/>
    </xf>
    <xf numFmtId="0" fontId="0" fillId="75" borderId="93" xfId="0" applyFill="1" applyBorder="1" applyAlignment="1">
      <alignment horizontal="center" vertical="center"/>
    </xf>
    <xf numFmtId="0" fontId="0" fillId="0" borderId="93" xfId="0" applyFill="1" applyBorder="1" applyAlignment="1">
      <alignment horizontal="left" vertical="center"/>
    </xf>
    <xf numFmtId="0" fontId="0" fillId="0" borderId="93" xfId="0" applyFill="1" applyBorder="1" applyAlignment="1">
      <alignment horizontal="center" vertical="center"/>
    </xf>
    <xf numFmtId="0" fontId="120" fillId="7" borderId="93" xfId="5027" applyFill="1" applyBorder="1">
      <alignment vertical="center"/>
    </xf>
    <xf numFmtId="0" fontId="99" fillId="82" borderId="0" xfId="0" applyFont="1" applyFill="1">
      <alignment vertical="center"/>
    </xf>
    <xf numFmtId="0" fontId="99" fillId="82" borderId="93" xfId="0" applyFont="1" applyFill="1" applyBorder="1">
      <alignment vertical="center"/>
    </xf>
    <xf numFmtId="0" fontId="99" fillId="45" borderId="93" xfId="0" applyFont="1" applyFill="1" applyBorder="1">
      <alignment vertical="center"/>
    </xf>
    <xf numFmtId="0" fontId="99" fillId="76" borderId="0" xfId="0" applyFont="1" applyFill="1">
      <alignment vertical="center"/>
    </xf>
    <xf numFmtId="0" fontId="99" fillId="83" borderId="0" xfId="0" applyFont="1" applyFill="1">
      <alignment vertical="center"/>
    </xf>
    <xf numFmtId="49" fontId="99" fillId="83" borderId="93" xfId="0" applyNumberFormat="1" applyFont="1" applyFill="1" applyBorder="1">
      <alignment vertical="center"/>
    </xf>
    <xf numFmtId="0" fontId="121" fillId="12" borderId="93" xfId="0" applyFont="1" applyFill="1" applyBorder="1">
      <alignment vertical="center"/>
    </xf>
    <xf numFmtId="0" fontId="99" fillId="78" borderId="93" xfId="0" applyFont="1" applyFill="1" applyBorder="1">
      <alignment vertical="center"/>
    </xf>
    <xf numFmtId="49" fontId="99" fillId="5" borderId="93" xfId="0" applyNumberFormat="1" applyFont="1" applyFill="1" applyBorder="1">
      <alignment vertical="center"/>
    </xf>
    <xf numFmtId="0" fontId="103" fillId="0" borderId="93" xfId="0" applyFont="1" applyBorder="1">
      <alignment vertical="center"/>
    </xf>
    <xf numFmtId="0" fontId="122" fillId="12" borderId="93" xfId="0" applyFont="1" applyFill="1" applyBorder="1">
      <alignment vertical="center"/>
    </xf>
    <xf numFmtId="0" fontId="99" fillId="12" borderId="0" xfId="0" applyFont="1" applyFill="1">
      <alignment vertical="center"/>
    </xf>
    <xf numFmtId="0" fontId="99" fillId="0" borderId="93" xfId="0" quotePrefix="1" applyFont="1" applyBorder="1">
      <alignment vertical="center"/>
    </xf>
    <xf numFmtId="49" fontId="99" fillId="0" borderId="93" xfId="0" applyNumberFormat="1" applyFont="1" applyBorder="1">
      <alignment vertical="center"/>
    </xf>
    <xf numFmtId="0" fontId="96" fillId="0" borderId="0" xfId="0" applyFont="1">
      <alignment vertical="center"/>
    </xf>
    <xf numFmtId="0" fontId="123" fillId="0" borderId="0" xfId="0" applyFont="1">
      <alignment vertical="center"/>
    </xf>
    <xf numFmtId="0" fontId="104" fillId="0" borderId="0" xfId="0" quotePrefix="1" applyFont="1" applyFill="1" applyBorder="1">
      <alignment vertical="center"/>
    </xf>
    <xf numFmtId="0" fontId="104" fillId="0" borderId="0" xfId="0" applyFont="1" applyFill="1" applyBorder="1" applyAlignment="1">
      <alignment vertical="center"/>
    </xf>
    <xf numFmtId="0" fontId="106" fillId="0" borderId="44" xfId="9" applyFont="1" applyFill="1" applyBorder="1" applyAlignment="1">
      <alignment horizontal="center" vertical="center" shrinkToFit="1"/>
    </xf>
    <xf numFmtId="0" fontId="106" fillId="0" borderId="93" xfId="0" applyFont="1" applyFill="1" applyBorder="1">
      <alignment vertical="center"/>
    </xf>
    <xf numFmtId="0" fontId="106" fillId="0" borderId="0" xfId="0" applyFont="1" applyFill="1">
      <alignment vertical="center"/>
    </xf>
    <xf numFmtId="0" fontId="101" fillId="0" borderId="0" xfId="0" applyFont="1" applyBorder="1">
      <alignment vertical="center"/>
    </xf>
    <xf numFmtId="0" fontId="103" fillId="2" borderId="93" xfId="0" applyFont="1" applyFill="1" applyBorder="1">
      <alignment vertical="center"/>
    </xf>
    <xf numFmtId="0" fontId="104" fillId="0" borderId="0" xfId="0" applyFont="1" applyFill="1" applyBorder="1">
      <alignment vertical="center"/>
    </xf>
    <xf numFmtId="0" fontId="103" fillId="2" borderId="0" xfId="0" applyFont="1" applyFill="1">
      <alignment vertical="center"/>
    </xf>
    <xf numFmtId="0" fontId="99" fillId="78" borderId="103" xfId="0" applyFont="1" applyFill="1" applyBorder="1">
      <alignment vertical="center"/>
    </xf>
    <xf numFmtId="0" fontId="124" fillId="6" borderId="103" xfId="0" applyFont="1" applyFill="1" applyBorder="1">
      <alignment vertical="center"/>
    </xf>
    <xf numFmtId="0" fontId="103" fillId="78" borderId="103" xfId="0" applyFont="1" applyFill="1" applyBorder="1">
      <alignment vertical="center"/>
    </xf>
    <xf numFmtId="0" fontId="99" fillId="2" borderId="103" xfId="0" applyFont="1" applyFill="1" applyBorder="1">
      <alignment vertical="center"/>
    </xf>
    <xf numFmtId="0" fontId="99" fillId="46" borderId="103" xfId="0" applyFont="1" applyFill="1" applyBorder="1">
      <alignment vertical="center"/>
    </xf>
    <xf numFmtId="0" fontId="5" fillId="0" borderId="93" xfId="0" applyFont="1" applyFill="1" applyBorder="1" applyAlignment="1">
      <alignment horizontal="center" vertical="center" shrinkToFit="1"/>
    </xf>
    <xf numFmtId="0" fontId="5" fillId="0" borderId="93" xfId="0" applyFont="1" applyFill="1" applyBorder="1" applyAlignment="1">
      <alignment vertical="center" wrapText="1"/>
    </xf>
    <xf numFmtId="0" fontId="5" fillId="0" borderId="44" xfId="0" applyFont="1" applyFill="1" applyBorder="1" applyAlignment="1">
      <alignment vertical="center" wrapText="1"/>
    </xf>
    <xf numFmtId="0" fontId="125" fillId="0" borderId="93" xfId="0" applyFont="1" applyFill="1" applyBorder="1" applyAlignment="1">
      <alignment horizontal="center" vertical="center"/>
    </xf>
    <xf numFmtId="0" fontId="125" fillId="0" borderId="93" xfId="0" applyFont="1" applyFill="1" applyBorder="1" applyAlignment="1">
      <alignment horizontal="left" vertical="center"/>
    </xf>
    <xf numFmtId="0" fontId="8" fillId="0" borderId="93" xfId="0" applyFont="1" applyFill="1" applyBorder="1" applyAlignment="1">
      <alignment vertical="center"/>
    </xf>
    <xf numFmtId="0" fontId="6" fillId="0" borderId="93" xfId="0" applyFont="1" applyBorder="1">
      <alignment vertical="center"/>
    </xf>
    <xf numFmtId="0" fontId="99" fillId="84" borderId="93" xfId="0" applyFont="1" applyFill="1" applyBorder="1" applyAlignment="1">
      <alignment horizontal="center" vertical="center"/>
    </xf>
    <xf numFmtId="0" fontId="99" fillId="0" borderId="93" xfId="0" applyFont="1" applyBorder="1" applyAlignment="1">
      <alignment horizontal="center" vertical="center" shrinkToFit="1"/>
    </xf>
    <xf numFmtId="0" fontId="99" fillId="0" borderId="93" xfId="0" applyFont="1" applyBorder="1" applyAlignment="1">
      <alignment horizontal="left" vertical="center" shrinkToFit="1"/>
    </xf>
    <xf numFmtId="0" fontId="99" fillId="0" borderId="93" xfId="5028" applyFont="1" applyBorder="1" applyAlignment="1">
      <alignment horizontal="left" vertical="center" shrinkToFit="1"/>
    </xf>
    <xf numFmtId="0" fontId="103" fillId="84" borderId="93" xfId="0" applyFont="1" applyFill="1" applyBorder="1" applyAlignment="1">
      <alignment horizontal="center" vertical="center"/>
    </xf>
    <xf numFmtId="0" fontId="99" fillId="0" borderId="93" xfId="0" applyFont="1" applyBorder="1" applyAlignment="1">
      <alignment horizontal="center" vertical="center"/>
    </xf>
    <xf numFmtId="0" fontId="103" fillId="0" borderId="93" xfId="0" applyFont="1" applyBorder="1" applyAlignment="1">
      <alignment horizontal="left" vertical="center" shrinkToFit="1"/>
    </xf>
    <xf numFmtId="0" fontId="103" fillId="0" borderId="93" xfId="0" applyFont="1" applyBorder="1" applyAlignment="1">
      <alignment horizontal="center" vertical="center" shrinkToFit="1"/>
    </xf>
    <xf numFmtId="0" fontId="99" fillId="0" borderId="93" xfId="0" applyFont="1" applyBorder="1" applyAlignment="1">
      <alignment horizontal="center" vertical="center" wrapText="1"/>
    </xf>
    <xf numFmtId="0" fontId="103" fillId="0" borderId="93" xfId="0" applyFont="1" applyBorder="1" applyAlignment="1">
      <alignment horizontal="center" vertical="center"/>
    </xf>
    <xf numFmtId="0" fontId="99" fillId="0" borderId="93" xfId="0" applyFont="1" applyBorder="1" applyAlignment="1">
      <alignment horizontal="left" vertical="center"/>
    </xf>
    <xf numFmtId="0" fontId="100" fillId="0" borderId="93" xfId="0" applyFont="1" applyBorder="1" applyAlignment="1">
      <alignment horizontal="left" vertical="center" shrinkToFit="1"/>
    </xf>
    <xf numFmtId="0" fontId="102" fillId="0" borderId="93" xfId="0" applyFont="1" applyFill="1" applyBorder="1">
      <alignment vertical="center"/>
    </xf>
    <xf numFmtId="0" fontId="102" fillId="0" borderId="0" xfId="0" applyFont="1" applyFill="1">
      <alignment vertical="center"/>
    </xf>
    <xf numFmtId="0" fontId="126" fillId="0" borderId="44" xfId="0" applyFont="1" applyFill="1" applyBorder="1">
      <alignment vertical="center"/>
    </xf>
    <xf numFmtId="0" fontId="126" fillId="0" borderId="44" xfId="0" applyFont="1" applyFill="1" applyBorder="1" applyAlignment="1">
      <alignment horizontal="center" vertical="center"/>
    </xf>
    <xf numFmtId="0" fontId="126" fillId="0" borderId="44" xfId="0" applyFont="1" applyFill="1" applyBorder="1" applyAlignment="1">
      <alignment vertical="center"/>
    </xf>
    <xf numFmtId="0" fontId="126" fillId="0" borderId="44" xfId="0" applyFont="1" applyFill="1" applyBorder="1" applyAlignment="1">
      <alignment vertical="center" wrapText="1"/>
    </xf>
    <xf numFmtId="0" fontId="126" fillId="0" borderId="44" xfId="6" applyFont="1" applyFill="1" applyBorder="1" applyAlignment="1">
      <alignment horizontal="center" vertical="center"/>
    </xf>
    <xf numFmtId="0" fontId="126" fillId="0" borderId="93" xfId="0" applyFont="1" applyFill="1" applyBorder="1">
      <alignment vertical="center"/>
    </xf>
    <xf numFmtId="0" fontId="126" fillId="0" borderId="0" xfId="0" applyFont="1" applyFill="1">
      <alignment vertical="center"/>
    </xf>
    <xf numFmtId="0" fontId="99" fillId="2" borderId="93" xfId="0" applyFont="1" applyFill="1" applyBorder="1" applyAlignment="1">
      <alignment vertical="center" wrapText="1"/>
    </xf>
    <xf numFmtId="0" fontId="25" fillId="11" borderId="93" xfId="0" applyFont="1" applyFill="1" applyBorder="1" applyAlignment="1">
      <alignment horizontal="center" vertical="center" shrinkToFit="1"/>
    </xf>
    <xf numFmtId="0" fontId="20" fillId="0" borderId="93" xfId="7" applyFont="1" applyFill="1" applyBorder="1" applyAlignment="1">
      <alignment vertical="center"/>
    </xf>
    <xf numFmtId="0" fontId="19" fillId="2" borderId="93" xfId="6" applyFont="1" applyFill="1" applyBorder="1" applyAlignment="1">
      <alignment vertical="center"/>
    </xf>
    <xf numFmtId="0" fontId="128" fillId="11" borderId="1" xfId="0" applyFont="1" applyFill="1" applyBorder="1" applyAlignment="1">
      <alignment horizontal="center" vertical="center" shrinkToFit="1"/>
    </xf>
    <xf numFmtId="0" fontId="128" fillId="11" borderId="1" xfId="0" applyFont="1" applyFill="1" applyBorder="1" applyAlignment="1">
      <alignment horizontal="center" vertical="center"/>
    </xf>
    <xf numFmtId="0" fontId="128" fillId="0" borderId="1" xfId="0" applyFont="1" applyFill="1" applyBorder="1" applyAlignment="1">
      <alignment horizontal="center" vertical="center" shrinkToFit="1"/>
    </xf>
    <xf numFmtId="0" fontId="128" fillId="13" borderId="1" xfId="0" applyFont="1" applyFill="1" applyBorder="1" applyAlignment="1">
      <alignment horizontal="center" vertical="center"/>
    </xf>
    <xf numFmtId="0" fontId="128" fillId="2" borderId="20" xfId="0" applyFont="1" applyFill="1" applyBorder="1" applyAlignment="1">
      <alignment horizontal="center" vertical="center" shrinkToFit="1"/>
    </xf>
    <xf numFmtId="0" fontId="128" fillId="2" borderId="20" xfId="0" applyFont="1" applyFill="1" applyBorder="1" applyAlignment="1">
      <alignment horizontal="center" vertical="center"/>
    </xf>
    <xf numFmtId="0" fontId="128" fillId="2" borderId="1" xfId="0" applyFont="1" applyFill="1" applyBorder="1" applyAlignment="1">
      <alignment horizontal="center" vertical="center" shrinkToFit="1"/>
    </xf>
    <xf numFmtId="0" fontId="128" fillId="2" borderId="1" xfId="2" applyFont="1" applyFill="1" applyBorder="1" applyAlignment="1">
      <alignment horizontal="center" vertical="center" shrinkToFit="1"/>
    </xf>
    <xf numFmtId="0" fontId="129" fillId="13" borderId="0" xfId="0" applyFont="1" applyFill="1" applyAlignment="1">
      <alignment horizontal="center" vertical="center"/>
    </xf>
    <xf numFmtId="0" fontId="19" fillId="0" borderId="101" xfId="6" applyFont="1" applyFill="1" applyBorder="1" applyAlignment="1">
      <alignment vertical="center"/>
    </xf>
    <xf numFmtId="0" fontId="6" fillId="13" borderId="101" xfId="0" applyFont="1" applyFill="1" applyBorder="1">
      <alignment vertical="center"/>
    </xf>
    <xf numFmtId="0" fontId="6" fillId="13" borderId="101" xfId="0" applyFont="1" applyFill="1" applyBorder="1" applyAlignment="1">
      <alignment vertical="center"/>
    </xf>
    <xf numFmtId="0" fontId="132" fillId="0" borderId="44" xfId="0" applyFont="1" applyFill="1" applyBorder="1" applyAlignment="1">
      <alignment vertical="center"/>
    </xf>
    <xf numFmtId="0" fontId="133" fillId="13" borderId="44" xfId="0" applyFont="1" applyFill="1" applyBorder="1" applyAlignment="1">
      <alignment vertical="center"/>
    </xf>
    <xf numFmtId="0" fontId="106" fillId="0" borderId="100" xfId="0" applyFont="1" applyFill="1" applyBorder="1" applyAlignment="1">
      <alignment vertical="center"/>
    </xf>
    <xf numFmtId="0" fontId="106" fillId="0" borderId="100" xfId="0" applyFont="1" applyFill="1" applyBorder="1">
      <alignment vertical="center"/>
    </xf>
    <xf numFmtId="0" fontId="103" fillId="78" borderId="93" xfId="0" applyFont="1" applyFill="1" applyBorder="1">
      <alignment vertical="center"/>
    </xf>
    <xf numFmtId="0" fontId="99" fillId="2" borderId="93" xfId="0" applyFont="1" applyFill="1" applyBorder="1">
      <alignment vertical="center"/>
    </xf>
    <xf numFmtId="0" fontId="104" fillId="0" borderId="93" xfId="0" applyFont="1" applyBorder="1">
      <alignment vertical="center"/>
    </xf>
    <xf numFmtId="0" fontId="106" fillId="0" borderId="93" xfId="0" applyFont="1" applyBorder="1">
      <alignment vertical="center"/>
    </xf>
    <xf numFmtId="0" fontId="107" fillId="0" borderId="93" xfId="0" applyFont="1" applyBorder="1">
      <alignment vertical="center"/>
    </xf>
    <xf numFmtId="0" fontId="106" fillId="0" borderId="93" xfId="0" applyFont="1" applyFill="1" applyBorder="1" applyAlignment="1">
      <alignment horizontal="center" vertical="center"/>
    </xf>
    <xf numFmtId="0" fontId="106" fillId="0" borderId="93" xfId="0" applyFont="1" applyFill="1" applyBorder="1" applyAlignment="1">
      <alignment vertical="center"/>
    </xf>
    <xf numFmtId="0" fontId="106" fillId="0" borderId="93" xfId="0" applyFont="1" applyFill="1" applyBorder="1" applyAlignment="1">
      <alignment vertical="center" wrapText="1"/>
    </xf>
    <xf numFmtId="0" fontId="100" fillId="0" borderId="93" xfId="0" applyFont="1" applyBorder="1">
      <alignment vertical="center"/>
    </xf>
    <xf numFmtId="0" fontId="103" fillId="46" borderId="93" xfId="0" applyFont="1" applyFill="1" applyBorder="1">
      <alignment vertical="center"/>
    </xf>
    <xf numFmtId="0" fontId="99" fillId="46" borderId="93" xfId="0" applyFont="1" applyFill="1" applyBorder="1">
      <alignment vertical="center"/>
    </xf>
    <xf numFmtId="0" fontId="104" fillId="2" borderId="93" xfId="2" applyFont="1" applyFill="1" applyBorder="1" applyAlignment="1">
      <alignment horizontal="center" vertical="center" shrinkToFit="1"/>
    </xf>
    <xf numFmtId="0" fontId="104" fillId="0" borderId="99" xfId="0" applyFont="1" applyFill="1" applyBorder="1" applyAlignment="1">
      <alignment horizontal="center" vertical="center"/>
    </xf>
    <xf numFmtId="0" fontId="104" fillId="0" borderId="102" xfId="0" applyFont="1" applyFill="1" applyBorder="1" applyAlignment="1">
      <alignment horizontal="center" vertical="center"/>
    </xf>
    <xf numFmtId="0" fontId="104" fillId="0" borderId="93" xfId="2" applyFont="1" applyFill="1" applyBorder="1" applyAlignment="1">
      <alignment horizontal="center" vertical="center" wrapText="1" shrinkToFit="1"/>
    </xf>
    <xf numFmtId="0" fontId="104" fillId="2" borderId="44" xfId="0" applyFont="1" applyFill="1" applyBorder="1" applyAlignment="1">
      <alignment horizontal="center" vertical="center"/>
    </xf>
    <xf numFmtId="0" fontId="99" fillId="75" borderId="44" xfId="0" applyFont="1" applyFill="1" applyBorder="1" applyAlignment="1">
      <alignment horizontal="left" vertical="center"/>
    </xf>
    <xf numFmtId="0" fontId="104" fillId="2" borderId="44" xfId="2" applyFont="1" applyFill="1" applyBorder="1" applyAlignment="1">
      <alignment horizontal="center" vertical="center" shrinkToFit="1"/>
    </xf>
    <xf numFmtId="0" fontId="104" fillId="2" borderId="44" xfId="0" applyFont="1" applyFill="1" applyBorder="1" applyAlignment="1">
      <alignment vertical="center"/>
    </xf>
    <xf numFmtId="0" fontId="101" fillId="0" borderId="88" xfId="0" applyFont="1" applyBorder="1" applyAlignment="1">
      <alignment horizontal="center" vertical="center"/>
    </xf>
    <xf numFmtId="0" fontId="106" fillId="0" borderId="88" xfId="0" applyFont="1" applyFill="1" applyBorder="1" applyAlignment="1">
      <alignment horizontal="center" vertical="center" shrinkToFit="1"/>
    </xf>
    <xf numFmtId="0" fontId="101" fillId="77" borderId="93" xfId="0" applyFont="1" applyFill="1" applyBorder="1" applyAlignment="1">
      <alignment horizontal="center" vertical="center" shrinkToFit="1"/>
    </xf>
    <xf numFmtId="0" fontId="101" fillId="77" borderId="3" xfId="0" applyFont="1" applyFill="1" applyBorder="1" applyAlignment="1">
      <alignment horizontal="left" vertical="center" shrinkToFit="1"/>
    </xf>
    <xf numFmtId="0" fontId="106" fillId="2" borderId="88" xfId="2" applyFont="1" applyFill="1" applyBorder="1" applyAlignment="1">
      <alignment horizontal="center" vertical="center" shrinkToFit="1"/>
    </xf>
    <xf numFmtId="0" fontId="99" fillId="0" borderId="101" xfId="0" applyFont="1" applyBorder="1" applyAlignment="1">
      <alignment horizontal="center" vertical="center"/>
    </xf>
    <xf numFmtId="0" fontId="99" fillId="77" borderId="101" xfId="0" applyFont="1" applyFill="1" applyBorder="1" applyAlignment="1">
      <alignment horizontal="center" vertical="center" shrinkToFit="1"/>
    </xf>
    <xf numFmtId="0" fontId="99" fillId="77" borderId="4" xfId="0" applyFont="1" applyFill="1" applyBorder="1" applyAlignment="1">
      <alignment vertical="center" shrinkToFit="1"/>
    </xf>
    <xf numFmtId="0" fontId="104" fillId="2" borderId="101" xfId="2" applyFont="1" applyFill="1" applyBorder="1" applyAlignment="1">
      <alignment horizontal="center" vertical="center" shrinkToFit="1"/>
    </xf>
    <xf numFmtId="0" fontId="99" fillId="0" borderId="44" xfId="0" applyFont="1" applyBorder="1" applyAlignment="1">
      <alignment horizontal="center" vertical="center"/>
    </xf>
    <xf numFmtId="0" fontId="104" fillId="0" borderId="44" xfId="0" applyFont="1" applyFill="1" applyBorder="1" applyAlignment="1">
      <alignment horizontal="center" vertical="center" shrinkToFit="1"/>
    </xf>
    <xf numFmtId="0" fontId="99" fillId="0" borderId="44" xfId="0" applyFont="1" applyFill="1" applyBorder="1" applyAlignment="1">
      <alignment horizontal="center" vertical="center" shrinkToFit="1"/>
    </xf>
    <xf numFmtId="0" fontId="99" fillId="0" borderId="44" xfId="0" applyFont="1" applyBorder="1">
      <alignment vertical="center"/>
    </xf>
    <xf numFmtId="0" fontId="99" fillId="13" borderId="44" xfId="4627" applyFont="1" applyFill="1" applyBorder="1" applyAlignment="1">
      <alignment horizontal="center" vertical="center" shrinkToFit="1"/>
    </xf>
    <xf numFmtId="0" fontId="104" fillId="2" borderId="44" xfId="0" applyFont="1" applyFill="1" applyBorder="1">
      <alignment vertical="center"/>
    </xf>
    <xf numFmtId="0" fontId="99" fillId="0" borderId="44" xfId="0" applyFont="1" applyBorder="1" applyAlignment="1">
      <alignment vertical="center" wrapText="1"/>
    </xf>
    <xf numFmtId="0" fontId="99" fillId="2" borderId="44" xfId="0" applyFont="1" applyFill="1" applyBorder="1" applyAlignment="1">
      <alignment horizontal="center" vertical="center"/>
    </xf>
    <xf numFmtId="0" fontId="99" fillId="2" borderId="44" xfId="0" applyFont="1" applyFill="1" applyBorder="1" applyAlignment="1">
      <alignment horizontal="center" vertical="center" shrinkToFit="1"/>
    </xf>
    <xf numFmtId="0" fontId="99" fillId="2" borderId="44" xfId="0" applyFont="1" applyFill="1" applyBorder="1" applyAlignment="1">
      <alignment horizontal="left" vertical="center" shrinkToFit="1"/>
    </xf>
    <xf numFmtId="0" fontId="99" fillId="2" borderId="44" xfId="0" applyFont="1" applyFill="1" applyBorder="1">
      <alignment vertical="center"/>
    </xf>
    <xf numFmtId="0" fontId="99" fillId="2" borderId="44" xfId="0" applyFont="1" applyFill="1" applyBorder="1" applyAlignment="1">
      <alignment vertical="center"/>
    </xf>
    <xf numFmtId="0" fontId="99" fillId="84" borderId="44" xfId="0" applyFont="1" applyFill="1" applyBorder="1" applyAlignment="1">
      <alignment horizontal="center" vertical="center"/>
    </xf>
    <xf numFmtId="0" fontId="99" fillId="0" borderId="44" xfId="0" applyFont="1" applyBorder="1" applyAlignment="1">
      <alignment horizontal="center" vertical="center" shrinkToFit="1"/>
    </xf>
    <xf numFmtId="0" fontId="99" fillId="0" borderId="44" xfId="0" applyFont="1" applyBorder="1" applyAlignment="1">
      <alignment horizontal="left" vertical="center" shrinkToFit="1"/>
    </xf>
    <xf numFmtId="0" fontId="99" fillId="0" borderId="44" xfId="0" applyFont="1" applyBorder="1" applyAlignment="1">
      <alignment vertical="center"/>
    </xf>
    <xf numFmtId="0" fontId="99" fillId="0" borderId="44" xfId="5028" applyFont="1" applyBorder="1" applyAlignment="1">
      <alignment horizontal="left" vertical="center" shrinkToFit="1"/>
    </xf>
    <xf numFmtId="0" fontId="103" fillId="84" borderId="44" xfId="0" applyFont="1" applyFill="1" applyBorder="1" applyAlignment="1">
      <alignment horizontal="center" vertical="center"/>
    </xf>
    <xf numFmtId="0" fontId="103" fillId="0" borderId="44" xfId="0" applyFont="1" applyBorder="1" applyAlignment="1">
      <alignment horizontal="left" vertical="center" shrinkToFit="1"/>
    </xf>
    <xf numFmtId="0" fontId="103" fillId="0" borderId="44" xfId="0" applyFont="1" applyBorder="1" applyAlignment="1">
      <alignment horizontal="center" vertical="center"/>
    </xf>
    <xf numFmtId="0" fontId="103" fillId="0" borderId="44" xfId="0" applyFont="1" applyBorder="1" applyAlignment="1">
      <alignment horizontal="left" vertical="center"/>
    </xf>
    <xf numFmtId="0" fontId="99" fillId="0" borderId="44" xfId="0" applyFont="1" applyBorder="1" applyAlignment="1">
      <alignment horizontal="left" vertical="center"/>
    </xf>
    <xf numFmtId="0" fontId="99" fillId="0" borderId="44" xfId="0" applyFont="1" applyFill="1" applyBorder="1" applyAlignment="1">
      <alignment vertical="center"/>
    </xf>
    <xf numFmtId="0" fontId="100" fillId="0" borderId="44" xfId="0" applyFont="1" applyBorder="1" applyAlignment="1">
      <alignment horizontal="left" vertical="center" shrinkToFit="1"/>
    </xf>
    <xf numFmtId="0" fontId="104" fillId="0" borderId="9" xfId="0" applyFont="1" applyFill="1" applyBorder="1" applyAlignment="1">
      <alignment vertical="center"/>
    </xf>
    <xf numFmtId="0" fontId="99" fillId="75" borderId="44" xfId="0" applyFont="1" applyFill="1" applyBorder="1" applyAlignment="1">
      <alignment horizontal="center" vertical="center"/>
    </xf>
    <xf numFmtId="0" fontId="0" fillId="75" borderId="44" xfId="0" applyFill="1" applyBorder="1" applyAlignment="1">
      <alignment horizontal="center" vertical="center"/>
    </xf>
    <xf numFmtId="0" fontId="0" fillId="75" borderId="44" xfId="0" applyFill="1" applyBorder="1" applyAlignment="1">
      <alignment horizontal="left" vertical="center"/>
    </xf>
    <xf numFmtId="0" fontId="6" fillId="0" borderId="44" xfId="0" applyFont="1" applyBorder="1" applyAlignment="1">
      <alignment vertical="center"/>
    </xf>
    <xf numFmtId="0" fontId="134" fillId="0" borderId="93" xfId="0" applyFont="1" applyFill="1" applyBorder="1" applyAlignment="1">
      <alignment horizontal="center" vertical="center"/>
    </xf>
    <xf numFmtId="0" fontId="134" fillId="0" borderId="93" xfId="0" applyFont="1" applyFill="1" applyBorder="1" applyAlignment="1">
      <alignment horizontal="center" vertical="center" shrinkToFit="1"/>
    </xf>
    <xf numFmtId="0" fontId="134" fillId="0" borderId="93" xfId="0" applyFont="1" applyFill="1" applyBorder="1" applyAlignment="1">
      <alignment vertical="center"/>
    </xf>
    <xf numFmtId="0" fontId="135" fillId="75" borderId="93" xfId="0" applyFont="1" applyFill="1" applyBorder="1" applyAlignment="1">
      <alignment horizontal="center" vertical="center"/>
    </xf>
    <xf numFmtId="0" fontId="136" fillId="0" borderId="0" xfId="0" applyFont="1">
      <alignment vertical="center"/>
    </xf>
    <xf numFmtId="186" fontId="99" fillId="75" borderId="44" xfId="0" applyNumberFormat="1" applyFont="1" applyFill="1" applyBorder="1" applyAlignment="1">
      <alignment horizontal="center" vertical="center"/>
    </xf>
    <xf numFmtId="0" fontId="19" fillId="0" borderId="44" xfId="0" applyFont="1" applyFill="1" applyBorder="1" applyAlignment="1">
      <alignment horizontal="center" vertical="center"/>
    </xf>
    <xf numFmtId="0" fontId="128" fillId="0" borderId="44" xfId="0" applyFont="1" applyFill="1" applyBorder="1" applyAlignment="1">
      <alignment horizontal="center" vertical="center" shrinkToFit="1"/>
    </xf>
    <xf numFmtId="0" fontId="6" fillId="13" borderId="44" xfId="0" applyFont="1" applyFill="1" applyBorder="1" applyAlignment="1">
      <alignment horizontal="center" vertical="center"/>
    </xf>
    <xf numFmtId="0" fontId="19" fillId="0" borderId="44" xfId="6" applyFont="1" applyFill="1" applyBorder="1" applyAlignment="1">
      <alignment vertical="center"/>
    </xf>
    <xf numFmtId="0" fontId="5" fillId="13" borderId="44" xfId="0" applyFont="1" applyFill="1" applyBorder="1" applyAlignment="1">
      <alignment vertical="center"/>
    </xf>
    <xf numFmtId="0" fontId="19" fillId="0" borderId="0" xfId="0" applyFont="1" applyFill="1" applyBorder="1" applyAlignment="1">
      <alignment horizontal="center" vertical="center"/>
    </xf>
    <xf numFmtId="0" fontId="128" fillId="0" borderId="0" xfId="0" applyFont="1" applyFill="1" applyBorder="1" applyAlignment="1">
      <alignment horizontal="center" vertical="center" shrinkToFit="1"/>
    </xf>
    <xf numFmtId="0" fontId="0" fillId="75" borderId="0" xfId="0" applyFill="1" applyBorder="1" applyAlignment="1">
      <alignment horizontal="left" vertical="center"/>
    </xf>
    <xf numFmtId="0" fontId="19" fillId="13" borderId="0" xfId="2" applyFont="1" applyFill="1" applyBorder="1" applyAlignment="1">
      <alignment horizontal="center" vertical="center" shrinkToFit="1"/>
    </xf>
    <xf numFmtId="0" fontId="6" fillId="13" borderId="0" xfId="0" applyFont="1" applyFill="1" applyBorder="1">
      <alignment vertical="center"/>
    </xf>
    <xf numFmtId="0" fontId="6" fillId="13" borderId="0" xfId="0" applyFont="1" applyFill="1" applyBorder="1" applyAlignment="1">
      <alignment vertical="center"/>
    </xf>
    <xf numFmtId="0" fontId="5" fillId="13" borderId="0" xfId="0" applyFont="1" applyFill="1" applyBorder="1" applyAlignment="1">
      <alignment vertical="center"/>
    </xf>
    <xf numFmtId="0" fontId="137" fillId="0" borderId="44" xfId="6" applyFont="1" applyFill="1" applyBorder="1" applyAlignment="1">
      <alignment vertical="center"/>
    </xf>
    <xf numFmtId="0" fontId="105" fillId="0" borderId="44" xfId="6" applyFont="1" applyFill="1" applyBorder="1" applyAlignment="1">
      <alignment vertical="center"/>
    </xf>
    <xf numFmtId="0" fontId="19" fillId="2" borderId="104" xfId="0" applyFont="1" applyFill="1" applyBorder="1" applyAlignment="1">
      <alignment horizontal="center" vertical="center"/>
    </xf>
    <xf numFmtId="0" fontId="128" fillId="2" borderId="101" xfId="0" applyFont="1" applyFill="1" applyBorder="1" applyAlignment="1">
      <alignment horizontal="center" vertical="center" shrinkToFit="1"/>
    </xf>
    <xf numFmtId="0" fontId="128" fillId="2" borderId="101" xfId="2" applyFont="1" applyFill="1" applyBorder="1" applyAlignment="1">
      <alignment horizontal="center" vertical="center" shrinkToFit="1"/>
    </xf>
    <xf numFmtId="0" fontId="19" fillId="2" borderId="101" xfId="6" applyFont="1" applyFill="1" applyBorder="1" applyAlignment="1">
      <alignment vertical="center"/>
    </xf>
    <xf numFmtId="0" fontId="19" fillId="2" borderId="101" xfId="0" applyFont="1" applyFill="1" applyBorder="1" applyAlignment="1">
      <alignment horizontal="center" vertical="center" shrinkToFit="1"/>
    </xf>
    <xf numFmtId="0" fontId="19" fillId="2" borderId="101" xfId="2" applyFont="1" applyFill="1" applyBorder="1" applyAlignment="1">
      <alignment horizontal="center" vertical="center" shrinkToFit="1"/>
    </xf>
    <xf numFmtId="0" fontId="105" fillId="2" borderId="101" xfId="0" applyFont="1" applyFill="1" applyBorder="1" applyAlignment="1">
      <alignment vertical="center"/>
    </xf>
    <xf numFmtId="0" fontId="19" fillId="13" borderId="44" xfId="0" applyFont="1" applyFill="1" applyBorder="1" applyAlignment="1">
      <alignment horizontal="center" vertical="center"/>
    </xf>
    <xf numFmtId="0" fontId="128" fillId="13" borderId="44" xfId="0" applyFont="1" applyFill="1" applyBorder="1" applyAlignment="1">
      <alignment horizontal="center" vertical="center"/>
    </xf>
    <xf numFmtId="0" fontId="20" fillId="0" borderId="44" xfId="0" applyFont="1" applyBorder="1" applyAlignment="1">
      <alignment vertical="center"/>
    </xf>
    <xf numFmtId="0" fontId="19" fillId="13" borderId="44" xfId="2" applyFont="1" applyFill="1" applyBorder="1" applyAlignment="1">
      <alignment horizontal="center" vertical="center" shrinkToFit="1"/>
    </xf>
    <xf numFmtId="0" fontId="20" fillId="2" borderId="44" xfId="0" applyFont="1" applyFill="1" applyBorder="1" applyAlignment="1">
      <alignment vertical="center"/>
    </xf>
    <xf numFmtId="0" fontId="20" fillId="0" borderId="44" xfId="7" applyFont="1" applyFill="1" applyBorder="1" applyAlignment="1">
      <alignment vertical="center"/>
    </xf>
    <xf numFmtId="0" fontId="19" fillId="0" borderId="44" xfId="7" applyFont="1" applyFill="1" applyBorder="1" applyAlignment="1">
      <alignment vertical="center"/>
    </xf>
    <xf numFmtId="0" fontId="20" fillId="0" borderId="44" xfId="8" applyFont="1" applyFill="1" applyBorder="1" applyAlignment="1">
      <alignment vertical="center"/>
    </xf>
    <xf numFmtId="0" fontId="20" fillId="2" borderId="44" xfId="8" applyFont="1" applyFill="1" applyBorder="1" applyAlignment="1">
      <alignment vertical="center"/>
    </xf>
    <xf numFmtId="0" fontId="19" fillId="0" borderId="44" xfId="8" applyFont="1" applyFill="1" applyBorder="1" applyAlignment="1">
      <alignment vertical="center"/>
    </xf>
    <xf numFmtId="0" fontId="19" fillId="0" borderId="44" xfId="0" applyFont="1" applyFill="1" applyBorder="1" applyAlignment="1">
      <alignment horizontal="center" vertical="center" shrinkToFit="1"/>
    </xf>
    <xf numFmtId="0" fontId="19" fillId="0" borderId="44" xfId="0" applyFont="1" applyBorder="1" applyAlignment="1">
      <alignment vertical="center"/>
    </xf>
    <xf numFmtId="0" fontId="19" fillId="2" borderId="44" xfId="0" applyFont="1" applyFill="1" applyBorder="1" applyAlignment="1">
      <alignment vertical="center"/>
    </xf>
    <xf numFmtId="0" fontId="19" fillId="0" borderId="44" xfId="0" applyFont="1" applyBorder="1" applyAlignment="1">
      <alignment horizontal="center" vertical="center"/>
    </xf>
    <xf numFmtId="0" fontId="20" fillId="13" borderId="44" xfId="0" applyFont="1" applyFill="1" applyBorder="1" applyAlignment="1">
      <alignment vertical="center"/>
    </xf>
    <xf numFmtId="0" fontId="19" fillId="13" borderId="44" xfId="0" applyFont="1" applyFill="1" applyBorder="1" applyAlignment="1">
      <alignment vertical="center"/>
    </xf>
    <xf numFmtId="0" fontId="19" fillId="0" borderId="44" xfId="0" applyFont="1" applyFill="1" applyBorder="1" applyAlignment="1">
      <alignment vertical="center"/>
    </xf>
    <xf numFmtId="0" fontId="19" fillId="0" borderId="44" xfId="0" applyFont="1" applyFill="1" applyBorder="1">
      <alignment vertical="center"/>
    </xf>
    <xf numFmtId="0" fontId="27" fillId="0" borderId="44" xfId="0" applyFont="1" applyFill="1" applyBorder="1" applyAlignment="1">
      <alignment horizontal="center" vertical="center"/>
    </xf>
    <xf numFmtId="0" fontId="3" fillId="13" borderId="44" xfId="0" applyFont="1" applyFill="1" applyBorder="1" applyAlignment="1">
      <alignment vertical="center"/>
    </xf>
    <xf numFmtId="0" fontId="19" fillId="13" borderId="44" xfId="0" applyFont="1" applyFill="1" applyBorder="1">
      <alignment vertical="center"/>
    </xf>
    <xf numFmtId="0" fontId="128" fillId="0" borderId="44" xfId="0" applyFont="1" applyFill="1" applyBorder="1" applyAlignment="1">
      <alignment horizontal="center" vertical="center"/>
    </xf>
    <xf numFmtId="0" fontId="19" fillId="0" borderId="44" xfId="2" applyFont="1" applyFill="1" applyBorder="1" applyAlignment="1">
      <alignment horizontal="center" vertical="center" shrinkToFit="1"/>
    </xf>
    <xf numFmtId="0" fontId="130" fillId="0" borderId="44" xfId="0" applyFont="1" applyFill="1" applyBorder="1" applyAlignment="1">
      <alignment vertical="center"/>
    </xf>
    <xf numFmtId="0" fontId="130" fillId="0" borderId="44" xfId="2" applyFont="1" applyFill="1" applyBorder="1" applyAlignment="1">
      <alignment horizontal="center" vertical="center" shrinkToFit="1"/>
    </xf>
    <xf numFmtId="0" fontId="130" fillId="0" borderId="44" xfId="0" applyFont="1" applyFill="1" applyBorder="1" applyAlignment="1">
      <alignment horizontal="center" vertical="center"/>
    </xf>
    <xf numFmtId="0" fontId="130" fillId="0" borderId="44" xfId="6" applyFont="1" applyFill="1" applyBorder="1" applyAlignment="1">
      <alignment vertical="center"/>
    </xf>
    <xf numFmtId="0" fontId="3" fillId="0" borderId="44" xfId="0" applyFont="1" applyFill="1" applyBorder="1" applyAlignment="1">
      <alignment vertical="center"/>
    </xf>
    <xf numFmtId="0" fontId="129" fillId="75" borderId="44" xfId="0" applyFont="1" applyFill="1" applyBorder="1" applyAlignment="1">
      <alignment horizontal="center" vertical="center"/>
    </xf>
    <xf numFmtId="0" fontId="7" fillId="13" borderId="44" xfId="0" applyFont="1" applyFill="1" applyBorder="1" applyAlignment="1">
      <alignment vertical="center"/>
    </xf>
    <xf numFmtId="0" fontId="127" fillId="75" borderId="44" xfId="0" applyFont="1" applyFill="1" applyBorder="1" applyAlignment="1">
      <alignment horizontal="left" vertical="center"/>
    </xf>
    <xf numFmtId="0" fontId="6" fillId="13" borderId="44" xfId="0" applyFont="1" applyFill="1" applyBorder="1" applyAlignment="1">
      <alignment vertical="center" wrapText="1"/>
    </xf>
    <xf numFmtId="0" fontId="103" fillId="0" borderId="44" xfId="0" applyFont="1" applyBorder="1">
      <alignment vertical="center"/>
    </xf>
    <xf numFmtId="0" fontId="0" fillId="75" borderId="57" xfId="0" applyFill="1" applyBorder="1" applyAlignment="1">
      <alignment horizontal="center" vertical="center"/>
    </xf>
    <xf numFmtId="0" fontId="99" fillId="75" borderId="57" xfId="0" applyFont="1" applyFill="1" applyBorder="1" applyAlignment="1">
      <alignment horizontal="center" vertical="center"/>
    </xf>
    <xf numFmtId="0" fontId="99" fillId="0" borderId="57" xfId="0" applyFont="1" applyBorder="1">
      <alignment vertical="center"/>
    </xf>
    <xf numFmtId="0" fontId="0" fillId="75" borderId="57" xfId="0" applyFill="1" applyBorder="1" applyAlignment="1">
      <alignment horizontal="left" vertical="center"/>
    </xf>
    <xf numFmtId="0" fontId="99" fillId="75" borderId="57" xfId="0" applyFont="1" applyFill="1" applyBorder="1" applyAlignment="1">
      <alignment horizontal="left" vertical="center"/>
    </xf>
    <xf numFmtId="0" fontId="99" fillId="0" borderId="57" xfId="0" applyFont="1" applyFill="1" applyBorder="1" applyAlignment="1">
      <alignment horizontal="center" vertical="center"/>
    </xf>
    <xf numFmtId="0" fontId="103" fillId="0" borderId="93" xfId="0" applyFont="1" applyFill="1" applyBorder="1">
      <alignment vertical="center"/>
    </xf>
    <xf numFmtId="0" fontId="99" fillId="0" borderId="57" xfId="0" applyFont="1" applyFill="1" applyBorder="1" applyAlignment="1">
      <alignment horizontal="left" vertical="center"/>
    </xf>
    <xf numFmtId="0" fontId="99" fillId="0" borderId="57" xfId="0" applyFont="1" applyFill="1" applyBorder="1">
      <alignment vertical="center"/>
    </xf>
    <xf numFmtId="0" fontId="104" fillId="0" borderId="100" xfId="0" applyFont="1" applyFill="1" applyBorder="1" applyAlignment="1">
      <alignment vertical="center"/>
    </xf>
    <xf numFmtId="0" fontId="99" fillId="0" borderId="103" xfId="0" applyFont="1" applyFill="1" applyBorder="1">
      <alignment vertical="center"/>
    </xf>
    <xf numFmtId="0" fontId="104" fillId="0" borderId="57" xfId="0" applyFont="1" applyFill="1" applyBorder="1" applyAlignment="1">
      <alignment vertical="center" wrapText="1"/>
    </xf>
    <xf numFmtId="0" fontId="104" fillId="0" borderId="57" xfId="0" applyFont="1" applyFill="1" applyBorder="1" applyAlignment="1">
      <alignment vertical="center"/>
    </xf>
    <xf numFmtId="0" fontId="99" fillId="0" borderId="57" xfId="0" applyFont="1" applyBorder="1" applyAlignment="1">
      <alignment vertical="center"/>
    </xf>
    <xf numFmtId="0" fontId="104" fillId="0" borderId="57" xfId="0" quotePrefix="1" applyFont="1" applyFill="1" applyBorder="1">
      <alignment vertical="center"/>
    </xf>
    <xf numFmtId="0" fontId="5" fillId="0" borderId="57" xfId="0" applyFont="1" applyFill="1" applyBorder="1" applyAlignment="1">
      <alignment horizontal="center" vertical="center"/>
    </xf>
    <xf numFmtId="0" fontId="5" fillId="0" borderId="57" xfId="0" applyFont="1" applyFill="1" applyBorder="1" applyAlignment="1">
      <alignment vertical="center"/>
    </xf>
    <xf numFmtId="0" fontId="104" fillId="0" borderId="57" xfId="0" applyFont="1" applyFill="1" applyBorder="1" applyAlignment="1">
      <alignment horizontal="center" vertical="center"/>
    </xf>
    <xf numFmtId="0" fontId="104" fillId="13" borderId="57" xfId="0" applyFont="1" applyFill="1" applyBorder="1" applyAlignment="1">
      <alignment vertical="center" wrapText="1"/>
    </xf>
    <xf numFmtId="0" fontId="104" fillId="78" borderId="57" xfId="0" applyFont="1" applyFill="1" applyBorder="1" applyAlignment="1">
      <alignment vertical="center" wrapText="1"/>
    </xf>
    <xf numFmtId="0" fontId="104" fillId="13" borderId="57" xfId="0" quotePrefix="1" applyFont="1" applyFill="1" applyBorder="1" applyAlignment="1">
      <alignment horizontal="center" vertical="center" wrapText="1"/>
    </xf>
    <xf numFmtId="0" fontId="104" fillId="78" borderId="57" xfId="0" applyFont="1" applyFill="1" applyBorder="1" applyAlignment="1">
      <alignment horizontal="center" vertical="center" wrapText="1"/>
    </xf>
    <xf numFmtId="0" fontId="104" fillId="0" borderId="105" xfId="0" applyFont="1" applyFill="1" applyBorder="1" applyAlignment="1">
      <alignment horizontal="center" vertical="center"/>
    </xf>
    <xf numFmtId="0" fontId="104" fillId="0" borderId="106" xfId="0" applyFont="1" applyFill="1" applyBorder="1" applyAlignment="1">
      <alignment horizontal="center" vertical="center"/>
    </xf>
    <xf numFmtId="0" fontId="104" fillId="0" borderId="107" xfId="0" applyFont="1" applyFill="1" applyBorder="1">
      <alignment vertical="center"/>
    </xf>
    <xf numFmtId="0" fontId="104" fillId="0" borderId="57" xfId="0" applyFont="1" applyFill="1" applyBorder="1">
      <alignment vertical="center"/>
    </xf>
    <xf numFmtId="0" fontId="104" fillId="0" borderId="57" xfId="0" applyFont="1" applyFill="1" applyBorder="1" applyAlignment="1">
      <alignment horizontal="center" vertical="center" wrapText="1"/>
    </xf>
    <xf numFmtId="0" fontId="104" fillId="0" borderId="57" xfId="0" quotePrefix="1" applyFont="1" applyFill="1" applyBorder="1" applyAlignment="1">
      <alignment vertical="center"/>
    </xf>
    <xf numFmtId="0" fontId="104" fillId="0" borderId="57" xfId="9" applyFont="1" applyFill="1" applyBorder="1" applyAlignment="1">
      <alignment horizontal="center" vertical="center" shrinkToFit="1"/>
    </xf>
    <xf numFmtId="0" fontId="99" fillId="0" borderId="57" xfId="0" applyFont="1" applyBorder="1" applyAlignment="1">
      <alignment horizontal="center" vertical="center"/>
    </xf>
    <xf numFmtId="0" fontId="104" fillId="81" borderId="57" xfId="0" applyFont="1" applyFill="1" applyBorder="1" applyAlignment="1">
      <alignment horizontal="center" vertical="center" wrapText="1"/>
    </xf>
    <xf numFmtId="0" fontId="104" fillId="81" borderId="57" xfId="0" applyFont="1" applyFill="1" applyBorder="1" applyAlignment="1">
      <alignment vertical="center" wrapText="1"/>
    </xf>
    <xf numFmtId="0" fontId="104" fillId="13" borderId="57" xfId="0" applyFont="1" applyFill="1" applyBorder="1" applyAlignment="1">
      <alignment horizontal="center" vertical="center" wrapText="1"/>
    </xf>
    <xf numFmtId="0" fontId="102" fillId="0" borderId="57" xfId="0" applyFont="1" applyFill="1" applyBorder="1" applyAlignment="1">
      <alignment horizontal="center" vertical="center" wrapText="1"/>
    </xf>
    <xf numFmtId="0" fontId="102" fillId="13" borderId="57" xfId="0" applyFont="1" applyFill="1" applyBorder="1" applyAlignment="1">
      <alignment horizontal="center" vertical="center" wrapText="1"/>
    </xf>
    <xf numFmtId="0" fontId="102" fillId="2" borderId="57" xfId="0" applyFont="1" applyFill="1" applyBorder="1" applyAlignment="1">
      <alignment horizontal="center" vertical="center" wrapText="1"/>
    </xf>
    <xf numFmtId="0" fontId="102" fillId="13" borderId="57" xfId="0" applyFont="1" applyFill="1" applyBorder="1" applyAlignment="1">
      <alignment vertical="center" wrapText="1"/>
    </xf>
    <xf numFmtId="0" fontId="104" fillId="13" borderId="57" xfId="0" applyFont="1" applyFill="1" applyBorder="1" applyAlignment="1">
      <alignment vertical="center" shrinkToFit="1"/>
    </xf>
    <xf numFmtId="0" fontId="104" fillId="0" borderId="57" xfId="0" quotePrefix="1" applyFont="1" applyFill="1" applyBorder="1" applyAlignment="1">
      <alignment horizontal="center" vertical="center" wrapText="1"/>
    </xf>
    <xf numFmtId="0" fontId="104" fillId="13" borderId="57" xfId="0" applyFont="1" applyFill="1" applyBorder="1" applyAlignment="1">
      <alignment horizontal="center" vertical="center" shrinkToFit="1"/>
    </xf>
    <xf numFmtId="0" fontId="104" fillId="13" borderId="57" xfId="0" applyFont="1" applyFill="1" applyBorder="1" applyAlignment="1">
      <alignment horizontal="left" vertical="center"/>
    </xf>
    <xf numFmtId="0" fontId="104" fillId="0" borderId="57" xfId="0" applyFont="1" applyFill="1" applyBorder="1" applyAlignment="1">
      <alignment horizontal="center" vertical="center" shrinkToFit="1"/>
    </xf>
    <xf numFmtId="0" fontId="99" fillId="84" borderId="57" xfId="0" applyFont="1" applyFill="1" applyBorder="1" applyAlignment="1">
      <alignment horizontal="center" vertical="center"/>
    </xf>
    <xf numFmtId="0" fontId="99" fillId="0" borderId="57" xfId="0" applyFont="1" applyBorder="1" applyAlignment="1">
      <alignment horizontal="center" vertical="center" shrinkToFit="1"/>
    </xf>
    <xf numFmtId="0" fontId="99" fillId="0" borderId="57" xfId="0" applyFont="1" applyBorder="1" applyAlignment="1">
      <alignment vertical="center" shrinkToFit="1"/>
    </xf>
    <xf numFmtId="0" fontId="99" fillId="0" borderId="57" xfId="5028" applyFont="1" applyBorder="1" applyAlignment="1">
      <alignment vertical="center" shrinkToFit="1"/>
    </xf>
    <xf numFmtId="0" fontId="99" fillId="0" borderId="57" xfId="0" applyFont="1" applyBorder="1" applyAlignment="1">
      <alignment horizontal="center" vertical="center" wrapText="1"/>
    </xf>
    <xf numFmtId="0" fontId="100" fillId="0" borderId="57" xfId="0" applyFont="1" applyBorder="1" applyAlignment="1">
      <alignment vertical="center" shrinkToFit="1"/>
    </xf>
    <xf numFmtId="0" fontId="99" fillId="0" borderId="57" xfId="0" quotePrefix="1" applyFont="1" applyBorder="1">
      <alignment vertical="center"/>
    </xf>
    <xf numFmtId="0" fontId="103" fillId="0" borderId="57" xfId="0" applyFont="1" applyBorder="1">
      <alignment vertical="center"/>
    </xf>
    <xf numFmtId="0" fontId="103" fillId="0" borderId="57" xfId="0" quotePrefix="1" applyFont="1" applyBorder="1">
      <alignment vertical="center"/>
    </xf>
    <xf numFmtId="0" fontId="102" fillId="9" borderId="107" xfId="1" applyFont="1" applyFill="1" applyBorder="1" applyAlignment="1">
      <alignment horizontal="center" vertical="center"/>
    </xf>
    <xf numFmtId="0" fontId="104" fillId="0" borderId="107" xfId="0" applyFont="1" applyFill="1" applyBorder="1" applyAlignment="1">
      <alignment vertical="center"/>
    </xf>
    <xf numFmtId="0" fontId="106" fillId="0" borderId="107" xfId="0" applyFont="1" applyFill="1" applyBorder="1" applyAlignment="1">
      <alignment vertical="center"/>
    </xf>
    <xf numFmtId="0" fontId="102" fillId="71" borderId="57" xfId="1" applyFont="1" applyFill="1" applyBorder="1" applyAlignment="1">
      <alignment horizontal="center" vertical="center"/>
    </xf>
    <xf numFmtId="0" fontId="102" fillId="9" borderId="57" xfId="1" applyFont="1" applyFill="1" applyBorder="1" applyAlignment="1">
      <alignment horizontal="center" vertical="center"/>
    </xf>
    <xf numFmtId="0" fontId="102" fillId="9" borderId="57" xfId="1" applyFont="1" applyFill="1" applyBorder="1" applyAlignment="1">
      <alignment vertical="center"/>
    </xf>
    <xf numFmtId="0" fontId="110" fillId="0" borderId="57" xfId="0" applyFont="1" applyFill="1" applyBorder="1" applyAlignment="1">
      <alignment horizontal="center" vertical="center" shrinkToFit="1"/>
    </xf>
    <xf numFmtId="0" fontId="110" fillId="0" borderId="57" xfId="0" applyFont="1" applyFill="1" applyBorder="1" applyAlignment="1">
      <alignment vertical="center" shrinkToFit="1"/>
    </xf>
    <xf numFmtId="0" fontId="110" fillId="0" borderId="57" xfId="0" applyFont="1" applyFill="1" applyBorder="1" applyAlignment="1">
      <alignment horizontal="left" vertical="top" shrinkToFit="1"/>
    </xf>
    <xf numFmtId="0" fontId="96" fillId="75" borderId="57" xfId="0" applyFont="1" applyFill="1" applyBorder="1" applyAlignment="1">
      <alignment horizontal="left" vertical="center"/>
    </xf>
    <xf numFmtId="0" fontId="104" fillId="0" borderId="57" xfId="9" applyFont="1" applyFill="1" applyBorder="1">
      <alignment vertical="center"/>
    </xf>
    <xf numFmtId="0" fontId="104" fillId="7" borderId="57" xfId="0" applyFont="1" applyFill="1" applyBorder="1">
      <alignment vertical="center"/>
    </xf>
    <xf numFmtId="0" fontId="111" fillId="0" borderId="57" xfId="0" applyFont="1" applyFill="1" applyBorder="1" applyAlignment="1">
      <alignment horizontal="center" vertical="center" shrinkToFit="1"/>
    </xf>
    <xf numFmtId="0" fontId="111" fillId="0" borderId="57" xfId="0" applyFont="1" applyFill="1" applyBorder="1" applyAlignment="1">
      <alignment vertical="center" shrinkToFit="1"/>
    </xf>
    <xf numFmtId="0" fontId="106" fillId="0" borderId="57" xfId="0" applyFont="1" applyFill="1" applyBorder="1">
      <alignment vertical="center"/>
    </xf>
    <xf numFmtId="0" fontId="102" fillId="0" borderId="57" xfId="0" applyFont="1" applyFill="1" applyBorder="1">
      <alignment vertical="center"/>
    </xf>
    <xf numFmtId="0" fontId="114" fillId="0" borderId="57" xfId="0" applyFont="1" applyFill="1" applyBorder="1" applyAlignment="1">
      <alignment horizontal="center" vertical="center" shrinkToFit="1"/>
    </xf>
    <xf numFmtId="0" fontId="114" fillId="0" borderId="57" xfId="0" applyFont="1" applyFill="1" applyBorder="1" applyAlignment="1">
      <alignment vertical="center" shrinkToFit="1"/>
    </xf>
    <xf numFmtId="0" fontId="103" fillId="0" borderId="57" xfId="0" applyFont="1" applyFill="1" applyBorder="1">
      <alignment vertical="center"/>
    </xf>
    <xf numFmtId="0" fontId="115" fillId="0" borderId="57" xfId="0" applyFont="1" applyFill="1" applyBorder="1" applyAlignment="1">
      <alignment horizontal="left" vertical="top" shrinkToFit="1"/>
    </xf>
    <xf numFmtId="0" fontId="119" fillId="75" borderId="57" xfId="0" applyFont="1" applyFill="1" applyBorder="1" applyAlignment="1">
      <alignment horizontal="left" vertical="center"/>
    </xf>
    <xf numFmtId="0" fontId="111" fillId="0" borderId="57" xfId="0" applyFont="1" applyFill="1" applyBorder="1" applyAlignment="1">
      <alignment horizontal="left" vertical="top" shrinkToFit="1"/>
    </xf>
    <xf numFmtId="0" fontId="112" fillId="0" borderId="57" xfId="0" applyFont="1" applyFill="1" applyBorder="1" applyAlignment="1">
      <alignment horizontal="center" vertical="center" shrinkToFit="1"/>
    </xf>
    <xf numFmtId="0" fontId="111" fillId="0" borderId="57" xfId="4627" applyFont="1" applyFill="1" applyBorder="1" applyAlignment="1">
      <alignment horizontal="center" vertical="center" shrinkToFit="1"/>
    </xf>
    <xf numFmtId="0" fontId="113" fillId="0" borderId="57" xfId="4627" applyFont="1" applyFill="1" applyBorder="1" applyAlignment="1">
      <alignment horizontal="center" vertical="center" shrinkToFit="1"/>
    </xf>
    <xf numFmtId="0" fontId="113" fillId="0" borderId="57" xfId="4627" applyFont="1" applyFill="1" applyBorder="1" applyAlignment="1">
      <alignment horizontal="left" vertical="center" shrinkToFit="1"/>
    </xf>
    <xf numFmtId="0" fontId="115" fillId="0" borderId="57" xfId="0" applyFont="1" applyFill="1" applyBorder="1" applyAlignment="1">
      <alignment horizontal="center" vertical="center" shrinkToFit="1"/>
    </xf>
    <xf numFmtId="0" fontId="110" fillId="77" borderId="57" xfId="0" applyFont="1" applyFill="1" applyBorder="1" applyAlignment="1">
      <alignment horizontal="center" vertical="center" shrinkToFit="1"/>
    </xf>
    <xf numFmtId="0" fontId="115" fillId="77" borderId="57" xfId="0" applyFont="1" applyFill="1" applyBorder="1" applyAlignment="1">
      <alignment horizontal="center" vertical="center" shrinkToFit="1"/>
    </xf>
    <xf numFmtId="0" fontId="111" fillId="0" borderId="57" xfId="0" applyFont="1" applyFill="1" applyBorder="1" applyAlignment="1">
      <alignment horizontal="left" vertical="center" shrinkToFit="1"/>
    </xf>
    <xf numFmtId="0" fontId="104" fillId="80" borderId="57" xfId="0" applyFont="1" applyFill="1" applyBorder="1">
      <alignment vertical="center"/>
    </xf>
    <xf numFmtId="0" fontId="110" fillId="80" borderId="57" xfId="0" applyFont="1" applyFill="1" applyBorder="1" applyAlignment="1">
      <alignment horizontal="center" vertical="center" shrinkToFit="1"/>
    </xf>
    <xf numFmtId="0" fontId="110" fillId="80" borderId="57" xfId="0" applyFont="1" applyFill="1" applyBorder="1" applyAlignment="1">
      <alignment vertical="center" shrinkToFit="1"/>
    </xf>
    <xf numFmtId="0" fontId="99" fillId="80" borderId="57" xfId="0" applyFont="1" applyFill="1" applyBorder="1">
      <alignment vertical="center"/>
    </xf>
    <xf numFmtId="0" fontId="110" fillId="80" borderId="57" xfId="0" applyFont="1" applyFill="1" applyBorder="1" applyAlignment="1">
      <alignment horizontal="left" vertical="top" shrinkToFit="1"/>
    </xf>
    <xf numFmtId="0" fontId="96" fillId="80" borderId="57" xfId="0" applyFont="1" applyFill="1" applyBorder="1" applyAlignment="1">
      <alignment horizontal="left" vertical="center"/>
    </xf>
    <xf numFmtId="0" fontId="110" fillId="76" borderId="57" xfId="0" applyFont="1" applyFill="1" applyBorder="1" applyAlignment="1">
      <alignment horizontal="center" vertical="center" shrinkToFit="1"/>
    </xf>
    <xf numFmtId="0" fontId="110" fillId="76" borderId="57" xfId="0" applyFont="1" applyFill="1" applyBorder="1" applyAlignment="1">
      <alignment vertical="center" shrinkToFit="1"/>
    </xf>
    <xf numFmtId="0" fontId="110" fillId="76" borderId="57" xfId="0" applyFont="1" applyFill="1" applyBorder="1" applyAlignment="1">
      <alignment horizontal="left" vertical="top" shrinkToFit="1"/>
    </xf>
    <xf numFmtId="0" fontId="116" fillId="0" borderId="57" xfId="0" applyFont="1" applyFill="1" applyBorder="1" applyAlignment="1">
      <alignment vertical="center" shrinkToFit="1"/>
    </xf>
    <xf numFmtId="0" fontId="110" fillId="0" borderId="57" xfId="0" applyFont="1" applyFill="1" applyBorder="1" applyAlignment="1">
      <alignment horizontal="left" vertical="center" shrinkToFit="1"/>
    </xf>
    <xf numFmtId="0" fontId="117" fillId="72" borderId="57" xfId="0" applyFont="1" applyFill="1" applyBorder="1" applyAlignment="1">
      <alignment horizontal="center" vertical="center" shrinkToFit="1"/>
    </xf>
    <xf numFmtId="0" fontId="118" fillId="72" borderId="57" xfId="0" applyFont="1" applyFill="1" applyBorder="1" applyAlignment="1">
      <alignment horizontal="center" vertical="center" shrinkToFit="1"/>
    </xf>
    <xf numFmtId="0" fontId="117" fillId="72" borderId="57" xfId="0" applyFont="1" applyFill="1" applyBorder="1" applyAlignment="1">
      <alignment vertical="center" shrinkToFit="1"/>
    </xf>
    <xf numFmtId="0" fontId="117" fillId="72" borderId="57" xfId="0" applyFont="1" applyFill="1" applyBorder="1" applyAlignment="1">
      <alignment horizontal="left" vertical="top" shrinkToFit="1"/>
    </xf>
    <xf numFmtId="0" fontId="110" fillId="0" borderId="57" xfId="0" applyFont="1" applyFill="1" applyBorder="1" applyAlignment="1">
      <alignment horizontal="center" vertical="center"/>
    </xf>
    <xf numFmtId="0" fontId="110" fillId="0" borderId="57" xfId="0" applyFont="1" applyFill="1" applyBorder="1" applyAlignment="1">
      <alignment vertical="center"/>
    </xf>
    <xf numFmtId="0" fontId="112" fillId="0" borderId="57" xfId="0" applyFont="1" applyFill="1" applyBorder="1" applyAlignment="1">
      <alignment horizontal="center" vertical="center"/>
    </xf>
    <xf numFmtId="0" fontId="112" fillId="2" borderId="57" xfId="0" applyFont="1" applyFill="1" applyBorder="1" applyAlignment="1">
      <alignment horizontal="center" vertical="center" shrinkToFit="1"/>
    </xf>
    <xf numFmtId="0" fontId="112" fillId="2" borderId="57" xfId="0" applyFont="1" applyFill="1" applyBorder="1" applyAlignment="1">
      <alignment horizontal="center" vertical="center"/>
    </xf>
    <xf numFmtId="0" fontId="112" fillId="2" borderId="57" xfId="0" applyFont="1" applyFill="1" applyBorder="1" applyAlignment="1">
      <alignment vertical="center"/>
    </xf>
    <xf numFmtId="0" fontId="110" fillId="2" borderId="57" xfId="0" applyFont="1" applyFill="1" applyBorder="1" applyAlignment="1">
      <alignment horizontal="left" vertical="top" shrinkToFit="1"/>
    </xf>
    <xf numFmtId="0" fontId="114" fillId="10" borderId="57" xfId="0" applyFont="1" applyFill="1" applyBorder="1" applyAlignment="1">
      <alignment horizontal="center" vertical="center" shrinkToFit="1"/>
    </xf>
    <xf numFmtId="0" fontId="113" fillId="0" borderId="57" xfId="4627" applyFont="1" applyFill="1" applyBorder="1" applyAlignment="1">
      <alignment horizontal="center" vertical="center"/>
    </xf>
    <xf numFmtId="0" fontId="113" fillId="0" borderId="57" xfId="4627" applyFont="1" applyFill="1" applyBorder="1" applyAlignment="1">
      <alignment vertical="center"/>
    </xf>
    <xf numFmtId="0" fontId="110" fillId="0" borderId="57" xfId="0" quotePrefix="1" applyFont="1" applyFill="1" applyBorder="1">
      <alignment vertical="center"/>
    </xf>
    <xf numFmtId="0" fontId="110" fillId="0" borderId="57" xfId="0" applyFont="1" applyFill="1" applyBorder="1">
      <alignment vertical="center"/>
    </xf>
    <xf numFmtId="0" fontId="110" fillId="0" borderId="57" xfId="0" applyFont="1" applyFill="1" applyBorder="1" applyAlignment="1">
      <alignment horizontal="left" vertical="center"/>
    </xf>
    <xf numFmtId="0" fontId="138" fillId="0" borderId="57" xfId="0" applyFont="1" applyFill="1" applyBorder="1">
      <alignment vertical="center"/>
    </xf>
    <xf numFmtId="0" fontId="139" fillId="0" borderId="57" xfId="0" applyFont="1" applyFill="1" applyBorder="1" applyAlignment="1">
      <alignment horizontal="center" vertical="center" shrinkToFit="1"/>
    </xf>
    <xf numFmtId="0" fontId="138" fillId="0" borderId="57" xfId="0" applyFont="1" applyFill="1" applyBorder="1" applyAlignment="1">
      <alignment horizontal="center" vertical="center" shrinkToFit="1"/>
    </xf>
    <xf numFmtId="0" fontId="139" fillId="0" borderId="57" xfId="0" applyFont="1" applyFill="1" applyBorder="1" applyAlignment="1">
      <alignment vertical="center" shrinkToFit="1"/>
    </xf>
    <xf numFmtId="0" fontId="139" fillId="0" borderId="57" xfId="0" applyFont="1" applyBorder="1">
      <alignment vertical="center"/>
    </xf>
    <xf numFmtId="0" fontId="139" fillId="0" borderId="57" xfId="0" applyFont="1" applyFill="1" applyBorder="1" applyAlignment="1">
      <alignment horizontal="left" vertical="top" shrinkToFit="1"/>
    </xf>
    <xf numFmtId="0" fontId="139" fillId="75" borderId="57" xfId="0" applyFont="1" applyFill="1" applyBorder="1" applyAlignment="1">
      <alignment horizontal="left" vertical="center"/>
    </xf>
    <xf numFmtId="0" fontId="139" fillId="0" borderId="57" xfId="0" applyFont="1" applyFill="1" applyBorder="1">
      <alignment vertical="center"/>
    </xf>
    <xf numFmtId="0" fontId="139" fillId="0" borderId="0" xfId="0" applyFont="1">
      <alignment vertical="center"/>
    </xf>
    <xf numFmtId="0" fontId="140" fillId="0" borderId="57" xfId="0" applyFont="1" applyFill="1" applyBorder="1">
      <alignment vertical="center"/>
    </xf>
    <xf numFmtId="0" fontId="141" fillId="0" borderId="57" xfId="0" applyFont="1" applyFill="1" applyBorder="1" applyAlignment="1">
      <alignment horizontal="center" vertical="center" shrinkToFit="1"/>
    </xf>
    <xf numFmtId="0" fontId="140" fillId="0" borderId="57" xfId="0" applyFont="1" applyFill="1" applyBorder="1" applyAlignment="1">
      <alignment horizontal="center" vertical="center" shrinkToFit="1"/>
    </xf>
    <xf numFmtId="0" fontId="141" fillId="0" borderId="57" xfId="0" applyFont="1" applyFill="1" applyBorder="1" applyAlignment="1">
      <alignment vertical="center" shrinkToFit="1"/>
    </xf>
    <xf numFmtId="0" fontId="141" fillId="0" borderId="57" xfId="0" applyFont="1" applyBorder="1">
      <alignment vertical="center"/>
    </xf>
    <xf numFmtId="0" fontId="141" fillId="0" borderId="57" xfId="0" applyFont="1" applyFill="1" applyBorder="1" applyAlignment="1">
      <alignment horizontal="left" vertical="top" shrinkToFit="1"/>
    </xf>
    <xf numFmtId="0" fontId="141" fillId="75" borderId="57" xfId="0" applyFont="1" applyFill="1" applyBorder="1" applyAlignment="1">
      <alignment horizontal="left" vertical="center"/>
    </xf>
    <xf numFmtId="0" fontId="141" fillId="0" borderId="57" xfId="0" applyFont="1" applyFill="1" applyBorder="1">
      <alignment vertical="center"/>
    </xf>
    <xf numFmtId="0" fontId="141" fillId="0" borderId="0" xfId="0" applyFont="1">
      <alignment vertical="center"/>
    </xf>
    <xf numFmtId="0" fontId="141" fillId="75" borderId="57" xfId="0" applyFont="1" applyFill="1" applyBorder="1" applyAlignment="1">
      <alignment horizontal="center" vertical="center"/>
    </xf>
    <xf numFmtId="0" fontId="141" fillId="0" borderId="0" xfId="0" applyFont="1" applyAlignment="1">
      <alignment horizontal="center" vertical="center"/>
    </xf>
    <xf numFmtId="0" fontId="6" fillId="0" borderId="1" xfId="0" applyFont="1" applyBorder="1" applyAlignment="1">
      <alignment vertical="center"/>
    </xf>
    <xf numFmtId="0" fontId="15" fillId="2"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0" borderId="1" xfId="0" applyFont="1" applyBorder="1" applyAlignment="1">
      <alignment horizontal="center" vertical="center"/>
    </xf>
    <xf numFmtId="0" fontId="12" fillId="2" borderId="1" xfId="0" applyFont="1" applyFill="1" applyBorder="1" applyAlignment="1">
      <alignment horizontal="center" vertical="center"/>
    </xf>
    <xf numFmtId="0" fontId="13" fillId="0" borderId="2" xfId="0" applyFont="1" applyBorder="1" applyAlignment="1">
      <alignment vertical="center" wrapText="1"/>
    </xf>
    <xf numFmtId="0" fontId="13" fillId="0" borderId="4" xfId="0" applyFont="1" applyBorder="1" applyAlignment="1">
      <alignment vertical="center"/>
    </xf>
    <xf numFmtId="0" fontId="13" fillId="0" borderId="3" xfId="0" applyFont="1" applyBorder="1" applyAlignment="1">
      <alignment vertical="center"/>
    </xf>
    <xf numFmtId="0" fontId="8" fillId="6" borderId="99" xfId="0" applyFont="1" applyFill="1" applyBorder="1" applyAlignment="1">
      <alignment horizontal="center" vertical="center"/>
    </xf>
    <xf numFmtId="0" fontId="97" fillId="6" borderId="100"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9" xfId="0" applyFont="1" applyFill="1" applyBorder="1" applyAlignment="1">
      <alignment horizontal="center" vertical="center"/>
    </xf>
    <xf numFmtId="0" fontId="99" fillId="82" borderId="99" xfId="0" applyFont="1" applyFill="1" applyBorder="1" applyAlignment="1">
      <alignment horizontal="center" vertical="center"/>
    </xf>
    <xf numFmtId="0" fontId="99" fillId="82" borderId="94" xfId="0" applyFont="1" applyFill="1" applyBorder="1" applyAlignment="1">
      <alignment horizontal="center" vertical="center"/>
    </xf>
    <xf numFmtId="0" fontId="99" fillId="82" borderId="100" xfId="0" applyFont="1" applyFill="1" applyBorder="1" applyAlignment="1">
      <alignment horizontal="center" vertical="center"/>
    </xf>
    <xf numFmtId="0" fontId="99" fillId="45" borderId="99" xfId="0" applyFont="1" applyFill="1" applyBorder="1" applyAlignment="1">
      <alignment horizontal="center" vertical="center"/>
    </xf>
    <xf numFmtId="0" fontId="99" fillId="45" borderId="94" xfId="0" applyFont="1" applyFill="1" applyBorder="1" applyAlignment="1">
      <alignment horizontal="center" vertical="center"/>
    </xf>
    <xf numFmtId="0" fontId="99" fillId="45" borderId="100" xfId="0" applyFont="1" applyFill="1" applyBorder="1" applyAlignment="1">
      <alignment horizontal="center" vertical="center"/>
    </xf>
    <xf numFmtId="0" fontId="5" fillId="0" borderId="57" xfId="0" applyFont="1" applyFill="1" applyBorder="1" applyAlignment="1">
      <alignment horizontal="center" vertical="center" shrinkToFit="1"/>
    </xf>
    <xf numFmtId="0" fontId="5" fillId="0" borderId="57" xfId="2" applyFont="1" applyFill="1" applyBorder="1" applyAlignment="1">
      <alignment horizontal="center" vertical="center" shrinkToFit="1"/>
    </xf>
    <xf numFmtId="0" fontId="6" fillId="0" borderId="57" xfId="0" applyFont="1" applyBorder="1" applyAlignment="1">
      <alignment horizontal="center" vertical="center"/>
    </xf>
    <xf numFmtId="0" fontId="6" fillId="0" borderId="57" xfId="0" applyFont="1" applyBorder="1" applyAlignment="1">
      <alignment vertical="center"/>
    </xf>
    <xf numFmtId="0" fontId="13" fillId="0" borderId="57" xfId="0" applyFont="1" applyBorder="1" applyAlignment="1">
      <alignment horizontal="center" vertical="center"/>
    </xf>
    <xf numFmtId="0" fontId="13" fillId="0" borderId="57" xfId="0" applyFont="1" applyBorder="1" applyAlignment="1">
      <alignment horizontal="left" vertical="center"/>
    </xf>
    <xf numFmtId="0" fontId="142" fillId="0" borderId="57" xfId="0" applyFont="1" applyBorder="1" applyAlignment="1">
      <alignment horizontal="center" vertical="center"/>
    </xf>
    <xf numFmtId="0" fontId="94" fillId="0" borderId="57" xfId="0" applyFont="1" applyFill="1" applyBorder="1" applyAlignment="1">
      <alignment horizontal="center" vertical="center" shrinkToFit="1"/>
    </xf>
    <xf numFmtId="0" fontId="142" fillId="0" borderId="57" xfId="0" applyFont="1" applyBorder="1">
      <alignment vertical="center"/>
    </xf>
    <xf numFmtId="0" fontId="142" fillId="0" borderId="57" xfId="0" applyFont="1" applyFill="1" applyBorder="1">
      <alignment vertical="center"/>
    </xf>
  </cellXfs>
  <cellStyles count="5029">
    <cellStyle name="_x000a_386grabber=M" xfId="15" xr:uid="{00000000-0005-0000-0000-000000000000}"/>
    <cellStyle name="_x000a_386grabber=M 2" xfId="14" xr:uid="{00000000-0005-0000-0000-000001000000}"/>
    <cellStyle name="_x000a_386grabber=M 2 2" xfId="171" xr:uid="{00000000-0005-0000-0000-000002000000}"/>
    <cellStyle name="_x000a_386grabber=M 2 3" xfId="4625" xr:uid="{00000000-0005-0000-0000-000003000000}"/>
    <cellStyle name="_x000a_386grabber=M 3" xfId="221" xr:uid="{00000000-0005-0000-0000-000004000000}"/>
    <cellStyle name="??&amp;O?&amp;H?_x0008__x000f__x0007_?_x0007__x0001__x0001_" xfId="4687" xr:uid="{00000000-0005-0000-0000-000005000000}"/>
    <cellStyle name="_20070807_농협중앙회 개발데이타 추출항목명세서 (version 6.2)" xfId="4626" xr:uid="{00000000-0005-0000-0000-000006000000}"/>
    <cellStyle name="_K2BIS-PM-범위비교표(소매신용평가모형부문)" xfId="192" xr:uid="{00000000-0005-0000-0000-000007000000}"/>
    <cellStyle name="20% - Accent1" xfId="4627" xr:uid="{00000000-0005-0000-0000-000008000000}"/>
    <cellStyle name="20% - Accent2" xfId="4628" xr:uid="{00000000-0005-0000-0000-000009000000}"/>
    <cellStyle name="20% - Accent3" xfId="4629" xr:uid="{00000000-0005-0000-0000-00000A000000}"/>
    <cellStyle name="20% - Accent4" xfId="4630" xr:uid="{00000000-0005-0000-0000-00000B000000}"/>
    <cellStyle name="20% - Accent5" xfId="4631" xr:uid="{00000000-0005-0000-0000-00000C000000}"/>
    <cellStyle name="20% - Accent6" xfId="4632" xr:uid="{00000000-0005-0000-0000-00000D000000}"/>
    <cellStyle name="20% - 강조색1 10" xfId="218" xr:uid="{00000000-0005-0000-0000-00000E000000}"/>
    <cellStyle name="20% - 강조색1 100" xfId="208" xr:uid="{00000000-0005-0000-0000-00000F000000}"/>
    <cellStyle name="20% - 강조색1 101" xfId="213" xr:uid="{00000000-0005-0000-0000-000010000000}"/>
    <cellStyle name="20% - 강조색1 102" xfId="215" xr:uid="{00000000-0005-0000-0000-000011000000}"/>
    <cellStyle name="20% - 강조색1 103" xfId="216" xr:uid="{00000000-0005-0000-0000-000012000000}"/>
    <cellStyle name="20% - 강조색1 104" xfId="160" xr:uid="{00000000-0005-0000-0000-000013000000}"/>
    <cellStyle name="20% - 강조색1 105" xfId="201" xr:uid="{00000000-0005-0000-0000-000014000000}"/>
    <cellStyle name="20% - 강조색1 106" xfId="212" xr:uid="{00000000-0005-0000-0000-000015000000}"/>
    <cellStyle name="20% - 강조색1 107" xfId="162" xr:uid="{00000000-0005-0000-0000-000016000000}"/>
    <cellStyle name="20% - 강조색1 11" xfId="141" xr:uid="{00000000-0005-0000-0000-000017000000}"/>
    <cellStyle name="20% - 강조색1 12" xfId="169" xr:uid="{00000000-0005-0000-0000-000018000000}"/>
    <cellStyle name="20% - 강조색1 13" xfId="155" xr:uid="{00000000-0005-0000-0000-000019000000}"/>
    <cellStyle name="20% - 강조색1 14" xfId="203" xr:uid="{00000000-0005-0000-0000-00001A000000}"/>
    <cellStyle name="20% - 강조색1 15" xfId="180" xr:uid="{00000000-0005-0000-0000-00001B000000}"/>
    <cellStyle name="20% - 강조색1 16" xfId="205" xr:uid="{00000000-0005-0000-0000-00001C000000}"/>
    <cellStyle name="20% - 강조색1 17" xfId="195" xr:uid="{00000000-0005-0000-0000-00001D000000}"/>
    <cellStyle name="20% - 강조색1 18" xfId="166" xr:uid="{00000000-0005-0000-0000-00001E000000}"/>
    <cellStyle name="20% - 강조색1 19" xfId="200" xr:uid="{00000000-0005-0000-0000-00001F000000}"/>
    <cellStyle name="20% - 강조색1 2" xfId="196" xr:uid="{00000000-0005-0000-0000-000020000000}"/>
    <cellStyle name="20% - 강조색1 20" xfId="18" xr:uid="{00000000-0005-0000-0000-000021000000}"/>
    <cellStyle name="20% - 강조색1 21" xfId="146" xr:uid="{00000000-0005-0000-0000-000022000000}"/>
    <cellStyle name="20% - 강조색1 22" xfId="154" xr:uid="{00000000-0005-0000-0000-000023000000}"/>
    <cellStyle name="20% - 강조색1 23" xfId="170" xr:uid="{00000000-0005-0000-0000-000024000000}"/>
    <cellStyle name="20% - 강조색1 24" xfId="210" xr:uid="{00000000-0005-0000-0000-000025000000}"/>
    <cellStyle name="20% - 강조색1 25" xfId="199" xr:uid="{00000000-0005-0000-0000-000026000000}"/>
    <cellStyle name="20% - 강조색1 26" xfId="209" xr:uid="{00000000-0005-0000-0000-000027000000}"/>
    <cellStyle name="20% - 강조색1 27" xfId="142" xr:uid="{00000000-0005-0000-0000-000028000000}"/>
    <cellStyle name="20% - 강조색1 28" xfId="185" xr:uid="{00000000-0005-0000-0000-000029000000}"/>
    <cellStyle name="20% - 강조색1 29" xfId="190" xr:uid="{00000000-0005-0000-0000-00002A000000}"/>
    <cellStyle name="20% - 강조색1 3" xfId="153" xr:uid="{00000000-0005-0000-0000-00002B000000}"/>
    <cellStyle name="20% - 강조색1 30" xfId="147" xr:uid="{00000000-0005-0000-0000-00002C000000}"/>
    <cellStyle name="20% - 강조색1 31" xfId="191" xr:uid="{00000000-0005-0000-0000-00002D000000}"/>
    <cellStyle name="20% - 강조색1 32" xfId="194" xr:uid="{00000000-0005-0000-0000-00002E000000}"/>
    <cellStyle name="20% - 강조색1 33" xfId="187" xr:uid="{00000000-0005-0000-0000-00002F000000}"/>
    <cellStyle name="20% - 강조색1 34" xfId="156" xr:uid="{00000000-0005-0000-0000-000030000000}"/>
    <cellStyle name="20% - 강조색1 35" xfId="172" xr:uid="{00000000-0005-0000-0000-000031000000}"/>
    <cellStyle name="20% - 강조색1 36" xfId="173" xr:uid="{00000000-0005-0000-0000-000032000000}"/>
    <cellStyle name="20% - 강조색1 37" xfId="198" xr:uid="{00000000-0005-0000-0000-000033000000}"/>
    <cellStyle name="20% - 강조색1 38" xfId="158" xr:uid="{00000000-0005-0000-0000-000034000000}"/>
    <cellStyle name="20% - 강조색1 39" xfId="211" xr:uid="{00000000-0005-0000-0000-000035000000}"/>
    <cellStyle name="20% - 강조색1 4" xfId="224" xr:uid="{00000000-0005-0000-0000-000036000000}"/>
    <cellStyle name="20% - 강조색1 40" xfId="168" xr:uid="{00000000-0005-0000-0000-000037000000}"/>
    <cellStyle name="20% - 강조색1 41" xfId="143" xr:uid="{00000000-0005-0000-0000-000038000000}"/>
    <cellStyle name="20% - 강조색1 42" xfId="149" xr:uid="{00000000-0005-0000-0000-000039000000}"/>
    <cellStyle name="20% - 강조색1 43" xfId="164" xr:uid="{00000000-0005-0000-0000-00003A000000}"/>
    <cellStyle name="20% - 강조색1 44" xfId="150" xr:uid="{00000000-0005-0000-0000-00003B000000}"/>
    <cellStyle name="20% - 강조색1 45" xfId="202" xr:uid="{00000000-0005-0000-0000-00003C000000}"/>
    <cellStyle name="20% - 강조색1 46" xfId="179" xr:uid="{00000000-0005-0000-0000-00003D000000}"/>
    <cellStyle name="20% - 강조색1 47" xfId="157" xr:uid="{00000000-0005-0000-0000-00003E000000}"/>
    <cellStyle name="20% - 강조색1 48" xfId="206" xr:uid="{00000000-0005-0000-0000-00003F000000}"/>
    <cellStyle name="20% - 강조색1 49" xfId="144" xr:uid="{00000000-0005-0000-0000-000040000000}"/>
    <cellStyle name="20% - 강조색1 5" xfId="174" xr:uid="{00000000-0005-0000-0000-000041000000}"/>
    <cellStyle name="20% - 강조색1 50" xfId="220" xr:uid="{00000000-0005-0000-0000-000042000000}"/>
    <cellStyle name="20% - 강조색1 51" xfId="182" xr:uid="{00000000-0005-0000-0000-000043000000}"/>
    <cellStyle name="20% - 강조색1 52" xfId="178" xr:uid="{00000000-0005-0000-0000-000044000000}"/>
    <cellStyle name="20% - 강조색1 53" xfId="193" xr:uid="{00000000-0005-0000-0000-000045000000}"/>
    <cellStyle name="20% - 강조색1 54" xfId="188" xr:uid="{00000000-0005-0000-0000-000046000000}"/>
    <cellStyle name="20% - 강조색1 55" xfId="159" xr:uid="{00000000-0005-0000-0000-000047000000}"/>
    <cellStyle name="20% - 강조색1 56" xfId="177" xr:uid="{00000000-0005-0000-0000-000048000000}"/>
    <cellStyle name="20% - 강조색1 57" xfId="189" xr:uid="{00000000-0005-0000-0000-000049000000}"/>
    <cellStyle name="20% - 강조색1 58" xfId="204" xr:uid="{00000000-0005-0000-0000-00004A000000}"/>
    <cellStyle name="20% - 강조색1 59" xfId="217" xr:uid="{00000000-0005-0000-0000-00004B000000}"/>
    <cellStyle name="20% - 강조색1 6" xfId="152" xr:uid="{00000000-0005-0000-0000-00004C000000}"/>
    <cellStyle name="20% - 강조색1 60" xfId="161" xr:uid="{00000000-0005-0000-0000-00004D000000}"/>
    <cellStyle name="20% - 강조색1 61" xfId="223" xr:uid="{00000000-0005-0000-0000-00004E000000}"/>
    <cellStyle name="20% - 강조색1 62" xfId="175" xr:uid="{00000000-0005-0000-0000-00004F000000}"/>
    <cellStyle name="20% - 강조색1 63" xfId="184" xr:uid="{00000000-0005-0000-0000-000050000000}"/>
    <cellStyle name="20% - 강조색1 64" xfId="183" xr:uid="{00000000-0005-0000-0000-000051000000}"/>
    <cellStyle name="20% - 강조색1 65" xfId="214" xr:uid="{00000000-0005-0000-0000-000052000000}"/>
    <cellStyle name="20% - 강조색1 66" xfId="181" xr:uid="{00000000-0005-0000-0000-000053000000}"/>
    <cellStyle name="20% - 강조색1 67" xfId="165" xr:uid="{00000000-0005-0000-0000-000054000000}"/>
    <cellStyle name="20% - 강조색1 68" xfId="219" xr:uid="{00000000-0005-0000-0000-000055000000}"/>
    <cellStyle name="20% - 강조색1 69" xfId="176" xr:uid="{00000000-0005-0000-0000-000056000000}"/>
    <cellStyle name="20% - 강조색1 7" xfId="163" xr:uid="{00000000-0005-0000-0000-000057000000}"/>
    <cellStyle name="20% - 강조색1 70" xfId="186" xr:uid="{00000000-0005-0000-0000-000058000000}"/>
    <cellStyle name="20% - 강조색1 71" xfId="222" xr:uid="{00000000-0005-0000-0000-000059000000}"/>
    <cellStyle name="20% - 강조색1 72" xfId="145" xr:uid="{00000000-0005-0000-0000-00005A000000}"/>
    <cellStyle name="20% - 강조색1 73" xfId="207" xr:uid="{00000000-0005-0000-0000-00005B000000}"/>
    <cellStyle name="20% - 강조색1 74" xfId="197" xr:uid="{00000000-0005-0000-0000-00005C000000}"/>
    <cellStyle name="20% - 강조색1 75" xfId="148" xr:uid="{00000000-0005-0000-0000-00005D000000}"/>
    <cellStyle name="20% - 강조색1 76" xfId="151" xr:uid="{00000000-0005-0000-0000-00005E000000}"/>
    <cellStyle name="20% - 강조색1 77" xfId="225" xr:uid="{00000000-0005-0000-0000-00005F000000}"/>
    <cellStyle name="20% - 강조색1 78" xfId="226" xr:uid="{00000000-0005-0000-0000-000060000000}"/>
    <cellStyle name="20% - 강조색1 79" xfId="227" xr:uid="{00000000-0005-0000-0000-000061000000}"/>
    <cellStyle name="20% - 강조색1 8" xfId="228" xr:uid="{00000000-0005-0000-0000-000062000000}"/>
    <cellStyle name="20% - 강조색1 80" xfId="229" xr:uid="{00000000-0005-0000-0000-000063000000}"/>
    <cellStyle name="20% - 강조색1 81" xfId="230" xr:uid="{00000000-0005-0000-0000-000064000000}"/>
    <cellStyle name="20% - 강조색1 82" xfId="231" xr:uid="{00000000-0005-0000-0000-000065000000}"/>
    <cellStyle name="20% - 강조색1 83" xfId="232" xr:uid="{00000000-0005-0000-0000-000066000000}"/>
    <cellStyle name="20% - 강조색1 84" xfId="233" xr:uid="{00000000-0005-0000-0000-000067000000}"/>
    <cellStyle name="20% - 강조색1 85" xfId="234" xr:uid="{00000000-0005-0000-0000-000068000000}"/>
    <cellStyle name="20% - 강조색1 86" xfId="235" xr:uid="{00000000-0005-0000-0000-000069000000}"/>
    <cellStyle name="20% - 강조색1 87" xfId="236" xr:uid="{00000000-0005-0000-0000-00006A000000}"/>
    <cellStyle name="20% - 강조색1 88" xfId="237" xr:uid="{00000000-0005-0000-0000-00006B000000}"/>
    <cellStyle name="20% - 강조색1 89" xfId="238" xr:uid="{00000000-0005-0000-0000-00006C000000}"/>
    <cellStyle name="20% - 강조색1 9" xfId="239" xr:uid="{00000000-0005-0000-0000-00006D000000}"/>
    <cellStyle name="20% - 강조색1 90" xfId="240" xr:uid="{00000000-0005-0000-0000-00006E000000}"/>
    <cellStyle name="20% - 강조색1 91" xfId="241" xr:uid="{00000000-0005-0000-0000-00006F000000}"/>
    <cellStyle name="20% - 강조색1 92" xfId="242" xr:uid="{00000000-0005-0000-0000-000070000000}"/>
    <cellStyle name="20% - 강조색1 93" xfId="243" xr:uid="{00000000-0005-0000-0000-000071000000}"/>
    <cellStyle name="20% - 강조색1 94" xfId="244" xr:uid="{00000000-0005-0000-0000-000072000000}"/>
    <cellStyle name="20% - 강조색1 95" xfId="245" xr:uid="{00000000-0005-0000-0000-000073000000}"/>
    <cellStyle name="20% - 강조색1 96" xfId="246" xr:uid="{00000000-0005-0000-0000-000074000000}"/>
    <cellStyle name="20% - 강조색1 97" xfId="247" xr:uid="{00000000-0005-0000-0000-000075000000}"/>
    <cellStyle name="20% - 강조색1 98" xfId="248" xr:uid="{00000000-0005-0000-0000-000076000000}"/>
    <cellStyle name="20% - 강조색1 99" xfId="249" xr:uid="{00000000-0005-0000-0000-000077000000}"/>
    <cellStyle name="20% - 강조색2 10" xfId="250" xr:uid="{00000000-0005-0000-0000-000078000000}"/>
    <cellStyle name="20% - 강조색2 100" xfId="251" xr:uid="{00000000-0005-0000-0000-000079000000}"/>
    <cellStyle name="20% - 강조색2 101" xfId="252" xr:uid="{00000000-0005-0000-0000-00007A000000}"/>
    <cellStyle name="20% - 강조색2 102" xfId="253" xr:uid="{00000000-0005-0000-0000-00007B000000}"/>
    <cellStyle name="20% - 강조색2 103" xfId="254" xr:uid="{00000000-0005-0000-0000-00007C000000}"/>
    <cellStyle name="20% - 강조색2 104" xfId="255" xr:uid="{00000000-0005-0000-0000-00007D000000}"/>
    <cellStyle name="20% - 강조색2 105" xfId="256" xr:uid="{00000000-0005-0000-0000-00007E000000}"/>
    <cellStyle name="20% - 강조색2 106" xfId="257" xr:uid="{00000000-0005-0000-0000-00007F000000}"/>
    <cellStyle name="20% - 강조색2 107" xfId="258" xr:uid="{00000000-0005-0000-0000-000080000000}"/>
    <cellStyle name="20% - 강조색2 11" xfId="259" xr:uid="{00000000-0005-0000-0000-000081000000}"/>
    <cellStyle name="20% - 강조색2 12" xfId="260" xr:uid="{00000000-0005-0000-0000-000082000000}"/>
    <cellStyle name="20% - 강조색2 13" xfId="261" xr:uid="{00000000-0005-0000-0000-000083000000}"/>
    <cellStyle name="20% - 강조색2 14" xfId="262" xr:uid="{00000000-0005-0000-0000-000084000000}"/>
    <cellStyle name="20% - 강조색2 15" xfId="263" xr:uid="{00000000-0005-0000-0000-000085000000}"/>
    <cellStyle name="20% - 강조색2 16" xfId="264" xr:uid="{00000000-0005-0000-0000-000086000000}"/>
    <cellStyle name="20% - 강조색2 17" xfId="265" xr:uid="{00000000-0005-0000-0000-000087000000}"/>
    <cellStyle name="20% - 강조색2 18" xfId="266" xr:uid="{00000000-0005-0000-0000-000088000000}"/>
    <cellStyle name="20% - 강조색2 19" xfId="267" xr:uid="{00000000-0005-0000-0000-000089000000}"/>
    <cellStyle name="20% - 강조색2 2" xfId="268" xr:uid="{00000000-0005-0000-0000-00008A000000}"/>
    <cellStyle name="20% - 강조색2 20" xfId="269" xr:uid="{00000000-0005-0000-0000-00008B000000}"/>
    <cellStyle name="20% - 강조색2 21" xfId="270" xr:uid="{00000000-0005-0000-0000-00008C000000}"/>
    <cellStyle name="20% - 강조색2 22" xfId="271" xr:uid="{00000000-0005-0000-0000-00008D000000}"/>
    <cellStyle name="20% - 강조색2 23" xfId="272" xr:uid="{00000000-0005-0000-0000-00008E000000}"/>
    <cellStyle name="20% - 강조색2 24" xfId="273" xr:uid="{00000000-0005-0000-0000-00008F000000}"/>
    <cellStyle name="20% - 강조색2 25" xfId="274" xr:uid="{00000000-0005-0000-0000-000090000000}"/>
    <cellStyle name="20% - 강조색2 26" xfId="275" xr:uid="{00000000-0005-0000-0000-000091000000}"/>
    <cellStyle name="20% - 강조색2 27" xfId="276" xr:uid="{00000000-0005-0000-0000-000092000000}"/>
    <cellStyle name="20% - 강조색2 28" xfId="277" xr:uid="{00000000-0005-0000-0000-000093000000}"/>
    <cellStyle name="20% - 강조색2 29" xfId="278" xr:uid="{00000000-0005-0000-0000-000094000000}"/>
    <cellStyle name="20% - 강조색2 3" xfId="279" xr:uid="{00000000-0005-0000-0000-000095000000}"/>
    <cellStyle name="20% - 강조색2 30" xfId="280" xr:uid="{00000000-0005-0000-0000-000096000000}"/>
    <cellStyle name="20% - 강조색2 31" xfId="281" xr:uid="{00000000-0005-0000-0000-000097000000}"/>
    <cellStyle name="20% - 강조색2 32" xfId="282" xr:uid="{00000000-0005-0000-0000-000098000000}"/>
    <cellStyle name="20% - 강조색2 33" xfId="283" xr:uid="{00000000-0005-0000-0000-000099000000}"/>
    <cellStyle name="20% - 강조색2 34" xfId="284" xr:uid="{00000000-0005-0000-0000-00009A000000}"/>
    <cellStyle name="20% - 강조색2 35" xfId="285" xr:uid="{00000000-0005-0000-0000-00009B000000}"/>
    <cellStyle name="20% - 강조색2 36" xfId="286" xr:uid="{00000000-0005-0000-0000-00009C000000}"/>
    <cellStyle name="20% - 강조색2 37" xfId="287" xr:uid="{00000000-0005-0000-0000-00009D000000}"/>
    <cellStyle name="20% - 강조색2 38" xfId="288" xr:uid="{00000000-0005-0000-0000-00009E000000}"/>
    <cellStyle name="20% - 강조색2 39" xfId="289" xr:uid="{00000000-0005-0000-0000-00009F000000}"/>
    <cellStyle name="20% - 강조색2 4" xfId="290" xr:uid="{00000000-0005-0000-0000-0000A0000000}"/>
    <cellStyle name="20% - 강조색2 40" xfId="291" xr:uid="{00000000-0005-0000-0000-0000A1000000}"/>
    <cellStyle name="20% - 강조색2 41" xfId="292" xr:uid="{00000000-0005-0000-0000-0000A2000000}"/>
    <cellStyle name="20% - 강조색2 42" xfId="293" xr:uid="{00000000-0005-0000-0000-0000A3000000}"/>
    <cellStyle name="20% - 강조색2 43" xfId="294" xr:uid="{00000000-0005-0000-0000-0000A4000000}"/>
    <cellStyle name="20% - 강조색2 44" xfId="295" xr:uid="{00000000-0005-0000-0000-0000A5000000}"/>
    <cellStyle name="20% - 강조색2 45" xfId="296" xr:uid="{00000000-0005-0000-0000-0000A6000000}"/>
    <cellStyle name="20% - 강조색2 46" xfId="297" xr:uid="{00000000-0005-0000-0000-0000A7000000}"/>
    <cellStyle name="20% - 강조색2 47" xfId="298" xr:uid="{00000000-0005-0000-0000-0000A8000000}"/>
    <cellStyle name="20% - 강조색2 48" xfId="299" xr:uid="{00000000-0005-0000-0000-0000A9000000}"/>
    <cellStyle name="20% - 강조색2 49" xfId="300" xr:uid="{00000000-0005-0000-0000-0000AA000000}"/>
    <cellStyle name="20% - 강조색2 5" xfId="301" xr:uid="{00000000-0005-0000-0000-0000AB000000}"/>
    <cellStyle name="20% - 강조색2 50" xfId="302" xr:uid="{00000000-0005-0000-0000-0000AC000000}"/>
    <cellStyle name="20% - 강조색2 51" xfId="303" xr:uid="{00000000-0005-0000-0000-0000AD000000}"/>
    <cellStyle name="20% - 강조색2 52" xfId="304" xr:uid="{00000000-0005-0000-0000-0000AE000000}"/>
    <cellStyle name="20% - 강조색2 53" xfId="305" xr:uid="{00000000-0005-0000-0000-0000AF000000}"/>
    <cellStyle name="20% - 강조색2 54" xfId="306" xr:uid="{00000000-0005-0000-0000-0000B0000000}"/>
    <cellStyle name="20% - 강조색2 55" xfId="307" xr:uid="{00000000-0005-0000-0000-0000B1000000}"/>
    <cellStyle name="20% - 강조색2 56" xfId="308" xr:uid="{00000000-0005-0000-0000-0000B2000000}"/>
    <cellStyle name="20% - 강조색2 57" xfId="309" xr:uid="{00000000-0005-0000-0000-0000B3000000}"/>
    <cellStyle name="20% - 강조색2 58" xfId="310" xr:uid="{00000000-0005-0000-0000-0000B4000000}"/>
    <cellStyle name="20% - 강조색2 59" xfId="311" xr:uid="{00000000-0005-0000-0000-0000B5000000}"/>
    <cellStyle name="20% - 강조색2 6" xfId="312" xr:uid="{00000000-0005-0000-0000-0000B6000000}"/>
    <cellStyle name="20% - 강조색2 60" xfId="313" xr:uid="{00000000-0005-0000-0000-0000B7000000}"/>
    <cellStyle name="20% - 강조색2 61" xfId="314" xr:uid="{00000000-0005-0000-0000-0000B8000000}"/>
    <cellStyle name="20% - 강조색2 62" xfId="315" xr:uid="{00000000-0005-0000-0000-0000B9000000}"/>
    <cellStyle name="20% - 강조색2 63" xfId="316" xr:uid="{00000000-0005-0000-0000-0000BA000000}"/>
    <cellStyle name="20% - 강조색2 64" xfId="317" xr:uid="{00000000-0005-0000-0000-0000BB000000}"/>
    <cellStyle name="20% - 강조색2 65" xfId="318" xr:uid="{00000000-0005-0000-0000-0000BC000000}"/>
    <cellStyle name="20% - 강조색2 66" xfId="319" xr:uid="{00000000-0005-0000-0000-0000BD000000}"/>
    <cellStyle name="20% - 강조색2 67" xfId="320" xr:uid="{00000000-0005-0000-0000-0000BE000000}"/>
    <cellStyle name="20% - 강조색2 68" xfId="321" xr:uid="{00000000-0005-0000-0000-0000BF000000}"/>
    <cellStyle name="20% - 강조색2 69" xfId="322" xr:uid="{00000000-0005-0000-0000-0000C0000000}"/>
    <cellStyle name="20% - 강조색2 7" xfId="323" xr:uid="{00000000-0005-0000-0000-0000C1000000}"/>
    <cellStyle name="20% - 강조색2 70" xfId="324" xr:uid="{00000000-0005-0000-0000-0000C2000000}"/>
    <cellStyle name="20% - 강조색2 71" xfId="325" xr:uid="{00000000-0005-0000-0000-0000C3000000}"/>
    <cellStyle name="20% - 강조색2 72" xfId="326" xr:uid="{00000000-0005-0000-0000-0000C4000000}"/>
    <cellStyle name="20% - 강조색2 73" xfId="327" xr:uid="{00000000-0005-0000-0000-0000C5000000}"/>
    <cellStyle name="20% - 강조색2 74" xfId="328" xr:uid="{00000000-0005-0000-0000-0000C6000000}"/>
    <cellStyle name="20% - 강조색2 75" xfId="329" xr:uid="{00000000-0005-0000-0000-0000C7000000}"/>
    <cellStyle name="20% - 강조색2 76" xfId="330" xr:uid="{00000000-0005-0000-0000-0000C8000000}"/>
    <cellStyle name="20% - 강조색2 77" xfId="331" xr:uid="{00000000-0005-0000-0000-0000C9000000}"/>
    <cellStyle name="20% - 강조색2 78" xfId="332" xr:uid="{00000000-0005-0000-0000-0000CA000000}"/>
    <cellStyle name="20% - 강조색2 79" xfId="333" xr:uid="{00000000-0005-0000-0000-0000CB000000}"/>
    <cellStyle name="20% - 강조색2 8" xfId="334" xr:uid="{00000000-0005-0000-0000-0000CC000000}"/>
    <cellStyle name="20% - 강조색2 80" xfId="335" xr:uid="{00000000-0005-0000-0000-0000CD000000}"/>
    <cellStyle name="20% - 강조색2 81" xfId="336" xr:uid="{00000000-0005-0000-0000-0000CE000000}"/>
    <cellStyle name="20% - 강조색2 82" xfId="337" xr:uid="{00000000-0005-0000-0000-0000CF000000}"/>
    <cellStyle name="20% - 강조색2 83" xfId="338" xr:uid="{00000000-0005-0000-0000-0000D0000000}"/>
    <cellStyle name="20% - 강조색2 84" xfId="339" xr:uid="{00000000-0005-0000-0000-0000D1000000}"/>
    <cellStyle name="20% - 강조색2 85" xfId="340" xr:uid="{00000000-0005-0000-0000-0000D2000000}"/>
    <cellStyle name="20% - 강조색2 86" xfId="341" xr:uid="{00000000-0005-0000-0000-0000D3000000}"/>
    <cellStyle name="20% - 강조색2 87" xfId="342" xr:uid="{00000000-0005-0000-0000-0000D4000000}"/>
    <cellStyle name="20% - 강조색2 88" xfId="343" xr:uid="{00000000-0005-0000-0000-0000D5000000}"/>
    <cellStyle name="20% - 강조색2 89" xfId="344" xr:uid="{00000000-0005-0000-0000-0000D6000000}"/>
    <cellStyle name="20% - 강조색2 9" xfId="345" xr:uid="{00000000-0005-0000-0000-0000D7000000}"/>
    <cellStyle name="20% - 강조색2 90" xfId="346" xr:uid="{00000000-0005-0000-0000-0000D8000000}"/>
    <cellStyle name="20% - 강조색2 91" xfId="347" xr:uid="{00000000-0005-0000-0000-0000D9000000}"/>
    <cellStyle name="20% - 강조색2 92" xfId="348" xr:uid="{00000000-0005-0000-0000-0000DA000000}"/>
    <cellStyle name="20% - 강조색2 93" xfId="349" xr:uid="{00000000-0005-0000-0000-0000DB000000}"/>
    <cellStyle name="20% - 강조색2 94" xfId="350" xr:uid="{00000000-0005-0000-0000-0000DC000000}"/>
    <cellStyle name="20% - 강조색2 95" xfId="351" xr:uid="{00000000-0005-0000-0000-0000DD000000}"/>
    <cellStyle name="20% - 강조색2 96" xfId="352" xr:uid="{00000000-0005-0000-0000-0000DE000000}"/>
    <cellStyle name="20% - 강조색2 97" xfId="353" xr:uid="{00000000-0005-0000-0000-0000DF000000}"/>
    <cellStyle name="20% - 강조색2 98" xfId="354" xr:uid="{00000000-0005-0000-0000-0000E0000000}"/>
    <cellStyle name="20% - 강조색2 99" xfId="355" xr:uid="{00000000-0005-0000-0000-0000E1000000}"/>
    <cellStyle name="20% - 강조색3 10" xfId="356" xr:uid="{00000000-0005-0000-0000-0000E2000000}"/>
    <cellStyle name="20% - 강조색3 100" xfId="357" xr:uid="{00000000-0005-0000-0000-0000E3000000}"/>
    <cellStyle name="20% - 강조색3 101" xfId="358" xr:uid="{00000000-0005-0000-0000-0000E4000000}"/>
    <cellStyle name="20% - 강조색3 102" xfId="359" xr:uid="{00000000-0005-0000-0000-0000E5000000}"/>
    <cellStyle name="20% - 강조색3 103" xfId="360" xr:uid="{00000000-0005-0000-0000-0000E6000000}"/>
    <cellStyle name="20% - 강조색3 104" xfId="361" xr:uid="{00000000-0005-0000-0000-0000E7000000}"/>
    <cellStyle name="20% - 강조색3 105" xfId="362" xr:uid="{00000000-0005-0000-0000-0000E8000000}"/>
    <cellStyle name="20% - 강조색3 106" xfId="363" xr:uid="{00000000-0005-0000-0000-0000E9000000}"/>
    <cellStyle name="20% - 강조색3 107" xfId="364" xr:uid="{00000000-0005-0000-0000-0000EA000000}"/>
    <cellStyle name="20% - 강조색3 11" xfId="365" xr:uid="{00000000-0005-0000-0000-0000EB000000}"/>
    <cellStyle name="20% - 강조색3 12" xfId="366" xr:uid="{00000000-0005-0000-0000-0000EC000000}"/>
    <cellStyle name="20% - 강조색3 13" xfId="367" xr:uid="{00000000-0005-0000-0000-0000ED000000}"/>
    <cellStyle name="20% - 강조색3 14" xfId="368" xr:uid="{00000000-0005-0000-0000-0000EE000000}"/>
    <cellStyle name="20% - 강조색3 15" xfId="369" xr:uid="{00000000-0005-0000-0000-0000EF000000}"/>
    <cellStyle name="20% - 강조색3 16" xfId="370" xr:uid="{00000000-0005-0000-0000-0000F0000000}"/>
    <cellStyle name="20% - 강조색3 17" xfId="371" xr:uid="{00000000-0005-0000-0000-0000F1000000}"/>
    <cellStyle name="20% - 강조색3 18" xfId="372" xr:uid="{00000000-0005-0000-0000-0000F2000000}"/>
    <cellStyle name="20% - 강조색3 19" xfId="373" xr:uid="{00000000-0005-0000-0000-0000F3000000}"/>
    <cellStyle name="20% - 강조색3 2" xfId="374" xr:uid="{00000000-0005-0000-0000-0000F4000000}"/>
    <cellStyle name="20% - 강조색3 20" xfId="375" xr:uid="{00000000-0005-0000-0000-0000F5000000}"/>
    <cellStyle name="20% - 강조색3 21" xfId="376" xr:uid="{00000000-0005-0000-0000-0000F6000000}"/>
    <cellStyle name="20% - 강조색3 22" xfId="377" xr:uid="{00000000-0005-0000-0000-0000F7000000}"/>
    <cellStyle name="20% - 강조색3 23" xfId="378" xr:uid="{00000000-0005-0000-0000-0000F8000000}"/>
    <cellStyle name="20% - 강조색3 24" xfId="379" xr:uid="{00000000-0005-0000-0000-0000F9000000}"/>
    <cellStyle name="20% - 강조색3 25" xfId="380" xr:uid="{00000000-0005-0000-0000-0000FA000000}"/>
    <cellStyle name="20% - 강조색3 26" xfId="381" xr:uid="{00000000-0005-0000-0000-0000FB000000}"/>
    <cellStyle name="20% - 강조색3 27" xfId="382" xr:uid="{00000000-0005-0000-0000-0000FC000000}"/>
    <cellStyle name="20% - 강조색3 28" xfId="383" xr:uid="{00000000-0005-0000-0000-0000FD000000}"/>
    <cellStyle name="20% - 강조색3 29" xfId="384" xr:uid="{00000000-0005-0000-0000-0000FE000000}"/>
    <cellStyle name="20% - 강조색3 3" xfId="385" xr:uid="{00000000-0005-0000-0000-0000FF000000}"/>
    <cellStyle name="20% - 강조색3 30" xfId="386" xr:uid="{00000000-0005-0000-0000-000000010000}"/>
    <cellStyle name="20% - 강조색3 31" xfId="387" xr:uid="{00000000-0005-0000-0000-000001010000}"/>
    <cellStyle name="20% - 강조색3 32" xfId="388" xr:uid="{00000000-0005-0000-0000-000002010000}"/>
    <cellStyle name="20% - 강조색3 33" xfId="389" xr:uid="{00000000-0005-0000-0000-000003010000}"/>
    <cellStyle name="20% - 강조색3 34" xfId="390" xr:uid="{00000000-0005-0000-0000-000004010000}"/>
    <cellStyle name="20% - 강조색3 35" xfId="391" xr:uid="{00000000-0005-0000-0000-000005010000}"/>
    <cellStyle name="20% - 강조색3 36" xfId="392" xr:uid="{00000000-0005-0000-0000-000006010000}"/>
    <cellStyle name="20% - 강조색3 37" xfId="393" xr:uid="{00000000-0005-0000-0000-000007010000}"/>
    <cellStyle name="20% - 강조색3 38" xfId="394" xr:uid="{00000000-0005-0000-0000-000008010000}"/>
    <cellStyle name="20% - 강조색3 39" xfId="395" xr:uid="{00000000-0005-0000-0000-000009010000}"/>
    <cellStyle name="20% - 강조색3 4" xfId="396" xr:uid="{00000000-0005-0000-0000-00000A010000}"/>
    <cellStyle name="20% - 강조색3 40" xfId="397" xr:uid="{00000000-0005-0000-0000-00000B010000}"/>
    <cellStyle name="20% - 강조색3 41" xfId="398" xr:uid="{00000000-0005-0000-0000-00000C010000}"/>
    <cellStyle name="20% - 강조색3 42" xfId="399" xr:uid="{00000000-0005-0000-0000-00000D010000}"/>
    <cellStyle name="20% - 강조색3 43" xfId="400" xr:uid="{00000000-0005-0000-0000-00000E010000}"/>
    <cellStyle name="20% - 강조색3 44" xfId="401" xr:uid="{00000000-0005-0000-0000-00000F010000}"/>
    <cellStyle name="20% - 강조색3 45" xfId="402" xr:uid="{00000000-0005-0000-0000-000010010000}"/>
    <cellStyle name="20% - 강조색3 46" xfId="403" xr:uid="{00000000-0005-0000-0000-000011010000}"/>
    <cellStyle name="20% - 강조색3 47" xfId="404" xr:uid="{00000000-0005-0000-0000-000012010000}"/>
    <cellStyle name="20% - 강조색3 48" xfId="405" xr:uid="{00000000-0005-0000-0000-000013010000}"/>
    <cellStyle name="20% - 강조색3 49" xfId="406" xr:uid="{00000000-0005-0000-0000-000014010000}"/>
    <cellStyle name="20% - 강조색3 5" xfId="407" xr:uid="{00000000-0005-0000-0000-000015010000}"/>
    <cellStyle name="20% - 강조색3 50" xfId="408" xr:uid="{00000000-0005-0000-0000-000016010000}"/>
    <cellStyle name="20% - 강조색3 51" xfId="409" xr:uid="{00000000-0005-0000-0000-000017010000}"/>
    <cellStyle name="20% - 강조색3 52" xfId="410" xr:uid="{00000000-0005-0000-0000-000018010000}"/>
    <cellStyle name="20% - 강조색3 53" xfId="411" xr:uid="{00000000-0005-0000-0000-000019010000}"/>
    <cellStyle name="20% - 강조색3 54" xfId="412" xr:uid="{00000000-0005-0000-0000-00001A010000}"/>
    <cellStyle name="20% - 강조색3 55" xfId="413" xr:uid="{00000000-0005-0000-0000-00001B010000}"/>
    <cellStyle name="20% - 강조색3 56" xfId="414" xr:uid="{00000000-0005-0000-0000-00001C010000}"/>
    <cellStyle name="20% - 강조색3 57" xfId="415" xr:uid="{00000000-0005-0000-0000-00001D010000}"/>
    <cellStyle name="20% - 강조색3 58" xfId="416" xr:uid="{00000000-0005-0000-0000-00001E010000}"/>
    <cellStyle name="20% - 강조색3 59" xfId="417" xr:uid="{00000000-0005-0000-0000-00001F010000}"/>
    <cellStyle name="20% - 강조색3 6" xfId="418" xr:uid="{00000000-0005-0000-0000-000020010000}"/>
    <cellStyle name="20% - 강조색3 60" xfId="419" xr:uid="{00000000-0005-0000-0000-000021010000}"/>
    <cellStyle name="20% - 강조색3 61" xfId="420" xr:uid="{00000000-0005-0000-0000-000022010000}"/>
    <cellStyle name="20% - 강조색3 62" xfId="421" xr:uid="{00000000-0005-0000-0000-000023010000}"/>
    <cellStyle name="20% - 강조색3 63" xfId="422" xr:uid="{00000000-0005-0000-0000-000024010000}"/>
    <cellStyle name="20% - 강조색3 64" xfId="423" xr:uid="{00000000-0005-0000-0000-000025010000}"/>
    <cellStyle name="20% - 강조색3 65" xfId="424" xr:uid="{00000000-0005-0000-0000-000026010000}"/>
    <cellStyle name="20% - 강조색3 66" xfId="425" xr:uid="{00000000-0005-0000-0000-000027010000}"/>
    <cellStyle name="20% - 강조색3 67" xfId="426" xr:uid="{00000000-0005-0000-0000-000028010000}"/>
    <cellStyle name="20% - 강조색3 68" xfId="427" xr:uid="{00000000-0005-0000-0000-000029010000}"/>
    <cellStyle name="20% - 강조색3 69" xfId="428" xr:uid="{00000000-0005-0000-0000-00002A010000}"/>
    <cellStyle name="20% - 강조색3 7" xfId="429" xr:uid="{00000000-0005-0000-0000-00002B010000}"/>
    <cellStyle name="20% - 강조색3 70" xfId="430" xr:uid="{00000000-0005-0000-0000-00002C010000}"/>
    <cellStyle name="20% - 강조색3 71" xfId="431" xr:uid="{00000000-0005-0000-0000-00002D010000}"/>
    <cellStyle name="20% - 강조색3 72" xfId="432" xr:uid="{00000000-0005-0000-0000-00002E010000}"/>
    <cellStyle name="20% - 강조색3 73" xfId="433" xr:uid="{00000000-0005-0000-0000-00002F010000}"/>
    <cellStyle name="20% - 강조색3 74" xfId="434" xr:uid="{00000000-0005-0000-0000-000030010000}"/>
    <cellStyle name="20% - 강조색3 75" xfId="435" xr:uid="{00000000-0005-0000-0000-000031010000}"/>
    <cellStyle name="20% - 강조색3 76" xfId="436" xr:uid="{00000000-0005-0000-0000-000032010000}"/>
    <cellStyle name="20% - 강조색3 77" xfId="437" xr:uid="{00000000-0005-0000-0000-000033010000}"/>
    <cellStyle name="20% - 강조색3 78" xfId="438" xr:uid="{00000000-0005-0000-0000-000034010000}"/>
    <cellStyle name="20% - 강조색3 79" xfId="439" xr:uid="{00000000-0005-0000-0000-000035010000}"/>
    <cellStyle name="20% - 강조색3 8" xfId="440" xr:uid="{00000000-0005-0000-0000-000036010000}"/>
    <cellStyle name="20% - 강조색3 80" xfId="441" xr:uid="{00000000-0005-0000-0000-000037010000}"/>
    <cellStyle name="20% - 강조색3 81" xfId="442" xr:uid="{00000000-0005-0000-0000-000038010000}"/>
    <cellStyle name="20% - 강조색3 82" xfId="443" xr:uid="{00000000-0005-0000-0000-000039010000}"/>
    <cellStyle name="20% - 강조색3 83" xfId="444" xr:uid="{00000000-0005-0000-0000-00003A010000}"/>
    <cellStyle name="20% - 강조색3 84" xfId="445" xr:uid="{00000000-0005-0000-0000-00003B010000}"/>
    <cellStyle name="20% - 강조색3 85" xfId="446" xr:uid="{00000000-0005-0000-0000-00003C010000}"/>
    <cellStyle name="20% - 강조색3 86" xfId="447" xr:uid="{00000000-0005-0000-0000-00003D010000}"/>
    <cellStyle name="20% - 강조색3 87" xfId="448" xr:uid="{00000000-0005-0000-0000-00003E010000}"/>
    <cellStyle name="20% - 강조색3 88" xfId="449" xr:uid="{00000000-0005-0000-0000-00003F010000}"/>
    <cellStyle name="20% - 강조색3 89" xfId="450" xr:uid="{00000000-0005-0000-0000-000040010000}"/>
    <cellStyle name="20% - 강조색3 9" xfId="451" xr:uid="{00000000-0005-0000-0000-000041010000}"/>
    <cellStyle name="20% - 강조색3 90" xfId="452" xr:uid="{00000000-0005-0000-0000-000042010000}"/>
    <cellStyle name="20% - 강조색3 91" xfId="453" xr:uid="{00000000-0005-0000-0000-000043010000}"/>
    <cellStyle name="20% - 강조색3 92" xfId="454" xr:uid="{00000000-0005-0000-0000-000044010000}"/>
    <cellStyle name="20% - 강조색3 93" xfId="455" xr:uid="{00000000-0005-0000-0000-000045010000}"/>
    <cellStyle name="20% - 강조색3 94" xfId="456" xr:uid="{00000000-0005-0000-0000-000046010000}"/>
    <cellStyle name="20% - 강조색3 95" xfId="457" xr:uid="{00000000-0005-0000-0000-000047010000}"/>
    <cellStyle name="20% - 강조색3 96" xfId="458" xr:uid="{00000000-0005-0000-0000-000048010000}"/>
    <cellStyle name="20% - 강조색3 97" xfId="459" xr:uid="{00000000-0005-0000-0000-000049010000}"/>
    <cellStyle name="20% - 강조색3 98" xfId="460" xr:uid="{00000000-0005-0000-0000-00004A010000}"/>
    <cellStyle name="20% - 강조색3 99" xfId="461" xr:uid="{00000000-0005-0000-0000-00004B010000}"/>
    <cellStyle name="20% - 강조색4 10" xfId="462" xr:uid="{00000000-0005-0000-0000-00004C010000}"/>
    <cellStyle name="20% - 강조색4 100" xfId="463" xr:uid="{00000000-0005-0000-0000-00004D010000}"/>
    <cellStyle name="20% - 강조색4 101" xfId="464" xr:uid="{00000000-0005-0000-0000-00004E010000}"/>
    <cellStyle name="20% - 강조색4 102" xfId="465" xr:uid="{00000000-0005-0000-0000-00004F010000}"/>
    <cellStyle name="20% - 강조색4 103" xfId="466" xr:uid="{00000000-0005-0000-0000-000050010000}"/>
    <cellStyle name="20% - 강조색4 104" xfId="467" xr:uid="{00000000-0005-0000-0000-000051010000}"/>
    <cellStyle name="20% - 강조색4 105" xfId="468" xr:uid="{00000000-0005-0000-0000-000052010000}"/>
    <cellStyle name="20% - 강조색4 106" xfId="469" xr:uid="{00000000-0005-0000-0000-000053010000}"/>
    <cellStyle name="20% - 강조색4 107" xfId="470" xr:uid="{00000000-0005-0000-0000-000054010000}"/>
    <cellStyle name="20% - 강조색4 11" xfId="471" xr:uid="{00000000-0005-0000-0000-000055010000}"/>
    <cellStyle name="20% - 강조색4 12" xfId="472" xr:uid="{00000000-0005-0000-0000-000056010000}"/>
    <cellStyle name="20% - 강조색4 13" xfId="473" xr:uid="{00000000-0005-0000-0000-000057010000}"/>
    <cellStyle name="20% - 강조색4 14" xfId="474" xr:uid="{00000000-0005-0000-0000-000058010000}"/>
    <cellStyle name="20% - 강조색4 15" xfId="475" xr:uid="{00000000-0005-0000-0000-000059010000}"/>
    <cellStyle name="20% - 강조색4 16" xfId="476" xr:uid="{00000000-0005-0000-0000-00005A010000}"/>
    <cellStyle name="20% - 강조색4 17" xfId="477" xr:uid="{00000000-0005-0000-0000-00005B010000}"/>
    <cellStyle name="20% - 강조색4 18" xfId="478" xr:uid="{00000000-0005-0000-0000-00005C010000}"/>
    <cellStyle name="20% - 강조색4 19" xfId="479" xr:uid="{00000000-0005-0000-0000-00005D010000}"/>
    <cellStyle name="20% - 강조색4 2" xfId="480" xr:uid="{00000000-0005-0000-0000-00005E010000}"/>
    <cellStyle name="20% - 강조색4 20" xfId="481" xr:uid="{00000000-0005-0000-0000-00005F010000}"/>
    <cellStyle name="20% - 강조색4 21" xfId="482" xr:uid="{00000000-0005-0000-0000-000060010000}"/>
    <cellStyle name="20% - 강조색4 22" xfId="483" xr:uid="{00000000-0005-0000-0000-000061010000}"/>
    <cellStyle name="20% - 강조색4 23" xfId="484" xr:uid="{00000000-0005-0000-0000-000062010000}"/>
    <cellStyle name="20% - 강조색4 24" xfId="485" xr:uid="{00000000-0005-0000-0000-000063010000}"/>
    <cellStyle name="20% - 강조색4 25" xfId="486" xr:uid="{00000000-0005-0000-0000-000064010000}"/>
    <cellStyle name="20% - 강조색4 26" xfId="487" xr:uid="{00000000-0005-0000-0000-000065010000}"/>
    <cellStyle name="20% - 강조색4 27" xfId="488" xr:uid="{00000000-0005-0000-0000-000066010000}"/>
    <cellStyle name="20% - 강조색4 28" xfId="489" xr:uid="{00000000-0005-0000-0000-000067010000}"/>
    <cellStyle name="20% - 강조색4 29" xfId="490" xr:uid="{00000000-0005-0000-0000-000068010000}"/>
    <cellStyle name="20% - 강조색4 3" xfId="491" xr:uid="{00000000-0005-0000-0000-000069010000}"/>
    <cellStyle name="20% - 강조색4 30" xfId="492" xr:uid="{00000000-0005-0000-0000-00006A010000}"/>
    <cellStyle name="20% - 강조색4 31" xfId="493" xr:uid="{00000000-0005-0000-0000-00006B010000}"/>
    <cellStyle name="20% - 강조색4 32" xfId="494" xr:uid="{00000000-0005-0000-0000-00006C010000}"/>
    <cellStyle name="20% - 강조색4 33" xfId="495" xr:uid="{00000000-0005-0000-0000-00006D010000}"/>
    <cellStyle name="20% - 강조색4 34" xfId="496" xr:uid="{00000000-0005-0000-0000-00006E010000}"/>
    <cellStyle name="20% - 강조색4 35" xfId="497" xr:uid="{00000000-0005-0000-0000-00006F010000}"/>
    <cellStyle name="20% - 강조색4 36" xfId="498" xr:uid="{00000000-0005-0000-0000-000070010000}"/>
    <cellStyle name="20% - 강조색4 37" xfId="499" xr:uid="{00000000-0005-0000-0000-000071010000}"/>
    <cellStyle name="20% - 강조색4 38" xfId="500" xr:uid="{00000000-0005-0000-0000-000072010000}"/>
    <cellStyle name="20% - 강조색4 39" xfId="501" xr:uid="{00000000-0005-0000-0000-000073010000}"/>
    <cellStyle name="20% - 강조색4 4" xfId="502" xr:uid="{00000000-0005-0000-0000-000074010000}"/>
    <cellStyle name="20% - 강조색4 40" xfId="503" xr:uid="{00000000-0005-0000-0000-000075010000}"/>
    <cellStyle name="20% - 강조색4 41" xfId="504" xr:uid="{00000000-0005-0000-0000-000076010000}"/>
    <cellStyle name="20% - 강조색4 42" xfId="505" xr:uid="{00000000-0005-0000-0000-000077010000}"/>
    <cellStyle name="20% - 강조색4 43" xfId="506" xr:uid="{00000000-0005-0000-0000-000078010000}"/>
    <cellStyle name="20% - 강조색4 44" xfId="507" xr:uid="{00000000-0005-0000-0000-000079010000}"/>
    <cellStyle name="20% - 강조색4 45" xfId="508" xr:uid="{00000000-0005-0000-0000-00007A010000}"/>
    <cellStyle name="20% - 강조색4 46" xfId="509" xr:uid="{00000000-0005-0000-0000-00007B010000}"/>
    <cellStyle name="20% - 강조색4 47" xfId="510" xr:uid="{00000000-0005-0000-0000-00007C010000}"/>
    <cellStyle name="20% - 강조색4 48" xfId="511" xr:uid="{00000000-0005-0000-0000-00007D010000}"/>
    <cellStyle name="20% - 강조색4 49" xfId="512" xr:uid="{00000000-0005-0000-0000-00007E010000}"/>
    <cellStyle name="20% - 강조색4 5" xfId="513" xr:uid="{00000000-0005-0000-0000-00007F010000}"/>
    <cellStyle name="20% - 강조색4 50" xfId="514" xr:uid="{00000000-0005-0000-0000-000080010000}"/>
    <cellStyle name="20% - 강조색4 51" xfId="515" xr:uid="{00000000-0005-0000-0000-000081010000}"/>
    <cellStyle name="20% - 강조색4 52" xfId="516" xr:uid="{00000000-0005-0000-0000-000082010000}"/>
    <cellStyle name="20% - 강조색4 53" xfId="517" xr:uid="{00000000-0005-0000-0000-000083010000}"/>
    <cellStyle name="20% - 강조색4 54" xfId="518" xr:uid="{00000000-0005-0000-0000-000084010000}"/>
    <cellStyle name="20% - 강조색4 55" xfId="519" xr:uid="{00000000-0005-0000-0000-000085010000}"/>
    <cellStyle name="20% - 강조색4 56" xfId="520" xr:uid="{00000000-0005-0000-0000-000086010000}"/>
    <cellStyle name="20% - 강조색4 57" xfId="521" xr:uid="{00000000-0005-0000-0000-000087010000}"/>
    <cellStyle name="20% - 강조색4 58" xfId="522" xr:uid="{00000000-0005-0000-0000-000088010000}"/>
    <cellStyle name="20% - 강조색4 59" xfId="523" xr:uid="{00000000-0005-0000-0000-000089010000}"/>
    <cellStyle name="20% - 강조색4 6" xfId="524" xr:uid="{00000000-0005-0000-0000-00008A010000}"/>
    <cellStyle name="20% - 강조색4 60" xfId="525" xr:uid="{00000000-0005-0000-0000-00008B010000}"/>
    <cellStyle name="20% - 강조색4 61" xfId="526" xr:uid="{00000000-0005-0000-0000-00008C010000}"/>
    <cellStyle name="20% - 강조색4 62" xfId="527" xr:uid="{00000000-0005-0000-0000-00008D010000}"/>
    <cellStyle name="20% - 강조색4 63" xfId="528" xr:uid="{00000000-0005-0000-0000-00008E010000}"/>
    <cellStyle name="20% - 강조색4 64" xfId="529" xr:uid="{00000000-0005-0000-0000-00008F010000}"/>
    <cellStyle name="20% - 강조색4 65" xfId="530" xr:uid="{00000000-0005-0000-0000-000090010000}"/>
    <cellStyle name="20% - 강조색4 66" xfId="531" xr:uid="{00000000-0005-0000-0000-000091010000}"/>
    <cellStyle name="20% - 강조색4 67" xfId="532" xr:uid="{00000000-0005-0000-0000-000092010000}"/>
    <cellStyle name="20% - 강조색4 68" xfId="533" xr:uid="{00000000-0005-0000-0000-000093010000}"/>
    <cellStyle name="20% - 강조색4 69" xfId="534" xr:uid="{00000000-0005-0000-0000-000094010000}"/>
    <cellStyle name="20% - 강조색4 7" xfId="535" xr:uid="{00000000-0005-0000-0000-000095010000}"/>
    <cellStyle name="20% - 강조색4 70" xfId="536" xr:uid="{00000000-0005-0000-0000-000096010000}"/>
    <cellStyle name="20% - 강조색4 71" xfId="537" xr:uid="{00000000-0005-0000-0000-000097010000}"/>
    <cellStyle name="20% - 강조색4 72" xfId="538" xr:uid="{00000000-0005-0000-0000-000098010000}"/>
    <cellStyle name="20% - 강조색4 73" xfId="539" xr:uid="{00000000-0005-0000-0000-000099010000}"/>
    <cellStyle name="20% - 강조색4 74" xfId="540" xr:uid="{00000000-0005-0000-0000-00009A010000}"/>
    <cellStyle name="20% - 강조색4 75" xfId="541" xr:uid="{00000000-0005-0000-0000-00009B010000}"/>
    <cellStyle name="20% - 강조색4 76" xfId="542" xr:uid="{00000000-0005-0000-0000-00009C010000}"/>
    <cellStyle name="20% - 강조색4 77" xfId="543" xr:uid="{00000000-0005-0000-0000-00009D010000}"/>
    <cellStyle name="20% - 강조색4 78" xfId="544" xr:uid="{00000000-0005-0000-0000-00009E010000}"/>
    <cellStyle name="20% - 강조색4 79" xfId="545" xr:uid="{00000000-0005-0000-0000-00009F010000}"/>
    <cellStyle name="20% - 강조색4 8" xfId="546" xr:uid="{00000000-0005-0000-0000-0000A0010000}"/>
    <cellStyle name="20% - 강조색4 80" xfId="547" xr:uid="{00000000-0005-0000-0000-0000A1010000}"/>
    <cellStyle name="20% - 강조색4 81" xfId="548" xr:uid="{00000000-0005-0000-0000-0000A2010000}"/>
    <cellStyle name="20% - 강조색4 82" xfId="549" xr:uid="{00000000-0005-0000-0000-0000A3010000}"/>
    <cellStyle name="20% - 강조색4 83" xfId="550" xr:uid="{00000000-0005-0000-0000-0000A4010000}"/>
    <cellStyle name="20% - 강조색4 84" xfId="551" xr:uid="{00000000-0005-0000-0000-0000A5010000}"/>
    <cellStyle name="20% - 강조색4 85" xfId="552" xr:uid="{00000000-0005-0000-0000-0000A6010000}"/>
    <cellStyle name="20% - 강조색4 86" xfId="553" xr:uid="{00000000-0005-0000-0000-0000A7010000}"/>
    <cellStyle name="20% - 강조색4 87" xfId="554" xr:uid="{00000000-0005-0000-0000-0000A8010000}"/>
    <cellStyle name="20% - 강조색4 88" xfId="555" xr:uid="{00000000-0005-0000-0000-0000A9010000}"/>
    <cellStyle name="20% - 강조색4 89" xfId="556" xr:uid="{00000000-0005-0000-0000-0000AA010000}"/>
    <cellStyle name="20% - 강조색4 9" xfId="557" xr:uid="{00000000-0005-0000-0000-0000AB010000}"/>
    <cellStyle name="20% - 강조색4 90" xfId="558" xr:uid="{00000000-0005-0000-0000-0000AC010000}"/>
    <cellStyle name="20% - 강조색4 91" xfId="559" xr:uid="{00000000-0005-0000-0000-0000AD010000}"/>
    <cellStyle name="20% - 강조색4 92" xfId="560" xr:uid="{00000000-0005-0000-0000-0000AE010000}"/>
    <cellStyle name="20% - 강조색4 93" xfId="561" xr:uid="{00000000-0005-0000-0000-0000AF010000}"/>
    <cellStyle name="20% - 강조색4 94" xfId="562" xr:uid="{00000000-0005-0000-0000-0000B0010000}"/>
    <cellStyle name="20% - 강조색4 95" xfId="563" xr:uid="{00000000-0005-0000-0000-0000B1010000}"/>
    <cellStyle name="20% - 강조색4 96" xfId="564" xr:uid="{00000000-0005-0000-0000-0000B2010000}"/>
    <cellStyle name="20% - 강조색4 97" xfId="565" xr:uid="{00000000-0005-0000-0000-0000B3010000}"/>
    <cellStyle name="20% - 강조색4 98" xfId="566" xr:uid="{00000000-0005-0000-0000-0000B4010000}"/>
    <cellStyle name="20% - 강조색4 99" xfId="567" xr:uid="{00000000-0005-0000-0000-0000B5010000}"/>
    <cellStyle name="20% - 강조색5 10" xfId="568" xr:uid="{00000000-0005-0000-0000-0000B6010000}"/>
    <cellStyle name="20% - 강조색5 100" xfId="569" xr:uid="{00000000-0005-0000-0000-0000B7010000}"/>
    <cellStyle name="20% - 강조색5 101" xfId="570" xr:uid="{00000000-0005-0000-0000-0000B8010000}"/>
    <cellStyle name="20% - 강조색5 102" xfId="571" xr:uid="{00000000-0005-0000-0000-0000B9010000}"/>
    <cellStyle name="20% - 강조색5 103" xfId="572" xr:uid="{00000000-0005-0000-0000-0000BA010000}"/>
    <cellStyle name="20% - 강조색5 104" xfId="573" xr:uid="{00000000-0005-0000-0000-0000BB010000}"/>
    <cellStyle name="20% - 강조색5 105" xfId="574" xr:uid="{00000000-0005-0000-0000-0000BC010000}"/>
    <cellStyle name="20% - 강조색5 106" xfId="575" xr:uid="{00000000-0005-0000-0000-0000BD010000}"/>
    <cellStyle name="20% - 강조색5 107" xfId="576" xr:uid="{00000000-0005-0000-0000-0000BE010000}"/>
    <cellStyle name="20% - 강조색5 11" xfId="577" xr:uid="{00000000-0005-0000-0000-0000BF010000}"/>
    <cellStyle name="20% - 강조색5 12" xfId="578" xr:uid="{00000000-0005-0000-0000-0000C0010000}"/>
    <cellStyle name="20% - 강조색5 13" xfId="579" xr:uid="{00000000-0005-0000-0000-0000C1010000}"/>
    <cellStyle name="20% - 강조색5 14" xfId="580" xr:uid="{00000000-0005-0000-0000-0000C2010000}"/>
    <cellStyle name="20% - 강조색5 15" xfId="581" xr:uid="{00000000-0005-0000-0000-0000C3010000}"/>
    <cellStyle name="20% - 강조색5 16" xfId="582" xr:uid="{00000000-0005-0000-0000-0000C4010000}"/>
    <cellStyle name="20% - 강조색5 17" xfId="583" xr:uid="{00000000-0005-0000-0000-0000C5010000}"/>
    <cellStyle name="20% - 강조색5 18" xfId="584" xr:uid="{00000000-0005-0000-0000-0000C6010000}"/>
    <cellStyle name="20% - 강조색5 19" xfId="585" xr:uid="{00000000-0005-0000-0000-0000C7010000}"/>
    <cellStyle name="20% - 강조색5 2" xfId="586" xr:uid="{00000000-0005-0000-0000-0000C8010000}"/>
    <cellStyle name="20% - 강조색5 20" xfId="587" xr:uid="{00000000-0005-0000-0000-0000C9010000}"/>
    <cellStyle name="20% - 강조색5 21" xfId="588" xr:uid="{00000000-0005-0000-0000-0000CA010000}"/>
    <cellStyle name="20% - 강조색5 22" xfId="589" xr:uid="{00000000-0005-0000-0000-0000CB010000}"/>
    <cellStyle name="20% - 강조색5 23" xfId="590" xr:uid="{00000000-0005-0000-0000-0000CC010000}"/>
    <cellStyle name="20% - 강조색5 24" xfId="591" xr:uid="{00000000-0005-0000-0000-0000CD010000}"/>
    <cellStyle name="20% - 강조색5 25" xfId="592" xr:uid="{00000000-0005-0000-0000-0000CE010000}"/>
    <cellStyle name="20% - 강조색5 26" xfId="593" xr:uid="{00000000-0005-0000-0000-0000CF010000}"/>
    <cellStyle name="20% - 강조색5 27" xfId="594" xr:uid="{00000000-0005-0000-0000-0000D0010000}"/>
    <cellStyle name="20% - 강조색5 28" xfId="595" xr:uid="{00000000-0005-0000-0000-0000D1010000}"/>
    <cellStyle name="20% - 강조색5 29" xfId="596" xr:uid="{00000000-0005-0000-0000-0000D2010000}"/>
    <cellStyle name="20% - 강조색5 3" xfId="597" xr:uid="{00000000-0005-0000-0000-0000D3010000}"/>
    <cellStyle name="20% - 강조색5 30" xfId="598" xr:uid="{00000000-0005-0000-0000-0000D4010000}"/>
    <cellStyle name="20% - 강조색5 31" xfId="599" xr:uid="{00000000-0005-0000-0000-0000D5010000}"/>
    <cellStyle name="20% - 강조색5 32" xfId="600" xr:uid="{00000000-0005-0000-0000-0000D6010000}"/>
    <cellStyle name="20% - 강조색5 33" xfId="601" xr:uid="{00000000-0005-0000-0000-0000D7010000}"/>
    <cellStyle name="20% - 강조색5 34" xfId="602" xr:uid="{00000000-0005-0000-0000-0000D8010000}"/>
    <cellStyle name="20% - 강조색5 35" xfId="603" xr:uid="{00000000-0005-0000-0000-0000D9010000}"/>
    <cellStyle name="20% - 강조색5 36" xfId="604" xr:uid="{00000000-0005-0000-0000-0000DA010000}"/>
    <cellStyle name="20% - 강조색5 37" xfId="605" xr:uid="{00000000-0005-0000-0000-0000DB010000}"/>
    <cellStyle name="20% - 강조색5 38" xfId="606" xr:uid="{00000000-0005-0000-0000-0000DC010000}"/>
    <cellStyle name="20% - 강조색5 39" xfId="607" xr:uid="{00000000-0005-0000-0000-0000DD010000}"/>
    <cellStyle name="20% - 강조색5 4" xfId="608" xr:uid="{00000000-0005-0000-0000-0000DE010000}"/>
    <cellStyle name="20% - 강조색5 40" xfId="609" xr:uid="{00000000-0005-0000-0000-0000DF010000}"/>
    <cellStyle name="20% - 강조색5 41" xfId="610" xr:uid="{00000000-0005-0000-0000-0000E0010000}"/>
    <cellStyle name="20% - 강조색5 42" xfId="611" xr:uid="{00000000-0005-0000-0000-0000E1010000}"/>
    <cellStyle name="20% - 강조색5 43" xfId="612" xr:uid="{00000000-0005-0000-0000-0000E2010000}"/>
    <cellStyle name="20% - 강조색5 44" xfId="613" xr:uid="{00000000-0005-0000-0000-0000E3010000}"/>
    <cellStyle name="20% - 강조색5 45" xfId="614" xr:uid="{00000000-0005-0000-0000-0000E4010000}"/>
    <cellStyle name="20% - 강조색5 46" xfId="615" xr:uid="{00000000-0005-0000-0000-0000E5010000}"/>
    <cellStyle name="20% - 강조색5 47" xfId="616" xr:uid="{00000000-0005-0000-0000-0000E6010000}"/>
    <cellStyle name="20% - 강조색5 48" xfId="617" xr:uid="{00000000-0005-0000-0000-0000E7010000}"/>
    <cellStyle name="20% - 강조색5 49" xfId="618" xr:uid="{00000000-0005-0000-0000-0000E8010000}"/>
    <cellStyle name="20% - 강조색5 5" xfId="619" xr:uid="{00000000-0005-0000-0000-0000E9010000}"/>
    <cellStyle name="20% - 강조색5 50" xfId="620" xr:uid="{00000000-0005-0000-0000-0000EA010000}"/>
    <cellStyle name="20% - 강조색5 51" xfId="621" xr:uid="{00000000-0005-0000-0000-0000EB010000}"/>
    <cellStyle name="20% - 강조색5 52" xfId="622" xr:uid="{00000000-0005-0000-0000-0000EC010000}"/>
    <cellStyle name="20% - 강조색5 53" xfId="623" xr:uid="{00000000-0005-0000-0000-0000ED010000}"/>
    <cellStyle name="20% - 강조색5 54" xfId="624" xr:uid="{00000000-0005-0000-0000-0000EE010000}"/>
    <cellStyle name="20% - 강조색5 55" xfId="625" xr:uid="{00000000-0005-0000-0000-0000EF010000}"/>
    <cellStyle name="20% - 강조색5 56" xfId="626" xr:uid="{00000000-0005-0000-0000-0000F0010000}"/>
    <cellStyle name="20% - 강조색5 57" xfId="627" xr:uid="{00000000-0005-0000-0000-0000F1010000}"/>
    <cellStyle name="20% - 강조색5 58" xfId="628" xr:uid="{00000000-0005-0000-0000-0000F2010000}"/>
    <cellStyle name="20% - 강조색5 59" xfId="629" xr:uid="{00000000-0005-0000-0000-0000F3010000}"/>
    <cellStyle name="20% - 강조색5 6" xfId="630" xr:uid="{00000000-0005-0000-0000-0000F4010000}"/>
    <cellStyle name="20% - 강조색5 60" xfId="631" xr:uid="{00000000-0005-0000-0000-0000F5010000}"/>
    <cellStyle name="20% - 강조색5 61" xfId="632" xr:uid="{00000000-0005-0000-0000-0000F6010000}"/>
    <cellStyle name="20% - 강조색5 62" xfId="633" xr:uid="{00000000-0005-0000-0000-0000F7010000}"/>
    <cellStyle name="20% - 강조색5 63" xfId="634" xr:uid="{00000000-0005-0000-0000-0000F8010000}"/>
    <cellStyle name="20% - 강조색5 64" xfId="635" xr:uid="{00000000-0005-0000-0000-0000F9010000}"/>
    <cellStyle name="20% - 강조색5 65" xfId="636" xr:uid="{00000000-0005-0000-0000-0000FA010000}"/>
    <cellStyle name="20% - 강조색5 66" xfId="637" xr:uid="{00000000-0005-0000-0000-0000FB010000}"/>
    <cellStyle name="20% - 강조색5 67" xfId="638" xr:uid="{00000000-0005-0000-0000-0000FC010000}"/>
    <cellStyle name="20% - 강조색5 68" xfId="639" xr:uid="{00000000-0005-0000-0000-0000FD010000}"/>
    <cellStyle name="20% - 강조색5 69" xfId="640" xr:uid="{00000000-0005-0000-0000-0000FE010000}"/>
    <cellStyle name="20% - 강조색5 7" xfId="641" xr:uid="{00000000-0005-0000-0000-0000FF010000}"/>
    <cellStyle name="20% - 강조색5 70" xfId="642" xr:uid="{00000000-0005-0000-0000-000000020000}"/>
    <cellStyle name="20% - 강조색5 71" xfId="643" xr:uid="{00000000-0005-0000-0000-000001020000}"/>
    <cellStyle name="20% - 강조색5 72" xfId="644" xr:uid="{00000000-0005-0000-0000-000002020000}"/>
    <cellStyle name="20% - 강조색5 73" xfId="645" xr:uid="{00000000-0005-0000-0000-000003020000}"/>
    <cellStyle name="20% - 강조색5 74" xfId="646" xr:uid="{00000000-0005-0000-0000-000004020000}"/>
    <cellStyle name="20% - 강조색5 75" xfId="647" xr:uid="{00000000-0005-0000-0000-000005020000}"/>
    <cellStyle name="20% - 강조색5 76" xfId="648" xr:uid="{00000000-0005-0000-0000-000006020000}"/>
    <cellStyle name="20% - 강조색5 77" xfId="649" xr:uid="{00000000-0005-0000-0000-000007020000}"/>
    <cellStyle name="20% - 강조색5 78" xfId="650" xr:uid="{00000000-0005-0000-0000-000008020000}"/>
    <cellStyle name="20% - 강조색5 79" xfId="651" xr:uid="{00000000-0005-0000-0000-000009020000}"/>
    <cellStyle name="20% - 강조색5 8" xfId="652" xr:uid="{00000000-0005-0000-0000-00000A020000}"/>
    <cellStyle name="20% - 강조색5 80" xfId="653" xr:uid="{00000000-0005-0000-0000-00000B020000}"/>
    <cellStyle name="20% - 강조색5 81" xfId="654" xr:uid="{00000000-0005-0000-0000-00000C020000}"/>
    <cellStyle name="20% - 강조색5 82" xfId="655" xr:uid="{00000000-0005-0000-0000-00000D020000}"/>
    <cellStyle name="20% - 강조색5 83" xfId="656" xr:uid="{00000000-0005-0000-0000-00000E020000}"/>
    <cellStyle name="20% - 강조색5 84" xfId="657" xr:uid="{00000000-0005-0000-0000-00000F020000}"/>
    <cellStyle name="20% - 강조색5 85" xfId="658" xr:uid="{00000000-0005-0000-0000-000010020000}"/>
    <cellStyle name="20% - 강조색5 86" xfId="659" xr:uid="{00000000-0005-0000-0000-000011020000}"/>
    <cellStyle name="20% - 강조색5 87" xfId="660" xr:uid="{00000000-0005-0000-0000-000012020000}"/>
    <cellStyle name="20% - 강조색5 88" xfId="661" xr:uid="{00000000-0005-0000-0000-000013020000}"/>
    <cellStyle name="20% - 강조색5 89" xfId="662" xr:uid="{00000000-0005-0000-0000-000014020000}"/>
    <cellStyle name="20% - 강조색5 9" xfId="663" xr:uid="{00000000-0005-0000-0000-000015020000}"/>
    <cellStyle name="20% - 강조색5 90" xfId="664" xr:uid="{00000000-0005-0000-0000-000016020000}"/>
    <cellStyle name="20% - 강조색5 91" xfId="665" xr:uid="{00000000-0005-0000-0000-000017020000}"/>
    <cellStyle name="20% - 강조색5 92" xfId="666" xr:uid="{00000000-0005-0000-0000-000018020000}"/>
    <cellStyle name="20% - 강조색5 93" xfId="667" xr:uid="{00000000-0005-0000-0000-000019020000}"/>
    <cellStyle name="20% - 강조색5 94" xfId="668" xr:uid="{00000000-0005-0000-0000-00001A020000}"/>
    <cellStyle name="20% - 강조색5 95" xfId="669" xr:uid="{00000000-0005-0000-0000-00001B020000}"/>
    <cellStyle name="20% - 강조색5 96" xfId="670" xr:uid="{00000000-0005-0000-0000-00001C020000}"/>
    <cellStyle name="20% - 강조색5 97" xfId="671" xr:uid="{00000000-0005-0000-0000-00001D020000}"/>
    <cellStyle name="20% - 강조색5 98" xfId="672" xr:uid="{00000000-0005-0000-0000-00001E020000}"/>
    <cellStyle name="20% - 강조색5 99" xfId="673" xr:uid="{00000000-0005-0000-0000-00001F020000}"/>
    <cellStyle name="20% - 강조색6 10" xfId="674" xr:uid="{00000000-0005-0000-0000-000020020000}"/>
    <cellStyle name="20% - 강조색6 100" xfId="675" xr:uid="{00000000-0005-0000-0000-000021020000}"/>
    <cellStyle name="20% - 강조색6 101" xfId="676" xr:uid="{00000000-0005-0000-0000-000022020000}"/>
    <cellStyle name="20% - 강조색6 102" xfId="677" xr:uid="{00000000-0005-0000-0000-000023020000}"/>
    <cellStyle name="20% - 강조색6 103" xfId="678" xr:uid="{00000000-0005-0000-0000-000024020000}"/>
    <cellStyle name="20% - 강조색6 104" xfId="679" xr:uid="{00000000-0005-0000-0000-000025020000}"/>
    <cellStyle name="20% - 강조색6 105" xfId="680" xr:uid="{00000000-0005-0000-0000-000026020000}"/>
    <cellStyle name="20% - 강조색6 106" xfId="681" xr:uid="{00000000-0005-0000-0000-000027020000}"/>
    <cellStyle name="20% - 강조색6 107" xfId="682" xr:uid="{00000000-0005-0000-0000-000028020000}"/>
    <cellStyle name="20% - 강조색6 11" xfId="683" xr:uid="{00000000-0005-0000-0000-000029020000}"/>
    <cellStyle name="20% - 강조색6 12" xfId="684" xr:uid="{00000000-0005-0000-0000-00002A020000}"/>
    <cellStyle name="20% - 강조색6 13" xfId="685" xr:uid="{00000000-0005-0000-0000-00002B020000}"/>
    <cellStyle name="20% - 강조색6 14" xfId="686" xr:uid="{00000000-0005-0000-0000-00002C020000}"/>
    <cellStyle name="20% - 강조색6 15" xfId="687" xr:uid="{00000000-0005-0000-0000-00002D020000}"/>
    <cellStyle name="20% - 강조색6 16" xfId="688" xr:uid="{00000000-0005-0000-0000-00002E020000}"/>
    <cellStyle name="20% - 강조색6 17" xfId="689" xr:uid="{00000000-0005-0000-0000-00002F020000}"/>
    <cellStyle name="20% - 강조색6 18" xfId="690" xr:uid="{00000000-0005-0000-0000-000030020000}"/>
    <cellStyle name="20% - 강조색6 19" xfId="691" xr:uid="{00000000-0005-0000-0000-000031020000}"/>
    <cellStyle name="20% - 강조색6 2" xfId="692" xr:uid="{00000000-0005-0000-0000-000032020000}"/>
    <cellStyle name="20% - 강조색6 20" xfId="693" xr:uid="{00000000-0005-0000-0000-000033020000}"/>
    <cellStyle name="20% - 강조색6 21" xfId="694" xr:uid="{00000000-0005-0000-0000-000034020000}"/>
    <cellStyle name="20% - 강조색6 22" xfId="695" xr:uid="{00000000-0005-0000-0000-000035020000}"/>
    <cellStyle name="20% - 강조색6 23" xfId="696" xr:uid="{00000000-0005-0000-0000-000036020000}"/>
    <cellStyle name="20% - 강조색6 24" xfId="697" xr:uid="{00000000-0005-0000-0000-000037020000}"/>
    <cellStyle name="20% - 강조색6 25" xfId="698" xr:uid="{00000000-0005-0000-0000-000038020000}"/>
    <cellStyle name="20% - 강조색6 26" xfId="699" xr:uid="{00000000-0005-0000-0000-000039020000}"/>
    <cellStyle name="20% - 강조색6 27" xfId="700" xr:uid="{00000000-0005-0000-0000-00003A020000}"/>
    <cellStyle name="20% - 강조색6 28" xfId="701" xr:uid="{00000000-0005-0000-0000-00003B020000}"/>
    <cellStyle name="20% - 강조색6 29" xfId="702" xr:uid="{00000000-0005-0000-0000-00003C020000}"/>
    <cellStyle name="20% - 강조색6 3" xfId="703" xr:uid="{00000000-0005-0000-0000-00003D020000}"/>
    <cellStyle name="20% - 강조색6 30" xfId="704" xr:uid="{00000000-0005-0000-0000-00003E020000}"/>
    <cellStyle name="20% - 강조색6 31" xfId="705" xr:uid="{00000000-0005-0000-0000-00003F020000}"/>
    <cellStyle name="20% - 강조색6 32" xfId="706" xr:uid="{00000000-0005-0000-0000-000040020000}"/>
    <cellStyle name="20% - 강조색6 33" xfId="707" xr:uid="{00000000-0005-0000-0000-000041020000}"/>
    <cellStyle name="20% - 강조색6 34" xfId="708" xr:uid="{00000000-0005-0000-0000-000042020000}"/>
    <cellStyle name="20% - 강조색6 35" xfId="709" xr:uid="{00000000-0005-0000-0000-000043020000}"/>
    <cellStyle name="20% - 강조색6 36" xfId="710" xr:uid="{00000000-0005-0000-0000-000044020000}"/>
    <cellStyle name="20% - 강조색6 37" xfId="711" xr:uid="{00000000-0005-0000-0000-000045020000}"/>
    <cellStyle name="20% - 강조색6 38" xfId="712" xr:uid="{00000000-0005-0000-0000-000046020000}"/>
    <cellStyle name="20% - 강조색6 39" xfId="713" xr:uid="{00000000-0005-0000-0000-000047020000}"/>
    <cellStyle name="20% - 강조색6 4" xfId="714" xr:uid="{00000000-0005-0000-0000-000048020000}"/>
    <cellStyle name="20% - 강조색6 40" xfId="715" xr:uid="{00000000-0005-0000-0000-000049020000}"/>
    <cellStyle name="20% - 강조색6 41" xfId="716" xr:uid="{00000000-0005-0000-0000-00004A020000}"/>
    <cellStyle name="20% - 강조색6 42" xfId="717" xr:uid="{00000000-0005-0000-0000-00004B020000}"/>
    <cellStyle name="20% - 강조색6 43" xfId="718" xr:uid="{00000000-0005-0000-0000-00004C020000}"/>
    <cellStyle name="20% - 강조색6 44" xfId="719" xr:uid="{00000000-0005-0000-0000-00004D020000}"/>
    <cellStyle name="20% - 강조색6 45" xfId="720" xr:uid="{00000000-0005-0000-0000-00004E020000}"/>
    <cellStyle name="20% - 강조색6 46" xfId="721" xr:uid="{00000000-0005-0000-0000-00004F020000}"/>
    <cellStyle name="20% - 강조색6 47" xfId="722" xr:uid="{00000000-0005-0000-0000-000050020000}"/>
    <cellStyle name="20% - 강조색6 48" xfId="723" xr:uid="{00000000-0005-0000-0000-000051020000}"/>
    <cellStyle name="20% - 강조색6 49" xfId="724" xr:uid="{00000000-0005-0000-0000-000052020000}"/>
    <cellStyle name="20% - 강조색6 5" xfId="725" xr:uid="{00000000-0005-0000-0000-000053020000}"/>
    <cellStyle name="20% - 강조색6 50" xfId="726" xr:uid="{00000000-0005-0000-0000-000054020000}"/>
    <cellStyle name="20% - 강조색6 51" xfId="727" xr:uid="{00000000-0005-0000-0000-000055020000}"/>
    <cellStyle name="20% - 강조색6 52" xfId="728" xr:uid="{00000000-0005-0000-0000-000056020000}"/>
    <cellStyle name="20% - 강조색6 53" xfId="729" xr:uid="{00000000-0005-0000-0000-000057020000}"/>
    <cellStyle name="20% - 강조색6 54" xfId="730" xr:uid="{00000000-0005-0000-0000-000058020000}"/>
    <cellStyle name="20% - 강조색6 55" xfId="731" xr:uid="{00000000-0005-0000-0000-000059020000}"/>
    <cellStyle name="20% - 강조색6 56" xfId="732" xr:uid="{00000000-0005-0000-0000-00005A020000}"/>
    <cellStyle name="20% - 강조색6 57" xfId="733" xr:uid="{00000000-0005-0000-0000-00005B020000}"/>
    <cellStyle name="20% - 강조색6 58" xfId="734" xr:uid="{00000000-0005-0000-0000-00005C020000}"/>
    <cellStyle name="20% - 강조색6 59" xfId="735" xr:uid="{00000000-0005-0000-0000-00005D020000}"/>
    <cellStyle name="20% - 강조색6 6" xfId="736" xr:uid="{00000000-0005-0000-0000-00005E020000}"/>
    <cellStyle name="20% - 강조색6 60" xfId="737" xr:uid="{00000000-0005-0000-0000-00005F020000}"/>
    <cellStyle name="20% - 강조색6 61" xfId="738" xr:uid="{00000000-0005-0000-0000-000060020000}"/>
    <cellStyle name="20% - 강조색6 62" xfId="739" xr:uid="{00000000-0005-0000-0000-000061020000}"/>
    <cellStyle name="20% - 강조색6 63" xfId="740" xr:uid="{00000000-0005-0000-0000-000062020000}"/>
    <cellStyle name="20% - 강조색6 64" xfId="741" xr:uid="{00000000-0005-0000-0000-000063020000}"/>
    <cellStyle name="20% - 강조색6 65" xfId="742" xr:uid="{00000000-0005-0000-0000-000064020000}"/>
    <cellStyle name="20% - 강조색6 66" xfId="743" xr:uid="{00000000-0005-0000-0000-000065020000}"/>
    <cellStyle name="20% - 강조색6 67" xfId="744" xr:uid="{00000000-0005-0000-0000-000066020000}"/>
    <cellStyle name="20% - 강조색6 68" xfId="745" xr:uid="{00000000-0005-0000-0000-000067020000}"/>
    <cellStyle name="20% - 강조색6 69" xfId="746" xr:uid="{00000000-0005-0000-0000-000068020000}"/>
    <cellStyle name="20% - 강조색6 7" xfId="747" xr:uid="{00000000-0005-0000-0000-000069020000}"/>
    <cellStyle name="20% - 강조색6 70" xfId="748" xr:uid="{00000000-0005-0000-0000-00006A020000}"/>
    <cellStyle name="20% - 강조색6 71" xfId="749" xr:uid="{00000000-0005-0000-0000-00006B020000}"/>
    <cellStyle name="20% - 강조색6 72" xfId="750" xr:uid="{00000000-0005-0000-0000-00006C020000}"/>
    <cellStyle name="20% - 강조색6 73" xfId="751" xr:uid="{00000000-0005-0000-0000-00006D020000}"/>
    <cellStyle name="20% - 강조색6 74" xfId="752" xr:uid="{00000000-0005-0000-0000-00006E020000}"/>
    <cellStyle name="20% - 강조색6 75" xfId="753" xr:uid="{00000000-0005-0000-0000-00006F020000}"/>
    <cellStyle name="20% - 강조색6 76" xfId="754" xr:uid="{00000000-0005-0000-0000-000070020000}"/>
    <cellStyle name="20% - 강조색6 77" xfId="755" xr:uid="{00000000-0005-0000-0000-000071020000}"/>
    <cellStyle name="20% - 강조색6 78" xfId="756" xr:uid="{00000000-0005-0000-0000-000072020000}"/>
    <cellStyle name="20% - 강조색6 79" xfId="757" xr:uid="{00000000-0005-0000-0000-000073020000}"/>
    <cellStyle name="20% - 강조색6 8" xfId="758" xr:uid="{00000000-0005-0000-0000-000074020000}"/>
    <cellStyle name="20% - 강조색6 80" xfId="759" xr:uid="{00000000-0005-0000-0000-000075020000}"/>
    <cellStyle name="20% - 강조색6 81" xfId="760" xr:uid="{00000000-0005-0000-0000-000076020000}"/>
    <cellStyle name="20% - 강조색6 82" xfId="761" xr:uid="{00000000-0005-0000-0000-000077020000}"/>
    <cellStyle name="20% - 강조색6 83" xfId="762" xr:uid="{00000000-0005-0000-0000-000078020000}"/>
    <cellStyle name="20% - 강조색6 84" xfId="763" xr:uid="{00000000-0005-0000-0000-000079020000}"/>
    <cellStyle name="20% - 강조색6 85" xfId="764" xr:uid="{00000000-0005-0000-0000-00007A020000}"/>
    <cellStyle name="20% - 강조색6 86" xfId="765" xr:uid="{00000000-0005-0000-0000-00007B020000}"/>
    <cellStyle name="20% - 강조색6 87" xfId="766" xr:uid="{00000000-0005-0000-0000-00007C020000}"/>
    <cellStyle name="20% - 강조색6 88" xfId="767" xr:uid="{00000000-0005-0000-0000-00007D020000}"/>
    <cellStyle name="20% - 강조색6 89" xfId="768" xr:uid="{00000000-0005-0000-0000-00007E020000}"/>
    <cellStyle name="20% - 강조색6 9" xfId="769" xr:uid="{00000000-0005-0000-0000-00007F020000}"/>
    <cellStyle name="20% - 강조색6 90" xfId="770" xr:uid="{00000000-0005-0000-0000-000080020000}"/>
    <cellStyle name="20% - 강조색6 91" xfId="771" xr:uid="{00000000-0005-0000-0000-000081020000}"/>
    <cellStyle name="20% - 강조색6 92" xfId="772" xr:uid="{00000000-0005-0000-0000-000082020000}"/>
    <cellStyle name="20% - 강조색6 93" xfId="773" xr:uid="{00000000-0005-0000-0000-000083020000}"/>
    <cellStyle name="20% - 강조색6 94" xfId="774" xr:uid="{00000000-0005-0000-0000-000084020000}"/>
    <cellStyle name="20% - 강조색6 95" xfId="775" xr:uid="{00000000-0005-0000-0000-000085020000}"/>
    <cellStyle name="20% - 강조색6 96" xfId="776" xr:uid="{00000000-0005-0000-0000-000086020000}"/>
    <cellStyle name="20% - 강조색6 97" xfId="777" xr:uid="{00000000-0005-0000-0000-000087020000}"/>
    <cellStyle name="20% - 강조색6 98" xfId="778" xr:uid="{00000000-0005-0000-0000-000088020000}"/>
    <cellStyle name="20% - 강조색6 99" xfId="779" xr:uid="{00000000-0005-0000-0000-000089020000}"/>
    <cellStyle name="40% - Accent1" xfId="4633" xr:uid="{00000000-0005-0000-0000-00008A020000}"/>
    <cellStyle name="40% - Accent2" xfId="4634" xr:uid="{00000000-0005-0000-0000-00008B020000}"/>
    <cellStyle name="40% - Accent3" xfId="4635" xr:uid="{00000000-0005-0000-0000-00008C020000}"/>
    <cellStyle name="40% - Accent4" xfId="4636" xr:uid="{00000000-0005-0000-0000-00008D020000}"/>
    <cellStyle name="40% - Accent5" xfId="4637" xr:uid="{00000000-0005-0000-0000-00008E020000}"/>
    <cellStyle name="40% - Accent6" xfId="4638" xr:uid="{00000000-0005-0000-0000-00008F020000}"/>
    <cellStyle name="40% - 강조색1 10" xfId="780" xr:uid="{00000000-0005-0000-0000-000090020000}"/>
    <cellStyle name="40% - 강조색1 100" xfId="781" xr:uid="{00000000-0005-0000-0000-000091020000}"/>
    <cellStyle name="40% - 강조색1 101" xfId="782" xr:uid="{00000000-0005-0000-0000-000092020000}"/>
    <cellStyle name="40% - 강조색1 102" xfId="783" xr:uid="{00000000-0005-0000-0000-000093020000}"/>
    <cellStyle name="40% - 강조색1 103" xfId="784" xr:uid="{00000000-0005-0000-0000-000094020000}"/>
    <cellStyle name="40% - 강조색1 104" xfId="785" xr:uid="{00000000-0005-0000-0000-000095020000}"/>
    <cellStyle name="40% - 강조색1 105" xfId="786" xr:uid="{00000000-0005-0000-0000-000096020000}"/>
    <cellStyle name="40% - 강조색1 106" xfId="787" xr:uid="{00000000-0005-0000-0000-000097020000}"/>
    <cellStyle name="40% - 강조색1 107" xfId="788" xr:uid="{00000000-0005-0000-0000-000098020000}"/>
    <cellStyle name="40% - 강조색1 11" xfId="789" xr:uid="{00000000-0005-0000-0000-000099020000}"/>
    <cellStyle name="40% - 강조색1 12" xfId="790" xr:uid="{00000000-0005-0000-0000-00009A020000}"/>
    <cellStyle name="40% - 강조색1 13" xfId="791" xr:uid="{00000000-0005-0000-0000-00009B020000}"/>
    <cellStyle name="40% - 강조색1 14" xfId="792" xr:uid="{00000000-0005-0000-0000-00009C020000}"/>
    <cellStyle name="40% - 강조색1 15" xfId="793" xr:uid="{00000000-0005-0000-0000-00009D020000}"/>
    <cellStyle name="40% - 강조색1 16" xfId="794" xr:uid="{00000000-0005-0000-0000-00009E020000}"/>
    <cellStyle name="40% - 강조색1 17" xfId="795" xr:uid="{00000000-0005-0000-0000-00009F020000}"/>
    <cellStyle name="40% - 강조색1 18" xfId="796" xr:uid="{00000000-0005-0000-0000-0000A0020000}"/>
    <cellStyle name="40% - 강조색1 19" xfId="797" xr:uid="{00000000-0005-0000-0000-0000A1020000}"/>
    <cellStyle name="40% - 강조색1 2" xfId="798" xr:uid="{00000000-0005-0000-0000-0000A2020000}"/>
    <cellStyle name="40% - 강조색1 20" xfId="799" xr:uid="{00000000-0005-0000-0000-0000A3020000}"/>
    <cellStyle name="40% - 강조색1 21" xfId="800" xr:uid="{00000000-0005-0000-0000-0000A4020000}"/>
    <cellStyle name="40% - 강조색1 22" xfId="801" xr:uid="{00000000-0005-0000-0000-0000A5020000}"/>
    <cellStyle name="40% - 강조색1 23" xfId="802" xr:uid="{00000000-0005-0000-0000-0000A6020000}"/>
    <cellStyle name="40% - 강조색1 24" xfId="803" xr:uid="{00000000-0005-0000-0000-0000A7020000}"/>
    <cellStyle name="40% - 강조색1 25" xfId="804" xr:uid="{00000000-0005-0000-0000-0000A8020000}"/>
    <cellStyle name="40% - 강조색1 26" xfId="805" xr:uid="{00000000-0005-0000-0000-0000A9020000}"/>
    <cellStyle name="40% - 강조색1 27" xfId="806" xr:uid="{00000000-0005-0000-0000-0000AA020000}"/>
    <cellStyle name="40% - 강조색1 28" xfId="807" xr:uid="{00000000-0005-0000-0000-0000AB020000}"/>
    <cellStyle name="40% - 강조색1 29" xfId="808" xr:uid="{00000000-0005-0000-0000-0000AC020000}"/>
    <cellStyle name="40% - 강조색1 3" xfId="809" xr:uid="{00000000-0005-0000-0000-0000AD020000}"/>
    <cellStyle name="40% - 강조색1 30" xfId="810" xr:uid="{00000000-0005-0000-0000-0000AE020000}"/>
    <cellStyle name="40% - 강조색1 31" xfId="811" xr:uid="{00000000-0005-0000-0000-0000AF020000}"/>
    <cellStyle name="40% - 강조색1 32" xfId="812" xr:uid="{00000000-0005-0000-0000-0000B0020000}"/>
    <cellStyle name="40% - 강조색1 33" xfId="813" xr:uid="{00000000-0005-0000-0000-0000B1020000}"/>
    <cellStyle name="40% - 강조색1 34" xfId="814" xr:uid="{00000000-0005-0000-0000-0000B2020000}"/>
    <cellStyle name="40% - 강조색1 35" xfId="815" xr:uid="{00000000-0005-0000-0000-0000B3020000}"/>
    <cellStyle name="40% - 강조색1 36" xfId="816" xr:uid="{00000000-0005-0000-0000-0000B4020000}"/>
    <cellStyle name="40% - 강조색1 37" xfId="817" xr:uid="{00000000-0005-0000-0000-0000B5020000}"/>
    <cellStyle name="40% - 강조색1 38" xfId="818" xr:uid="{00000000-0005-0000-0000-0000B6020000}"/>
    <cellStyle name="40% - 강조색1 39" xfId="819" xr:uid="{00000000-0005-0000-0000-0000B7020000}"/>
    <cellStyle name="40% - 강조색1 4" xfId="820" xr:uid="{00000000-0005-0000-0000-0000B8020000}"/>
    <cellStyle name="40% - 강조색1 40" xfId="821" xr:uid="{00000000-0005-0000-0000-0000B9020000}"/>
    <cellStyle name="40% - 강조색1 41" xfId="822" xr:uid="{00000000-0005-0000-0000-0000BA020000}"/>
    <cellStyle name="40% - 강조색1 42" xfId="823" xr:uid="{00000000-0005-0000-0000-0000BB020000}"/>
    <cellStyle name="40% - 강조색1 43" xfId="824" xr:uid="{00000000-0005-0000-0000-0000BC020000}"/>
    <cellStyle name="40% - 강조색1 44" xfId="825" xr:uid="{00000000-0005-0000-0000-0000BD020000}"/>
    <cellStyle name="40% - 강조색1 45" xfId="826" xr:uid="{00000000-0005-0000-0000-0000BE020000}"/>
    <cellStyle name="40% - 강조색1 46" xfId="827" xr:uid="{00000000-0005-0000-0000-0000BF020000}"/>
    <cellStyle name="40% - 강조색1 47" xfId="828" xr:uid="{00000000-0005-0000-0000-0000C0020000}"/>
    <cellStyle name="40% - 강조색1 48" xfId="829" xr:uid="{00000000-0005-0000-0000-0000C1020000}"/>
    <cellStyle name="40% - 강조색1 49" xfId="830" xr:uid="{00000000-0005-0000-0000-0000C2020000}"/>
    <cellStyle name="40% - 강조색1 5" xfId="831" xr:uid="{00000000-0005-0000-0000-0000C3020000}"/>
    <cellStyle name="40% - 강조색1 50" xfId="832" xr:uid="{00000000-0005-0000-0000-0000C4020000}"/>
    <cellStyle name="40% - 강조색1 51" xfId="833" xr:uid="{00000000-0005-0000-0000-0000C5020000}"/>
    <cellStyle name="40% - 강조색1 52" xfId="834" xr:uid="{00000000-0005-0000-0000-0000C6020000}"/>
    <cellStyle name="40% - 강조색1 53" xfId="835" xr:uid="{00000000-0005-0000-0000-0000C7020000}"/>
    <cellStyle name="40% - 강조색1 54" xfId="836" xr:uid="{00000000-0005-0000-0000-0000C8020000}"/>
    <cellStyle name="40% - 강조색1 55" xfId="837" xr:uid="{00000000-0005-0000-0000-0000C9020000}"/>
    <cellStyle name="40% - 강조색1 56" xfId="838" xr:uid="{00000000-0005-0000-0000-0000CA020000}"/>
    <cellStyle name="40% - 강조색1 57" xfId="839" xr:uid="{00000000-0005-0000-0000-0000CB020000}"/>
    <cellStyle name="40% - 강조색1 58" xfId="840" xr:uid="{00000000-0005-0000-0000-0000CC020000}"/>
    <cellStyle name="40% - 강조색1 59" xfId="841" xr:uid="{00000000-0005-0000-0000-0000CD020000}"/>
    <cellStyle name="40% - 강조색1 6" xfId="842" xr:uid="{00000000-0005-0000-0000-0000CE020000}"/>
    <cellStyle name="40% - 강조색1 60" xfId="843" xr:uid="{00000000-0005-0000-0000-0000CF020000}"/>
    <cellStyle name="40% - 강조색1 61" xfId="844" xr:uid="{00000000-0005-0000-0000-0000D0020000}"/>
    <cellStyle name="40% - 강조색1 62" xfId="845" xr:uid="{00000000-0005-0000-0000-0000D1020000}"/>
    <cellStyle name="40% - 강조색1 63" xfId="846" xr:uid="{00000000-0005-0000-0000-0000D2020000}"/>
    <cellStyle name="40% - 강조색1 64" xfId="847" xr:uid="{00000000-0005-0000-0000-0000D3020000}"/>
    <cellStyle name="40% - 강조색1 65" xfId="848" xr:uid="{00000000-0005-0000-0000-0000D4020000}"/>
    <cellStyle name="40% - 강조색1 66" xfId="849" xr:uid="{00000000-0005-0000-0000-0000D5020000}"/>
    <cellStyle name="40% - 강조색1 67" xfId="850" xr:uid="{00000000-0005-0000-0000-0000D6020000}"/>
    <cellStyle name="40% - 강조색1 68" xfId="851" xr:uid="{00000000-0005-0000-0000-0000D7020000}"/>
    <cellStyle name="40% - 강조색1 69" xfId="852" xr:uid="{00000000-0005-0000-0000-0000D8020000}"/>
    <cellStyle name="40% - 강조색1 7" xfId="853" xr:uid="{00000000-0005-0000-0000-0000D9020000}"/>
    <cellStyle name="40% - 강조색1 70" xfId="854" xr:uid="{00000000-0005-0000-0000-0000DA020000}"/>
    <cellStyle name="40% - 강조색1 71" xfId="855" xr:uid="{00000000-0005-0000-0000-0000DB020000}"/>
    <cellStyle name="40% - 강조색1 72" xfId="856" xr:uid="{00000000-0005-0000-0000-0000DC020000}"/>
    <cellStyle name="40% - 강조색1 73" xfId="857" xr:uid="{00000000-0005-0000-0000-0000DD020000}"/>
    <cellStyle name="40% - 강조색1 74" xfId="858" xr:uid="{00000000-0005-0000-0000-0000DE020000}"/>
    <cellStyle name="40% - 강조색1 75" xfId="859" xr:uid="{00000000-0005-0000-0000-0000DF020000}"/>
    <cellStyle name="40% - 강조색1 76" xfId="860" xr:uid="{00000000-0005-0000-0000-0000E0020000}"/>
    <cellStyle name="40% - 강조색1 77" xfId="861" xr:uid="{00000000-0005-0000-0000-0000E1020000}"/>
    <cellStyle name="40% - 강조색1 78" xfId="862" xr:uid="{00000000-0005-0000-0000-0000E2020000}"/>
    <cellStyle name="40% - 강조색1 79" xfId="863" xr:uid="{00000000-0005-0000-0000-0000E3020000}"/>
    <cellStyle name="40% - 강조색1 8" xfId="864" xr:uid="{00000000-0005-0000-0000-0000E4020000}"/>
    <cellStyle name="40% - 강조색1 80" xfId="865" xr:uid="{00000000-0005-0000-0000-0000E5020000}"/>
    <cellStyle name="40% - 강조색1 81" xfId="866" xr:uid="{00000000-0005-0000-0000-0000E6020000}"/>
    <cellStyle name="40% - 강조색1 82" xfId="867" xr:uid="{00000000-0005-0000-0000-0000E7020000}"/>
    <cellStyle name="40% - 강조색1 83" xfId="868" xr:uid="{00000000-0005-0000-0000-0000E8020000}"/>
    <cellStyle name="40% - 강조색1 84" xfId="869" xr:uid="{00000000-0005-0000-0000-0000E9020000}"/>
    <cellStyle name="40% - 강조색1 85" xfId="870" xr:uid="{00000000-0005-0000-0000-0000EA020000}"/>
    <cellStyle name="40% - 강조색1 86" xfId="871" xr:uid="{00000000-0005-0000-0000-0000EB020000}"/>
    <cellStyle name="40% - 강조색1 87" xfId="872" xr:uid="{00000000-0005-0000-0000-0000EC020000}"/>
    <cellStyle name="40% - 강조색1 88" xfId="873" xr:uid="{00000000-0005-0000-0000-0000ED020000}"/>
    <cellStyle name="40% - 강조색1 89" xfId="874" xr:uid="{00000000-0005-0000-0000-0000EE020000}"/>
    <cellStyle name="40% - 강조색1 9" xfId="875" xr:uid="{00000000-0005-0000-0000-0000EF020000}"/>
    <cellStyle name="40% - 강조색1 90" xfId="876" xr:uid="{00000000-0005-0000-0000-0000F0020000}"/>
    <cellStyle name="40% - 강조색1 91" xfId="877" xr:uid="{00000000-0005-0000-0000-0000F1020000}"/>
    <cellStyle name="40% - 강조색1 92" xfId="878" xr:uid="{00000000-0005-0000-0000-0000F2020000}"/>
    <cellStyle name="40% - 강조색1 93" xfId="879" xr:uid="{00000000-0005-0000-0000-0000F3020000}"/>
    <cellStyle name="40% - 강조색1 94" xfId="880" xr:uid="{00000000-0005-0000-0000-0000F4020000}"/>
    <cellStyle name="40% - 강조색1 95" xfId="881" xr:uid="{00000000-0005-0000-0000-0000F5020000}"/>
    <cellStyle name="40% - 강조색1 96" xfId="882" xr:uid="{00000000-0005-0000-0000-0000F6020000}"/>
    <cellStyle name="40% - 강조색1 97" xfId="883" xr:uid="{00000000-0005-0000-0000-0000F7020000}"/>
    <cellStyle name="40% - 강조색1 98" xfId="884" xr:uid="{00000000-0005-0000-0000-0000F8020000}"/>
    <cellStyle name="40% - 강조색1 99" xfId="885" xr:uid="{00000000-0005-0000-0000-0000F9020000}"/>
    <cellStyle name="40% - 강조색2 10" xfId="886" xr:uid="{00000000-0005-0000-0000-0000FA020000}"/>
    <cellStyle name="40% - 강조색2 100" xfId="887" xr:uid="{00000000-0005-0000-0000-0000FB020000}"/>
    <cellStyle name="40% - 강조색2 101" xfId="888" xr:uid="{00000000-0005-0000-0000-0000FC020000}"/>
    <cellStyle name="40% - 강조색2 102" xfId="889" xr:uid="{00000000-0005-0000-0000-0000FD020000}"/>
    <cellStyle name="40% - 강조색2 103" xfId="890" xr:uid="{00000000-0005-0000-0000-0000FE020000}"/>
    <cellStyle name="40% - 강조색2 104" xfId="891" xr:uid="{00000000-0005-0000-0000-0000FF020000}"/>
    <cellStyle name="40% - 강조색2 105" xfId="892" xr:uid="{00000000-0005-0000-0000-000000030000}"/>
    <cellStyle name="40% - 강조색2 106" xfId="893" xr:uid="{00000000-0005-0000-0000-000001030000}"/>
    <cellStyle name="40% - 강조색2 107" xfId="894" xr:uid="{00000000-0005-0000-0000-000002030000}"/>
    <cellStyle name="40% - 강조색2 11" xfId="895" xr:uid="{00000000-0005-0000-0000-000003030000}"/>
    <cellStyle name="40% - 강조색2 12" xfId="896" xr:uid="{00000000-0005-0000-0000-000004030000}"/>
    <cellStyle name="40% - 강조색2 13" xfId="897" xr:uid="{00000000-0005-0000-0000-000005030000}"/>
    <cellStyle name="40% - 강조색2 14" xfId="898" xr:uid="{00000000-0005-0000-0000-000006030000}"/>
    <cellStyle name="40% - 강조색2 15" xfId="899" xr:uid="{00000000-0005-0000-0000-000007030000}"/>
    <cellStyle name="40% - 강조색2 16" xfId="900" xr:uid="{00000000-0005-0000-0000-000008030000}"/>
    <cellStyle name="40% - 강조색2 17" xfId="901" xr:uid="{00000000-0005-0000-0000-000009030000}"/>
    <cellStyle name="40% - 강조색2 18" xfId="902" xr:uid="{00000000-0005-0000-0000-00000A030000}"/>
    <cellStyle name="40% - 강조색2 19" xfId="903" xr:uid="{00000000-0005-0000-0000-00000B030000}"/>
    <cellStyle name="40% - 강조색2 2" xfId="904" xr:uid="{00000000-0005-0000-0000-00000C030000}"/>
    <cellStyle name="40% - 강조색2 20" xfId="905" xr:uid="{00000000-0005-0000-0000-00000D030000}"/>
    <cellStyle name="40% - 강조색2 21" xfId="906" xr:uid="{00000000-0005-0000-0000-00000E030000}"/>
    <cellStyle name="40% - 강조색2 22" xfId="907" xr:uid="{00000000-0005-0000-0000-00000F030000}"/>
    <cellStyle name="40% - 강조색2 23" xfId="908" xr:uid="{00000000-0005-0000-0000-000010030000}"/>
    <cellStyle name="40% - 강조색2 24" xfId="909" xr:uid="{00000000-0005-0000-0000-000011030000}"/>
    <cellStyle name="40% - 강조색2 25" xfId="910" xr:uid="{00000000-0005-0000-0000-000012030000}"/>
    <cellStyle name="40% - 강조색2 26" xfId="911" xr:uid="{00000000-0005-0000-0000-000013030000}"/>
    <cellStyle name="40% - 강조색2 27" xfId="912" xr:uid="{00000000-0005-0000-0000-000014030000}"/>
    <cellStyle name="40% - 강조색2 28" xfId="913" xr:uid="{00000000-0005-0000-0000-000015030000}"/>
    <cellStyle name="40% - 강조색2 29" xfId="914" xr:uid="{00000000-0005-0000-0000-000016030000}"/>
    <cellStyle name="40% - 강조색2 3" xfId="915" xr:uid="{00000000-0005-0000-0000-000017030000}"/>
    <cellStyle name="40% - 강조색2 30" xfId="916" xr:uid="{00000000-0005-0000-0000-000018030000}"/>
    <cellStyle name="40% - 강조색2 31" xfId="917" xr:uid="{00000000-0005-0000-0000-000019030000}"/>
    <cellStyle name="40% - 강조색2 32" xfId="918" xr:uid="{00000000-0005-0000-0000-00001A030000}"/>
    <cellStyle name="40% - 강조색2 33" xfId="919" xr:uid="{00000000-0005-0000-0000-00001B030000}"/>
    <cellStyle name="40% - 강조색2 34" xfId="920" xr:uid="{00000000-0005-0000-0000-00001C030000}"/>
    <cellStyle name="40% - 강조색2 35" xfId="921" xr:uid="{00000000-0005-0000-0000-00001D030000}"/>
    <cellStyle name="40% - 강조색2 36" xfId="922" xr:uid="{00000000-0005-0000-0000-00001E030000}"/>
    <cellStyle name="40% - 강조색2 37" xfId="923" xr:uid="{00000000-0005-0000-0000-00001F030000}"/>
    <cellStyle name="40% - 강조색2 38" xfId="924" xr:uid="{00000000-0005-0000-0000-000020030000}"/>
    <cellStyle name="40% - 강조색2 39" xfId="925" xr:uid="{00000000-0005-0000-0000-000021030000}"/>
    <cellStyle name="40% - 강조색2 4" xfId="926" xr:uid="{00000000-0005-0000-0000-000022030000}"/>
    <cellStyle name="40% - 강조색2 40" xfId="927" xr:uid="{00000000-0005-0000-0000-000023030000}"/>
    <cellStyle name="40% - 강조색2 41" xfId="928" xr:uid="{00000000-0005-0000-0000-000024030000}"/>
    <cellStyle name="40% - 강조색2 42" xfId="929" xr:uid="{00000000-0005-0000-0000-000025030000}"/>
    <cellStyle name="40% - 강조색2 43" xfId="930" xr:uid="{00000000-0005-0000-0000-000026030000}"/>
    <cellStyle name="40% - 강조색2 44" xfId="931" xr:uid="{00000000-0005-0000-0000-000027030000}"/>
    <cellStyle name="40% - 강조색2 45" xfId="932" xr:uid="{00000000-0005-0000-0000-000028030000}"/>
    <cellStyle name="40% - 강조색2 46" xfId="933" xr:uid="{00000000-0005-0000-0000-000029030000}"/>
    <cellStyle name="40% - 강조색2 47" xfId="934" xr:uid="{00000000-0005-0000-0000-00002A030000}"/>
    <cellStyle name="40% - 강조색2 48" xfId="935" xr:uid="{00000000-0005-0000-0000-00002B030000}"/>
    <cellStyle name="40% - 강조색2 49" xfId="936" xr:uid="{00000000-0005-0000-0000-00002C030000}"/>
    <cellStyle name="40% - 강조색2 5" xfId="937" xr:uid="{00000000-0005-0000-0000-00002D030000}"/>
    <cellStyle name="40% - 강조색2 50" xfId="938" xr:uid="{00000000-0005-0000-0000-00002E030000}"/>
    <cellStyle name="40% - 강조색2 51" xfId="939" xr:uid="{00000000-0005-0000-0000-00002F030000}"/>
    <cellStyle name="40% - 강조색2 52" xfId="940" xr:uid="{00000000-0005-0000-0000-000030030000}"/>
    <cellStyle name="40% - 강조색2 53" xfId="941" xr:uid="{00000000-0005-0000-0000-000031030000}"/>
    <cellStyle name="40% - 강조색2 54" xfId="942" xr:uid="{00000000-0005-0000-0000-000032030000}"/>
    <cellStyle name="40% - 강조색2 55" xfId="943" xr:uid="{00000000-0005-0000-0000-000033030000}"/>
    <cellStyle name="40% - 강조색2 56" xfId="944" xr:uid="{00000000-0005-0000-0000-000034030000}"/>
    <cellStyle name="40% - 강조색2 57" xfId="945" xr:uid="{00000000-0005-0000-0000-000035030000}"/>
    <cellStyle name="40% - 강조색2 58" xfId="946" xr:uid="{00000000-0005-0000-0000-000036030000}"/>
    <cellStyle name="40% - 강조색2 59" xfId="947" xr:uid="{00000000-0005-0000-0000-000037030000}"/>
    <cellStyle name="40% - 강조색2 6" xfId="948" xr:uid="{00000000-0005-0000-0000-000038030000}"/>
    <cellStyle name="40% - 강조색2 60" xfId="949" xr:uid="{00000000-0005-0000-0000-000039030000}"/>
    <cellStyle name="40% - 강조색2 61" xfId="950" xr:uid="{00000000-0005-0000-0000-00003A030000}"/>
    <cellStyle name="40% - 강조색2 62" xfId="951" xr:uid="{00000000-0005-0000-0000-00003B030000}"/>
    <cellStyle name="40% - 강조색2 63" xfId="952" xr:uid="{00000000-0005-0000-0000-00003C030000}"/>
    <cellStyle name="40% - 강조색2 64" xfId="953" xr:uid="{00000000-0005-0000-0000-00003D030000}"/>
    <cellStyle name="40% - 강조색2 65" xfId="954" xr:uid="{00000000-0005-0000-0000-00003E030000}"/>
    <cellStyle name="40% - 강조색2 66" xfId="955" xr:uid="{00000000-0005-0000-0000-00003F030000}"/>
    <cellStyle name="40% - 강조색2 67" xfId="956" xr:uid="{00000000-0005-0000-0000-000040030000}"/>
    <cellStyle name="40% - 강조색2 68" xfId="957" xr:uid="{00000000-0005-0000-0000-000041030000}"/>
    <cellStyle name="40% - 강조색2 69" xfId="958" xr:uid="{00000000-0005-0000-0000-000042030000}"/>
    <cellStyle name="40% - 강조색2 7" xfId="959" xr:uid="{00000000-0005-0000-0000-000043030000}"/>
    <cellStyle name="40% - 강조색2 70" xfId="960" xr:uid="{00000000-0005-0000-0000-000044030000}"/>
    <cellStyle name="40% - 강조색2 71" xfId="961" xr:uid="{00000000-0005-0000-0000-000045030000}"/>
    <cellStyle name="40% - 강조색2 72" xfId="962" xr:uid="{00000000-0005-0000-0000-000046030000}"/>
    <cellStyle name="40% - 강조색2 73" xfId="963" xr:uid="{00000000-0005-0000-0000-000047030000}"/>
    <cellStyle name="40% - 강조색2 74" xfId="964" xr:uid="{00000000-0005-0000-0000-000048030000}"/>
    <cellStyle name="40% - 강조색2 75" xfId="965" xr:uid="{00000000-0005-0000-0000-000049030000}"/>
    <cellStyle name="40% - 강조색2 76" xfId="966" xr:uid="{00000000-0005-0000-0000-00004A030000}"/>
    <cellStyle name="40% - 강조색2 77" xfId="967" xr:uid="{00000000-0005-0000-0000-00004B030000}"/>
    <cellStyle name="40% - 강조색2 78" xfId="968" xr:uid="{00000000-0005-0000-0000-00004C030000}"/>
    <cellStyle name="40% - 강조색2 79" xfId="969" xr:uid="{00000000-0005-0000-0000-00004D030000}"/>
    <cellStyle name="40% - 강조색2 8" xfId="970" xr:uid="{00000000-0005-0000-0000-00004E030000}"/>
    <cellStyle name="40% - 강조색2 80" xfId="971" xr:uid="{00000000-0005-0000-0000-00004F030000}"/>
    <cellStyle name="40% - 강조색2 81" xfId="972" xr:uid="{00000000-0005-0000-0000-000050030000}"/>
    <cellStyle name="40% - 강조색2 82" xfId="973" xr:uid="{00000000-0005-0000-0000-000051030000}"/>
    <cellStyle name="40% - 강조색2 83" xfId="974" xr:uid="{00000000-0005-0000-0000-000052030000}"/>
    <cellStyle name="40% - 강조색2 84" xfId="975" xr:uid="{00000000-0005-0000-0000-000053030000}"/>
    <cellStyle name="40% - 강조색2 85" xfId="976" xr:uid="{00000000-0005-0000-0000-000054030000}"/>
    <cellStyle name="40% - 강조색2 86" xfId="977" xr:uid="{00000000-0005-0000-0000-000055030000}"/>
    <cellStyle name="40% - 강조색2 87" xfId="978" xr:uid="{00000000-0005-0000-0000-000056030000}"/>
    <cellStyle name="40% - 강조색2 88" xfId="979" xr:uid="{00000000-0005-0000-0000-000057030000}"/>
    <cellStyle name="40% - 강조색2 89" xfId="980" xr:uid="{00000000-0005-0000-0000-000058030000}"/>
    <cellStyle name="40% - 강조색2 9" xfId="981" xr:uid="{00000000-0005-0000-0000-000059030000}"/>
    <cellStyle name="40% - 강조색2 90" xfId="982" xr:uid="{00000000-0005-0000-0000-00005A030000}"/>
    <cellStyle name="40% - 강조색2 91" xfId="983" xr:uid="{00000000-0005-0000-0000-00005B030000}"/>
    <cellStyle name="40% - 강조색2 92" xfId="984" xr:uid="{00000000-0005-0000-0000-00005C030000}"/>
    <cellStyle name="40% - 강조색2 93" xfId="985" xr:uid="{00000000-0005-0000-0000-00005D030000}"/>
    <cellStyle name="40% - 강조색2 94" xfId="986" xr:uid="{00000000-0005-0000-0000-00005E030000}"/>
    <cellStyle name="40% - 강조색2 95" xfId="987" xr:uid="{00000000-0005-0000-0000-00005F030000}"/>
    <cellStyle name="40% - 강조색2 96" xfId="988" xr:uid="{00000000-0005-0000-0000-000060030000}"/>
    <cellStyle name="40% - 강조색2 97" xfId="989" xr:uid="{00000000-0005-0000-0000-000061030000}"/>
    <cellStyle name="40% - 강조색2 98" xfId="990" xr:uid="{00000000-0005-0000-0000-000062030000}"/>
    <cellStyle name="40% - 강조색2 99" xfId="991" xr:uid="{00000000-0005-0000-0000-000063030000}"/>
    <cellStyle name="40% - 강조색3 10" xfId="992" xr:uid="{00000000-0005-0000-0000-000064030000}"/>
    <cellStyle name="40% - 강조색3 100" xfId="993" xr:uid="{00000000-0005-0000-0000-000065030000}"/>
    <cellStyle name="40% - 강조색3 101" xfId="994" xr:uid="{00000000-0005-0000-0000-000066030000}"/>
    <cellStyle name="40% - 강조색3 102" xfId="995" xr:uid="{00000000-0005-0000-0000-000067030000}"/>
    <cellStyle name="40% - 강조색3 103" xfId="996" xr:uid="{00000000-0005-0000-0000-000068030000}"/>
    <cellStyle name="40% - 강조색3 104" xfId="997" xr:uid="{00000000-0005-0000-0000-000069030000}"/>
    <cellStyle name="40% - 강조색3 105" xfId="998" xr:uid="{00000000-0005-0000-0000-00006A030000}"/>
    <cellStyle name="40% - 강조색3 106" xfId="999" xr:uid="{00000000-0005-0000-0000-00006B030000}"/>
    <cellStyle name="40% - 강조색3 107" xfId="1000" xr:uid="{00000000-0005-0000-0000-00006C030000}"/>
    <cellStyle name="40% - 강조색3 11" xfId="1001" xr:uid="{00000000-0005-0000-0000-00006D030000}"/>
    <cellStyle name="40% - 강조색3 12" xfId="1002" xr:uid="{00000000-0005-0000-0000-00006E030000}"/>
    <cellStyle name="40% - 강조색3 13" xfId="1003" xr:uid="{00000000-0005-0000-0000-00006F030000}"/>
    <cellStyle name="40% - 강조색3 14" xfId="1004" xr:uid="{00000000-0005-0000-0000-000070030000}"/>
    <cellStyle name="40% - 강조색3 15" xfId="1005" xr:uid="{00000000-0005-0000-0000-000071030000}"/>
    <cellStyle name="40% - 강조색3 16" xfId="1006" xr:uid="{00000000-0005-0000-0000-000072030000}"/>
    <cellStyle name="40% - 강조색3 17" xfId="1007" xr:uid="{00000000-0005-0000-0000-000073030000}"/>
    <cellStyle name="40% - 강조색3 18" xfId="1008" xr:uid="{00000000-0005-0000-0000-000074030000}"/>
    <cellStyle name="40% - 강조색3 19" xfId="1009" xr:uid="{00000000-0005-0000-0000-000075030000}"/>
    <cellStyle name="40% - 강조색3 2" xfId="1010" xr:uid="{00000000-0005-0000-0000-000076030000}"/>
    <cellStyle name="40% - 강조색3 20" xfId="1011" xr:uid="{00000000-0005-0000-0000-000077030000}"/>
    <cellStyle name="40% - 강조색3 21" xfId="1012" xr:uid="{00000000-0005-0000-0000-000078030000}"/>
    <cellStyle name="40% - 강조색3 22" xfId="1013" xr:uid="{00000000-0005-0000-0000-000079030000}"/>
    <cellStyle name="40% - 강조색3 23" xfId="1014" xr:uid="{00000000-0005-0000-0000-00007A030000}"/>
    <cellStyle name="40% - 강조색3 24" xfId="1015" xr:uid="{00000000-0005-0000-0000-00007B030000}"/>
    <cellStyle name="40% - 강조색3 25" xfId="1016" xr:uid="{00000000-0005-0000-0000-00007C030000}"/>
    <cellStyle name="40% - 강조색3 26" xfId="1017" xr:uid="{00000000-0005-0000-0000-00007D030000}"/>
    <cellStyle name="40% - 강조색3 27" xfId="1018" xr:uid="{00000000-0005-0000-0000-00007E030000}"/>
    <cellStyle name="40% - 강조색3 28" xfId="1019" xr:uid="{00000000-0005-0000-0000-00007F030000}"/>
    <cellStyle name="40% - 강조색3 29" xfId="1020" xr:uid="{00000000-0005-0000-0000-000080030000}"/>
    <cellStyle name="40% - 강조색3 3" xfId="1021" xr:uid="{00000000-0005-0000-0000-000081030000}"/>
    <cellStyle name="40% - 강조색3 30" xfId="1022" xr:uid="{00000000-0005-0000-0000-000082030000}"/>
    <cellStyle name="40% - 강조색3 31" xfId="1023" xr:uid="{00000000-0005-0000-0000-000083030000}"/>
    <cellStyle name="40% - 강조색3 32" xfId="1024" xr:uid="{00000000-0005-0000-0000-000084030000}"/>
    <cellStyle name="40% - 강조색3 33" xfId="1025" xr:uid="{00000000-0005-0000-0000-000085030000}"/>
    <cellStyle name="40% - 강조색3 34" xfId="1026" xr:uid="{00000000-0005-0000-0000-000086030000}"/>
    <cellStyle name="40% - 강조색3 35" xfId="1027" xr:uid="{00000000-0005-0000-0000-000087030000}"/>
    <cellStyle name="40% - 강조색3 36" xfId="1028" xr:uid="{00000000-0005-0000-0000-000088030000}"/>
    <cellStyle name="40% - 강조색3 37" xfId="1029" xr:uid="{00000000-0005-0000-0000-000089030000}"/>
    <cellStyle name="40% - 강조색3 38" xfId="1030" xr:uid="{00000000-0005-0000-0000-00008A030000}"/>
    <cellStyle name="40% - 강조색3 39" xfId="1031" xr:uid="{00000000-0005-0000-0000-00008B030000}"/>
    <cellStyle name="40% - 강조색3 4" xfId="1032" xr:uid="{00000000-0005-0000-0000-00008C030000}"/>
    <cellStyle name="40% - 강조색3 40" xfId="1033" xr:uid="{00000000-0005-0000-0000-00008D030000}"/>
    <cellStyle name="40% - 강조색3 41" xfId="1034" xr:uid="{00000000-0005-0000-0000-00008E030000}"/>
    <cellStyle name="40% - 강조색3 42" xfId="1035" xr:uid="{00000000-0005-0000-0000-00008F030000}"/>
    <cellStyle name="40% - 강조색3 43" xfId="1036" xr:uid="{00000000-0005-0000-0000-000090030000}"/>
    <cellStyle name="40% - 강조색3 44" xfId="1037" xr:uid="{00000000-0005-0000-0000-000091030000}"/>
    <cellStyle name="40% - 강조색3 45" xfId="1038" xr:uid="{00000000-0005-0000-0000-000092030000}"/>
    <cellStyle name="40% - 강조색3 46" xfId="1039" xr:uid="{00000000-0005-0000-0000-000093030000}"/>
    <cellStyle name="40% - 강조색3 47" xfId="1040" xr:uid="{00000000-0005-0000-0000-000094030000}"/>
    <cellStyle name="40% - 강조색3 48" xfId="1041" xr:uid="{00000000-0005-0000-0000-000095030000}"/>
    <cellStyle name="40% - 강조색3 49" xfId="1042" xr:uid="{00000000-0005-0000-0000-000096030000}"/>
    <cellStyle name="40% - 강조색3 5" xfId="1043" xr:uid="{00000000-0005-0000-0000-000097030000}"/>
    <cellStyle name="40% - 강조색3 50" xfId="1044" xr:uid="{00000000-0005-0000-0000-000098030000}"/>
    <cellStyle name="40% - 강조색3 51" xfId="1045" xr:uid="{00000000-0005-0000-0000-000099030000}"/>
    <cellStyle name="40% - 강조색3 52" xfId="1046" xr:uid="{00000000-0005-0000-0000-00009A030000}"/>
    <cellStyle name="40% - 강조색3 53" xfId="1047" xr:uid="{00000000-0005-0000-0000-00009B030000}"/>
    <cellStyle name="40% - 강조색3 54" xfId="1048" xr:uid="{00000000-0005-0000-0000-00009C030000}"/>
    <cellStyle name="40% - 강조색3 55" xfId="1049" xr:uid="{00000000-0005-0000-0000-00009D030000}"/>
    <cellStyle name="40% - 강조색3 56" xfId="1050" xr:uid="{00000000-0005-0000-0000-00009E030000}"/>
    <cellStyle name="40% - 강조색3 57" xfId="1051" xr:uid="{00000000-0005-0000-0000-00009F030000}"/>
    <cellStyle name="40% - 강조색3 58" xfId="1052" xr:uid="{00000000-0005-0000-0000-0000A0030000}"/>
    <cellStyle name="40% - 강조색3 59" xfId="1053" xr:uid="{00000000-0005-0000-0000-0000A1030000}"/>
    <cellStyle name="40% - 강조색3 6" xfId="1054" xr:uid="{00000000-0005-0000-0000-0000A2030000}"/>
    <cellStyle name="40% - 강조색3 60" xfId="1055" xr:uid="{00000000-0005-0000-0000-0000A3030000}"/>
    <cellStyle name="40% - 강조색3 61" xfId="1056" xr:uid="{00000000-0005-0000-0000-0000A4030000}"/>
    <cellStyle name="40% - 강조색3 62" xfId="1057" xr:uid="{00000000-0005-0000-0000-0000A5030000}"/>
    <cellStyle name="40% - 강조색3 63" xfId="1058" xr:uid="{00000000-0005-0000-0000-0000A6030000}"/>
    <cellStyle name="40% - 강조색3 64" xfId="1059" xr:uid="{00000000-0005-0000-0000-0000A7030000}"/>
    <cellStyle name="40% - 강조색3 65" xfId="1060" xr:uid="{00000000-0005-0000-0000-0000A8030000}"/>
    <cellStyle name="40% - 강조색3 66" xfId="1061" xr:uid="{00000000-0005-0000-0000-0000A9030000}"/>
    <cellStyle name="40% - 강조색3 67" xfId="1062" xr:uid="{00000000-0005-0000-0000-0000AA030000}"/>
    <cellStyle name="40% - 강조색3 68" xfId="1063" xr:uid="{00000000-0005-0000-0000-0000AB030000}"/>
    <cellStyle name="40% - 강조색3 69" xfId="1064" xr:uid="{00000000-0005-0000-0000-0000AC030000}"/>
    <cellStyle name="40% - 강조색3 7" xfId="1065" xr:uid="{00000000-0005-0000-0000-0000AD030000}"/>
    <cellStyle name="40% - 강조색3 70" xfId="1066" xr:uid="{00000000-0005-0000-0000-0000AE030000}"/>
    <cellStyle name="40% - 강조색3 71" xfId="1067" xr:uid="{00000000-0005-0000-0000-0000AF030000}"/>
    <cellStyle name="40% - 강조색3 72" xfId="1068" xr:uid="{00000000-0005-0000-0000-0000B0030000}"/>
    <cellStyle name="40% - 강조색3 73" xfId="1069" xr:uid="{00000000-0005-0000-0000-0000B1030000}"/>
    <cellStyle name="40% - 강조색3 74" xfId="1070" xr:uid="{00000000-0005-0000-0000-0000B2030000}"/>
    <cellStyle name="40% - 강조색3 75" xfId="1071" xr:uid="{00000000-0005-0000-0000-0000B3030000}"/>
    <cellStyle name="40% - 강조색3 76" xfId="1072" xr:uid="{00000000-0005-0000-0000-0000B4030000}"/>
    <cellStyle name="40% - 강조색3 77" xfId="1073" xr:uid="{00000000-0005-0000-0000-0000B5030000}"/>
    <cellStyle name="40% - 강조색3 78" xfId="1074" xr:uid="{00000000-0005-0000-0000-0000B6030000}"/>
    <cellStyle name="40% - 강조색3 79" xfId="1075" xr:uid="{00000000-0005-0000-0000-0000B7030000}"/>
    <cellStyle name="40% - 강조색3 8" xfId="1076" xr:uid="{00000000-0005-0000-0000-0000B8030000}"/>
    <cellStyle name="40% - 강조색3 80" xfId="1077" xr:uid="{00000000-0005-0000-0000-0000B9030000}"/>
    <cellStyle name="40% - 강조색3 81" xfId="1078" xr:uid="{00000000-0005-0000-0000-0000BA030000}"/>
    <cellStyle name="40% - 강조색3 82" xfId="1079" xr:uid="{00000000-0005-0000-0000-0000BB030000}"/>
    <cellStyle name="40% - 강조색3 83" xfId="1080" xr:uid="{00000000-0005-0000-0000-0000BC030000}"/>
    <cellStyle name="40% - 강조색3 84" xfId="1081" xr:uid="{00000000-0005-0000-0000-0000BD030000}"/>
    <cellStyle name="40% - 강조색3 85" xfId="1082" xr:uid="{00000000-0005-0000-0000-0000BE030000}"/>
    <cellStyle name="40% - 강조색3 86" xfId="1083" xr:uid="{00000000-0005-0000-0000-0000BF030000}"/>
    <cellStyle name="40% - 강조색3 87" xfId="1084" xr:uid="{00000000-0005-0000-0000-0000C0030000}"/>
    <cellStyle name="40% - 강조색3 88" xfId="1085" xr:uid="{00000000-0005-0000-0000-0000C1030000}"/>
    <cellStyle name="40% - 강조색3 89" xfId="1086" xr:uid="{00000000-0005-0000-0000-0000C2030000}"/>
    <cellStyle name="40% - 강조색3 9" xfId="1087" xr:uid="{00000000-0005-0000-0000-0000C3030000}"/>
    <cellStyle name="40% - 강조색3 90" xfId="1088" xr:uid="{00000000-0005-0000-0000-0000C4030000}"/>
    <cellStyle name="40% - 강조색3 91" xfId="1089" xr:uid="{00000000-0005-0000-0000-0000C5030000}"/>
    <cellStyle name="40% - 강조색3 92" xfId="1090" xr:uid="{00000000-0005-0000-0000-0000C6030000}"/>
    <cellStyle name="40% - 강조색3 93" xfId="1091" xr:uid="{00000000-0005-0000-0000-0000C7030000}"/>
    <cellStyle name="40% - 강조색3 94" xfId="1092" xr:uid="{00000000-0005-0000-0000-0000C8030000}"/>
    <cellStyle name="40% - 강조색3 95" xfId="1093" xr:uid="{00000000-0005-0000-0000-0000C9030000}"/>
    <cellStyle name="40% - 강조색3 96" xfId="1094" xr:uid="{00000000-0005-0000-0000-0000CA030000}"/>
    <cellStyle name="40% - 강조색3 97" xfId="1095" xr:uid="{00000000-0005-0000-0000-0000CB030000}"/>
    <cellStyle name="40% - 강조색3 98" xfId="1096" xr:uid="{00000000-0005-0000-0000-0000CC030000}"/>
    <cellStyle name="40% - 강조색3 99" xfId="1097" xr:uid="{00000000-0005-0000-0000-0000CD030000}"/>
    <cellStyle name="40% - 강조색4 10" xfId="1098" xr:uid="{00000000-0005-0000-0000-0000CE030000}"/>
    <cellStyle name="40% - 강조색4 100" xfId="1099" xr:uid="{00000000-0005-0000-0000-0000CF030000}"/>
    <cellStyle name="40% - 강조색4 101" xfId="1100" xr:uid="{00000000-0005-0000-0000-0000D0030000}"/>
    <cellStyle name="40% - 강조색4 102" xfId="1101" xr:uid="{00000000-0005-0000-0000-0000D1030000}"/>
    <cellStyle name="40% - 강조색4 103" xfId="1102" xr:uid="{00000000-0005-0000-0000-0000D2030000}"/>
    <cellStyle name="40% - 강조색4 104" xfId="1103" xr:uid="{00000000-0005-0000-0000-0000D3030000}"/>
    <cellStyle name="40% - 강조색4 105" xfId="1104" xr:uid="{00000000-0005-0000-0000-0000D4030000}"/>
    <cellStyle name="40% - 강조색4 106" xfId="1105" xr:uid="{00000000-0005-0000-0000-0000D5030000}"/>
    <cellStyle name="40% - 강조색4 107" xfId="1106" xr:uid="{00000000-0005-0000-0000-0000D6030000}"/>
    <cellStyle name="40% - 강조색4 11" xfId="1107" xr:uid="{00000000-0005-0000-0000-0000D7030000}"/>
    <cellStyle name="40% - 강조색4 12" xfId="1108" xr:uid="{00000000-0005-0000-0000-0000D8030000}"/>
    <cellStyle name="40% - 강조색4 13" xfId="1109" xr:uid="{00000000-0005-0000-0000-0000D9030000}"/>
    <cellStyle name="40% - 강조색4 14" xfId="1110" xr:uid="{00000000-0005-0000-0000-0000DA030000}"/>
    <cellStyle name="40% - 강조색4 15" xfId="1111" xr:uid="{00000000-0005-0000-0000-0000DB030000}"/>
    <cellStyle name="40% - 강조색4 16" xfId="1112" xr:uid="{00000000-0005-0000-0000-0000DC030000}"/>
    <cellStyle name="40% - 강조색4 17" xfId="1113" xr:uid="{00000000-0005-0000-0000-0000DD030000}"/>
    <cellStyle name="40% - 강조색4 18" xfId="1114" xr:uid="{00000000-0005-0000-0000-0000DE030000}"/>
    <cellStyle name="40% - 강조색4 19" xfId="1115" xr:uid="{00000000-0005-0000-0000-0000DF030000}"/>
    <cellStyle name="40% - 강조색4 2" xfId="1116" xr:uid="{00000000-0005-0000-0000-0000E0030000}"/>
    <cellStyle name="40% - 강조색4 20" xfId="1117" xr:uid="{00000000-0005-0000-0000-0000E1030000}"/>
    <cellStyle name="40% - 강조색4 21" xfId="1118" xr:uid="{00000000-0005-0000-0000-0000E2030000}"/>
    <cellStyle name="40% - 강조색4 22" xfId="1119" xr:uid="{00000000-0005-0000-0000-0000E3030000}"/>
    <cellStyle name="40% - 강조색4 23" xfId="1120" xr:uid="{00000000-0005-0000-0000-0000E4030000}"/>
    <cellStyle name="40% - 강조색4 24" xfId="1121" xr:uid="{00000000-0005-0000-0000-0000E5030000}"/>
    <cellStyle name="40% - 강조색4 25" xfId="1122" xr:uid="{00000000-0005-0000-0000-0000E6030000}"/>
    <cellStyle name="40% - 강조색4 26" xfId="1123" xr:uid="{00000000-0005-0000-0000-0000E7030000}"/>
    <cellStyle name="40% - 강조색4 27" xfId="1124" xr:uid="{00000000-0005-0000-0000-0000E8030000}"/>
    <cellStyle name="40% - 강조색4 28" xfId="1125" xr:uid="{00000000-0005-0000-0000-0000E9030000}"/>
    <cellStyle name="40% - 강조색4 29" xfId="1126" xr:uid="{00000000-0005-0000-0000-0000EA030000}"/>
    <cellStyle name="40% - 강조색4 3" xfId="1127" xr:uid="{00000000-0005-0000-0000-0000EB030000}"/>
    <cellStyle name="40% - 강조색4 30" xfId="1128" xr:uid="{00000000-0005-0000-0000-0000EC030000}"/>
    <cellStyle name="40% - 강조색4 31" xfId="1129" xr:uid="{00000000-0005-0000-0000-0000ED030000}"/>
    <cellStyle name="40% - 강조색4 32" xfId="1130" xr:uid="{00000000-0005-0000-0000-0000EE030000}"/>
    <cellStyle name="40% - 강조색4 33" xfId="1131" xr:uid="{00000000-0005-0000-0000-0000EF030000}"/>
    <cellStyle name="40% - 강조색4 34" xfId="1132" xr:uid="{00000000-0005-0000-0000-0000F0030000}"/>
    <cellStyle name="40% - 강조색4 35" xfId="1133" xr:uid="{00000000-0005-0000-0000-0000F1030000}"/>
    <cellStyle name="40% - 강조색4 36" xfId="1134" xr:uid="{00000000-0005-0000-0000-0000F2030000}"/>
    <cellStyle name="40% - 강조색4 37" xfId="1135" xr:uid="{00000000-0005-0000-0000-0000F3030000}"/>
    <cellStyle name="40% - 강조색4 38" xfId="1136" xr:uid="{00000000-0005-0000-0000-0000F4030000}"/>
    <cellStyle name="40% - 강조색4 39" xfId="1137" xr:uid="{00000000-0005-0000-0000-0000F5030000}"/>
    <cellStyle name="40% - 강조색4 4" xfId="1138" xr:uid="{00000000-0005-0000-0000-0000F6030000}"/>
    <cellStyle name="40% - 강조색4 40" xfId="1139" xr:uid="{00000000-0005-0000-0000-0000F7030000}"/>
    <cellStyle name="40% - 강조색4 41" xfId="1140" xr:uid="{00000000-0005-0000-0000-0000F8030000}"/>
    <cellStyle name="40% - 강조색4 42" xfId="1141" xr:uid="{00000000-0005-0000-0000-0000F9030000}"/>
    <cellStyle name="40% - 강조색4 43" xfId="1142" xr:uid="{00000000-0005-0000-0000-0000FA030000}"/>
    <cellStyle name="40% - 강조색4 44" xfId="1143" xr:uid="{00000000-0005-0000-0000-0000FB030000}"/>
    <cellStyle name="40% - 강조색4 45" xfId="1144" xr:uid="{00000000-0005-0000-0000-0000FC030000}"/>
    <cellStyle name="40% - 강조색4 46" xfId="1145" xr:uid="{00000000-0005-0000-0000-0000FD030000}"/>
    <cellStyle name="40% - 강조색4 47" xfId="1146" xr:uid="{00000000-0005-0000-0000-0000FE030000}"/>
    <cellStyle name="40% - 강조색4 48" xfId="1147" xr:uid="{00000000-0005-0000-0000-0000FF030000}"/>
    <cellStyle name="40% - 강조색4 49" xfId="1148" xr:uid="{00000000-0005-0000-0000-000000040000}"/>
    <cellStyle name="40% - 강조색4 5" xfId="1149" xr:uid="{00000000-0005-0000-0000-000001040000}"/>
    <cellStyle name="40% - 강조색4 50" xfId="1150" xr:uid="{00000000-0005-0000-0000-000002040000}"/>
    <cellStyle name="40% - 강조색4 51" xfId="1151" xr:uid="{00000000-0005-0000-0000-000003040000}"/>
    <cellStyle name="40% - 강조색4 52" xfId="1152" xr:uid="{00000000-0005-0000-0000-000004040000}"/>
    <cellStyle name="40% - 강조색4 53" xfId="1153" xr:uid="{00000000-0005-0000-0000-000005040000}"/>
    <cellStyle name="40% - 강조색4 54" xfId="1154" xr:uid="{00000000-0005-0000-0000-000006040000}"/>
    <cellStyle name="40% - 강조색4 55" xfId="1155" xr:uid="{00000000-0005-0000-0000-000007040000}"/>
    <cellStyle name="40% - 강조색4 56" xfId="1156" xr:uid="{00000000-0005-0000-0000-000008040000}"/>
    <cellStyle name="40% - 강조색4 57" xfId="1157" xr:uid="{00000000-0005-0000-0000-000009040000}"/>
    <cellStyle name="40% - 강조색4 58" xfId="1158" xr:uid="{00000000-0005-0000-0000-00000A040000}"/>
    <cellStyle name="40% - 강조색4 59" xfId="1159" xr:uid="{00000000-0005-0000-0000-00000B040000}"/>
    <cellStyle name="40% - 강조색4 6" xfId="1160" xr:uid="{00000000-0005-0000-0000-00000C040000}"/>
    <cellStyle name="40% - 강조색4 60" xfId="1161" xr:uid="{00000000-0005-0000-0000-00000D040000}"/>
    <cellStyle name="40% - 강조색4 61" xfId="1162" xr:uid="{00000000-0005-0000-0000-00000E040000}"/>
    <cellStyle name="40% - 강조색4 62" xfId="1163" xr:uid="{00000000-0005-0000-0000-00000F040000}"/>
    <cellStyle name="40% - 강조색4 63" xfId="1164" xr:uid="{00000000-0005-0000-0000-000010040000}"/>
    <cellStyle name="40% - 강조색4 64" xfId="1165" xr:uid="{00000000-0005-0000-0000-000011040000}"/>
    <cellStyle name="40% - 강조색4 65" xfId="1166" xr:uid="{00000000-0005-0000-0000-000012040000}"/>
    <cellStyle name="40% - 강조색4 66" xfId="1167" xr:uid="{00000000-0005-0000-0000-000013040000}"/>
    <cellStyle name="40% - 강조색4 67" xfId="1168" xr:uid="{00000000-0005-0000-0000-000014040000}"/>
    <cellStyle name="40% - 강조색4 68" xfId="1169" xr:uid="{00000000-0005-0000-0000-000015040000}"/>
    <cellStyle name="40% - 강조색4 69" xfId="1170" xr:uid="{00000000-0005-0000-0000-000016040000}"/>
    <cellStyle name="40% - 강조색4 7" xfId="1171" xr:uid="{00000000-0005-0000-0000-000017040000}"/>
    <cellStyle name="40% - 강조색4 70" xfId="1172" xr:uid="{00000000-0005-0000-0000-000018040000}"/>
    <cellStyle name="40% - 강조색4 71" xfId="1173" xr:uid="{00000000-0005-0000-0000-000019040000}"/>
    <cellStyle name="40% - 강조색4 72" xfId="1174" xr:uid="{00000000-0005-0000-0000-00001A040000}"/>
    <cellStyle name="40% - 강조색4 73" xfId="1175" xr:uid="{00000000-0005-0000-0000-00001B040000}"/>
    <cellStyle name="40% - 강조색4 74" xfId="1176" xr:uid="{00000000-0005-0000-0000-00001C040000}"/>
    <cellStyle name="40% - 강조색4 75" xfId="1177" xr:uid="{00000000-0005-0000-0000-00001D040000}"/>
    <cellStyle name="40% - 강조색4 76" xfId="1178" xr:uid="{00000000-0005-0000-0000-00001E040000}"/>
    <cellStyle name="40% - 강조색4 77" xfId="1179" xr:uid="{00000000-0005-0000-0000-00001F040000}"/>
    <cellStyle name="40% - 강조색4 78" xfId="1180" xr:uid="{00000000-0005-0000-0000-000020040000}"/>
    <cellStyle name="40% - 강조색4 79" xfId="1181" xr:uid="{00000000-0005-0000-0000-000021040000}"/>
    <cellStyle name="40% - 강조색4 8" xfId="1182" xr:uid="{00000000-0005-0000-0000-000022040000}"/>
    <cellStyle name="40% - 강조색4 80" xfId="1183" xr:uid="{00000000-0005-0000-0000-000023040000}"/>
    <cellStyle name="40% - 강조색4 81" xfId="1184" xr:uid="{00000000-0005-0000-0000-000024040000}"/>
    <cellStyle name="40% - 강조색4 82" xfId="1185" xr:uid="{00000000-0005-0000-0000-000025040000}"/>
    <cellStyle name="40% - 강조색4 83" xfId="1186" xr:uid="{00000000-0005-0000-0000-000026040000}"/>
    <cellStyle name="40% - 강조색4 84" xfId="1187" xr:uid="{00000000-0005-0000-0000-000027040000}"/>
    <cellStyle name="40% - 강조색4 85" xfId="1188" xr:uid="{00000000-0005-0000-0000-000028040000}"/>
    <cellStyle name="40% - 강조색4 86" xfId="1189" xr:uid="{00000000-0005-0000-0000-000029040000}"/>
    <cellStyle name="40% - 강조색4 87" xfId="1190" xr:uid="{00000000-0005-0000-0000-00002A040000}"/>
    <cellStyle name="40% - 강조색4 88" xfId="1191" xr:uid="{00000000-0005-0000-0000-00002B040000}"/>
    <cellStyle name="40% - 강조색4 89" xfId="1192" xr:uid="{00000000-0005-0000-0000-00002C040000}"/>
    <cellStyle name="40% - 강조색4 9" xfId="1193" xr:uid="{00000000-0005-0000-0000-00002D040000}"/>
    <cellStyle name="40% - 강조색4 90" xfId="1194" xr:uid="{00000000-0005-0000-0000-00002E040000}"/>
    <cellStyle name="40% - 강조색4 91" xfId="1195" xr:uid="{00000000-0005-0000-0000-00002F040000}"/>
    <cellStyle name="40% - 강조색4 92" xfId="1196" xr:uid="{00000000-0005-0000-0000-000030040000}"/>
    <cellStyle name="40% - 강조색4 93" xfId="1197" xr:uid="{00000000-0005-0000-0000-000031040000}"/>
    <cellStyle name="40% - 강조색4 94" xfId="1198" xr:uid="{00000000-0005-0000-0000-000032040000}"/>
    <cellStyle name="40% - 강조색4 95" xfId="1199" xr:uid="{00000000-0005-0000-0000-000033040000}"/>
    <cellStyle name="40% - 강조색4 96" xfId="1200" xr:uid="{00000000-0005-0000-0000-000034040000}"/>
    <cellStyle name="40% - 강조색4 97" xfId="1201" xr:uid="{00000000-0005-0000-0000-000035040000}"/>
    <cellStyle name="40% - 강조색4 98" xfId="1202" xr:uid="{00000000-0005-0000-0000-000036040000}"/>
    <cellStyle name="40% - 강조색4 99" xfId="1203" xr:uid="{00000000-0005-0000-0000-000037040000}"/>
    <cellStyle name="40% - 강조색5 10" xfId="1204" xr:uid="{00000000-0005-0000-0000-000038040000}"/>
    <cellStyle name="40% - 강조색5 100" xfId="1205" xr:uid="{00000000-0005-0000-0000-000039040000}"/>
    <cellStyle name="40% - 강조색5 101" xfId="1206" xr:uid="{00000000-0005-0000-0000-00003A040000}"/>
    <cellStyle name="40% - 강조색5 102" xfId="1207" xr:uid="{00000000-0005-0000-0000-00003B040000}"/>
    <cellStyle name="40% - 강조색5 103" xfId="1208" xr:uid="{00000000-0005-0000-0000-00003C040000}"/>
    <cellStyle name="40% - 강조색5 104" xfId="1209" xr:uid="{00000000-0005-0000-0000-00003D040000}"/>
    <cellStyle name="40% - 강조색5 105" xfId="1210" xr:uid="{00000000-0005-0000-0000-00003E040000}"/>
    <cellStyle name="40% - 강조색5 106" xfId="1211" xr:uid="{00000000-0005-0000-0000-00003F040000}"/>
    <cellStyle name="40% - 강조색5 107" xfId="1212" xr:uid="{00000000-0005-0000-0000-000040040000}"/>
    <cellStyle name="40% - 강조색5 11" xfId="1213" xr:uid="{00000000-0005-0000-0000-000041040000}"/>
    <cellStyle name="40% - 강조색5 12" xfId="1214" xr:uid="{00000000-0005-0000-0000-000042040000}"/>
    <cellStyle name="40% - 강조색5 13" xfId="1215" xr:uid="{00000000-0005-0000-0000-000043040000}"/>
    <cellStyle name="40% - 강조색5 14" xfId="1216" xr:uid="{00000000-0005-0000-0000-000044040000}"/>
    <cellStyle name="40% - 강조색5 15" xfId="1217" xr:uid="{00000000-0005-0000-0000-000045040000}"/>
    <cellStyle name="40% - 강조색5 16" xfId="1218" xr:uid="{00000000-0005-0000-0000-000046040000}"/>
    <cellStyle name="40% - 강조색5 17" xfId="1219" xr:uid="{00000000-0005-0000-0000-000047040000}"/>
    <cellStyle name="40% - 강조색5 18" xfId="1220" xr:uid="{00000000-0005-0000-0000-000048040000}"/>
    <cellStyle name="40% - 강조색5 19" xfId="1221" xr:uid="{00000000-0005-0000-0000-000049040000}"/>
    <cellStyle name="40% - 강조색5 2" xfId="1222" xr:uid="{00000000-0005-0000-0000-00004A040000}"/>
    <cellStyle name="40% - 강조색5 20" xfId="1223" xr:uid="{00000000-0005-0000-0000-00004B040000}"/>
    <cellStyle name="40% - 강조색5 21" xfId="1224" xr:uid="{00000000-0005-0000-0000-00004C040000}"/>
    <cellStyle name="40% - 강조색5 22" xfId="1225" xr:uid="{00000000-0005-0000-0000-00004D040000}"/>
    <cellStyle name="40% - 강조색5 23" xfId="1226" xr:uid="{00000000-0005-0000-0000-00004E040000}"/>
    <cellStyle name="40% - 강조색5 24" xfId="1227" xr:uid="{00000000-0005-0000-0000-00004F040000}"/>
    <cellStyle name="40% - 강조색5 25" xfId="1228" xr:uid="{00000000-0005-0000-0000-000050040000}"/>
    <cellStyle name="40% - 강조색5 26" xfId="1229" xr:uid="{00000000-0005-0000-0000-000051040000}"/>
    <cellStyle name="40% - 강조색5 27" xfId="1230" xr:uid="{00000000-0005-0000-0000-000052040000}"/>
    <cellStyle name="40% - 강조색5 28" xfId="1231" xr:uid="{00000000-0005-0000-0000-000053040000}"/>
    <cellStyle name="40% - 강조색5 29" xfId="1232" xr:uid="{00000000-0005-0000-0000-000054040000}"/>
    <cellStyle name="40% - 강조색5 3" xfId="1233" xr:uid="{00000000-0005-0000-0000-000055040000}"/>
    <cellStyle name="40% - 강조색5 30" xfId="1234" xr:uid="{00000000-0005-0000-0000-000056040000}"/>
    <cellStyle name="40% - 강조색5 31" xfId="1235" xr:uid="{00000000-0005-0000-0000-000057040000}"/>
    <cellStyle name="40% - 강조색5 32" xfId="1236" xr:uid="{00000000-0005-0000-0000-000058040000}"/>
    <cellStyle name="40% - 강조색5 33" xfId="1237" xr:uid="{00000000-0005-0000-0000-000059040000}"/>
    <cellStyle name="40% - 강조색5 34" xfId="1238" xr:uid="{00000000-0005-0000-0000-00005A040000}"/>
    <cellStyle name="40% - 강조색5 35" xfId="1239" xr:uid="{00000000-0005-0000-0000-00005B040000}"/>
    <cellStyle name="40% - 강조색5 36" xfId="1240" xr:uid="{00000000-0005-0000-0000-00005C040000}"/>
    <cellStyle name="40% - 강조색5 37" xfId="1241" xr:uid="{00000000-0005-0000-0000-00005D040000}"/>
    <cellStyle name="40% - 강조색5 38" xfId="1242" xr:uid="{00000000-0005-0000-0000-00005E040000}"/>
    <cellStyle name="40% - 강조색5 39" xfId="1243" xr:uid="{00000000-0005-0000-0000-00005F040000}"/>
    <cellStyle name="40% - 강조색5 4" xfId="1244" xr:uid="{00000000-0005-0000-0000-000060040000}"/>
    <cellStyle name="40% - 강조색5 40" xfId="1245" xr:uid="{00000000-0005-0000-0000-000061040000}"/>
    <cellStyle name="40% - 강조색5 41" xfId="1246" xr:uid="{00000000-0005-0000-0000-000062040000}"/>
    <cellStyle name="40% - 강조색5 42" xfId="1247" xr:uid="{00000000-0005-0000-0000-000063040000}"/>
    <cellStyle name="40% - 강조색5 43" xfId="1248" xr:uid="{00000000-0005-0000-0000-000064040000}"/>
    <cellStyle name="40% - 강조색5 44" xfId="1249" xr:uid="{00000000-0005-0000-0000-000065040000}"/>
    <cellStyle name="40% - 강조색5 45" xfId="1250" xr:uid="{00000000-0005-0000-0000-000066040000}"/>
    <cellStyle name="40% - 강조색5 46" xfId="1251" xr:uid="{00000000-0005-0000-0000-000067040000}"/>
    <cellStyle name="40% - 강조색5 47" xfId="1252" xr:uid="{00000000-0005-0000-0000-000068040000}"/>
    <cellStyle name="40% - 강조색5 48" xfId="1253" xr:uid="{00000000-0005-0000-0000-000069040000}"/>
    <cellStyle name="40% - 강조색5 49" xfId="1254" xr:uid="{00000000-0005-0000-0000-00006A040000}"/>
    <cellStyle name="40% - 강조색5 5" xfId="1255" xr:uid="{00000000-0005-0000-0000-00006B040000}"/>
    <cellStyle name="40% - 강조색5 50" xfId="1256" xr:uid="{00000000-0005-0000-0000-00006C040000}"/>
    <cellStyle name="40% - 강조색5 51" xfId="1257" xr:uid="{00000000-0005-0000-0000-00006D040000}"/>
    <cellStyle name="40% - 강조색5 52" xfId="1258" xr:uid="{00000000-0005-0000-0000-00006E040000}"/>
    <cellStyle name="40% - 강조색5 53" xfId="1259" xr:uid="{00000000-0005-0000-0000-00006F040000}"/>
    <cellStyle name="40% - 강조색5 54" xfId="1260" xr:uid="{00000000-0005-0000-0000-000070040000}"/>
    <cellStyle name="40% - 강조색5 55" xfId="1261" xr:uid="{00000000-0005-0000-0000-000071040000}"/>
    <cellStyle name="40% - 강조색5 56" xfId="1262" xr:uid="{00000000-0005-0000-0000-000072040000}"/>
    <cellStyle name="40% - 강조색5 57" xfId="1263" xr:uid="{00000000-0005-0000-0000-000073040000}"/>
    <cellStyle name="40% - 강조색5 58" xfId="1264" xr:uid="{00000000-0005-0000-0000-000074040000}"/>
    <cellStyle name="40% - 강조색5 59" xfId="1265" xr:uid="{00000000-0005-0000-0000-000075040000}"/>
    <cellStyle name="40% - 강조색5 6" xfId="1266" xr:uid="{00000000-0005-0000-0000-000076040000}"/>
    <cellStyle name="40% - 강조색5 60" xfId="1267" xr:uid="{00000000-0005-0000-0000-000077040000}"/>
    <cellStyle name="40% - 강조색5 61" xfId="1268" xr:uid="{00000000-0005-0000-0000-000078040000}"/>
    <cellStyle name="40% - 강조색5 62" xfId="1269" xr:uid="{00000000-0005-0000-0000-000079040000}"/>
    <cellStyle name="40% - 강조색5 63" xfId="1270" xr:uid="{00000000-0005-0000-0000-00007A040000}"/>
    <cellStyle name="40% - 강조색5 64" xfId="1271" xr:uid="{00000000-0005-0000-0000-00007B040000}"/>
    <cellStyle name="40% - 강조색5 65" xfId="1272" xr:uid="{00000000-0005-0000-0000-00007C040000}"/>
    <cellStyle name="40% - 강조색5 66" xfId="1273" xr:uid="{00000000-0005-0000-0000-00007D040000}"/>
    <cellStyle name="40% - 강조색5 67" xfId="1274" xr:uid="{00000000-0005-0000-0000-00007E040000}"/>
    <cellStyle name="40% - 강조색5 68" xfId="1275" xr:uid="{00000000-0005-0000-0000-00007F040000}"/>
    <cellStyle name="40% - 강조색5 69" xfId="1276" xr:uid="{00000000-0005-0000-0000-000080040000}"/>
    <cellStyle name="40% - 강조색5 7" xfId="1277" xr:uid="{00000000-0005-0000-0000-000081040000}"/>
    <cellStyle name="40% - 강조색5 70" xfId="1278" xr:uid="{00000000-0005-0000-0000-000082040000}"/>
    <cellStyle name="40% - 강조색5 71" xfId="1279" xr:uid="{00000000-0005-0000-0000-000083040000}"/>
    <cellStyle name="40% - 강조색5 72" xfId="1280" xr:uid="{00000000-0005-0000-0000-000084040000}"/>
    <cellStyle name="40% - 강조색5 73" xfId="1281" xr:uid="{00000000-0005-0000-0000-000085040000}"/>
    <cellStyle name="40% - 강조색5 74" xfId="1282" xr:uid="{00000000-0005-0000-0000-000086040000}"/>
    <cellStyle name="40% - 강조색5 75" xfId="1283" xr:uid="{00000000-0005-0000-0000-000087040000}"/>
    <cellStyle name="40% - 강조색5 76" xfId="1284" xr:uid="{00000000-0005-0000-0000-000088040000}"/>
    <cellStyle name="40% - 강조색5 77" xfId="1285" xr:uid="{00000000-0005-0000-0000-000089040000}"/>
    <cellStyle name="40% - 강조색5 78" xfId="1286" xr:uid="{00000000-0005-0000-0000-00008A040000}"/>
    <cellStyle name="40% - 강조색5 79" xfId="1287" xr:uid="{00000000-0005-0000-0000-00008B040000}"/>
    <cellStyle name="40% - 강조색5 8" xfId="1288" xr:uid="{00000000-0005-0000-0000-00008C040000}"/>
    <cellStyle name="40% - 강조색5 80" xfId="1289" xr:uid="{00000000-0005-0000-0000-00008D040000}"/>
    <cellStyle name="40% - 강조색5 81" xfId="1290" xr:uid="{00000000-0005-0000-0000-00008E040000}"/>
    <cellStyle name="40% - 강조색5 82" xfId="1291" xr:uid="{00000000-0005-0000-0000-00008F040000}"/>
    <cellStyle name="40% - 강조색5 83" xfId="1292" xr:uid="{00000000-0005-0000-0000-000090040000}"/>
    <cellStyle name="40% - 강조색5 84" xfId="1293" xr:uid="{00000000-0005-0000-0000-000091040000}"/>
    <cellStyle name="40% - 강조색5 85" xfId="1294" xr:uid="{00000000-0005-0000-0000-000092040000}"/>
    <cellStyle name="40% - 강조색5 86" xfId="1295" xr:uid="{00000000-0005-0000-0000-000093040000}"/>
    <cellStyle name="40% - 강조색5 87" xfId="1296" xr:uid="{00000000-0005-0000-0000-000094040000}"/>
    <cellStyle name="40% - 강조색5 88" xfId="1297" xr:uid="{00000000-0005-0000-0000-000095040000}"/>
    <cellStyle name="40% - 강조색5 89" xfId="1298" xr:uid="{00000000-0005-0000-0000-000096040000}"/>
    <cellStyle name="40% - 강조색5 9" xfId="1299" xr:uid="{00000000-0005-0000-0000-000097040000}"/>
    <cellStyle name="40% - 강조색5 90" xfId="1300" xr:uid="{00000000-0005-0000-0000-000098040000}"/>
    <cellStyle name="40% - 강조색5 91" xfId="1301" xr:uid="{00000000-0005-0000-0000-000099040000}"/>
    <cellStyle name="40% - 강조색5 92" xfId="1302" xr:uid="{00000000-0005-0000-0000-00009A040000}"/>
    <cellStyle name="40% - 강조색5 93" xfId="1303" xr:uid="{00000000-0005-0000-0000-00009B040000}"/>
    <cellStyle name="40% - 강조색5 94" xfId="1304" xr:uid="{00000000-0005-0000-0000-00009C040000}"/>
    <cellStyle name="40% - 강조색5 95" xfId="1305" xr:uid="{00000000-0005-0000-0000-00009D040000}"/>
    <cellStyle name="40% - 강조색5 96" xfId="1306" xr:uid="{00000000-0005-0000-0000-00009E040000}"/>
    <cellStyle name="40% - 강조색5 97" xfId="1307" xr:uid="{00000000-0005-0000-0000-00009F040000}"/>
    <cellStyle name="40% - 강조색5 98" xfId="1308" xr:uid="{00000000-0005-0000-0000-0000A0040000}"/>
    <cellStyle name="40% - 강조색5 99" xfId="1309" xr:uid="{00000000-0005-0000-0000-0000A1040000}"/>
    <cellStyle name="40% - 강조색6 10" xfId="1310" xr:uid="{00000000-0005-0000-0000-0000A2040000}"/>
    <cellStyle name="40% - 강조색6 100" xfId="1311" xr:uid="{00000000-0005-0000-0000-0000A3040000}"/>
    <cellStyle name="40% - 강조색6 101" xfId="1312" xr:uid="{00000000-0005-0000-0000-0000A4040000}"/>
    <cellStyle name="40% - 강조색6 102" xfId="1313" xr:uid="{00000000-0005-0000-0000-0000A5040000}"/>
    <cellStyle name="40% - 강조색6 103" xfId="1314" xr:uid="{00000000-0005-0000-0000-0000A6040000}"/>
    <cellStyle name="40% - 강조색6 104" xfId="1315" xr:uid="{00000000-0005-0000-0000-0000A7040000}"/>
    <cellStyle name="40% - 강조색6 105" xfId="1316" xr:uid="{00000000-0005-0000-0000-0000A8040000}"/>
    <cellStyle name="40% - 강조색6 106" xfId="1317" xr:uid="{00000000-0005-0000-0000-0000A9040000}"/>
    <cellStyle name="40% - 강조색6 107" xfId="1318" xr:uid="{00000000-0005-0000-0000-0000AA040000}"/>
    <cellStyle name="40% - 강조색6 11" xfId="1319" xr:uid="{00000000-0005-0000-0000-0000AB040000}"/>
    <cellStyle name="40% - 강조색6 12" xfId="1320" xr:uid="{00000000-0005-0000-0000-0000AC040000}"/>
    <cellStyle name="40% - 강조색6 13" xfId="1321" xr:uid="{00000000-0005-0000-0000-0000AD040000}"/>
    <cellStyle name="40% - 강조색6 14" xfId="1322" xr:uid="{00000000-0005-0000-0000-0000AE040000}"/>
    <cellStyle name="40% - 강조색6 15" xfId="1323" xr:uid="{00000000-0005-0000-0000-0000AF040000}"/>
    <cellStyle name="40% - 강조색6 16" xfId="1324" xr:uid="{00000000-0005-0000-0000-0000B0040000}"/>
    <cellStyle name="40% - 강조색6 17" xfId="1325" xr:uid="{00000000-0005-0000-0000-0000B1040000}"/>
    <cellStyle name="40% - 강조색6 18" xfId="1326" xr:uid="{00000000-0005-0000-0000-0000B2040000}"/>
    <cellStyle name="40% - 강조색6 19" xfId="1327" xr:uid="{00000000-0005-0000-0000-0000B3040000}"/>
    <cellStyle name="40% - 강조색6 2" xfId="1328" xr:uid="{00000000-0005-0000-0000-0000B4040000}"/>
    <cellStyle name="40% - 강조색6 20" xfId="1329" xr:uid="{00000000-0005-0000-0000-0000B5040000}"/>
    <cellStyle name="40% - 강조색6 21" xfId="1330" xr:uid="{00000000-0005-0000-0000-0000B6040000}"/>
    <cellStyle name="40% - 강조색6 22" xfId="1331" xr:uid="{00000000-0005-0000-0000-0000B7040000}"/>
    <cellStyle name="40% - 강조색6 23" xfId="1332" xr:uid="{00000000-0005-0000-0000-0000B8040000}"/>
    <cellStyle name="40% - 강조색6 24" xfId="1333" xr:uid="{00000000-0005-0000-0000-0000B9040000}"/>
    <cellStyle name="40% - 강조색6 25" xfId="1334" xr:uid="{00000000-0005-0000-0000-0000BA040000}"/>
    <cellStyle name="40% - 강조색6 26" xfId="1335" xr:uid="{00000000-0005-0000-0000-0000BB040000}"/>
    <cellStyle name="40% - 강조색6 27" xfId="1336" xr:uid="{00000000-0005-0000-0000-0000BC040000}"/>
    <cellStyle name="40% - 강조색6 28" xfId="1337" xr:uid="{00000000-0005-0000-0000-0000BD040000}"/>
    <cellStyle name="40% - 강조색6 29" xfId="1338" xr:uid="{00000000-0005-0000-0000-0000BE040000}"/>
    <cellStyle name="40% - 강조색6 3" xfId="1339" xr:uid="{00000000-0005-0000-0000-0000BF040000}"/>
    <cellStyle name="40% - 강조색6 30" xfId="1340" xr:uid="{00000000-0005-0000-0000-0000C0040000}"/>
    <cellStyle name="40% - 강조색6 31" xfId="1341" xr:uid="{00000000-0005-0000-0000-0000C1040000}"/>
    <cellStyle name="40% - 강조색6 32" xfId="1342" xr:uid="{00000000-0005-0000-0000-0000C2040000}"/>
    <cellStyle name="40% - 강조색6 33" xfId="1343" xr:uid="{00000000-0005-0000-0000-0000C3040000}"/>
    <cellStyle name="40% - 강조색6 34" xfId="1344" xr:uid="{00000000-0005-0000-0000-0000C4040000}"/>
    <cellStyle name="40% - 강조색6 35" xfId="1345" xr:uid="{00000000-0005-0000-0000-0000C5040000}"/>
    <cellStyle name="40% - 강조색6 36" xfId="1346" xr:uid="{00000000-0005-0000-0000-0000C6040000}"/>
    <cellStyle name="40% - 강조색6 37" xfId="1347" xr:uid="{00000000-0005-0000-0000-0000C7040000}"/>
    <cellStyle name="40% - 강조색6 38" xfId="1348" xr:uid="{00000000-0005-0000-0000-0000C8040000}"/>
    <cellStyle name="40% - 강조색6 39" xfId="1349" xr:uid="{00000000-0005-0000-0000-0000C9040000}"/>
    <cellStyle name="40% - 강조색6 4" xfId="1350" xr:uid="{00000000-0005-0000-0000-0000CA040000}"/>
    <cellStyle name="40% - 강조색6 40" xfId="1351" xr:uid="{00000000-0005-0000-0000-0000CB040000}"/>
    <cellStyle name="40% - 강조색6 41" xfId="1352" xr:uid="{00000000-0005-0000-0000-0000CC040000}"/>
    <cellStyle name="40% - 강조색6 42" xfId="1353" xr:uid="{00000000-0005-0000-0000-0000CD040000}"/>
    <cellStyle name="40% - 강조색6 43" xfId="1354" xr:uid="{00000000-0005-0000-0000-0000CE040000}"/>
    <cellStyle name="40% - 강조색6 44" xfId="1355" xr:uid="{00000000-0005-0000-0000-0000CF040000}"/>
    <cellStyle name="40% - 강조색6 45" xfId="1356" xr:uid="{00000000-0005-0000-0000-0000D0040000}"/>
    <cellStyle name="40% - 강조색6 46" xfId="1357" xr:uid="{00000000-0005-0000-0000-0000D1040000}"/>
    <cellStyle name="40% - 강조색6 47" xfId="1358" xr:uid="{00000000-0005-0000-0000-0000D2040000}"/>
    <cellStyle name="40% - 강조색6 48" xfId="1359" xr:uid="{00000000-0005-0000-0000-0000D3040000}"/>
    <cellStyle name="40% - 강조색6 49" xfId="1360" xr:uid="{00000000-0005-0000-0000-0000D4040000}"/>
    <cellStyle name="40% - 강조색6 5" xfId="1361" xr:uid="{00000000-0005-0000-0000-0000D5040000}"/>
    <cellStyle name="40% - 강조색6 50" xfId="1362" xr:uid="{00000000-0005-0000-0000-0000D6040000}"/>
    <cellStyle name="40% - 강조색6 51" xfId="1363" xr:uid="{00000000-0005-0000-0000-0000D7040000}"/>
    <cellStyle name="40% - 강조색6 52" xfId="1364" xr:uid="{00000000-0005-0000-0000-0000D8040000}"/>
    <cellStyle name="40% - 강조색6 53" xfId="1365" xr:uid="{00000000-0005-0000-0000-0000D9040000}"/>
    <cellStyle name="40% - 강조색6 54" xfId="1366" xr:uid="{00000000-0005-0000-0000-0000DA040000}"/>
    <cellStyle name="40% - 강조색6 55" xfId="1367" xr:uid="{00000000-0005-0000-0000-0000DB040000}"/>
    <cellStyle name="40% - 강조색6 56" xfId="1368" xr:uid="{00000000-0005-0000-0000-0000DC040000}"/>
    <cellStyle name="40% - 강조색6 57" xfId="1369" xr:uid="{00000000-0005-0000-0000-0000DD040000}"/>
    <cellStyle name="40% - 강조색6 58" xfId="1370" xr:uid="{00000000-0005-0000-0000-0000DE040000}"/>
    <cellStyle name="40% - 강조색6 59" xfId="1371" xr:uid="{00000000-0005-0000-0000-0000DF040000}"/>
    <cellStyle name="40% - 강조색6 6" xfId="1372" xr:uid="{00000000-0005-0000-0000-0000E0040000}"/>
    <cellStyle name="40% - 강조색6 60" xfId="1373" xr:uid="{00000000-0005-0000-0000-0000E1040000}"/>
    <cellStyle name="40% - 강조색6 61" xfId="1374" xr:uid="{00000000-0005-0000-0000-0000E2040000}"/>
    <cellStyle name="40% - 강조색6 62" xfId="1375" xr:uid="{00000000-0005-0000-0000-0000E3040000}"/>
    <cellStyle name="40% - 강조색6 63" xfId="1376" xr:uid="{00000000-0005-0000-0000-0000E4040000}"/>
    <cellStyle name="40% - 강조색6 64" xfId="1377" xr:uid="{00000000-0005-0000-0000-0000E5040000}"/>
    <cellStyle name="40% - 강조색6 65" xfId="1378" xr:uid="{00000000-0005-0000-0000-0000E6040000}"/>
    <cellStyle name="40% - 강조색6 66" xfId="1379" xr:uid="{00000000-0005-0000-0000-0000E7040000}"/>
    <cellStyle name="40% - 강조색6 67" xfId="1380" xr:uid="{00000000-0005-0000-0000-0000E8040000}"/>
    <cellStyle name="40% - 강조색6 68" xfId="1381" xr:uid="{00000000-0005-0000-0000-0000E9040000}"/>
    <cellStyle name="40% - 강조색6 69" xfId="1382" xr:uid="{00000000-0005-0000-0000-0000EA040000}"/>
    <cellStyle name="40% - 강조색6 7" xfId="1383" xr:uid="{00000000-0005-0000-0000-0000EB040000}"/>
    <cellStyle name="40% - 강조색6 70" xfId="1384" xr:uid="{00000000-0005-0000-0000-0000EC040000}"/>
    <cellStyle name="40% - 강조색6 71" xfId="1385" xr:uid="{00000000-0005-0000-0000-0000ED040000}"/>
    <cellStyle name="40% - 강조색6 72" xfId="1386" xr:uid="{00000000-0005-0000-0000-0000EE040000}"/>
    <cellStyle name="40% - 강조색6 73" xfId="1387" xr:uid="{00000000-0005-0000-0000-0000EF040000}"/>
    <cellStyle name="40% - 강조색6 74" xfId="1388" xr:uid="{00000000-0005-0000-0000-0000F0040000}"/>
    <cellStyle name="40% - 강조색6 75" xfId="1389" xr:uid="{00000000-0005-0000-0000-0000F1040000}"/>
    <cellStyle name="40% - 강조색6 76" xfId="1390" xr:uid="{00000000-0005-0000-0000-0000F2040000}"/>
    <cellStyle name="40% - 강조색6 77" xfId="1391" xr:uid="{00000000-0005-0000-0000-0000F3040000}"/>
    <cellStyle name="40% - 강조색6 78" xfId="1392" xr:uid="{00000000-0005-0000-0000-0000F4040000}"/>
    <cellStyle name="40% - 강조색6 79" xfId="1393" xr:uid="{00000000-0005-0000-0000-0000F5040000}"/>
    <cellStyle name="40% - 강조색6 8" xfId="1394" xr:uid="{00000000-0005-0000-0000-0000F6040000}"/>
    <cellStyle name="40% - 강조색6 80" xfId="1395" xr:uid="{00000000-0005-0000-0000-0000F7040000}"/>
    <cellStyle name="40% - 강조색6 81" xfId="1396" xr:uid="{00000000-0005-0000-0000-0000F8040000}"/>
    <cellStyle name="40% - 강조색6 82" xfId="1397" xr:uid="{00000000-0005-0000-0000-0000F9040000}"/>
    <cellStyle name="40% - 강조색6 83" xfId="1398" xr:uid="{00000000-0005-0000-0000-0000FA040000}"/>
    <cellStyle name="40% - 강조색6 84" xfId="1399" xr:uid="{00000000-0005-0000-0000-0000FB040000}"/>
    <cellStyle name="40% - 강조색6 85" xfId="1400" xr:uid="{00000000-0005-0000-0000-0000FC040000}"/>
    <cellStyle name="40% - 강조색6 86" xfId="1401" xr:uid="{00000000-0005-0000-0000-0000FD040000}"/>
    <cellStyle name="40% - 강조색6 87" xfId="1402" xr:uid="{00000000-0005-0000-0000-0000FE040000}"/>
    <cellStyle name="40% - 강조색6 88" xfId="1403" xr:uid="{00000000-0005-0000-0000-0000FF040000}"/>
    <cellStyle name="40% - 강조색6 89" xfId="1404" xr:uid="{00000000-0005-0000-0000-000000050000}"/>
    <cellStyle name="40% - 강조색6 9" xfId="1405" xr:uid="{00000000-0005-0000-0000-000001050000}"/>
    <cellStyle name="40% - 강조색6 90" xfId="1406" xr:uid="{00000000-0005-0000-0000-000002050000}"/>
    <cellStyle name="40% - 강조색6 91" xfId="1407" xr:uid="{00000000-0005-0000-0000-000003050000}"/>
    <cellStyle name="40% - 강조색6 92" xfId="1408" xr:uid="{00000000-0005-0000-0000-000004050000}"/>
    <cellStyle name="40% - 강조색6 93" xfId="1409" xr:uid="{00000000-0005-0000-0000-000005050000}"/>
    <cellStyle name="40% - 강조색6 94" xfId="1410" xr:uid="{00000000-0005-0000-0000-000006050000}"/>
    <cellStyle name="40% - 강조색6 95" xfId="1411" xr:uid="{00000000-0005-0000-0000-000007050000}"/>
    <cellStyle name="40% - 강조색6 96" xfId="1412" xr:uid="{00000000-0005-0000-0000-000008050000}"/>
    <cellStyle name="40% - 강조색6 97" xfId="1413" xr:uid="{00000000-0005-0000-0000-000009050000}"/>
    <cellStyle name="40% - 강조색6 98" xfId="1414" xr:uid="{00000000-0005-0000-0000-00000A050000}"/>
    <cellStyle name="40% - 강조색6 99" xfId="1415" xr:uid="{00000000-0005-0000-0000-00000B050000}"/>
    <cellStyle name="60% - Accent1" xfId="4639" xr:uid="{00000000-0005-0000-0000-00000C050000}"/>
    <cellStyle name="60% - Accent2" xfId="4640" xr:uid="{00000000-0005-0000-0000-00000D050000}"/>
    <cellStyle name="60% - Accent3" xfId="4641" xr:uid="{00000000-0005-0000-0000-00000E050000}"/>
    <cellStyle name="60% - Accent4" xfId="4642" xr:uid="{00000000-0005-0000-0000-00000F050000}"/>
    <cellStyle name="60% - Accent5" xfId="4643" xr:uid="{00000000-0005-0000-0000-000010050000}"/>
    <cellStyle name="60% - Accent6" xfId="4644" xr:uid="{00000000-0005-0000-0000-000011050000}"/>
    <cellStyle name="60% - 강조색1 10" xfId="1416" xr:uid="{00000000-0005-0000-0000-000012050000}"/>
    <cellStyle name="60% - 강조색1 100" xfId="1417" xr:uid="{00000000-0005-0000-0000-000013050000}"/>
    <cellStyle name="60% - 강조색1 101" xfId="1418" xr:uid="{00000000-0005-0000-0000-000014050000}"/>
    <cellStyle name="60% - 강조색1 102" xfId="1419" xr:uid="{00000000-0005-0000-0000-000015050000}"/>
    <cellStyle name="60% - 강조색1 103" xfId="1420" xr:uid="{00000000-0005-0000-0000-000016050000}"/>
    <cellStyle name="60% - 강조색1 104" xfId="1421" xr:uid="{00000000-0005-0000-0000-000017050000}"/>
    <cellStyle name="60% - 강조색1 105" xfId="1422" xr:uid="{00000000-0005-0000-0000-000018050000}"/>
    <cellStyle name="60% - 강조색1 106" xfId="1423" xr:uid="{00000000-0005-0000-0000-000019050000}"/>
    <cellStyle name="60% - 강조색1 107" xfId="1424" xr:uid="{00000000-0005-0000-0000-00001A050000}"/>
    <cellStyle name="60% - 강조색1 11" xfId="1425" xr:uid="{00000000-0005-0000-0000-00001B050000}"/>
    <cellStyle name="60% - 강조색1 12" xfId="1426" xr:uid="{00000000-0005-0000-0000-00001C050000}"/>
    <cellStyle name="60% - 강조색1 13" xfId="1427" xr:uid="{00000000-0005-0000-0000-00001D050000}"/>
    <cellStyle name="60% - 강조색1 14" xfId="1428" xr:uid="{00000000-0005-0000-0000-00001E050000}"/>
    <cellStyle name="60% - 강조색1 15" xfId="1429" xr:uid="{00000000-0005-0000-0000-00001F050000}"/>
    <cellStyle name="60% - 강조색1 16" xfId="1430" xr:uid="{00000000-0005-0000-0000-000020050000}"/>
    <cellStyle name="60% - 강조색1 17" xfId="1431" xr:uid="{00000000-0005-0000-0000-000021050000}"/>
    <cellStyle name="60% - 강조색1 18" xfId="1432" xr:uid="{00000000-0005-0000-0000-000022050000}"/>
    <cellStyle name="60% - 강조색1 19" xfId="1433" xr:uid="{00000000-0005-0000-0000-000023050000}"/>
    <cellStyle name="60% - 강조색1 2" xfId="1434" xr:uid="{00000000-0005-0000-0000-000024050000}"/>
    <cellStyle name="60% - 강조색1 20" xfId="1435" xr:uid="{00000000-0005-0000-0000-000025050000}"/>
    <cellStyle name="60% - 강조색1 21" xfId="1436" xr:uid="{00000000-0005-0000-0000-000026050000}"/>
    <cellStyle name="60% - 강조색1 22" xfId="1437" xr:uid="{00000000-0005-0000-0000-000027050000}"/>
    <cellStyle name="60% - 강조색1 23" xfId="1438" xr:uid="{00000000-0005-0000-0000-000028050000}"/>
    <cellStyle name="60% - 강조색1 24" xfId="1439" xr:uid="{00000000-0005-0000-0000-000029050000}"/>
    <cellStyle name="60% - 강조색1 25" xfId="1440" xr:uid="{00000000-0005-0000-0000-00002A050000}"/>
    <cellStyle name="60% - 강조색1 26" xfId="1441" xr:uid="{00000000-0005-0000-0000-00002B050000}"/>
    <cellStyle name="60% - 강조색1 27" xfId="1442" xr:uid="{00000000-0005-0000-0000-00002C050000}"/>
    <cellStyle name="60% - 강조색1 28" xfId="1443" xr:uid="{00000000-0005-0000-0000-00002D050000}"/>
    <cellStyle name="60% - 강조색1 29" xfId="1444" xr:uid="{00000000-0005-0000-0000-00002E050000}"/>
    <cellStyle name="60% - 강조색1 3" xfId="1445" xr:uid="{00000000-0005-0000-0000-00002F050000}"/>
    <cellStyle name="60% - 강조색1 30" xfId="1446" xr:uid="{00000000-0005-0000-0000-000030050000}"/>
    <cellStyle name="60% - 강조색1 31" xfId="1447" xr:uid="{00000000-0005-0000-0000-000031050000}"/>
    <cellStyle name="60% - 강조색1 32" xfId="1448" xr:uid="{00000000-0005-0000-0000-000032050000}"/>
    <cellStyle name="60% - 강조색1 33" xfId="1449" xr:uid="{00000000-0005-0000-0000-000033050000}"/>
    <cellStyle name="60% - 강조색1 34" xfId="1450" xr:uid="{00000000-0005-0000-0000-000034050000}"/>
    <cellStyle name="60% - 강조색1 35" xfId="1451" xr:uid="{00000000-0005-0000-0000-000035050000}"/>
    <cellStyle name="60% - 강조색1 36" xfId="1452" xr:uid="{00000000-0005-0000-0000-000036050000}"/>
    <cellStyle name="60% - 강조색1 37" xfId="1453" xr:uid="{00000000-0005-0000-0000-000037050000}"/>
    <cellStyle name="60% - 강조색1 38" xfId="1454" xr:uid="{00000000-0005-0000-0000-000038050000}"/>
    <cellStyle name="60% - 강조색1 39" xfId="1455" xr:uid="{00000000-0005-0000-0000-000039050000}"/>
    <cellStyle name="60% - 강조색1 4" xfId="1456" xr:uid="{00000000-0005-0000-0000-00003A050000}"/>
    <cellStyle name="60% - 강조색1 40" xfId="1457" xr:uid="{00000000-0005-0000-0000-00003B050000}"/>
    <cellStyle name="60% - 강조색1 41" xfId="1458" xr:uid="{00000000-0005-0000-0000-00003C050000}"/>
    <cellStyle name="60% - 강조색1 42" xfId="1459" xr:uid="{00000000-0005-0000-0000-00003D050000}"/>
    <cellStyle name="60% - 강조색1 43" xfId="1460" xr:uid="{00000000-0005-0000-0000-00003E050000}"/>
    <cellStyle name="60% - 강조색1 44" xfId="1461" xr:uid="{00000000-0005-0000-0000-00003F050000}"/>
    <cellStyle name="60% - 강조색1 45" xfId="1462" xr:uid="{00000000-0005-0000-0000-000040050000}"/>
    <cellStyle name="60% - 강조색1 46" xfId="1463" xr:uid="{00000000-0005-0000-0000-000041050000}"/>
    <cellStyle name="60% - 강조색1 47" xfId="1464" xr:uid="{00000000-0005-0000-0000-000042050000}"/>
    <cellStyle name="60% - 강조색1 48" xfId="1465" xr:uid="{00000000-0005-0000-0000-000043050000}"/>
    <cellStyle name="60% - 강조색1 49" xfId="1466" xr:uid="{00000000-0005-0000-0000-000044050000}"/>
    <cellStyle name="60% - 강조색1 5" xfId="1467" xr:uid="{00000000-0005-0000-0000-000045050000}"/>
    <cellStyle name="60% - 강조색1 50" xfId="1468" xr:uid="{00000000-0005-0000-0000-000046050000}"/>
    <cellStyle name="60% - 강조색1 51" xfId="1469" xr:uid="{00000000-0005-0000-0000-000047050000}"/>
    <cellStyle name="60% - 강조색1 52" xfId="1470" xr:uid="{00000000-0005-0000-0000-000048050000}"/>
    <cellStyle name="60% - 강조색1 53" xfId="1471" xr:uid="{00000000-0005-0000-0000-000049050000}"/>
    <cellStyle name="60% - 강조색1 54" xfId="1472" xr:uid="{00000000-0005-0000-0000-00004A050000}"/>
    <cellStyle name="60% - 강조색1 55" xfId="1473" xr:uid="{00000000-0005-0000-0000-00004B050000}"/>
    <cellStyle name="60% - 강조색1 56" xfId="1474" xr:uid="{00000000-0005-0000-0000-00004C050000}"/>
    <cellStyle name="60% - 강조색1 57" xfId="1475" xr:uid="{00000000-0005-0000-0000-00004D050000}"/>
    <cellStyle name="60% - 강조색1 58" xfId="1476" xr:uid="{00000000-0005-0000-0000-00004E050000}"/>
    <cellStyle name="60% - 강조색1 59" xfId="1477" xr:uid="{00000000-0005-0000-0000-00004F050000}"/>
    <cellStyle name="60% - 강조색1 6" xfId="1478" xr:uid="{00000000-0005-0000-0000-000050050000}"/>
    <cellStyle name="60% - 강조색1 60" xfId="1479" xr:uid="{00000000-0005-0000-0000-000051050000}"/>
    <cellStyle name="60% - 강조색1 61" xfId="1480" xr:uid="{00000000-0005-0000-0000-000052050000}"/>
    <cellStyle name="60% - 강조색1 62" xfId="1481" xr:uid="{00000000-0005-0000-0000-000053050000}"/>
    <cellStyle name="60% - 강조색1 63" xfId="1482" xr:uid="{00000000-0005-0000-0000-000054050000}"/>
    <cellStyle name="60% - 강조색1 64" xfId="1483" xr:uid="{00000000-0005-0000-0000-000055050000}"/>
    <cellStyle name="60% - 강조색1 65" xfId="1484" xr:uid="{00000000-0005-0000-0000-000056050000}"/>
    <cellStyle name="60% - 강조색1 66" xfId="1485" xr:uid="{00000000-0005-0000-0000-000057050000}"/>
    <cellStyle name="60% - 강조색1 67" xfId="1486" xr:uid="{00000000-0005-0000-0000-000058050000}"/>
    <cellStyle name="60% - 강조색1 68" xfId="1487" xr:uid="{00000000-0005-0000-0000-000059050000}"/>
    <cellStyle name="60% - 강조색1 69" xfId="1488" xr:uid="{00000000-0005-0000-0000-00005A050000}"/>
    <cellStyle name="60% - 강조색1 7" xfId="1489" xr:uid="{00000000-0005-0000-0000-00005B050000}"/>
    <cellStyle name="60% - 강조색1 70" xfId="1490" xr:uid="{00000000-0005-0000-0000-00005C050000}"/>
    <cellStyle name="60% - 강조색1 71" xfId="1491" xr:uid="{00000000-0005-0000-0000-00005D050000}"/>
    <cellStyle name="60% - 강조색1 72" xfId="1492" xr:uid="{00000000-0005-0000-0000-00005E050000}"/>
    <cellStyle name="60% - 강조색1 73" xfId="1493" xr:uid="{00000000-0005-0000-0000-00005F050000}"/>
    <cellStyle name="60% - 강조색1 74" xfId="1494" xr:uid="{00000000-0005-0000-0000-000060050000}"/>
    <cellStyle name="60% - 강조색1 75" xfId="1495" xr:uid="{00000000-0005-0000-0000-000061050000}"/>
    <cellStyle name="60% - 강조색1 76" xfId="1496" xr:uid="{00000000-0005-0000-0000-000062050000}"/>
    <cellStyle name="60% - 강조색1 77" xfId="1497" xr:uid="{00000000-0005-0000-0000-000063050000}"/>
    <cellStyle name="60% - 강조색1 78" xfId="1498" xr:uid="{00000000-0005-0000-0000-000064050000}"/>
    <cellStyle name="60% - 강조색1 79" xfId="1499" xr:uid="{00000000-0005-0000-0000-000065050000}"/>
    <cellStyle name="60% - 강조색1 8" xfId="1500" xr:uid="{00000000-0005-0000-0000-000066050000}"/>
    <cellStyle name="60% - 강조색1 80" xfId="1501" xr:uid="{00000000-0005-0000-0000-000067050000}"/>
    <cellStyle name="60% - 강조색1 81" xfId="1502" xr:uid="{00000000-0005-0000-0000-000068050000}"/>
    <cellStyle name="60% - 강조색1 82" xfId="1503" xr:uid="{00000000-0005-0000-0000-000069050000}"/>
    <cellStyle name="60% - 강조색1 83" xfId="1504" xr:uid="{00000000-0005-0000-0000-00006A050000}"/>
    <cellStyle name="60% - 강조색1 84" xfId="1505" xr:uid="{00000000-0005-0000-0000-00006B050000}"/>
    <cellStyle name="60% - 강조색1 85" xfId="1506" xr:uid="{00000000-0005-0000-0000-00006C050000}"/>
    <cellStyle name="60% - 강조색1 86" xfId="1507" xr:uid="{00000000-0005-0000-0000-00006D050000}"/>
    <cellStyle name="60% - 강조색1 87" xfId="1508" xr:uid="{00000000-0005-0000-0000-00006E050000}"/>
    <cellStyle name="60% - 강조색1 88" xfId="1509" xr:uid="{00000000-0005-0000-0000-00006F050000}"/>
    <cellStyle name="60% - 강조색1 89" xfId="1510" xr:uid="{00000000-0005-0000-0000-000070050000}"/>
    <cellStyle name="60% - 강조색1 9" xfId="1511" xr:uid="{00000000-0005-0000-0000-000071050000}"/>
    <cellStyle name="60% - 강조색1 90" xfId="1512" xr:uid="{00000000-0005-0000-0000-000072050000}"/>
    <cellStyle name="60% - 강조색1 91" xfId="1513" xr:uid="{00000000-0005-0000-0000-000073050000}"/>
    <cellStyle name="60% - 강조색1 92" xfId="1514" xr:uid="{00000000-0005-0000-0000-000074050000}"/>
    <cellStyle name="60% - 강조색1 93" xfId="1515" xr:uid="{00000000-0005-0000-0000-000075050000}"/>
    <cellStyle name="60% - 강조색1 94" xfId="1516" xr:uid="{00000000-0005-0000-0000-000076050000}"/>
    <cellStyle name="60% - 강조색1 95" xfId="1517" xr:uid="{00000000-0005-0000-0000-000077050000}"/>
    <cellStyle name="60% - 강조색1 96" xfId="1518" xr:uid="{00000000-0005-0000-0000-000078050000}"/>
    <cellStyle name="60% - 강조색1 97" xfId="1519" xr:uid="{00000000-0005-0000-0000-000079050000}"/>
    <cellStyle name="60% - 강조색1 98" xfId="1520" xr:uid="{00000000-0005-0000-0000-00007A050000}"/>
    <cellStyle name="60% - 강조색1 99" xfId="1521" xr:uid="{00000000-0005-0000-0000-00007B050000}"/>
    <cellStyle name="60% - 강조색2 10" xfId="1522" xr:uid="{00000000-0005-0000-0000-00007C050000}"/>
    <cellStyle name="60% - 강조색2 100" xfId="1523" xr:uid="{00000000-0005-0000-0000-00007D050000}"/>
    <cellStyle name="60% - 강조색2 101" xfId="1524" xr:uid="{00000000-0005-0000-0000-00007E050000}"/>
    <cellStyle name="60% - 강조색2 102" xfId="1525" xr:uid="{00000000-0005-0000-0000-00007F050000}"/>
    <cellStyle name="60% - 강조색2 103" xfId="1526" xr:uid="{00000000-0005-0000-0000-000080050000}"/>
    <cellStyle name="60% - 강조색2 104" xfId="1527" xr:uid="{00000000-0005-0000-0000-000081050000}"/>
    <cellStyle name="60% - 강조색2 105" xfId="1528" xr:uid="{00000000-0005-0000-0000-000082050000}"/>
    <cellStyle name="60% - 강조색2 106" xfId="1529" xr:uid="{00000000-0005-0000-0000-000083050000}"/>
    <cellStyle name="60% - 강조색2 107" xfId="1530" xr:uid="{00000000-0005-0000-0000-000084050000}"/>
    <cellStyle name="60% - 강조색2 11" xfId="1531" xr:uid="{00000000-0005-0000-0000-000085050000}"/>
    <cellStyle name="60% - 강조색2 12" xfId="1532" xr:uid="{00000000-0005-0000-0000-000086050000}"/>
    <cellStyle name="60% - 강조색2 13" xfId="1533" xr:uid="{00000000-0005-0000-0000-000087050000}"/>
    <cellStyle name="60% - 강조색2 14" xfId="1534" xr:uid="{00000000-0005-0000-0000-000088050000}"/>
    <cellStyle name="60% - 강조색2 15" xfId="1535" xr:uid="{00000000-0005-0000-0000-000089050000}"/>
    <cellStyle name="60% - 강조색2 16" xfId="1536" xr:uid="{00000000-0005-0000-0000-00008A050000}"/>
    <cellStyle name="60% - 강조색2 17" xfId="1537" xr:uid="{00000000-0005-0000-0000-00008B050000}"/>
    <cellStyle name="60% - 강조색2 18" xfId="1538" xr:uid="{00000000-0005-0000-0000-00008C050000}"/>
    <cellStyle name="60% - 강조색2 19" xfId="1539" xr:uid="{00000000-0005-0000-0000-00008D050000}"/>
    <cellStyle name="60% - 강조색2 2" xfId="1540" xr:uid="{00000000-0005-0000-0000-00008E050000}"/>
    <cellStyle name="60% - 강조색2 20" xfId="1541" xr:uid="{00000000-0005-0000-0000-00008F050000}"/>
    <cellStyle name="60% - 강조색2 21" xfId="1542" xr:uid="{00000000-0005-0000-0000-000090050000}"/>
    <cellStyle name="60% - 강조색2 22" xfId="1543" xr:uid="{00000000-0005-0000-0000-000091050000}"/>
    <cellStyle name="60% - 강조색2 23" xfId="1544" xr:uid="{00000000-0005-0000-0000-000092050000}"/>
    <cellStyle name="60% - 강조색2 24" xfId="1545" xr:uid="{00000000-0005-0000-0000-000093050000}"/>
    <cellStyle name="60% - 강조색2 25" xfId="1546" xr:uid="{00000000-0005-0000-0000-000094050000}"/>
    <cellStyle name="60% - 강조색2 26" xfId="1547" xr:uid="{00000000-0005-0000-0000-000095050000}"/>
    <cellStyle name="60% - 강조색2 27" xfId="1548" xr:uid="{00000000-0005-0000-0000-000096050000}"/>
    <cellStyle name="60% - 강조색2 28" xfId="1549" xr:uid="{00000000-0005-0000-0000-000097050000}"/>
    <cellStyle name="60% - 강조색2 29" xfId="1550" xr:uid="{00000000-0005-0000-0000-000098050000}"/>
    <cellStyle name="60% - 강조색2 3" xfId="1551" xr:uid="{00000000-0005-0000-0000-000099050000}"/>
    <cellStyle name="60% - 강조색2 30" xfId="1552" xr:uid="{00000000-0005-0000-0000-00009A050000}"/>
    <cellStyle name="60% - 강조색2 31" xfId="1553" xr:uid="{00000000-0005-0000-0000-00009B050000}"/>
    <cellStyle name="60% - 강조색2 32" xfId="1554" xr:uid="{00000000-0005-0000-0000-00009C050000}"/>
    <cellStyle name="60% - 강조색2 33" xfId="1555" xr:uid="{00000000-0005-0000-0000-00009D050000}"/>
    <cellStyle name="60% - 강조색2 34" xfId="1556" xr:uid="{00000000-0005-0000-0000-00009E050000}"/>
    <cellStyle name="60% - 강조색2 35" xfId="1557" xr:uid="{00000000-0005-0000-0000-00009F050000}"/>
    <cellStyle name="60% - 강조색2 36" xfId="1558" xr:uid="{00000000-0005-0000-0000-0000A0050000}"/>
    <cellStyle name="60% - 강조색2 37" xfId="1559" xr:uid="{00000000-0005-0000-0000-0000A1050000}"/>
    <cellStyle name="60% - 강조색2 38" xfId="1560" xr:uid="{00000000-0005-0000-0000-0000A2050000}"/>
    <cellStyle name="60% - 강조색2 39" xfId="1561" xr:uid="{00000000-0005-0000-0000-0000A3050000}"/>
    <cellStyle name="60% - 강조색2 4" xfId="1562" xr:uid="{00000000-0005-0000-0000-0000A4050000}"/>
    <cellStyle name="60% - 강조색2 40" xfId="1563" xr:uid="{00000000-0005-0000-0000-0000A5050000}"/>
    <cellStyle name="60% - 강조색2 41" xfId="1564" xr:uid="{00000000-0005-0000-0000-0000A6050000}"/>
    <cellStyle name="60% - 강조색2 42" xfId="1565" xr:uid="{00000000-0005-0000-0000-0000A7050000}"/>
    <cellStyle name="60% - 강조색2 43" xfId="1566" xr:uid="{00000000-0005-0000-0000-0000A8050000}"/>
    <cellStyle name="60% - 강조색2 44" xfId="1567" xr:uid="{00000000-0005-0000-0000-0000A9050000}"/>
    <cellStyle name="60% - 강조색2 45" xfId="1568" xr:uid="{00000000-0005-0000-0000-0000AA050000}"/>
    <cellStyle name="60% - 강조색2 46" xfId="1569" xr:uid="{00000000-0005-0000-0000-0000AB050000}"/>
    <cellStyle name="60% - 강조색2 47" xfId="1570" xr:uid="{00000000-0005-0000-0000-0000AC050000}"/>
    <cellStyle name="60% - 강조색2 48" xfId="1571" xr:uid="{00000000-0005-0000-0000-0000AD050000}"/>
    <cellStyle name="60% - 강조색2 49" xfId="1572" xr:uid="{00000000-0005-0000-0000-0000AE050000}"/>
    <cellStyle name="60% - 강조색2 5" xfId="1573" xr:uid="{00000000-0005-0000-0000-0000AF050000}"/>
    <cellStyle name="60% - 강조색2 50" xfId="1574" xr:uid="{00000000-0005-0000-0000-0000B0050000}"/>
    <cellStyle name="60% - 강조색2 51" xfId="1575" xr:uid="{00000000-0005-0000-0000-0000B1050000}"/>
    <cellStyle name="60% - 강조색2 52" xfId="1576" xr:uid="{00000000-0005-0000-0000-0000B2050000}"/>
    <cellStyle name="60% - 강조색2 53" xfId="1577" xr:uid="{00000000-0005-0000-0000-0000B3050000}"/>
    <cellStyle name="60% - 강조색2 54" xfId="1578" xr:uid="{00000000-0005-0000-0000-0000B4050000}"/>
    <cellStyle name="60% - 강조색2 55" xfId="1579" xr:uid="{00000000-0005-0000-0000-0000B5050000}"/>
    <cellStyle name="60% - 강조색2 56" xfId="1580" xr:uid="{00000000-0005-0000-0000-0000B6050000}"/>
    <cellStyle name="60% - 강조색2 57" xfId="1581" xr:uid="{00000000-0005-0000-0000-0000B7050000}"/>
    <cellStyle name="60% - 강조색2 58" xfId="1582" xr:uid="{00000000-0005-0000-0000-0000B8050000}"/>
    <cellStyle name="60% - 강조색2 59" xfId="1583" xr:uid="{00000000-0005-0000-0000-0000B9050000}"/>
    <cellStyle name="60% - 강조색2 6" xfId="1584" xr:uid="{00000000-0005-0000-0000-0000BA050000}"/>
    <cellStyle name="60% - 강조색2 60" xfId="1585" xr:uid="{00000000-0005-0000-0000-0000BB050000}"/>
    <cellStyle name="60% - 강조색2 61" xfId="1586" xr:uid="{00000000-0005-0000-0000-0000BC050000}"/>
    <cellStyle name="60% - 강조색2 62" xfId="1587" xr:uid="{00000000-0005-0000-0000-0000BD050000}"/>
    <cellStyle name="60% - 강조색2 63" xfId="1588" xr:uid="{00000000-0005-0000-0000-0000BE050000}"/>
    <cellStyle name="60% - 강조색2 64" xfId="1589" xr:uid="{00000000-0005-0000-0000-0000BF050000}"/>
    <cellStyle name="60% - 강조색2 65" xfId="1590" xr:uid="{00000000-0005-0000-0000-0000C0050000}"/>
    <cellStyle name="60% - 강조색2 66" xfId="1591" xr:uid="{00000000-0005-0000-0000-0000C1050000}"/>
    <cellStyle name="60% - 강조색2 67" xfId="1592" xr:uid="{00000000-0005-0000-0000-0000C2050000}"/>
    <cellStyle name="60% - 강조색2 68" xfId="1593" xr:uid="{00000000-0005-0000-0000-0000C3050000}"/>
    <cellStyle name="60% - 강조색2 69" xfId="1594" xr:uid="{00000000-0005-0000-0000-0000C4050000}"/>
    <cellStyle name="60% - 강조색2 7" xfId="1595" xr:uid="{00000000-0005-0000-0000-0000C5050000}"/>
    <cellStyle name="60% - 강조색2 70" xfId="1596" xr:uid="{00000000-0005-0000-0000-0000C6050000}"/>
    <cellStyle name="60% - 강조색2 71" xfId="1597" xr:uid="{00000000-0005-0000-0000-0000C7050000}"/>
    <cellStyle name="60% - 강조색2 72" xfId="1598" xr:uid="{00000000-0005-0000-0000-0000C8050000}"/>
    <cellStyle name="60% - 강조색2 73" xfId="1599" xr:uid="{00000000-0005-0000-0000-0000C9050000}"/>
    <cellStyle name="60% - 강조색2 74" xfId="1600" xr:uid="{00000000-0005-0000-0000-0000CA050000}"/>
    <cellStyle name="60% - 강조색2 75" xfId="1601" xr:uid="{00000000-0005-0000-0000-0000CB050000}"/>
    <cellStyle name="60% - 강조색2 76" xfId="1602" xr:uid="{00000000-0005-0000-0000-0000CC050000}"/>
    <cellStyle name="60% - 강조색2 77" xfId="1603" xr:uid="{00000000-0005-0000-0000-0000CD050000}"/>
    <cellStyle name="60% - 강조색2 78" xfId="1604" xr:uid="{00000000-0005-0000-0000-0000CE050000}"/>
    <cellStyle name="60% - 강조색2 79" xfId="1605" xr:uid="{00000000-0005-0000-0000-0000CF050000}"/>
    <cellStyle name="60% - 강조색2 8" xfId="1606" xr:uid="{00000000-0005-0000-0000-0000D0050000}"/>
    <cellStyle name="60% - 강조색2 80" xfId="1607" xr:uid="{00000000-0005-0000-0000-0000D1050000}"/>
    <cellStyle name="60% - 강조색2 81" xfId="1608" xr:uid="{00000000-0005-0000-0000-0000D2050000}"/>
    <cellStyle name="60% - 강조색2 82" xfId="1609" xr:uid="{00000000-0005-0000-0000-0000D3050000}"/>
    <cellStyle name="60% - 강조색2 83" xfId="1610" xr:uid="{00000000-0005-0000-0000-0000D4050000}"/>
    <cellStyle name="60% - 강조색2 84" xfId="1611" xr:uid="{00000000-0005-0000-0000-0000D5050000}"/>
    <cellStyle name="60% - 강조색2 85" xfId="1612" xr:uid="{00000000-0005-0000-0000-0000D6050000}"/>
    <cellStyle name="60% - 강조색2 86" xfId="1613" xr:uid="{00000000-0005-0000-0000-0000D7050000}"/>
    <cellStyle name="60% - 강조색2 87" xfId="1614" xr:uid="{00000000-0005-0000-0000-0000D8050000}"/>
    <cellStyle name="60% - 강조색2 88" xfId="1615" xr:uid="{00000000-0005-0000-0000-0000D9050000}"/>
    <cellStyle name="60% - 강조색2 89" xfId="1616" xr:uid="{00000000-0005-0000-0000-0000DA050000}"/>
    <cellStyle name="60% - 강조색2 9" xfId="1617" xr:uid="{00000000-0005-0000-0000-0000DB050000}"/>
    <cellStyle name="60% - 강조색2 90" xfId="1618" xr:uid="{00000000-0005-0000-0000-0000DC050000}"/>
    <cellStyle name="60% - 강조색2 91" xfId="1619" xr:uid="{00000000-0005-0000-0000-0000DD050000}"/>
    <cellStyle name="60% - 강조색2 92" xfId="1620" xr:uid="{00000000-0005-0000-0000-0000DE050000}"/>
    <cellStyle name="60% - 강조색2 93" xfId="1621" xr:uid="{00000000-0005-0000-0000-0000DF050000}"/>
    <cellStyle name="60% - 강조색2 94" xfId="1622" xr:uid="{00000000-0005-0000-0000-0000E0050000}"/>
    <cellStyle name="60% - 강조색2 95" xfId="1623" xr:uid="{00000000-0005-0000-0000-0000E1050000}"/>
    <cellStyle name="60% - 강조색2 96" xfId="1624" xr:uid="{00000000-0005-0000-0000-0000E2050000}"/>
    <cellStyle name="60% - 강조색2 97" xfId="1625" xr:uid="{00000000-0005-0000-0000-0000E3050000}"/>
    <cellStyle name="60% - 강조색2 98" xfId="1626" xr:uid="{00000000-0005-0000-0000-0000E4050000}"/>
    <cellStyle name="60% - 강조색2 99" xfId="1627" xr:uid="{00000000-0005-0000-0000-0000E5050000}"/>
    <cellStyle name="60% - 강조색3 10" xfId="1628" xr:uid="{00000000-0005-0000-0000-0000E6050000}"/>
    <cellStyle name="60% - 강조색3 100" xfId="1629" xr:uid="{00000000-0005-0000-0000-0000E7050000}"/>
    <cellStyle name="60% - 강조색3 101" xfId="1630" xr:uid="{00000000-0005-0000-0000-0000E8050000}"/>
    <cellStyle name="60% - 강조색3 102" xfId="1631" xr:uid="{00000000-0005-0000-0000-0000E9050000}"/>
    <cellStyle name="60% - 강조색3 103" xfId="1632" xr:uid="{00000000-0005-0000-0000-0000EA050000}"/>
    <cellStyle name="60% - 강조색3 104" xfId="1633" xr:uid="{00000000-0005-0000-0000-0000EB050000}"/>
    <cellStyle name="60% - 강조색3 105" xfId="1634" xr:uid="{00000000-0005-0000-0000-0000EC050000}"/>
    <cellStyle name="60% - 강조색3 106" xfId="1635" xr:uid="{00000000-0005-0000-0000-0000ED050000}"/>
    <cellStyle name="60% - 강조색3 107" xfId="1636" xr:uid="{00000000-0005-0000-0000-0000EE050000}"/>
    <cellStyle name="60% - 강조색3 11" xfId="1637" xr:uid="{00000000-0005-0000-0000-0000EF050000}"/>
    <cellStyle name="60% - 강조색3 12" xfId="1638" xr:uid="{00000000-0005-0000-0000-0000F0050000}"/>
    <cellStyle name="60% - 강조색3 13" xfId="1639" xr:uid="{00000000-0005-0000-0000-0000F1050000}"/>
    <cellStyle name="60% - 강조색3 14" xfId="1640" xr:uid="{00000000-0005-0000-0000-0000F2050000}"/>
    <cellStyle name="60% - 강조색3 15" xfId="1641" xr:uid="{00000000-0005-0000-0000-0000F3050000}"/>
    <cellStyle name="60% - 강조색3 16" xfId="1642" xr:uid="{00000000-0005-0000-0000-0000F4050000}"/>
    <cellStyle name="60% - 강조색3 17" xfId="1643" xr:uid="{00000000-0005-0000-0000-0000F5050000}"/>
    <cellStyle name="60% - 강조색3 18" xfId="1644" xr:uid="{00000000-0005-0000-0000-0000F6050000}"/>
    <cellStyle name="60% - 강조색3 19" xfId="1645" xr:uid="{00000000-0005-0000-0000-0000F7050000}"/>
    <cellStyle name="60% - 강조색3 2" xfId="1646" xr:uid="{00000000-0005-0000-0000-0000F8050000}"/>
    <cellStyle name="60% - 강조색3 20" xfId="1647" xr:uid="{00000000-0005-0000-0000-0000F9050000}"/>
    <cellStyle name="60% - 강조색3 21" xfId="1648" xr:uid="{00000000-0005-0000-0000-0000FA050000}"/>
    <cellStyle name="60% - 강조색3 22" xfId="1649" xr:uid="{00000000-0005-0000-0000-0000FB050000}"/>
    <cellStyle name="60% - 강조색3 23" xfId="1650" xr:uid="{00000000-0005-0000-0000-0000FC050000}"/>
    <cellStyle name="60% - 강조색3 24" xfId="1651" xr:uid="{00000000-0005-0000-0000-0000FD050000}"/>
    <cellStyle name="60% - 강조색3 25" xfId="1652" xr:uid="{00000000-0005-0000-0000-0000FE050000}"/>
    <cellStyle name="60% - 강조색3 26" xfId="1653" xr:uid="{00000000-0005-0000-0000-0000FF050000}"/>
    <cellStyle name="60% - 강조색3 27" xfId="1654" xr:uid="{00000000-0005-0000-0000-000000060000}"/>
    <cellStyle name="60% - 강조색3 28" xfId="1655" xr:uid="{00000000-0005-0000-0000-000001060000}"/>
    <cellStyle name="60% - 강조색3 29" xfId="1656" xr:uid="{00000000-0005-0000-0000-000002060000}"/>
    <cellStyle name="60% - 강조색3 3" xfId="1657" xr:uid="{00000000-0005-0000-0000-000003060000}"/>
    <cellStyle name="60% - 강조색3 30" xfId="1658" xr:uid="{00000000-0005-0000-0000-000004060000}"/>
    <cellStyle name="60% - 강조색3 31" xfId="1659" xr:uid="{00000000-0005-0000-0000-000005060000}"/>
    <cellStyle name="60% - 강조색3 32" xfId="1660" xr:uid="{00000000-0005-0000-0000-000006060000}"/>
    <cellStyle name="60% - 강조색3 33" xfId="1661" xr:uid="{00000000-0005-0000-0000-000007060000}"/>
    <cellStyle name="60% - 강조색3 34" xfId="1662" xr:uid="{00000000-0005-0000-0000-000008060000}"/>
    <cellStyle name="60% - 강조색3 35" xfId="1663" xr:uid="{00000000-0005-0000-0000-000009060000}"/>
    <cellStyle name="60% - 강조색3 36" xfId="1664" xr:uid="{00000000-0005-0000-0000-00000A060000}"/>
    <cellStyle name="60% - 강조색3 37" xfId="1665" xr:uid="{00000000-0005-0000-0000-00000B060000}"/>
    <cellStyle name="60% - 강조색3 38" xfId="1666" xr:uid="{00000000-0005-0000-0000-00000C060000}"/>
    <cellStyle name="60% - 강조색3 39" xfId="1667" xr:uid="{00000000-0005-0000-0000-00000D060000}"/>
    <cellStyle name="60% - 강조색3 4" xfId="1668" xr:uid="{00000000-0005-0000-0000-00000E060000}"/>
    <cellStyle name="60% - 강조색3 40" xfId="1669" xr:uid="{00000000-0005-0000-0000-00000F060000}"/>
    <cellStyle name="60% - 강조색3 41" xfId="1670" xr:uid="{00000000-0005-0000-0000-000010060000}"/>
    <cellStyle name="60% - 강조색3 42" xfId="1671" xr:uid="{00000000-0005-0000-0000-000011060000}"/>
    <cellStyle name="60% - 강조색3 43" xfId="1672" xr:uid="{00000000-0005-0000-0000-000012060000}"/>
    <cellStyle name="60% - 강조색3 44" xfId="1673" xr:uid="{00000000-0005-0000-0000-000013060000}"/>
    <cellStyle name="60% - 강조색3 45" xfId="1674" xr:uid="{00000000-0005-0000-0000-000014060000}"/>
    <cellStyle name="60% - 강조색3 46" xfId="1675" xr:uid="{00000000-0005-0000-0000-000015060000}"/>
    <cellStyle name="60% - 강조색3 47" xfId="1676" xr:uid="{00000000-0005-0000-0000-000016060000}"/>
    <cellStyle name="60% - 강조색3 48" xfId="1677" xr:uid="{00000000-0005-0000-0000-000017060000}"/>
    <cellStyle name="60% - 강조색3 49" xfId="1678" xr:uid="{00000000-0005-0000-0000-000018060000}"/>
    <cellStyle name="60% - 강조색3 5" xfId="1679" xr:uid="{00000000-0005-0000-0000-000019060000}"/>
    <cellStyle name="60% - 강조색3 50" xfId="1680" xr:uid="{00000000-0005-0000-0000-00001A060000}"/>
    <cellStyle name="60% - 강조색3 51" xfId="1681" xr:uid="{00000000-0005-0000-0000-00001B060000}"/>
    <cellStyle name="60% - 강조색3 52" xfId="1682" xr:uid="{00000000-0005-0000-0000-00001C060000}"/>
    <cellStyle name="60% - 강조색3 53" xfId="1683" xr:uid="{00000000-0005-0000-0000-00001D060000}"/>
    <cellStyle name="60% - 강조색3 54" xfId="1684" xr:uid="{00000000-0005-0000-0000-00001E060000}"/>
    <cellStyle name="60% - 강조색3 55" xfId="1685" xr:uid="{00000000-0005-0000-0000-00001F060000}"/>
    <cellStyle name="60% - 강조색3 56" xfId="1686" xr:uid="{00000000-0005-0000-0000-000020060000}"/>
    <cellStyle name="60% - 강조색3 57" xfId="1687" xr:uid="{00000000-0005-0000-0000-000021060000}"/>
    <cellStyle name="60% - 강조색3 58" xfId="1688" xr:uid="{00000000-0005-0000-0000-000022060000}"/>
    <cellStyle name="60% - 강조색3 59" xfId="1689" xr:uid="{00000000-0005-0000-0000-000023060000}"/>
    <cellStyle name="60% - 강조색3 6" xfId="1690" xr:uid="{00000000-0005-0000-0000-000024060000}"/>
    <cellStyle name="60% - 강조색3 60" xfId="1691" xr:uid="{00000000-0005-0000-0000-000025060000}"/>
    <cellStyle name="60% - 강조색3 61" xfId="1692" xr:uid="{00000000-0005-0000-0000-000026060000}"/>
    <cellStyle name="60% - 강조색3 62" xfId="1693" xr:uid="{00000000-0005-0000-0000-000027060000}"/>
    <cellStyle name="60% - 강조색3 63" xfId="1694" xr:uid="{00000000-0005-0000-0000-000028060000}"/>
    <cellStyle name="60% - 강조색3 64" xfId="1695" xr:uid="{00000000-0005-0000-0000-000029060000}"/>
    <cellStyle name="60% - 강조색3 65" xfId="1696" xr:uid="{00000000-0005-0000-0000-00002A060000}"/>
    <cellStyle name="60% - 강조색3 66" xfId="1697" xr:uid="{00000000-0005-0000-0000-00002B060000}"/>
    <cellStyle name="60% - 강조색3 67" xfId="1698" xr:uid="{00000000-0005-0000-0000-00002C060000}"/>
    <cellStyle name="60% - 강조색3 68" xfId="1699" xr:uid="{00000000-0005-0000-0000-00002D060000}"/>
    <cellStyle name="60% - 강조색3 69" xfId="1700" xr:uid="{00000000-0005-0000-0000-00002E060000}"/>
    <cellStyle name="60% - 강조색3 7" xfId="1701" xr:uid="{00000000-0005-0000-0000-00002F060000}"/>
    <cellStyle name="60% - 강조색3 70" xfId="1702" xr:uid="{00000000-0005-0000-0000-000030060000}"/>
    <cellStyle name="60% - 강조색3 71" xfId="1703" xr:uid="{00000000-0005-0000-0000-000031060000}"/>
    <cellStyle name="60% - 강조색3 72" xfId="1704" xr:uid="{00000000-0005-0000-0000-000032060000}"/>
    <cellStyle name="60% - 강조색3 73" xfId="1705" xr:uid="{00000000-0005-0000-0000-000033060000}"/>
    <cellStyle name="60% - 강조색3 74" xfId="1706" xr:uid="{00000000-0005-0000-0000-000034060000}"/>
    <cellStyle name="60% - 강조색3 75" xfId="1707" xr:uid="{00000000-0005-0000-0000-000035060000}"/>
    <cellStyle name="60% - 강조색3 76" xfId="1708" xr:uid="{00000000-0005-0000-0000-000036060000}"/>
    <cellStyle name="60% - 강조색3 77" xfId="1709" xr:uid="{00000000-0005-0000-0000-000037060000}"/>
    <cellStyle name="60% - 강조색3 78" xfId="1710" xr:uid="{00000000-0005-0000-0000-000038060000}"/>
    <cellStyle name="60% - 강조색3 79" xfId="1711" xr:uid="{00000000-0005-0000-0000-000039060000}"/>
    <cellStyle name="60% - 강조색3 8" xfId="1712" xr:uid="{00000000-0005-0000-0000-00003A060000}"/>
    <cellStyle name="60% - 강조색3 80" xfId="1713" xr:uid="{00000000-0005-0000-0000-00003B060000}"/>
    <cellStyle name="60% - 강조색3 81" xfId="1714" xr:uid="{00000000-0005-0000-0000-00003C060000}"/>
    <cellStyle name="60% - 강조색3 82" xfId="1715" xr:uid="{00000000-0005-0000-0000-00003D060000}"/>
    <cellStyle name="60% - 강조색3 83" xfId="1716" xr:uid="{00000000-0005-0000-0000-00003E060000}"/>
    <cellStyle name="60% - 강조색3 84" xfId="1717" xr:uid="{00000000-0005-0000-0000-00003F060000}"/>
    <cellStyle name="60% - 강조색3 85" xfId="1718" xr:uid="{00000000-0005-0000-0000-000040060000}"/>
    <cellStyle name="60% - 강조색3 86" xfId="1719" xr:uid="{00000000-0005-0000-0000-000041060000}"/>
    <cellStyle name="60% - 강조색3 87" xfId="1720" xr:uid="{00000000-0005-0000-0000-000042060000}"/>
    <cellStyle name="60% - 강조색3 88" xfId="1721" xr:uid="{00000000-0005-0000-0000-000043060000}"/>
    <cellStyle name="60% - 강조색3 89" xfId="1722" xr:uid="{00000000-0005-0000-0000-000044060000}"/>
    <cellStyle name="60% - 강조색3 9" xfId="1723" xr:uid="{00000000-0005-0000-0000-000045060000}"/>
    <cellStyle name="60% - 강조색3 90" xfId="1724" xr:uid="{00000000-0005-0000-0000-000046060000}"/>
    <cellStyle name="60% - 강조색3 91" xfId="1725" xr:uid="{00000000-0005-0000-0000-000047060000}"/>
    <cellStyle name="60% - 강조색3 92" xfId="1726" xr:uid="{00000000-0005-0000-0000-000048060000}"/>
    <cellStyle name="60% - 강조색3 93" xfId="1727" xr:uid="{00000000-0005-0000-0000-000049060000}"/>
    <cellStyle name="60% - 강조색3 94" xfId="1728" xr:uid="{00000000-0005-0000-0000-00004A060000}"/>
    <cellStyle name="60% - 강조색3 95" xfId="1729" xr:uid="{00000000-0005-0000-0000-00004B060000}"/>
    <cellStyle name="60% - 강조색3 96" xfId="1730" xr:uid="{00000000-0005-0000-0000-00004C060000}"/>
    <cellStyle name="60% - 강조색3 97" xfId="1731" xr:uid="{00000000-0005-0000-0000-00004D060000}"/>
    <cellStyle name="60% - 강조색3 98" xfId="1732" xr:uid="{00000000-0005-0000-0000-00004E060000}"/>
    <cellStyle name="60% - 강조색3 99" xfId="1733" xr:uid="{00000000-0005-0000-0000-00004F060000}"/>
    <cellStyle name="60% - 강조색4 10" xfId="1734" xr:uid="{00000000-0005-0000-0000-000050060000}"/>
    <cellStyle name="60% - 강조색4 100" xfId="1735" xr:uid="{00000000-0005-0000-0000-000051060000}"/>
    <cellStyle name="60% - 강조색4 101" xfId="1736" xr:uid="{00000000-0005-0000-0000-000052060000}"/>
    <cellStyle name="60% - 강조색4 102" xfId="1737" xr:uid="{00000000-0005-0000-0000-000053060000}"/>
    <cellStyle name="60% - 강조색4 103" xfId="1738" xr:uid="{00000000-0005-0000-0000-000054060000}"/>
    <cellStyle name="60% - 강조색4 104" xfId="1739" xr:uid="{00000000-0005-0000-0000-000055060000}"/>
    <cellStyle name="60% - 강조색4 105" xfId="1740" xr:uid="{00000000-0005-0000-0000-000056060000}"/>
    <cellStyle name="60% - 강조색4 106" xfId="1741" xr:uid="{00000000-0005-0000-0000-000057060000}"/>
    <cellStyle name="60% - 강조색4 107" xfId="1742" xr:uid="{00000000-0005-0000-0000-000058060000}"/>
    <cellStyle name="60% - 강조색4 11" xfId="1743" xr:uid="{00000000-0005-0000-0000-000059060000}"/>
    <cellStyle name="60% - 강조색4 12" xfId="1744" xr:uid="{00000000-0005-0000-0000-00005A060000}"/>
    <cellStyle name="60% - 강조색4 13" xfId="1745" xr:uid="{00000000-0005-0000-0000-00005B060000}"/>
    <cellStyle name="60% - 강조색4 14" xfId="1746" xr:uid="{00000000-0005-0000-0000-00005C060000}"/>
    <cellStyle name="60% - 강조색4 15" xfId="1747" xr:uid="{00000000-0005-0000-0000-00005D060000}"/>
    <cellStyle name="60% - 강조색4 16" xfId="1748" xr:uid="{00000000-0005-0000-0000-00005E060000}"/>
    <cellStyle name="60% - 강조색4 17" xfId="1749" xr:uid="{00000000-0005-0000-0000-00005F060000}"/>
    <cellStyle name="60% - 강조색4 18" xfId="1750" xr:uid="{00000000-0005-0000-0000-000060060000}"/>
    <cellStyle name="60% - 강조색4 19" xfId="1751" xr:uid="{00000000-0005-0000-0000-000061060000}"/>
    <cellStyle name="60% - 강조색4 2" xfId="1752" xr:uid="{00000000-0005-0000-0000-000062060000}"/>
    <cellStyle name="60% - 강조색4 20" xfId="1753" xr:uid="{00000000-0005-0000-0000-000063060000}"/>
    <cellStyle name="60% - 강조색4 21" xfId="1754" xr:uid="{00000000-0005-0000-0000-000064060000}"/>
    <cellStyle name="60% - 강조색4 22" xfId="1755" xr:uid="{00000000-0005-0000-0000-000065060000}"/>
    <cellStyle name="60% - 강조색4 23" xfId="1756" xr:uid="{00000000-0005-0000-0000-000066060000}"/>
    <cellStyle name="60% - 강조색4 24" xfId="1757" xr:uid="{00000000-0005-0000-0000-000067060000}"/>
    <cellStyle name="60% - 강조색4 25" xfId="1758" xr:uid="{00000000-0005-0000-0000-000068060000}"/>
    <cellStyle name="60% - 강조색4 26" xfId="1759" xr:uid="{00000000-0005-0000-0000-000069060000}"/>
    <cellStyle name="60% - 강조색4 27" xfId="1760" xr:uid="{00000000-0005-0000-0000-00006A060000}"/>
    <cellStyle name="60% - 강조색4 28" xfId="1761" xr:uid="{00000000-0005-0000-0000-00006B060000}"/>
    <cellStyle name="60% - 강조색4 29" xfId="1762" xr:uid="{00000000-0005-0000-0000-00006C060000}"/>
    <cellStyle name="60% - 강조색4 3" xfId="1763" xr:uid="{00000000-0005-0000-0000-00006D060000}"/>
    <cellStyle name="60% - 강조색4 30" xfId="1764" xr:uid="{00000000-0005-0000-0000-00006E060000}"/>
    <cellStyle name="60% - 강조색4 31" xfId="1765" xr:uid="{00000000-0005-0000-0000-00006F060000}"/>
    <cellStyle name="60% - 강조색4 32" xfId="1766" xr:uid="{00000000-0005-0000-0000-000070060000}"/>
    <cellStyle name="60% - 강조색4 33" xfId="1767" xr:uid="{00000000-0005-0000-0000-000071060000}"/>
    <cellStyle name="60% - 강조색4 34" xfId="1768" xr:uid="{00000000-0005-0000-0000-000072060000}"/>
    <cellStyle name="60% - 강조색4 35" xfId="1769" xr:uid="{00000000-0005-0000-0000-000073060000}"/>
    <cellStyle name="60% - 강조색4 36" xfId="1770" xr:uid="{00000000-0005-0000-0000-000074060000}"/>
    <cellStyle name="60% - 강조색4 37" xfId="1771" xr:uid="{00000000-0005-0000-0000-000075060000}"/>
    <cellStyle name="60% - 강조색4 38" xfId="1772" xr:uid="{00000000-0005-0000-0000-000076060000}"/>
    <cellStyle name="60% - 강조색4 39" xfId="1773" xr:uid="{00000000-0005-0000-0000-000077060000}"/>
    <cellStyle name="60% - 강조색4 4" xfId="1774" xr:uid="{00000000-0005-0000-0000-000078060000}"/>
    <cellStyle name="60% - 강조색4 40" xfId="1775" xr:uid="{00000000-0005-0000-0000-000079060000}"/>
    <cellStyle name="60% - 강조색4 41" xfId="1776" xr:uid="{00000000-0005-0000-0000-00007A060000}"/>
    <cellStyle name="60% - 강조색4 42" xfId="1777" xr:uid="{00000000-0005-0000-0000-00007B060000}"/>
    <cellStyle name="60% - 강조색4 43" xfId="1778" xr:uid="{00000000-0005-0000-0000-00007C060000}"/>
    <cellStyle name="60% - 강조색4 44" xfId="1779" xr:uid="{00000000-0005-0000-0000-00007D060000}"/>
    <cellStyle name="60% - 강조색4 45" xfId="1780" xr:uid="{00000000-0005-0000-0000-00007E060000}"/>
    <cellStyle name="60% - 강조색4 46" xfId="1781" xr:uid="{00000000-0005-0000-0000-00007F060000}"/>
    <cellStyle name="60% - 강조색4 47" xfId="1782" xr:uid="{00000000-0005-0000-0000-000080060000}"/>
    <cellStyle name="60% - 강조색4 48" xfId="1783" xr:uid="{00000000-0005-0000-0000-000081060000}"/>
    <cellStyle name="60% - 강조색4 49" xfId="1784" xr:uid="{00000000-0005-0000-0000-000082060000}"/>
    <cellStyle name="60% - 강조색4 5" xfId="1785" xr:uid="{00000000-0005-0000-0000-000083060000}"/>
    <cellStyle name="60% - 강조색4 50" xfId="1786" xr:uid="{00000000-0005-0000-0000-000084060000}"/>
    <cellStyle name="60% - 강조색4 51" xfId="1787" xr:uid="{00000000-0005-0000-0000-000085060000}"/>
    <cellStyle name="60% - 강조색4 52" xfId="1788" xr:uid="{00000000-0005-0000-0000-000086060000}"/>
    <cellStyle name="60% - 강조색4 53" xfId="1789" xr:uid="{00000000-0005-0000-0000-000087060000}"/>
    <cellStyle name="60% - 강조색4 54" xfId="1790" xr:uid="{00000000-0005-0000-0000-000088060000}"/>
    <cellStyle name="60% - 강조색4 55" xfId="1791" xr:uid="{00000000-0005-0000-0000-000089060000}"/>
    <cellStyle name="60% - 강조색4 56" xfId="1792" xr:uid="{00000000-0005-0000-0000-00008A060000}"/>
    <cellStyle name="60% - 강조색4 57" xfId="1793" xr:uid="{00000000-0005-0000-0000-00008B060000}"/>
    <cellStyle name="60% - 강조색4 58" xfId="1794" xr:uid="{00000000-0005-0000-0000-00008C060000}"/>
    <cellStyle name="60% - 강조색4 59" xfId="1795" xr:uid="{00000000-0005-0000-0000-00008D060000}"/>
    <cellStyle name="60% - 강조색4 6" xfId="1796" xr:uid="{00000000-0005-0000-0000-00008E060000}"/>
    <cellStyle name="60% - 강조색4 60" xfId="1797" xr:uid="{00000000-0005-0000-0000-00008F060000}"/>
    <cellStyle name="60% - 강조색4 61" xfId="1798" xr:uid="{00000000-0005-0000-0000-000090060000}"/>
    <cellStyle name="60% - 강조색4 62" xfId="1799" xr:uid="{00000000-0005-0000-0000-000091060000}"/>
    <cellStyle name="60% - 강조색4 63" xfId="1800" xr:uid="{00000000-0005-0000-0000-000092060000}"/>
    <cellStyle name="60% - 강조색4 64" xfId="1801" xr:uid="{00000000-0005-0000-0000-000093060000}"/>
    <cellStyle name="60% - 강조색4 65" xfId="1802" xr:uid="{00000000-0005-0000-0000-000094060000}"/>
    <cellStyle name="60% - 강조색4 66" xfId="1803" xr:uid="{00000000-0005-0000-0000-000095060000}"/>
    <cellStyle name="60% - 강조색4 67" xfId="1804" xr:uid="{00000000-0005-0000-0000-000096060000}"/>
    <cellStyle name="60% - 강조색4 68" xfId="1805" xr:uid="{00000000-0005-0000-0000-000097060000}"/>
    <cellStyle name="60% - 강조색4 69" xfId="1806" xr:uid="{00000000-0005-0000-0000-000098060000}"/>
    <cellStyle name="60% - 강조색4 7" xfId="1807" xr:uid="{00000000-0005-0000-0000-000099060000}"/>
    <cellStyle name="60% - 강조색4 70" xfId="1808" xr:uid="{00000000-0005-0000-0000-00009A060000}"/>
    <cellStyle name="60% - 강조색4 71" xfId="1809" xr:uid="{00000000-0005-0000-0000-00009B060000}"/>
    <cellStyle name="60% - 강조색4 72" xfId="1810" xr:uid="{00000000-0005-0000-0000-00009C060000}"/>
    <cellStyle name="60% - 강조색4 73" xfId="1811" xr:uid="{00000000-0005-0000-0000-00009D060000}"/>
    <cellStyle name="60% - 강조색4 74" xfId="1812" xr:uid="{00000000-0005-0000-0000-00009E060000}"/>
    <cellStyle name="60% - 강조색4 75" xfId="1813" xr:uid="{00000000-0005-0000-0000-00009F060000}"/>
    <cellStyle name="60% - 강조색4 76" xfId="1814" xr:uid="{00000000-0005-0000-0000-0000A0060000}"/>
    <cellStyle name="60% - 강조색4 77" xfId="1815" xr:uid="{00000000-0005-0000-0000-0000A1060000}"/>
    <cellStyle name="60% - 강조색4 78" xfId="1816" xr:uid="{00000000-0005-0000-0000-0000A2060000}"/>
    <cellStyle name="60% - 강조색4 79" xfId="1817" xr:uid="{00000000-0005-0000-0000-0000A3060000}"/>
    <cellStyle name="60% - 강조색4 8" xfId="1818" xr:uid="{00000000-0005-0000-0000-0000A4060000}"/>
    <cellStyle name="60% - 강조색4 80" xfId="1819" xr:uid="{00000000-0005-0000-0000-0000A5060000}"/>
    <cellStyle name="60% - 강조색4 81" xfId="1820" xr:uid="{00000000-0005-0000-0000-0000A6060000}"/>
    <cellStyle name="60% - 강조색4 82" xfId="1821" xr:uid="{00000000-0005-0000-0000-0000A7060000}"/>
    <cellStyle name="60% - 강조색4 83" xfId="1822" xr:uid="{00000000-0005-0000-0000-0000A8060000}"/>
    <cellStyle name="60% - 강조색4 84" xfId="1823" xr:uid="{00000000-0005-0000-0000-0000A9060000}"/>
    <cellStyle name="60% - 강조색4 85" xfId="1824" xr:uid="{00000000-0005-0000-0000-0000AA060000}"/>
    <cellStyle name="60% - 강조색4 86" xfId="1825" xr:uid="{00000000-0005-0000-0000-0000AB060000}"/>
    <cellStyle name="60% - 강조색4 87" xfId="1826" xr:uid="{00000000-0005-0000-0000-0000AC060000}"/>
    <cellStyle name="60% - 강조색4 88" xfId="1827" xr:uid="{00000000-0005-0000-0000-0000AD060000}"/>
    <cellStyle name="60% - 강조색4 89" xfId="1828" xr:uid="{00000000-0005-0000-0000-0000AE060000}"/>
    <cellStyle name="60% - 강조색4 9" xfId="1829" xr:uid="{00000000-0005-0000-0000-0000AF060000}"/>
    <cellStyle name="60% - 강조색4 90" xfId="1830" xr:uid="{00000000-0005-0000-0000-0000B0060000}"/>
    <cellStyle name="60% - 강조색4 91" xfId="1831" xr:uid="{00000000-0005-0000-0000-0000B1060000}"/>
    <cellStyle name="60% - 강조색4 92" xfId="1832" xr:uid="{00000000-0005-0000-0000-0000B2060000}"/>
    <cellStyle name="60% - 강조색4 93" xfId="1833" xr:uid="{00000000-0005-0000-0000-0000B3060000}"/>
    <cellStyle name="60% - 강조색4 94" xfId="1834" xr:uid="{00000000-0005-0000-0000-0000B4060000}"/>
    <cellStyle name="60% - 강조색4 95" xfId="1835" xr:uid="{00000000-0005-0000-0000-0000B5060000}"/>
    <cellStyle name="60% - 강조색4 96" xfId="1836" xr:uid="{00000000-0005-0000-0000-0000B6060000}"/>
    <cellStyle name="60% - 강조색4 97" xfId="1837" xr:uid="{00000000-0005-0000-0000-0000B7060000}"/>
    <cellStyle name="60% - 강조색4 98" xfId="1838" xr:uid="{00000000-0005-0000-0000-0000B8060000}"/>
    <cellStyle name="60% - 강조색4 99" xfId="1839" xr:uid="{00000000-0005-0000-0000-0000B9060000}"/>
    <cellStyle name="60% - 강조색5 10" xfId="1840" xr:uid="{00000000-0005-0000-0000-0000BA060000}"/>
    <cellStyle name="60% - 강조색5 100" xfId="1841" xr:uid="{00000000-0005-0000-0000-0000BB060000}"/>
    <cellStyle name="60% - 강조색5 101" xfId="1842" xr:uid="{00000000-0005-0000-0000-0000BC060000}"/>
    <cellStyle name="60% - 강조색5 102" xfId="1843" xr:uid="{00000000-0005-0000-0000-0000BD060000}"/>
    <cellStyle name="60% - 강조색5 103" xfId="1844" xr:uid="{00000000-0005-0000-0000-0000BE060000}"/>
    <cellStyle name="60% - 강조색5 104" xfId="1845" xr:uid="{00000000-0005-0000-0000-0000BF060000}"/>
    <cellStyle name="60% - 강조색5 105" xfId="1846" xr:uid="{00000000-0005-0000-0000-0000C0060000}"/>
    <cellStyle name="60% - 강조색5 106" xfId="1847" xr:uid="{00000000-0005-0000-0000-0000C1060000}"/>
    <cellStyle name="60% - 강조색5 107" xfId="1848" xr:uid="{00000000-0005-0000-0000-0000C2060000}"/>
    <cellStyle name="60% - 강조색5 11" xfId="1849" xr:uid="{00000000-0005-0000-0000-0000C3060000}"/>
    <cellStyle name="60% - 강조색5 12" xfId="1850" xr:uid="{00000000-0005-0000-0000-0000C4060000}"/>
    <cellStyle name="60% - 강조색5 13" xfId="1851" xr:uid="{00000000-0005-0000-0000-0000C5060000}"/>
    <cellStyle name="60% - 강조색5 14" xfId="1852" xr:uid="{00000000-0005-0000-0000-0000C6060000}"/>
    <cellStyle name="60% - 강조색5 15" xfId="1853" xr:uid="{00000000-0005-0000-0000-0000C7060000}"/>
    <cellStyle name="60% - 강조색5 16" xfId="1854" xr:uid="{00000000-0005-0000-0000-0000C8060000}"/>
    <cellStyle name="60% - 강조색5 17" xfId="1855" xr:uid="{00000000-0005-0000-0000-0000C9060000}"/>
    <cellStyle name="60% - 강조색5 18" xfId="1856" xr:uid="{00000000-0005-0000-0000-0000CA060000}"/>
    <cellStyle name="60% - 강조색5 19" xfId="1857" xr:uid="{00000000-0005-0000-0000-0000CB060000}"/>
    <cellStyle name="60% - 강조색5 2" xfId="1858" xr:uid="{00000000-0005-0000-0000-0000CC060000}"/>
    <cellStyle name="60% - 강조색5 20" xfId="1859" xr:uid="{00000000-0005-0000-0000-0000CD060000}"/>
    <cellStyle name="60% - 강조색5 21" xfId="1860" xr:uid="{00000000-0005-0000-0000-0000CE060000}"/>
    <cellStyle name="60% - 강조색5 22" xfId="1861" xr:uid="{00000000-0005-0000-0000-0000CF060000}"/>
    <cellStyle name="60% - 강조색5 23" xfId="1862" xr:uid="{00000000-0005-0000-0000-0000D0060000}"/>
    <cellStyle name="60% - 강조색5 24" xfId="1863" xr:uid="{00000000-0005-0000-0000-0000D1060000}"/>
    <cellStyle name="60% - 강조색5 25" xfId="1864" xr:uid="{00000000-0005-0000-0000-0000D2060000}"/>
    <cellStyle name="60% - 강조색5 26" xfId="1865" xr:uid="{00000000-0005-0000-0000-0000D3060000}"/>
    <cellStyle name="60% - 강조색5 27" xfId="1866" xr:uid="{00000000-0005-0000-0000-0000D4060000}"/>
    <cellStyle name="60% - 강조색5 28" xfId="1867" xr:uid="{00000000-0005-0000-0000-0000D5060000}"/>
    <cellStyle name="60% - 강조색5 29" xfId="1868" xr:uid="{00000000-0005-0000-0000-0000D6060000}"/>
    <cellStyle name="60% - 강조색5 3" xfId="1869" xr:uid="{00000000-0005-0000-0000-0000D7060000}"/>
    <cellStyle name="60% - 강조색5 30" xfId="1870" xr:uid="{00000000-0005-0000-0000-0000D8060000}"/>
    <cellStyle name="60% - 강조색5 31" xfId="1871" xr:uid="{00000000-0005-0000-0000-0000D9060000}"/>
    <cellStyle name="60% - 강조색5 32" xfId="1872" xr:uid="{00000000-0005-0000-0000-0000DA060000}"/>
    <cellStyle name="60% - 강조색5 33" xfId="1873" xr:uid="{00000000-0005-0000-0000-0000DB060000}"/>
    <cellStyle name="60% - 강조색5 34" xfId="1874" xr:uid="{00000000-0005-0000-0000-0000DC060000}"/>
    <cellStyle name="60% - 강조색5 35" xfId="1875" xr:uid="{00000000-0005-0000-0000-0000DD060000}"/>
    <cellStyle name="60% - 강조색5 36" xfId="1876" xr:uid="{00000000-0005-0000-0000-0000DE060000}"/>
    <cellStyle name="60% - 강조색5 37" xfId="1877" xr:uid="{00000000-0005-0000-0000-0000DF060000}"/>
    <cellStyle name="60% - 강조색5 38" xfId="1878" xr:uid="{00000000-0005-0000-0000-0000E0060000}"/>
    <cellStyle name="60% - 강조색5 39" xfId="1879" xr:uid="{00000000-0005-0000-0000-0000E1060000}"/>
    <cellStyle name="60% - 강조색5 4" xfId="1880" xr:uid="{00000000-0005-0000-0000-0000E2060000}"/>
    <cellStyle name="60% - 강조색5 40" xfId="1881" xr:uid="{00000000-0005-0000-0000-0000E3060000}"/>
    <cellStyle name="60% - 강조색5 41" xfId="1882" xr:uid="{00000000-0005-0000-0000-0000E4060000}"/>
    <cellStyle name="60% - 강조색5 42" xfId="1883" xr:uid="{00000000-0005-0000-0000-0000E5060000}"/>
    <cellStyle name="60% - 강조색5 43" xfId="1884" xr:uid="{00000000-0005-0000-0000-0000E6060000}"/>
    <cellStyle name="60% - 강조색5 44" xfId="1885" xr:uid="{00000000-0005-0000-0000-0000E7060000}"/>
    <cellStyle name="60% - 강조색5 45" xfId="1886" xr:uid="{00000000-0005-0000-0000-0000E8060000}"/>
    <cellStyle name="60% - 강조색5 46" xfId="1887" xr:uid="{00000000-0005-0000-0000-0000E9060000}"/>
    <cellStyle name="60% - 강조색5 47" xfId="1888" xr:uid="{00000000-0005-0000-0000-0000EA060000}"/>
    <cellStyle name="60% - 강조색5 48" xfId="1889" xr:uid="{00000000-0005-0000-0000-0000EB060000}"/>
    <cellStyle name="60% - 강조색5 49" xfId="1890" xr:uid="{00000000-0005-0000-0000-0000EC060000}"/>
    <cellStyle name="60% - 강조색5 5" xfId="1891" xr:uid="{00000000-0005-0000-0000-0000ED060000}"/>
    <cellStyle name="60% - 강조색5 50" xfId="1892" xr:uid="{00000000-0005-0000-0000-0000EE060000}"/>
    <cellStyle name="60% - 강조색5 51" xfId="1893" xr:uid="{00000000-0005-0000-0000-0000EF060000}"/>
    <cellStyle name="60% - 강조색5 52" xfId="1894" xr:uid="{00000000-0005-0000-0000-0000F0060000}"/>
    <cellStyle name="60% - 강조색5 53" xfId="1895" xr:uid="{00000000-0005-0000-0000-0000F1060000}"/>
    <cellStyle name="60% - 강조색5 54" xfId="1896" xr:uid="{00000000-0005-0000-0000-0000F2060000}"/>
    <cellStyle name="60% - 강조색5 55" xfId="1897" xr:uid="{00000000-0005-0000-0000-0000F3060000}"/>
    <cellStyle name="60% - 강조색5 56" xfId="1898" xr:uid="{00000000-0005-0000-0000-0000F4060000}"/>
    <cellStyle name="60% - 강조색5 57" xfId="1899" xr:uid="{00000000-0005-0000-0000-0000F5060000}"/>
    <cellStyle name="60% - 강조색5 58" xfId="1900" xr:uid="{00000000-0005-0000-0000-0000F6060000}"/>
    <cellStyle name="60% - 강조색5 59" xfId="1901" xr:uid="{00000000-0005-0000-0000-0000F7060000}"/>
    <cellStyle name="60% - 강조색5 6" xfId="1902" xr:uid="{00000000-0005-0000-0000-0000F8060000}"/>
    <cellStyle name="60% - 강조색5 60" xfId="1903" xr:uid="{00000000-0005-0000-0000-0000F9060000}"/>
    <cellStyle name="60% - 강조색5 61" xfId="1904" xr:uid="{00000000-0005-0000-0000-0000FA060000}"/>
    <cellStyle name="60% - 강조색5 62" xfId="1905" xr:uid="{00000000-0005-0000-0000-0000FB060000}"/>
    <cellStyle name="60% - 강조색5 63" xfId="1906" xr:uid="{00000000-0005-0000-0000-0000FC060000}"/>
    <cellStyle name="60% - 강조색5 64" xfId="1907" xr:uid="{00000000-0005-0000-0000-0000FD060000}"/>
    <cellStyle name="60% - 강조색5 65" xfId="1908" xr:uid="{00000000-0005-0000-0000-0000FE060000}"/>
    <cellStyle name="60% - 강조색5 66" xfId="1909" xr:uid="{00000000-0005-0000-0000-0000FF060000}"/>
    <cellStyle name="60% - 강조색5 67" xfId="1910" xr:uid="{00000000-0005-0000-0000-000000070000}"/>
    <cellStyle name="60% - 강조색5 68" xfId="1911" xr:uid="{00000000-0005-0000-0000-000001070000}"/>
    <cellStyle name="60% - 강조색5 69" xfId="1912" xr:uid="{00000000-0005-0000-0000-000002070000}"/>
    <cellStyle name="60% - 강조색5 7" xfId="1913" xr:uid="{00000000-0005-0000-0000-000003070000}"/>
    <cellStyle name="60% - 강조색5 70" xfId="1914" xr:uid="{00000000-0005-0000-0000-000004070000}"/>
    <cellStyle name="60% - 강조색5 71" xfId="1915" xr:uid="{00000000-0005-0000-0000-000005070000}"/>
    <cellStyle name="60% - 강조색5 72" xfId="1916" xr:uid="{00000000-0005-0000-0000-000006070000}"/>
    <cellStyle name="60% - 강조색5 73" xfId="1917" xr:uid="{00000000-0005-0000-0000-000007070000}"/>
    <cellStyle name="60% - 강조색5 74" xfId="1918" xr:uid="{00000000-0005-0000-0000-000008070000}"/>
    <cellStyle name="60% - 강조색5 75" xfId="1919" xr:uid="{00000000-0005-0000-0000-000009070000}"/>
    <cellStyle name="60% - 강조색5 76" xfId="1920" xr:uid="{00000000-0005-0000-0000-00000A070000}"/>
    <cellStyle name="60% - 강조색5 77" xfId="1921" xr:uid="{00000000-0005-0000-0000-00000B070000}"/>
    <cellStyle name="60% - 강조색5 78" xfId="1922" xr:uid="{00000000-0005-0000-0000-00000C070000}"/>
    <cellStyle name="60% - 강조색5 79" xfId="1923" xr:uid="{00000000-0005-0000-0000-00000D070000}"/>
    <cellStyle name="60% - 강조색5 8" xfId="1924" xr:uid="{00000000-0005-0000-0000-00000E070000}"/>
    <cellStyle name="60% - 강조색5 80" xfId="1925" xr:uid="{00000000-0005-0000-0000-00000F070000}"/>
    <cellStyle name="60% - 강조색5 81" xfId="1926" xr:uid="{00000000-0005-0000-0000-000010070000}"/>
    <cellStyle name="60% - 강조색5 82" xfId="1927" xr:uid="{00000000-0005-0000-0000-000011070000}"/>
    <cellStyle name="60% - 강조색5 83" xfId="1928" xr:uid="{00000000-0005-0000-0000-000012070000}"/>
    <cellStyle name="60% - 강조색5 84" xfId="1929" xr:uid="{00000000-0005-0000-0000-000013070000}"/>
    <cellStyle name="60% - 강조색5 85" xfId="1930" xr:uid="{00000000-0005-0000-0000-000014070000}"/>
    <cellStyle name="60% - 강조색5 86" xfId="1931" xr:uid="{00000000-0005-0000-0000-000015070000}"/>
    <cellStyle name="60% - 강조색5 87" xfId="1932" xr:uid="{00000000-0005-0000-0000-000016070000}"/>
    <cellStyle name="60% - 강조색5 88" xfId="1933" xr:uid="{00000000-0005-0000-0000-000017070000}"/>
    <cellStyle name="60% - 강조색5 89" xfId="1934" xr:uid="{00000000-0005-0000-0000-000018070000}"/>
    <cellStyle name="60% - 강조색5 9" xfId="1935" xr:uid="{00000000-0005-0000-0000-000019070000}"/>
    <cellStyle name="60% - 강조색5 90" xfId="1936" xr:uid="{00000000-0005-0000-0000-00001A070000}"/>
    <cellStyle name="60% - 강조색5 91" xfId="1937" xr:uid="{00000000-0005-0000-0000-00001B070000}"/>
    <cellStyle name="60% - 강조색5 92" xfId="1938" xr:uid="{00000000-0005-0000-0000-00001C070000}"/>
    <cellStyle name="60% - 강조색5 93" xfId="1939" xr:uid="{00000000-0005-0000-0000-00001D070000}"/>
    <cellStyle name="60% - 강조색5 94" xfId="1940" xr:uid="{00000000-0005-0000-0000-00001E070000}"/>
    <cellStyle name="60% - 강조색5 95" xfId="1941" xr:uid="{00000000-0005-0000-0000-00001F070000}"/>
    <cellStyle name="60% - 강조색5 96" xfId="1942" xr:uid="{00000000-0005-0000-0000-000020070000}"/>
    <cellStyle name="60% - 강조색5 97" xfId="1943" xr:uid="{00000000-0005-0000-0000-000021070000}"/>
    <cellStyle name="60% - 강조색5 98" xfId="1944" xr:uid="{00000000-0005-0000-0000-000022070000}"/>
    <cellStyle name="60% - 강조색5 99" xfId="1945" xr:uid="{00000000-0005-0000-0000-000023070000}"/>
    <cellStyle name="60% - 강조색6 10" xfId="1946" xr:uid="{00000000-0005-0000-0000-000024070000}"/>
    <cellStyle name="60% - 강조색6 100" xfId="1947" xr:uid="{00000000-0005-0000-0000-000025070000}"/>
    <cellStyle name="60% - 강조색6 101" xfId="1948" xr:uid="{00000000-0005-0000-0000-000026070000}"/>
    <cellStyle name="60% - 강조색6 102" xfId="1949" xr:uid="{00000000-0005-0000-0000-000027070000}"/>
    <cellStyle name="60% - 강조색6 103" xfId="1950" xr:uid="{00000000-0005-0000-0000-000028070000}"/>
    <cellStyle name="60% - 강조색6 104" xfId="1951" xr:uid="{00000000-0005-0000-0000-000029070000}"/>
    <cellStyle name="60% - 강조색6 105" xfId="1952" xr:uid="{00000000-0005-0000-0000-00002A070000}"/>
    <cellStyle name="60% - 강조색6 106" xfId="1953" xr:uid="{00000000-0005-0000-0000-00002B070000}"/>
    <cellStyle name="60% - 강조색6 107" xfId="1954" xr:uid="{00000000-0005-0000-0000-00002C070000}"/>
    <cellStyle name="60% - 강조색6 11" xfId="1955" xr:uid="{00000000-0005-0000-0000-00002D070000}"/>
    <cellStyle name="60% - 강조색6 12" xfId="1956" xr:uid="{00000000-0005-0000-0000-00002E070000}"/>
    <cellStyle name="60% - 강조색6 13" xfId="1957" xr:uid="{00000000-0005-0000-0000-00002F070000}"/>
    <cellStyle name="60% - 강조색6 14" xfId="1958" xr:uid="{00000000-0005-0000-0000-000030070000}"/>
    <cellStyle name="60% - 강조색6 15" xfId="1959" xr:uid="{00000000-0005-0000-0000-000031070000}"/>
    <cellStyle name="60% - 강조색6 16" xfId="1960" xr:uid="{00000000-0005-0000-0000-000032070000}"/>
    <cellStyle name="60% - 강조색6 17" xfId="1961" xr:uid="{00000000-0005-0000-0000-000033070000}"/>
    <cellStyle name="60% - 강조색6 18" xfId="1962" xr:uid="{00000000-0005-0000-0000-000034070000}"/>
    <cellStyle name="60% - 강조색6 19" xfId="1963" xr:uid="{00000000-0005-0000-0000-000035070000}"/>
    <cellStyle name="60% - 강조색6 2" xfId="1964" xr:uid="{00000000-0005-0000-0000-000036070000}"/>
    <cellStyle name="60% - 강조색6 20" xfId="1965" xr:uid="{00000000-0005-0000-0000-000037070000}"/>
    <cellStyle name="60% - 강조색6 21" xfId="1966" xr:uid="{00000000-0005-0000-0000-000038070000}"/>
    <cellStyle name="60% - 강조색6 22" xfId="1967" xr:uid="{00000000-0005-0000-0000-000039070000}"/>
    <cellStyle name="60% - 강조색6 23" xfId="1968" xr:uid="{00000000-0005-0000-0000-00003A070000}"/>
    <cellStyle name="60% - 강조색6 24" xfId="1969" xr:uid="{00000000-0005-0000-0000-00003B070000}"/>
    <cellStyle name="60% - 강조색6 25" xfId="1970" xr:uid="{00000000-0005-0000-0000-00003C070000}"/>
    <cellStyle name="60% - 강조색6 26" xfId="1971" xr:uid="{00000000-0005-0000-0000-00003D070000}"/>
    <cellStyle name="60% - 강조색6 27" xfId="1972" xr:uid="{00000000-0005-0000-0000-00003E070000}"/>
    <cellStyle name="60% - 강조색6 28" xfId="1973" xr:uid="{00000000-0005-0000-0000-00003F070000}"/>
    <cellStyle name="60% - 강조색6 29" xfId="1974" xr:uid="{00000000-0005-0000-0000-000040070000}"/>
    <cellStyle name="60% - 강조색6 3" xfId="1975" xr:uid="{00000000-0005-0000-0000-000041070000}"/>
    <cellStyle name="60% - 강조색6 30" xfId="1976" xr:uid="{00000000-0005-0000-0000-000042070000}"/>
    <cellStyle name="60% - 강조색6 31" xfId="1977" xr:uid="{00000000-0005-0000-0000-000043070000}"/>
    <cellStyle name="60% - 강조색6 32" xfId="1978" xr:uid="{00000000-0005-0000-0000-000044070000}"/>
    <cellStyle name="60% - 강조색6 33" xfId="1979" xr:uid="{00000000-0005-0000-0000-000045070000}"/>
    <cellStyle name="60% - 강조색6 34" xfId="1980" xr:uid="{00000000-0005-0000-0000-000046070000}"/>
    <cellStyle name="60% - 강조색6 35" xfId="1981" xr:uid="{00000000-0005-0000-0000-000047070000}"/>
    <cellStyle name="60% - 강조색6 36" xfId="1982" xr:uid="{00000000-0005-0000-0000-000048070000}"/>
    <cellStyle name="60% - 강조색6 37" xfId="1983" xr:uid="{00000000-0005-0000-0000-000049070000}"/>
    <cellStyle name="60% - 강조색6 38" xfId="1984" xr:uid="{00000000-0005-0000-0000-00004A070000}"/>
    <cellStyle name="60% - 강조색6 39" xfId="1985" xr:uid="{00000000-0005-0000-0000-00004B070000}"/>
    <cellStyle name="60% - 강조색6 4" xfId="1986" xr:uid="{00000000-0005-0000-0000-00004C070000}"/>
    <cellStyle name="60% - 강조색6 40" xfId="1987" xr:uid="{00000000-0005-0000-0000-00004D070000}"/>
    <cellStyle name="60% - 강조색6 41" xfId="1988" xr:uid="{00000000-0005-0000-0000-00004E070000}"/>
    <cellStyle name="60% - 강조색6 42" xfId="1989" xr:uid="{00000000-0005-0000-0000-00004F070000}"/>
    <cellStyle name="60% - 강조색6 43" xfId="1990" xr:uid="{00000000-0005-0000-0000-000050070000}"/>
    <cellStyle name="60% - 강조색6 44" xfId="1991" xr:uid="{00000000-0005-0000-0000-000051070000}"/>
    <cellStyle name="60% - 강조색6 45" xfId="1992" xr:uid="{00000000-0005-0000-0000-000052070000}"/>
    <cellStyle name="60% - 강조색6 46" xfId="1993" xr:uid="{00000000-0005-0000-0000-000053070000}"/>
    <cellStyle name="60% - 강조색6 47" xfId="1994" xr:uid="{00000000-0005-0000-0000-000054070000}"/>
    <cellStyle name="60% - 강조색6 48" xfId="1995" xr:uid="{00000000-0005-0000-0000-000055070000}"/>
    <cellStyle name="60% - 강조색6 49" xfId="1996" xr:uid="{00000000-0005-0000-0000-000056070000}"/>
    <cellStyle name="60% - 강조색6 5" xfId="1997" xr:uid="{00000000-0005-0000-0000-000057070000}"/>
    <cellStyle name="60% - 강조색6 50" xfId="1998" xr:uid="{00000000-0005-0000-0000-000058070000}"/>
    <cellStyle name="60% - 강조색6 51" xfId="1999" xr:uid="{00000000-0005-0000-0000-000059070000}"/>
    <cellStyle name="60% - 강조색6 52" xfId="2000" xr:uid="{00000000-0005-0000-0000-00005A070000}"/>
    <cellStyle name="60% - 강조색6 53" xfId="2001" xr:uid="{00000000-0005-0000-0000-00005B070000}"/>
    <cellStyle name="60% - 강조색6 54" xfId="2002" xr:uid="{00000000-0005-0000-0000-00005C070000}"/>
    <cellStyle name="60% - 강조색6 55" xfId="2003" xr:uid="{00000000-0005-0000-0000-00005D070000}"/>
    <cellStyle name="60% - 강조색6 56" xfId="2004" xr:uid="{00000000-0005-0000-0000-00005E070000}"/>
    <cellStyle name="60% - 강조색6 57" xfId="2005" xr:uid="{00000000-0005-0000-0000-00005F070000}"/>
    <cellStyle name="60% - 강조색6 58" xfId="2006" xr:uid="{00000000-0005-0000-0000-000060070000}"/>
    <cellStyle name="60% - 강조색6 59" xfId="2007" xr:uid="{00000000-0005-0000-0000-000061070000}"/>
    <cellStyle name="60% - 강조색6 6" xfId="2008" xr:uid="{00000000-0005-0000-0000-000062070000}"/>
    <cellStyle name="60% - 강조색6 60" xfId="2009" xr:uid="{00000000-0005-0000-0000-000063070000}"/>
    <cellStyle name="60% - 강조색6 61" xfId="2010" xr:uid="{00000000-0005-0000-0000-000064070000}"/>
    <cellStyle name="60% - 강조색6 62" xfId="2011" xr:uid="{00000000-0005-0000-0000-000065070000}"/>
    <cellStyle name="60% - 강조색6 63" xfId="2012" xr:uid="{00000000-0005-0000-0000-000066070000}"/>
    <cellStyle name="60% - 강조색6 64" xfId="2013" xr:uid="{00000000-0005-0000-0000-000067070000}"/>
    <cellStyle name="60% - 강조색6 65" xfId="2014" xr:uid="{00000000-0005-0000-0000-000068070000}"/>
    <cellStyle name="60% - 강조색6 66" xfId="2015" xr:uid="{00000000-0005-0000-0000-000069070000}"/>
    <cellStyle name="60% - 강조색6 67" xfId="2016" xr:uid="{00000000-0005-0000-0000-00006A070000}"/>
    <cellStyle name="60% - 강조색6 68" xfId="2017" xr:uid="{00000000-0005-0000-0000-00006B070000}"/>
    <cellStyle name="60% - 강조색6 69" xfId="2018" xr:uid="{00000000-0005-0000-0000-00006C070000}"/>
    <cellStyle name="60% - 강조색6 7" xfId="2019" xr:uid="{00000000-0005-0000-0000-00006D070000}"/>
    <cellStyle name="60% - 강조색6 70" xfId="2020" xr:uid="{00000000-0005-0000-0000-00006E070000}"/>
    <cellStyle name="60% - 강조색6 71" xfId="2021" xr:uid="{00000000-0005-0000-0000-00006F070000}"/>
    <cellStyle name="60% - 강조색6 72" xfId="2022" xr:uid="{00000000-0005-0000-0000-000070070000}"/>
    <cellStyle name="60% - 강조색6 73" xfId="2023" xr:uid="{00000000-0005-0000-0000-000071070000}"/>
    <cellStyle name="60% - 강조색6 74" xfId="2024" xr:uid="{00000000-0005-0000-0000-000072070000}"/>
    <cellStyle name="60% - 강조색6 75" xfId="2025" xr:uid="{00000000-0005-0000-0000-000073070000}"/>
    <cellStyle name="60% - 강조색6 76" xfId="2026" xr:uid="{00000000-0005-0000-0000-000074070000}"/>
    <cellStyle name="60% - 강조색6 77" xfId="2027" xr:uid="{00000000-0005-0000-0000-000075070000}"/>
    <cellStyle name="60% - 강조색6 78" xfId="2028" xr:uid="{00000000-0005-0000-0000-000076070000}"/>
    <cellStyle name="60% - 강조색6 79" xfId="2029" xr:uid="{00000000-0005-0000-0000-000077070000}"/>
    <cellStyle name="60% - 강조색6 8" xfId="2030" xr:uid="{00000000-0005-0000-0000-000078070000}"/>
    <cellStyle name="60% - 강조색6 80" xfId="2031" xr:uid="{00000000-0005-0000-0000-000079070000}"/>
    <cellStyle name="60% - 강조색6 81" xfId="2032" xr:uid="{00000000-0005-0000-0000-00007A070000}"/>
    <cellStyle name="60% - 강조색6 82" xfId="2033" xr:uid="{00000000-0005-0000-0000-00007B070000}"/>
    <cellStyle name="60% - 강조색6 83" xfId="2034" xr:uid="{00000000-0005-0000-0000-00007C070000}"/>
    <cellStyle name="60% - 강조색6 84" xfId="2035" xr:uid="{00000000-0005-0000-0000-00007D070000}"/>
    <cellStyle name="60% - 강조색6 85" xfId="2036" xr:uid="{00000000-0005-0000-0000-00007E070000}"/>
    <cellStyle name="60% - 강조색6 86" xfId="2037" xr:uid="{00000000-0005-0000-0000-00007F070000}"/>
    <cellStyle name="60% - 강조색6 87" xfId="2038" xr:uid="{00000000-0005-0000-0000-000080070000}"/>
    <cellStyle name="60% - 강조색6 88" xfId="2039" xr:uid="{00000000-0005-0000-0000-000081070000}"/>
    <cellStyle name="60% - 강조색6 89" xfId="2040" xr:uid="{00000000-0005-0000-0000-000082070000}"/>
    <cellStyle name="60% - 강조색6 9" xfId="2041" xr:uid="{00000000-0005-0000-0000-000083070000}"/>
    <cellStyle name="60% - 강조색6 90" xfId="2042" xr:uid="{00000000-0005-0000-0000-000084070000}"/>
    <cellStyle name="60% - 강조색6 91" xfId="2043" xr:uid="{00000000-0005-0000-0000-000085070000}"/>
    <cellStyle name="60% - 강조색6 92" xfId="2044" xr:uid="{00000000-0005-0000-0000-000086070000}"/>
    <cellStyle name="60% - 강조색6 93" xfId="2045" xr:uid="{00000000-0005-0000-0000-000087070000}"/>
    <cellStyle name="60% - 강조색6 94" xfId="2046" xr:uid="{00000000-0005-0000-0000-000088070000}"/>
    <cellStyle name="60% - 강조색6 95" xfId="2047" xr:uid="{00000000-0005-0000-0000-000089070000}"/>
    <cellStyle name="60% - 강조색6 96" xfId="2048" xr:uid="{00000000-0005-0000-0000-00008A070000}"/>
    <cellStyle name="60% - 강조색6 97" xfId="2049" xr:uid="{00000000-0005-0000-0000-00008B070000}"/>
    <cellStyle name="60% - 강조색6 98" xfId="2050" xr:uid="{00000000-0005-0000-0000-00008C070000}"/>
    <cellStyle name="60% - 강조색6 99" xfId="2051" xr:uid="{00000000-0005-0000-0000-00008D070000}"/>
    <cellStyle name="Accent1" xfId="4656" xr:uid="{00000000-0005-0000-0000-00008E070000}"/>
    <cellStyle name="Accent2" xfId="4657" xr:uid="{00000000-0005-0000-0000-00008F070000}"/>
    <cellStyle name="Accent3" xfId="4658" xr:uid="{00000000-0005-0000-0000-000090070000}"/>
    <cellStyle name="Accent4" xfId="4659" xr:uid="{00000000-0005-0000-0000-000091070000}"/>
    <cellStyle name="Accent5" xfId="4660" xr:uid="{00000000-0005-0000-0000-000092070000}"/>
    <cellStyle name="Accent6" xfId="4661" xr:uid="{00000000-0005-0000-0000-000093070000}"/>
    <cellStyle name="Bad" xfId="4662" xr:uid="{00000000-0005-0000-0000-000094070000}"/>
    <cellStyle name="Calculation" xfId="4663" xr:uid="{00000000-0005-0000-0000-000095070000}"/>
    <cellStyle name="Calculation 10" xfId="4893" xr:uid="{00000000-0005-0000-0000-000096070000}"/>
    <cellStyle name="Calculation 11" xfId="4985" xr:uid="{00000000-0005-0000-0000-000097070000}"/>
    <cellStyle name="Calculation 12" xfId="4855" xr:uid="{00000000-0005-0000-0000-000098070000}"/>
    <cellStyle name="Calculation 13" xfId="4868" xr:uid="{00000000-0005-0000-0000-000099070000}"/>
    <cellStyle name="Calculation 2" xfId="4844" xr:uid="{00000000-0005-0000-0000-00009A070000}"/>
    <cellStyle name="Calculation 2 10" xfId="5007" xr:uid="{00000000-0005-0000-0000-00009B070000}"/>
    <cellStyle name="Calculation 2 11" xfId="5013" xr:uid="{00000000-0005-0000-0000-00009C070000}"/>
    <cellStyle name="Calculation 2 12" xfId="5021" xr:uid="{00000000-0005-0000-0000-00009D070000}"/>
    <cellStyle name="Calculation 2 2" xfId="4923" xr:uid="{00000000-0005-0000-0000-00009E070000}"/>
    <cellStyle name="Calculation 2 3" xfId="4942" xr:uid="{00000000-0005-0000-0000-00009F070000}"/>
    <cellStyle name="Calculation 2 4" xfId="4952" xr:uid="{00000000-0005-0000-0000-0000A0070000}"/>
    <cellStyle name="Calculation 2 5" xfId="4961" xr:uid="{00000000-0005-0000-0000-0000A1070000}"/>
    <cellStyle name="Calculation 2 6" xfId="4970" xr:uid="{00000000-0005-0000-0000-0000A2070000}"/>
    <cellStyle name="Calculation 2 7" xfId="4976" xr:uid="{00000000-0005-0000-0000-0000A3070000}"/>
    <cellStyle name="Calculation 2 8" xfId="4986" xr:uid="{00000000-0005-0000-0000-0000A4070000}"/>
    <cellStyle name="Calculation 2 9" xfId="4994" xr:uid="{00000000-0005-0000-0000-0000A5070000}"/>
    <cellStyle name="Calculation 3" xfId="4904" xr:uid="{00000000-0005-0000-0000-0000A6070000}"/>
    <cellStyle name="Calculation 4" xfId="4860" xr:uid="{00000000-0005-0000-0000-0000A7070000}"/>
    <cellStyle name="Calculation 5" xfId="4909" xr:uid="{00000000-0005-0000-0000-0000A8070000}"/>
    <cellStyle name="Calculation 6" xfId="4933" xr:uid="{00000000-0005-0000-0000-0000A9070000}"/>
    <cellStyle name="Calculation 7" xfId="4916" xr:uid="{00000000-0005-0000-0000-0000AA070000}"/>
    <cellStyle name="Calculation 8" xfId="4938" xr:uid="{00000000-0005-0000-0000-0000AB070000}"/>
    <cellStyle name="Calculation 9" xfId="4897" xr:uid="{00000000-0005-0000-0000-0000AC070000}"/>
    <cellStyle name="category" xfId="2052" xr:uid="{00000000-0005-0000-0000-0000AD070000}"/>
    <cellStyle name="Check Cell" xfId="4664" xr:uid="{00000000-0005-0000-0000-0000AE070000}"/>
    <cellStyle name="Comma [0]" xfId="2053" xr:uid="{00000000-0005-0000-0000-0000AF070000}"/>
    <cellStyle name="comma zerodec" xfId="4665" xr:uid="{00000000-0005-0000-0000-0000B0070000}"/>
    <cellStyle name="Comma_ SG&amp;A Bridge " xfId="2054" xr:uid="{00000000-0005-0000-0000-0000B1070000}"/>
    <cellStyle name="Currency [0]" xfId="2055" xr:uid="{00000000-0005-0000-0000-0000B2070000}"/>
    <cellStyle name="Currency_ SG&amp;A Bridge " xfId="2056" xr:uid="{00000000-0005-0000-0000-0000B3070000}"/>
    <cellStyle name="Currency1" xfId="4666" xr:uid="{00000000-0005-0000-0000-0000B4070000}"/>
    <cellStyle name="Dollar (zero dec)" xfId="4667" xr:uid="{00000000-0005-0000-0000-0000B5070000}"/>
    <cellStyle name="Explanatory Text" xfId="4668" xr:uid="{00000000-0005-0000-0000-0000B6070000}"/>
    <cellStyle name="Good" xfId="4669" xr:uid="{00000000-0005-0000-0000-0000B7070000}"/>
    <cellStyle name="Grey" xfId="2057" xr:uid="{00000000-0005-0000-0000-0000B8070000}"/>
    <cellStyle name="Grey 2" xfId="4670" xr:uid="{00000000-0005-0000-0000-0000B9070000}"/>
    <cellStyle name="HEADER" xfId="2058" xr:uid="{00000000-0005-0000-0000-0000BA070000}"/>
    <cellStyle name="Header1" xfId="2059" xr:uid="{00000000-0005-0000-0000-0000BB070000}"/>
    <cellStyle name="Header2" xfId="2060" xr:uid="{00000000-0005-0000-0000-0000BC070000}"/>
    <cellStyle name="Header2 10" xfId="4888" xr:uid="{00000000-0005-0000-0000-0000BD070000}"/>
    <cellStyle name="Header2 2" xfId="4694" xr:uid="{00000000-0005-0000-0000-0000BE070000}"/>
    <cellStyle name="Header2 2 2" xfId="4913" xr:uid="{00000000-0005-0000-0000-0000BF070000}"/>
    <cellStyle name="Header2 2 3" xfId="4874" xr:uid="{00000000-0005-0000-0000-0000C0070000}"/>
    <cellStyle name="Header2 3" xfId="4881" xr:uid="{00000000-0005-0000-0000-0000C1070000}"/>
    <cellStyle name="Header2 4" xfId="4866" xr:uid="{00000000-0005-0000-0000-0000C2070000}"/>
    <cellStyle name="Header2 5" xfId="4911" xr:uid="{00000000-0005-0000-0000-0000C3070000}"/>
    <cellStyle name="Header2 6" xfId="4936" xr:uid="{00000000-0005-0000-0000-0000C4070000}"/>
    <cellStyle name="Header2 7" xfId="4884" xr:uid="{00000000-0005-0000-0000-0000C5070000}"/>
    <cellStyle name="Header2 8" xfId="4890" xr:uid="{00000000-0005-0000-0000-0000C6070000}"/>
    <cellStyle name="Header2 9" xfId="4886" xr:uid="{00000000-0005-0000-0000-0000C7070000}"/>
    <cellStyle name="Heading 1" xfId="4671" xr:uid="{00000000-0005-0000-0000-0000C8070000}"/>
    <cellStyle name="Heading 2" xfId="4672" xr:uid="{00000000-0005-0000-0000-0000C9070000}"/>
    <cellStyle name="Heading 3" xfId="4673" xr:uid="{00000000-0005-0000-0000-0000CA070000}"/>
    <cellStyle name="Heading 4" xfId="4674" xr:uid="{00000000-0005-0000-0000-0000CB070000}"/>
    <cellStyle name="Input" xfId="4675" xr:uid="{00000000-0005-0000-0000-0000CC070000}"/>
    <cellStyle name="Input [yellow]" xfId="2061" xr:uid="{00000000-0005-0000-0000-0000CD070000}"/>
    <cellStyle name="Input [yellow] 10" xfId="4885" xr:uid="{00000000-0005-0000-0000-0000CE070000}"/>
    <cellStyle name="Input [yellow] 11" xfId="4862" xr:uid="{00000000-0005-0000-0000-0000CF070000}"/>
    <cellStyle name="Input [yellow] 12" xfId="4887" xr:uid="{00000000-0005-0000-0000-0000D0070000}"/>
    <cellStyle name="Input [yellow] 13" xfId="4889" xr:uid="{00000000-0005-0000-0000-0000D1070000}"/>
    <cellStyle name="Input [yellow] 2" xfId="4676" xr:uid="{00000000-0005-0000-0000-0000D2070000}"/>
    <cellStyle name="Input [yellow] 2 10" xfId="4982" xr:uid="{00000000-0005-0000-0000-0000D3070000}"/>
    <cellStyle name="Input [yellow] 2 11" xfId="4895" xr:uid="{00000000-0005-0000-0000-0000D4070000}"/>
    <cellStyle name="Input [yellow] 2 2" xfId="4841" xr:uid="{00000000-0005-0000-0000-0000D5070000}"/>
    <cellStyle name="Input [yellow] 2 2 2" xfId="4920" xr:uid="{00000000-0005-0000-0000-0000D6070000}"/>
    <cellStyle name="Input [yellow] 2 2 3" xfId="4939" xr:uid="{00000000-0005-0000-0000-0000D7070000}"/>
    <cellStyle name="Input [yellow] 2 2 4" xfId="4949" xr:uid="{00000000-0005-0000-0000-0000D8070000}"/>
    <cellStyle name="Input [yellow] 2 2 5" xfId="4958" xr:uid="{00000000-0005-0000-0000-0000D9070000}"/>
    <cellStyle name="Input [yellow] 2 2 6" xfId="4967" xr:uid="{00000000-0005-0000-0000-0000DA070000}"/>
    <cellStyle name="Input [yellow] 2 2 7" xfId="4991" xr:uid="{00000000-0005-0000-0000-0000DB070000}"/>
    <cellStyle name="Input [yellow] 2 2 8" xfId="5004" xr:uid="{00000000-0005-0000-0000-0000DC070000}"/>
    <cellStyle name="Input [yellow] 2 2 9" xfId="5018" xr:uid="{00000000-0005-0000-0000-0000DD070000}"/>
    <cellStyle name="Input [yellow] 2 3" xfId="4846" xr:uid="{00000000-0005-0000-0000-0000DE070000}"/>
    <cellStyle name="Input [yellow] 2 3 2" xfId="4925" xr:uid="{00000000-0005-0000-0000-0000DF070000}"/>
    <cellStyle name="Input [yellow] 2 3 3" xfId="4944" xr:uid="{00000000-0005-0000-0000-0000E0070000}"/>
    <cellStyle name="Input [yellow] 2 3 4" xfId="4954" xr:uid="{00000000-0005-0000-0000-0000E1070000}"/>
    <cellStyle name="Input [yellow] 2 3 5" xfId="4963" xr:uid="{00000000-0005-0000-0000-0000E2070000}"/>
    <cellStyle name="Input [yellow] 2 3 6" xfId="4972" xr:uid="{00000000-0005-0000-0000-0000E3070000}"/>
    <cellStyle name="Input [yellow] 2 3 7" xfId="4996" xr:uid="{00000000-0005-0000-0000-0000E4070000}"/>
    <cellStyle name="Input [yellow] 2 3 8" xfId="5009" xr:uid="{00000000-0005-0000-0000-0000E5070000}"/>
    <cellStyle name="Input [yellow] 2 3 9" xfId="5023" xr:uid="{00000000-0005-0000-0000-0000E6070000}"/>
    <cellStyle name="Input [yellow] 2 4" xfId="4901" xr:uid="{00000000-0005-0000-0000-0000E7070000}"/>
    <cellStyle name="Input [yellow] 2 5" xfId="4934" xr:uid="{00000000-0005-0000-0000-0000E8070000}"/>
    <cellStyle name="Input [yellow] 2 6" xfId="4853" xr:uid="{00000000-0005-0000-0000-0000E9070000}"/>
    <cellStyle name="Input [yellow] 2 7" xfId="4915" xr:uid="{00000000-0005-0000-0000-0000EA070000}"/>
    <cellStyle name="Input [yellow] 2 8" xfId="4898" xr:uid="{00000000-0005-0000-0000-0000EB070000}"/>
    <cellStyle name="Input [yellow] 2 9" xfId="4919" xr:uid="{00000000-0005-0000-0000-0000EC070000}"/>
    <cellStyle name="Input [yellow] 3" xfId="4693" xr:uid="{00000000-0005-0000-0000-0000ED070000}"/>
    <cellStyle name="Input [yellow] 3 2" xfId="4910" xr:uid="{00000000-0005-0000-0000-0000EE070000}"/>
    <cellStyle name="Input [yellow] 3 3" xfId="4869" xr:uid="{00000000-0005-0000-0000-0000EF070000}"/>
    <cellStyle name="Input [yellow] 3 4" xfId="4852" xr:uid="{00000000-0005-0000-0000-0000F0070000}"/>
    <cellStyle name="Input [yellow] 3 5" xfId="4937" xr:uid="{00000000-0005-0000-0000-0000F1070000}"/>
    <cellStyle name="Input [yellow] 3 6" xfId="4914" xr:uid="{00000000-0005-0000-0000-0000F2070000}"/>
    <cellStyle name="Input [yellow] 3 7" xfId="4877" xr:uid="{00000000-0005-0000-0000-0000F3070000}"/>
    <cellStyle name="Input [yellow] 3 8" xfId="4918" xr:uid="{00000000-0005-0000-0000-0000F4070000}"/>
    <cellStyle name="Input [yellow] 3 9" xfId="5000" xr:uid="{00000000-0005-0000-0000-0000F5070000}"/>
    <cellStyle name="Input [yellow] 4" xfId="4842" xr:uid="{00000000-0005-0000-0000-0000F6070000}"/>
    <cellStyle name="Input [yellow] 4 2" xfId="4921" xr:uid="{00000000-0005-0000-0000-0000F7070000}"/>
    <cellStyle name="Input [yellow] 4 3" xfId="4940" xr:uid="{00000000-0005-0000-0000-0000F8070000}"/>
    <cellStyle name="Input [yellow] 4 4" xfId="4950" xr:uid="{00000000-0005-0000-0000-0000F9070000}"/>
    <cellStyle name="Input [yellow] 4 5" xfId="4959" xr:uid="{00000000-0005-0000-0000-0000FA070000}"/>
    <cellStyle name="Input [yellow] 4 6" xfId="4968" xr:uid="{00000000-0005-0000-0000-0000FB070000}"/>
    <cellStyle name="Input [yellow] 4 7" xfId="4992" xr:uid="{00000000-0005-0000-0000-0000FC070000}"/>
    <cellStyle name="Input [yellow] 4 8" xfId="5005" xr:uid="{00000000-0005-0000-0000-0000FD070000}"/>
    <cellStyle name="Input [yellow] 4 9" xfId="5019" xr:uid="{00000000-0005-0000-0000-0000FE070000}"/>
    <cellStyle name="Input [yellow] 5" xfId="4843" xr:uid="{00000000-0005-0000-0000-0000FF070000}"/>
    <cellStyle name="Input [yellow] 5 2" xfId="4922" xr:uid="{00000000-0005-0000-0000-000000080000}"/>
    <cellStyle name="Input [yellow] 5 3" xfId="4941" xr:uid="{00000000-0005-0000-0000-000001080000}"/>
    <cellStyle name="Input [yellow] 5 4" xfId="4951" xr:uid="{00000000-0005-0000-0000-000002080000}"/>
    <cellStyle name="Input [yellow] 5 5" xfId="4960" xr:uid="{00000000-0005-0000-0000-000003080000}"/>
    <cellStyle name="Input [yellow] 5 6" xfId="4969" xr:uid="{00000000-0005-0000-0000-000004080000}"/>
    <cellStyle name="Input [yellow] 5 7" xfId="4993" xr:uid="{00000000-0005-0000-0000-000005080000}"/>
    <cellStyle name="Input [yellow] 5 8" xfId="5006" xr:uid="{00000000-0005-0000-0000-000006080000}"/>
    <cellStyle name="Input [yellow] 5 9" xfId="5020" xr:uid="{00000000-0005-0000-0000-000007080000}"/>
    <cellStyle name="Input [yellow] 6" xfId="4882" xr:uid="{00000000-0005-0000-0000-000008080000}"/>
    <cellStyle name="Input [yellow] 7" xfId="4858" xr:uid="{00000000-0005-0000-0000-000009080000}"/>
    <cellStyle name="Input [yellow] 8" xfId="4883" xr:uid="{00000000-0005-0000-0000-00000A080000}"/>
    <cellStyle name="Input [yellow] 9" xfId="4864" xr:uid="{00000000-0005-0000-0000-00000B080000}"/>
    <cellStyle name="Input 10" xfId="4879" xr:uid="{00000000-0005-0000-0000-00000C080000}"/>
    <cellStyle name="Input 11" xfId="4981" xr:uid="{00000000-0005-0000-0000-00000D080000}"/>
    <cellStyle name="Input 12" xfId="4875" xr:uid="{00000000-0005-0000-0000-00000E080000}"/>
    <cellStyle name="Input 13" xfId="4984" xr:uid="{00000000-0005-0000-0000-00000F080000}"/>
    <cellStyle name="Input 2" xfId="4845" xr:uid="{00000000-0005-0000-0000-000010080000}"/>
    <cellStyle name="Input 2 10" xfId="5008" xr:uid="{00000000-0005-0000-0000-000011080000}"/>
    <cellStyle name="Input 2 11" xfId="5014" xr:uid="{00000000-0005-0000-0000-000012080000}"/>
    <cellStyle name="Input 2 12" xfId="5022" xr:uid="{00000000-0005-0000-0000-000013080000}"/>
    <cellStyle name="Input 2 2" xfId="4924" xr:uid="{00000000-0005-0000-0000-000014080000}"/>
    <cellStyle name="Input 2 3" xfId="4943" xr:uid="{00000000-0005-0000-0000-000015080000}"/>
    <cellStyle name="Input 2 4" xfId="4953" xr:uid="{00000000-0005-0000-0000-000016080000}"/>
    <cellStyle name="Input 2 5" xfId="4962" xr:uid="{00000000-0005-0000-0000-000017080000}"/>
    <cellStyle name="Input 2 6" xfId="4971" xr:uid="{00000000-0005-0000-0000-000018080000}"/>
    <cellStyle name="Input 2 7" xfId="4977" xr:uid="{00000000-0005-0000-0000-000019080000}"/>
    <cellStyle name="Input 2 8" xfId="4987" xr:uid="{00000000-0005-0000-0000-00001A080000}"/>
    <cellStyle name="Input 2 9" xfId="4995" xr:uid="{00000000-0005-0000-0000-00001B080000}"/>
    <cellStyle name="Input 3" xfId="4905" xr:uid="{00000000-0005-0000-0000-00001C080000}"/>
    <cellStyle name="Input 4" xfId="4861" xr:uid="{00000000-0005-0000-0000-00001D080000}"/>
    <cellStyle name="Input 5" xfId="4856" xr:uid="{00000000-0005-0000-0000-00001E080000}"/>
    <cellStyle name="Input 6" xfId="4932" xr:uid="{00000000-0005-0000-0000-00001F080000}"/>
    <cellStyle name="Input 7" xfId="4876" xr:uid="{00000000-0005-0000-0000-000020080000}"/>
    <cellStyle name="Input 8" xfId="4903" xr:uid="{00000000-0005-0000-0000-000021080000}"/>
    <cellStyle name="Input 9" xfId="4892" xr:uid="{00000000-0005-0000-0000-000022080000}"/>
    <cellStyle name="Linked Cell" xfId="4677" xr:uid="{00000000-0005-0000-0000-000023080000}"/>
    <cellStyle name="Model" xfId="2062" xr:uid="{00000000-0005-0000-0000-000024080000}"/>
    <cellStyle name="Neutral" xfId="4678" xr:uid="{00000000-0005-0000-0000-000025080000}"/>
    <cellStyle name="Normal - Style1" xfId="2063" xr:uid="{00000000-0005-0000-0000-000026080000}"/>
    <cellStyle name="Normal - Style1 2" xfId="4679" xr:uid="{00000000-0005-0000-0000-000027080000}"/>
    <cellStyle name="Normal_ SG&amp;A Bridge " xfId="2064" xr:uid="{00000000-0005-0000-0000-000028080000}"/>
    <cellStyle name="Note" xfId="4680" xr:uid="{00000000-0005-0000-0000-000029080000}"/>
    <cellStyle name="Note 10" xfId="4894" xr:uid="{00000000-0005-0000-0000-00002A080000}"/>
    <cellStyle name="Note 11" xfId="4871" xr:uid="{00000000-0005-0000-0000-00002B080000}"/>
    <cellStyle name="Note 12" xfId="4896" xr:uid="{00000000-0005-0000-0000-00002C080000}"/>
    <cellStyle name="Note 13" xfId="5002" xr:uid="{00000000-0005-0000-0000-00002D080000}"/>
    <cellStyle name="Note 2" xfId="4847" xr:uid="{00000000-0005-0000-0000-00002E080000}"/>
    <cellStyle name="Note 2 10" xfId="5010" xr:uid="{00000000-0005-0000-0000-00002F080000}"/>
    <cellStyle name="Note 2 11" xfId="5015" xr:uid="{00000000-0005-0000-0000-000030080000}"/>
    <cellStyle name="Note 2 12" xfId="5024" xr:uid="{00000000-0005-0000-0000-000031080000}"/>
    <cellStyle name="Note 2 2" xfId="4926" xr:uid="{00000000-0005-0000-0000-000032080000}"/>
    <cellStyle name="Note 2 3" xfId="4945" xr:uid="{00000000-0005-0000-0000-000033080000}"/>
    <cellStyle name="Note 2 4" xfId="4955" xr:uid="{00000000-0005-0000-0000-000034080000}"/>
    <cellStyle name="Note 2 5" xfId="4964" xr:uid="{00000000-0005-0000-0000-000035080000}"/>
    <cellStyle name="Note 2 6" xfId="4973" xr:uid="{00000000-0005-0000-0000-000036080000}"/>
    <cellStyle name="Note 2 7" xfId="4978" xr:uid="{00000000-0005-0000-0000-000037080000}"/>
    <cellStyle name="Note 2 8" xfId="4988" xr:uid="{00000000-0005-0000-0000-000038080000}"/>
    <cellStyle name="Note 2 9" xfId="4997" xr:uid="{00000000-0005-0000-0000-000039080000}"/>
    <cellStyle name="Note 3" xfId="4906" xr:uid="{00000000-0005-0000-0000-00003A080000}"/>
    <cellStyle name="Note 4" xfId="4863" xr:uid="{00000000-0005-0000-0000-00003B080000}"/>
    <cellStyle name="Note 5" xfId="4854" xr:uid="{00000000-0005-0000-0000-00003C080000}"/>
    <cellStyle name="Note 6" xfId="4935" xr:uid="{00000000-0005-0000-0000-00003D080000}"/>
    <cellStyle name="Note 7" xfId="4870" xr:uid="{00000000-0005-0000-0000-00003E080000}"/>
    <cellStyle name="Note 8" xfId="4900" xr:uid="{00000000-0005-0000-0000-00003F080000}"/>
    <cellStyle name="Note 9" xfId="4917" xr:uid="{00000000-0005-0000-0000-000040080000}"/>
    <cellStyle name="Output" xfId="4681" xr:uid="{00000000-0005-0000-0000-000041080000}"/>
    <cellStyle name="Output 10" xfId="4878" xr:uid="{00000000-0005-0000-0000-000042080000}"/>
    <cellStyle name="Output 11" xfId="4983" xr:uid="{00000000-0005-0000-0000-000043080000}"/>
    <cellStyle name="Output 12" xfId="4873" xr:uid="{00000000-0005-0000-0000-000044080000}"/>
    <cellStyle name="Output 13" xfId="5003" xr:uid="{00000000-0005-0000-0000-000045080000}"/>
    <cellStyle name="Output 2" xfId="4848" xr:uid="{00000000-0005-0000-0000-000046080000}"/>
    <cellStyle name="Output 2 10" xfId="5011" xr:uid="{00000000-0005-0000-0000-000047080000}"/>
    <cellStyle name="Output 2 11" xfId="5016" xr:uid="{00000000-0005-0000-0000-000048080000}"/>
    <cellStyle name="Output 2 12" xfId="5025" xr:uid="{00000000-0005-0000-0000-000049080000}"/>
    <cellStyle name="Output 2 2" xfId="4927" xr:uid="{00000000-0005-0000-0000-00004A080000}"/>
    <cellStyle name="Output 2 3" xfId="4946" xr:uid="{00000000-0005-0000-0000-00004B080000}"/>
    <cellStyle name="Output 2 4" xfId="4956" xr:uid="{00000000-0005-0000-0000-00004C080000}"/>
    <cellStyle name="Output 2 5" xfId="4965" xr:uid="{00000000-0005-0000-0000-00004D080000}"/>
    <cellStyle name="Output 2 6" xfId="4974" xr:uid="{00000000-0005-0000-0000-00004E080000}"/>
    <cellStyle name="Output 2 7" xfId="4979" xr:uid="{00000000-0005-0000-0000-00004F080000}"/>
    <cellStyle name="Output 2 8" xfId="4989" xr:uid="{00000000-0005-0000-0000-000050080000}"/>
    <cellStyle name="Output 2 9" xfId="4998" xr:uid="{00000000-0005-0000-0000-000051080000}"/>
    <cellStyle name="Output 3" xfId="4907" xr:uid="{00000000-0005-0000-0000-000052080000}"/>
    <cellStyle name="Output 4" xfId="4867" xr:uid="{00000000-0005-0000-0000-000053080000}"/>
    <cellStyle name="Output 5" xfId="4851" xr:uid="{00000000-0005-0000-0000-000054080000}"/>
    <cellStyle name="Output 6" xfId="4929" xr:uid="{00000000-0005-0000-0000-000055080000}"/>
    <cellStyle name="Output 7" xfId="4872" xr:uid="{00000000-0005-0000-0000-000056080000}"/>
    <cellStyle name="Output 8" xfId="4899" xr:uid="{00000000-0005-0000-0000-000057080000}"/>
    <cellStyle name="Output 9" xfId="4859" xr:uid="{00000000-0005-0000-0000-000058080000}"/>
    <cellStyle name="Percent [2]" xfId="2065" xr:uid="{00000000-0005-0000-0000-000059080000}"/>
    <cellStyle name="Style 1" xfId="4682" xr:uid="{00000000-0005-0000-0000-00005A080000}"/>
    <cellStyle name="subhead" xfId="2066" xr:uid="{00000000-0005-0000-0000-00005B080000}"/>
    <cellStyle name="Title" xfId="4683" xr:uid="{00000000-0005-0000-0000-00005C080000}"/>
    <cellStyle name="Total" xfId="4684" xr:uid="{00000000-0005-0000-0000-00005D080000}"/>
    <cellStyle name="Total 10" xfId="4912" xr:uid="{00000000-0005-0000-0000-00005E080000}"/>
    <cellStyle name="Total 11" xfId="4902" xr:uid="{00000000-0005-0000-0000-00005F080000}"/>
    <cellStyle name="Total 12" xfId="4880" xr:uid="{00000000-0005-0000-0000-000060080000}"/>
    <cellStyle name="Total 13" xfId="5001" xr:uid="{00000000-0005-0000-0000-000061080000}"/>
    <cellStyle name="Total 2" xfId="4849" xr:uid="{00000000-0005-0000-0000-000062080000}"/>
    <cellStyle name="Total 2 10" xfId="5012" xr:uid="{00000000-0005-0000-0000-000063080000}"/>
    <cellStyle name="Total 2 11" xfId="5017" xr:uid="{00000000-0005-0000-0000-000064080000}"/>
    <cellStyle name="Total 2 12" xfId="5026" xr:uid="{00000000-0005-0000-0000-000065080000}"/>
    <cellStyle name="Total 2 2" xfId="4928" xr:uid="{00000000-0005-0000-0000-000066080000}"/>
    <cellStyle name="Total 2 3" xfId="4947" xr:uid="{00000000-0005-0000-0000-000067080000}"/>
    <cellStyle name="Total 2 4" xfId="4957" xr:uid="{00000000-0005-0000-0000-000068080000}"/>
    <cellStyle name="Total 2 5" xfId="4966" xr:uid="{00000000-0005-0000-0000-000069080000}"/>
    <cellStyle name="Total 2 6" xfId="4975" xr:uid="{00000000-0005-0000-0000-00006A080000}"/>
    <cellStyle name="Total 2 7" xfId="4980" xr:uid="{00000000-0005-0000-0000-00006B080000}"/>
    <cellStyle name="Total 2 8" xfId="4990" xr:uid="{00000000-0005-0000-0000-00006C080000}"/>
    <cellStyle name="Total 2 9" xfId="4999" xr:uid="{00000000-0005-0000-0000-00006D080000}"/>
    <cellStyle name="Total 3" xfId="4908" xr:uid="{00000000-0005-0000-0000-00006E080000}"/>
    <cellStyle name="Total 4" xfId="4865" xr:uid="{00000000-0005-0000-0000-00006F080000}"/>
    <cellStyle name="Total 5" xfId="4857" xr:uid="{00000000-0005-0000-0000-000070080000}"/>
    <cellStyle name="Total 6" xfId="4930" xr:uid="{00000000-0005-0000-0000-000071080000}"/>
    <cellStyle name="Total 7" xfId="4948" xr:uid="{00000000-0005-0000-0000-000072080000}"/>
    <cellStyle name="Total 8" xfId="4931" xr:uid="{00000000-0005-0000-0000-000073080000}"/>
    <cellStyle name="Total 9" xfId="4891" xr:uid="{00000000-0005-0000-0000-000074080000}"/>
    <cellStyle name="Warning Text" xfId="4685" xr:uid="{00000000-0005-0000-0000-000075080000}"/>
    <cellStyle name="강조색1 10" xfId="2067" xr:uid="{00000000-0005-0000-0000-000076080000}"/>
    <cellStyle name="강조색1 100" xfId="2068" xr:uid="{00000000-0005-0000-0000-000077080000}"/>
    <cellStyle name="강조색1 101" xfId="2069" xr:uid="{00000000-0005-0000-0000-000078080000}"/>
    <cellStyle name="강조색1 102" xfId="2070" xr:uid="{00000000-0005-0000-0000-000079080000}"/>
    <cellStyle name="강조색1 103" xfId="2071" xr:uid="{00000000-0005-0000-0000-00007A080000}"/>
    <cellStyle name="강조색1 104" xfId="2072" xr:uid="{00000000-0005-0000-0000-00007B080000}"/>
    <cellStyle name="강조색1 105" xfId="2073" xr:uid="{00000000-0005-0000-0000-00007C080000}"/>
    <cellStyle name="강조색1 106" xfId="2074" xr:uid="{00000000-0005-0000-0000-00007D080000}"/>
    <cellStyle name="강조색1 107" xfId="2075" xr:uid="{00000000-0005-0000-0000-00007E080000}"/>
    <cellStyle name="강조색1 11" xfId="2076" xr:uid="{00000000-0005-0000-0000-00007F080000}"/>
    <cellStyle name="강조색1 12" xfId="2077" xr:uid="{00000000-0005-0000-0000-000080080000}"/>
    <cellStyle name="강조색1 13" xfId="2078" xr:uid="{00000000-0005-0000-0000-000081080000}"/>
    <cellStyle name="강조색1 14" xfId="2079" xr:uid="{00000000-0005-0000-0000-000082080000}"/>
    <cellStyle name="강조색1 15" xfId="2080" xr:uid="{00000000-0005-0000-0000-000083080000}"/>
    <cellStyle name="강조색1 16" xfId="2081" xr:uid="{00000000-0005-0000-0000-000084080000}"/>
    <cellStyle name="강조색1 17" xfId="2082" xr:uid="{00000000-0005-0000-0000-000085080000}"/>
    <cellStyle name="강조색1 18" xfId="2083" xr:uid="{00000000-0005-0000-0000-000086080000}"/>
    <cellStyle name="강조색1 19" xfId="2084" xr:uid="{00000000-0005-0000-0000-000087080000}"/>
    <cellStyle name="강조색1 2" xfId="2085" xr:uid="{00000000-0005-0000-0000-000088080000}"/>
    <cellStyle name="강조색1 20" xfId="2086" xr:uid="{00000000-0005-0000-0000-000089080000}"/>
    <cellStyle name="강조색1 21" xfId="2087" xr:uid="{00000000-0005-0000-0000-00008A080000}"/>
    <cellStyle name="강조색1 22" xfId="2088" xr:uid="{00000000-0005-0000-0000-00008B080000}"/>
    <cellStyle name="강조색1 23" xfId="2089" xr:uid="{00000000-0005-0000-0000-00008C080000}"/>
    <cellStyle name="강조색1 24" xfId="2090" xr:uid="{00000000-0005-0000-0000-00008D080000}"/>
    <cellStyle name="강조색1 25" xfId="2091" xr:uid="{00000000-0005-0000-0000-00008E080000}"/>
    <cellStyle name="강조색1 26" xfId="2092" xr:uid="{00000000-0005-0000-0000-00008F080000}"/>
    <cellStyle name="강조색1 27" xfId="2093" xr:uid="{00000000-0005-0000-0000-000090080000}"/>
    <cellStyle name="강조색1 28" xfId="2094" xr:uid="{00000000-0005-0000-0000-000091080000}"/>
    <cellStyle name="강조색1 29" xfId="2095" xr:uid="{00000000-0005-0000-0000-000092080000}"/>
    <cellStyle name="강조색1 3" xfId="2096" xr:uid="{00000000-0005-0000-0000-000093080000}"/>
    <cellStyle name="강조색1 30" xfId="2097" xr:uid="{00000000-0005-0000-0000-000094080000}"/>
    <cellStyle name="강조색1 31" xfId="2098" xr:uid="{00000000-0005-0000-0000-000095080000}"/>
    <cellStyle name="강조색1 32" xfId="2099" xr:uid="{00000000-0005-0000-0000-000096080000}"/>
    <cellStyle name="강조색1 33" xfId="2100" xr:uid="{00000000-0005-0000-0000-000097080000}"/>
    <cellStyle name="강조색1 34" xfId="2101" xr:uid="{00000000-0005-0000-0000-000098080000}"/>
    <cellStyle name="강조색1 35" xfId="2102" xr:uid="{00000000-0005-0000-0000-000099080000}"/>
    <cellStyle name="강조색1 36" xfId="2103" xr:uid="{00000000-0005-0000-0000-00009A080000}"/>
    <cellStyle name="강조색1 37" xfId="2104" xr:uid="{00000000-0005-0000-0000-00009B080000}"/>
    <cellStyle name="강조색1 38" xfId="2105" xr:uid="{00000000-0005-0000-0000-00009C080000}"/>
    <cellStyle name="강조색1 39" xfId="2106" xr:uid="{00000000-0005-0000-0000-00009D080000}"/>
    <cellStyle name="강조색1 4" xfId="2107" xr:uid="{00000000-0005-0000-0000-00009E080000}"/>
    <cellStyle name="강조색1 40" xfId="2108" xr:uid="{00000000-0005-0000-0000-00009F080000}"/>
    <cellStyle name="강조색1 41" xfId="2109" xr:uid="{00000000-0005-0000-0000-0000A0080000}"/>
    <cellStyle name="강조색1 42" xfId="2110" xr:uid="{00000000-0005-0000-0000-0000A1080000}"/>
    <cellStyle name="강조색1 43" xfId="2111" xr:uid="{00000000-0005-0000-0000-0000A2080000}"/>
    <cellStyle name="강조색1 44" xfId="2112" xr:uid="{00000000-0005-0000-0000-0000A3080000}"/>
    <cellStyle name="강조색1 45" xfId="2113" xr:uid="{00000000-0005-0000-0000-0000A4080000}"/>
    <cellStyle name="강조색1 46" xfId="2114" xr:uid="{00000000-0005-0000-0000-0000A5080000}"/>
    <cellStyle name="강조색1 47" xfId="2115" xr:uid="{00000000-0005-0000-0000-0000A6080000}"/>
    <cellStyle name="강조색1 48" xfId="2116" xr:uid="{00000000-0005-0000-0000-0000A7080000}"/>
    <cellStyle name="강조색1 49" xfId="2117" xr:uid="{00000000-0005-0000-0000-0000A8080000}"/>
    <cellStyle name="강조색1 5" xfId="2118" xr:uid="{00000000-0005-0000-0000-0000A9080000}"/>
    <cellStyle name="강조색1 50" xfId="2119" xr:uid="{00000000-0005-0000-0000-0000AA080000}"/>
    <cellStyle name="강조색1 51" xfId="2120" xr:uid="{00000000-0005-0000-0000-0000AB080000}"/>
    <cellStyle name="강조색1 52" xfId="2121" xr:uid="{00000000-0005-0000-0000-0000AC080000}"/>
    <cellStyle name="강조색1 53" xfId="2122" xr:uid="{00000000-0005-0000-0000-0000AD080000}"/>
    <cellStyle name="강조색1 54" xfId="2123" xr:uid="{00000000-0005-0000-0000-0000AE080000}"/>
    <cellStyle name="강조색1 55" xfId="2124" xr:uid="{00000000-0005-0000-0000-0000AF080000}"/>
    <cellStyle name="강조색1 56" xfId="2125" xr:uid="{00000000-0005-0000-0000-0000B0080000}"/>
    <cellStyle name="강조색1 57" xfId="2126" xr:uid="{00000000-0005-0000-0000-0000B1080000}"/>
    <cellStyle name="강조색1 58" xfId="2127" xr:uid="{00000000-0005-0000-0000-0000B2080000}"/>
    <cellStyle name="강조색1 59" xfId="2128" xr:uid="{00000000-0005-0000-0000-0000B3080000}"/>
    <cellStyle name="강조색1 6" xfId="2129" xr:uid="{00000000-0005-0000-0000-0000B4080000}"/>
    <cellStyle name="강조색1 60" xfId="2130" xr:uid="{00000000-0005-0000-0000-0000B5080000}"/>
    <cellStyle name="강조색1 61" xfId="2131" xr:uid="{00000000-0005-0000-0000-0000B6080000}"/>
    <cellStyle name="강조색1 62" xfId="2132" xr:uid="{00000000-0005-0000-0000-0000B7080000}"/>
    <cellStyle name="강조색1 63" xfId="2133" xr:uid="{00000000-0005-0000-0000-0000B8080000}"/>
    <cellStyle name="강조색1 64" xfId="2134" xr:uid="{00000000-0005-0000-0000-0000B9080000}"/>
    <cellStyle name="강조색1 65" xfId="2135" xr:uid="{00000000-0005-0000-0000-0000BA080000}"/>
    <cellStyle name="강조색1 66" xfId="2136" xr:uid="{00000000-0005-0000-0000-0000BB080000}"/>
    <cellStyle name="강조색1 67" xfId="2137" xr:uid="{00000000-0005-0000-0000-0000BC080000}"/>
    <cellStyle name="강조색1 68" xfId="2138" xr:uid="{00000000-0005-0000-0000-0000BD080000}"/>
    <cellStyle name="강조색1 69" xfId="2139" xr:uid="{00000000-0005-0000-0000-0000BE080000}"/>
    <cellStyle name="강조색1 7" xfId="2140" xr:uid="{00000000-0005-0000-0000-0000BF080000}"/>
    <cellStyle name="강조색1 70" xfId="2141" xr:uid="{00000000-0005-0000-0000-0000C0080000}"/>
    <cellStyle name="강조색1 71" xfId="2142" xr:uid="{00000000-0005-0000-0000-0000C1080000}"/>
    <cellStyle name="강조색1 72" xfId="2143" xr:uid="{00000000-0005-0000-0000-0000C2080000}"/>
    <cellStyle name="강조색1 73" xfId="2144" xr:uid="{00000000-0005-0000-0000-0000C3080000}"/>
    <cellStyle name="강조색1 74" xfId="2145" xr:uid="{00000000-0005-0000-0000-0000C4080000}"/>
    <cellStyle name="강조색1 75" xfId="2146" xr:uid="{00000000-0005-0000-0000-0000C5080000}"/>
    <cellStyle name="강조색1 76" xfId="2147" xr:uid="{00000000-0005-0000-0000-0000C6080000}"/>
    <cellStyle name="강조색1 77" xfId="2148" xr:uid="{00000000-0005-0000-0000-0000C7080000}"/>
    <cellStyle name="강조색1 78" xfId="2149" xr:uid="{00000000-0005-0000-0000-0000C8080000}"/>
    <cellStyle name="강조색1 79" xfId="2150" xr:uid="{00000000-0005-0000-0000-0000C9080000}"/>
    <cellStyle name="강조색1 8" xfId="2151" xr:uid="{00000000-0005-0000-0000-0000CA080000}"/>
    <cellStyle name="강조색1 80" xfId="2152" xr:uid="{00000000-0005-0000-0000-0000CB080000}"/>
    <cellStyle name="강조색1 81" xfId="2153" xr:uid="{00000000-0005-0000-0000-0000CC080000}"/>
    <cellStyle name="강조색1 82" xfId="2154" xr:uid="{00000000-0005-0000-0000-0000CD080000}"/>
    <cellStyle name="강조색1 83" xfId="2155" xr:uid="{00000000-0005-0000-0000-0000CE080000}"/>
    <cellStyle name="강조색1 84" xfId="2156" xr:uid="{00000000-0005-0000-0000-0000CF080000}"/>
    <cellStyle name="강조색1 85" xfId="2157" xr:uid="{00000000-0005-0000-0000-0000D0080000}"/>
    <cellStyle name="강조색1 86" xfId="2158" xr:uid="{00000000-0005-0000-0000-0000D1080000}"/>
    <cellStyle name="강조색1 87" xfId="2159" xr:uid="{00000000-0005-0000-0000-0000D2080000}"/>
    <cellStyle name="강조색1 88" xfId="2160" xr:uid="{00000000-0005-0000-0000-0000D3080000}"/>
    <cellStyle name="강조색1 89" xfId="2161" xr:uid="{00000000-0005-0000-0000-0000D4080000}"/>
    <cellStyle name="강조색1 9" xfId="2162" xr:uid="{00000000-0005-0000-0000-0000D5080000}"/>
    <cellStyle name="강조색1 90" xfId="2163" xr:uid="{00000000-0005-0000-0000-0000D6080000}"/>
    <cellStyle name="강조색1 91" xfId="2164" xr:uid="{00000000-0005-0000-0000-0000D7080000}"/>
    <cellStyle name="강조색1 92" xfId="2165" xr:uid="{00000000-0005-0000-0000-0000D8080000}"/>
    <cellStyle name="강조색1 93" xfId="2166" xr:uid="{00000000-0005-0000-0000-0000D9080000}"/>
    <cellStyle name="강조색1 94" xfId="2167" xr:uid="{00000000-0005-0000-0000-0000DA080000}"/>
    <cellStyle name="강조색1 95" xfId="2168" xr:uid="{00000000-0005-0000-0000-0000DB080000}"/>
    <cellStyle name="강조색1 96" xfId="2169" xr:uid="{00000000-0005-0000-0000-0000DC080000}"/>
    <cellStyle name="강조색1 97" xfId="2170" xr:uid="{00000000-0005-0000-0000-0000DD080000}"/>
    <cellStyle name="강조색1 98" xfId="2171" xr:uid="{00000000-0005-0000-0000-0000DE080000}"/>
    <cellStyle name="강조색1 99" xfId="2172" xr:uid="{00000000-0005-0000-0000-0000DF080000}"/>
    <cellStyle name="강조색2 10" xfId="2173" xr:uid="{00000000-0005-0000-0000-0000E0080000}"/>
    <cellStyle name="강조색2 100" xfId="2174" xr:uid="{00000000-0005-0000-0000-0000E1080000}"/>
    <cellStyle name="강조색2 101" xfId="2175" xr:uid="{00000000-0005-0000-0000-0000E2080000}"/>
    <cellStyle name="강조색2 102" xfId="2176" xr:uid="{00000000-0005-0000-0000-0000E3080000}"/>
    <cellStyle name="강조색2 103" xfId="2177" xr:uid="{00000000-0005-0000-0000-0000E4080000}"/>
    <cellStyle name="강조색2 104" xfId="2178" xr:uid="{00000000-0005-0000-0000-0000E5080000}"/>
    <cellStyle name="강조색2 105" xfId="2179" xr:uid="{00000000-0005-0000-0000-0000E6080000}"/>
    <cellStyle name="강조색2 106" xfId="2180" xr:uid="{00000000-0005-0000-0000-0000E7080000}"/>
    <cellStyle name="강조색2 107" xfId="2181" xr:uid="{00000000-0005-0000-0000-0000E8080000}"/>
    <cellStyle name="강조색2 11" xfId="2182" xr:uid="{00000000-0005-0000-0000-0000E9080000}"/>
    <cellStyle name="강조색2 12" xfId="2183" xr:uid="{00000000-0005-0000-0000-0000EA080000}"/>
    <cellStyle name="강조색2 13" xfId="2184" xr:uid="{00000000-0005-0000-0000-0000EB080000}"/>
    <cellStyle name="강조색2 14" xfId="2185" xr:uid="{00000000-0005-0000-0000-0000EC080000}"/>
    <cellStyle name="강조색2 15" xfId="2186" xr:uid="{00000000-0005-0000-0000-0000ED080000}"/>
    <cellStyle name="강조색2 16" xfId="2187" xr:uid="{00000000-0005-0000-0000-0000EE080000}"/>
    <cellStyle name="강조색2 17" xfId="2188" xr:uid="{00000000-0005-0000-0000-0000EF080000}"/>
    <cellStyle name="강조색2 18" xfId="2189" xr:uid="{00000000-0005-0000-0000-0000F0080000}"/>
    <cellStyle name="강조색2 19" xfId="2190" xr:uid="{00000000-0005-0000-0000-0000F1080000}"/>
    <cellStyle name="강조색2 2" xfId="2191" xr:uid="{00000000-0005-0000-0000-0000F2080000}"/>
    <cellStyle name="강조색2 20" xfId="2192" xr:uid="{00000000-0005-0000-0000-0000F3080000}"/>
    <cellStyle name="강조색2 21" xfId="2193" xr:uid="{00000000-0005-0000-0000-0000F4080000}"/>
    <cellStyle name="강조색2 22" xfId="2194" xr:uid="{00000000-0005-0000-0000-0000F5080000}"/>
    <cellStyle name="강조색2 23" xfId="2195" xr:uid="{00000000-0005-0000-0000-0000F6080000}"/>
    <cellStyle name="강조색2 24" xfId="2196" xr:uid="{00000000-0005-0000-0000-0000F7080000}"/>
    <cellStyle name="강조색2 25" xfId="2197" xr:uid="{00000000-0005-0000-0000-0000F8080000}"/>
    <cellStyle name="강조색2 26" xfId="2198" xr:uid="{00000000-0005-0000-0000-0000F9080000}"/>
    <cellStyle name="강조색2 27" xfId="2199" xr:uid="{00000000-0005-0000-0000-0000FA080000}"/>
    <cellStyle name="강조색2 28" xfId="2200" xr:uid="{00000000-0005-0000-0000-0000FB080000}"/>
    <cellStyle name="강조색2 29" xfId="2201" xr:uid="{00000000-0005-0000-0000-0000FC080000}"/>
    <cellStyle name="강조색2 3" xfId="2202" xr:uid="{00000000-0005-0000-0000-0000FD080000}"/>
    <cellStyle name="강조색2 30" xfId="2203" xr:uid="{00000000-0005-0000-0000-0000FE080000}"/>
    <cellStyle name="강조색2 31" xfId="2204" xr:uid="{00000000-0005-0000-0000-0000FF080000}"/>
    <cellStyle name="강조색2 32" xfId="2205" xr:uid="{00000000-0005-0000-0000-000000090000}"/>
    <cellStyle name="강조색2 33" xfId="2206" xr:uid="{00000000-0005-0000-0000-000001090000}"/>
    <cellStyle name="강조색2 34" xfId="2207" xr:uid="{00000000-0005-0000-0000-000002090000}"/>
    <cellStyle name="강조색2 35" xfId="2208" xr:uid="{00000000-0005-0000-0000-000003090000}"/>
    <cellStyle name="강조색2 36" xfId="2209" xr:uid="{00000000-0005-0000-0000-000004090000}"/>
    <cellStyle name="강조색2 37" xfId="2210" xr:uid="{00000000-0005-0000-0000-000005090000}"/>
    <cellStyle name="강조색2 38" xfId="2211" xr:uid="{00000000-0005-0000-0000-000006090000}"/>
    <cellStyle name="강조색2 39" xfId="2212" xr:uid="{00000000-0005-0000-0000-000007090000}"/>
    <cellStyle name="강조색2 4" xfId="2213" xr:uid="{00000000-0005-0000-0000-000008090000}"/>
    <cellStyle name="강조색2 40" xfId="2214" xr:uid="{00000000-0005-0000-0000-000009090000}"/>
    <cellStyle name="강조색2 41" xfId="2215" xr:uid="{00000000-0005-0000-0000-00000A090000}"/>
    <cellStyle name="강조색2 42" xfId="2216" xr:uid="{00000000-0005-0000-0000-00000B090000}"/>
    <cellStyle name="강조색2 43" xfId="2217" xr:uid="{00000000-0005-0000-0000-00000C090000}"/>
    <cellStyle name="강조색2 44" xfId="2218" xr:uid="{00000000-0005-0000-0000-00000D090000}"/>
    <cellStyle name="강조색2 45" xfId="2219" xr:uid="{00000000-0005-0000-0000-00000E090000}"/>
    <cellStyle name="강조색2 46" xfId="2220" xr:uid="{00000000-0005-0000-0000-00000F090000}"/>
    <cellStyle name="강조색2 47" xfId="2221" xr:uid="{00000000-0005-0000-0000-000010090000}"/>
    <cellStyle name="강조색2 48" xfId="2222" xr:uid="{00000000-0005-0000-0000-000011090000}"/>
    <cellStyle name="강조색2 49" xfId="2223" xr:uid="{00000000-0005-0000-0000-000012090000}"/>
    <cellStyle name="강조색2 5" xfId="2224" xr:uid="{00000000-0005-0000-0000-000013090000}"/>
    <cellStyle name="강조색2 50" xfId="2225" xr:uid="{00000000-0005-0000-0000-000014090000}"/>
    <cellStyle name="강조색2 51" xfId="2226" xr:uid="{00000000-0005-0000-0000-000015090000}"/>
    <cellStyle name="강조색2 52" xfId="2227" xr:uid="{00000000-0005-0000-0000-000016090000}"/>
    <cellStyle name="강조색2 53" xfId="2228" xr:uid="{00000000-0005-0000-0000-000017090000}"/>
    <cellStyle name="강조색2 54" xfId="2229" xr:uid="{00000000-0005-0000-0000-000018090000}"/>
    <cellStyle name="강조색2 55" xfId="2230" xr:uid="{00000000-0005-0000-0000-000019090000}"/>
    <cellStyle name="강조색2 56" xfId="2231" xr:uid="{00000000-0005-0000-0000-00001A090000}"/>
    <cellStyle name="강조색2 57" xfId="2232" xr:uid="{00000000-0005-0000-0000-00001B090000}"/>
    <cellStyle name="강조색2 58" xfId="2233" xr:uid="{00000000-0005-0000-0000-00001C090000}"/>
    <cellStyle name="강조색2 59" xfId="2234" xr:uid="{00000000-0005-0000-0000-00001D090000}"/>
    <cellStyle name="강조색2 6" xfId="2235" xr:uid="{00000000-0005-0000-0000-00001E090000}"/>
    <cellStyle name="강조색2 60" xfId="2236" xr:uid="{00000000-0005-0000-0000-00001F090000}"/>
    <cellStyle name="강조색2 61" xfId="2237" xr:uid="{00000000-0005-0000-0000-000020090000}"/>
    <cellStyle name="강조색2 62" xfId="2238" xr:uid="{00000000-0005-0000-0000-000021090000}"/>
    <cellStyle name="강조색2 63" xfId="2239" xr:uid="{00000000-0005-0000-0000-000022090000}"/>
    <cellStyle name="강조색2 64" xfId="2240" xr:uid="{00000000-0005-0000-0000-000023090000}"/>
    <cellStyle name="강조색2 65" xfId="2241" xr:uid="{00000000-0005-0000-0000-000024090000}"/>
    <cellStyle name="강조색2 66" xfId="2242" xr:uid="{00000000-0005-0000-0000-000025090000}"/>
    <cellStyle name="강조색2 67" xfId="2243" xr:uid="{00000000-0005-0000-0000-000026090000}"/>
    <cellStyle name="강조색2 68" xfId="2244" xr:uid="{00000000-0005-0000-0000-000027090000}"/>
    <cellStyle name="강조색2 69" xfId="2245" xr:uid="{00000000-0005-0000-0000-000028090000}"/>
    <cellStyle name="강조색2 7" xfId="2246" xr:uid="{00000000-0005-0000-0000-000029090000}"/>
    <cellStyle name="강조색2 70" xfId="2247" xr:uid="{00000000-0005-0000-0000-00002A090000}"/>
    <cellStyle name="강조색2 71" xfId="2248" xr:uid="{00000000-0005-0000-0000-00002B090000}"/>
    <cellStyle name="강조색2 72" xfId="2249" xr:uid="{00000000-0005-0000-0000-00002C090000}"/>
    <cellStyle name="강조색2 73" xfId="2250" xr:uid="{00000000-0005-0000-0000-00002D090000}"/>
    <cellStyle name="강조색2 74" xfId="2251" xr:uid="{00000000-0005-0000-0000-00002E090000}"/>
    <cellStyle name="강조색2 75" xfId="2252" xr:uid="{00000000-0005-0000-0000-00002F090000}"/>
    <cellStyle name="강조색2 76" xfId="2253" xr:uid="{00000000-0005-0000-0000-000030090000}"/>
    <cellStyle name="강조색2 77" xfId="2254" xr:uid="{00000000-0005-0000-0000-000031090000}"/>
    <cellStyle name="강조색2 78" xfId="2255" xr:uid="{00000000-0005-0000-0000-000032090000}"/>
    <cellStyle name="강조색2 79" xfId="2256" xr:uid="{00000000-0005-0000-0000-000033090000}"/>
    <cellStyle name="강조색2 8" xfId="2257" xr:uid="{00000000-0005-0000-0000-000034090000}"/>
    <cellStyle name="강조색2 80" xfId="2258" xr:uid="{00000000-0005-0000-0000-000035090000}"/>
    <cellStyle name="강조색2 81" xfId="2259" xr:uid="{00000000-0005-0000-0000-000036090000}"/>
    <cellStyle name="강조색2 82" xfId="2260" xr:uid="{00000000-0005-0000-0000-000037090000}"/>
    <cellStyle name="강조색2 83" xfId="2261" xr:uid="{00000000-0005-0000-0000-000038090000}"/>
    <cellStyle name="강조색2 84" xfId="2262" xr:uid="{00000000-0005-0000-0000-000039090000}"/>
    <cellStyle name="강조색2 85" xfId="2263" xr:uid="{00000000-0005-0000-0000-00003A090000}"/>
    <cellStyle name="강조색2 86" xfId="2264" xr:uid="{00000000-0005-0000-0000-00003B090000}"/>
    <cellStyle name="강조색2 87" xfId="2265" xr:uid="{00000000-0005-0000-0000-00003C090000}"/>
    <cellStyle name="강조색2 88" xfId="2266" xr:uid="{00000000-0005-0000-0000-00003D090000}"/>
    <cellStyle name="강조색2 89" xfId="2267" xr:uid="{00000000-0005-0000-0000-00003E090000}"/>
    <cellStyle name="강조색2 9" xfId="2268" xr:uid="{00000000-0005-0000-0000-00003F090000}"/>
    <cellStyle name="강조색2 90" xfId="2269" xr:uid="{00000000-0005-0000-0000-000040090000}"/>
    <cellStyle name="강조색2 91" xfId="2270" xr:uid="{00000000-0005-0000-0000-000041090000}"/>
    <cellStyle name="강조색2 92" xfId="2271" xr:uid="{00000000-0005-0000-0000-000042090000}"/>
    <cellStyle name="강조색2 93" xfId="2272" xr:uid="{00000000-0005-0000-0000-000043090000}"/>
    <cellStyle name="강조색2 94" xfId="2273" xr:uid="{00000000-0005-0000-0000-000044090000}"/>
    <cellStyle name="강조색2 95" xfId="2274" xr:uid="{00000000-0005-0000-0000-000045090000}"/>
    <cellStyle name="강조색2 96" xfId="2275" xr:uid="{00000000-0005-0000-0000-000046090000}"/>
    <cellStyle name="강조색2 97" xfId="2276" xr:uid="{00000000-0005-0000-0000-000047090000}"/>
    <cellStyle name="강조색2 98" xfId="2277" xr:uid="{00000000-0005-0000-0000-000048090000}"/>
    <cellStyle name="강조색2 99" xfId="2278" xr:uid="{00000000-0005-0000-0000-000049090000}"/>
    <cellStyle name="강조색3 10" xfId="2279" xr:uid="{00000000-0005-0000-0000-00004A090000}"/>
    <cellStyle name="강조색3 100" xfId="2280" xr:uid="{00000000-0005-0000-0000-00004B090000}"/>
    <cellStyle name="강조색3 101" xfId="2281" xr:uid="{00000000-0005-0000-0000-00004C090000}"/>
    <cellStyle name="강조색3 102" xfId="2282" xr:uid="{00000000-0005-0000-0000-00004D090000}"/>
    <cellStyle name="강조색3 103" xfId="2283" xr:uid="{00000000-0005-0000-0000-00004E090000}"/>
    <cellStyle name="강조색3 104" xfId="2284" xr:uid="{00000000-0005-0000-0000-00004F090000}"/>
    <cellStyle name="강조색3 105" xfId="2285" xr:uid="{00000000-0005-0000-0000-000050090000}"/>
    <cellStyle name="강조색3 106" xfId="2286" xr:uid="{00000000-0005-0000-0000-000051090000}"/>
    <cellStyle name="강조색3 107" xfId="2287" xr:uid="{00000000-0005-0000-0000-000052090000}"/>
    <cellStyle name="강조색3 11" xfId="2288" xr:uid="{00000000-0005-0000-0000-000053090000}"/>
    <cellStyle name="강조색3 12" xfId="2289" xr:uid="{00000000-0005-0000-0000-000054090000}"/>
    <cellStyle name="강조색3 13" xfId="2290" xr:uid="{00000000-0005-0000-0000-000055090000}"/>
    <cellStyle name="강조색3 14" xfId="2291" xr:uid="{00000000-0005-0000-0000-000056090000}"/>
    <cellStyle name="강조색3 15" xfId="2292" xr:uid="{00000000-0005-0000-0000-000057090000}"/>
    <cellStyle name="강조색3 16" xfId="2293" xr:uid="{00000000-0005-0000-0000-000058090000}"/>
    <cellStyle name="강조색3 17" xfId="2294" xr:uid="{00000000-0005-0000-0000-000059090000}"/>
    <cellStyle name="강조색3 18" xfId="2295" xr:uid="{00000000-0005-0000-0000-00005A090000}"/>
    <cellStyle name="강조색3 19" xfId="2296" xr:uid="{00000000-0005-0000-0000-00005B090000}"/>
    <cellStyle name="강조색3 2" xfId="2297" xr:uid="{00000000-0005-0000-0000-00005C090000}"/>
    <cellStyle name="강조색3 20" xfId="2298" xr:uid="{00000000-0005-0000-0000-00005D090000}"/>
    <cellStyle name="강조색3 21" xfId="2299" xr:uid="{00000000-0005-0000-0000-00005E090000}"/>
    <cellStyle name="강조색3 22" xfId="2300" xr:uid="{00000000-0005-0000-0000-00005F090000}"/>
    <cellStyle name="강조색3 23" xfId="2301" xr:uid="{00000000-0005-0000-0000-000060090000}"/>
    <cellStyle name="강조색3 24" xfId="2302" xr:uid="{00000000-0005-0000-0000-000061090000}"/>
    <cellStyle name="강조색3 25" xfId="2303" xr:uid="{00000000-0005-0000-0000-000062090000}"/>
    <cellStyle name="강조색3 26" xfId="2304" xr:uid="{00000000-0005-0000-0000-000063090000}"/>
    <cellStyle name="강조색3 27" xfId="2305" xr:uid="{00000000-0005-0000-0000-000064090000}"/>
    <cellStyle name="강조색3 28" xfId="2306" xr:uid="{00000000-0005-0000-0000-000065090000}"/>
    <cellStyle name="강조색3 29" xfId="2307" xr:uid="{00000000-0005-0000-0000-000066090000}"/>
    <cellStyle name="강조색3 3" xfId="2308" xr:uid="{00000000-0005-0000-0000-000067090000}"/>
    <cellStyle name="강조색3 30" xfId="2309" xr:uid="{00000000-0005-0000-0000-000068090000}"/>
    <cellStyle name="강조색3 31" xfId="2310" xr:uid="{00000000-0005-0000-0000-000069090000}"/>
    <cellStyle name="강조색3 32" xfId="2311" xr:uid="{00000000-0005-0000-0000-00006A090000}"/>
    <cellStyle name="강조색3 33" xfId="2312" xr:uid="{00000000-0005-0000-0000-00006B090000}"/>
    <cellStyle name="강조색3 34" xfId="2313" xr:uid="{00000000-0005-0000-0000-00006C090000}"/>
    <cellStyle name="강조색3 35" xfId="2314" xr:uid="{00000000-0005-0000-0000-00006D090000}"/>
    <cellStyle name="강조색3 36" xfId="2315" xr:uid="{00000000-0005-0000-0000-00006E090000}"/>
    <cellStyle name="강조색3 37" xfId="2316" xr:uid="{00000000-0005-0000-0000-00006F090000}"/>
    <cellStyle name="강조색3 38" xfId="2317" xr:uid="{00000000-0005-0000-0000-000070090000}"/>
    <cellStyle name="강조색3 39" xfId="2318" xr:uid="{00000000-0005-0000-0000-000071090000}"/>
    <cellStyle name="강조색3 4" xfId="2319" xr:uid="{00000000-0005-0000-0000-000072090000}"/>
    <cellStyle name="강조색3 40" xfId="2320" xr:uid="{00000000-0005-0000-0000-000073090000}"/>
    <cellStyle name="강조색3 41" xfId="2321" xr:uid="{00000000-0005-0000-0000-000074090000}"/>
    <cellStyle name="강조색3 42" xfId="2322" xr:uid="{00000000-0005-0000-0000-000075090000}"/>
    <cellStyle name="강조색3 43" xfId="2323" xr:uid="{00000000-0005-0000-0000-000076090000}"/>
    <cellStyle name="강조색3 44" xfId="2324" xr:uid="{00000000-0005-0000-0000-000077090000}"/>
    <cellStyle name="강조색3 45" xfId="2325" xr:uid="{00000000-0005-0000-0000-000078090000}"/>
    <cellStyle name="강조색3 46" xfId="2326" xr:uid="{00000000-0005-0000-0000-000079090000}"/>
    <cellStyle name="강조색3 47" xfId="2327" xr:uid="{00000000-0005-0000-0000-00007A090000}"/>
    <cellStyle name="강조색3 48" xfId="2328" xr:uid="{00000000-0005-0000-0000-00007B090000}"/>
    <cellStyle name="강조색3 49" xfId="2329" xr:uid="{00000000-0005-0000-0000-00007C090000}"/>
    <cellStyle name="강조색3 5" xfId="2330" xr:uid="{00000000-0005-0000-0000-00007D090000}"/>
    <cellStyle name="강조색3 50" xfId="2331" xr:uid="{00000000-0005-0000-0000-00007E090000}"/>
    <cellStyle name="강조색3 51" xfId="2332" xr:uid="{00000000-0005-0000-0000-00007F090000}"/>
    <cellStyle name="강조색3 52" xfId="2333" xr:uid="{00000000-0005-0000-0000-000080090000}"/>
    <cellStyle name="강조색3 53" xfId="2334" xr:uid="{00000000-0005-0000-0000-000081090000}"/>
    <cellStyle name="강조색3 54" xfId="2335" xr:uid="{00000000-0005-0000-0000-000082090000}"/>
    <cellStyle name="강조색3 55" xfId="2336" xr:uid="{00000000-0005-0000-0000-000083090000}"/>
    <cellStyle name="강조색3 56" xfId="2337" xr:uid="{00000000-0005-0000-0000-000084090000}"/>
    <cellStyle name="강조색3 57" xfId="2338" xr:uid="{00000000-0005-0000-0000-000085090000}"/>
    <cellStyle name="강조색3 58" xfId="2339" xr:uid="{00000000-0005-0000-0000-000086090000}"/>
    <cellStyle name="강조색3 59" xfId="2340" xr:uid="{00000000-0005-0000-0000-000087090000}"/>
    <cellStyle name="강조색3 6" xfId="2341" xr:uid="{00000000-0005-0000-0000-000088090000}"/>
    <cellStyle name="강조색3 60" xfId="2342" xr:uid="{00000000-0005-0000-0000-000089090000}"/>
    <cellStyle name="강조색3 61" xfId="2343" xr:uid="{00000000-0005-0000-0000-00008A090000}"/>
    <cellStyle name="강조색3 62" xfId="2344" xr:uid="{00000000-0005-0000-0000-00008B090000}"/>
    <cellStyle name="강조색3 63" xfId="2345" xr:uid="{00000000-0005-0000-0000-00008C090000}"/>
    <cellStyle name="강조색3 64" xfId="2346" xr:uid="{00000000-0005-0000-0000-00008D090000}"/>
    <cellStyle name="강조색3 65" xfId="2347" xr:uid="{00000000-0005-0000-0000-00008E090000}"/>
    <cellStyle name="강조색3 66" xfId="2348" xr:uid="{00000000-0005-0000-0000-00008F090000}"/>
    <cellStyle name="강조색3 67" xfId="2349" xr:uid="{00000000-0005-0000-0000-000090090000}"/>
    <cellStyle name="강조색3 68" xfId="2350" xr:uid="{00000000-0005-0000-0000-000091090000}"/>
    <cellStyle name="강조색3 69" xfId="2351" xr:uid="{00000000-0005-0000-0000-000092090000}"/>
    <cellStyle name="강조색3 7" xfId="2352" xr:uid="{00000000-0005-0000-0000-000093090000}"/>
    <cellStyle name="강조색3 70" xfId="2353" xr:uid="{00000000-0005-0000-0000-000094090000}"/>
    <cellStyle name="강조색3 71" xfId="2354" xr:uid="{00000000-0005-0000-0000-000095090000}"/>
    <cellStyle name="강조색3 72" xfId="2355" xr:uid="{00000000-0005-0000-0000-000096090000}"/>
    <cellStyle name="강조색3 73" xfId="2356" xr:uid="{00000000-0005-0000-0000-000097090000}"/>
    <cellStyle name="강조색3 74" xfId="2357" xr:uid="{00000000-0005-0000-0000-000098090000}"/>
    <cellStyle name="강조색3 75" xfId="2358" xr:uid="{00000000-0005-0000-0000-000099090000}"/>
    <cellStyle name="강조색3 76" xfId="2359" xr:uid="{00000000-0005-0000-0000-00009A090000}"/>
    <cellStyle name="강조색3 77" xfId="2360" xr:uid="{00000000-0005-0000-0000-00009B090000}"/>
    <cellStyle name="강조색3 78" xfId="2361" xr:uid="{00000000-0005-0000-0000-00009C090000}"/>
    <cellStyle name="강조색3 79" xfId="2362" xr:uid="{00000000-0005-0000-0000-00009D090000}"/>
    <cellStyle name="강조색3 8" xfId="2363" xr:uid="{00000000-0005-0000-0000-00009E090000}"/>
    <cellStyle name="강조색3 80" xfId="2364" xr:uid="{00000000-0005-0000-0000-00009F090000}"/>
    <cellStyle name="강조색3 81" xfId="2365" xr:uid="{00000000-0005-0000-0000-0000A0090000}"/>
    <cellStyle name="강조색3 82" xfId="2366" xr:uid="{00000000-0005-0000-0000-0000A1090000}"/>
    <cellStyle name="강조색3 83" xfId="2367" xr:uid="{00000000-0005-0000-0000-0000A2090000}"/>
    <cellStyle name="강조색3 84" xfId="2368" xr:uid="{00000000-0005-0000-0000-0000A3090000}"/>
    <cellStyle name="강조색3 85" xfId="2369" xr:uid="{00000000-0005-0000-0000-0000A4090000}"/>
    <cellStyle name="강조색3 86" xfId="2370" xr:uid="{00000000-0005-0000-0000-0000A5090000}"/>
    <cellStyle name="강조색3 87" xfId="2371" xr:uid="{00000000-0005-0000-0000-0000A6090000}"/>
    <cellStyle name="강조색3 88" xfId="2372" xr:uid="{00000000-0005-0000-0000-0000A7090000}"/>
    <cellStyle name="강조색3 89" xfId="2373" xr:uid="{00000000-0005-0000-0000-0000A8090000}"/>
    <cellStyle name="강조색3 9" xfId="2374" xr:uid="{00000000-0005-0000-0000-0000A9090000}"/>
    <cellStyle name="강조색3 90" xfId="2375" xr:uid="{00000000-0005-0000-0000-0000AA090000}"/>
    <cellStyle name="강조색3 91" xfId="2376" xr:uid="{00000000-0005-0000-0000-0000AB090000}"/>
    <cellStyle name="강조색3 92" xfId="2377" xr:uid="{00000000-0005-0000-0000-0000AC090000}"/>
    <cellStyle name="강조색3 93" xfId="2378" xr:uid="{00000000-0005-0000-0000-0000AD090000}"/>
    <cellStyle name="강조색3 94" xfId="2379" xr:uid="{00000000-0005-0000-0000-0000AE090000}"/>
    <cellStyle name="강조색3 95" xfId="2380" xr:uid="{00000000-0005-0000-0000-0000AF090000}"/>
    <cellStyle name="강조색3 96" xfId="2381" xr:uid="{00000000-0005-0000-0000-0000B0090000}"/>
    <cellStyle name="강조색3 97" xfId="2382" xr:uid="{00000000-0005-0000-0000-0000B1090000}"/>
    <cellStyle name="강조색3 98" xfId="2383" xr:uid="{00000000-0005-0000-0000-0000B2090000}"/>
    <cellStyle name="강조색3 99" xfId="2384" xr:uid="{00000000-0005-0000-0000-0000B3090000}"/>
    <cellStyle name="강조색4 10" xfId="2385" xr:uid="{00000000-0005-0000-0000-0000B4090000}"/>
    <cellStyle name="강조색4 100" xfId="2386" xr:uid="{00000000-0005-0000-0000-0000B5090000}"/>
    <cellStyle name="강조색4 101" xfId="2387" xr:uid="{00000000-0005-0000-0000-0000B6090000}"/>
    <cellStyle name="강조색4 102" xfId="2388" xr:uid="{00000000-0005-0000-0000-0000B7090000}"/>
    <cellStyle name="강조색4 103" xfId="2389" xr:uid="{00000000-0005-0000-0000-0000B8090000}"/>
    <cellStyle name="강조색4 104" xfId="2390" xr:uid="{00000000-0005-0000-0000-0000B9090000}"/>
    <cellStyle name="강조색4 105" xfId="2391" xr:uid="{00000000-0005-0000-0000-0000BA090000}"/>
    <cellStyle name="강조색4 106" xfId="2392" xr:uid="{00000000-0005-0000-0000-0000BB090000}"/>
    <cellStyle name="강조색4 107" xfId="2393" xr:uid="{00000000-0005-0000-0000-0000BC090000}"/>
    <cellStyle name="강조색4 11" xfId="2394" xr:uid="{00000000-0005-0000-0000-0000BD090000}"/>
    <cellStyle name="강조색4 12" xfId="2395" xr:uid="{00000000-0005-0000-0000-0000BE090000}"/>
    <cellStyle name="강조색4 13" xfId="2396" xr:uid="{00000000-0005-0000-0000-0000BF090000}"/>
    <cellStyle name="강조색4 14" xfId="2397" xr:uid="{00000000-0005-0000-0000-0000C0090000}"/>
    <cellStyle name="강조색4 15" xfId="2398" xr:uid="{00000000-0005-0000-0000-0000C1090000}"/>
    <cellStyle name="강조색4 16" xfId="2399" xr:uid="{00000000-0005-0000-0000-0000C2090000}"/>
    <cellStyle name="강조색4 17" xfId="2400" xr:uid="{00000000-0005-0000-0000-0000C3090000}"/>
    <cellStyle name="강조색4 18" xfId="2401" xr:uid="{00000000-0005-0000-0000-0000C4090000}"/>
    <cellStyle name="강조색4 19" xfId="2402" xr:uid="{00000000-0005-0000-0000-0000C5090000}"/>
    <cellStyle name="강조색4 2" xfId="2403" xr:uid="{00000000-0005-0000-0000-0000C6090000}"/>
    <cellStyle name="강조색4 20" xfId="2404" xr:uid="{00000000-0005-0000-0000-0000C7090000}"/>
    <cellStyle name="강조색4 21" xfId="2405" xr:uid="{00000000-0005-0000-0000-0000C8090000}"/>
    <cellStyle name="강조색4 22" xfId="2406" xr:uid="{00000000-0005-0000-0000-0000C9090000}"/>
    <cellStyle name="강조색4 23" xfId="2407" xr:uid="{00000000-0005-0000-0000-0000CA090000}"/>
    <cellStyle name="강조색4 24" xfId="2408" xr:uid="{00000000-0005-0000-0000-0000CB090000}"/>
    <cellStyle name="강조색4 25" xfId="2409" xr:uid="{00000000-0005-0000-0000-0000CC090000}"/>
    <cellStyle name="강조색4 26" xfId="2410" xr:uid="{00000000-0005-0000-0000-0000CD090000}"/>
    <cellStyle name="강조색4 27" xfId="2411" xr:uid="{00000000-0005-0000-0000-0000CE090000}"/>
    <cellStyle name="강조색4 28" xfId="2412" xr:uid="{00000000-0005-0000-0000-0000CF090000}"/>
    <cellStyle name="강조색4 29" xfId="2413" xr:uid="{00000000-0005-0000-0000-0000D0090000}"/>
    <cellStyle name="강조색4 3" xfId="2414" xr:uid="{00000000-0005-0000-0000-0000D1090000}"/>
    <cellStyle name="강조색4 30" xfId="2415" xr:uid="{00000000-0005-0000-0000-0000D2090000}"/>
    <cellStyle name="강조색4 31" xfId="2416" xr:uid="{00000000-0005-0000-0000-0000D3090000}"/>
    <cellStyle name="강조색4 32" xfId="2417" xr:uid="{00000000-0005-0000-0000-0000D4090000}"/>
    <cellStyle name="강조색4 33" xfId="2418" xr:uid="{00000000-0005-0000-0000-0000D5090000}"/>
    <cellStyle name="강조색4 34" xfId="2419" xr:uid="{00000000-0005-0000-0000-0000D6090000}"/>
    <cellStyle name="강조색4 35" xfId="2420" xr:uid="{00000000-0005-0000-0000-0000D7090000}"/>
    <cellStyle name="강조색4 36" xfId="2421" xr:uid="{00000000-0005-0000-0000-0000D8090000}"/>
    <cellStyle name="강조색4 37" xfId="2422" xr:uid="{00000000-0005-0000-0000-0000D9090000}"/>
    <cellStyle name="강조색4 38" xfId="2423" xr:uid="{00000000-0005-0000-0000-0000DA090000}"/>
    <cellStyle name="강조색4 39" xfId="2424" xr:uid="{00000000-0005-0000-0000-0000DB090000}"/>
    <cellStyle name="강조색4 4" xfId="2425" xr:uid="{00000000-0005-0000-0000-0000DC090000}"/>
    <cellStyle name="강조색4 40" xfId="2426" xr:uid="{00000000-0005-0000-0000-0000DD090000}"/>
    <cellStyle name="강조색4 41" xfId="2427" xr:uid="{00000000-0005-0000-0000-0000DE090000}"/>
    <cellStyle name="강조색4 42" xfId="2428" xr:uid="{00000000-0005-0000-0000-0000DF090000}"/>
    <cellStyle name="강조색4 43" xfId="2429" xr:uid="{00000000-0005-0000-0000-0000E0090000}"/>
    <cellStyle name="강조색4 44" xfId="2430" xr:uid="{00000000-0005-0000-0000-0000E1090000}"/>
    <cellStyle name="강조색4 45" xfId="2431" xr:uid="{00000000-0005-0000-0000-0000E2090000}"/>
    <cellStyle name="강조색4 46" xfId="2432" xr:uid="{00000000-0005-0000-0000-0000E3090000}"/>
    <cellStyle name="강조색4 47" xfId="2433" xr:uid="{00000000-0005-0000-0000-0000E4090000}"/>
    <cellStyle name="강조색4 48" xfId="2434" xr:uid="{00000000-0005-0000-0000-0000E5090000}"/>
    <cellStyle name="강조색4 49" xfId="2435" xr:uid="{00000000-0005-0000-0000-0000E6090000}"/>
    <cellStyle name="강조색4 5" xfId="2436" xr:uid="{00000000-0005-0000-0000-0000E7090000}"/>
    <cellStyle name="강조색4 50" xfId="2437" xr:uid="{00000000-0005-0000-0000-0000E8090000}"/>
    <cellStyle name="강조색4 51" xfId="2438" xr:uid="{00000000-0005-0000-0000-0000E9090000}"/>
    <cellStyle name="강조색4 52" xfId="2439" xr:uid="{00000000-0005-0000-0000-0000EA090000}"/>
    <cellStyle name="강조색4 53" xfId="2440" xr:uid="{00000000-0005-0000-0000-0000EB090000}"/>
    <cellStyle name="강조색4 54" xfId="2441" xr:uid="{00000000-0005-0000-0000-0000EC090000}"/>
    <cellStyle name="강조색4 55" xfId="2442" xr:uid="{00000000-0005-0000-0000-0000ED090000}"/>
    <cellStyle name="강조색4 56" xfId="2443" xr:uid="{00000000-0005-0000-0000-0000EE090000}"/>
    <cellStyle name="강조색4 57" xfId="2444" xr:uid="{00000000-0005-0000-0000-0000EF090000}"/>
    <cellStyle name="강조색4 58" xfId="2445" xr:uid="{00000000-0005-0000-0000-0000F0090000}"/>
    <cellStyle name="강조색4 59" xfId="2446" xr:uid="{00000000-0005-0000-0000-0000F1090000}"/>
    <cellStyle name="강조색4 6" xfId="2447" xr:uid="{00000000-0005-0000-0000-0000F2090000}"/>
    <cellStyle name="강조색4 60" xfId="2448" xr:uid="{00000000-0005-0000-0000-0000F3090000}"/>
    <cellStyle name="강조색4 61" xfId="2449" xr:uid="{00000000-0005-0000-0000-0000F4090000}"/>
    <cellStyle name="강조색4 62" xfId="2450" xr:uid="{00000000-0005-0000-0000-0000F5090000}"/>
    <cellStyle name="강조색4 63" xfId="2451" xr:uid="{00000000-0005-0000-0000-0000F6090000}"/>
    <cellStyle name="강조색4 64" xfId="2452" xr:uid="{00000000-0005-0000-0000-0000F7090000}"/>
    <cellStyle name="강조색4 65" xfId="2453" xr:uid="{00000000-0005-0000-0000-0000F8090000}"/>
    <cellStyle name="강조색4 66" xfId="2454" xr:uid="{00000000-0005-0000-0000-0000F9090000}"/>
    <cellStyle name="강조색4 67" xfId="2455" xr:uid="{00000000-0005-0000-0000-0000FA090000}"/>
    <cellStyle name="강조색4 68" xfId="2456" xr:uid="{00000000-0005-0000-0000-0000FB090000}"/>
    <cellStyle name="강조색4 69" xfId="2457" xr:uid="{00000000-0005-0000-0000-0000FC090000}"/>
    <cellStyle name="강조색4 7" xfId="2458" xr:uid="{00000000-0005-0000-0000-0000FD090000}"/>
    <cellStyle name="강조색4 70" xfId="2459" xr:uid="{00000000-0005-0000-0000-0000FE090000}"/>
    <cellStyle name="강조색4 71" xfId="2460" xr:uid="{00000000-0005-0000-0000-0000FF090000}"/>
    <cellStyle name="강조색4 72" xfId="2461" xr:uid="{00000000-0005-0000-0000-0000000A0000}"/>
    <cellStyle name="강조색4 73" xfId="2462" xr:uid="{00000000-0005-0000-0000-0000010A0000}"/>
    <cellStyle name="강조색4 74" xfId="2463" xr:uid="{00000000-0005-0000-0000-0000020A0000}"/>
    <cellStyle name="강조색4 75" xfId="2464" xr:uid="{00000000-0005-0000-0000-0000030A0000}"/>
    <cellStyle name="강조색4 76" xfId="2465" xr:uid="{00000000-0005-0000-0000-0000040A0000}"/>
    <cellStyle name="강조색4 77" xfId="2466" xr:uid="{00000000-0005-0000-0000-0000050A0000}"/>
    <cellStyle name="강조색4 78" xfId="2467" xr:uid="{00000000-0005-0000-0000-0000060A0000}"/>
    <cellStyle name="강조색4 79" xfId="2468" xr:uid="{00000000-0005-0000-0000-0000070A0000}"/>
    <cellStyle name="강조색4 8" xfId="2469" xr:uid="{00000000-0005-0000-0000-0000080A0000}"/>
    <cellStyle name="강조색4 80" xfId="2470" xr:uid="{00000000-0005-0000-0000-0000090A0000}"/>
    <cellStyle name="강조색4 81" xfId="2471" xr:uid="{00000000-0005-0000-0000-00000A0A0000}"/>
    <cellStyle name="강조색4 82" xfId="2472" xr:uid="{00000000-0005-0000-0000-00000B0A0000}"/>
    <cellStyle name="강조색4 83" xfId="2473" xr:uid="{00000000-0005-0000-0000-00000C0A0000}"/>
    <cellStyle name="강조색4 84" xfId="2474" xr:uid="{00000000-0005-0000-0000-00000D0A0000}"/>
    <cellStyle name="강조색4 85" xfId="2475" xr:uid="{00000000-0005-0000-0000-00000E0A0000}"/>
    <cellStyle name="강조색4 86" xfId="2476" xr:uid="{00000000-0005-0000-0000-00000F0A0000}"/>
    <cellStyle name="강조색4 87" xfId="2477" xr:uid="{00000000-0005-0000-0000-0000100A0000}"/>
    <cellStyle name="강조색4 88" xfId="2478" xr:uid="{00000000-0005-0000-0000-0000110A0000}"/>
    <cellStyle name="강조색4 89" xfId="2479" xr:uid="{00000000-0005-0000-0000-0000120A0000}"/>
    <cellStyle name="강조색4 9" xfId="2480" xr:uid="{00000000-0005-0000-0000-0000130A0000}"/>
    <cellStyle name="강조색4 90" xfId="2481" xr:uid="{00000000-0005-0000-0000-0000140A0000}"/>
    <cellStyle name="강조색4 91" xfId="2482" xr:uid="{00000000-0005-0000-0000-0000150A0000}"/>
    <cellStyle name="강조색4 92" xfId="2483" xr:uid="{00000000-0005-0000-0000-0000160A0000}"/>
    <cellStyle name="강조색4 93" xfId="2484" xr:uid="{00000000-0005-0000-0000-0000170A0000}"/>
    <cellStyle name="강조색4 94" xfId="2485" xr:uid="{00000000-0005-0000-0000-0000180A0000}"/>
    <cellStyle name="강조색4 95" xfId="2486" xr:uid="{00000000-0005-0000-0000-0000190A0000}"/>
    <cellStyle name="강조색4 96" xfId="2487" xr:uid="{00000000-0005-0000-0000-00001A0A0000}"/>
    <cellStyle name="강조색4 97" xfId="2488" xr:uid="{00000000-0005-0000-0000-00001B0A0000}"/>
    <cellStyle name="강조색4 98" xfId="2489" xr:uid="{00000000-0005-0000-0000-00001C0A0000}"/>
    <cellStyle name="강조색4 99" xfId="2490" xr:uid="{00000000-0005-0000-0000-00001D0A0000}"/>
    <cellStyle name="강조색5 10" xfId="2491" xr:uid="{00000000-0005-0000-0000-00001E0A0000}"/>
    <cellStyle name="강조색5 100" xfId="2492" xr:uid="{00000000-0005-0000-0000-00001F0A0000}"/>
    <cellStyle name="강조색5 101" xfId="2493" xr:uid="{00000000-0005-0000-0000-0000200A0000}"/>
    <cellStyle name="강조색5 102" xfId="2494" xr:uid="{00000000-0005-0000-0000-0000210A0000}"/>
    <cellStyle name="강조색5 103" xfId="2495" xr:uid="{00000000-0005-0000-0000-0000220A0000}"/>
    <cellStyle name="강조색5 104" xfId="2496" xr:uid="{00000000-0005-0000-0000-0000230A0000}"/>
    <cellStyle name="강조색5 105" xfId="2497" xr:uid="{00000000-0005-0000-0000-0000240A0000}"/>
    <cellStyle name="강조색5 106" xfId="2498" xr:uid="{00000000-0005-0000-0000-0000250A0000}"/>
    <cellStyle name="강조색5 107" xfId="2499" xr:uid="{00000000-0005-0000-0000-0000260A0000}"/>
    <cellStyle name="강조색5 11" xfId="2500" xr:uid="{00000000-0005-0000-0000-0000270A0000}"/>
    <cellStyle name="강조색5 12" xfId="2501" xr:uid="{00000000-0005-0000-0000-0000280A0000}"/>
    <cellStyle name="강조색5 13" xfId="2502" xr:uid="{00000000-0005-0000-0000-0000290A0000}"/>
    <cellStyle name="강조색5 14" xfId="2503" xr:uid="{00000000-0005-0000-0000-00002A0A0000}"/>
    <cellStyle name="강조색5 15" xfId="2504" xr:uid="{00000000-0005-0000-0000-00002B0A0000}"/>
    <cellStyle name="강조색5 16" xfId="2505" xr:uid="{00000000-0005-0000-0000-00002C0A0000}"/>
    <cellStyle name="강조색5 17" xfId="2506" xr:uid="{00000000-0005-0000-0000-00002D0A0000}"/>
    <cellStyle name="강조색5 18" xfId="2507" xr:uid="{00000000-0005-0000-0000-00002E0A0000}"/>
    <cellStyle name="강조색5 19" xfId="2508" xr:uid="{00000000-0005-0000-0000-00002F0A0000}"/>
    <cellStyle name="강조색5 2" xfId="2509" xr:uid="{00000000-0005-0000-0000-0000300A0000}"/>
    <cellStyle name="강조색5 20" xfId="2510" xr:uid="{00000000-0005-0000-0000-0000310A0000}"/>
    <cellStyle name="강조색5 21" xfId="2511" xr:uid="{00000000-0005-0000-0000-0000320A0000}"/>
    <cellStyle name="강조색5 22" xfId="2512" xr:uid="{00000000-0005-0000-0000-0000330A0000}"/>
    <cellStyle name="강조색5 23" xfId="2513" xr:uid="{00000000-0005-0000-0000-0000340A0000}"/>
    <cellStyle name="강조색5 24" xfId="2514" xr:uid="{00000000-0005-0000-0000-0000350A0000}"/>
    <cellStyle name="강조색5 25" xfId="2515" xr:uid="{00000000-0005-0000-0000-0000360A0000}"/>
    <cellStyle name="강조색5 26" xfId="2516" xr:uid="{00000000-0005-0000-0000-0000370A0000}"/>
    <cellStyle name="강조색5 27" xfId="2517" xr:uid="{00000000-0005-0000-0000-0000380A0000}"/>
    <cellStyle name="강조색5 28" xfId="2518" xr:uid="{00000000-0005-0000-0000-0000390A0000}"/>
    <cellStyle name="강조색5 29" xfId="2519" xr:uid="{00000000-0005-0000-0000-00003A0A0000}"/>
    <cellStyle name="강조색5 3" xfId="2520" xr:uid="{00000000-0005-0000-0000-00003B0A0000}"/>
    <cellStyle name="강조색5 30" xfId="2521" xr:uid="{00000000-0005-0000-0000-00003C0A0000}"/>
    <cellStyle name="강조색5 31" xfId="2522" xr:uid="{00000000-0005-0000-0000-00003D0A0000}"/>
    <cellStyle name="강조색5 32" xfId="2523" xr:uid="{00000000-0005-0000-0000-00003E0A0000}"/>
    <cellStyle name="강조색5 33" xfId="2524" xr:uid="{00000000-0005-0000-0000-00003F0A0000}"/>
    <cellStyle name="강조색5 34" xfId="2525" xr:uid="{00000000-0005-0000-0000-0000400A0000}"/>
    <cellStyle name="강조색5 35" xfId="2526" xr:uid="{00000000-0005-0000-0000-0000410A0000}"/>
    <cellStyle name="강조색5 36" xfId="2527" xr:uid="{00000000-0005-0000-0000-0000420A0000}"/>
    <cellStyle name="강조색5 37" xfId="2528" xr:uid="{00000000-0005-0000-0000-0000430A0000}"/>
    <cellStyle name="강조색5 38" xfId="2529" xr:uid="{00000000-0005-0000-0000-0000440A0000}"/>
    <cellStyle name="강조색5 39" xfId="2530" xr:uid="{00000000-0005-0000-0000-0000450A0000}"/>
    <cellStyle name="강조색5 4" xfId="2531" xr:uid="{00000000-0005-0000-0000-0000460A0000}"/>
    <cellStyle name="강조색5 40" xfId="2532" xr:uid="{00000000-0005-0000-0000-0000470A0000}"/>
    <cellStyle name="강조색5 41" xfId="2533" xr:uid="{00000000-0005-0000-0000-0000480A0000}"/>
    <cellStyle name="강조색5 42" xfId="2534" xr:uid="{00000000-0005-0000-0000-0000490A0000}"/>
    <cellStyle name="강조색5 43" xfId="2535" xr:uid="{00000000-0005-0000-0000-00004A0A0000}"/>
    <cellStyle name="강조색5 44" xfId="2536" xr:uid="{00000000-0005-0000-0000-00004B0A0000}"/>
    <cellStyle name="강조색5 45" xfId="2537" xr:uid="{00000000-0005-0000-0000-00004C0A0000}"/>
    <cellStyle name="강조색5 46" xfId="2538" xr:uid="{00000000-0005-0000-0000-00004D0A0000}"/>
    <cellStyle name="강조색5 47" xfId="2539" xr:uid="{00000000-0005-0000-0000-00004E0A0000}"/>
    <cellStyle name="강조색5 48" xfId="2540" xr:uid="{00000000-0005-0000-0000-00004F0A0000}"/>
    <cellStyle name="강조색5 49" xfId="2541" xr:uid="{00000000-0005-0000-0000-0000500A0000}"/>
    <cellStyle name="강조색5 5" xfId="2542" xr:uid="{00000000-0005-0000-0000-0000510A0000}"/>
    <cellStyle name="강조색5 50" xfId="2543" xr:uid="{00000000-0005-0000-0000-0000520A0000}"/>
    <cellStyle name="강조색5 51" xfId="2544" xr:uid="{00000000-0005-0000-0000-0000530A0000}"/>
    <cellStyle name="강조색5 52" xfId="2545" xr:uid="{00000000-0005-0000-0000-0000540A0000}"/>
    <cellStyle name="강조색5 53" xfId="2546" xr:uid="{00000000-0005-0000-0000-0000550A0000}"/>
    <cellStyle name="강조색5 54" xfId="2547" xr:uid="{00000000-0005-0000-0000-0000560A0000}"/>
    <cellStyle name="강조색5 55" xfId="2548" xr:uid="{00000000-0005-0000-0000-0000570A0000}"/>
    <cellStyle name="강조색5 56" xfId="2549" xr:uid="{00000000-0005-0000-0000-0000580A0000}"/>
    <cellStyle name="강조색5 57" xfId="2550" xr:uid="{00000000-0005-0000-0000-0000590A0000}"/>
    <cellStyle name="강조색5 58" xfId="2551" xr:uid="{00000000-0005-0000-0000-00005A0A0000}"/>
    <cellStyle name="강조색5 59" xfId="2552" xr:uid="{00000000-0005-0000-0000-00005B0A0000}"/>
    <cellStyle name="강조색5 6" xfId="2553" xr:uid="{00000000-0005-0000-0000-00005C0A0000}"/>
    <cellStyle name="강조색5 60" xfId="2554" xr:uid="{00000000-0005-0000-0000-00005D0A0000}"/>
    <cellStyle name="강조색5 61" xfId="2555" xr:uid="{00000000-0005-0000-0000-00005E0A0000}"/>
    <cellStyle name="강조색5 62" xfId="2556" xr:uid="{00000000-0005-0000-0000-00005F0A0000}"/>
    <cellStyle name="강조색5 63" xfId="2557" xr:uid="{00000000-0005-0000-0000-0000600A0000}"/>
    <cellStyle name="강조색5 64" xfId="2558" xr:uid="{00000000-0005-0000-0000-0000610A0000}"/>
    <cellStyle name="강조색5 65" xfId="2559" xr:uid="{00000000-0005-0000-0000-0000620A0000}"/>
    <cellStyle name="강조색5 66" xfId="2560" xr:uid="{00000000-0005-0000-0000-0000630A0000}"/>
    <cellStyle name="강조색5 67" xfId="2561" xr:uid="{00000000-0005-0000-0000-0000640A0000}"/>
    <cellStyle name="강조색5 68" xfId="2562" xr:uid="{00000000-0005-0000-0000-0000650A0000}"/>
    <cellStyle name="강조색5 69" xfId="2563" xr:uid="{00000000-0005-0000-0000-0000660A0000}"/>
    <cellStyle name="강조색5 7" xfId="2564" xr:uid="{00000000-0005-0000-0000-0000670A0000}"/>
    <cellStyle name="강조색5 70" xfId="2565" xr:uid="{00000000-0005-0000-0000-0000680A0000}"/>
    <cellStyle name="강조색5 71" xfId="2566" xr:uid="{00000000-0005-0000-0000-0000690A0000}"/>
    <cellStyle name="강조색5 72" xfId="2567" xr:uid="{00000000-0005-0000-0000-00006A0A0000}"/>
    <cellStyle name="강조색5 73" xfId="2568" xr:uid="{00000000-0005-0000-0000-00006B0A0000}"/>
    <cellStyle name="강조색5 74" xfId="2569" xr:uid="{00000000-0005-0000-0000-00006C0A0000}"/>
    <cellStyle name="강조색5 75" xfId="2570" xr:uid="{00000000-0005-0000-0000-00006D0A0000}"/>
    <cellStyle name="강조색5 76" xfId="2571" xr:uid="{00000000-0005-0000-0000-00006E0A0000}"/>
    <cellStyle name="강조색5 77" xfId="2572" xr:uid="{00000000-0005-0000-0000-00006F0A0000}"/>
    <cellStyle name="강조색5 78" xfId="2573" xr:uid="{00000000-0005-0000-0000-0000700A0000}"/>
    <cellStyle name="강조색5 79" xfId="2574" xr:uid="{00000000-0005-0000-0000-0000710A0000}"/>
    <cellStyle name="강조색5 8" xfId="2575" xr:uid="{00000000-0005-0000-0000-0000720A0000}"/>
    <cellStyle name="강조색5 80" xfId="2576" xr:uid="{00000000-0005-0000-0000-0000730A0000}"/>
    <cellStyle name="강조색5 81" xfId="2577" xr:uid="{00000000-0005-0000-0000-0000740A0000}"/>
    <cellStyle name="강조색5 82" xfId="2578" xr:uid="{00000000-0005-0000-0000-0000750A0000}"/>
    <cellStyle name="강조색5 83" xfId="2579" xr:uid="{00000000-0005-0000-0000-0000760A0000}"/>
    <cellStyle name="강조색5 84" xfId="2580" xr:uid="{00000000-0005-0000-0000-0000770A0000}"/>
    <cellStyle name="강조색5 85" xfId="2581" xr:uid="{00000000-0005-0000-0000-0000780A0000}"/>
    <cellStyle name="강조색5 86" xfId="2582" xr:uid="{00000000-0005-0000-0000-0000790A0000}"/>
    <cellStyle name="강조색5 87" xfId="2583" xr:uid="{00000000-0005-0000-0000-00007A0A0000}"/>
    <cellStyle name="강조색5 88" xfId="2584" xr:uid="{00000000-0005-0000-0000-00007B0A0000}"/>
    <cellStyle name="강조색5 89" xfId="2585" xr:uid="{00000000-0005-0000-0000-00007C0A0000}"/>
    <cellStyle name="강조색5 9" xfId="2586" xr:uid="{00000000-0005-0000-0000-00007D0A0000}"/>
    <cellStyle name="강조색5 90" xfId="2587" xr:uid="{00000000-0005-0000-0000-00007E0A0000}"/>
    <cellStyle name="강조색5 91" xfId="2588" xr:uid="{00000000-0005-0000-0000-00007F0A0000}"/>
    <cellStyle name="강조색5 92" xfId="2589" xr:uid="{00000000-0005-0000-0000-0000800A0000}"/>
    <cellStyle name="강조색5 93" xfId="2590" xr:uid="{00000000-0005-0000-0000-0000810A0000}"/>
    <cellStyle name="강조색5 94" xfId="2591" xr:uid="{00000000-0005-0000-0000-0000820A0000}"/>
    <cellStyle name="강조색5 95" xfId="2592" xr:uid="{00000000-0005-0000-0000-0000830A0000}"/>
    <cellStyle name="강조색5 96" xfId="2593" xr:uid="{00000000-0005-0000-0000-0000840A0000}"/>
    <cellStyle name="강조색5 97" xfId="2594" xr:uid="{00000000-0005-0000-0000-0000850A0000}"/>
    <cellStyle name="강조색5 98" xfId="2595" xr:uid="{00000000-0005-0000-0000-0000860A0000}"/>
    <cellStyle name="강조색5 99" xfId="2596" xr:uid="{00000000-0005-0000-0000-0000870A0000}"/>
    <cellStyle name="강조색6 10" xfId="2597" xr:uid="{00000000-0005-0000-0000-0000880A0000}"/>
    <cellStyle name="강조색6 100" xfId="2598" xr:uid="{00000000-0005-0000-0000-0000890A0000}"/>
    <cellStyle name="강조색6 101" xfId="2599" xr:uid="{00000000-0005-0000-0000-00008A0A0000}"/>
    <cellStyle name="강조색6 102" xfId="2600" xr:uid="{00000000-0005-0000-0000-00008B0A0000}"/>
    <cellStyle name="강조색6 103" xfId="2601" xr:uid="{00000000-0005-0000-0000-00008C0A0000}"/>
    <cellStyle name="강조색6 104" xfId="2602" xr:uid="{00000000-0005-0000-0000-00008D0A0000}"/>
    <cellStyle name="강조색6 105" xfId="2603" xr:uid="{00000000-0005-0000-0000-00008E0A0000}"/>
    <cellStyle name="강조색6 106" xfId="2604" xr:uid="{00000000-0005-0000-0000-00008F0A0000}"/>
    <cellStyle name="강조색6 107" xfId="2605" xr:uid="{00000000-0005-0000-0000-0000900A0000}"/>
    <cellStyle name="강조색6 11" xfId="2606" xr:uid="{00000000-0005-0000-0000-0000910A0000}"/>
    <cellStyle name="강조색6 12" xfId="2607" xr:uid="{00000000-0005-0000-0000-0000920A0000}"/>
    <cellStyle name="강조색6 13" xfId="2608" xr:uid="{00000000-0005-0000-0000-0000930A0000}"/>
    <cellStyle name="강조색6 14" xfId="2609" xr:uid="{00000000-0005-0000-0000-0000940A0000}"/>
    <cellStyle name="강조색6 15" xfId="2610" xr:uid="{00000000-0005-0000-0000-0000950A0000}"/>
    <cellStyle name="강조색6 16" xfId="2611" xr:uid="{00000000-0005-0000-0000-0000960A0000}"/>
    <cellStyle name="강조색6 17" xfId="2612" xr:uid="{00000000-0005-0000-0000-0000970A0000}"/>
    <cellStyle name="강조색6 18" xfId="2613" xr:uid="{00000000-0005-0000-0000-0000980A0000}"/>
    <cellStyle name="강조색6 19" xfId="2614" xr:uid="{00000000-0005-0000-0000-0000990A0000}"/>
    <cellStyle name="강조색6 2" xfId="2615" xr:uid="{00000000-0005-0000-0000-00009A0A0000}"/>
    <cellStyle name="강조색6 20" xfId="2616" xr:uid="{00000000-0005-0000-0000-00009B0A0000}"/>
    <cellStyle name="강조색6 21" xfId="2617" xr:uid="{00000000-0005-0000-0000-00009C0A0000}"/>
    <cellStyle name="강조색6 22" xfId="2618" xr:uid="{00000000-0005-0000-0000-00009D0A0000}"/>
    <cellStyle name="강조색6 23" xfId="2619" xr:uid="{00000000-0005-0000-0000-00009E0A0000}"/>
    <cellStyle name="강조색6 24" xfId="2620" xr:uid="{00000000-0005-0000-0000-00009F0A0000}"/>
    <cellStyle name="강조색6 25" xfId="2621" xr:uid="{00000000-0005-0000-0000-0000A00A0000}"/>
    <cellStyle name="강조색6 26" xfId="2622" xr:uid="{00000000-0005-0000-0000-0000A10A0000}"/>
    <cellStyle name="강조색6 27" xfId="2623" xr:uid="{00000000-0005-0000-0000-0000A20A0000}"/>
    <cellStyle name="강조색6 28" xfId="2624" xr:uid="{00000000-0005-0000-0000-0000A30A0000}"/>
    <cellStyle name="강조색6 29" xfId="2625" xr:uid="{00000000-0005-0000-0000-0000A40A0000}"/>
    <cellStyle name="강조색6 3" xfId="2626" xr:uid="{00000000-0005-0000-0000-0000A50A0000}"/>
    <cellStyle name="강조색6 30" xfId="2627" xr:uid="{00000000-0005-0000-0000-0000A60A0000}"/>
    <cellStyle name="강조색6 31" xfId="2628" xr:uid="{00000000-0005-0000-0000-0000A70A0000}"/>
    <cellStyle name="강조색6 32" xfId="2629" xr:uid="{00000000-0005-0000-0000-0000A80A0000}"/>
    <cellStyle name="강조색6 33" xfId="2630" xr:uid="{00000000-0005-0000-0000-0000A90A0000}"/>
    <cellStyle name="강조색6 34" xfId="2631" xr:uid="{00000000-0005-0000-0000-0000AA0A0000}"/>
    <cellStyle name="강조색6 35" xfId="2632" xr:uid="{00000000-0005-0000-0000-0000AB0A0000}"/>
    <cellStyle name="강조색6 36" xfId="2633" xr:uid="{00000000-0005-0000-0000-0000AC0A0000}"/>
    <cellStyle name="강조색6 37" xfId="2634" xr:uid="{00000000-0005-0000-0000-0000AD0A0000}"/>
    <cellStyle name="강조색6 38" xfId="2635" xr:uid="{00000000-0005-0000-0000-0000AE0A0000}"/>
    <cellStyle name="강조색6 39" xfId="2636" xr:uid="{00000000-0005-0000-0000-0000AF0A0000}"/>
    <cellStyle name="강조색6 4" xfId="2637" xr:uid="{00000000-0005-0000-0000-0000B00A0000}"/>
    <cellStyle name="강조색6 40" xfId="2638" xr:uid="{00000000-0005-0000-0000-0000B10A0000}"/>
    <cellStyle name="강조색6 41" xfId="2639" xr:uid="{00000000-0005-0000-0000-0000B20A0000}"/>
    <cellStyle name="강조색6 42" xfId="2640" xr:uid="{00000000-0005-0000-0000-0000B30A0000}"/>
    <cellStyle name="강조색6 43" xfId="2641" xr:uid="{00000000-0005-0000-0000-0000B40A0000}"/>
    <cellStyle name="강조색6 44" xfId="2642" xr:uid="{00000000-0005-0000-0000-0000B50A0000}"/>
    <cellStyle name="강조색6 45" xfId="2643" xr:uid="{00000000-0005-0000-0000-0000B60A0000}"/>
    <cellStyle name="강조색6 46" xfId="2644" xr:uid="{00000000-0005-0000-0000-0000B70A0000}"/>
    <cellStyle name="강조색6 47" xfId="2645" xr:uid="{00000000-0005-0000-0000-0000B80A0000}"/>
    <cellStyle name="강조색6 48" xfId="2646" xr:uid="{00000000-0005-0000-0000-0000B90A0000}"/>
    <cellStyle name="강조색6 49" xfId="2647" xr:uid="{00000000-0005-0000-0000-0000BA0A0000}"/>
    <cellStyle name="강조색6 5" xfId="2648" xr:uid="{00000000-0005-0000-0000-0000BB0A0000}"/>
    <cellStyle name="강조색6 50" xfId="2649" xr:uid="{00000000-0005-0000-0000-0000BC0A0000}"/>
    <cellStyle name="강조색6 51" xfId="2650" xr:uid="{00000000-0005-0000-0000-0000BD0A0000}"/>
    <cellStyle name="강조색6 52" xfId="2651" xr:uid="{00000000-0005-0000-0000-0000BE0A0000}"/>
    <cellStyle name="강조색6 53" xfId="2652" xr:uid="{00000000-0005-0000-0000-0000BF0A0000}"/>
    <cellStyle name="강조색6 54" xfId="2653" xr:uid="{00000000-0005-0000-0000-0000C00A0000}"/>
    <cellStyle name="강조색6 55" xfId="2654" xr:uid="{00000000-0005-0000-0000-0000C10A0000}"/>
    <cellStyle name="강조색6 56" xfId="2655" xr:uid="{00000000-0005-0000-0000-0000C20A0000}"/>
    <cellStyle name="강조색6 57" xfId="2656" xr:uid="{00000000-0005-0000-0000-0000C30A0000}"/>
    <cellStyle name="강조색6 58" xfId="2657" xr:uid="{00000000-0005-0000-0000-0000C40A0000}"/>
    <cellStyle name="강조색6 59" xfId="2658" xr:uid="{00000000-0005-0000-0000-0000C50A0000}"/>
    <cellStyle name="강조색6 6" xfId="2659" xr:uid="{00000000-0005-0000-0000-0000C60A0000}"/>
    <cellStyle name="강조색6 60" xfId="2660" xr:uid="{00000000-0005-0000-0000-0000C70A0000}"/>
    <cellStyle name="강조색6 61" xfId="2661" xr:uid="{00000000-0005-0000-0000-0000C80A0000}"/>
    <cellStyle name="강조색6 62" xfId="2662" xr:uid="{00000000-0005-0000-0000-0000C90A0000}"/>
    <cellStyle name="강조색6 63" xfId="2663" xr:uid="{00000000-0005-0000-0000-0000CA0A0000}"/>
    <cellStyle name="강조색6 64" xfId="2664" xr:uid="{00000000-0005-0000-0000-0000CB0A0000}"/>
    <cellStyle name="강조색6 65" xfId="2665" xr:uid="{00000000-0005-0000-0000-0000CC0A0000}"/>
    <cellStyle name="강조색6 66" xfId="2666" xr:uid="{00000000-0005-0000-0000-0000CD0A0000}"/>
    <cellStyle name="강조색6 67" xfId="2667" xr:uid="{00000000-0005-0000-0000-0000CE0A0000}"/>
    <cellStyle name="강조색6 68" xfId="2668" xr:uid="{00000000-0005-0000-0000-0000CF0A0000}"/>
    <cellStyle name="강조색6 69" xfId="2669" xr:uid="{00000000-0005-0000-0000-0000D00A0000}"/>
    <cellStyle name="강조색6 7" xfId="2670" xr:uid="{00000000-0005-0000-0000-0000D10A0000}"/>
    <cellStyle name="강조색6 70" xfId="2671" xr:uid="{00000000-0005-0000-0000-0000D20A0000}"/>
    <cellStyle name="강조색6 71" xfId="2672" xr:uid="{00000000-0005-0000-0000-0000D30A0000}"/>
    <cellStyle name="강조색6 72" xfId="2673" xr:uid="{00000000-0005-0000-0000-0000D40A0000}"/>
    <cellStyle name="강조색6 73" xfId="2674" xr:uid="{00000000-0005-0000-0000-0000D50A0000}"/>
    <cellStyle name="강조색6 74" xfId="2675" xr:uid="{00000000-0005-0000-0000-0000D60A0000}"/>
    <cellStyle name="강조색6 75" xfId="2676" xr:uid="{00000000-0005-0000-0000-0000D70A0000}"/>
    <cellStyle name="강조색6 76" xfId="2677" xr:uid="{00000000-0005-0000-0000-0000D80A0000}"/>
    <cellStyle name="강조색6 77" xfId="2678" xr:uid="{00000000-0005-0000-0000-0000D90A0000}"/>
    <cellStyle name="강조색6 78" xfId="2679" xr:uid="{00000000-0005-0000-0000-0000DA0A0000}"/>
    <cellStyle name="강조색6 79" xfId="2680" xr:uid="{00000000-0005-0000-0000-0000DB0A0000}"/>
    <cellStyle name="강조색6 8" xfId="2681" xr:uid="{00000000-0005-0000-0000-0000DC0A0000}"/>
    <cellStyle name="강조색6 80" xfId="2682" xr:uid="{00000000-0005-0000-0000-0000DD0A0000}"/>
    <cellStyle name="강조색6 81" xfId="2683" xr:uid="{00000000-0005-0000-0000-0000DE0A0000}"/>
    <cellStyle name="강조색6 82" xfId="2684" xr:uid="{00000000-0005-0000-0000-0000DF0A0000}"/>
    <cellStyle name="강조색6 83" xfId="2685" xr:uid="{00000000-0005-0000-0000-0000E00A0000}"/>
    <cellStyle name="강조색6 84" xfId="2686" xr:uid="{00000000-0005-0000-0000-0000E10A0000}"/>
    <cellStyle name="강조색6 85" xfId="2687" xr:uid="{00000000-0005-0000-0000-0000E20A0000}"/>
    <cellStyle name="강조색6 86" xfId="2688" xr:uid="{00000000-0005-0000-0000-0000E30A0000}"/>
    <cellStyle name="강조색6 87" xfId="2689" xr:uid="{00000000-0005-0000-0000-0000E40A0000}"/>
    <cellStyle name="강조색6 88" xfId="2690" xr:uid="{00000000-0005-0000-0000-0000E50A0000}"/>
    <cellStyle name="강조색6 89" xfId="2691" xr:uid="{00000000-0005-0000-0000-0000E60A0000}"/>
    <cellStyle name="강조색6 9" xfId="2692" xr:uid="{00000000-0005-0000-0000-0000E70A0000}"/>
    <cellStyle name="강조색6 90" xfId="2693" xr:uid="{00000000-0005-0000-0000-0000E80A0000}"/>
    <cellStyle name="강조색6 91" xfId="2694" xr:uid="{00000000-0005-0000-0000-0000E90A0000}"/>
    <cellStyle name="강조색6 92" xfId="2695" xr:uid="{00000000-0005-0000-0000-0000EA0A0000}"/>
    <cellStyle name="강조색6 93" xfId="2696" xr:uid="{00000000-0005-0000-0000-0000EB0A0000}"/>
    <cellStyle name="강조색6 94" xfId="2697" xr:uid="{00000000-0005-0000-0000-0000EC0A0000}"/>
    <cellStyle name="강조색6 95" xfId="2698" xr:uid="{00000000-0005-0000-0000-0000ED0A0000}"/>
    <cellStyle name="강조색6 96" xfId="2699" xr:uid="{00000000-0005-0000-0000-0000EE0A0000}"/>
    <cellStyle name="강조색6 97" xfId="2700" xr:uid="{00000000-0005-0000-0000-0000EF0A0000}"/>
    <cellStyle name="강조색6 98" xfId="2701" xr:uid="{00000000-0005-0000-0000-0000F00A0000}"/>
    <cellStyle name="강조색6 99" xfId="2702" xr:uid="{00000000-0005-0000-0000-0000F10A0000}"/>
    <cellStyle name="경고문 10" xfId="2703" xr:uid="{00000000-0005-0000-0000-0000F20A0000}"/>
    <cellStyle name="경고문 100" xfId="2704" xr:uid="{00000000-0005-0000-0000-0000F30A0000}"/>
    <cellStyle name="경고문 101" xfId="2705" xr:uid="{00000000-0005-0000-0000-0000F40A0000}"/>
    <cellStyle name="경고문 102" xfId="2706" xr:uid="{00000000-0005-0000-0000-0000F50A0000}"/>
    <cellStyle name="경고문 103" xfId="2707" xr:uid="{00000000-0005-0000-0000-0000F60A0000}"/>
    <cellStyle name="경고문 104" xfId="2708" xr:uid="{00000000-0005-0000-0000-0000F70A0000}"/>
    <cellStyle name="경고문 105" xfId="2709" xr:uid="{00000000-0005-0000-0000-0000F80A0000}"/>
    <cellStyle name="경고문 106" xfId="2710" xr:uid="{00000000-0005-0000-0000-0000F90A0000}"/>
    <cellStyle name="경고문 107" xfId="2711" xr:uid="{00000000-0005-0000-0000-0000FA0A0000}"/>
    <cellStyle name="경고문 11" xfId="2712" xr:uid="{00000000-0005-0000-0000-0000FB0A0000}"/>
    <cellStyle name="경고문 12" xfId="2713" xr:uid="{00000000-0005-0000-0000-0000FC0A0000}"/>
    <cellStyle name="경고문 13" xfId="2714" xr:uid="{00000000-0005-0000-0000-0000FD0A0000}"/>
    <cellStyle name="경고문 14" xfId="2715" xr:uid="{00000000-0005-0000-0000-0000FE0A0000}"/>
    <cellStyle name="경고문 15" xfId="2716" xr:uid="{00000000-0005-0000-0000-0000FF0A0000}"/>
    <cellStyle name="경고문 16" xfId="2717" xr:uid="{00000000-0005-0000-0000-0000000B0000}"/>
    <cellStyle name="경고문 17" xfId="2718" xr:uid="{00000000-0005-0000-0000-0000010B0000}"/>
    <cellStyle name="경고문 18" xfId="2719" xr:uid="{00000000-0005-0000-0000-0000020B0000}"/>
    <cellStyle name="경고문 19" xfId="2720" xr:uid="{00000000-0005-0000-0000-0000030B0000}"/>
    <cellStyle name="경고문 2" xfId="2721" xr:uid="{00000000-0005-0000-0000-0000040B0000}"/>
    <cellStyle name="경고문 20" xfId="2722" xr:uid="{00000000-0005-0000-0000-0000050B0000}"/>
    <cellStyle name="경고문 21" xfId="2723" xr:uid="{00000000-0005-0000-0000-0000060B0000}"/>
    <cellStyle name="경고문 22" xfId="2724" xr:uid="{00000000-0005-0000-0000-0000070B0000}"/>
    <cellStyle name="경고문 23" xfId="2725" xr:uid="{00000000-0005-0000-0000-0000080B0000}"/>
    <cellStyle name="경고문 24" xfId="2726" xr:uid="{00000000-0005-0000-0000-0000090B0000}"/>
    <cellStyle name="경고문 25" xfId="2727" xr:uid="{00000000-0005-0000-0000-00000A0B0000}"/>
    <cellStyle name="경고문 26" xfId="2728" xr:uid="{00000000-0005-0000-0000-00000B0B0000}"/>
    <cellStyle name="경고문 27" xfId="2729" xr:uid="{00000000-0005-0000-0000-00000C0B0000}"/>
    <cellStyle name="경고문 28" xfId="2730" xr:uid="{00000000-0005-0000-0000-00000D0B0000}"/>
    <cellStyle name="경고문 29" xfId="2731" xr:uid="{00000000-0005-0000-0000-00000E0B0000}"/>
    <cellStyle name="경고문 3" xfId="2732" xr:uid="{00000000-0005-0000-0000-00000F0B0000}"/>
    <cellStyle name="경고문 30" xfId="2733" xr:uid="{00000000-0005-0000-0000-0000100B0000}"/>
    <cellStyle name="경고문 31" xfId="2734" xr:uid="{00000000-0005-0000-0000-0000110B0000}"/>
    <cellStyle name="경고문 32" xfId="2735" xr:uid="{00000000-0005-0000-0000-0000120B0000}"/>
    <cellStyle name="경고문 33" xfId="2736" xr:uid="{00000000-0005-0000-0000-0000130B0000}"/>
    <cellStyle name="경고문 34" xfId="2737" xr:uid="{00000000-0005-0000-0000-0000140B0000}"/>
    <cellStyle name="경고문 35" xfId="2738" xr:uid="{00000000-0005-0000-0000-0000150B0000}"/>
    <cellStyle name="경고문 36" xfId="2739" xr:uid="{00000000-0005-0000-0000-0000160B0000}"/>
    <cellStyle name="경고문 37" xfId="2740" xr:uid="{00000000-0005-0000-0000-0000170B0000}"/>
    <cellStyle name="경고문 38" xfId="2741" xr:uid="{00000000-0005-0000-0000-0000180B0000}"/>
    <cellStyle name="경고문 39" xfId="2742" xr:uid="{00000000-0005-0000-0000-0000190B0000}"/>
    <cellStyle name="경고문 4" xfId="2743" xr:uid="{00000000-0005-0000-0000-00001A0B0000}"/>
    <cellStyle name="경고문 40" xfId="2744" xr:uid="{00000000-0005-0000-0000-00001B0B0000}"/>
    <cellStyle name="경고문 41" xfId="2745" xr:uid="{00000000-0005-0000-0000-00001C0B0000}"/>
    <cellStyle name="경고문 42" xfId="2746" xr:uid="{00000000-0005-0000-0000-00001D0B0000}"/>
    <cellStyle name="경고문 43" xfId="2747" xr:uid="{00000000-0005-0000-0000-00001E0B0000}"/>
    <cellStyle name="경고문 44" xfId="2748" xr:uid="{00000000-0005-0000-0000-00001F0B0000}"/>
    <cellStyle name="경고문 45" xfId="2749" xr:uid="{00000000-0005-0000-0000-0000200B0000}"/>
    <cellStyle name="경고문 46" xfId="2750" xr:uid="{00000000-0005-0000-0000-0000210B0000}"/>
    <cellStyle name="경고문 47" xfId="2751" xr:uid="{00000000-0005-0000-0000-0000220B0000}"/>
    <cellStyle name="경고문 48" xfId="2752" xr:uid="{00000000-0005-0000-0000-0000230B0000}"/>
    <cellStyle name="경고문 49" xfId="2753" xr:uid="{00000000-0005-0000-0000-0000240B0000}"/>
    <cellStyle name="경고문 5" xfId="2754" xr:uid="{00000000-0005-0000-0000-0000250B0000}"/>
    <cellStyle name="경고문 50" xfId="2755" xr:uid="{00000000-0005-0000-0000-0000260B0000}"/>
    <cellStyle name="경고문 51" xfId="2756" xr:uid="{00000000-0005-0000-0000-0000270B0000}"/>
    <cellStyle name="경고문 52" xfId="2757" xr:uid="{00000000-0005-0000-0000-0000280B0000}"/>
    <cellStyle name="경고문 53" xfId="2758" xr:uid="{00000000-0005-0000-0000-0000290B0000}"/>
    <cellStyle name="경고문 54" xfId="2759" xr:uid="{00000000-0005-0000-0000-00002A0B0000}"/>
    <cellStyle name="경고문 55" xfId="2760" xr:uid="{00000000-0005-0000-0000-00002B0B0000}"/>
    <cellStyle name="경고문 56" xfId="2761" xr:uid="{00000000-0005-0000-0000-00002C0B0000}"/>
    <cellStyle name="경고문 57" xfId="2762" xr:uid="{00000000-0005-0000-0000-00002D0B0000}"/>
    <cellStyle name="경고문 58" xfId="2763" xr:uid="{00000000-0005-0000-0000-00002E0B0000}"/>
    <cellStyle name="경고문 59" xfId="2764" xr:uid="{00000000-0005-0000-0000-00002F0B0000}"/>
    <cellStyle name="경고문 6" xfId="2765" xr:uid="{00000000-0005-0000-0000-0000300B0000}"/>
    <cellStyle name="경고문 60" xfId="2766" xr:uid="{00000000-0005-0000-0000-0000310B0000}"/>
    <cellStyle name="경고문 61" xfId="2767" xr:uid="{00000000-0005-0000-0000-0000320B0000}"/>
    <cellStyle name="경고문 62" xfId="2768" xr:uid="{00000000-0005-0000-0000-0000330B0000}"/>
    <cellStyle name="경고문 63" xfId="2769" xr:uid="{00000000-0005-0000-0000-0000340B0000}"/>
    <cellStyle name="경고문 64" xfId="2770" xr:uid="{00000000-0005-0000-0000-0000350B0000}"/>
    <cellStyle name="경고문 65" xfId="2771" xr:uid="{00000000-0005-0000-0000-0000360B0000}"/>
    <cellStyle name="경고문 66" xfId="2772" xr:uid="{00000000-0005-0000-0000-0000370B0000}"/>
    <cellStyle name="경고문 67" xfId="2773" xr:uid="{00000000-0005-0000-0000-0000380B0000}"/>
    <cellStyle name="경고문 68" xfId="2774" xr:uid="{00000000-0005-0000-0000-0000390B0000}"/>
    <cellStyle name="경고문 69" xfId="2775" xr:uid="{00000000-0005-0000-0000-00003A0B0000}"/>
    <cellStyle name="경고문 7" xfId="2776" xr:uid="{00000000-0005-0000-0000-00003B0B0000}"/>
    <cellStyle name="경고문 70" xfId="2777" xr:uid="{00000000-0005-0000-0000-00003C0B0000}"/>
    <cellStyle name="경고문 71" xfId="2778" xr:uid="{00000000-0005-0000-0000-00003D0B0000}"/>
    <cellStyle name="경고문 72" xfId="2779" xr:uid="{00000000-0005-0000-0000-00003E0B0000}"/>
    <cellStyle name="경고문 73" xfId="2780" xr:uid="{00000000-0005-0000-0000-00003F0B0000}"/>
    <cellStyle name="경고문 74" xfId="2781" xr:uid="{00000000-0005-0000-0000-0000400B0000}"/>
    <cellStyle name="경고문 75" xfId="2782" xr:uid="{00000000-0005-0000-0000-0000410B0000}"/>
    <cellStyle name="경고문 76" xfId="2783" xr:uid="{00000000-0005-0000-0000-0000420B0000}"/>
    <cellStyle name="경고문 77" xfId="2784" xr:uid="{00000000-0005-0000-0000-0000430B0000}"/>
    <cellStyle name="경고문 78" xfId="2785" xr:uid="{00000000-0005-0000-0000-0000440B0000}"/>
    <cellStyle name="경고문 79" xfId="2786" xr:uid="{00000000-0005-0000-0000-0000450B0000}"/>
    <cellStyle name="경고문 8" xfId="2787" xr:uid="{00000000-0005-0000-0000-0000460B0000}"/>
    <cellStyle name="경고문 80" xfId="2788" xr:uid="{00000000-0005-0000-0000-0000470B0000}"/>
    <cellStyle name="경고문 81" xfId="2789" xr:uid="{00000000-0005-0000-0000-0000480B0000}"/>
    <cellStyle name="경고문 82" xfId="2790" xr:uid="{00000000-0005-0000-0000-0000490B0000}"/>
    <cellStyle name="경고문 83" xfId="2791" xr:uid="{00000000-0005-0000-0000-00004A0B0000}"/>
    <cellStyle name="경고문 84" xfId="2792" xr:uid="{00000000-0005-0000-0000-00004B0B0000}"/>
    <cellStyle name="경고문 85" xfId="2793" xr:uid="{00000000-0005-0000-0000-00004C0B0000}"/>
    <cellStyle name="경고문 86" xfId="2794" xr:uid="{00000000-0005-0000-0000-00004D0B0000}"/>
    <cellStyle name="경고문 87" xfId="2795" xr:uid="{00000000-0005-0000-0000-00004E0B0000}"/>
    <cellStyle name="경고문 88" xfId="2796" xr:uid="{00000000-0005-0000-0000-00004F0B0000}"/>
    <cellStyle name="경고문 89" xfId="2797" xr:uid="{00000000-0005-0000-0000-0000500B0000}"/>
    <cellStyle name="경고문 9" xfId="2798" xr:uid="{00000000-0005-0000-0000-0000510B0000}"/>
    <cellStyle name="경고문 90" xfId="2799" xr:uid="{00000000-0005-0000-0000-0000520B0000}"/>
    <cellStyle name="경고문 91" xfId="2800" xr:uid="{00000000-0005-0000-0000-0000530B0000}"/>
    <cellStyle name="경고문 92" xfId="2801" xr:uid="{00000000-0005-0000-0000-0000540B0000}"/>
    <cellStyle name="경고문 93" xfId="2802" xr:uid="{00000000-0005-0000-0000-0000550B0000}"/>
    <cellStyle name="경고문 94" xfId="2803" xr:uid="{00000000-0005-0000-0000-0000560B0000}"/>
    <cellStyle name="경고문 95" xfId="2804" xr:uid="{00000000-0005-0000-0000-0000570B0000}"/>
    <cellStyle name="경고문 96" xfId="2805" xr:uid="{00000000-0005-0000-0000-0000580B0000}"/>
    <cellStyle name="경고문 97" xfId="2806" xr:uid="{00000000-0005-0000-0000-0000590B0000}"/>
    <cellStyle name="경고문 98" xfId="2807" xr:uid="{00000000-0005-0000-0000-00005A0B0000}"/>
    <cellStyle name="경고문 99" xfId="2808" xr:uid="{00000000-0005-0000-0000-00005B0B0000}"/>
    <cellStyle name="계산 10" xfId="2809" xr:uid="{00000000-0005-0000-0000-00005C0B0000}"/>
    <cellStyle name="계산 100" xfId="2810" xr:uid="{00000000-0005-0000-0000-00005D0B0000}"/>
    <cellStyle name="계산 101" xfId="2811" xr:uid="{00000000-0005-0000-0000-00005E0B0000}"/>
    <cellStyle name="계산 102" xfId="2812" xr:uid="{00000000-0005-0000-0000-00005F0B0000}"/>
    <cellStyle name="계산 103" xfId="2813" xr:uid="{00000000-0005-0000-0000-0000600B0000}"/>
    <cellStyle name="계산 104" xfId="2814" xr:uid="{00000000-0005-0000-0000-0000610B0000}"/>
    <cellStyle name="계산 105" xfId="2815" xr:uid="{00000000-0005-0000-0000-0000620B0000}"/>
    <cellStyle name="계산 106" xfId="2816" xr:uid="{00000000-0005-0000-0000-0000630B0000}"/>
    <cellStyle name="계산 107" xfId="2817" xr:uid="{00000000-0005-0000-0000-0000640B0000}"/>
    <cellStyle name="계산 11" xfId="2818" xr:uid="{00000000-0005-0000-0000-0000650B0000}"/>
    <cellStyle name="계산 12" xfId="2819" xr:uid="{00000000-0005-0000-0000-0000660B0000}"/>
    <cellStyle name="계산 13" xfId="2820" xr:uid="{00000000-0005-0000-0000-0000670B0000}"/>
    <cellStyle name="계산 14" xfId="2821" xr:uid="{00000000-0005-0000-0000-0000680B0000}"/>
    <cellStyle name="계산 15" xfId="2822" xr:uid="{00000000-0005-0000-0000-0000690B0000}"/>
    <cellStyle name="계산 16" xfId="2823" xr:uid="{00000000-0005-0000-0000-00006A0B0000}"/>
    <cellStyle name="계산 17" xfId="2824" xr:uid="{00000000-0005-0000-0000-00006B0B0000}"/>
    <cellStyle name="계산 18" xfId="2825" xr:uid="{00000000-0005-0000-0000-00006C0B0000}"/>
    <cellStyle name="계산 19" xfId="2826" xr:uid="{00000000-0005-0000-0000-00006D0B0000}"/>
    <cellStyle name="계산 2" xfId="2827" xr:uid="{00000000-0005-0000-0000-00006E0B0000}"/>
    <cellStyle name="계산 20" xfId="2828" xr:uid="{00000000-0005-0000-0000-00006F0B0000}"/>
    <cellStyle name="계산 21" xfId="2829" xr:uid="{00000000-0005-0000-0000-0000700B0000}"/>
    <cellStyle name="계산 22" xfId="2830" xr:uid="{00000000-0005-0000-0000-0000710B0000}"/>
    <cellStyle name="계산 23" xfId="2831" xr:uid="{00000000-0005-0000-0000-0000720B0000}"/>
    <cellStyle name="계산 24" xfId="2832" xr:uid="{00000000-0005-0000-0000-0000730B0000}"/>
    <cellStyle name="계산 25" xfId="2833" xr:uid="{00000000-0005-0000-0000-0000740B0000}"/>
    <cellStyle name="계산 26" xfId="2834" xr:uid="{00000000-0005-0000-0000-0000750B0000}"/>
    <cellStyle name="계산 27" xfId="2835" xr:uid="{00000000-0005-0000-0000-0000760B0000}"/>
    <cellStyle name="계산 28" xfId="2836" xr:uid="{00000000-0005-0000-0000-0000770B0000}"/>
    <cellStyle name="계산 29" xfId="2837" xr:uid="{00000000-0005-0000-0000-0000780B0000}"/>
    <cellStyle name="계산 3" xfId="2838" xr:uid="{00000000-0005-0000-0000-0000790B0000}"/>
    <cellStyle name="계산 30" xfId="2839" xr:uid="{00000000-0005-0000-0000-00007A0B0000}"/>
    <cellStyle name="계산 31" xfId="2840" xr:uid="{00000000-0005-0000-0000-00007B0B0000}"/>
    <cellStyle name="계산 32" xfId="2841" xr:uid="{00000000-0005-0000-0000-00007C0B0000}"/>
    <cellStyle name="계산 33" xfId="2842" xr:uid="{00000000-0005-0000-0000-00007D0B0000}"/>
    <cellStyle name="계산 34" xfId="2843" xr:uid="{00000000-0005-0000-0000-00007E0B0000}"/>
    <cellStyle name="계산 35" xfId="2844" xr:uid="{00000000-0005-0000-0000-00007F0B0000}"/>
    <cellStyle name="계산 36" xfId="2845" xr:uid="{00000000-0005-0000-0000-0000800B0000}"/>
    <cellStyle name="계산 37" xfId="2846" xr:uid="{00000000-0005-0000-0000-0000810B0000}"/>
    <cellStyle name="계산 38" xfId="2847" xr:uid="{00000000-0005-0000-0000-0000820B0000}"/>
    <cellStyle name="계산 39" xfId="2848" xr:uid="{00000000-0005-0000-0000-0000830B0000}"/>
    <cellStyle name="계산 4" xfId="2849" xr:uid="{00000000-0005-0000-0000-0000840B0000}"/>
    <cellStyle name="계산 40" xfId="2850" xr:uid="{00000000-0005-0000-0000-0000850B0000}"/>
    <cellStyle name="계산 41" xfId="2851" xr:uid="{00000000-0005-0000-0000-0000860B0000}"/>
    <cellStyle name="계산 42" xfId="2852" xr:uid="{00000000-0005-0000-0000-0000870B0000}"/>
    <cellStyle name="계산 43" xfId="2853" xr:uid="{00000000-0005-0000-0000-0000880B0000}"/>
    <cellStyle name="계산 44" xfId="2854" xr:uid="{00000000-0005-0000-0000-0000890B0000}"/>
    <cellStyle name="계산 45" xfId="2855" xr:uid="{00000000-0005-0000-0000-00008A0B0000}"/>
    <cellStyle name="계산 46" xfId="2856" xr:uid="{00000000-0005-0000-0000-00008B0B0000}"/>
    <cellStyle name="계산 47" xfId="2857" xr:uid="{00000000-0005-0000-0000-00008C0B0000}"/>
    <cellStyle name="계산 48" xfId="2858" xr:uid="{00000000-0005-0000-0000-00008D0B0000}"/>
    <cellStyle name="계산 49" xfId="2859" xr:uid="{00000000-0005-0000-0000-00008E0B0000}"/>
    <cellStyle name="계산 5" xfId="2860" xr:uid="{00000000-0005-0000-0000-00008F0B0000}"/>
    <cellStyle name="계산 50" xfId="2861" xr:uid="{00000000-0005-0000-0000-0000900B0000}"/>
    <cellStyle name="계산 51" xfId="2862" xr:uid="{00000000-0005-0000-0000-0000910B0000}"/>
    <cellStyle name="계산 52" xfId="2863" xr:uid="{00000000-0005-0000-0000-0000920B0000}"/>
    <cellStyle name="계산 53" xfId="2864" xr:uid="{00000000-0005-0000-0000-0000930B0000}"/>
    <cellStyle name="계산 54" xfId="2865" xr:uid="{00000000-0005-0000-0000-0000940B0000}"/>
    <cellStyle name="계산 55" xfId="2866" xr:uid="{00000000-0005-0000-0000-0000950B0000}"/>
    <cellStyle name="계산 56" xfId="2867" xr:uid="{00000000-0005-0000-0000-0000960B0000}"/>
    <cellStyle name="계산 57" xfId="2868" xr:uid="{00000000-0005-0000-0000-0000970B0000}"/>
    <cellStyle name="계산 58" xfId="2869" xr:uid="{00000000-0005-0000-0000-0000980B0000}"/>
    <cellStyle name="계산 59" xfId="2870" xr:uid="{00000000-0005-0000-0000-0000990B0000}"/>
    <cellStyle name="계산 6" xfId="2871" xr:uid="{00000000-0005-0000-0000-00009A0B0000}"/>
    <cellStyle name="계산 60" xfId="2872" xr:uid="{00000000-0005-0000-0000-00009B0B0000}"/>
    <cellStyle name="계산 61" xfId="2873" xr:uid="{00000000-0005-0000-0000-00009C0B0000}"/>
    <cellStyle name="계산 62" xfId="2874" xr:uid="{00000000-0005-0000-0000-00009D0B0000}"/>
    <cellStyle name="계산 63" xfId="2875" xr:uid="{00000000-0005-0000-0000-00009E0B0000}"/>
    <cellStyle name="계산 64" xfId="2876" xr:uid="{00000000-0005-0000-0000-00009F0B0000}"/>
    <cellStyle name="계산 65" xfId="2877" xr:uid="{00000000-0005-0000-0000-0000A00B0000}"/>
    <cellStyle name="계산 66" xfId="2878" xr:uid="{00000000-0005-0000-0000-0000A10B0000}"/>
    <cellStyle name="계산 67" xfId="2879" xr:uid="{00000000-0005-0000-0000-0000A20B0000}"/>
    <cellStyle name="계산 68" xfId="2880" xr:uid="{00000000-0005-0000-0000-0000A30B0000}"/>
    <cellStyle name="계산 69" xfId="2881" xr:uid="{00000000-0005-0000-0000-0000A40B0000}"/>
    <cellStyle name="계산 7" xfId="2882" xr:uid="{00000000-0005-0000-0000-0000A50B0000}"/>
    <cellStyle name="계산 70" xfId="2883" xr:uid="{00000000-0005-0000-0000-0000A60B0000}"/>
    <cellStyle name="계산 71" xfId="2884" xr:uid="{00000000-0005-0000-0000-0000A70B0000}"/>
    <cellStyle name="계산 72" xfId="2885" xr:uid="{00000000-0005-0000-0000-0000A80B0000}"/>
    <cellStyle name="계산 73" xfId="2886" xr:uid="{00000000-0005-0000-0000-0000A90B0000}"/>
    <cellStyle name="계산 74" xfId="2887" xr:uid="{00000000-0005-0000-0000-0000AA0B0000}"/>
    <cellStyle name="계산 75" xfId="2888" xr:uid="{00000000-0005-0000-0000-0000AB0B0000}"/>
    <cellStyle name="계산 76" xfId="2889" xr:uid="{00000000-0005-0000-0000-0000AC0B0000}"/>
    <cellStyle name="계산 77" xfId="2890" xr:uid="{00000000-0005-0000-0000-0000AD0B0000}"/>
    <cellStyle name="계산 78" xfId="2891" xr:uid="{00000000-0005-0000-0000-0000AE0B0000}"/>
    <cellStyle name="계산 79" xfId="2892" xr:uid="{00000000-0005-0000-0000-0000AF0B0000}"/>
    <cellStyle name="계산 8" xfId="2893" xr:uid="{00000000-0005-0000-0000-0000B00B0000}"/>
    <cellStyle name="계산 80" xfId="2894" xr:uid="{00000000-0005-0000-0000-0000B10B0000}"/>
    <cellStyle name="계산 81" xfId="2895" xr:uid="{00000000-0005-0000-0000-0000B20B0000}"/>
    <cellStyle name="계산 82" xfId="2896" xr:uid="{00000000-0005-0000-0000-0000B30B0000}"/>
    <cellStyle name="계산 83" xfId="2897" xr:uid="{00000000-0005-0000-0000-0000B40B0000}"/>
    <cellStyle name="계산 84" xfId="2898" xr:uid="{00000000-0005-0000-0000-0000B50B0000}"/>
    <cellStyle name="계산 85" xfId="2899" xr:uid="{00000000-0005-0000-0000-0000B60B0000}"/>
    <cellStyle name="계산 86" xfId="2900" xr:uid="{00000000-0005-0000-0000-0000B70B0000}"/>
    <cellStyle name="계산 87" xfId="2901" xr:uid="{00000000-0005-0000-0000-0000B80B0000}"/>
    <cellStyle name="계산 88" xfId="2902" xr:uid="{00000000-0005-0000-0000-0000B90B0000}"/>
    <cellStyle name="계산 89" xfId="2903" xr:uid="{00000000-0005-0000-0000-0000BA0B0000}"/>
    <cellStyle name="계산 9" xfId="2904" xr:uid="{00000000-0005-0000-0000-0000BB0B0000}"/>
    <cellStyle name="계산 90" xfId="2905" xr:uid="{00000000-0005-0000-0000-0000BC0B0000}"/>
    <cellStyle name="계산 91" xfId="2906" xr:uid="{00000000-0005-0000-0000-0000BD0B0000}"/>
    <cellStyle name="계산 92" xfId="2907" xr:uid="{00000000-0005-0000-0000-0000BE0B0000}"/>
    <cellStyle name="계산 93" xfId="2908" xr:uid="{00000000-0005-0000-0000-0000BF0B0000}"/>
    <cellStyle name="계산 94" xfId="2909" xr:uid="{00000000-0005-0000-0000-0000C00B0000}"/>
    <cellStyle name="계산 95" xfId="2910" xr:uid="{00000000-0005-0000-0000-0000C10B0000}"/>
    <cellStyle name="계산 96" xfId="2911" xr:uid="{00000000-0005-0000-0000-0000C20B0000}"/>
    <cellStyle name="계산 97" xfId="2912" xr:uid="{00000000-0005-0000-0000-0000C30B0000}"/>
    <cellStyle name="계산 98" xfId="2913" xr:uid="{00000000-0005-0000-0000-0000C40B0000}"/>
    <cellStyle name="계산 99" xfId="2914" xr:uid="{00000000-0005-0000-0000-0000C50B0000}"/>
    <cellStyle name="나쁨 10" xfId="2915" xr:uid="{00000000-0005-0000-0000-0000C60B0000}"/>
    <cellStyle name="나쁨 100" xfId="2916" xr:uid="{00000000-0005-0000-0000-0000C70B0000}"/>
    <cellStyle name="나쁨 101" xfId="2917" xr:uid="{00000000-0005-0000-0000-0000C80B0000}"/>
    <cellStyle name="나쁨 102" xfId="2918" xr:uid="{00000000-0005-0000-0000-0000C90B0000}"/>
    <cellStyle name="나쁨 103" xfId="2919" xr:uid="{00000000-0005-0000-0000-0000CA0B0000}"/>
    <cellStyle name="나쁨 104" xfId="2920" xr:uid="{00000000-0005-0000-0000-0000CB0B0000}"/>
    <cellStyle name="나쁨 105" xfId="2921" xr:uid="{00000000-0005-0000-0000-0000CC0B0000}"/>
    <cellStyle name="나쁨 106" xfId="2922" xr:uid="{00000000-0005-0000-0000-0000CD0B0000}"/>
    <cellStyle name="나쁨 107" xfId="2923" xr:uid="{00000000-0005-0000-0000-0000CE0B0000}"/>
    <cellStyle name="나쁨 11" xfId="2924" xr:uid="{00000000-0005-0000-0000-0000CF0B0000}"/>
    <cellStyle name="나쁨 12" xfId="2925" xr:uid="{00000000-0005-0000-0000-0000D00B0000}"/>
    <cellStyle name="나쁨 13" xfId="2926" xr:uid="{00000000-0005-0000-0000-0000D10B0000}"/>
    <cellStyle name="나쁨 14" xfId="2927" xr:uid="{00000000-0005-0000-0000-0000D20B0000}"/>
    <cellStyle name="나쁨 15" xfId="2928" xr:uid="{00000000-0005-0000-0000-0000D30B0000}"/>
    <cellStyle name="나쁨 16" xfId="2929" xr:uid="{00000000-0005-0000-0000-0000D40B0000}"/>
    <cellStyle name="나쁨 17" xfId="2930" xr:uid="{00000000-0005-0000-0000-0000D50B0000}"/>
    <cellStyle name="나쁨 18" xfId="2931" xr:uid="{00000000-0005-0000-0000-0000D60B0000}"/>
    <cellStyle name="나쁨 19" xfId="2932" xr:uid="{00000000-0005-0000-0000-0000D70B0000}"/>
    <cellStyle name="나쁨 2" xfId="2933" xr:uid="{00000000-0005-0000-0000-0000D80B0000}"/>
    <cellStyle name="나쁨 20" xfId="2934" xr:uid="{00000000-0005-0000-0000-0000D90B0000}"/>
    <cellStyle name="나쁨 21" xfId="2935" xr:uid="{00000000-0005-0000-0000-0000DA0B0000}"/>
    <cellStyle name="나쁨 22" xfId="2936" xr:uid="{00000000-0005-0000-0000-0000DB0B0000}"/>
    <cellStyle name="나쁨 23" xfId="2937" xr:uid="{00000000-0005-0000-0000-0000DC0B0000}"/>
    <cellStyle name="나쁨 24" xfId="2938" xr:uid="{00000000-0005-0000-0000-0000DD0B0000}"/>
    <cellStyle name="나쁨 25" xfId="2939" xr:uid="{00000000-0005-0000-0000-0000DE0B0000}"/>
    <cellStyle name="나쁨 26" xfId="2940" xr:uid="{00000000-0005-0000-0000-0000DF0B0000}"/>
    <cellStyle name="나쁨 27" xfId="2941" xr:uid="{00000000-0005-0000-0000-0000E00B0000}"/>
    <cellStyle name="나쁨 28" xfId="2942" xr:uid="{00000000-0005-0000-0000-0000E10B0000}"/>
    <cellStyle name="나쁨 29" xfId="2943" xr:uid="{00000000-0005-0000-0000-0000E20B0000}"/>
    <cellStyle name="나쁨 3" xfId="2944" xr:uid="{00000000-0005-0000-0000-0000E30B0000}"/>
    <cellStyle name="나쁨 30" xfId="2945" xr:uid="{00000000-0005-0000-0000-0000E40B0000}"/>
    <cellStyle name="나쁨 31" xfId="2946" xr:uid="{00000000-0005-0000-0000-0000E50B0000}"/>
    <cellStyle name="나쁨 32" xfId="2947" xr:uid="{00000000-0005-0000-0000-0000E60B0000}"/>
    <cellStyle name="나쁨 33" xfId="2948" xr:uid="{00000000-0005-0000-0000-0000E70B0000}"/>
    <cellStyle name="나쁨 34" xfId="2949" xr:uid="{00000000-0005-0000-0000-0000E80B0000}"/>
    <cellStyle name="나쁨 35" xfId="2950" xr:uid="{00000000-0005-0000-0000-0000E90B0000}"/>
    <cellStyle name="나쁨 36" xfId="2951" xr:uid="{00000000-0005-0000-0000-0000EA0B0000}"/>
    <cellStyle name="나쁨 37" xfId="2952" xr:uid="{00000000-0005-0000-0000-0000EB0B0000}"/>
    <cellStyle name="나쁨 38" xfId="2953" xr:uid="{00000000-0005-0000-0000-0000EC0B0000}"/>
    <cellStyle name="나쁨 39" xfId="2954" xr:uid="{00000000-0005-0000-0000-0000ED0B0000}"/>
    <cellStyle name="나쁨 4" xfId="2955" xr:uid="{00000000-0005-0000-0000-0000EE0B0000}"/>
    <cellStyle name="나쁨 40" xfId="2956" xr:uid="{00000000-0005-0000-0000-0000EF0B0000}"/>
    <cellStyle name="나쁨 41" xfId="2957" xr:uid="{00000000-0005-0000-0000-0000F00B0000}"/>
    <cellStyle name="나쁨 42" xfId="2958" xr:uid="{00000000-0005-0000-0000-0000F10B0000}"/>
    <cellStyle name="나쁨 43" xfId="2959" xr:uid="{00000000-0005-0000-0000-0000F20B0000}"/>
    <cellStyle name="나쁨 44" xfId="2960" xr:uid="{00000000-0005-0000-0000-0000F30B0000}"/>
    <cellStyle name="나쁨 45" xfId="2961" xr:uid="{00000000-0005-0000-0000-0000F40B0000}"/>
    <cellStyle name="나쁨 46" xfId="2962" xr:uid="{00000000-0005-0000-0000-0000F50B0000}"/>
    <cellStyle name="나쁨 47" xfId="2963" xr:uid="{00000000-0005-0000-0000-0000F60B0000}"/>
    <cellStyle name="나쁨 48" xfId="2964" xr:uid="{00000000-0005-0000-0000-0000F70B0000}"/>
    <cellStyle name="나쁨 49" xfId="2965" xr:uid="{00000000-0005-0000-0000-0000F80B0000}"/>
    <cellStyle name="나쁨 5" xfId="2966" xr:uid="{00000000-0005-0000-0000-0000F90B0000}"/>
    <cellStyle name="나쁨 50" xfId="2967" xr:uid="{00000000-0005-0000-0000-0000FA0B0000}"/>
    <cellStyle name="나쁨 51" xfId="2968" xr:uid="{00000000-0005-0000-0000-0000FB0B0000}"/>
    <cellStyle name="나쁨 52" xfId="2969" xr:uid="{00000000-0005-0000-0000-0000FC0B0000}"/>
    <cellStyle name="나쁨 53" xfId="2970" xr:uid="{00000000-0005-0000-0000-0000FD0B0000}"/>
    <cellStyle name="나쁨 54" xfId="2971" xr:uid="{00000000-0005-0000-0000-0000FE0B0000}"/>
    <cellStyle name="나쁨 55" xfId="2972" xr:uid="{00000000-0005-0000-0000-0000FF0B0000}"/>
    <cellStyle name="나쁨 56" xfId="2973" xr:uid="{00000000-0005-0000-0000-0000000C0000}"/>
    <cellStyle name="나쁨 57" xfId="2974" xr:uid="{00000000-0005-0000-0000-0000010C0000}"/>
    <cellStyle name="나쁨 58" xfId="2975" xr:uid="{00000000-0005-0000-0000-0000020C0000}"/>
    <cellStyle name="나쁨 59" xfId="2976" xr:uid="{00000000-0005-0000-0000-0000030C0000}"/>
    <cellStyle name="나쁨 6" xfId="2977" xr:uid="{00000000-0005-0000-0000-0000040C0000}"/>
    <cellStyle name="나쁨 60" xfId="2978" xr:uid="{00000000-0005-0000-0000-0000050C0000}"/>
    <cellStyle name="나쁨 61" xfId="2979" xr:uid="{00000000-0005-0000-0000-0000060C0000}"/>
    <cellStyle name="나쁨 62" xfId="2980" xr:uid="{00000000-0005-0000-0000-0000070C0000}"/>
    <cellStyle name="나쁨 63" xfId="2981" xr:uid="{00000000-0005-0000-0000-0000080C0000}"/>
    <cellStyle name="나쁨 64" xfId="2982" xr:uid="{00000000-0005-0000-0000-0000090C0000}"/>
    <cellStyle name="나쁨 65" xfId="2983" xr:uid="{00000000-0005-0000-0000-00000A0C0000}"/>
    <cellStyle name="나쁨 66" xfId="2984" xr:uid="{00000000-0005-0000-0000-00000B0C0000}"/>
    <cellStyle name="나쁨 67" xfId="2985" xr:uid="{00000000-0005-0000-0000-00000C0C0000}"/>
    <cellStyle name="나쁨 68" xfId="2986" xr:uid="{00000000-0005-0000-0000-00000D0C0000}"/>
    <cellStyle name="나쁨 69" xfId="2987" xr:uid="{00000000-0005-0000-0000-00000E0C0000}"/>
    <cellStyle name="나쁨 7" xfId="2988" xr:uid="{00000000-0005-0000-0000-00000F0C0000}"/>
    <cellStyle name="나쁨 70" xfId="2989" xr:uid="{00000000-0005-0000-0000-0000100C0000}"/>
    <cellStyle name="나쁨 71" xfId="2990" xr:uid="{00000000-0005-0000-0000-0000110C0000}"/>
    <cellStyle name="나쁨 72" xfId="2991" xr:uid="{00000000-0005-0000-0000-0000120C0000}"/>
    <cellStyle name="나쁨 73" xfId="2992" xr:uid="{00000000-0005-0000-0000-0000130C0000}"/>
    <cellStyle name="나쁨 74" xfId="2993" xr:uid="{00000000-0005-0000-0000-0000140C0000}"/>
    <cellStyle name="나쁨 75" xfId="2994" xr:uid="{00000000-0005-0000-0000-0000150C0000}"/>
    <cellStyle name="나쁨 76" xfId="2995" xr:uid="{00000000-0005-0000-0000-0000160C0000}"/>
    <cellStyle name="나쁨 77" xfId="2996" xr:uid="{00000000-0005-0000-0000-0000170C0000}"/>
    <cellStyle name="나쁨 78" xfId="2997" xr:uid="{00000000-0005-0000-0000-0000180C0000}"/>
    <cellStyle name="나쁨 79" xfId="2998" xr:uid="{00000000-0005-0000-0000-0000190C0000}"/>
    <cellStyle name="나쁨 8" xfId="2999" xr:uid="{00000000-0005-0000-0000-00001A0C0000}"/>
    <cellStyle name="나쁨 80" xfId="3000" xr:uid="{00000000-0005-0000-0000-00001B0C0000}"/>
    <cellStyle name="나쁨 81" xfId="3001" xr:uid="{00000000-0005-0000-0000-00001C0C0000}"/>
    <cellStyle name="나쁨 82" xfId="3002" xr:uid="{00000000-0005-0000-0000-00001D0C0000}"/>
    <cellStyle name="나쁨 83" xfId="3003" xr:uid="{00000000-0005-0000-0000-00001E0C0000}"/>
    <cellStyle name="나쁨 84" xfId="3004" xr:uid="{00000000-0005-0000-0000-00001F0C0000}"/>
    <cellStyle name="나쁨 85" xfId="3005" xr:uid="{00000000-0005-0000-0000-0000200C0000}"/>
    <cellStyle name="나쁨 86" xfId="3006" xr:uid="{00000000-0005-0000-0000-0000210C0000}"/>
    <cellStyle name="나쁨 87" xfId="3007" xr:uid="{00000000-0005-0000-0000-0000220C0000}"/>
    <cellStyle name="나쁨 88" xfId="3008" xr:uid="{00000000-0005-0000-0000-0000230C0000}"/>
    <cellStyle name="나쁨 89" xfId="3009" xr:uid="{00000000-0005-0000-0000-0000240C0000}"/>
    <cellStyle name="나쁨 9" xfId="3010" xr:uid="{00000000-0005-0000-0000-0000250C0000}"/>
    <cellStyle name="나쁨 90" xfId="3011" xr:uid="{00000000-0005-0000-0000-0000260C0000}"/>
    <cellStyle name="나쁨 91" xfId="3012" xr:uid="{00000000-0005-0000-0000-0000270C0000}"/>
    <cellStyle name="나쁨 92" xfId="3013" xr:uid="{00000000-0005-0000-0000-0000280C0000}"/>
    <cellStyle name="나쁨 93" xfId="3014" xr:uid="{00000000-0005-0000-0000-0000290C0000}"/>
    <cellStyle name="나쁨 94" xfId="3015" xr:uid="{00000000-0005-0000-0000-00002A0C0000}"/>
    <cellStyle name="나쁨 95" xfId="3016" xr:uid="{00000000-0005-0000-0000-00002B0C0000}"/>
    <cellStyle name="나쁨 96" xfId="3017" xr:uid="{00000000-0005-0000-0000-00002C0C0000}"/>
    <cellStyle name="나쁨 97" xfId="3018" xr:uid="{00000000-0005-0000-0000-00002D0C0000}"/>
    <cellStyle name="나쁨 98" xfId="3019" xr:uid="{00000000-0005-0000-0000-00002E0C0000}"/>
    <cellStyle name="나쁨 99" xfId="3020" xr:uid="{00000000-0005-0000-0000-00002F0C0000}"/>
    <cellStyle name="메모 10" xfId="3021" xr:uid="{00000000-0005-0000-0000-0000300C0000}"/>
    <cellStyle name="메모 100" xfId="3022" xr:uid="{00000000-0005-0000-0000-0000310C0000}"/>
    <cellStyle name="메모 101" xfId="3023" xr:uid="{00000000-0005-0000-0000-0000320C0000}"/>
    <cellStyle name="메모 102" xfId="3024" xr:uid="{00000000-0005-0000-0000-0000330C0000}"/>
    <cellStyle name="메모 103" xfId="3025" xr:uid="{00000000-0005-0000-0000-0000340C0000}"/>
    <cellStyle name="메모 104" xfId="3026" xr:uid="{00000000-0005-0000-0000-0000350C0000}"/>
    <cellStyle name="메모 105" xfId="3027" xr:uid="{00000000-0005-0000-0000-0000360C0000}"/>
    <cellStyle name="메모 106" xfId="3028" xr:uid="{00000000-0005-0000-0000-0000370C0000}"/>
    <cellStyle name="메모 107" xfId="3029" xr:uid="{00000000-0005-0000-0000-0000380C0000}"/>
    <cellStyle name="메모 11" xfId="3030" xr:uid="{00000000-0005-0000-0000-0000390C0000}"/>
    <cellStyle name="메모 12" xfId="3031" xr:uid="{00000000-0005-0000-0000-00003A0C0000}"/>
    <cellStyle name="메모 13" xfId="3032" xr:uid="{00000000-0005-0000-0000-00003B0C0000}"/>
    <cellStyle name="메모 14" xfId="3033" xr:uid="{00000000-0005-0000-0000-00003C0C0000}"/>
    <cellStyle name="메모 15" xfId="3034" xr:uid="{00000000-0005-0000-0000-00003D0C0000}"/>
    <cellStyle name="메모 16" xfId="3035" xr:uid="{00000000-0005-0000-0000-00003E0C0000}"/>
    <cellStyle name="메모 17" xfId="3036" xr:uid="{00000000-0005-0000-0000-00003F0C0000}"/>
    <cellStyle name="메모 18" xfId="3037" xr:uid="{00000000-0005-0000-0000-0000400C0000}"/>
    <cellStyle name="메모 19" xfId="3038" xr:uid="{00000000-0005-0000-0000-0000410C0000}"/>
    <cellStyle name="메모 2" xfId="3039" xr:uid="{00000000-0005-0000-0000-0000420C0000}"/>
    <cellStyle name="메모 20" xfId="3040" xr:uid="{00000000-0005-0000-0000-0000430C0000}"/>
    <cellStyle name="메모 21" xfId="3041" xr:uid="{00000000-0005-0000-0000-0000440C0000}"/>
    <cellStyle name="메모 22" xfId="3042" xr:uid="{00000000-0005-0000-0000-0000450C0000}"/>
    <cellStyle name="메모 23" xfId="3043" xr:uid="{00000000-0005-0000-0000-0000460C0000}"/>
    <cellStyle name="메모 24" xfId="3044" xr:uid="{00000000-0005-0000-0000-0000470C0000}"/>
    <cellStyle name="메모 25" xfId="3045" xr:uid="{00000000-0005-0000-0000-0000480C0000}"/>
    <cellStyle name="메모 26" xfId="3046" xr:uid="{00000000-0005-0000-0000-0000490C0000}"/>
    <cellStyle name="메모 27" xfId="3047" xr:uid="{00000000-0005-0000-0000-00004A0C0000}"/>
    <cellStyle name="메모 28" xfId="3048" xr:uid="{00000000-0005-0000-0000-00004B0C0000}"/>
    <cellStyle name="메모 29" xfId="3049" xr:uid="{00000000-0005-0000-0000-00004C0C0000}"/>
    <cellStyle name="메모 3" xfId="3050" xr:uid="{00000000-0005-0000-0000-00004D0C0000}"/>
    <cellStyle name="메모 30" xfId="3051" xr:uid="{00000000-0005-0000-0000-00004E0C0000}"/>
    <cellStyle name="메모 31" xfId="3052" xr:uid="{00000000-0005-0000-0000-00004F0C0000}"/>
    <cellStyle name="메모 32" xfId="3053" xr:uid="{00000000-0005-0000-0000-0000500C0000}"/>
    <cellStyle name="메모 33" xfId="3054" xr:uid="{00000000-0005-0000-0000-0000510C0000}"/>
    <cellStyle name="메모 34" xfId="3055" xr:uid="{00000000-0005-0000-0000-0000520C0000}"/>
    <cellStyle name="메모 35" xfId="3056" xr:uid="{00000000-0005-0000-0000-0000530C0000}"/>
    <cellStyle name="메모 36" xfId="3057" xr:uid="{00000000-0005-0000-0000-0000540C0000}"/>
    <cellStyle name="메모 37" xfId="3058" xr:uid="{00000000-0005-0000-0000-0000550C0000}"/>
    <cellStyle name="메모 38" xfId="3059" xr:uid="{00000000-0005-0000-0000-0000560C0000}"/>
    <cellStyle name="메모 39" xfId="3060" xr:uid="{00000000-0005-0000-0000-0000570C0000}"/>
    <cellStyle name="메모 4" xfId="3061" xr:uid="{00000000-0005-0000-0000-0000580C0000}"/>
    <cellStyle name="메모 40" xfId="3062" xr:uid="{00000000-0005-0000-0000-0000590C0000}"/>
    <cellStyle name="메모 41" xfId="3063" xr:uid="{00000000-0005-0000-0000-00005A0C0000}"/>
    <cellStyle name="메모 42" xfId="3064" xr:uid="{00000000-0005-0000-0000-00005B0C0000}"/>
    <cellStyle name="메모 43" xfId="3065" xr:uid="{00000000-0005-0000-0000-00005C0C0000}"/>
    <cellStyle name="메모 44" xfId="3066" xr:uid="{00000000-0005-0000-0000-00005D0C0000}"/>
    <cellStyle name="메모 45" xfId="3067" xr:uid="{00000000-0005-0000-0000-00005E0C0000}"/>
    <cellStyle name="메모 46" xfId="3068" xr:uid="{00000000-0005-0000-0000-00005F0C0000}"/>
    <cellStyle name="메모 47" xfId="3069" xr:uid="{00000000-0005-0000-0000-0000600C0000}"/>
    <cellStyle name="메모 48" xfId="3070" xr:uid="{00000000-0005-0000-0000-0000610C0000}"/>
    <cellStyle name="메모 49" xfId="3071" xr:uid="{00000000-0005-0000-0000-0000620C0000}"/>
    <cellStyle name="메모 5" xfId="3072" xr:uid="{00000000-0005-0000-0000-0000630C0000}"/>
    <cellStyle name="메모 50" xfId="3073" xr:uid="{00000000-0005-0000-0000-0000640C0000}"/>
    <cellStyle name="메모 51" xfId="3074" xr:uid="{00000000-0005-0000-0000-0000650C0000}"/>
    <cellStyle name="메모 52" xfId="3075" xr:uid="{00000000-0005-0000-0000-0000660C0000}"/>
    <cellStyle name="메모 53" xfId="3076" xr:uid="{00000000-0005-0000-0000-0000670C0000}"/>
    <cellStyle name="메모 54" xfId="3077" xr:uid="{00000000-0005-0000-0000-0000680C0000}"/>
    <cellStyle name="메모 55" xfId="3078" xr:uid="{00000000-0005-0000-0000-0000690C0000}"/>
    <cellStyle name="메모 56" xfId="3079" xr:uid="{00000000-0005-0000-0000-00006A0C0000}"/>
    <cellStyle name="메모 57" xfId="3080" xr:uid="{00000000-0005-0000-0000-00006B0C0000}"/>
    <cellStyle name="메모 58" xfId="3081" xr:uid="{00000000-0005-0000-0000-00006C0C0000}"/>
    <cellStyle name="메모 59" xfId="3082" xr:uid="{00000000-0005-0000-0000-00006D0C0000}"/>
    <cellStyle name="메모 6" xfId="3083" xr:uid="{00000000-0005-0000-0000-00006E0C0000}"/>
    <cellStyle name="메모 60" xfId="3084" xr:uid="{00000000-0005-0000-0000-00006F0C0000}"/>
    <cellStyle name="메모 61" xfId="3085" xr:uid="{00000000-0005-0000-0000-0000700C0000}"/>
    <cellStyle name="메모 62" xfId="3086" xr:uid="{00000000-0005-0000-0000-0000710C0000}"/>
    <cellStyle name="메모 63" xfId="3087" xr:uid="{00000000-0005-0000-0000-0000720C0000}"/>
    <cellStyle name="메모 64" xfId="3088" xr:uid="{00000000-0005-0000-0000-0000730C0000}"/>
    <cellStyle name="메모 65" xfId="3089" xr:uid="{00000000-0005-0000-0000-0000740C0000}"/>
    <cellStyle name="메모 66" xfId="3090" xr:uid="{00000000-0005-0000-0000-0000750C0000}"/>
    <cellStyle name="메모 67" xfId="3091" xr:uid="{00000000-0005-0000-0000-0000760C0000}"/>
    <cellStyle name="메모 68" xfId="3092" xr:uid="{00000000-0005-0000-0000-0000770C0000}"/>
    <cellStyle name="메모 69" xfId="3093" xr:uid="{00000000-0005-0000-0000-0000780C0000}"/>
    <cellStyle name="메모 7" xfId="3094" xr:uid="{00000000-0005-0000-0000-0000790C0000}"/>
    <cellStyle name="메모 70" xfId="3095" xr:uid="{00000000-0005-0000-0000-00007A0C0000}"/>
    <cellStyle name="메모 71" xfId="3096" xr:uid="{00000000-0005-0000-0000-00007B0C0000}"/>
    <cellStyle name="메모 72" xfId="3097" xr:uid="{00000000-0005-0000-0000-00007C0C0000}"/>
    <cellStyle name="메모 73" xfId="3098" xr:uid="{00000000-0005-0000-0000-00007D0C0000}"/>
    <cellStyle name="메모 74" xfId="3099" xr:uid="{00000000-0005-0000-0000-00007E0C0000}"/>
    <cellStyle name="메모 75" xfId="3100" xr:uid="{00000000-0005-0000-0000-00007F0C0000}"/>
    <cellStyle name="메모 76" xfId="3101" xr:uid="{00000000-0005-0000-0000-0000800C0000}"/>
    <cellStyle name="메모 77" xfId="3102" xr:uid="{00000000-0005-0000-0000-0000810C0000}"/>
    <cellStyle name="메모 78" xfId="3103" xr:uid="{00000000-0005-0000-0000-0000820C0000}"/>
    <cellStyle name="메모 79" xfId="3104" xr:uid="{00000000-0005-0000-0000-0000830C0000}"/>
    <cellStyle name="메모 8" xfId="3105" xr:uid="{00000000-0005-0000-0000-0000840C0000}"/>
    <cellStyle name="메모 80" xfId="3106" xr:uid="{00000000-0005-0000-0000-0000850C0000}"/>
    <cellStyle name="메모 81" xfId="3107" xr:uid="{00000000-0005-0000-0000-0000860C0000}"/>
    <cellStyle name="메모 82" xfId="3108" xr:uid="{00000000-0005-0000-0000-0000870C0000}"/>
    <cellStyle name="메모 83" xfId="3109" xr:uid="{00000000-0005-0000-0000-0000880C0000}"/>
    <cellStyle name="메모 84" xfId="3110" xr:uid="{00000000-0005-0000-0000-0000890C0000}"/>
    <cellStyle name="메모 85" xfId="3111" xr:uid="{00000000-0005-0000-0000-00008A0C0000}"/>
    <cellStyle name="메모 86" xfId="3112" xr:uid="{00000000-0005-0000-0000-00008B0C0000}"/>
    <cellStyle name="메모 87" xfId="3113" xr:uid="{00000000-0005-0000-0000-00008C0C0000}"/>
    <cellStyle name="메모 88" xfId="3114" xr:uid="{00000000-0005-0000-0000-00008D0C0000}"/>
    <cellStyle name="메모 89" xfId="3115" xr:uid="{00000000-0005-0000-0000-00008E0C0000}"/>
    <cellStyle name="메모 9" xfId="3116" xr:uid="{00000000-0005-0000-0000-00008F0C0000}"/>
    <cellStyle name="메모 90" xfId="3117" xr:uid="{00000000-0005-0000-0000-0000900C0000}"/>
    <cellStyle name="메모 91" xfId="3118" xr:uid="{00000000-0005-0000-0000-0000910C0000}"/>
    <cellStyle name="메모 92" xfId="3119" xr:uid="{00000000-0005-0000-0000-0000920C0000}"/>
    <cellStyle name="메모 93" xfId="3120" xr:uid="{00000000-0005-0000-0000-0000930C0000}"/>
    <cellStyle name="메모 94" xfId="3121" xr:uid="{00000000-0005-0000-0000-0000940C0000}"/>
    <cellStyle name="메모 95" xfId="3122" xr:uid="{00000000-0005-0000-0000-0000950C0000}"/>
    <cellStyle name="메모 96" xfId="3123" xr:uid="{00000000-0005-0000-0000-0000960C0000}"/>
    <cellStyle name="메모 97" xfId="3124" xr:uid="{00000000-0005-0000-0000-0000970C0000}"/>
    <cellStyle name="메모 98" xfId="3125" xr:uid="{00000000-0005-0000-0000-0000980C0000}"/>
    <cellStyle name="메모 99" xfId="3126" xr:uid="{00000000-0005-0000-0000-0000990C0000}"/>
    <cellStyle name="백분율 2" xfId="81" xr:uid="{00000000-0005-0000-0000-00009A0C0000}"/>
    <cellStyle name="백분율 2 2" xfId="3127" xr:uid="{00000000-0005-0000-0000-00009B0C0000}"/>
    <cellStyle name="백분율 2 2 2" xfId="4646" xr:uid="{00000000-0005-0000-0000-00009C0C0000}"/>
    <cellStyle name="백분율 2 3" xfId="3128" xr:uid="{00000000-0005-0000-0000-00009D0C0000}"/>
    <cellStyle name="백분율 2 4" xfId="4645" xr:uid="{00000000-0005-0000-0000-00009E0C0000}"/>
    <cellStyle name="백분율 3" xfId="4647" xr:uid="{00000000-0005-0000-0000-00009F0C0000}"/>
    <cellStyle name="백분율 4" xfId="4648" xr:uid="{00000000-0005-0000-0000-0000A00C0000}"/>
    <cellStyle name="백분율 5" xfId="4649" xr:uid="{00000000-0005-0000-0000-0000A10C0000}"/>
    <cellStyle name="보통 10" xfId="3129" xr:uid="{00000000-0005-0000-0000-0000A20C0000}"/>
    <cellStyle name="보통 100" xfId="3130" xr:uid="{00000000-0005-0000-0000-0000A30C0000}"/>
    <cellStyle name="보통 101" xfId="3131" xr:uid="{00000000-0005-0000-0000-0000A40C0000}"/>
    <cellStyle name="보통 102" xfId="3132" xr:uid="{00000000-0005-0000-0000-0000A50C0000}"/>
    <cellStyle name="보통 103" xfId="3133" xr:uid="{00000000-0005-0000-0000-0000A60C0000}"/>
    <cellStyle name="보통 104" xfId="3134" xr:uid="{00000000-0005-0000-0000-0000A70C0000}"/>
    <cellStyle name="보통 105" xfId="3135" xr:uid="{00000000-0005-0000-0000-0000A80C0000}"/>
    <cellStyle name="보통 106" xfId="3136" xr:uid="{00000000-0005-0000-0000-0000A90C0000}"/>
    <cellStyle name="보통 107" xfId="3137" xr:uid="{00000000-0005-0000-0000-0000AA0C0000}"/>
    <cellStyle name="보통 11" xfId="3138" xr:uid="{00000000-0005-0000-0000-0000AB0C0000}"/>
    <cellStyle name="보통 12" xfId="3139" xr:uid="{00000000-0005-0000-0000-0000AC0C0000}"/>
    <cellStyle name="보통 13" xfId="3140" xr:uid="{00000000-0005-0000-0000-0000AD0C0000}"/>
    <cellStyle name="보통 14" xfId="3141" xr:uid="{00000000-0005-0000-0000-0000AE0C0000}"/>
    <cellStyle name="보통 15" xfId="3142" xr:uid="{00000000-0005-0000-0000-0000AF0C0000}"/>
    <cellStyle name="보통 16" xfId="3143" xr:uid="{00000000-0005-0000-0000-0000B00C0000}"/>
    <cellStyle name="보통 17" xfId="3144" xr:uid="{00000000-0005-0000-0000-0000B10C0000}"/>
    <cellStyle name="보통 18" xfId="3145" xr:uid="{00000000-0005-0000-0000-0000B20C0000}"/>
    <cellStyle name="보통 19" xfId="3146" xr:uid="{00000000-0005-0000-0000-0000B30C0000}"/>
    <cellStyle name="보통 2" xfId="3147" xr:uid="{00000000-0005-0000-0000-0000B40C0000}"/>
    <cellStyle name="보통 20" xfId="3148" xr:uid="{00000000-0005-0000-0000-0000B50C0000}"/>
    <cellStyle name="보통 21" xfId="3149" xr:uid="{00000000-0005-0000-0000-0000B60C0000}"/>
    <cellStyle name="보통 22" xfId="3150" xr:uid="{00000000-0005-0000-0000-0000B70C0000}"/>
    <cellStyle name="보통 23" xfId="3151" xr:uid="{00000000-0005-0000-0000-0000B80C0000}"/>
    <cellStyle name="보통 24" xfId="3152" xr:uid="{00000000-0005-0000-0000-0000B90C0000}"/>
    <cellStyle name="보통 25" xfId="3153" xr:uid="{00000000-0005-0000-0000-0000BA0C0000}"/>
    <cellStyle name="보통 26" xfId="3154" xr:uid="{00000000-0005-0000-0000-0000BB0C0000}"/>
    <cellStyle name="보통 27" xfId="3155" xr:uid="{00000000-0005-0000-0000-0000BC0C0000}"/>
    <cellStyle name="보통 28" xfId="3156" xr:uid="{00000000-0005-0000-0000-0000BD0C0000}"/>
    <cellStyle name="보통 29" xfId="3157" xr:uid="{00000000-0005-0000-0000-0000BE0C0000}"/>
    <cellStyle name="보통 3" xfId="3158" xr:uid="{00000000-0005-0000-0000-0000BF0C0000}"/>
    <cellStyle name="보통 30" xfId="3159" xr:uid="{00000000-0005-0000-0000-0000C00C0000}"/>
    <cellStyle name="보통 31" xfId="3160" xr:uid="{00000000-0005-0000-0000-0000C10C0000}"/>
    <cellStyle name="보통 32" xfId="3161" xr:uid="{00000000-0005-0000-0000-0000C20C0000}"/>
    <cellStyle name="보통 33" xfId="3162" xr:uid="{00000000-0005-0000-0000-0000C30C0000}"/>
    <cellStyle name="보통 34" xfId="3163" xr:uid="{00000000-0005-0000-0000-0000C40C0000}"/>
    <cellStyle name="보통 35" xfId="3164" xr:uid="{00000000-0005-0000-0000-0000C50C0000}"/>
    <cellStyle name="보통 36" xfId="3165" xr:uid="{00000000-0005-0000-0000-0000C60C0000}"/>
    <cellStyle name="보통 37" xfId="3166" xr:uid="{00000000-0005-0000-0000-0000C70C0000}"/>
    <cellStyle name="보통 38" xfId="3167" xr:uid="{00000000-0005-0000-0000-0000C80C0000}"/>
    <cellStyle name="보통 39" xfId="3168" xr:uid="{00000000-0005-0000-0000-0000C90C0000}"/>
    <cellStyle name="보통 4" xfId="3169" xr:uid="{00000000-0005-0000-0000-0000CA0C0000}"/>
    <cellStyle name="보통 40" xfId="3170" xr:uid="{00000000-0005-0000-0000-0000CB0C0000}"/>
    <cellStyle name="보통 41" xfId="3171" xr:uid="{00000000-0005-0000-0000-0000CC0C0000}"/>
    <cellStyle name="보통 42" xfId="3172" xr:uid="{00000000-0005-0000-0000-0000CD0C0000}"/>
    <cellStyle name="보통 43" xfId="3173" xr:uid="{00000000-0005-0000-0000-0000CE0C0000}"/>
    <cellStyle name="보통 44" xfId="3174" xr:uid="{00000000-0005-0000-0000-0000CF0C0000}"/>
    <cellStyle name="보통 45" xfId="3175" xr:uid="{00000000-0005-0000-0000-0000D00C0000}"/>
    <cellStyle name="보통 46" xfId="3176" xr:uid="{00000000-0005-0000-0000-0000D10C0000}"/>
    <cellStyle name="보통 47" xfId="3177" xr:uid="{00000000-0005-0000-0000-0000D20C0000}"/>
    <cellStyle name="보통 48" xfId="3178" xr:uid="{00000000-0005-0000-0000-0000D30C0000}"/>
    <cellStyle name="보통 49" xfId="3179" xr:uid="{00000000-0005-0000-0000-0000D40C0000}"/>
    <cellStyle name="보통 5" xfId="3180" xr:uid="{00000000-0005-0000-0000-0000D50C0000}"/>
    <cellStyle name="보통 50" xfId="3181" xr:uid="{00000000-0005-0000-0000-0000D60C0000}"/>
    <cellStyle name="보통 51" xfId="3182" xr:uid="{00000000-0005-0000-0000-0000D70C0000}"/>
    <cellStyle name="보통 52" xfId="3183" xr:uid="{00000000-0005-0000-0000-0000D80C0000}"/>
    <cellStyle name="보통 53" xfId="3184" xr:uid="{00000000-0005-0000-0000-0000D90C0000}"/>
    <cellStyle name="보통 54" xfId="3185" xr:uid="{00000000-0005-0000-0000-0000DA0C0000}"/>
    <cellStyle name="보통 55" xfId="3186" xr:uid="{00000000-0005-0000-0000-0000DB0C0000}"/>
    <cellStyle name="보통 56" xfId="3187" xr:uid="{00000000-0005-0000-0000-0000DC0C0000}"/>
    <cellStyle name="보통 57" xfId="3188" xr:uid="{00000000-0005-0000-0000-0000DD0C0000}"/>
    <cellStyle name="보통 58" xfId="3189" xr:uid="{00000000-0005-0000-0000-0000DE0C0000}"/>
    <cellStyle name="보통 59" xfId="3190" xr:uid="{00000000-0005-0000-0000-0000DF0C0000}"/>
    <cellStyle name="보통 6" xfId="3191" xr:uid="{00000000-0005-0000-0000-0000E00C0000}"/>
    <cellStyle name="보통 60" xfId="3192" xr:uid="{00000000-0005-0000-0000-0000E10C0000}"/>
    <cellStyle name="보통 61" xfId="3193" xr:uid="{00000000-0005-0000-0000-0000E20C0000}"/>
    <cellStyle name="보통 62" xfId="3194" xr:uid="{00000000-0005-0000-0000-0000E30C0000}"/>
    <cellStyle name="보통 63" xfId="3195" xr:uid="{00000000-0005-0000-0000-0000E40C0000}"/>
    <cellStyle name="보통 64" xfId="3196" xr:uid="{00000000-0005-0000-0000-0000E50C0000}"/>
    <cellStyle name="보통 65" xfId="3197" xr:uid="{00000000-0005-0000-0000-0000E60C0000}"/>
    <cellStyle name="보통 66" xfId="3198" xr:uid="{00000000-0005-0000-0000-0000E70C0000}"/>
    <cellStyle name="보통 67" xfId="3199" xr:uid="{00000000-0005-0000-0000-0000E80C0000}"/>
    <cellStyle name="보통 68" xfId="3200" xr:uid="{00000000-0005-0000-0000-0000E90C0000}"/>
    <cellStyle name="보통 69" xfId="3201" xr:uid="{00000000-0005-0000-0000-0000EA0C0000}"/>
    <cellStyle name="보통 7" xfId="3202" xr:uid="{00000000-0005-0000-0000-0000EB0C0000}"/>
    <cellStyle name="보통 70" xfId="3203" xr:uid="{00000000-0005-0000-0000-0000EC0C0000}"/>
    <cellStyle name="보통 71" xfId="3204" xr:uid="{00000000-0005-0000-0000-0000ED0C0000}"/>
    <cellStyle name="보통 72" xfId="3205" xr:uid="{00000000-0005-0000-0000-0000EE0C0000}"/>
    <cellStyle name="보통 73" xfId="3206" xr:uid="{00000000-0005-0000-0000-0000EF0C0000}"/>
    <cellStyle name="보통 74" xfId="3207" xr:uid="{00000000-0005-0000-0000-0000F00C0000}"/>
    <cellStyle name="보통 75" xfId="3208" xr:uid="{00000000-0005-0000-0000-0000F10C0000}"/>
    <cellStyle name="보통 76" xfId="3209" xr:uid="{00000000-0005-0000-0000-0000F20C0000}"/>
    <cellStyle name="보통 77" xfId="3210" xr:uid="{00000000-0005-0000-0000-0000F30C0000}"/>
    <cellStyle name="보통 78" xfId="3211" xr:uid="{00000000-0005-0000-0000-0000F40C0000}"/>
    <cellStyle name="보통 79" xfId="3212" xr:uid="{00000000-0005-0000-0000-0000F50C0000}"/>
    <cellStyle name="보통 8" xfId="3213" xr:uid="{00000000-0005-0000-0000-0000F60C0000}"/>
    <cellStyle name="보통 80" xfId="3214" xr:uid="{00000000-0005-0000-0000-0000F70C0000}"/>
    <cellStyle name="보통 81" xfId="3215" xr:uid="{00000000-0005-0000-0000-0000F80C0000}"/>
    <cellStyle name="보통 82" xfId="3216" xr:uid="{00000000-0005-0000-0000-0000F90C0000}"/>
    <cellStyle name="보통 83" xfId="3217" xr:uid="{00000000-0005-0000-0000-0000FA0C0000}"/>
    <cellStyle name="보통 84" xfId="3218" xr:uid="{00000000-0005-0000-0000-0000FB0C0000}"/>
    <cellStyle name="보통 85" xfId="3219" xr:uid="{00000000-0005-0000-0000-0000FC0C0000}"/>
    <cellStyle name="보통 86" xfId="3220" xr:uid="{00000000-0005-0000-0000-0000FD0C0000}"/>
    <cellStyle name="보통 87" xfId="3221" xr:uid="{00000000-0005-0000-0000-0000FE0C0000}"/>
    <cellStyle name="보통 88" xfId="3222" xr:uid="{00000000-0005-0000-0000-0000FF0C0000}"/>
    <cellStyle name="보통 89" xfId="3223" xr:uid="{00000000-0005-0000-0000-0000000D0000}"/>
    <cellStyle name="보통 9" xfId="3224" xr:uid="{00000000-0005-0000-0000-0000010D0000}"/>
    <cellStyle name="보통 90" xfId="3225" xr:uid="{00000000-0005-0000-0000-0000020D0000}"/>
    <cellStyle name="보통 91" xfId="3226" xr:uid="{00000000-0005-0000-0000-0000030D0000}"/>
    <cellStyle name="보통 92" xfId="3227" xr:uid="{00000000-0005-0000-0000-0000040D0000}"/>
    <cellStyle name="보통 93" xfId="3228" xr:uid="{00000000-0005-0000-0000-0000050D0000}"/>
    <cellStyle name="보통 94" xfId="3229" xr:uid="{00000000-0005-0000-0000-0000060D0000}"/>
    <cellStyle name="보통 95" xfId="3230" xr:uid="{00000000-0005-0000-0000-0000070D0000}"/>
    <cellStyle name="보통 96" xfId="3231" xr:uid="{00000000-0005-0000-0000-0000080D0000}"/>
    <cellStyle name="보통 97" xfId="3232" xr:uid="{00000000-0005-0000-0000-0000090D0000}"/>
    <cellStyle name="보통 98" xfId="3233" xr:uid="{00000000-0005-0000-0000-00000A0D0000}"/>
    <cellStyle name="보통 99" xfId="3234" xr:uid="{00000000-0005-0000-0000-00000B0D0000}"/>
    <cellStyle name="뷭?_BOOKSHIP" xfId="3235" xr:uid="{00000000-0005-0000-0000-00000C0D0000}"/>
    <cellStyle name="설명 텍스트 10" xfId="3236" xr:uid="{00000000-0005-0000-0000-00000D0D0000}"/>
    <cellStyle name="설명 텍스트 100" xfId="3237" xr:uid="{00000000-0005-0000-0000-00000E0D0000}"/>
    <cellStyle name="설명 텍스트 101" xfId="3238" xr:uid="{00000000-0005-0000-0000-00000F0D0000}"/>
    <cellStyle name="설명 텍스트 102" xfId="3239" xr:uid="{00000000-0005-0000-0000-0000100D0000}"/>
    <cellStyle name="설명 텍스트 103" xfId="3240" xr:uid="{00000000-0005-0000-0000-0000110D0000}"/>
    <cellStyle name="설명 텍스트 104" xfId="3241" xr:uid="{00000000-0005-0000-0000-0000120D0000}"/>
    <cellStyle name="설명 텍스트 105" xfId="3242" xr:uid="{00000000-0005-0000-0000-0000130D0000}"/>
    <cellStyle name="설명 텍스트 106" xfId="3243" xr:uid="{00000000-0005-0000-0000-0000140D0000}"/>
    <cellStyle name="설명 텍스트 107" xfId="3244" xr:uid="{00000000-0005-0000-0000-0000150D0000}"/>
    <cellStyle name="설명 텍스트 11" xfId="3245" xr:uid="{00000000-0005-0000-0000-0000160D0000}"/>
    <cellStyle name="설명 텍스트 12" xfId="3246" xr:uid="{00000000-0005-0000-0000-0000170D0000}"/>
    <cellStyle name="설명 텍스트 13" xfId="3247" xr:uid="{00000000-0005-0000-0000-0000180D0000}"/>
    <cellStyle name="설명 텍스트 14" xfId="3248" xr:uid="{00000000-0005-0000-0000-0000190D0000}"/>
    <cellStyle name="설명 텍스트 15" xfId="3249" xr:uid="{00000000-0005-0000-0000-00001A0D0000}"/>
    <cellStyle name="설명 텍스트 16" xfId="3250" xr:uid="{00000000-0005-0000-0000-00001B0D0000}"/>
    <cellStyle name="설명 텍스트 17" xfId="3251" xr:uid="{00000000-0005-0000-0000-00001C0D0000}"/>
    <cellStyle name="설명 텍스트 18" xfId="3252" xr:uid="{00000000-0005-0000-0000-00001D0D0000}"/>
    <cellStyle name="설명 텍스트 19" xfId="3253" xr:uid="{00000000-0005-0000-0000-00001E0D0000}"/>
    <cellStyle name="설명 텍스트 2" xfId="3254" xr:uid="{00000000-0005-0000-0000-00001F0D0000}"/>
    <cellStyle name="설명 텍스트 20" xfId="3255" xr:uid="{00000000-0005-0000-0000-0000200D0000}"/>
    <cellStyle name="설명 텍스트 21" xfId="3256" xr:uid="{00000000-0005-0000-0000-0000210D0000}"/>
    <cellStyle name="설명 텍스트 22" xfId="3257" xr:uid="{00000000-0005-0000-0000-0000220D0000}"/>
    <cellStyle name="설명 텍스트 23" xfId="3258" xr:uid="{00000000-0005-0000-0000-0000230D0000}"/>
    <cellStyle name="설명 텍스트 24" xfId="3259" xr:uid="{00000000-0005-0000-0000-0000240D0000}"/>
    <cellStyle name="설명 텍스트 25" xfId="3260" xr:uid="{00000000-0005-0000-0000-0000250D0000}"/>
    <cellStyle name="설명 텍스트 26" xfId="3261" xr:uid="{00000000-0005-0000-0000-0000260D0000}"/>
    <cellStyle name="설명 텍스트 27" xfId="3262" xr:uid="{00000000-0005-0000-0000-0000270D0000}"/>
    <cellStyle name="설명 텍스트 28" xfId="3263" xr:uid="{00000000-0005-0000-0000-0000280D0000}"/>
    <cellStyle name="설명 텍스트 29" xfId="3264" xr:uid="{00000000-0005-0000-0000-0000290D0000}"/>
    <cellStyle name="설명 텍스트 3" xfId="3265" xr:uid="{00000000-0005-0000-0000-00002A0D0000}"/>
    <cellStyle name="설명 텍스트 30" xfId="3266" xr:uid="{00000000-0005-0000-0000-00002B0D0000}"/>
    <cellStyle name="설명 텍스트 31" xfId="3267" xr:uid="{00000000-0005-0000-0000-00002C0D0000}"/>
    <cellStyle name="설명 텍스트 32" xfId="3268" xr:uid="{00000000-0005-0000-0000-00002D0D0000}"/>
    <cellStyle name="설명 텍스트 33" xfId="3269" xr:uid="{00000000-0005-0000-0000-00002E0D0000}"/>
    <cellStyle name="설명 텍스트 34" xfId="3270" xr:uid="{00000000-0005-0000-0000-00002F0D0000}"/>
    <cellStyle name="설명 텍스트 35" xfId="3271" xr:uid="{00000000-0005-0000-0000-0000300D0000}"/>
    <cellStyle name="설명 텍스트 36" xfId="3272" xr:uid="{00000000-0005-0000-0000-0000310D0000}"/>
    <cellStyle name="설명 텍스트 37" xfId="3273" xr:uid="{00000000-0005-0000-0000-0000320D0000}"/>
    <cellStyle name="설명 텍스트 38" xfId="3274" xr:uid="{00000000-0005-0000-0000-0000330D0000}"/>
    <cellStyle name="설명 텍스트 39" xfId="3275" xr:uid="{00000000-0005-0000-0000-0000340D0000}"/>
    <cellStyle name="설명 텍스트 4" xfId="3276" xr:uid="{00000000-0005-0000-0000-0000350D0000}"/>
    <cellStyle name="설명 텍스트 40" xfId="3277" xr:uid="{00000000-0005-0000-0000-0000360D0000}"/>
    <cellStyle name="설명 텍스트 41" xfId="3278" xr:uid="{00000000-0005-0000-0000-0000370D0000}"/>
    <cellStyle name="설명 텍스트 42" xfId="3279" xr:uid="{00000000-0005-0000-0000-0000380D0000}"/>
    <cellStyle name="설명 텍스트 43" xfId="3280" xr:uid="{00000000-0005-0000-0000-0000390D0000}"/>
    <cellStyle name="설명 텍스트 44" xfId="3281" xr:uid="{00000000-0005-0000-0000-00003A0D0000}"/>
    <cellStyle name="설명 텍스트 45" xfId="3282" xr:uid="{00000000-0005-0000-0000-00003B0D0000}"/>
    <cellStyle name="설명 텍스트 46" xfId="3283" xr:uid="{00000000-0005-0000-0000-00003C0D0000}"/>
    <cellStyle name="설명 텍스트 47" xfId="3284" xr:uid="{00000000-0005-0000-0000-00003D0D0000}"/>
    <cellStyle name="설명 텍스트 48" xfId="3285" xr:uid="{00000000-0005-0000-0000-00003E0D0000}"/>
    <cellStyle name="설명 텍스트 49" xfId="3286" xr:uid="{00000000-0005-0000-0000-00003F0D0000}"/>
    <cellStyle name="설명 텍스트 5" xfId="3287" xr:uid="{00000000-0005-0000-0000-0000400D0000}"/>
    <cellStyle name="설명 텍스트 50" xfId="3288" xr:uid="{00000000-0005-0000-0000-0000410D0000}"/>
    <cellStyle name="설명 텍스트 51" xfId="3289" xr:uid="{00000000-0005-0000-0000-0000420D0000}"/>
    <cellStyle name="설명 텍스트 52" xfId="3290" xr:uid="{00000000-0005-0000-0000-0000430D0000}"/>
    <cellStyle name="설명 텍스트 53" xfId="3291" xr:uid="{00000000-0005-0000-0000-0000440D0000}"/>
    <cellStyle name="설명 텍스트 54" xfId="3292" xr:uid="{00000000-0005-0000-0000-0000450D0000}"/>
    <cellStyle name="설명 텍스트 55" xfId="3293" xr:uid="{00000000-0005-0000-0000-0000460D0000}"/>
    <cellStyle name="설명 텍스트 56" xfId="3294" xr:uid="{00000000-0005-0000-0000-0000470D0000}"/>
    <cellStyle name="설명 텍스트 57" xfId="3295" xr:uid="{00000000-0005-0000-0000-0000480D0000}"/>
    <cellStyle name="설명 텍스트 58" xfId="3296" xr:uid="{00000000-0005-0000-0000-0000490D0000}"/>
    <cellStyle name="설명 텍스트 59" xfId="3297" xr:uid="{00000000-0005-0000-0000-00004A0D0000}"/>
    <cellStyle name="설명 텍스트 6" xfId="3298" xr:uid="{00000000-0005-0000-0000-00004B0D0000}"/>
    <cellStyle name="설명 텍스트 60" xfId="3299" xr:uid="{00000000-0005-0000-0000-00004C0D0000}"/>
    <cellStyle name="설명 텍스트 61" xfId="3300" xr:uid="{00000000-0005-0000-0000-00004D0D0000}"/>
    <cellStyle name="설명 텍스트 62" xfId="3301" xr:uid="{00000000-0005-0000-0000-00004E0D0000}"/>
    <cellStyle name="설명 텍스트 63" xfId="3302" xr:uid="{00000000-0005-0000-0000-00004F0D0000}"/>
    <cellStyle name="설명 텍스트 64" xfId="3303" xr:uid="{00000000-0005-0000-0000-0000500D0000}"/>
    <cellStyle name="설명 텍스트 65" xfId="3304" xr:uid="{00000000-0005-0000-0000-0000510D0000}"/>
    <cellStyle name="설명 텍스트 66" xfId="3305" xr:uid="{00000000-0005-0000-0000-0000520D0000}"/>
    <cellStyle name="설명 텍스트 67" xfId="3306" xr:uid="{00000000-0005-0000-0000-0000530D0000}"/>
    <cellStyle name="설명 텍스트 68" xfId="3307" xr:uid="{00000000-0005-0000-0000-0000540D0000}"/>
    <cellStyle name="설명 텍스트 69" xfId="3308" xr:uid="{00000000-0005-0000-0000-0000550D0000}"/>
    <cellStyle name="설명 텍스트 7" xfId="3309" xr:uid="{00000000-0005-0000-0000-0000560D0000}"/>
    <cellStyle name="설명 텍스트 70" xfId="3310" xr:uid="{00000000-0005-0000-0000-0000570D0000}"/>
    <cellStyle name="설명 텍스트 71" xfId="3311" xr:uid="{00000000-0005-0000-0000-0000580D0000}"/>
    <cellStyle name="설명 텍스트 72" xfId="3312" xr:uid="{00000000-0005-0000-0000-0000590D0000}"/>
    <cellStyle name="설명 텍스트 73" xfId="3313" xr:uid="{00000000-0005-0000-0000-00005A0D0000}"/>
    <cellStyle name="설명 텍스트 74" xfId="3314" xr:uid="{00000000-0005-0000-0000-00005B0D0000}"/>
    <cellStyle name="설명 텍스트 75" xfId="3315" xr:uid="{00000000-0005-0000-0000-00005C0D0000}"/>
    <cellStyle name="설명 텍스트 76" xfId="3316" xr:uid="{00000000-0005-0000-0000-00005D0D0000}"/>
    <cellStyle name="설명 텍스트 77" xfId="3317" xr:uid="{00000000-0005-0000-0000-00005E0D0000}"/>
    <cellStyle name="설명 텍스트 78" xfId="3318" xr:uid="{00000000-0005-0000-0000-00005F0D0000}"/>
    <cellStyle name="설명 텍스트 79" xfId="3319" xr:uid="{00000000-0005-0000-0000-0000600D0000}"/>
    <cellStyle name="설명 텍스트 8" xfId="3320" xr:uid="{00000000-0005-0000-0000-0000610D0000}"/>
    <cellStyle name="설명 텍스트 80" xfId="3321" xr:uid="{00000000-0005-0000-0000-0000620D0000}"/>
    <cellStyle name="설명 텍스트 81" xfId="3322" xr:uid="{00000000-0005-0000-0000-0000630D0000}"/>
    <cellStyle name="설명 텍스트 82" xfId="3323" xr:uid="{00000000-0005-0000-0000-0000640D0000}"/>
    <cellStyle name="설명 텍스트 83" xfId="3324" xr:uid="{00000000-0005-0000-0000-0000650D0000}"/>
    <cellStyle name="설명 텍스트 84" xfId="3325" xr:uid="{00000000-0005-0000-0000-0000660D0000}"/>
    <cellStyle name="설명 텍스트 85" xfId="3326" xr:uid="{00000000-0005-0000-0000-0000670D0000}"/>
    <cellStyle name="설명 텍스트 86" xfId="3327" xr:uid="{00000000-0005-0000-0000-0000680D0000}"/>
    <cellStyle name="설명 텍스트 87" xfId="3328" xr:uid="{00000000-0005-0000-0000-0000690D0000}"/>
    <cellStyle name="설명 텍스트 88" xfId="3329" xr:uid="{00000000-0005-0000-0000-00006A0D0000}"/>
    <cellStyle name="설명 텍스트 89" xfId="3330" xr:uid="{00000000-0005-0000-0000-00006B0D0000}"/>
    <cellStyle name="설명 텍스트 9" xfId="3331" xr:uid="{00000000-0005-0000-0000-00006C0D0000}"/>
    <cellStyle name="설명 텍스트 90" xfId="3332" xr:uid="{00000000-0005-0000-0000-00006D0D0000}"/>
    <cellStyle name="설명 텍스트 91" xfId="3333" xr:uid="{00000000-0005-0000-0000-00006E0D0000}"/>
    <cellStyle name="설명 텍스트 92" xfId="3334" xr:uid="{00000000-0005-0000-0000-00006F0D0000}"/>
    <cellStyle name="설명 텍스트 93" xfId="3335" xr:uid="{00000000-0005-0000-0000-0000700D0000}"/>
    <cellStyle name="설명 텍스트 94" xfId="3336" xr:uid="{00000000-0005-0000-0000-0000710D0000}"/>
    <cellStyle name="설명 텍스트 95" xfId="3337" xr:uid="{00000000-0005-0000-0000-0000720D0000}"/>
    <cellStyle name="설명 텍스트 96" xfId="3338" xr:uid="{00000000-0005-0000-0000-0000730D0000}"/>
    <cellStyle name="설명 텍스트 97" xfId="3339" xr:uid="{00000000-0005-0000-0000-0000740D0000}"/>
    <cellStyle name="설명 텍스트 98" xfId="3340" xr:uid="{00000000-0005-0000-0000-0000750D0000}"/>
    <cellStyle name="설명 텍스트 99" xfId="3341" xr:uid="{00000000-0005-0000-0000-0000760D0000}"/>
    <cellStyle name="셀 확인 10" xfId="3342" xr:uid="{00000000-0005-0000-0000-0000770D0000}"/>
    <cellStyle name="셀 확인 100" xfId="3343" xr:uid="{00000000-0005-0000-0000-0000780D0000}"/>
    <cellStyle name="셀 확인 101" xfId="3344" xr:uid="{00000000-0005-0000-0000-0000790D0000}"/>
    <cellStyle name="셀 확인 102" xfId="3345" xr:uid="{00000000-0005-0000-0000-00007A0D0000}"/>
    <cellStyle name="셀 확인 103" xfId="3346" xr:uid="{00000000-0005-0000-0000-00007B0D0000}"/>
    <cellStyle name="셀 확인 104" xfId="3347" xr:uid="{00000000-0005-0000-0000-00007C0D0000}"/>
    <cellStyle name="셀 확인 105" xfId="3348" xr:uid="{00000000-0005-0000-0000-00007D0D0000}"/>
    <cellStyle name="셀 확인 106" xfId="3349" xr:uid="{00000000-0005-0000-0000-00007E0D0000}"/>
    <cellStyle name="셀 확인 107" xfId="3350" xr:uid="{00000000-0005-0000-0000-00007F0D0000}"/>
    <cellStyle name="셀 확인 11" xfId="3351" xr:uid="{00000000-0005-0000-0000-0000800D0000}"/>
    <cellStyle name="셀 확인 12" xfId="3352" xr:uid="{00000000-0005-0000-0000-0000810D0000}"/>
    <cellStyle name="셀 확인 13" xfId="3353" xr:uid="{00000000-0005-0000-0000-0000820D0000}"/>
    <cellStyle name="셀 확인 14" xfId="3354" xr:uid="{00000000-0005-0000-0000-0000830D0000}"/>
    <cellStyle name="셀 확인 15" xfId="3355" xr:uid="{00000000-0005-0000-0000-0000840D0000}"/>
    <cellStyle name="셀 확인 16" xfId="3356" xr:uid="{00000000-0005-0000-0000-0000850D0000}"/>
    <cellStyle name="셀 확인 17" xfId="3357" xr:uid="{00000000-0005-0000-0000-0000860D0000}"/>
    <cellStyle name="셀 확인 18" xfId="3358" xr:uid="{00000000-0005-0000-0000-0000870D0000}"/>
    <cellStyle name="셀 확인 19" xfId="3359" xr:uid="{00000000-0005-0000-0000-0000880D0000}"/>
    <cellStyle name="셀 확인 2" xfId="3360" xr:uid="{00000000-0005-0000-0000-0000890D0000}"/>
    <cellStyle name="셀 확인 20" xfId="3361" xr:uid="{00000000-0005-0000-0000-00008A0D0000}"/>
    <cellStyle name="셀 확인 21" xfId="3362" xr:uid="{00000000-0005-0000-0000-00008B0D0000}"/>
    <cellStyle name="셀 확인 22" xfId="3363" xr:uid="{00000000-0005-0000-0000-00008C0D0000}"/>
    <cellStyle name="셀 확인 23" xfId="3364" xr:uid="{00000000-0005-0000-0000-00008D0D0000}"/>
    <cellStyle name="셀 확인 24" xfId="3365" xr:uid="{00000000-0005-0000-0000-00008E0D0000}"/>
    <cellStyle name="셀 확인 25" xfId="3366" xr:uid="{00000000-0005-0000-0000-00008F0D0000}"/>
    <cellStyle name="셀 확인 26" xfId="3367" xr:uid="{00000000-0005-0000-0000-0000900D0000}"/>
    <cellStyle name="셀 확인 27" xfId="3368" xr:uid="{00000000-0005-0000-0000-0000910D0000}"/>
    <cellStyle name="셀 확인 28" xfId="3369" xr:uid="{00000000-0005-0000-0000-0000920D0000}"/>
    <cellStyle name="셀 확인 29" xfId="3370" xr:uid="{00000000-0005-0000-0000-0000930D0000}"/>
    <cellStyle name="셀 확인 3" xfId="3371" xr:uid="{00000000-0005-0000-0000-0000940D0000}"/>
    <cellStyle name="셀 확인 30" xfId="3372" xr:uid="{00000000-0005-0000-0000-0000950D0000}"/>
    <cellStyle name="셀 확인 31" xfId="3373" xr:uid="{00000000-0005-0000-0000-0000960D0000}"/>
    <cellStyle name="셀 확인 32" xfId="3374" xr:uid="{00000000-0005-0000-0000-0000970D0000}"/>
    <cellStyle name="셀 확인 33" xfId="3375" xr:uid="{00000000-0005-0000-0000-0000980D0000}"/>
    <cellStyle name="셀 확인 34" xfId="3376" xr:uid="{00000000-0005-0000-0000-0000990D0000}"/>
    <cellStyle name="셀 확인 35" xfId="3377" xr:uid="{00000000-0005-0000-0000-00009A0D0000}"/>
    <cellStyle name="셀 확인 36" xfId="3378" xr:uid="{00000000-0005-0000-0000-00009B0D0000}"/>
    <cellStyle name="셀 확인 37" xfId="3379" xr:uid="{00000000-0005-0000-0000-00009C0D0000}"/>
    <cellStyle name="셀 확인 38" xfId="3380" xr:uid="{00000000-0005-0000-0000-00009D0D0000}"/>
    <cellStyle name="셀 확인 39" xfId="3381" xr:uid="{00000000-0005-0000-0000-00009E0D0000}"/>
    <cellStyle name="셀 확인 4" xfId="3382" xr:uid="{00000000-0005-0000-0000-00009F0D0000}"/>
    <cellStyle name="셀 확인 40" xfId="3383" xr:uid="{00000000-0005-0000-0000-0000A00D0000}"/>
    <cellStyle name="셀 확인 41" xfId="3384" xr:uid="{00000000-0005-0000-0000-0000A10D0000}"/>
    <cellStyle name="셀 확인 42" xfId="3385" xr:uid="{00000000-0005-0000-0000-0000A20D0000}"/>
    <cellStyle name="셀 확인 43" xfId="3386" xr:uid="{00000000-0005-0000-0000-0000A30D0000}"/>
    <cellStyle name="셀 확인 44" xfId="3387" xr:uid="{00000000-0005-0000-0000-0000A40D0000}"/>
    <cellStyle name="셀 확인 45" xfId="3388" xr:uid="{00000000-0005-0000-0000-0000A50D0000}"/>
    <cellStyle name="셀 확인 46" xfId="3389" xr:uid="{00000000-0005-0000-0000-0000A60D0000}"/>
    <cellStyle name="셀 확인 47" xfId="3390" xr:uid="{00000000-0005-0000-0000-0000A70D0000}"/>
    <cellStyle name="셀 확인 48" xfId="3391" xr:uid="{00000000-0005-0000-0000-0000A80D0000}"/>
    <cellStyle name="셀 확인 49" xfId="3392" xr:uid="{00000000-0005-0000-0000-0000A90D0000}"/>
    <cellStyle name="셀 확인 5" xfId="3393" xr:uid="{00000000-0005-0000-0000-0000AA0D0000}"/>
    <cellStyle name="셀 확인 50" xfId="3394" xr:uid="{00000000-0005-0000-0000-0000AB0D0000}"/>
    <cellStyle name="셀 확인 51" xfId="3395" xr:uid="{00000000-0005-0000-0000-0000AC0D0000}"/>
    <cellStyle name="셀 확인 52" xfId="3396" xr:uid="{00000000-0005-0000-0000-0000AD0D0000}"/>
    <cellStyle name="셀 확인 53" xfId="3397" xr:uid="{00000000-0005-0000-0000-0000AE0D0000}"/>
    <cellStyle name="셀 확인 54" xfId="3398" xr:uid="{00000000-0005-0000-0000-0000AF0D0000}"/>
    <cellStyle name="셀 확인 55" xfId="3399" xr:uid="{00000000-0005-0000-0000-0000B00D0000}"/>
    <cellStyle name="셀 확인 56" xfId="3400" xr:uid="{00000000-0005-0000-0000-0000B10D0000}"/>
    <cellStyle name="셀 확인 57" xfId="3401" xr:uid="{00000000-0005-0000-0000-0000B20D0000}"/>
    <cellStyle name="셀 확인 58" xfId="3402" xr:uid="{00000000-0005-0000-0000-0000B30D0000}"/>
    <cellStyle name="셀 확인 59" xfId="3403" xr:uid="{00000000-0005-0000-0000-0000B40D0000}"/>
    <cellStyle name="셀 확인 6" xfId="3404" xr:uid="{00000000-0005-0000-0000-0000B50D0000}"/>
    <cellStyle name="셀 확인 60" xfId="3405" xr:uid="{00000000-0005-0000-0000-0000B60D0000}"/>
    <cellStyle name="셀 확인 61" xfId="3406" xr:uid="{00000000-0005-0000-0000-0000B70D0000}"/>
    <cellStyle name="셀 확인 62" xfId="3407" xr:uid="{00000000-0005-0000-0000-0000B80D0000}"/>
    <cellStyle name="셀 확인 63" xfId="3408" xr:uid="{00000000-0005-0000-0000-0000B90D0000}"/>
    <cellStyle name="셀 확인 64" xfId="3409" xr:uid="{00000000-0005-0000-0000-0000BA0D0000}"/>
    <cellStyle name="셀 확인 65" xfId="3410" xr:uid="{00000000-0005-0000-0000-0000BB0D0000}"/>
    <cellStyle name="셀 확인 66" xfId="3411" xr:uid="{00000000-0005-0000-0000-0000BC0D0000}"/>
    <cellStyle name="셀 확인 67" xfId="3412" xr:uid="{00000000-0005-0000-0000-0000BD0D0000}"/>
    <cellStyle name="셀 확인 68" xfId="3413" xr:uid="{00000000-0005-0000-0000-0000BE0D0000}"/>
    <cellStyle name="셀 확인 69" xfId="3414" xr:uid="{00000000-0005-0000-0000-0000BF0D0000}"/>
    <cellStyle name="셀 확인 7" xfId="3415" xr:uid="{00000000-0005-0000-0000-0000C00D0000}"/>
    <cellStyle name="셀 확인 70" xfId="3416" xr:uid="{00000000-0005-0000-0000-0000C10D0000}"/>
    <cellStyle name="셀 확인 71" xfId="3417" xr:uid="{00000000-0005-0000-0000-0000C20D0000}"/>
    <cellStyle name="셀 확인 72" xfId="3418" xr:uid="{00000000-0005-0000-0000-0000C30D0000}"/>
    <cellStyle name="셀 확인 73" xfId="3419" xr:uid="{00000000-0005-0000-0000-0000C40D0000}"/>
    <cellStyle name="셀 확인 74" xfId="3420" xr:uid="{00000000-0005-0000-0000-0000C50D0000}"/>
    <cellStyle name="셀 확인 75" xfId="3421" xr:uid="{00000000-0005-0000-0000-0000C60D0000}"/>
    <cellStyle name="셀 확인 76" xfId="3422" xr:uid="{00000000-0005-0000-0000-0000C70D0000}"/>
    <cellStyle name="셀 확인 77" xfId="3423" xr:uid="{00000000-0005-0000-0000-0000C80D0000}"/>
    <cellStyle name="셀 확인 78" xfId="3424" xr:uid="{00000000-0005-0000-0000-0000C90D0000}"/>
    <cellStyle name="셀 확인 79" xfId="3425" xr:uid="{00000000-0005-0000-0000-0000CA0D0000}"/>
    <cellStyle name="셀 확인 8" xfId="3426" xr:uid="{00000000-0005-0000-0000-0000CB0D0000}"/>
    <cellStyle name="셀 확인 80" xfId="3427" xr:uid="{00000000-0005-0000-0000-0000CC0D0000}"/>
    <cellStyle name="셀 확인 81" xfId="3428" xr:uid="{00000000-0005-0000-0000-0000CD0D0000}"/>
    <cellStyle name="셀 확인 82" xfId="3429" xr:uid="{00000000-0005-0000-0000-0000CE0D0000}"/>
    <cellStyle name="셀 확인 83" xfId="3430" xr:uid="{00000000-0005-0000-0000-0000CF0D0000}"/>
    <cellStyle name="셀 확인 84" xfId="3431" xr:uid="{00000000-0005-0000-0000-0000D00D0000}"/>
    <cellStyle name="셀 확인 85" xfId="3432" xr:uid="{00000000-0005-0000-0000-0000D10D0000}"/>
    <cellStyle name="셀 확인 86" xfId="3433" xr:uid="{00000000-0005-0000-0000-0000D20D0000}"/>
    <cellStyle name="셀 확인 87" xfId="3434" xr:uid="{00000000-0005-0000-0000-0000D30D0000}"/>
    <cellStyle name="셀 확인 88" xfId="3435" xr:uid="{00000000-0005-0000-0000-0000D40D0000}"/>
    <cellStyle name="셀 확인 89" xfId="3436" xr:uid="{00000000-0005-0000-0000-0000D50D0000}"/>
    <cellStyle name="셀 확인 9" xfId="3437" xr:uid="{00000000-0005-0000-0000-0000D60D0000}"/>
    <cellStyle name="셀 확인 90" xfId="3438" xr:uid="{00000000-0005-0000-0000-0000D70D0000}"/>
    <cellStyle name="셀 확인 91" xfId="3439" xr:uid="{00000000-0005-0000-0000-0000D80D0000}"/>
    <cellStyle name="셀 확인 92" xfId="3440" xr:uid="{00000000-0005-0000-0000-0000D90D0000}"/>
    <cellStyle name="셀 확인 93" xfId="3441" xr:uid="{00000000-0005-0000-0000-0000DA0D0000}"/>
    <cellStyle name="셀 확인 94" xfId="3442" xr:uid="{00000000-0005-0000-0000-0000DB0D0000}"/>
    <cellStyle name="셀 확인 95" xfId="3443" xr:uid="{00000000-0005-0000-0000-0000DC0D0000}"/>
    <cellStyle name="셀 확인 96" xfId="3444" xr:uid="{00000000-0005-0000-0000-0000DD0D0000}"/>
    <cellStyle name="셀 확인 97" xfId="3445" xr:uid="{00000000-0005-0000-0000-0000DE0D0000}"/>
    <cellStyle name="셀 확인 98" xfId="3446" xr:uid="{00000000-0005-0000-0000-0000DF0D0000}"/>
    <cellStyle name="셀 확인 99" xfId="3447" xr:uid="{00000000-0005-0000-0000-0000E00D0000}"/>
    <cellStyle name="쉼표 [0] 2" xfId="3448" xr:uid="{00000000-0005-0000-0000-0000E10D0000}"/>
    <cellStyle name="쉼표 [0] 2 2" xfId="3449" xr:uid="{00000000-0005-0000-0000-0000E20D0000}"/>
    <cellStyle name="쉼표 [0] 2 3" xfId="4698" xr:uid="{00000000-0005-0000-0000-0000E30D0000}"/>
    <cellStyle name="쉼표 [0] 2 4 2" xfId="4691" xr:uid="{00000000-0005-0000-0000-0000E40D0000}"/>
    <cellStyle name="쉼표 [0] 3" xfId="4650" xr:uid="{00000000-0005-0000-0000-0000E50D0000}"/>
    <cellStyle name="쉼표 [0] 3 2" xfId="4840" xr:uid="{00000000-0005-0000-0000-0000E60D0000}"/>
    <cellStyle name="쉼표 [0] 4" xfId="4850" xr:uid="{00000000-0005-0000-0000-0000E70D0000}"/>
    <cellStyle name="쉼표 [0] 6" xfId="4688" xr:uid="{00000000-0005-0000-0000-0000E80D0000}"/>
    <cellStyle name="스타일 1" xfId="17" xr:uid="{00000000-0005-0000-0000-0000E90D0000}"/>
    <cellStyle name="스타일 2" xfId="3450" xr:uid="{00000000-0005-0000-0000-0000EA0D0000}"/>
    <cellStyle name="연결된 셀 10" xfId="3451" xr:uid="{00000000-0005-0000-0000-0000EB0D0000}"/>
    <cellStyle name="연결된 셀 100" xfId="3452" xr:uid="{00000000-0005-0000-0000-0000EC0D0000}"/>
    <cellStyle name="연결된 셀 101" xfId="3453" xr:uid="{00000000-0005-0000-0000-0000ED0D0000}"/>
    <cellStyle name="연결된 셀 102" xfId="3454" xr:uid="{00000000-0005-0000-0000-0000EE0D0000}"/>
    <cellStyle name="연결된 셀 103" xfId="3455" xr:uid="{00000000-0005-0000-0000-0000EF0D0000}"/>
    <cellStyle name="연결된 셀 104" xfId="3456" xr:uid="{00000000-0005-0000-0000-0000F00D0000}"/>
    <cellStyle name="연결된 셀 105" xfId="3457" xr:uid="{00000000-0005-0000-0000-0000F10D0000}"/>
    <cellStyle name="연결된 셀 106" xfId="3458" xr:uid="{00000000-0005-0000-0000-0000F20D0000}"/>
    <cellStyle name="연결된 셀 107" xfId="3459" xr:uid="{00000000-0005-0000-0000-0000F30D0000}"/>
    <cellStyle name="연결된 셀 11" xfId="3460" xr:uid="{00000000-0005-0000-0000-0000F40D0000}"/>
    <cellStyle name="연결된 셀 12" xfId="3461" xr:uid="{00000000-0005-0000-0000-0000F50D0000}"/>
    <cellStyle name="연결된 셀 13" xfId="3462" xr:uid="{00000000-0005-0000-0000-0000F60D0000}"/>
    <cellStyle name="연결된 셀 14" xfId="3463" xr:uid="{00000000-0005-0000-0000-0000F70D0000}"/>
    <cellStyle name="연결된 셀 15" xfId="3464" xr:uid="{00000000-0005-0000-0000-0000F80D0000}"/>
    <cellStyle name="연결된 셀 16" xfId="3465" xr:uid="{00000000-0005-0000-0000-0000F90D0000}"/>
    <cellStyle name="연결된 셀 17" xfId="3466" xr:uid="{00000000-0005-0000-0000-0000FA0D0000}"/>
    <cellStyle name="연결된 셀 18" xfId="3467" xr:uid="{00000000-0005-0000-0000-0000FB0D0000}"/>
    <cellStyle name="연결된 셀 19" xfId="3468" xr:uid="{00000000-0005-0000-0000-0000FC0D0000}"/>
    <cellStyle name="연결된 셀 2" xfId="3469" xr:uid="{00000000-0005-0000-0000-0000FD0D0000}"/>
    <cellStyle name="연결된 셀 20" xfId="3470" xr:uid="{00000000-0005-0000-0000-0000FE0D0000}"/>
    <cellStyle name="연결된 셀 21" xfId="3471" xr:uid="{00000000-0005-0000-0000-0000FF0D0000}"/>
    <cellStyle name="연결된 셀 22" xfId="3472" xr:uid="{00000000-0005-0000-0000-0000000E0000}"/>
    <cellStyle name="연결된 셀 23" xfId="3473" xr:uid="{00000000-0005-0000-0000-0000010E0000}"/>
    <cellStyle name="연결된 셀 24" xfId="3474" xr:uid="{00000000-0005-0000-0000-0000020E0000}"/>
    <cellStyle name="연결된 셀 25" xfId="3475" xr:uid="{00000000-0005-0000-0000-0000030E0000}"/>
    <cellStyle name="연결된 셀 26" xfId="3476" xr:uid="{00000000-0005-0000-0000-0000040E0000}"/>
    <cellStyle name="연결된 셀 27" xfId="3477" xr:uid="{00000000-0005-0000-0000-0000050E0000}"/>
    <cellStyle name="연결된 셀 28" xfId="3478" xr:uid="{00000000-0005-0000-0000-0000060E0000}"/>
    <cellStyle name="연결된 셀 29" xfId="3479" xr:uid="{00000000-0005-0000-0000-0000070E0000}"/>
    <cellStyle name="연결된 셀 3" xfId="3480" xr:uid="{00000000-0005-0000-0000-0000080E0000}"/>
    <cellStyle name="연결된 셀 30" xfId="3481" xr:uid="{00000000-0005-0000-0000-0000090E0000}"/>
    <cellStyle name="연결된 셀 31" xfId="3482" xr:uid="{00000000-0005-0000-0000-00000A0E0000}"/>
    <cellStyle name="연결된 셀 32" xfId="3483" xr:uid="{00000000-0005-0000-0000-00000B0E0000}"/>
    <cellStyle name="연결된 셀 33" xfId="3484" xr:uid="{00000000-0005-0000-0000-00000C0E0000}"/>
    <cellStyle name="연결된 셀 34" xfId="3485" xr:uid="{00000000-0005-0000-0000-00000D0E0000}"/>
    <cellStyle name="연결된 셀 35" xfId="3486" xr:uid="{00000000-0005-0000-0000-00000E0E0000}"/>
    <cellStyle name="연결된 셀 36" xfId="3487" xr:uid="{00000000-0005-0000-0000-00000F0E0000}"/>
    <cellStyle name="연결된 셀 37" xfId="3488" xr:uid="{00000000-0005-0000-0000-0000100E0000}"/>
    <cellStyle name="연결된 셀 38" xfId="3489" xr:uid="{00000000-0005-0000-0000-0000110E0000}"/>
    <cellStyle name="연결된 셀 39" xfId="3490" xr:uid="{00000000-0005-0000-0000-0000120E0000}"/>
    <cellStyle name="연결된 셀 4" xfId="3491" xr:uid="{00000000-0005-0000-0000-0000130E0000}"/>
    <cellStyle name="연결된 셀 40" xfId="3492" xr:uid="{00000000-0005-0000-0000-0000140E0000}"/>
    <cellStyle name="연결된 셀 41" xfId="3493" xr:uid="{00000000-0005-0000-0000-0000150E0000}"/>
    <cellStyle name="연결된 셀 42" xfId="3494" xr:uid="{00000000-0005-0000-0000-0000160E0000}"/>
    <cellStyle name="연결된 셀 43" xfId="3495" xr:uid="{00000000-0005-0000-0000-0000170E0000}"/>
    <cellStyle name="연결된 셀 44" xfId="3496" xr:uid="{00000000-0005-0000-0000-0000180E0000}"/>
    <cellStyle name="연결된 셀 45" xfId="3497" xr:uid="{00000000-0005-0000-0000-0000190E0000}"/>
    <cellStyle name="연결된 셀 46" xfId="3498" xr:uid="{00000000-0005-0000-0000-00001A0E0000}"/>
    <cellStyle name="연결된 셀 47" xfId="3499" xr:uid="{00000000-0005-0000-0000-00001B0E0000}"/>
    <cellStyle name="연결된 셀 48" xfId="3500" xr:uid="{00000000-0005-0000-0000-00001C0E0000}"/>
    <cellStyle name="연결된 셀 49" xfId="3501" xr:uid="{00000000-0005-0000-0000-00001D0E0000}"/>
    <cellStyle name="연결된 셀 5" xfId="3502" xr:uid="{00000000-0005-0000-0000-00001E0E0000}"/>
    <cellStyle name="연결된 셀 50" xfId="3503" xr:uid="{00000000-0005-0000-0000-00001F0E0000}"/>
    <cellStyle name="연결된 셀 51" xfId="3504" xr:uid="{00000000-0005-0000-0000-0000200E0000}"/>
    <cellStyle name="연결된 셀 52" xfId="3505" xr:uid="{00000000-0005-0000-0000-0000210E0000}"/>
    <cellStyle name="연결된 셀 53" xfId="3506" xr:uid="{00000000-0005-0000-0000-0000220E0000}"/>
    <cellStyle name="연결된 셀 54" xfId="3507" xr:uid="{00000000-0005-0000-0000-0000230E0000}"/>
    <cellStyle name="연결된 셀 55" xfId="3508" xr:uid="{00000000-0005-0000-0000-0000240E0000}"/>
    <cellStyle name="연결된 셀 56" xfId="3509" xr:uid="{00000000-0005-0000-0000-0000250E0000}"/>
    <cellStyle name="연결된 셀 57" xfId="3510" xr:uid="{00000000-0005-0000-0000-0000260E0000}"/>
    <cellStyle name="연결된 셀 58" xfId="3511" xr:uid="{00000000-0005-0000-0000-0000270E0000}"/>
    <cellStyle name="연결된 셀 59" xfId="3512" xr:uid="{00000000-0005-0000-0000-0000280E0000}"/>
    <cellStyle name="연결된 셀 6" xfId="3513" xr:uid="{00000000-0005-0000-0000-0000290E0000}"/>
    <cellStyle name="연결된 셀 60" xfId="3514" xr:uid="{00000000-0005-0000-0000-00002A0E0000}"/>
    <cellStyle name="연결된 셀 61" xfId="3515" xr:uid="{00000000-0005-0000-0000-00002B0E0000}"/>
    <cellStyle name="연결된 셀 62" xfId="3516" xr:uid="{00000000-0005-0000-0000-00002C0E0000}"/>
    <cellStyle name="연결된 셀 63" xfId="3517" xr:uid="{00000000-0005-0000-0000-00002D0E0000}"/>
    <cellStyle name="연결된 셀 64" xfId="3518" xr:uid="{00000000-0005-0000-0000-00002E0E0000}"/>
    <cellStyle name="연결된 셀 65" xfId="3519" xr:uid="{00000000-0005-0000-0000-00002F0E0000}"/>
    <cellStyle name="연결된 셀 66" xfId="3520" xr:uid="{00000000-0005-0000-0000-0000300E0000}"/>
    <cellStyle name="연결된 셀 67" xfId="3521" xr:uid="{00000000-0005-0000-0000-0000310E0000}"/>
    <cellStyle name="연결된 셀 68" xfId="3522" xr:uid="{00000000-0005-0000-0000-0000320E0000}"/>
    <cellStyle name="연결된 셀 69" xfId="3523" xr:uid="{00000000-0005-0000-0000-0000330E0000}"/>
    <cellStyle name="연결된 셀 7" xfId="3524" xr:uid="{00000000-0005-0000-0000-0000340E0000}"/>
    <cellStyle name="연결된 셀 70" xfId="3525" xr:uid="{00000000-0005-0000-0000-0000350E0000}"/>
    <cellStyle name="연결된 셀 71" xfId="3526" xr:uid="{00000000-0005-0000-0000-0000360E0000}"/>
    <cellStyle name="연결된 셀 72" xfId="3527" xr:uid="{00000000-0005-0000-0000-0000370E0000}"/>
    <cellStyle name="연결된 셀 73" xfId="3528" xr:uid="{00000000-0005-0000-0000-0000380E0000}"/>
    <cellStyle name="연결된 셀 74" xfId="3529" xr:uid="{00000000-0005-0000-0000-0000390E0000}"/>
    <cellStyle name="연결된 셀 75" xfId="3530" xr:uid="{00000000-0005-0000-0000-00003A0E0000}"/>
    <cellStyle name="연결된 셀 76" xfId="3531" xr:uid="{00000000-0005-0000-0000-00003B0E0000}"/>
    <cellStyle name="연결된 셀 77" xfId="3532" xr:uid="{00000000-0005-0000-0000-00003C0E0000}"/>
    <cellStyle name="연결된 셀 78" xfId="3533" xr:uid="{00000000-0005-0000-0000-00003D0E0000}"/>
    <cellStyle name="연결된 셀 79" xfId="3534" xr:uid="{00000000-0005-0000-0000-00003E0E0000}"/>
    <cellStyle name="연결된 셀 8" xfId="3535" xr:uid="{00000000-0005-0000-0000-00003F0E0000}"/>
    <cellStyle name="연결된 셀 80" xfId="3536" xr:uid="{00000000-0005-0000-0000-0000400E0000}"/>
    <cellStyle name="연결된 셀 81" xfId="3537" xr:uid="{00000000-0005-0000-0000-0000410E0000}"/>
    <cellStyle name="연결된 셀 82" xfId="3538" xr:uid="{00000000-0005-0000-0000-0000420E0000}"/>
    <cellStyle name="연결된 셀 83" xfId="3539" xr:uid="{00000000-0005-0000-0000-0000430E0000}"/>
    <cellStyle name="연결된 셀 84" xfId="3540" xr:uid="{00000000-0005-0000-0000-0000440E0000}"/>
    <cellStyle name="연결된 셀 85" xfId="3541" xr:uid="{00000000-0005-0000-0000-0000450E0000}"/>
    <cellStyle name="연결된 셀 86" xfId="3542" xr:uid="{00000000-0005-0000-0000-0000460E0000}"/>
    <cellStyle name="연결된 셀 87" xfId="3543" xr:uid="{00000000-0005-0000-0000-0000470E0000}"/>
    <cellStyle name="연결된 셀 88" xfId="3544" xr:uid="{00000000-0005-0000-0000-0000480E0000}"/>
    <cellStyle name="연결된 셀 89" xfId="3545" xr:uid="{00000000-0005-0000-0000-0000490E0000}"/>
    <cellStyle name="연결된 셀 9" xfId="3546" xr:uid="{00000000-0005-0000-0000-00004A0E0000}"/>
    <cellStyle name="연결된 셀 90" xfId="3547" xr:uid="{00000000-0005-0000-0000-00004B0E0000}"/>
    <cellStyle name="연결된 셀 91" xfId="3548" xr:uid="{00000000-0005-0000-0000-00004C0E0000}"/>
    <cellStyle name="연결된 셀 92" xfId="3549" xr:uid="{00000000-0005-0000-0000-00004D0E0000}"/>
    <cellStyle name="연결된 셀 93" xfId="3550" xr:uid="{00000000-0005-0000-0000-00004E0E0000}"/>
    <cellStyle name="연결된 셀 94" xfId="3551" xr:uid="{00000000-0005-0000-0000-00004F0E0000}"/>
    <cellStyle name="연결된 셀 95" xfId="3552" xr:uid="{00000000-0005-0000-0000-0000500E0000}"/>
    <cellStyle name="연결된 셀 96" xfId="3553" xr:uid="{00000000-0005-0000-0000-0000510E0000}"/>
    <cellStyle name="연결된 셀 97" xfId="3554" xr:uid="{00000000-0005-0000-0000-0000520E0000}"/>
    <cellStyle name="연결된 셀 98" xfId="3555" xr:uid="{00000000-0005-0000-0000-0000530E0000}"/>
    <cellStyle name="연결된 셀 99" xfId="3556" xr:uid="{00000000-0005-0000-0000-0000540E0000}"/>
    <cellStyle name="요약 10" xfId="3557" xr:uid="{00000000-0005-0000-0000-0000550E0000}"/>
    <cellStyle name="요약 100" xfId="3558" xr:uid="{00000000-0005-0000-0000-0000560E0000}"/>
    <cellStyle name="요약 101" xfId="3559" xr:uid="{00000000-0005-0000-0000-0000570E0000}"/>
    <cellStyle name="요약 102" xfId="3560" xr:uid="{00000000-0005-0000-0000-0000580E0000}"/>
    <cellStyle name="요약 103" xfId="3561" xr:uid="{00000000-0005-0000-0000-0000590E0000}"/>
    <cellStyle name="요약 104" xfId="3562" xr:uid="{00000000-0005-0000-0000-00005A0E0000}"/>
    <cellStyle name="요약 105" xfId="3563" xr:uid="{00000000-0005-0000-0000-00005B0E0000}"/>
    <cellStyle name="요약 106" xfId="3564" xr:uid="{00000000-0005-0000-0000-00005C0E0000}"/>
    <cellStyle name="요약 107" xfId="3565" xr:uid="{00000000-0005-0000-0000-00005D0E0000}"/>
    <cellStyle name="요약 11" xfId="3566" xr:uid="{00000000-0005-0000-0000-00005E0E0000}"/>
    <cellStyle name="요약 12" xfId="3567" xr:uid="{00000000-0005-0000-0000-00005F0E0000}"/>
    <cellStyle name="요약 13" xfId="3568" xr:uid="{00000000-0005-0000-0000-0000600E0000}"/>
    <cellStyle name="요약 14" xfId="3569" xr:uid="{00000000-0005-0000-0000-0000610E0000}"/>
    <cellStyle name="요약 15" xfId="3570" xr:uid="{00000000-0005-0000-0000-0000620E0000}"/>
    <cellStyle name="요약 16" xfId="3571" xr:uid="{00000000-0005-0000-0000-0000630E0000}"/>
    <cellStyle name="요약 17" xfId="3572" xr:uid="{00000000-0005-0000-0000-0000640E0000}"/>
    <cellStyle name="요약 18" xfId="3573" xr:uid="{00000000-0005-0000-0000-0000650E0000}"/>
    <cellStyle name="요약 19" xfId="3574" xr:uid="{00000000-0005-0000-0000-0000660E0000}"/>
    <cellStyle name="요약 2" xfId="3575" xr:uid="{00000000-0005-0000-0000-0000670E0000}"/>
    <cellStyle name="요약 20" xfId="3576" xr:uid="{00000000-0005-0000-0000-0000680E0000}"/>
    <cellStyle name="요약 21" xfId="3577" xr:uid="{00000000-0005-0000-0000-0000690E0000}"/>
    <cellStyle name="요약 22" xfId="3578" xr:uid="{00000000-0005-0000-0000-00006A0E0000}"/>
    <cellStyle name="요약 23" xfId="3579" xr:uid="{00000000-0005-0000-0000-00006B0E0000}"/>
    <cellStyle name="요약 24" xfId="3580" xr:uid="{00000000-0005-0000-0000-00006C0E0000}"/>
    <cellStyle name="요약 25" xfId="3581" xr:uid="{00000000-0005-0000-0000-00006D0E0000}"/>
    <cellStyle name="요약 26" xfId="3582" xr:uid="{00000000-0005-0000-0000-00006E0E0000}"/>
    <cellStyle name="요약 27" xfId="3583" xr:uid="{00000000-0005-0000-0000-00006F0E0000}"/>
    <cellStyle name="요약 28" xfId="3584" xr:uid="{00000000-0005-0000-0000-0000700E0000}"/>
    <cellStyle name="요약 29" xfId="3585" xr:uid="{00000000-0005-0000-0000-0000710E0000}"/>
    <cellStyle name="요약 3" xfId="3586" xr:uid="{00000000-0005-0000-0000-0000720E0000}"/>
    <cellStyle name="요약 30" xfId="3587" xr:uid="{00000000-0005-0000-0000-0000730E0000}"/>
    <cellStyle name="요약 31" xfId="3588" xr:uid="{00000000-0005-0000-0000-0000740E0000}"/>
    <cellStyle name="요약 32" xfId="3589" xr:uid="{00000000-0005-0000-0000-0000750E0000}"/>
    <cellStyle name="요약 33" xfId="3590" xr:uid="{00000000-0005-0000-0000-0000760E0000}"/>
    <cellStyle name="요약 34" xfId="3591" xr:uid="{00000000-0005-0000-0000-0000770E0000}"/>
    <cellStyle name="요약 35" xfId="3592" xr:uid="{00000000-0005-0000-0000-0000780E0000}"/>
    <cellStyle name="요약 36" xfId="3593" xr:uid="{00000000-0005-0000-0000-0000790E0000}"/>
    <cellStyle name="요약 37" xfId="3594" xr:uid="{00000000-0005-0000-0000-00007A0E0000}"/>
    <cellStyle name="요약 38" xfId="3595" xr:uid="{00000000-0005-0000-0000-00007B0E0000}"/>
    <cellStyle name="요약 39" xfId="3596" xr:uid="{00000000-0005-0000-0000-00007C0E0000}"/>
    <cellStyle name="요약 4" xfId="3597" xr:uid="{00000000-0005-0000-0000-00007D0E0000}"/>
    <cellStyle name="요약 40" xfId="3598" xr:uid="{00000000-0005-0000-0000-00007E0E0000}"/>
    <cellStyle name="요약 41" xfId="3599" xr:uid="{00000000-0005-0000-0000-00007F0E0000}"/>
    <cellStyle name="요약 42" xfId="3600" xr:uid="{00000000-0005-0000-0000-0000800E0000}"/>
    <cellStyle name="요약 43" xfId="3601" xr:uid="{00000000-0005-0000-0000-0000810E0000}"/>
    <cellStyle name="요약 44" xfId="3602" xr:uid="{00000000-0005-0000-0000-0000820E0000}"/>
    <cellStyle name="요약 45" xfId="3603" xr:uid="{00000000-0005-0000-0000-0000830E0000}"/>
    <cellStyle name="요약 46" xfId="3604" xr:uid="{00000000-0005-0000-0000-0000840E0000}"/>
    <cellStyle name="요약 47" xfId="3605" xr:uid="{00000000-0005-0000-0000-0000850E0000}"/>
    <cellStyle name="요약 48" xfId="3606" xr:uid="{00000000-0005-0000-0000-0000860E0000}"/>
    <cellStyle name="요약 49" xfId="3607" xr:uid="{00000000-0005-0000-0000-0000870E0000}"/>
    <cellStyle name="요약 5" xfId="3608" xr:uid="{00000000-0005-0000-0000-0000880E0000}"/>
    <cellStyle name="요약 50" xfId="3609" xr:uid="{00000000-0005-0000-0000-0000890E0000}"/>
    <cellStyle name="요약 51" xfId="3610" xr:uid="{00000000-0005-0000-0000-00008A0E0000}"/>
    <cellStyle name="요약 52" xfId="3611" xr:uid="{00000000-0005-0000-0000-00008B0E0000}"/>
    <cellStyle name="요약 53" xfId="3612" xr:uid="{00000000-0005-0000-0000-00008C0E0000}"/>
    <cellStyle name="요약 54" xfId="3613" xr:uid="{00000000-0005-0000-0000-00008D0E0000}"/>
    <cellStyle name="요약 55" xfId="3614" xr:uid="{00000000-0005-0000-0000-00008E0E0000}"/>
    <cellStyle name="요약 56" xfId="3615" xr:uid="{00000000-0005-0000-0000-00008F0E0000}"/>
    <cellStyle name="요약 57" xfId="3616" xr:uid="{00000000-0005-0000-0000-0000900E0000}"/>
    <cellStyle name="요약 58" xfId="3617" xr:uid="{00000000-0005-0000-0000-0000910E0000}"/>
    <cellStyle name="요약 59" xfId="3618" xr:uid="{00000000-0005-0000-0000-0000920E0000}"/>
    <cellStyle name="요약 6" xfId="3619" xr:uid="{00000000-0005-0000-0000-0000930E0000}"/>
    <cellStyle name="요약 60" xfId="3620" xr:uid="{00000000-0005-0000-0000-0000940E0000}"/>
    <cellStyle name="요약 61" xfId="3621" xr:uid="{00000000-0005-0000-0000-0000950E0000}"/>
    <cellStyle name="요약 62" xfId="3622" xr:uid="{00000000-0005-0000-0000-0000960E0000}"/>
    <cellStyle name="요약 63" xfId="3623" xr:uid="{00000000-0005-0000-0000-0000970E0000}"/>
    <cellStyle name="요약 64" xfId="3624" xr:uid="{00000000-0005-0000-0000-0000980E0000}"/>
    <cellStyle name="요약 65" xfId="3625" xr:uid="{00000000-0005-0000-0000-0000990E0000}"/>
    <cellStyle name="요약 66" xfId="3626" xr:uid="{00000000-0005-0000-0000-00009A0E0000}"/>
    <cellStyle name="요약 67" xfId="3627" xr:uid="{00000000-0005-0000-0000-00009B0E0000}"/>
    <cellStyle name="요약 68" xfId="3628" xr:uid="{00000000-0005-0000-0000-00009C0E0000}"/>
    <cellStyle name="요약 69" xfId="3629" xr:uid="{00000000-0005-0000-0000-00009D0E0000}"/>
    <cellStyle name="요약 7" xfId="3630" xr:uid="{00000000-0005-0000-0000-00009E0E0000}"/>
    <cellStyle name="요약 70" xfId="3631" xr:uid="{00000000-0005-0000-0000-00009F0E0000}"/>
    <cellStyle name="요약 71" xfId="3632" xr:uid="{00000000-0005-0000-0000-0000A00E0000}"/>
    <cellStyle name="요약 72" xfId="3633" xr:uid="{00000000-0005-0000-0000-0000A10E0000}"/>
    <cellStyle name="요약 73" xfId="3634" xr:uid="{00000000-0005-0000-0000-0000A20E0000}"/>
    <cellStyle name="요약 74" xfId="3635" xr:uid="{00000000-0005-0000-0000-0000A30E0000}"/>
    <cellStyle name="요약 75" xfId="3636" xr:uid="{00000000-0005-0000-0000-0000A40E0000}"/>
    <cellStyle name="요약 76" xfId="3637" xr:uid="{00000000-0005-0000-0000-0000A50E0000}"/>
    <cellStyle name="요약 77" xfId="3638" xr:uid="{00000000-0005-0000-0000-0000A60E0000}"/>
    <cellStyle name="요약 78" xfId="3639" xr:uid="{00000000-0005-0000-0000-0000A70E0000}"/>
    <cellStyle name="요약 79" xfId="3640" xr:uid="{00000000-0005-0000-0000-0000A80E0000}"/>
    <cellStyle name="요약 8" xfId="3641" xr:uid="{00000000-0005-0000-0000-0000A90E0000}"/>
    <cellStyle name="요약 80" xfId="3642" xr:uid="{00000000-0005-0000-0000-0000AA0E0000}"/>
    <cellStyle name="요약 81" xfId="3643" xr:uid="{00000000-0005-0000-0000-0000AB0E0000}"/>
    <cellStyle name="요약 82" xfId="3644" xr:uid="{00000000-0005-0000-0000-0000AC0E0000}"/>
    <cellStyle name="요약 83" xfId="3645" xr:uid="{00000000-0005-0000-0000-0000AD0E0000}"/>
    <cellStyle name="요약 84" xfId="3646" xr:uid="{00000000-0005-0000-0000-0000AE0E0000}"/>
    <cellStyle name="요약 85" xfId="3647" xr:uid="{00000000-0005-0000-0000-0000AF0E0000}"/>
    <cellStyle name="요약 86" xfId="3648" xr:uid="{00000000-0005-0000-0000-0000B00E0000}"/>
    <cellStyle name="요약 87" xfId="3649" xr:uid="{00000000-0005-0000-0000-0000B10E0000}"/>
    <cellStyle name="요약 88" xfId="3650" xr:uid="{00000000-0005-0000-0000-0000B20E0000}"/>
    <cellStyle name="요약 89" xfId="3651" xr:uid="{00000000-0005-0000-0000-0000B30E0000}"/>
    <cellStyle name="요약 9" xfId="3652" xr:uid="{00000000-0005-0000-0000-0000B40E0000}"/>
    <cellStyle name="요약 90" xfId="3653" xr:uid="{00000000-0005-0000-0000-0000B50E0000}"/>
    <cellStyle name="요약 91" xfId="3654" xr:uid="{00000000-0005-0000-0000-0000B60E0000}"/>
    <cellStyle name="요약 92" xfId="3655" xr:uid="{00000000-0005-0000-0000-0000B70E0000}"/>
    <cellStyle name="요약 93" xfId="3656" xr:uid="{00000000-0005-0000-0000-0000B80E0000}"/>
    <cellStyle name="요약 94" xfId="3657" xr:uid="{00000000-0005-0000-0000-0000B90E0000}"/>
    <cellStyle name="요약 95" xfId="3658" xr:uid="{00000000-0005-0000-0000-0000BA0E0000}"/>
    <cellStyle name="요약 96" xfId="3659" xr:uid="{00000000-0005-0000-0000-0000BB0E0000}"/>
    <cellStyle name="요약 97" xfId="3660" xr:uid="{00000000-0005-0000-0000-0000BC0E0000}"/>
    <cellStyle name="요약 98" xfId="3661" xr:uid="{00000000-0005-0000-0000-0000BD0E0000}"/>
    <cellStyle name="요약 99" xfId="3662" xr:uid="{00000000-0005-0000-0000-0000BE0E0000}"/>
    <cellStyle name="입력 10" xfId="3663" xr:uid="{00000000-0005-0000-0000-0000BF0E0000}"/>
    <cellStyle name="입력 100" xfId="3664" xr:uid="{00000000-0005-0000-0000-0000C00E0000}"/>
    <cellStyle name="입력 101" xfId="3665" xr:uid="{00000000-0005-0000-0000-0000C10E0000}"/>
    <cellStyle name="입력 102" xfId="3666" xr:uid="{00000000-0005-0000-0000-0000C20E0000}"/>
    <cellStyle name="입력 103" xfId="3667" xr:uid="{00000000-0005-0000-0000-0000C30E0000}"/>
    <cellStyle name="입력 104" xfId="3668" xr:uid="{00000000-0005-0000-0000-0000C40E0000}"/>
    <cellStyle name="입력 105" xfId="3669" xr:uid="{00000000-0005-0000-0000-0000C50E0000}"/>
    <cellStyle name="입력 106" xfId="3670" xr:uid="{00000000-0005-0000-0000-0000C60E0000}"/>
    <cellStyle name="입력 107" xfId="3671" xr:uid="{00000000-0005-0000-0000-0000C70E0000}"/>
    <cellStyle name="입력 11" xfId="3672" xr:uid="{00000000-0005-0000-0000-0000C80E0000}"/>
    <cellStyle name="입력 12" xfId="3673" xr:uid="{00000000-0005-0000-0000-0000C90E0000}"/>
    <cellStyle name="입력 13" xfId="3674" xr:uid="{00000000-0005-0000-0000-0000CA0E0000}"/>
    <cellStyle name="입력 14" xfId="3675" xr:uid="{00000000-0005-0000-0000-0000CB0E0000}"/>
    <cellStyle name="입력 15" xfId="3676" xr:uid="{00000000-0005-0000-0000-0000CC0E0000}"/>
    <cellStyle name="입력 16" xfId="3677" xr:uid="{00000000-0005-0000-0000-0000CD0E0000}"/>
    <cellStyle name="입력 17" xfId="3678" xr:uid="{00000000-0005-0000-0000-0000CE0E0000}"/>
    <cellStyle name="입력 18" xfId="3679" xr:uid="{00000000-0005-0000-0000-0000CF0E0000}"/>
    <cellStyle name="입력 19" xfId="3680" xr:uid="{00000000-0005-0000-0000-0000D00E0000}"/>
    <cellStyle name="입력 2" xfId="3681" xr:uid="{00000000-0005-0000-0000-0000D10E0000}"/>
    <cellStyle name="입력 20" xfId="3682" xr:uid="{00000000-0005-0000-0000-0000D20E0000}"/>
    <cellStyle name="입력 21" xfId="3683" xr:uid="{00000000-0005-0000-0000-0000D30E0000}"/>
    <cellStyle name="입력 22" xfId="3684" xr:uid="{00000000-0005-0000-0000-0000D40E0000}"/>
    <cellStyle name="입력 23" xfId="3685" xr:uid="{00000000-0005-0000-0000-0000D50E0000}"/>
    <cellStyle name="입력 24" xfId="3686" xr:uid="{00000000-0005-0000-0000-0000D60E0000}"/>
    <cellStyle name="입력 25" xfId="3687" xr:uid="{00000000-0005-0000-0000-0000D70E0000}"/>
    <cellStyle name="입력 26" xfId="3688" xr:uid="{00000000-0005-0000-0000-0000D80E0000}"/>
    <cellStyle name="입력 27" xfId="3689" xr:uid="{00000000-0005-0000-0000-0000D90E0000}"/>
    <cellStyle name="입력 28" xfId="3690" xr:uid="{00000000-0005-0000-0000-0000DA0E0000}"/>
    <cellStyle name="입력 29" xfId="3691" xr:uid="{00000000-0005-0000-0000-0000DB0E0000}"/>
    <cellStyle name="입력 3" xfId="3692" xr:uid="{00000000-0005-0000-0000-0000DC0E0000}"/>
    <cellStyle name="입력 30" xfId="3693" xr:uid="{00000000-0005-0000-0000-0000DD0E0000}"/>
    <cellStyle name="입력 31" xfId="3694" xr:uid="{00000000-0005-0000-0000-0000DE0E0000}"/>
    <cellStyle name="입력 32" xfId="3695" xr:uid="{00000000-0005-0000-0000-0000DF0E0000}"/>
    <cellStyle name="입력 33" xfId="3696" xr:uid="{00000000-0005-0000-0000-0000E00E0000}"/>
    <cellStyle name="입력 34" xfId="3697" xr:uid="{00000000-0005-0000-0000-0000E10E0000}"/>
    <cellStyle name="입력 35" xfId="3698" xr:uid="{00000000-0005-0000-0000-0000E20E0000}"/>
    <cellStyle name="입력 36" xfId="3699" xr:uid="{00000000-0005-0000-0000-0000E30E0000}"/>
    <cellStyle name="입력 37" xfId="3700" xr:uid="{00000000-0005-0000-0000-0000E40E0000}"/>
    <cellStyle name="입력 38" xfId="3701" xr:uid="{00000000-0005-0000-0000-0000E50E0000}"/>
    <cellStyle name="입력 39" xfId="3702" xr:uid="{00000000-0005-0000-0000-0000E60E0000}"/>
    <cellStyle name="입력 4" xfId="3703" xr:uid="{00000000-0005-0000-0000-0000E70E0000}"/>
    <cellStyle name="입력 40" xfId="3704" xr:uid="{00000000-0005-0000-0000-0000E80E0000}"/>
    <cellStyle name="입력 41" xfId="3705" xr:uid="{00000000-0005-0000-0000-0000E90E0000}"/>
    <cellStyle name="입력 42" xfId="3706" xr:uid="{00000000-0005-0000-0000-0000EA0E0000}"/>
    <cellStyle name="입력 43" xfId="3707" xr:uid="{00000000-0005-0000-0000-0000EB0E0000}"/>
    <cellStyle name="입력 44" xfId="3708" xr:uid="{00000000-0005-0000-0000-0000EC0E0000}"/>
    <cellStyle name="입력 45" xfId="3709" xr:uid="{00000000-0005-0000-0000-0000ED0E0000}"/>
    <cellStyle name="입력 46" xfId="3710" xr:uid="{00000000-0005-0000-0000-0000EE0E0000}"/>
    <cellStyle name="입력 47" xfId="3711" xr:uid="{00000000-0005-0000-0000-0000EF0E0000}"/>
    <cellStyle name="입력 48" xfId="3712" xr:uid="{00000000-0005-0000-0000-0000F00E0000}"/>
    <cellStyle name="입력 49" xfId="3713" xr:uid="{00000000-0005-0000-0000-0000F10E0000}"/>
    <cellStyle name="입력 5" xfId="3714" xr:uid="{00000000-0005-0000-0000-0000F20E0000}"/>
    <cellStyle name="입력 50" xfId="3715" xr:uid="{00000000-0005-0000-0000-0000F30E0000}"/>
    <cellStyle name="입력 51" xfId="3716" xr:uid="{00000000-0005-0000-0000-0000F40E0000}"/>
    <cellStyle name="입력 52" xfId="3717" xr:uid="{00000000-0005-0000-0000-0000F50E0000}"/>
    <cellStyle name="입력 53" xfId="3718" xr:uid="{00000000-0005-0000-0000-0000F60E0000}"/>
    <cellStyle name="입력 54" xfId="3719" xr:uid="{00000000-0005-0000-0000-0000F70E0000}"/>
    <cellStyle name="입력 55" xfId="3720" xr:uid="{00000000-0005-0000-0000-0000F80E0000}"/>
    <cellStyle name="입력 56" xfId="3721" xr:uid="{00000000-0005-0000-0000-0000F90E0000}"/>
    <cellStyle name="입력 57" xfId="3722" xr:uid="{00000000-0005-0000-0000-0000FA0E0000}"/>
    <cellStyle name="입력 58" xfId="3723" xr:uid="{00000000-0005-0000-0000-0000FB0E0000}"/>
    <cellStyle name="입력 59" xfId="3724" xr:uid="{00000000-0005-0000-0000-0000FC0E0000}"/>
    <cellStyle name="입력 6" xfId="3725" xr:uid="{00000000-0005-0000-0000-0000FD0E0000}"/>
    <cellStyle name="입력 60" xfId="3726" xr:uid="{00000000-0005-0000-0000-0000FE0E0000}"/>
    <cellStyle name="입력 61" xfId="3727" xr:uid="{00000000-0005-0000-0000-0000FF0E0000}"/>
    <cellStyle name="입력 62" xfId="3728" xr:uid="{00000000-0005-0000-0000-0000000F0000}"/>
    <cellStyle name="입력 63" xfId="3729" xr:uid="{00000000-0005-0000-0000-0000010F0000}"/>
    <cellStyle name="입력 64" xfId="3730" xr:uid="{00000000-0005-0000-0000-0000020F0000}"/>
    <cellStyle name="입력 65" xfId="3731" xr:uid="{00000000-0005-0000-0000-0000030F0000}"/>
    <cellStyle name="입력 66" xfId="3732" xr:uid="{00000000-0005-0000-0000-0000040F0000}"/>
    <cellStyle name="입력 67" xfId="3733" xr:uid="{00000000-0005-0000-0000-0000050F0000}"/>
    <cellStyle name="입력 68" xfId="3734" xr:uid="{00000000-0005-0000-0000-0000060F0000}"/>
    <cellStyle name="입력 69" xfId="3735" xr:uid="{00000000-0005-0000-0000-0000070F0000}"/>
    <cellStyle name="입력 7" xfId="3736" xr:uid="{00000000-0005-0000-0000-0000080F0000}"/>
    <cellStyle name="입력 70" xfId="3737" xr:uid="{00000000-0005-0000-0000-0000090F0000}"/>
    <cellStyle name="입력 71" xfId="3738" xr:uid="{00000000-0005-0000-0000-00000A0F0000}"/>
    <cellStyle name="입력 72" xfId="3739" xr:uid="{00000000-0005-0000-0000-00000B0F0000}"/>
    <cellStyle name="입력 73" xfId="3740" xr:uid="{00000000-0005-0000-0000-00000C0F0000}"/>
    <cellStyle name="입력 74" xfId="3741" xr:uid="{00000000-0005-0000-0000-00000D0F0000}"/>
    <cellStyle name="입력 75" xfId="3742" xr:uid="{00000000-0005-0000-0000-00000E0F0000}"/>
    <cellStyle name="입력 76" xfId="3743" xr:uid="{00000000-0005-0000-0000-00000F0F0000}"/>
    <cellStyle name="입력 77" xfId="3744" xr:uid="{00000000-0005-0000-0000-0000100F0000}"/>
    <cellStyle name="입력 78" xfId="3745" xr:uid="{00000000-0005-0000-0000-0000110F0000}"/>
    <cellStyle name="입력 79" xfId="3746" xr:uid="{00000000-0005-0000-0000-0000120F0000}"/>
    <cellStyle name="입력 8" xfId="3747" xr:uid="{00000000-0005-0000-0000-0000130F0000}"/>
    <cellStyle name="입력 80" xfId="3748" xr:uid="{00000000-0005-0000-0000-0000140F0000}"/>
    <cellStyle name="입력 81" xfId="3749" xr:uid="{00000000-0005-0000-0000-0000150F0000}"/>
    <cellStyle name="입력 82" xfId="3750" xr:uid="{00000000-0005-0000-0000-0000160F0000}"/>
    <cellStyle name="입력 83" xfId="3751" xr:uid="{00000000-0005-0000-0000-0000170F0000}"/>
    <cellStyle name="입력 84" xfId="3752" xr:uid="{00000000-0005-0000-0000-0000180F0000}"/>
    <cellStyle name="입력 85" xfId="3753" xr:uid="{00000000-0005-0000-0000-0000190F0000}"/>
    <cellStyle name="입력 86" xfId="3754" xr:uid="{00000000-0005-0000-0000-00001A0F0000}"/>
    <cellStyle name="입력 87" xfId="3755" xr:uid="{00000000-0005-0000-0000-00001B0F0000}"/>
    <cellStyle name="입력 88" xfId="3756" xr:uid="{00000000-0005-0000-0000-00001C0F0000}"/>
    <cellStyle name="입력 89" xfId="3757" xr:uid="{00000000-0005-0000-0000-00001D0F0000}"/>
    <cellStyle name="입력 9" xfId="3758" xr:uid="{00000000-0005-0000-0000-00001E0F0000}"/>
    <cellStyle name="입력 90" xfId="3759" xr:uid="{00000000-0005-0000-0000-00001F0F0000}"/>
    <cellStyle name="입력 91" xfId="3760" xr:uid="{00000000-0005-0000-0000-0000200F0000}"/>
    <cellStyle name="입력 92" xfId="3761" xr:uid="{00000000-0005-0000-0000-0000210F0000}"/>
    <cellStyle name="입력 93" xfId="3762" xr:uid="{00000000-0005-0000-0000-0000220F0000}"/>
    <cellStyle name="입력 94" xfId="3763" xr:uid="{00000000-0005-0000-0000-0000230F0000}"/>
    <cellStyle name="입력 95" xfId="3764" xr:uid="{00000000-0005-0000-0000-0000240F0000}"/>
    <cellStyle name="입력 96" xfId="3765" xr:uid="{00000000-0005-0000-0000-0000250F0000}"/>
    <cellStyle name="입력 97" xfId="3766" xr:uid="{00000000-0005-0000-0000-0000260F0000}"/>
    <cellStyle name="입력 98" xfId="3767" xr:uid="{00000000-0005-0000-0000-0000270F0000}"/>
    <cellStyle name="입력 99" xfId="3768" xr:uid="{00000000-0005-0000-0000-0000280F0000}"/>
    <cellStyle name="제목 1 10" xfId="3769" xr:uid="{00000000-0005-0000-0000-0000290F0000}"/>
    <cellStyle name="제목 1 100" xfId="3770" xr:uid="{00000000-0005-0000-0000-00002A0F0000}"/>
    <cellStyle name="제목 1 101" xfId="3771" xr:uid="{00000000-0005-0000-0000-00002B0F0000}"/>
    <cellStyle name="제목 1 102" xfId="3772" xr:uid="{00000000-0005-0000-0000-00002C0F0000}"/>
    <cellStyle name="제목 1 103" xfId="3773" xr:uid="{00000000-0005-0000-0000-00002D0F0000}"/>
    <cellStyle name="제목 1 104" xfId="3774" xr:uid="{00000000-0005-0000-0000-00002E0F0000}"/>
    <cellStyle name="제목 1 105" xfId="3775" xr:uid="{00000000-0005-0000-0000-00002F0F0000}"/>
    <cellStyle name="제목 1 106" xfId="3776" xr:uid="{00000000-0005-0000-0000-0000300F0000}"/>
    <cellStyle name="제목 1 107" xfId="3777" xr:uid="{00000000-0005-0000-0000-0000310F0000}"/>
    <cellStyle name="제목 1 11" xfId="3778" xr:uid="{00000000-0005-0000-0000-0000320F0000}"/>
    <cellStyle name="제목 1 12" xfId="3779" xr:uid="{00000000-0005-0000-0000-0000330F0000}"/>
    <cellStyle name="제목 1 13" xfId="3780" xr:uid="{00000000-0005-0000-0000-0000340F0000}"/>
    <cellStyle name="제목 1 14" xfId="3781" xr:uid="{00000000-0005-0000-0000-0000350F0000}"/>
    <cellStyle name="제목 1 15" xfId="3782" xr:uid="{00000000-0005-0000-0000-0000360F0000}"/>
    <cellStyle name="제목 1 16" xfId="3783" xr:uid="{00000000-0005-0000-0000-0000370F0000}"/>
    <cellStyle name="제목 1 17" xfId="3784" xr:uid="{00000000-0005-0000-0000-0000380F0000}"/>
    <cellStyle name="제목 1 18" xfId="3785" xr:uid="{00000000-0005-0000-0000-0000390F0000}"/>
    <cellStyle name="제목 1 19" xfId="3786" xr:uid="{00000000-0005-0000-0000-00003A0F0000}"/>
    <cellStyle name="제목 1 2" xfId="3787" xr:uid="{00000000-0005-0000-0000-00003B0F0000}"/>
    <cellStyle name="제목 1 20" xfId="3788" xr:uid="{00000000-0005-0000-0000-00003C0F0000}"/>
    <cellStyle name="제목 1 21" xfId="3789" xr:uid="{00000000-0005-0000-0000-00003D0F0000}"/>
    <cellStyle name="제목 1 22" xfId="3790" xr:uid="{00000000-0005-0000-0000-00003E0F0000}"/>
    <cellStyle name="제목 1 23" xfId="3791" xr:uid="{00000000-0005-0000-0000-00003F0F0000}"/>
    <cellStyle name="제목 1 24" xfId="3792" xr:uid="{00000000-0005-0000-0000-0000400F0000}"/>
    <cellStyle name="제목 1 25" xfId="3793" xr:uid="{00000000-0005-0000-0000-0000410F0000}"/>
    <cellStyle name="제목 1 26" xfId="3794" xr:uid="{00000000-0005-0000-0000-0000420F0000}"/>
    <cellStyle name="제목 1 27" xfId="3795" xr:uid="{00000000-0005-0000-0000-0000430F0000}"/>
    <cellStyle name="제목 1 28" xfId="3796" xr:uid="{00000000-0005-0000-0000-0000440F0000}"/>
    <cellStyle name="제목 1 29" xfId="3797" xr:uid="{00000000-0005-0000-0000-0000450F0000}"/>
    <cellStyle name="제목 1 3" xfId="3798" xr:uid="{00000000-0005-0000-0000-0000460F0000}"/>
    <cellStyle name="제목 1 30" xfId="3799" xr:uid="{00000000-0005-0000-0000-0000470F0000}"/>
    <cellStyle name="제목 1 31" xfId="3800" xr:uid="{00000000-0005-0000-0000-0000480F0000}"/>
    <cellStyle name="제목 1 32" xfId="3801" xr:uid="{00000000-0005-0000-0000-0000490F0000}"/>
    <cellStyle name="제목 1 33" xfId="3802" xr:uid="{00000000-0005-0000-0000-00004A0F0000}"/>
    <cellStyle name="제목 1 34" xfId="3803" xr:uid="{00000000-0005-0000-0000-00004B0F0000}"/>
    <cellStyle name="제목 1 35" xfId="3804" xr:uid="{00000000-0005-0000-0000-00004C0F0000}"/>
    <cellStyle name="제목 1 36" xfId="3805" xr:uid="{00000000-0005-0000-0000-00004D0F0000}"/>
    <cellStyle name="제목 1 37" xfId="3806" xr:uid="{00000000-0005-0000-0000-00004E0F0000}"/>
    <cellStyle name="제목 1 38" xfId="3807" xr:uid="{00000000-0005-0000-0000-00004F0F0000}"/>
    <cellStyle name="제목 1 39" xfId="3808" xr:uid="{00000000-0005-0000-0000-0000500F0000}"/>
    <cellStyle name="제목 1 4" xfId="3809" xr:uid="{00000000-0005-0000-0000-0000510F0000}"/>
    <cellStyle name="제목 1 40" xfId="3810" xr:uid="{00000000-0005-0000-0000-0000520F0000}"/>
    <cellStyle name="제목 1 41" xfId="3811" xr:uid="{00000000-0005-0000-0000-0000530F0000}"/>
    <cellStyle name="제목 1 42" xfId="3812" xr:uid="{00000000-0005-0000-0000-0000540F0000}"/>
    <cellStyle name="제목 1 43" xfId="3813" xr:uid="{00000000-0005-0000-0000-0000550F0000}"/>
    <cellStyle name="제목 1 44" xfId="3814" xr:uid="{00000000-0005-0000-0000-0000560F0000}"/>
    <cellStyle name="제목 1 45" xfId="3815" xr:uid="{00000000-0005-0000-0000-0000570F0000}"/>
    <cellStyle name="제목 1 46" xfId="3816" xr:uid="{00000000-0005-0000-0000-0000580F0000}"/>
    <cellStyle name="제목 1 47" xfId="3817" xr:uid="{00000000-0005-0000-0000-0000590F0000}"/>
    <cellStyle name="제목 1 48" xfId="3818" xr:uid="{00000000-0005-0000-0000-00005A0F0000}"/>
    <cellStyle name="제목 1 49" xfId="3819" xr:uid="{00000000-0005-0000-0000-00005B0F0000}"/>
    <cellStyle name="제목 1 5" xfId="3820" xr:uid="{00000000-0005-0000-0000-00005C0F0000}"/>
    <cellStyle name="제목 1 50" xfId="3821" xr:uid="{00000000-0005-0000-0000-00005D0F0000}"/>
    <cellStyle name="제목 1 51" xfId="3822" xr:uid="{00000000-0005-0000-0000-00005E0F0000}"/>
    <cellStyle name="제목 1 52" xfId="3823" xr:uid="{00000000-0005-0000-0000-00005F0F0000}"/>
    <cellStyle name="제목 1 53" xfId="3824" xr:uid="{00000000-0005-0000-0000-0000600F0000}"/>
    <cellStyle name="제목 1 54" xfId="3825" xr:uid="{00000000-0005-0000-0000-0000610F0000}"/>
    <cellStyle name="제목 1 55" xfId="3826" xr:uid="{00000000-0005-0000-0000-0000620F0000}"/>
    <cellStyle name="제목 1 56" xfId="3827" xr:uid="{00000000-0005-0000-0000-0000630F0000}"/>
    <cellStyle name="제목 1 57" xfId="3828" xr:uid="{00000000-0005-0000-0000-0000640F0000}"/>
    <cellStyle name="제목 1 58" xfId="3829" xr:uid="{00000000-0005-0000-0000-0000650F0000}"/>
    <cellStyle name="제목 1 59" xfId="3830" xr:uid="{00000000-0005-0000-0000-0000660F0000}"/>
    <cellStyle name="제목 1 6" xfId="3831" xr:uid="{00000000-0005-0000-0000-0000670F0000}"/>
    <cellStyle name="제목 1 60" xfId="3832" xr:uid="{00000000-0005-0000-0000-0000680F0000}"/>
    <cellStyle name="제목 1 61" xfId="3833" xr:uid="{00000000-0005-0000-0000-0000690F0000}"/>
    <cellStyle name="제목 1 62" xfId="3834" xr:uid="{00000000-0005-0000-0000-00006A0F0000}"/>
    <cellStyle name="제목 1 63" xfId="3835" xr:uid="{00000000-0005-0000-0000-00006B0F0000}"/>
    <cellStyle name="제목 1 64" xfId="3836" xr:uid="{00000000-0005-0000-0000-00006C0F0000}"/>
    <cellStyle name="제목 1 65" xfId="3837" xr:uid="{00000000-0005-0000-0000-00006D0F0000}"/>
    <cellStyle name="제목 1 66" xfId="3838" xr:uid="{00000000-0005-0000-0000-00006E0F0000}"/>
    <cellStyle name="제목 1 67" xfId="3839" xr:uid="{00000000-0005-0000-0000-00006F0F0000}"/>
    <cellStyle name="제목 1 68" xfId="3840" xr:uid="{00000000-0005-0000-0000-0000700F0000}"/>
    <cellStyle name="제목 1 69" xfId="3841" xr:uid="{00000000-0005-0000-0000-0000710F0000}"/>
    <cellStyle name="제목 1 7" xfId="3842" xr:uid="{00000000-0005-0000-0000-0000720F0000}"/>
    <cellStyle name="제목 1 70" xfId="3843" xr:uid="{00000000-0005-0000-0000-0000730F0000}"/>
    <cellStyle name="제목 1 71" xfId="3844" xr:uid="{00000000-0005-0000-0000-0000740F0000}"/>
    <cellStyle name="제목 1 72" xfId="3845" xr:uid="{00000000-0005-0000-0000-0000750F0000}"/>
    <cellStyle name="제목 1 73" xfId="3846" xr:uid="{00000000-0005-0000-0000-0000760F0000}"/>
    <cellStyle name="제목 1 74" xfId="3847" xr:uid="{00000000-0005-0000-0000-0000770F0000}"/>
    <cellStyle name="제목 1 75" xfId="3848" xr:uid="{00000000-0005-0000-0000-0000780F0000}"/>
    <cellStyle name="제목 1 76" xfId="3849" xr:uid="{00000000-0005-0000-0000-0000790F0000}"/>
    <cellStyle name="제목 1 77" xfId="3850" xr:uid="{00000000-0005-0000-0000-00007A0F0000}"/>
    <cellStyle name="제목 1 78" xfId="3851" xr:uid="{00000000-0005-0000-0000-00007B0F0000}"/>
    <cellStyle name="제목 1 79" xfId="3852" xr:uid="{00000000-0005-0000-0000-00007C0F0000}"/>
    <cellStyle name="제목 1 8" xfId="3853" xr:uid="{00000000-0005-0000-0000-00007D0F0000}"/>
    <cellStyle name="제목 1 80" xfId="3854" xr:uid="{00000000-0005-0000-0000-00007E0F0000}"/>
    <cellStyle name="제목 1 81" xfId="3855" xr:uid="{00000000-0005-0000-0000-00007F0F0000}"/>
    <cellStyle name="제목 1 82" xfId="3856" xr:uid="{00000000-0005-0000-0000-0000800F0000}"/>
    <cellStyle name="제목 1 83" xfId="3857" xr:uid="{00000000-0005-0000-0000-0000810F0000}"/>
    <cellStyle name="제목 1 84" xfId="3858" xr:uid="{00000000-0005-0000-0000-0000820F0000}"/>
    <cellStyle name="제목 1 85" xfId="3859" xr:uid="{00000000-0005-0000-0000-0000830F0000}"/>
    <cellStyle name="제목 1 86" xfId="3860" xr:uid="{00000000-0005-0000-0000-0000840F0000}"/>
    <cellStyle name="제목 1 87" xfId="3861" xr:uid="{00000000-0005-0000-0000-0000850F0000}"/>
    <cellStyle name="제목 1 88" xfId="3862" xr:uid="{00000000-0005-0000-0000-0000860F0000}"/>
    <cellStyle name="제목 1 89" xfId="3863" xr:uid="{00000000-0005-0000-0000-0000870F0000}"/>
    <cellStyle name="제목 1 9" xfId="3864" xr:uid="{00000000-0005-0000-0000-0000880F0000}"/>
    <cellStyle name="제목 1 90" xfId="3865" xr:uid="{00000000-0005-0000-0000-0000890F0000}"/>
    <cellStyle name="제목 1 91" xfId="3866" xr:uid="{00000000-0005-0000-0000-00008A0F0000}"/>
    <cellStyle name="제목 1 92" xfId="3867" xr:uid="{00000000-0005-0000-0000-00008B0F0000}"/>
    <cellStyle name="제목 1 93" xfId="3868" xr:uid="{00000000-0005-0000-0000-00008C0F0000}"/>
    <cellStyle name="제목 1 94" xfId="3869" xr:uid="{00000000-0005-0000-0000-00008D0F0000}"/>
    <cellStyle name="제목 1 95" xfId="3870" xr:uid="{00000000-0005-0000-0000-00008E0F0000}"/>
    <cellStyle name="제목 1 96" xfId="3871" xr:uid="{00000000-0005-0000-0000-00008F0F0000}"/>
    <cellStyle name="제목 1 97" xfId="3872" xr:uid="{00000000-0005-0000-0000-0000900F0000}"/>
    <cellStyle name="제목 1 98" xfId="3873" xr:uid="{00000000-0005-0000-0000-0000910F0000}"/>
    <cellStyle name="제목 1 99" xfId="3874" xr:uid="{00000000-0005-0000-0000-0000920F0000}"/>
    <cellStyle name="제목 10" xfId="3875" xr:uid="{00000000-0005-0000-0000-0000930F0000}"/>
    <cellStyle name="제목 100" xfId="3876" xr:uid="{00000000-0005-0000-0000-0000940F0000}"/>
    <cellStyle name="제목 101" xfId="3877" xr:uid="{00000000-0005-0000-0000-0000950F0000}"/>
    <cellStyle name="제목 102" xfId="3878" xr:uid="{00000000-0005-0000-0000-0000960F0000}"/>
    <cellStyle name="제목 103" xfId="3879" xr:uid="{00000000-0005-0000-0000-0000970F0000}"/>
    <cellStyle name="제목 104" xfId="3880" xr:uid="{00000000-0005-0000-0000-0000980F0000}"/>
    <cellStyle name="제목 105" xfId="3881" xr:uid="{00000000-0005-0000-0000-0000990F0000}"/>
    <cellStyle name="제목 106" xfId="3882" xr:uid="{00000000-0005-0000-0000-00009A0F0000}"/>
    <cellStyle name="제목 107" xfId="3883" xr:uid="{00000000-0005-0000-0000-00009B0F0000}"/>
    <cellStyle name="제목 108" xfId="3884" xr:uid="{00000000-0005-0000-0000-00009C0F0000}"/>
    <cellStyle name="제목 109" xfId="3885" xr:uid="{00000000-0005-0000-0000-00009D0F0000}"/>
    <cellStyle name="제목 11" xfId="3886" xr:uid="{00000000-0005-0000-0000-00009E0F0000}"/>
    <cellStyle name="제목 110" xfId="3887" xr:uid="{00000000-0005-0000-0000-00009F0F0000}"/>
    <cellStyle name="제목 12" xfId="3888" xr:uid="{00000000-0005-0000-0000-0000A00F0000}"/>
    <cellStyle name="제목 13" xfId="3889" xr:uid="{00000000-0005-0000-0000-0000A10F0000}"/>
    <cellStyle name="제목 14" xfId="3890" xr:uid="{00000000-0005-0000-0000-0000A20F0000}"/>
    <cellStyle name="제목 15" xfId="3891" xr:uid="{00000000-0005-0000-0000-0000A30F0000}"/>
    <cellStyle name="제목 16" xfId="3892" xr:uid="{00000000-0005-0000-0000-0000A40F0000}"/>
    <cellStyle name="제목 17" xfId="3893" xr:uid="{00000000-0005-0000-0000-0000A50F0000}"/>
    <cellStyle name="제목 18" xfId="3894" xr:uid="{00000000-0005-0000-0000-0000A60F0000}"/>
    <cellStyle name="제목 19" xfId="3895" xr:uid="{00000000-0005-0000-0000-0000A70F0000}"/>
    <cellStyle name="제목 2 10" xfId="3896" xr:uid="{00000000-0005-0000-0000-0000A80F0000}"/>
    <cellStyle name="제목 2 100" xfId="3897" xr:uid="{00000000-0005-0000-0000-0000A90F0000}"/>
    <cellStyle name="제목 2 101" xfId="3898" xr:uid="{00000000-0005-0000-0000-0000AA0F0000}"/>
    <cellStyle name="제목 2 102" xfId="3899" xr:uid="{00000000-0005-0000-0000-0000AB0F0000}"/>
    <cellStyle name="제목 2 103" xfId="3900" xr:uid="{00000000-0005-0000-0000-0000AC0F0000}"/>
    <cellStyle name="제목 2 104" xfId="3901" xr:uid="{00000000-0005-0000-0000-0000AD0F0000}"/>
    <cellStyle name="제목 2 105" xfId="3902" xr:uid="{00000000-0005-0000-0000-0000AE0F0000}"/>
    <cellStyle name="제목 2 106" xfId="3903" xr:uid="{00000000-0005-0000-0000-0000AF0F0000}"/>
    <cellStyle name="제목 2 107" xfId="3904" xr:uid="{00000000-0005-0000-0000-0000B00F0000}"/>
    <cellStyle name="제목 2 11" xfId="3905" xr:uid="{00000000-0005-0000-0000-0000B10F0000}"/>
    <cellStyle name="제목 2 12" xfId="3906" xr:uid="{00000000-0005-0000-0000-0000B20F0000}"/>
    <cellStyle name="제목 2 13" xfId="3907" xr:uid="{00000000-0005-0000-0000-0000B30F0000}"/>
    <cellStyle name="제목 2 14" xfId="3908" xr:uid="{00000000-0005-0000-0000-0000B40F0000}"/>
    <cellStyle name="제목 2 15" xfId="3909" xr:uid="{00000000-0005-0000-0000-0000B50F0000}"/>
    <cellStyle name="제목 2 16" xfId="3910" xr:uid="{00000000-0005-0000-0000-0000B60F0000}"/>
    <cellStyle name="제목 2 17" xfId="3911" xr:uid="{00000000-0005-0000-0000-0000B70F0000}"/>
    <cellStyle name="제목 2 18" xfId="3912" xr:uid="{00000000-0005-0000-0000-0000B80F0000}"/>
    <cellStyle name="제목 2 19" xfId="3913" xr:uid="{00000000-0005-0000-0000-0000B90F0000}"/>
    <cellStyle name="제목 2 2" xfId="3914" xr:uid="{00000000-0005-0000-0000-0000BA0F0000}"/>
    <cellStyle name="제목 2 20" xfId="3915" xr:uid="{00000000-0005-0000-0000-0000BB0F0000}"/>
    <cellStyle name="제목 2 21" xfId="3916" xr:uid="{00000000-0005-0000-0000-0000BC0F0000}"/>
    <cellStyle name="제목 2 22" xfId="3917" xr:uid="{00000000-0005-0000-0000-0000BD0F0000}"/>
    <cellStyle name="제목 2 23" xfId="3918" xr:uid="{00000000-0005-0000-0000-0000BE0F0000}"/>
    <cellStyle name="제목 2 24" xfId="3919" xr:uid="{00000000-0005-0000-0000-0000BF0F0000}"/>
    <cellStyle name="제목 2 25" xfId="3920" xr:uid="{00000000-0005-0000-0000-0000C00F0000}"/>
    <cellStyle name="제목 2 26" xfId="3921" xr:uid="{00000000-0005-0000-0000-0000C10F0000}"/>
    <cellStyle name="제목 2 27" xfId="3922" xr:uid="{00000000-0005-0000-0000-0000C20F0000}"/>
    <cellStyle name="제목 2 28" xfId="3923" xr:uid="{00000000-0005-0000-0000-0000C30F0000}"/>
    <cellStyle name="제목 2 29" xfId="3924" xr:uid="{00000000-0005-0000-0000-0000C40F0000}"/>
    <cellStyle name="제목 2 3" xfId="3925" xr:uid="{00000000-0005-0000-0000-0000C50F0000}"/>
    <cellStyle name="제목 2 30" xfId="3926" xr:uid="{00000000-0005-0000-0000-0000C60F0000}"/>
    <cellStyle name="제목 2 31" xfId="3927" xr:uid="{00000000-0005-0000-0000-0000C70F0000}"/>
    <cellStyle name="제목 2 32" xfId="3928" xr:uid="{00000000-0005-0000-0000-0000C80F0000}"/>
    <cellStyle name="제목 2 33" xfId="3929" xr:uid="{00000000-0005-0000-0000-0000C90F0000}"/>
    <cellStyle name="제목 2 34" xfId="3930" xr:uid="{00000000-0005-0000-0000-0000CA0F0000}"/>
    <cellStyle name="제목 2 35" xfId="3931" xr:uid="{00000000-0005-0000-0000-0000CB0F0000}"/>
    <cellStyle name="제목 2 36" xfId="3932" xr:uid="{00000000-0005-0000-0000-0000CC0F0000}"/>
    <cellStyle name="제목 2 37" xfId="3933" xr:uid="{00000000-0005-0000-0000-0000CD0F0000}"/>
    <cellStyle name="제목 2 38" xfId="3934" xr:uid="{00000000-0005-0000-0000-0000CE0F0000}"/>
    <cellStyle name="제목 2 39" xfId="3935" xr:uid="{00000000-0005-0000-0000-0000CF0F0000}"/>
    <cellStyle name="제목 2 4" xfId="3936" xr:uid="{00000000-0005-0000-0000-0000D00F0000}"/>
    <cellStyle name="제목 2 40" xfId="3937" xr:uid="{00000000-0005-0000-0000-0000D10F0000}"/>
    <cellStyle name="제목 2 41" xfId="3938" xr:uid="{00000000-0005-0000-0000-0000D20F0000}"/>
    <cellStyle name="제목 2 42" xfId="3939" xr:uid="{00000000-0005-0000-0000-0000D30F0000}"/>
    <cellStyle name="제목 2 43" xfId="3940" xr:uid="{00000000-0005-0000-0000-0000D40F0000}"/>
    <cellStyle name="제목 2 44" xfId="3941" xr:uid="{00000000-0005-0000-0000-0000D50F0000}"/>
    <cellStyle name="제목 2 45" xfId="3942" xr:uid="{00000000-0005-0000-0000-0000D60F0000}"/>
    <cellStyle name="제목 2 46" xfId="3943" xr:uid="{00000000-0005-0000-0000-0000D70F0000}"/>
    <cellStyle name="제목 2 47" xfId="3944" xr:uid="{00000000-0005-0000-0000-0000D80F0000}"/>
    <cellStyle name="제목 2 48" xfId="3945" xr:uid="{00000000-0005-0000-0000-0000D90F0000}"/>
    <cellStyle name="제목 2 49" xfId="3946" xr:uid="{00000000-0005-0000-0000-0000DA0F0000}"/>
    <cellStyle name="제목 2 5" xfId="3947" xr:uid="{00000000-0005-0000-0000-0000DB0F0000}"/>
    <cellStyle name="제목 2 50" xfId="3948" xr:uid="{00000000-0005-0000-0000-0000DC0F0000}"/>
    <cellStyle name="제목 2 51" xfId="3949" xr:uid="{00000000-0005-0000-0000-0000DD0F0000}"/>
    <cellStyle name="제목 2 52" xfId="3950" xr:uid="{00000000-0005-0000-0000-0000DE0F0000}"/>
    <cellStyle name="제목 2 53" xfId="3951" xr:uid="{00000000-0005-0000-0000-0000DF0F0000}"/>
    <cellStyle name="제목 2 54" xfId="3952" xr:uid="{00000000-0005-0000-0000-0000E00F0000}"/>
    <cellStyle name="제목 2 55" xfId="3953" xr:uid="{00000000-0005-0000-0000-0000E10F0000}"/>
    <cellStyle name="제목 2 56" xfId="3954" xr:uid="{00000000-0005-0000-0000-0000E20F0000}"/>
    <cellStyle name="제목 2 57" xfId="3955" xr:uid="{00000000-0005-0000-0000-0000E30F0000}"/>
    <cellStyle name="제목 2 58" xfId="3956" xr:uid="{00000000-0005-0000-0000-0000E40F0000}"/>
    <cellStyle name="제목 2 59" xfId="3957" xr:uid="{00000000-0005-0000-0000-0000E50F0000}"/>
    <cellStyle name="제목 2 6" xfId="3958" xr:uid="{00000000-0005-0000-0000-0000E60F0000}"/>
    <cellStyle name="제목 2 60" xfId="3959" xr:uid="{00000000-0005-0000-0000-0000E70F0000}"/>
    <cellStyle name="제목 2 61" xfId="3960" xr:uid="{00000000-0005-0000-0000-0000E80F0000}"/>
    <cellStyle name="제목 2 62" xfId="3961" xr:uid="{00000000-0005-0000-0000-0000E90F0000}"/>
    <cellStyle name="제목 2 63" xfId="3962" xr:uid="{00000000-0005-0000-0000-0000EA0F0000}"/>
    <cellStyle name="제목 2 64" xfId="3963" xr:uid="{00000000-0005-0000-0000-0000EB0F0000}"/>
    <cellStyle name="제목 2 65" xfId="3964" xr:uid="{00000000-0005-0000-0000-0000EC0F0000}"/>
    <cellStyle name="제목 2 66" xfId="3965" xr:uid="{00000000-0005-0000-0000-0000ED0F0000}"/>
    <cellStyle name="제목 2 67" xfId="3966" xr:uid="{00000000-0005-0000-0000-0000EE0F0000}"/>
    <cellStyle name="제목 2 68" xfId="3967" xr:uid="{00000000-0005-0000-0000-0000EF0F0000}"/>
    <cellStyle name="제목 2 69" xfId="3968" xr:uid="{00000000-0005-0000-0000-0000F00F0000}"/>
    <cellStyle name="제목 2 7" xfId="3969" xr:uid="{00000000-0005-0000-0000-0000F10F0000}"/>
    <cellStyle name="제목 2 70" xfId="3970" xr:uid="{00000000-0005-0000-0000-0000F20F0000}"/>
    <cellStyle name="제목 2 71" xfId="3971" xr:uid="{00000000-0005-0000-0000-0000F30F0000}"/>
    <cellStyle name="제목 2 72" xfId="3972" xr:uid="{00000000-0005-0000-0000-0000F40F0000}"/>
    <cellStyle name="제목 2 73" xfId="3973" xr:uid="{00000000-0005-0000-0000-0000F50F0000}"/>
    <cellStyle name="제목 2 74" xfId="3974" xr:uid="{00000000-0005-0000-0000-0000F60F0000}"/>
    <cellStyle name="제목 2 75" xfId="3975" xr:uid="{00000000-0005-0000-0000-0000F70F0000}"/>
    <cellStyle name="제목 2 76" xfId="3976" xr:uid="{00000000-0005-0000-0000-0000F80F0000}"/>
    <cellStyle name="제목 2 77" xfId="3977" xr:uid="{00000000-0005-0000-0000-0000F90F0000}"/>
    <cellStyle name="제목 2 78" xfId="3978" xr:uid="{00000000-0005-0000-0000-0000FA0F0000}"/>
    <cellStyle name="제목 2 79" xfId="3979" xr:uid="{00000000-0005-0000-0000-0000FB0F0000}"/>
    <cellStyle name="제목 2 8" xfId="3980" xr:uid="{00000000-0005-0000-0000-0000FC0F0000}"/>
    <cellStyle name="제목 2 80" xfId="3981" xr:uid="{00000000-0005-0000-0000-0000FD0F0000}"/>
    <cellStyle name="제목 2 81" xfId="3982" xr:uid="{00000000-0005-0000-0000-0000FE0F0000}"/>
    <cellStyle name="제목 2 82" xfId="3983" xr:uid="{00000000-0005-0000-0000-0000FF0F0000}"/>
    <cellStyle name="제목 2 83" xfId="3984" xr:uid="{00000000-0005-0000-0000-000000100000}"/>
    <cellStyle name="제목 2 84" xfId="3985" xr:uid="{00000000-0005-0000-0000-000001100000}"/>
    <cellStyle name="제목 2 85" xfId="3986" xr:uid="{00000000-0005-0000-0000-000002100000}"/>
    <cellStyle name="제목 2 86" xfId="3987" xr:uid="{00000000-0005-0000-0000-000003100000}"/>
    <cellStyle name="제목 2 87" xfId="3988" xr:uid="{00000000-0005-0000-0000-000004100000}"/>
    <cellStyle name="제목 2 88" xfId="3989" xr:uid="{00000000-0005-0000-0000-000005100000}"/>
    <cellStyle name="제목 2 89" xfId="3990" xr:uid="{00000000-0005-0000-0000-000006100000}"/>
    <cellStyle name="제목 2 9" xfId="3991" xr:uid="{00000000-0005-0000-0000-000007100000}"/>
    <cellStyle name="제목 2 90" xfId="3992" xr:uid="{00000000-0005-0000-0000-000008100000}"/>
    <cellStyle name="제목 2 91" xfId="3993" xr:uid="{00000000-0005-0000-0000-000009100000}"/>
    <cellStyle name="제목 2 92" xfId="3994" xr:uid="{00000000-0005-0000-0000-00000A100000}"/>
    <cellStyle name="제목 2 93" xfId="3995" xr:uid="{00000000-0005-0000-0000-00000B100000}"/>
    <cellStyle name="제목 2 94" xfId="3996" xr:uid="{00000000-0005-0000-0000-00000C100000}"/>
    <cellStyle name="제목 2 95" xfId="3997" xr:uid="{00000000-0005-0000-0000-00000D100000}"/>
    <cellStyle name="제목 2 96" xfId="3998" xr:uid="{00000000-0005-0000-0000-00000E100000}"/>
    <cellStyle name="제목 2 97" xfId="3999" xr:uid="{00000000-0005-0000-0000-00000F100000}"/>
    <cellStyle name="제목 2 98" xfId="4000" xr:uid="{00000000-0005-0000-0000-000010100000}"/>
    <cellStyle name="제목 2 99" xfId="4001" xr:uid="{00000000-0005-0000-0000-000011100000}"/>
    <cellStyle name="제목 20" xfId="4002" xr:uid="{00000000-0005-0000-0000-000012100000}"/>
    <cellStyle name="제목 21" xfId="4003" xr:uid="{00000000-0005-0000-0000-000013100000}"/>
    <cellStyle name="제목 22" xfId="4004" xr:uid="{00000000-0005-0000-0000-000014100000}"/>
    <cellStyle name="제목 23" xfId="4005" xr:uid="{00000000-0005-0000-0000-000015100000}"/>
    <cellStyle name="제목 24" xfId="4006" xr:uid="{00000000-0005-0000-0000-000016100000}"/>
    <cellStyle name="제목 25" xfId="4007" xr:uid="{00000000-0005-0000-0000-000017100000}"/>
    <cellStyle name="제목 26" xfId="4008" xr:uid="{00000000-0005-0000-0000-000018100000}"/>
    <cellStyle name="제목 27" xfId="4009" xr:uid="{00000000-0005-0000-0000-000019100000}"/>
    <cellStyle name="제목 28" xfId="4010" xr:uid="{00000000-0005-0000-0000-00001A100000}"/>
    <cellStyle name="제목 29" xfId="4011" xr:uid="{00000000-0005-0000-0000-00001B100000}"/>
    <cellStyle name="제목 3 10" xfId="4012" xr:uid="{00000000-0005-0000-0000-00001C100000}"/>
    <cellStyle name="제목 3 100" xfId="4013" xr:uid="{00000000-0005-0000-0000-00001D100000}"/>
    <cellStyle name="제목 3 101" xfId="4014" xr:uid="{00000000-0005-0000-0000-00001E100000}"/>
    <cellStyle name="제목 3 102" xfId="4015" xr:uid="{00000000-0005-0000-0000-00001F100000}"/>
    <cellStyle name="제목 3 103" xfId="4016" xr:uid="{00000000-0005-0000-0000-000020100000}"/>
    <cellStyle name="제목 3 104" xfId="4017" xr:uid="{00000000-0005-0000-0000-000021100000}"/>
    <cellStyle name="제목 3 105" xfId="4018" xr:uid="{00000000-0005-0000-0000-000022100000}"/>
    <cellStyle name="제목 3 106" xfId="4019" xr:uid="{00000000-0005-0000-0000-000023100000}"/>
    <cellStyle name="제목 3 107" xfId="4020" xr:uid="{00000000-0005-0000-0000-000024100000}"/>
    <cellStyle name="제목 3 11" xfId="4021" xr:uid="{00000000-0005-0000-0000-000025100000}"/>
    <cellStyle name="제목 3 12" xfId="4022" xr:uid="{00000000-0005-0000-0000-000026100000}"/>
    <cellStyle name="제목 3 13" xfId="4023" xr:uid="{00000000-0005-0000-0000-000027100000}"/>
    <cellStyle name="제목 3 14" xfId="4024" xr:uid="{00000000-0005-0000-0000-000028100000}"/>
    <cellStyle name="제목 3 15" xfId="4025" xr:uid="{00000000-0005-0000-0000-000029100000}"/>
    <cellStyle name="제목 3 16" xfId="4026" xr:uid="{00000000-0005-0000-0000-00002A100000}"/>
    <cellStyle name="제목 3 17" xfId="4027" xr:uid="{00000000-0005-0000-0000-00002B100000}"/>
    <cellStyle name="제목 3 18" xfId="4028" xr:uid="{00000000-0005-0000-0000-00002C100000}"/>
    <cellStyle name="제목 3 19" xfId="4029" xr:uid="{00000000-0005-0000-0000-00002D100000}"/>
    <cellStyle name="제목 3 2" xfId="4030" xr:uid="{00000000-0005-0000-0000-00002E100000}"/>
    <cellStyle name="제목 3 20" xfId="4031" xr:uid="{00000000-0005-0000-0000-00002F100000}"/>
    <cellStyle name="제목 3 21" xfId="4032" xr:uid="{00000000-0005-0000-0000-000030100000}"/>
    <cellStyle name="제목 3 22" xfId="4033" xr:uid="{00000000-0005-0000-0000-000031100000}"/>
    <cellStyle name="제목 3 23" xfId="4034" xr:uid="{00000000-0005-0000-0000-000032100000}"/>
    <cellStyle name="제목 3 24" xfId="4035" xr:uid="{00000000-0005-0000-0000-000033100000}"/>
    <cellStyle name="제목 3 25" xfId="4036" xr:uid="{00000000-0005-0000-0000-000034100000}"/>
    <cellStyle name="제목 3 26" xfId="4037" xr:uid="{00000000-0005-0000-0000-000035100000}"/>
    <cellStyle name="제목 3 27" xfId="4038" xr:uid="{00000000-0005-0000-0000-000036100000}"/>
    <cellStyle name="제목 3 28" xfId="4039" xr:uid="{00000000-0005-0000-0000-000037100000}"/>
    <cellStyle name="제목 3 29" xfId="4040" xr:uid="{00000000-0005-0000-0000-000038100000}"/>
    <cellStyle name="제목 3 3" xfId="4041" xr:uid="{00000000-0005-0000-0000-000039100000}"/>
    <cellStyle name="제목 3 30" xfId="4042" xr:uid="{00000000-0005-0000-0000-00003A100000}"/>
    <cellStyle name="제목 3 31" xfId="4043" xr:uid="{00000000-0005-0000-0000-00003B100000}"/>
    <cellStyle name="제목 3 32" xfId="4044" xr:uid="{00000000-0005-0000-0000-00003C100000}"/>
    <cellStyle name="제목 3 33" xfId="4045" xr:uid="{00000000-0005-0000-0000-00003D100000}"/>
    <cellStyle name="제목 3 34" xfId="4046" xr:uid="{00000000-0005-0000-0000-00003E100000}"/>
    <cellStyle name="제목 3 35" xfId="4047" xr:uid="{00000000-0005-0000-0000-00003F100000}"/>
    <cellStyle name="제목 3 36" xfId="4048" xr:uid="{00000000-0005-0000-0000-000040100000}"/>
    <cellStyle name="제목 3 37" xfId="4049" xr:uid="{00000000-0005-0000-0000-000041100000}"/>
    <cellStyle name="제목 3 38" xfId="4050" xr:uid="{00000000-0005-0000-0000-000042100000}"/>
    <cellStyle name="제목 3 39" xfId="4051" xr:uid="{00000000-0005-0000-0000-000043100000}"/>
    <cellStyle name="제목 3 4" xfId="4052" xr:uid="{00000000-0005-0000-0000-000044100000}"/>
    <cellStyle name="제목 3 40" xfId="4053" xr:uid="{00000000-0005-0000-0000-000045100000}"/>
    <cellStyle name="제목 3 41" xfId="4054" xr:uid="{00000000-0005-0000-0000-000046100000}"/>
    <cellStyle name="제목 3 42" xfId="4055" xr:uid="{00000000-0005-0000-0000-000047100000}"/>
    <cellStyle name="제목 3 43" xfId="4056" xr:uid="{00000000-0005-0000-0000-000048100000}"/>
    <cellStyle name="제목 3 44" xfId="4057" xr:uid="{00000000-0005-0000-0000-000049100000}"/>
    <cellStyle name="제목 3 45" xfId="4058" xr:uid="{00000000-0005-0000-0000-00004A100000}"/>
    <cellStyle name="제목 3 46" xfId="4059" xr:uid="{00000000-0005-0000-0000-00004B100000}"/>
    <cellStyle name="제목 3 47" xfId="4060" xr:uid="{00000000-0005-0000-0000-00004C100000}"/>
    <cellStyle name="제목 3 48" xfId="4061" xr:uid="{00000000-0005-0000-0000-00004D100000}"/>
    <cellStyle name="제목 3 49" xfId="4062" xr:uid="{00000000-0005-0000-0000-00004E100000}"/>
    <cellStyle name="제목 3 5" xfId="4063" xr:uid="{00000000-0005-0000-0000-00004F100000}"/>
    <cellStyle name="제목 3 50" xfId="4064" xr:uid="{00000000-0005-0000-0000-000050100000}"/>
    <cellStyle name="제목 3 51" xfId="4065" xr:uid="{00000000-0005-0000-0000-000051100000}"/>
    <cellStyle name="제목 3 52" xfId="4066" xr:uid="{00000000-0005-0000-0000-000052100000}"/>
    <cellStyle name="제목 3 53" xfId="4067" xr:uid="{00000000-0005-0000-0000-000053100000}"/>
    <cellStyle name="제목 3 54" xfId="4068" xr:uid="{00000000-0005-0000-0000-000054100000}"/>
    <cellStyle name="제목 3 55" xfId="4069" xr:uid="{00000000-0005-0000-0000-000055100000}"/>
    <cellStyle name="제목 3 56" xfId="4070" xr:uid="{00000000-0005-0000-0000-000056100000}"/>
    <cellStyle name="제목 3 57" xfId="4071" xr:uid="{00000000-0005-0000-0000-000057100000}"/>
    <cellStyle name="제목 3 58" xfId="4072" xr:uid="{00000000-0005-0000-0000-000058100000}"/>
    <cellStyle name="제목 3 59" xfId="4073" xr:uid="{00000000-0005-0000-0000-000059100000}"/>
    <cellStyle name="제목 3 6" xfId="4074" xr:uid="{00000000-0005-0000-0000-00005A100000}"/>
    <cellStyle name="제목 3 60" xfId="4075" xr:uid="{00000000-0005-0000-0000-00005B100000}"/>
    <cellStyle name="제목 3 61" xfId="4076" xr:uid="{00000000-0005-0000-0000-00005C100000}"/>
    <cellStyle name="제목 3 62" xfId="4077" xr:uid="{00000000-0005-0000-0000-00005D100000}"/>
    <cellStyle name="제목 3 63" xfId="4078" xr:uid="{00000000-0005-0000-0000-00005E100000}"/>
    <cellStyle name="제목 3 64" xfId="4079" xr:uid="{00000000-0005-0000-0000-00005F100000}"/>
    <cellStyle name="제목 3 65" xfId="4080" xr:uid="{00000000-0005-0000-0000-000060100000}"/>
    <cellStyle name="제목 3 66" xfId="4081" xr:uid="{00000000-0005-0000-0000-000061100000}"/>
    <cellStyle name="제목 3 67" xfId="4082" xr:uid="{00000000-0005-0000-0000-000062100000}"/>
    <cellStyle name="제목 3 68" xfId="4083" xr:uid="{00000000-0005-0000-0000-000063100000}"/>
    <cellStyle name="제목 3 69" xfId="4084" xr:uid="{00000000-0005-0000-0000-000064100000}"/>
    <cellStyle name="제목 3 7" xfId="4085" xr:uid="{00000000-0005-0000-0000-000065100000}"/>
    <cellStyle name="제목 3 70" xfId="4086" xr:uid="{00000000-0005-0000-0000-000066100000}"/>
    <cellStyle name="제목 3 71" xfId="4087" xr:uid="{00000000-0005-0000-0000-000067100000}"/>
    <cellStyle name="제목 3 72" xfId="4088" xr:uid="{00000000-0005-0000-0000-000068100000}"/>
    <cellStyle name="제목 3 73" xfId="4089" xr:uid="{00000000-0005-0000-0000-000069100000}"/>
    <cellStyle name="제목 3 74" xfId="4090" xr:uid="{00000000-0005-0000-0000-00006A100000}"/>
    <cellStyle name="제목 3 75" xfId="4091" xr:uid="{00000000-0005-0000-0000-00006B100000}"/>
    <cellStyle name="제목 3 76" xfId="4092" xr:uid="{00000000-0005-0000-0000-00006C100000}"/>
    <cellStyle name="제목 3 77" xfId="4093" xr:uid="{00000000-0005-0000-0000-00006D100000}"/>
    <cellStyle name="제목 3 78" xfId="4094" xr:uid="{00000000-0005-0000-0000-00006E100000}"/>
    <cellStyle name="제목 3 79" xfId="4095" xr:uid="{00000000-0005-0000-0000-00006F100000}"/>
    <cellStyle name="제목 3 8" xfId="4096" xr:uid="{00000000-0005-0000-0000-000070100000}"/>
    <cellStyle name="제목 3 80" xfId="4097" xr:uid="{00000000-0005-0000-0000-000071100000}"/>
    <cellStyle name="제목 3 81" xfId="4098" xr:uid="{00000000-0005-0000-0000-000072100000}"/>
    <cellStyle name="제목 3 82" xfId="4099" xr:uid="{00000000-0005-0000-0000-000073100000}"/>
    <cellStyle name="제목 3 83" xfId="4100" xr:uid="{00000000-0005-0000-0000-000074100000}"/>
    <cellStyle name="제목 3 84" xfId="4101" xr:uid="{00000000-0005-0000-0000-000075100000}"/>
    <cellStyle name="제목 3 85" xfId="4102" xr:uid="{00000000-0005-0000-0000-000076100000}"/>
    <cellStyle name="제목 3 86" xfId="4103" xr:uid="{00000000-0005-0000-0000-000077100000}"/>
    <cellStyle name="제목 3 87" xfId="4104" xr:uid="{00000000-0005-0000-0000-000078100000}"/>
    <cellStyle name="제목 3 88" xfId="4105" xr:uid="{00000000-0005-0000-0000-000079100000}"/>
    <cellStyle name="제목 3 89" xfId="4106" xr:uid="{00000000-0005-0000-0000-00007A100000}"/>
    <cellStyle name="제목 3 9" xfId="4107" xr:uid="{00000000-0005-0000-0000-00007B100000}"/>
    <cellStyle name="제목 3 90" xfId="4108" xr:uid="{00000000-0005-0000-0000-00007C100000}"/>
    <cellStyle name="제목 3 91" xfId="4109" xr:uid="{00000000-0005-0000-0000-00007D100000}"/>
    <cellStyle name="제목 3 92" xfId="4110" xr:uid="{00000000-0005-0000-0000-00007E100000}"/>
    <cellStyle name="제목 3 93" xfId="4111" xr:uid="{00000000-0005-0000-0000-00007F100000}"/>
    <cellStyle name="제목 3 94" xfId="4112" xr:uid="{00000000-0005-0000-0000-000080100000}"/>
    <cellStyle name="제목 3 95" xfId="4113" xr:uid="{00000000-0005-0000-0000-000081100000}"/>
    <cellStyle name="제목 3 96" xfId="4114" xr:uid="{00000000-0005-0000-0000-000082100000}"/>
    <cellStyle name="제목 3 97" xfId="4115" xr:uid="{00000000-0005-0000-0000-000083100000}"/>
    <cellStyle name="제목 3 98" xfId="4116" xr:uid="{00000000-0005-0000-0000-000084100000}"/>
    <cellStyle name="제목 3 99" xfId="4117" xr:uid="{00000000-0005-0000-0000-000085100000}"/>
    <cellStyle name="제목 30" xfId="4118" xr:uid="{00000000-0005-0000-0000-000086100000}"/>
    <cellStyle name="제목 31" xfId="4119" xr:uid="{00000000-0005-0000-0000-000087100000}"/>
    <cellStyle name="제목 32" xfId="4120" xr:uid="{00000000-0005-0000-0000-000088100000}"/>
    <cellStyle name="제목 33" xfId="4121" xr:uid="{00000000-0005-0000-0000-000089100000}"/>
    <cellStyle name="제목 34" xfId="4122" xr:uid="{00000000-0005-0000-0000-00008A100000}"/>
    <cellStyle name="제목 35" xfId="4123" xr:uid="{00000000-0005-0000-0000-00008B100000}"/>
    <cellStyle name="제목 36" xfId="4124" xr:uid="{00000000-0005-0000-0000-00008C100000}"/>
    <cellStyle name="제목 37" xfId="4125" xr:uid="{00000000-0005-0000-0000-00008D100000}"/>
    <cellStyle name="제목 38" xfId="4126" xr:uid="{00000000-0005-0000-0000-00008E100000}"/>
    <cellStyle name="제목 39" xfId="4127" xr:uid="{00000000-0005-0000-0000-00008F100000}"/>
    <cellStyle name="제목 4 10" xfId="4128" xr:uid="{00000000-0005-0000-0000-000090100000}"/>
    <cellStyle name="제목 4 100" xfId="4129" xr:uid="{00000000-0005-0000-0000-000091100000}"/>
    <cellStyle name="제목 4 101" xfId="4130" xr:uid="{00000000-0005-0000-0000-000092100000}"/>
    <cellStyle name="제목 4 102" xfId="4131" xr:uid="{00000000-0005-0000-0000-000093100000}"/>
    <cellStyle name="제목 4 103" xfId="4132" xr:uid="{00000000-0005-0000-0000-000094100000}"/>
    <cellStyle name="제목 4 104" xfId="4133" xr:uid="{00000000-0005-0000-0000-000095100000}"/>
    <cellStyle name="제목 4 105" xfId="4134" xr:uid="{00000000-0005-0000-0000-000096100000}"/>
    <cellStyle name="제목 4 106" xfId="4135" xr:uid="{00000000-0005-0000-0000-000097100000}"/>
    <cellStyle name="제목 4 107" xfId="4136" xr:uid="{00000000-0005-0000-0000-000098100000}"/>
    <cellStyle name="제목 4 11" xfId="4137" xr:uid="{00000000-0005-0000-0000-000099100000}"/>
    <cellStyle name="제목 4 12" xfId="4138" xr:uid="{00000000-0005-0000-0000-00009A100000}"/>
    <cellStyle name="제목 4 13" xfId="4139" xr:uid="{00000000-0005-0000-0000-00009B100000}"/>
    <cellStyle name="제목 4 14" xfId="4140" xr:uid="{00000000-0005-0000-0000-00009C100000}"/>
    <cellStyle name="제목 4 15" xfId="4141" xr:uid="{00000000-0005-0000-0000-00009D100000}"/>
    <cellStyle name="제목 4 16" xfId="4142" xr:uid="{00000000-0005-0000-0000-00009E100000}"/>
    <cellStyle name="제목 4 17" xfId="4143" xr:uid="{00000000-0005-0000-0000-00009F100000}"/>
    <cellStyle name="제목 4 18" xfId="4144" xr:uid="{00000000-0005-0000-0000-0000A0100000}"/>
    <cellStyle name="제목 4 19" xfId="4145" xr:uid="{00000000-0005-0000-0000-0000A1100000}"/>
    <cellStyle name="제목 4 2" xfId="4146" xr:uid="{00000000-0005-0000-0000-0000A2100000}"/>
    <cellStyle name="제목 4 20" xfId="4147" xr:uid="{00000000-0005-0000-0000-0000A3100000}"/>
    <cellStyle name="제목 4 21" xfId="4148" xr:uid="{00000000-0005-0000-0000-0000A4100000}"/>
    <cellStyle name="제목 4 22" xfId="4149" xr:uid="{00000000-0005-0000-0000-0000A5100000}"/>
    <cellStyle name="제목 4 23" xfId="4150" xr:uid="{00000000-0005-0000-0000-0000A6100000}"/>
    <cellStyle name="제목 4 24" xfId="4151" xr:uid="{00000000-0005-0000-0000-0000A7100000}"/>
    <cellStyle name="제목 4 25" xfId="4152" xr:uid="{00000000-0005-0000-0000-0000A8100000}"/>
    <cellStyle name="제목 4 26" xfId="4153" xr:uid="{00000000-0005-0000-0000-0000A9100000}"/>
    <cellStyle name="제목 4 27" xfId="4154" xr:uid="{00000000-0005-0000-0000-0000AA100000}"/>
    <cellStyle name="제목 4 28" xfId="4155" xr:uid="{00000000-0005-0000-0000-0000AB100000}"/>
    <cellStyle name="제목 4 29" xfId="4156" xr:uid="{00000000-0005-0000-0000-0000AC100000}"/>
    <cellStyle name="제목 4 3" xfId="4157" xr:uid="{00000000-0005-0000-0000-0000AD100000}"/>
    <cellStyle name="제목 4 30" xfId="4158" xr:uid="{00000000-0005-0000-0000-0000AE100000}"/>
    <cellStyle name="제목 4 31" xfId="4159" xr:uid="{00000000-0005-0000-0000-0000AF100000}"/>
    <cellStyle name="제목 4 32" xfId="4160" xr:uid="{00000000-0005-0000-0000-0000B0100000}"/>
    <cellStyle name="제목 4 33" xfId="4161" xr:uid="{00000000-0005-0000-0000-0000B1100000}"/>
    <cellStyle name="제목 4 34" xfId="4162" xr:uid="{00000000-0005-0000-0000-0000B2100000}"/>
    <cellStyle name="제목 4 35" xfId="4163" xr:uid="{00000000-0005-0000-0000-0000B3100000}"/>
    <cellStyle name="제목 4 36" xfId="4164" xr:uid="{00000000-0005-0000-0000-0000B4100000}"/>
    <cellStyle name="제목 4 37" xfId="4165" xr:uid="{00000000-0005-0000-0000-0000B5100000}"/>
    <cellStyle name="제목 4 38" xfId="4166" xr:uid="{00000000-0005-0000-0000-0000B6100000}"/>
    <cellStyle name="제목 4 39" xfId="4167" xr:uid="{00000000-0005-0000-0000-0000B7100000}"/>
    <cellStyle name="제목 4 4" xfId="4168" xr:uid="{00000000-0005-0000-0000-0000B8100000}"/>
    <cellStyle name="제목 4 40" xfId="4169" xr:uid="{00000000-0005-0000-0000-0000B9100000}"/>
    <cellStyle name="제목 4 41" xfId="4170" xr:uid="{00000000-0005-0000-0000-0000BA100000}"/>
    <cellStyle name="제목 4 42" xfId="4171" xr:uid="{00000000-0005-0000-0000-0000BB100000}"/>
    <cellStyle name="제목 4 43" xfId="4172" xr:uid="{00000000-0005-0000-0000-0000BC100000}"/>
    <cellStyle name="제목 4 44" xfId="4173" xr:uid="{00000000-0005-0000-0000-0000BD100000}"/>
    <cellStyle name="제목 4 45" xfId="4174" xr:uid="{00000000-0005-0000-0000-0000BE100000}"/>
    <cellStyle name="제목 4 46" xfId="4175" xr:uid="{00000000-0005-0000-0000-0000BF100000}"/>
    <cellStyle name="제목 4 47" xfId="4176" xr:uid="{00000000-0005-0000-0000-0000C0100000}"/>
    <cellStyle name="제목 4 48" xfId="4177" xr:uid="{00000000-0005-0000-0000-0000C1100000}"/>
    <cellStyle name="제목 4 49" xfId="4178" xr:uid="{00000000-0005-0000-0000-0000C2100000}"/>
    <cellStyle name="제목 4 5" xfId="4179" xr:uid="{00000000-0005-0000-0000-0000C3100000}"/>
    <cellStyle name="제목 4 50" xfId="4180" xr:uid="{00000000-0005-0000-0000-0000C4100000}"/>
    <cellStyle name="제목 4 51" xfId="4181" xr:uid="{00000000-0005-0000-0000-0000C5100000}"/>
    <cellStyle name="제목 4 52" xfId="4182" xr:uid="{00000000-0005-0000-0000-0000C6100000}"/>
    <cellStyle name="제목 4 53" xfId="4183" xr:uid="{00000000-0005-0000-0000-0000C7100000}"/>
    <cellStyle name="제목 4 54" xfId="4184" xr:uid="{00000000-0005-0000-0000-0000C8100000}"/>
    <cellStyle name="제목 4 55" xfId="4185" xr:uid="{00000000-0005-0000-0000-0000C9100000}"/>
    <cellStyle name="제목 4 56" xfId="4186" xr:uid="{00000000-0005-0000-0000-0000CA100000}"/>
    <cellStyle name="제목 4 57" xfId="4187" xr:uid="{00000000-0005-0000-0000-0000CB100000}"/>
    <cellStyle name="제목 4 58" xfId="4188" xr:uid="{00000000-0005-0000-0000-0000CC100000}"/>
    <cellStyle name="제목 4 59" xfId="4189" xr:uid="{00000000-0005-0000-0000-0000CD100000}"/>
    <cellStyle name="제목 4 6" xfId="4190" xr:uid="{00000000-0005-0000-0000-0000CE100000}"/>
    <cellStyle name="제목 4 60" xfId="4191" xr:uid="{00000000-0005-0000-0000-0000CF100000}"/>
    <cellStyle name="제목 4 61" xfId="4192" xr:uid="{00000000-0005-0000-0000-0000D0100000}"/>
    <cellStyle name="제목 4 62" xfId="4193" xr:uid="{00000000-0005-0000-0000-0000D1100000}"/>
    <cellStyle name="제목 4 63" xfId="4194" xr:uid="{00000000-0005-0000-0000-0000D2100000}"/>
    <cellStyle name="제목 4 64" xfId="4195" xr:uid="{00000000-0005-0000-0000-0000D3100000}"/>
    <cellStyle name="제목 4 65" xfId="4196" xr:uid="{00000000-0005-0000-0000-0000D4100000}"/>
    <cellStyle name="제목 4 66" xfId="4197" xr:uid="{00000000-0005-0000-0000-0000D5100000}"/>
    <cellStyle name="제목 4 67" xfId="4198" xr:uid="{00000000-0005-0000-0000-0000D6100000}"/>
    <cellStyle name="제목 4 68" xfId="4199" xr:uid="{00000000-0005-0000-0000-0000D7100000}"/>
    <cellStyle name="제목 4 69" xfId="4200" xr:uid="{00000000-0005-0000-0000-0000D8100000}"/>
    <cellStyle name="제목 4 7" xfId="4201" xr:uid="{00000000-0005-0000-0000-0000D9100000}"/>
    <cellStyle name="제목 4 70" xfId="4202" xr:uid="{00000000-0005-0000-0000-0000DA100000}"/>
    <cellStyle name="제목 4 71" xfId="4203" xr:uid="{00000000-0005-0000-0000-0000DB100000}"/>
    <cellStyle name="제목 4 72" xfId="4204" xr:uid="{00000000-0005-0000-0000-0000DC100000}"/>
    <cellStyle name="제목 4 73" xfId="4205" xr:uid="{00000000-0005-0000-0000-0000DD100000}"/>
    <cellStyle name="제목 4 74" xfId="4206" xr:uid="{00000000-0005-0000-0000-0000DE100000}"/>
    <cellStyle name="제목 4 75" xfId="4207" xr:uid="{00000000-0005-0000-0000-0000DF100000}"/>
    <cellStyle name="제목 4 76" xfId="4208" xr:uid="{00000000-0005-0000-0000-0000E0100000}"/>
    <cellStyle name="제목 4 77" xfId="4209" xr:uid="{00000000-0005-0000-0000-0000E1100000}"/>
    <cellStyle name="제목 4 78" xfId="4210" xr:uid="{00000000-0005-0000-0000-0000E2100000}"/>
    <cellStyle name="제목 4 79" xfId="4211" xr:uid="{00000000-0005-0000-0000-0000E3100000}"/>
    <cellStyle name="제목 4 8" xfId="4212" xr:uid="{00000000-0005-0000-0000-0000E4100000}"/>
    <cellStyle name="제목 4 80" xfId="4213" xr:uid="{00000000-0005-0000-0000-0000E5100000}"/>
    <cellStyle name="제목 4 81" xfId="4214" xr:uid="{00000000-0005-0000-0000-0000E6100000}"/>
    <cellStyle name="제목 4 82" xfId="4215" xr:uid="{00000000-0005-0000-0000-0000E7100000}"/>
    <cellStyle name="제목 4 83" xfId="4216" xr:uid="{00000000-0005-0000-0000-0000E8100000}"/>
    <cellStyle name="제목 4 84" xfId="4217" xr:uid="{00000000-0005-0000-0000-0000E9100000}"/>
    <cellStyle name="제목 4 85" xfId="4218" xr:uid="{00000000-0005-0000-0000-0000EA100000}"/>
    <cellStyle name="제목 4 86" xfId="4219" xr:uid="{00000000-0005-0000-0000-0000EB100000}"/>
    <cellStyle name="제목 4 87" xfId="4220" xr:uid="{00000000-0005-0000-0000-0000EC100000}"/>
    <cellStyle name="제목 4 88" xfId="4221" xr:uid="{00000000-0005-0000-0000-0000ED100000}"/>
    <cellStyle name="제목 4 89" xfId="4222" xr:uid="{00000000-0005-0000-0000-0000EE100000}"/>
    <cellStyle name="제목 4 9" xfId="4223" xr:uid="{00000000-0005-0000-0000-0000EF100000}"/>
    <cellStyle name="제목 4 90" xfId="4224" xr:uid="{00000000-0005-0000-0000-0000F0100000}"/>
    <cellStyle name="제목 4 91" xfId="4225" xr:uid="{00000000-0005-0000-0000-0000F1100000}"/>
    <cellStyle name="제목 4 92" xfId="4226" xr:uid="{00000000-0005-0000-0000-0000F2100000}"/>
    <cellStyle name="제목 4 93" xfId="4227" xr:uid="{00000000-0005-0000-0000-0000F3100000}"/>
    <cellStyle name="제목 4 94" xfId="4228" xr:uid="{00000000-0005-0000-0000-0000F4100000}"/>
    <cellStyle name="제목 4 95" xfId="4229" xr:uid="{00000000-0005-0000-0000-0000F5100000}"/>
    <cellStyle name="제목 4 96" xfId="4230" xr:uid="{00000000-0005-0000-0000-0000F6100000}"/>
    <cellStyle name="제목 4 97" xfId="4231" xr:uid="{00000000-0005-0000-0000-0000F7100000}"/>
    <cellStyle name="제목 4 98" xfId="4232" xr:uid="{00000000-0005-0000-0000-0000F8100000}"/>
    <cellStyle name="제목 4 99" xfId="4233" xr:uid="{00000000-0005-0000-0000-0000F9100000}"/>
    <cellStyle name="제목 40" xfId="4234" xr:uid="{00000000-0005-0000-0000-0000FA100000}"/>
    <cellStyle name="제목 41" xfId="4235" xr:uid="{00000000-0005-0000-0000-0000FB100000}"/>
    <cellStyle name="제목 42" xfId="4236" xr:uid="{00000000-0005-0000-0000-0000FC100000}"/>
    <cellStyle name="제목 43" xfId="4237" xr:uid="{00000000-0005-0000-0000-0000FD100000}"/>
    <cellStyle name="제목 44" xfId="4238" xr:uid="{00000000-0005-0000-0000-0000FE100000}"/>
    <cellStyle name="제목 45" xfId="4239" xr:uid="{00000000-0005-0000-0000-0000FF100000}"/>
    <cellStyle name="제목 46" xfId="4240" xr:uid="{00000000-0005-0000-0000-000000110000}"/>
    <cellStyle name="제목 47" xfId="4241" xr:uid="{00000000-0005-0000-0000-000001110000}"/>
    <cellStyle name="제목 48" xfId="4242" xr:uid="{00000000-0005-0000-0000-000002110000}"/>
    <cellStyle name="제목 49" xfId="4243" xr:uid="{00000000-0005-0000-0000-000003110000}"/>
    <cellStyle name="제목 5" xfId="4244" xr:uid="{00000000-0005-0000-0000-000004110000}"/>
    <cellStyle name="제목 50" xfId="4245" xr:uid="{00000000-0005-0000-0000-000005110000}"/>
    <cellStyle name="제목 51" xfId="4246" xr:uid="{00000000-0005-0000-0000-000006110000}"/>
    <cellStyle name="제목 52" xfId="4247" xr:uid="{00000000-0005-0000-0000-000007110000}"/>
    <cellStyle name="제목 53" xfId="4248" xr:uid="{00000000-0005-0000-0000-000008110000}"/>
    <cellStyle name="제목 54" xfId="4249" xr:uid="{00000000-0005-0000-0000-000009110000}"/>
    <cellStyle name="제목 55" xfId="4250" xr:uid="{00000000-0005-0000-0000-00000A110000}"/>
    <cellStyle name="제목 56" xfId="4251" xr:uid="{00000000-0005-0000-0000-00000B110000}"/>
    <cellStyle name="제목 57" xfId="4252" xr:uid="{00000000-0005-0000-0000-00000C110000}"/>
    <cellStyle name="제목 58" xfId="4253" xr:uid="{00000000-0005-0000-0000-00000D110000}"/>
    <cellStyle name="제목 59" xfId="4254" xr:uid="{00000000-0005-0000-0000-00000E110000}"/>
    <cellStyle name="제목 6" xfId="4255" xr:uid="{00000000-0005-0000-0000-00000F110000}"/>
    <cellStyle name="제목 60" xfId="4256" xr:uid="{00000000-0005-0000-0000-000010110000}"/>
    <cellStyle name="제목 61" xfId="4257" xr:uid="{00000000-0005-0000-0000-000011110000}"/>
    <cellStyle name="제목 62" xfId="4258" xr:uid="{00000000-0005-0000-0000-000012110000}"/>
    <cellStyle name="제목 63" xfId="4259" xr:uid="{00000000-0005-0000-0000-000013110000}"/>
    <cellStyle name="제목 64" xfId="4260" xr:uid="{00000000-0005-0000-0000-000014110000}"/>
    <cellStyle name="제목 65" xfId="4261" xr:uid="{00000000-0005-0000-0000-000015110000}"/>
    <cellStyle name="제목 66" xfId="4262" xr:uid="{00000000-0005-0000-0000-000016110000}"/>
    <cellStyle name="제목 67" xfId="4263" xr:uid="{00000000-0005-0000-0000-000017110000}"/>
    <cellStyle name="제목 68" xfId="4264" xr:uid="{00000000-0005-0000-0000-000018110000}"/>
    <cellStyle name="제목 69" xfId="4265" xr:uid="{00000000-0005-0000-0000-000019110000}"/>
    <cellStyle name="제목 7" xfId="4266" xr:uid="{00000000-0005-0000-0000-00001A110000}"/>
    <cellStyle name="제목 70" xfId="4267" xr:uid="{00000000-0005-0000-0000-00001B110000}"/>
    <cellStyle name="제목 71" xfId="4268" xr:uid="{00000000-0005-0000-0000-00001C110000}"/>
    <cellStyle name="제목 72" xfId="4269" xr:uid="{00000000-0005-0000-0000-00001D110000}"/>
    <cellStyle name="제목 73" xfId="4270" xr:uid="{00000000-0005-0000-0000-00001E110000}"/>
    <cellStyle name="제목 74" xfId="4271" xr:uid="{00000000-0005-0000-0000-00001F110000}"/>
    <cellStyle name="제목 75" xfId="4272" xr:uid="{00000000-0005-0000-0000-000020110000}"/>
    <cellStyle name="제목 76" xfId="4273" xr:uid="{00000000-0005-0000-0000-000021110000}"/>
    <cellStyle name="제목 77" xfId="4274" xr:uid="{00000000-0005-0000-0000-000022110000}"/>
    <cellStyle name="제목 78" xfId="4275" xr:uid="{00000000-0005-0000-0000-000023110000}"/>
    <cellStyle name="제목 79" xfId="4276" xr:uid="{00000000-0005-0000-0000-000024110000}"/>
    <cellStyle name="제목 8" xfId="4277" xr:uid="{00000000-0005-0000-0000-000025110000}"/>
    <cellStyle name="제목 80" xfId="4278" xr:uid="{00000000-0005-0000-0000-000026110000}"/>
    <cellStyle name="제목 81" xfId="4279" xr:uid="{00000000-0005-0000-0000-000027110000}"/>
    <cellStyle name="제목 82" xfId="4280" xr:uid="{00000000-0005-0000-0000-000028110000}"/>
    <cellStyle name="제목 83" xfId="4281" xr:uid="{00000000-0005-0000-0000-000029110000}"/>
    <cellStyle name="제목 84" xfId="4282" xr:uid="{00000000-0005-0000-0000-00002A110000}"/>
    <cellStyle name="제목 85" xfId="4283" xr:uid="{00000000-0005-0000-0000-00002B110000}"/>
    <cellStyle name="제목 86" xfId="4284" xr:uid="{00000000-0005-0000-0000-00002C110000}"/>
    <cellStyle name="제목 87" xfId="4285" xr:uid="{00000000-0005-0000-0000-00002D110000}"/>
    <cellStyle name="제목 88" xfId="4286" xr:uid="{00000000-0005-0000-0000-00002E110000}"/>
    <cellStyle name="제목 89" xfId="4287" xr:uid="{00000000-0005-0000-0000-00002F110000}"/>
    <cellStyle name="제목 9" xfId="4288" xr:uid="{00000000-0005-0000-0000-000030110000}"/>
    <cellStyle name="제목 90" xfId="4289" xr:uid="{00000000-0005-0000-0000-000031110000}"/>
    <cellStyle name="제목 91" xfId="4290" xr:uid="{00000000-0005-0000-0000-000032110000}"/>
    <cellStyle name="제목 92" xfId="4291" xr:uid="{00000000-0005-0000-0000-000033110000}"/>
    <cellStyle name="제목 93" xfId="4292" xr:uid="{00000000-0005-0000-0000-000034110000}"/>
    <cellStyle name="제목 94" xfId="4293" xr:uid="{00000000-0005-0000-0000-000035110000}"/>
    <cellStyle name="제목 95" xfId="4294" xr:uid="{00000000-0005-0000-0000-000036110000}"/>
    <cellStyle name="제목 96" xfId="4295" xr:uid="{00000000-0005-0000-0000-000037110000}"/>
    <cellStyle name="제목 97" xfId="4296" xr:uid="{00000000-0005-0000-0000-000038110000}"/>
    <cellStyle name="제목 98" xfId="4297" xr:uid="{00000000-0005-0000-0000-000039110000}"/>
    <cellStyle name="제목 99" xfId="4298" xr:uid="{00000000-0005-0000-0000-00003A110000}"/>
    <cellStyle name="좋음 10" xfId="4299" xr:uid="{00000000-0005-0000-0000-00003B110000}"/>
    <cellStyle name="좋음 100" xfId="4300" xr:uid="{00000000-0005-0000-0000-00003C110000}"/>
    <cellStyle name="좋음 101" xfId="4301" xr:uid="{00000000-0005-0000-0000-00003D110000}"/>
    <cellStyle name="좋음 102" xfId="4302" xr:uid="{00000000-0005-0000-0000-00003E110000}"/>
    <cellStyle name="좋음 103" xfId="4303" xr:uid="{00000000-0005-0000-0000-00003F110000}"/>
    <cellStyle name="좋음 104" xfId="4304" xr:uid="{00000000-0005-0000-0000-000040110000}"/>
    <cellStyle name="좋음 105" xfId="4305" xr:uid="{00000000-0005-0000-0000-000041110000}"/>
    <cellStyle name="좋음 106" xfId="4306" xr:uid="{00000000-0005-0000-0000-000042110000}"/>
    <cellStyle name="좋음 107" xfId="4307" xr:uid="{00000000-0005-0000-0000-000043110000}"/>
    <cellStyle name="좋음 11" xfId="4308" xr:uid="{00000000-0005-0000-0000-000044110000}"/>
    <cellStyle name="좋음 12" xfId="4309" xr:uid="{00000000-0005-0000-0000-000045110000}"/>
    <cellStyle name="좋음 13" xfId="4310" xr:uid="{00000000-0005-0000-0000-000046110000}"/>
    <cellStyle name="좋음 14" xfId="4311" xr:uid="{00000000-0005-0000-0000-000047110000}"/>
    <cellStyle name="좋음 15" xfId="4312" xr:uid="{00000000-0005-0000-0000-000048110000}"/>
    <cellStyle name="좋음 16" xfId="4313" xr:uid="{00000000-0005-0000-0000-000049110000}"/>
    <cellStyle name="좋음 17" xfId="4314" xr:uid="{00000000-0005-0000-0000-00004A110000}"/>
    <cellStyle name="좋음 18" xfId="4315" xr:uid="{00000000-0005-0000-0000-00004B110000}"/>
    <cellStyle name="좋음 19" xfId="4316" xr:uid="{00000000-0005-0000-0000-00004C110000}"/>
    <cellStyle name="좋음 2" xfId="4317" xr:uid="{00000000-0005-0000-0000-00004D110000}"/>
    <cellStyle name="좋음 20" xfId="4318" xr:uid="{00000000-0005-0000-0000-00004E110000}"/>
    <cellStyle name="좋음 21" xfId="4319" xr:uid="{00000000-0005-0000-0000-00004F110000}"/>
    <cellStyle name="좋음 22" xfId="4320" xr:uid="{00000000-0005-0000-0000-000050110000}"/>
    <cellStyle name="좋음 23" xfId="4321" xr:uid="{00000000-0005-0000-0000-000051110000}"/>
    <cellStyle name="좋음 24" xfId="4322" xr:uid="{00000000-0005-0000-0000-000052110000}"/>
    <cellStyle name="좋음 25" xfId="4323" xr:uid="{00000000-0005-0000-0000-000053110000}"/>
    <cellStyle name="좋음 26" xfId="4324" xr:uid="{00000000-0005-0000-0000-000054110000}"/>
    <cellStyle name="좋음 27" xfId="4325" xr:uid="{00000000-0005-0000-0000-000055110000}"/>
    <cellStyle name="좋음 28" xfId="4326" xr:uid="{00000000-0005-0000-0000-000056110000}"/>
    <cellStyle name="좋음 29" xfId="4327" xr:uid="{00000000-0005-0000-0000-000057110000}"/>
    <cellStyle name="좋음 3" xfId="4328" xr:uid="{00000000-0005-0000-0000-000058110000}"/>
    <cellStyle name="좋음 30" xfId="4329" xr:uid="{00000000-0005-0000-0000-000059110000}"/>
    <cellStyle name="좋음 31" xfId="4330" xr:uid="{00000000-0005-0000-0000-00005A110000}"/>
    <cellStyle name="좋음 32" xfId="4331" xr:uid="{00000000-0005-0000-0000-00005B110000}"/>
    <cellStyle name="좋음 33" xfId="4332" xr:uid="{00000000-0005-0000-0000-00005C110000}"/>
    <cellStyle name="좋음 34" xfId="4333" xr:uid="{00000000-0005-0000-0000-00005D110000}"/>
    <cellStyle name="좋음 35" xfId="4334" xr:uid="{00000000-0005-0000-0000-00005E110000}"/>
    <cellStyle name="좋음 36" xfId="4335" xr:uid="{00000000-0005-0000-0000-00005F110000}"/>
    <cellStyle name="좋음 37" xfId="4336" xr:uid="{00000000-0005-0000-0000-000060110000}"/>
    <cellStyle name="좋음 38" xfId="4337" xr:uid="{00000000-0005-0000-0000-000061110000}"/>
    <cellStyle name="좋음 39" xfId="4338" xr:uid="{00000000-0005-0000-0000-000062110000}"/>
    <cellStyle name="좋음 4" xfId="4339" xr:uid="{00000000-0005-0000-0000-000063110000}"/>
    <cellStyle name="좋음 40" xfId="4340" xr:uid="{00000000-0005-0000-0000-000064110000}"/>
    <cellStyle name="좋음 41" xfId="4341" xr:uid="{00000000-0005-0000-0000-000065110000}"/>
    <cellStyle name="좋음 42" xfId="4342" xr:uid="{00000000-0005-0000-0000-000066110000}"/>
    <cellStyle name="좋음 43" xfId="4343" xr:uid="{00000000-0005-0000-0000-000067110000}"/>
    <cellStyle name="좋음 44" xfId="4344" xr:uid="{00000000-0005-0000-0000-000068110000}"/>
    <cellStyle name="좋음 45" xfId="4345" xr:uid="{00000000-0005-0000-0000-000069110000}"/>
    <cellStyle name="좋음 46" xfId="4346" xr:uid="{00000000-0005-0000-0000-00006A110000}"/>
    <cellStyle name="좋음 47" xfId="4347" xr:uid="{00000000-0005-0000-0000-00006B110000}"/>
    <cellStyle name="좋음 48" xfId="4348" xr:uid="{00000000-0005-0000-0000-00006C110000}"/>
    <cellStyle name="좋음 49" xfId="4349" xr:uid="{00000000-0005-0000-0000-00006D110000}"/>
    <cellStyle name="좋음 5" xfId="4350" xr:uid="{00000000-0005-0000-0000-00006E110000}"/>
    <cellStyle name="좋음 50" xfId="4351" xr:uid="{00000000-0005-0000-0000-00006F110000}"/>
    <cellStyle name="좋음 51" xfId="4352" xr:uid="{00000000-0005-0000-0000-000070110000}"/>
    <cellStyle name="좋음 52" xfId="4353" xr:uid="{00000000-0005-0000-0000-000071110000}"/>
    <cellStyle name="좋음 53" xfId="4354" xr:uid="{00000000-0005-0000-0000-000072110000}"/>
    <cellStyle name="좋음 54" xfId="4355" xr:uid="{00000000-0005-0000-0000-000073110000}"/>
    <cellStyle name="좋음 55" xfId="4356" xr:uid="{00000000-0005-0000-0000-000074110000}"/>
    <cellStyle name="좋음 56" xfId="4357" xr:uid="{00000000-0005-0000-0000-000075110000}"/>
    <cellStyle name="좋음 57" xfId="4358" xr:uid="{00000000-0005-0000-0000-000076110000}"/>
    <cellStyle name="좋음 58" xfId="4359" xr:uid="{00000000-0005-0000-0000-000077110000}"/>
    <cellStyle name="좋음 59" xfId="4360" xr:uid="{00000000-0005-0000-0000-000078110000}"/>
    <cellStyle name="좋음 6" xfId="4361" xr:uid="{00000000-0005-0000-0000-000079110000}"/>
    <cellStyle name="좋음 60" xfId="4362" xr:uid="{00000000-0005-0000-0000-00007A110000}"/>
    <cellStyle name="좋음 61" xfId="4363" xr:uid="{00000000-0005-0000-0000-00007B110000}"/>
    <cellStyle name="좋음 62" xfId="4364" xr:uid="{00000000-0005-0000-0000-00007C110000}"/>
    <cellStyle name="좋음 63" xfId="4365" xr:uid="{00000000-0005-0000-0000-00007D110000}"/>
    <cellStyle name="좋음 64" xfId="4366" xr:uid="{00000000-0005-0000-0000-00007E110000}"/>
    <cellStyle name="좋음 65" xfId="4367" xr:uid="{00000000-0005-0000-0000-00007F110000}"/>
    <cellStyle name="좋음 66" xfId="4368" xr:uid="{00000000-0005-0000-0000-000080110000}"/>
    <cellStyle name="좋음 67" xfId="4369" xr:uid="{00000000-0005-0000-0000-000081110000}"/>
    <cellStyle name="좋음 68" xfId="4370" xr:uid="{00000000-0005-0000-0000-000082110000}"/>
    <cellStyle name="좋음 69" xfId="4371" xr:uid="{00000000-0005-0000-0000-000083110000}"/>
    <cellStyle name="좋음 7" xfId="4372" xr:uid="{00000000-0005-0000-0000-000084110000}"/>
    <cellStyle name="좋음 70" xfId="4373" xr:uid="{00000000-0005-0000-0000-000085110000}"/>
    <cellStyle name="좋음 71" xfId="4374" xr:uid="{00000000-0005-0000-0000-000086110000}"/>
    <cellStyle name="좋음 72" xfId="4375" xr:uid="{00000000-0005-0000-0000-000087110000}"/>
    <cellStyle name="좋음 73" xfId="4376" xr:uid="{00000000-0005-0000-0000-000088110000}"/>
    <cellStyle name="좋음 74" xfId="4377" xr:uid="{00000000-0005-0000-0000-000089110000}"/>
    <cellStyle name="좋음 75" xfId="4378" xr:uid="{00000000-0005-0000-0000-00008A110000}"/>
    <cellStyle name="좋음 76" xfId="4379" xr:uid="{00000000-0005-0000-0000-00008B110000}"/>
    <cellStyle name="좋음 77" xfId="4380" xr:uid="{00000000-0005-0000-0000-00008C110000}"/>
    <cellStyle name="좋음 78" xfId="4381" xr:uid="{00000000-0005-0000-0000-00008D110000}"/>
    <cellStyle name="좋음 79" xfId="4382" xr:uid="{00000000-0005-0000-0000-00008E110000}"/>
    <cellStyle name="좋음 8" xfId="4383" xr:uid="{00000000-0005-0000-0000-00008F110000}"/>
    <cellStyle name="좋음 80" xfId="4384" xr:uid="{00000000-0005-0000-0000-000090110000}"/>
    <cellStyle name="좋음 81" xfId="4385" xr:uid="{00000000-0005-0000-0000-000091110000}"/>
    <cellStyle name="좋음 82" xfId="4386" xr:uid="{00000000-0005-0000-0000-000092110000}"/>
    <cellStyle name="좋음 83" xfId="4387" xr:uid="{00000000-0005-0000-0000-000093110000}"/>
    <cellStyle name="좋음 84" xfId="4388" xr:uid="{00000000-0005-0000-0000-000094110000}"/>
    <cellStyle name="좋음 85" xfId="4389" xr:uid="{00000000-0005-0000-0000-000095110000}"/>
    <cellStyle name="좋음 86" xfId="4390" xr:uid="{00000000-0005-0000-0000-000096110000}"/>
    <cellStyle name="좋음 87" xfId="4391" xr:uid="{00000000-0005-0000-0000-000097110000}"/>
    <cellStyle name="좋음 88" xfId="4392" xr:uid="{00000000-0005-0000-0000-000098110000}"/>
    <cellStyle name="좋음 89" xfId="4393" xr:uid="{00000000-0005-0000-0000-000099110000}"/>
    <cellStyle name="좋음 9" xfId="4394" xr:uid="{00000000-0005-0000-0000-00009A110000}"/>
    <cellStyle name="좋음 90" xfId="4395" xr:uid="{00000000-0005-0000-0000-00009B110000}"/>
    <cellStyle name="좋음 91" xfId="4396" xr:uid="{00000000-0005-0000-0000-00009C110000}"/>
    <cellStyle name="좋음 92" xfId="4397" xr:uid="{00000000-0005-0000-0000-00009D110000}"/>
    <cellStyle name="좋음 93" xfId="4398" xr:uid="{00000000-0005-0000-0000-00009E110000}"/>
    <cellStyle name="좋음 94" xfId="4399" xr:uid="{00000000-0005-0000-0000-00009F110000}"/>
    <cellStyle name="좋음 95" xfId="4400" xr:uid="{00000000-0005-0000-0000-0000A0110000}"/>
    <cellStyle name="좋음 96" xfId="4401" xr:uid="{00000000-0005-0000-0000-0000A1110000}"/>
    <cellStyle name="좋음 97" xfId="4402" xr:uid="{00000000-0005-0000-0000-0000A2110000}"/>
    <cellStyle name="좋음 98" xfId="4403" xr:uid="{00000000-0005-0000-0000-0000A3110000}"/>
    <cellStyle name="좋음 99" xfId="4404" xr:uid="{00000000-0005-0000-0000-0000A4110000}"/>
    <cellStyle name="출력 10" xfId="4405" xr:uid="{00000000-0005-0000-0000-0000A5110000}"/>
    <cellStyle name="출력 100" xfId="4406" xr:uid="{00000000-0005-0000-0000-0000A6110000}"/>
    <cellStyle name="출력 101" xfId="4407" xr:uid="{00000000-0005-0000-0000-0000A7110000}"/>
    <cellStyle name="출력 102" xfId="4408" xr:uid="{00000000-0005-0000-0000-0000A8110000}"/>
    <cellStyle name="출력 103" xfId="4409" xr:uid="{00000000-0005-0000-0000-0000A9110000}"/>
    <cellStyle name="출력 104" xfId="4410" xr:uid="{00000000-0005-0000-0000-0000AA110000}"/>
    <cellStyle name="출력 105" xfId="4411" xr:uid="{00000000-0005-0000-0000-0000AB110000}"/>
    <cellStyle name="출력 106" xfId="4412" xr:uid="{00000000-0005-0000-0000-0000AC110000}"/>
    <cellStyle name="출력 107" xfId="4413" xr:uid="{00000000-0005-0000-0000-0000AD110000}"/>
    <cellStyle name="출력 11" xfId="4414" xr:uid="{00000000-0005-0000-0000-0000AE110000}"/>
    <cellStyle name="출력 12" xfId="4415" xr:uid="{00000000-0005-0000-0000-0000AF110000}"/>
    <cellStyle name="출력 13" xfId="4416" xr:uid="{00000000-0005-0000-0000-0000B0110000}"/>
    <cellStyle name="출력 14" xfId="4417" xr:uid="{00000000-0005-0000-0000-0000B1110000}"/>
    <cellStyle name="출력 15" xfId="4418" xr:uid="{00000000-0005-0000-0000-0000B2110000}"/>
    <cellStyle name="출력 16" xfId="4419" xr:uid="{00000000-0005-0000-0000-0000B3110000}"/>
    <cellStyle name="출력 17" xfId="4420" xr:uid="{00000000-0005-0000-0000-0000B4110000}"/>
    <cellStyle name="출력 18" xfId="4421" xr:uid="{00000000-0005-0000-0000-0000B5110000}"/>
    <cellStyle name="출력 19" xfId="4422" xr:uid="{00000000-0005-0000-0000-0000B6110000}"/>
    <cellStyle name="출력 2" xfId="4423" xr:uid="{00000000-0005-0000-0000-0000B7110000}"/>
    <cellStyle name="출력 20" xfId="4424" xr:uid="{00000000-0005-0000-0000-0000B8110000}"/>
    <cellStyle name="출력 21" xfId="4425" xr:uid="{00000000-0005-0000-0000-0000B9110000}"/>
    <cellStyle name="출력 22" xfId="4426" xr:uid="{00000000-0005-0000-0000-0000BA110000}"/>
    <cellStyle name="출력 23" xfId="4427" xr:uid="{00000000-0005-0000-0000-0000BB110000}"/>
    <cellStyle name="출력 24" xfId="4428" xr:uid="{00000000-0005-0000-0000-0000BC110000}"/>
    <cellStyle name="출력 25" xfId="4429" xr:uid="{00000000-0005-0000-0000-0000BD110000}"/>
    <cellStyle name="출력 26" xfId="4430" xr:uid="{00000000-0005-0000-0000-0000BE110000}"/>
    <cellStyle name="출력 27" xfId="4431" xr:uid="{00000000-0005-0000-0000-0000BF110000}"/>
    <cellStyle name="출력 28" xfId="4432" xr:uid="{00000000-0005-0000-0000-0000C0110000}"/>
    <cellStyle name="출력 29" xfId="4433" xr:uid="{00000000-0005-0000-0000-0000C1110000}"/>
    <cellStyle name="출력 3" xfId="4434" xr:uid="{00000000-0005-0000-0000-0000C2110000}"/>
    <cellStyle name="출력 30" xfId="4435" xr:uid="{00000000-0005-0000-0000-0000C3110000}"/>
    <cellStyle name="출력 31" xfId="4436" xr:uid="{00000000-0005-0000-0000-0000C4110000}"/>
    <cellStyle name="출력 32" xfId="4437" xr:uid="{00000000-0005-0000-0000-0000C5110000}"/>
    <cellStyle name="출력 33" xfId="4438" xr:uid="{00000000-0005-0000-0000-0000C6110000}"/>
    <cellStyle name="출력 34" xfId="4439" xr:uid="{00000000-0005-0000-0000-0000C7110000}"/>
    <cellStyle name="출력 35" xfId="4440" xr:uid="{00000000-0005-0000-0000-0000C8110000}"/>
    <cellStyle name="출력 36" xfId="4441" xr:uid="{00000000-0005-0000-0000-0000C9110000}"/>
    <cellStyle name="출력 37" xfId="4442" xr:uid="{00000000-0005-0000-0000-0000CA110000}"/>
    <cellStyle name="출력 38" xfId="4443" xr:uid="{00000000-0005-0000-0000-0000CB110000}"/>
    <cellStyle name="출력 39" xfId="4444" xr:uid="{00000000-0005-0000-0000-0000CC110000}"/>
    <cellStyle name="출력 4" xfId="4445" xr:uid="{00000000-0005-0000-0000-0000CD110000}"/>
    <cellStyle name="출력 40" xfId="4446" xr:uid="{00000000-0005-0000-0000-0000CE110000}"/>
    <cellStyle name="출력 41" xfId="4447" xr:uid="{00000000-0005-0000-0000-0000CF110000}"/>
    <cellStyle name="출력 42" xfId="4448" xr:uid="{00000000-0005-0000-0000-0000D0110000}"/>
    <cellStyle name="출력 43" xfId="4449" xr:uid="{00000000-0005-0000-0000-0000D1110000}"/>
    <cellStyle name="출력 44" xfId="4450" xr:uid="{00000000-0005-0000-0000-0000D2110000}"/>
    <cellStyle name="출력 45" xfId="4451" xr:uid="{00000000-0005-0000-0000-0000D3110000}"/>
    <cellStyle name="출력 46" xfId="4452" xr:uid="{00000000-0005-0000-0000-0000D4110000}"/>
    <cellStyle name="출력 47" xfId="4453" xr:uid="{00000000-0005-0000-0000-0000D5110000}"/>
    <cellStyle name="출력 48" xfId="4454" xr:uid="{00000000-0005-0000-0000-0000D6110000}"/>
    <cellStyle name="출력 49" xfId="4455" xr:uid="{00000000-0005-0000-0000-0000D7110000}"/>
    <cellStyle name="출력 5" xfId="4456" xr:uid="{00000000-0005-0000-0000-0000D8110000}"/>
    <cellStyle name="출력 50" xfId="4457" xr:uid="{00000000-0005-0000-0000-0000D9110000}"/>
    <cellStyle name="출력 51" xfId="4458" xr:uid="{00000000-0005-0000-0000-0000DA110000}"/>
    <cellStyle name="출력 52" xfId="4459" xr:uid="{00000000-0005-0000-0000-0000DB110000}"/>
    <cellStyle name="출력 53" xfId="4460" xr:uid="{00000000-0005-0000-0000-0000DC110000}"/>
    <cellStyle name="출력 54" xfId="4461" xr:uid="{00000000-0005-0000-0000-0000DD110000}"/>
    <cellStyle name="출력 55" xfId="4462" xr:uid="{00000000-0005-0000-0000-0000DE110000}"/>
    <cellStyle name="출력 56" xfId="4463" xr:uid="{00000000-0005-0000-0000-0000DF110000}"/>
    <cellStyle name="출력 57" xfId="4464" xr:uid="{00000000-0005-0000-0000-0000E0110000}"/>
    <cellStyle name="출력 58" xfId="4465" xr:uid="{00000000-0005-0000-0000-0000E1110000}"/>
    <cellStyle name="출력 59" xfId="4466" xr:uid="{00000000-0005-0000-0000-0000E2110000}"/>
    <cellStyle name="출력 6" xfId="4467" xr:uid="{00000000-0005-0000-0000-0000E3110000}"/>
    <cellStyle name="출력 60" xfId="4468" xr:uid="{00000000-0005-0000-0000-0000E4110000}"/>
    <cellStyle name="출력 61" xfId="4469" xr:uid="{00000000-0005-0000-0000-0000E5110000}"/>
    <cellStyle name="출력 62" xfId="4470" xr:uid="{00000000-0005-0000-0000-0000E6110000}"/>
    <cellStyle name="출력 63" xfId="4471" xr:uid="{00000000-0005-0000-0000-0000E7110000}"/>
    <cellStyle name="출력 64" xfId="4472" xr:uid="{00000000-0005-0000-0000-0000E8110000}"/>
    <cellStyle name="출력 65" xfId="4473" xr:uid="{00000000-0005-0000-0000-0000E9110000}"/>
    <cellStyle name="출력 66" xfId="4474" xr:uid="{00000000-0005-0000-0000-0000EA110000}"/>
    <cellStyle name="출력 67" xfId="4475" xr:uid="{00000000-0005-0000-0000-0000EB110000}"/>
    <cellStyle name="출력 68" xfId="4476" xr:uid="{00000000-0005-0000-0000-0000EC110000}"/>
    <cellStyle name="출력 69" xfId="4477" xr:uid="{00000000-0005-0000-0000-0000ED110000}"/>
    <cellStyle name="출력 7" xfId="4478" xr:uid="{00000000-0005-0000-0000-0000EE110000}"/>
    <cellStyle name="출력 70" xfId="4479" xr:uid="{00000000-0005-0000-0000-0000EF110000}"/>
    <cellStyle name="출력 71" xfId="4480" xr:uid="{00000000-0005-0000-0000-0000F0110000}"/>
    <cellStyle name="출력 72" xfId="4481" xr:uid="{00000000-0005-0000-0000-0000F1110000}"/>
    <cellStyle name="출력 73" xfId="4482" xr:uid="{00000000-0005-0000-0000-0000F2110000}"/>
    <cellStyle name="출력 74" xfId="4483" xr:uid="{00000000-0005-0000-0000-0000F3110000}"/>
    <cellStyle name="출력 75" xfId="4484" xr:uid="{00000000-0005-0000-0000-0000F4110000}"/>
    <cellStyle name="출력 76" xfId="4485" xr:uid="{00000000-0005-0000-0000-0000F5110000}"/>
    <cellStyle name="출력 77" xfId="4486" xr:uid="{00000000-0005-0000-0000-0000F6110000}"/>
    <cellStyle name="출력 78" xfId="4487" xr:uid="{00000000-0005-0000-0000-0000F7110000}"/>
    <cellStyle name="출력 79" xfId="4488" xr:uid="{00000000-0005-0000-0000-0000F8110000}"/>
    <cellStyle name="출력 8" xfId="4489" xr:uid="{00000000-0005-0000-0000-0000F9110000}"/>
    <cellStyle name="출력 80" xfId="4490" xr:uid="{00000000-0005-0000-0000-0000FA110000}"/>
    <cellStyle name="출력 81" xfId="4491" xr:uid="{00000000-0005-0000-0000-0000FB110000}"/>
    <cellStyle name="출력 82" xfId="4492" xr:uid="{00000000-0005-0000-0000-0000FC110000}"/>
    <cellStyle name="출력 83" xfId="4493" xr:uid="{00000000-0005-0000-0000-0000FD110000}"/>
    <cellStyle name="출력 84" xfId="4494" xr:uid="{00000000-0005-0000-0000-0000FE110000}"/>
    <cellStyle name="출력 85" xfId="4495" xr:uid="{00000000-0005-0000-0000-0000FF110000}"/>
    <cellStyle name="출력 86" xfId="4496" xr:uid="{00000000-0005-0000-0000-000000120000}"/>
    <cellStyle name="출력 87" xfId="4497" xr:uid="{00000000-0005-0000-0000-000001120000}"/>
    <cellStyle name="출력 88" xfId="4498" xr:uid="{00000000-0005-0000-0000-000002120000}"/>
    <cellStyle name="출력 89" xfId="4499" xr:uid="{00000000-0005-0000-0000-000003120000}"/>
    <cellStyle name="출력 9" xfId="4500" xr:uid="{00000000-0005-0000-0000-000004120000}"/>
    <cellStyle name="출력 90" xfId="4501" xr:uid="{00000000-0005-0000-0000-000005120000}"/>
    <cellStyle name="출력 91" xfId="4502" xr:uid="{00000000-0005-0000-0000-000006120000}"/>
    <cellStyle name="출력 92" xfId="4503" xr:uid="{00000000-0005-0000-0000-000007120000}"/>
    <cellStyle name="출력 93" xfId="4504" xr:uid="{00000000-0005-0000-0000-000008120000}"/>
    <cellStyle name="출력 94" xfId="4505" xr:uid="{00000000-0005-0000-0000-000009120000}"/>
    <cellStyle name="출력 95" xfId="4506" xr:uid="{00000000-0005-0000-0000-00000A120000}"/>
    <cellStyle name="출력 96" xfId="4507" xr:uid="{00000000-0005-0000-0000-00000B120000}"/>
    <cellStyle name="출력 97" xfId="4508" xr:uid="{00000000-0005-0000-0000-00000C120000}"/>
    <cellStyle name="출력 98" xfId="4509" xr:uid="{00000000-0005-0000-0000-00000D120000}"/>
    <cellStyle name="출력 99" xfId="4510" xr:uid="{00000000-0005-0000-0000-00000E120000}"/>
    <cellStyle name="콤마 [0]_(한미)점코드" xfId="4511" xr:uid="{00000000-0005-0000-0000-00000F120000}"/>
    <cellStyle name="콤마_(한미)점코드" xfId="4512" xr:uid="{00000000-0005-0000-0000-000010120000}"/>
    <cellStyle name="통화 [0] 2" xfId="4699" xr:uid="{00000000-0005-0000-0000-000011120000}"/>
    <cellStyle name="통화 [0] 3" xfId="4700" xr:uid="{00000000-0005-0000-0000-000012120000}"/>
    <cellStyle name="통화 [0] 4" xfId="4696" xr:uid="{00000000-0005-0000-0000-000013120000}"/>
    <cellStyle name="표준" xfId="0" builtinId="0"/>
    <cellStyle name="표준 10" xfId="27" xr:uid="{00000000-0005-0000-0000-000015120000}"/>
    <cellStyle name="표준 10 2" xfId="37" xr:uid="{00000000-0005-0000-0000-000016120000}"/>
    <cellStyle name="표준 10 2 2" xfId="97" xr:uid="{00000000-0005-0000-0000-000017120000}"/>
    <cellStyle name="표준 10 2 2 2" xfId="4690" xr:uid="{00000000-0005-0000-0000-000018120000}"/>
    <cellStyle name="표준 10 2 3" xfId="127" xr:uid="{00000000-0005-0000-0000-000019120000}"/>
    <cellStyle name="표준 10 3" xfId="54" xr:uid="{00000000-0005-0000-0000-00001A120000}"/>
    <cellStyle name="표준 10 3 2" xfId="105" xr:uid="{00000000-0005-0000-0000-00001B120000}"/>
    <cellStyle name="표준 10 3 3" xfId="135" xr:uid="{00000000-0005-0000-0000-00001C120000}"/>
    <cellStyle name="표준 10 4" xfId="89" xr:uid="{00000000-0005-0000-0000-00001D120000}"/>
    <cellStyle name="표준 10 5" xfId="117" xr:uid="{00000000-0005-0000-0000-00001E120000}"/>
    <cellStyle name="표준 10 6" xfId="4513" xr:uid="{00000000-0005-0000-0000-00001F120000}"/>
    <cellStyle name="표준 100" xfId="4514" xr:uid="{00000000-0005-0000-0000-000020120000}"/>
    <cellStyle name="표준 101" xfId="4515" xr:uid="{00000000-0005-0000-0000-000021120000}"/>
    <cellStyle name="표준 102" xfId="4516" xr:uid="{00000000-0005-0000-0000-000022120000}"/>
    <cellStyle name="표준 103" xfId="4517" xr:uid="{00000000-0005-0000-0000-000023120000}"/>
    <cellStyle name="표준 104" xfId="4518" xr:uid="{00000000-0005-0000-0000-000024120000}"/>
    <cellStyle name="표준 105" xfId="4519" xr:uid="{00000000-0005-0000-0000-000025120000}"/>
    <cellStyle name="표준 106" xfId="4520" xr:uid="{00000000-0005-0000-0000-000026120000}"/>
    <cellStyle name="표준 107" xfId="4521" xr:uid="{00000000-0005-0000-0000-000027120000}"/>
    <cellStyle name="표준 107 2" xfId="6" xr:uid="{00000000-0005-0000-0000-000028120000}"/>
    <cellStyle name="표준 107 2 2" xfId="4689" xr:uid="{00000000-0005-0000-0000-000029120000}"/>
    <cellStyle name="표준 108" xfId="4522" xr:uid="{00000000-0005-0000-0000-00002A120000}"/>
    <cellStyle name="표준 108 2" xfId="4686" xr:uid="{00000000-0005-0000-0000-00002B120000}"/>
    <cellStyle name="표준 109" xfId="4523" xr:uid="{00000000-0005-0000-0000-00002C120000}"/>
    <cellStyle name="표준 11" xfId="28" xr:uid="{00000000-0005-0000-0000-00002D120000}"/>
    <cellStyle name="표준 11 2" xfId="38" xr:uid="{00000000-0005-0000-0000-00002E120000}"/>
    <cellStyle name="표준 11 2 2" xfId="98" xr:uid="{00000000-0005-0000-0000-00002F120000}"/>
    <cellStyle name="표준 11 2 3" xfId="128" xr:uid="{00000000-0005-0000-0000-000030120000}"/>
    <cellStyle name="표준 11 3" xfId="55" xr:uid="{00000000-0005-0000-0000-000031120000}"/>
    <cellStyle name="표준 11 3 2" xfId="106" xr:uid="{00000000-0005-0000-0000-000032120000}"/>
    <cellStyle name="표준 11 3 3" xfId="136" xr:uid="{00000000-0005-0000-0000-000033120000}"/>
    <cellStyle name="표준 11 4" xfId="90" xr:uid="{00000000-0005-0000-0000-000034120000}"/>
    <cellStyle name="표준 11 5" xfId="118" xr:uid="{00000000-0005-0000-0000-000035120000}"/>
    <cellStyle name="표준 11 6" xfId="4524" xr:uid="{00000000-0005-0000-0000-000036120000}"/>
    <cellStyle name="표준 11 7" xfId="4709" xr:uid="{00000000-0005-0000-0000-000037120000}"/>
    <cellStyle name="표준 110" xfId="4692" xr:uid="{00000000-0005-0000-0000-000038120000}"/>
    <cellStyle name="표준 111" xfId="2" xr:uid="{00000000-0005-0000-0000-000039120000}"/>
    <cellStyle name="표준 112" xfId="9" xr:uid="{00000000-0005-0000-0000-00003A120000}"/>
    <cellStyle name="표준 12" xfId="82" xr:uid="{00000000-0005-0000-0000-00003B120000}"/>
    <cellStyle name="표준 12 2" xfId="7" xr:uid="{00000000-0005-0000-0000-00003C120000}"/>
    <cellStyle name="표준 12 3" xfId="56" xr:uid="{00000000-0005-0000-0000-00003D120000}"/>
    <cellStyle name="표준 12 4" xfId="107" xr:uid="{00000000-0005-0000-0000-00003E120000}"/>
    <cellStyle name="표준 12 5" xfId="139" xr:uid="{00000000-0005-0000-0000-00003F120000}"/>
    <cellStyle name="표준 12 6" xfId="4525" xr:uid="{00000000-0005-0000-0000-000040120000}"/>
    <cellStyle name="표준 13" xfId="45" xr:uid="{00000000-0005-0000-0000-000041120000}"/>
    <cellStyle name="표준 13 2" xfId="66" xr:uid="{00000000-0005-0000-0000-000042120000}"/>
    <cellStyle name="표준 13 3" xfId="72" xr:uid="{00000000-0005-0000-0000-000043120000}"/>
    <cellStyle name="표준 13 4" xfId="77" xr:uid="{00000000-0005-0000-0000-000044120000}"/>
    <cellStyle name="표준 13 5" xfId="80" xr:uid="{00000000-0005-0000-0000-000045120000}"/>
    <cellStyle name="표준 13 6" xfId="4526" xr:uid="{00000000-0005-0000-0000-000046120000}"/>
    <cellStyle name="표준 14" xfId="39" xr:uid="{00000000-0005-0000-0000-000047120000}"/>
    <cellStyle name="표준 14 2" xfId="64" xr:uid="{00000000-0005-0000-0000-000048120000}"/>
    <cellStyle name="표준 14 3" xfId="68" xr:uid="{00000000-0005-0000-0000-000049120000}"/>
    <cellStyle name="표준 14 4" xfId="73" xr:uid="{00000000-0005-0000-0000-00004A120000}"/>
    <cellStyle name="표준 14 5" xfId="78" xr:uid="{00000000-0005-0000-0000-00004B120000}"/>
    <cellStyle name="표준 14 6" xfId="4527" xr:uid="{00000000-0005-0000-0000-00004C120000}"/>
    <cellStyle name="표준 15" xfId="44" xr:uid="{00000000-0005-0000-0000-00004D120000}"/>
    <cellStyle name="표준 15 2" xfId="65" xr:uid="{00000000-0005-0000-0000-00004E120000}"/>
    <cellStyle name="표준 15 3" xfId="71" xr:uid="{00000000-0005-0000-0000-00004F120000}"/>
    <cellStyle name="표준 15 4" xfId="76" xr:uid="{00000000-0005-0000-0000-000050120000}"/>
    <cellStyle name="표준 15 5" xfId="79" xr:uid="{00000000-0005-0000-0000-000051120000}"/>
    <cellStyle name="표준 15 6" xfId="4528" xr:uid="{00000000-0005-0000-0000-000052120000}"/>
    <cellStyle name="표준 16" xfId="108" xr:uid="{00000000-0005-0000-0000-000053120000}"/>
    <cellStyle name="표준 16 2" xfId="140" xr:uid="{00000000-0005-0000-0000-000054120000}"/>
    <cellStyle name="표준 16 2 2" xfId="4732" xr:uid="{00000000-0005-0000-0000-000055120000}"/>
    <cellStyle name="표준 16 2 3" xfId="4837" xr:uid="{00000000-0005-0000-0000-000056120000}"/>
    <cellStyle name="표준 16 3" xfId="4529" xr:uid="{00000000-0005-0000-0000-000057120000}"/>
    <cellStyle name="표준 16 4" xfId="4710" xr:uid="{00000000-0005-0000-0000-000058120000}"/>
    <cellStyle name="표준 17" xfId="59" xr:uid="{00000000-0005-0000-0000-000059120000}"/>
    <cellStyle name="표준 17 2" xfId="4530" xr:uid="{00000000-0005-0000-0000-00005A120000}"/>
    <cellStyle name="표준 18" xfId="16" xr:uid="{00000000-0005-0000-0000-00005B120000}"/>
    <cellStyle name="표준 18 2" xfId="4531" xr:uid="{00000000-0005-0000-0000-00005C120000}"/>
    <cellStyle name="표준 18 3" xfId="4623" xr:uid="{00000000-0005-0000-0000-00005D120000}"/>
    <cellStyle name="표준 19" xfId="61" xr:uid="{00000000-0005-0000-0000-00005E120000}"/>
    <cellStyle name="표준 19 2" xfId="4532" xr:uid="{00000000-0005-0000-0000-00005F120000}"/>
    <cellStyle name="표준 19 2 2" xfId="4" xr:uid="{00000000-0005-0000-0000-000060120000}"/>
    <cellStyle name="표준 2" xfId="12" xr:uid="{00000000-0005-0000-0000-000061120000}"/>
    <cellStyle name="표준 2 10" xfId="1" xr:uid="{00000000-0005-0000-0000-000062120000}"/>
    <cellStyle name="표준 2 11" xfId="67" xr:uid="{00000000-0005-0000-0000-000063120000}"/>
    <cellStyle name="표준 2 12" xfId="109" xr:uid="{00000000-0005-0000-0000-000064120000}"/>
    <cellStyle name="표준 2 12 2" xfId="4726" xr:uid="{00000000-0005-0000-0000-000065120000}"/>
    <cellStyle name="표준 2 13" xfId="4533" xr:uid="{00000000-0005-0000-0000-000066120000}"/>
    <cellStyle name="표준 2 13 2" xfId="4738" xr:uid="{00000000-0005-0000-0000-000067120000}"/>
    <cellStyle name="표준 2 14" xfId="4727" xr:uid="{00000000-0005-0000-0000-000068120000}"/>
    <cellStyle name="표준 2 15" xfId="4745" xr:uid="{00000000-0005-0000-0000-000069120000}"/>
    <cellStyle name="표준 2 16" xfId="4725" xr:uid="{00000000-0005-0000-0000-00006A120000}"/>
    <cellStyle name="표준 2 17" xfId="4769" xr:uid="{00000000-0005-0000-0000-00006B120000}"/>
    <cellStyle name="표준 2 18" xfId="4754" xr:uid="{00000000-0005-0000-0000-00006C120000}"/>
    <cellStyle name="표준 2 19" xfId="4775" xr:uid="{00000000-0005-0000-0000-00006D120000}"/>
    <cellStyle name="표준 2 2" xfId="13" xr:uid="{00000000-0005-0000-0000-00006E120000}"/>
    <cellStyle name="표준 2 2 10" xfId="4729" xr:uid="{00000000-0005-0000-0000-00006F120000}"/>
    <cellStyle name="표준 2 2 11" xfId="4773" xr:uid="{00000000-0005-0000-0000-000070120000}"/>
    <cellStyle name="표준 2 2 12" xfId="4757" xr:uid="{00000000-0005-0000-0000-000071120000}"/>
    <cellStyle name="표준 2 2 13" xfId="4763" xr:uid="{00000000-0005-0000-0000-000072120000}"/>
    <cellStyle name="표준 2 2 14" xfId="4794" xr:uid="{00000000-0005-0000-0000-000073120000}"/>
    <cellStyle name="표준 2 2 15" xfId="4795" xr:uid="{00000000-0005-0000-0000-000074120000}"/>
    <cellStyle name="표준 2 2 16" xfId="4803" xr:uid="{00000000-0005-0000-0000-000075120000}"/>
    <cellStyle name="표준 2 2 17" xfId="4785" xr:uid="{00000000-0005-0000-0000-000076120000}"/>
    <cellStyle name="표준 2 2 18" xfId="4786" xr:uid="{00000000-0005-0000-0000-000077120000}"/>
    <cellStyle name="표준 2 2 19" xfId="4806" xr:uid="{00000000-0005-0000-0000-000078120000}"/>
    <cellStyle name="표준 2 2 2" xfId="30" xr:uid="{00000000-0005-0000-0000-000079120000}"/>
    <cellStyle name="표준 2 2 2 10" xfId="4776" xr:uid="{00000000-0005-0000-0000-00007A120000}"/>
    <cellStyle name="표준 2 2 2 11" xfId="4743" xr:uid="{00000000-0005-0000-0000-00007B120000}"/>
    <cellStyle name="표준 2 2 2 12" xfId="4772" xr:uid="{00000000-0005-0000-0000-00007C120000}"/>
    <cellStyle name="표준 2 2 2 13" xfId="4790" xr:uid="{00000000-0005-0000-0000-00007D120000}"/>
    <cellStyle name="표준 2 2 2 14" xfId="4788" xr:uid="{00000000-0005-0000-0000-00007E120000}"/>
    <cellStyle name="표준 2 2 2 15" xfId="4781" xr:uid="{00000000-0005-0000-0000-00007F120000}"/>
    <cellStyle name="표준 2 2 2 16" xfId="4800" xr:uid="{00000000-0005-0000-0000-000080120000}"/>
    <cellStyle name="표준 2 2 2 17" xfId="4798" xr:uid="{00000000-0005-0000-0000-000081120000}"/>
    <cellStyle name="표준 2 2 2 18" xfId="4746" xr:uid="{00000000-0005-0000-0000-000082120000}"/>
    <cellStyle name="표준 2 2 2 19" xfId="4808" xr:uid="{00000000-0005-0000-0000-000083120000}"/>
    <cellStyle name="표준 2 2 2 2" xfId="62" xr:uid="{00000000-0005-0000-0000-000084120000}"/>
    <cellStyle name="표준 2 2 2 2 10" xfId="4752" xr:uid="{00000000-0005-0000-0000-000085120000}"/>
    <cellStyle name="표준 2 2 2 2 11" xfId="4783" xr:uid="{00000000-0005-0000-0000-000086120000}"/>
    <cellStyle name="표준 2 2 2 2 12" xfId="4762" xr:uid="{00000000-0005-0000-0000-000087120000}"/>
    <cellStyle name="표준 2 2 2 2 13" xfId="4787" xr:uid="{00000000-0005-0000-0000-000088120000}"/>
    <cellStyle name="표준 2 2 2 2 14" xfId="4810" xr:uid="{00000000-0005-0000-0000-000089120000}"/>
    <cellStyle name="표준 2 2 2 2 15" xfId="4815" xr:uid="{00000000-0005-0000-0000-00008A120000}"/>
    <cellStyle name="표준 2 2 2 2 16" xfId="4820" xr:uid="{00000000-0005-0000-0000-00008B120000}"/>
    <cellStyle name="표준 2 2 2 2 17" xfId="4825" xr:uid="{00000000-0005-0000-0000-00008C120000}"/>
    <cellStyle name="표준 2 2 2 2 18" xfId="4828" xr:uid="{00000000-0005-0000-0000-00008D120000}"/>
    <cellStyle name="표준 2 2 2 2 19" xfId="4829" xr:uid="{00000000-0005-0000-0000-00008E120000}"/>
    <cellStyle name="표준 2 2 2 2 2" xfId="63" xr:uid="{00000000-0005-0000-0000-00008F120000}"/>
    <cellStyle name="표준 2 2 2 2 2 10" xfId="4759" xr:uid="{00000000-0005-0000-0000-000090120000}"/>
    <cellStyle name="표준 2 2 2 2 2 11" xfId="4741" xr:uid="{00000000-0005-0000-0000-000091120000}"/>
    <cellStyle name="표준 2 2 2 2 2 12" xfId="4797" xr:uid="{00000000-0005-0000-0000-000092120000}"/>
    <cellStyle name="표준 2 2 2 2 2 13" xfId="4777" xr:uid="{00000000-0005-0000-0000-000093120000}"/>
    <cellStyle name="표준 2 2 2 2 2 14" xfId="4807" xr:uid="{00000000-0005-0000-0000-000094120000}"/>
    <cellStyle name="표준 2 2 2 2 2 15" xfId="4816" xr:uid="{00000000-0005-0000-0000-000095120000}"/>
    <cellStyle name="표준 2 2 2 2 2 16" xfId="4819" xr:uid="{00000000-0005-0000-0000-000096120000}"/>
    <cellStyle name="표준 2 2 2 2 2 17" xfId="4826" xr:uid="{00000000-0005-0000-0000-000097120000}"/>
    <cellStyle name="표준 2 2 2 2 2 18" xfId="4827" xr:uid="{00000000-0005-0000-0000-000098120000}"/>
    <cellStyle name="표준 2 2 2 2 2 19" xfId="4812" xr:uid="{00000000-0005-0000-0000-000099120000}"/>
    <cellStyle name="표준 2 2 2 2 2 2" xfId="137" xr:uid="{00000000-0005-0000-0000-00009A120000}"/>
    <cellStyle name="표준 2 2 2 2 2 2 2" xfId="138" xr:uid="{00000000-0005-0000-0000-00009B120000}"/>
    <cellStyle name="표준 2 2 2 2 2 3" xfId="4756" xr:uid="{00000000-0005-0000-0000-00009C120000}"/>
    <cellStyle name="표준 2 2 2 2 2 4" xfId="4751" xr:uid="{00000000-0005-0000-0000-00009D120000}"/>
    <cellStyle name="표준 2 2 2 2 2 5" xfId="4764" xr:uid="{00000000-0005-0000-0000-00009E120000}"/>
    <cellStyle name="표준 2 2 2 2 2 6" xfId="4758" xr:uid="{00000000-0005-0000-0000-00009F120000}"/>
    <cellStyle name="표준 2 2 2 2 2 7" xfId="4747" xr:uid="{00000000-0005-0000-0000-0000A0120000}"/>
    <cellStyle name="표준 2 2 2 2 2 8" xfId="4765" xr:uid="{00000000-0005-0000-0000-0000A1120000}"/>
    <cellStyle name="표준 2 2 2 2 2 9" xfId="4789" xr:uid="{00000000-0005-0000-0000-0000A2120000}"/>
    <cellStyle name="표준 2 2 2 2 3" xfId="120" xr:uid="{00000000-0005-0000-0000-0000A3120000}"/>
    <cellStyle name="표준 2 2 2 2 3 2" xfId="4755" xr:uid="{00000000-0005-0000-0000-0000A4120000}"/>
    <cellStyle name="표준 2 2 2 2 4" xfId="4742" xr:uid="{00000000-0005-0000-0000-0000A5120000}"/>
    <cellStyle name="표준 2 2 2 2 5" xfId="4768" xr:uid="{00000000-0005-0000-0000-0000A6120000}"/>
    <cellStyle name="표준 2 2 2 2 6" xfId="4767" xr:uid="{00000000-0005-0000-0000-0000A7120000}"/>
    <cellStyle name="표준 2 2 2 2 7" xfId="4771" xr:uid="{00000000-0005-0000-0000-0000A8120000}"/>
    <cellStyle name="표준 2 2 2 2 8" xfId="4739" xr:uid="{00000000-0005-0000-0000-0000A9120000}"/>
    <cellStyle name="표준 2 2 2 2 9" xfId="4791" xr:uid="{00000000-0005-0000-0000-0000AA120000}"/>
    <cellStyle name="표준 2 2 2 20" xfId="4804" xr:uid="{00000000-0005-0000-0000-0000AB120000}"/>
    <cellStyle name="표준 2 2 2 21" xfId="4809" xr:uid="{00000000-0005-0000-0000-0000AC120000}"/>
    <cellStyle name="표준 2 2 2 22" xfId="4779" xr:uid="{00000000-0005-0000-0000-0000AD120000}"/>
    <cellStyle name="표준 2 2 2 3" xfId="57" xr:uid="{00000000-0005-0000-0000-0000AE120000}"/>
    <cellStyle name="표준 2 2 2 4" xfId="70" xr:uid="{00000000-0005-0000-0000-0000AF120000}"/>
    <cellStyle name="표준 2 2 2 5" xfId="75" xr:uid="{00000000-0005-0000-0000-0000B0120000}"/>
    <cellStyle name="표준 2 2 2 6" xfId="119" xr:uid="{00000000-0005-0000-0000-0000B1120000}"/>
    <cellStyle name="표준 2 2 2 6 2" xfId="4736" xr:uid="{00000000-0005-0000-0000-0000B2120000}"/>
    <cellStyle name="표준 2 2 2 7" xfId="4753" xr:uid="{00000000-0005-0000-0000-0000B3120000}"/>
    <cellStyle name="표준 2 2 2 8" xfId="4748" xr:uid="{00000000-0005-0000-0000-0000B4120000}"/>
    <cellStyle name="표준 2 2 2 9" xfId="4749" xr:uid="{00000000-0005-0000-0000-0000B5120000}"/>
    <cellStyle name="표준 2 2 20" xfId="4824" xr:uid="{00000000-0005-0000-0000-0000B6120000}"/>
    <cellStyle name="표준 2 2 21" xfId="4814" xr:uid="{00000000-0005-0000-0000-0000B7120000}"/>
    <cellStyle name="표준 2 2 22" xfId="4821" xr:uid="{00000000-0005-0000-0000-0000B8120000}"/>
    <cellStyle name="표준 2 2 3" xfId="47" xr:uid="{00000000-0005-0000-0000-0000B9120000}"/>
    <cellStyle name="표준 2 2 3 2" xfId="60" xr:uid="{00000000-0005-0000-0000-0000BA120000}"/>
    <cellStyle name="표준 2 2 4" xfId="69" xr:uid="{00000000-0005-0000-0000-0000BB120000}"/>
    <cellStyle name="표준 2 2 5" xfId="74" xr:uid="{00000000-0005-0000-0000-0000BC120000}"/>
    <cellStyle name="표준 2 2 6" xfId="110" xr:uid="{00000000-0005-0000-0000-0000BD120000}"/>
    <cellStyle name="표준 2 2 6 2" xfId="4735" xr:uid="{00000000-0005-0000-0000-0000BE120000}"/>
    <cellStyle name="표준 2 2 7" xfId="29" xr:uid="{00000000-0005-0000-0000-0000BF120000}"/>
    <cellStyle name="표준 2 2 8" xfId="4534" xr:uid="{00000000-0005-0000-0000-0000C0120000}"/>
    <cellStyle name="표준 2 2 8 2" xfId="4744" xr:uid="{00000000-0005-0000-0000-0000C1120000}"/>
    <cellStyle name="표준 2 2 9" xfId="4651" xr:uid="{00000000-0005-0000-0000-0000C2120000}"/>
    <cellStyle name="표준 2 2 9 2" xfId="4733" xr:uid="{00000000-0005-0000-0000-0000C3120000}"/>
    <cellStyle name="표준 2 20" xfId="4750" xr:uid="{00000000-0005-0000-0000-0000C4120000}"/>
    <cellStyle name="표준 2 21" xfId="4799" xr:uid="{00000000-0005-0000-0000-0000C5120000}"/>
    <cellStyle name="표준 2 22" xfId="4792" xr:uid="{00000000-0005-0000-0000-0000C6120000}"/>
    <cellStyle name="표준 2 23" xfId="4760" xr:uid="{00000000-0005-0000-0000-0000C7120000}"/>
    <cellStyle name="표준 2 24" xfId="4802" xr:uid="{00000000-0005-0000-0000-0000C8120000}"/>
    <cellStyle name="표준 2 25" xfId="4782" xr:uid="{00000000-0005-0000-0000-0000C9120000}"/>
    <cellStyle name="표준 2 26" xfId="4817" xr:uid="{00000000-0005-0000-0000-0000CA120000}"/>
    <cellStyle name="표준 2 27" xfId="4811" xr:uid="{00000000-0005-0000-0000-0000CB120000}"/>
    <cellStyle name="표준 2 28" xfId="4822" xr:uid="{00000000-0005-0000-0000-0000CC120000}"/>
    <cellStyle name="표준 2 29" xfId="4721" xr:uid="{00000000-0005-0000-0000-0000CD120000}"/>
    <cellStyle name="표준 2 3" xfId="40" xr:uid="{00000000-0005-0000-0000-0000CE120000}"/>
    <cellStyle name="표준 2 3 2" xfId="4535" xr:uid="{00000000-0005-0000-0000-0000CF120000}"/>
    <cellStyle name="표준 2 3 2 2" xfId="4724" xr:uid="{00000000-0005-0000-0000-0000D0120000}"/>
    <cellStyle name="표준 2 3 3" xfId="4652" xr:uid="{00000000-0005-0000-0000-0000D1120000}"/>
    <cellStyle name="표준 2 4" xfId="19" xr:uid="{00000000-0005-0000-0000-0000D2120000}"/>
    <cellStyle name="표준 2 4 2" xfId="167" xr:uid="{00000000-0005-0000-0000-0000D3120000}"/>
    <cellStyle name="표준 2 4 2 2" xfId="4722" xr:uid="{00000000-0005-0000-0000-0000D4120000}"/>
    <cellStyle name="표준 2 4 3" xfId="4711" xr:uid="{00000000-0005-0000-0000-0000D5120000}"/>
    <cellStyle name="표준 2 5" xfId="43" xr:uid="{00000000-0005-0000-0000-0000D6120000}"/>
    <cellStyle name="표준 2 6" xfId="42" xr:uid="{00000000-0005-0000-0000-0000D7120000}"/>
    <cellStyle name="표준 2 7" xfId="41" xr:uid="{00000000-0005-0000-0000-0000D8120000}"/>
    <cellStyle name="표준 2 8" xfId="46" xr:uid="{00000000-0005-0000-0000-0000D9120000}"/>
    <cellStyle name="표준 2 8 2" xfId="58" xr:uid="{00000000-0005-0000-0000-0000DA120000}"/>
    <cellStyle name="표준 2 9" xfId="10" xr:uid="{00000000-0005-0000-0000-0000DB120000}"/>
    <cellStyle name="표준 20" xfId="4536" xr:uid="{00000000-0005-0000-0000-0000DC120000}"/>
    <cellStyle name="표준 20 2" xfId="4624" xr:uid="{00000000-0005-0000-0000-0000DD120000}"/>
    <cellStyle name="표준 20 3" xfId="4713" xr:uid="{00000000-0005-0000-0000-0000DE120000}"/>
    <cellStyle name="표준 21" xfId="4537" xr:uid="{00000000-0005-0000-0000-0000DF120000}"/>
    <cellStyle name="표준 21 2" xfId="4714" xr:uid="{00000000-0005-0000-0000-0000E0120000}"/>
    <cellStyle name="표준 22" xfId="4538" xr:uid="{00000000-0005-0000-0000-0000E1120000}"/>
    <cellStyle name="표준 22 2" xfId="4830" xr:uid="{00000000-0005-0000-0000-0000E2120000}"/>
    <cellStyle name="표준 22 3" xfId="4712" xr:uid="{00000000-0005-0000-0000-0000E3120000}"/>
    <cellStyle name="표준 23" xfId="4539" xr:uid="{00000000-0005-0000-0000-0000E4120000}"/>
    <cellStyle name="표준 23 2" xfId="4716" xr:uid="{00000000-0005-0000-0000-0000E5120000}"/>
    <cellStyle name="표준 24" xfId="4540" xr:uid="{00000000-0005-0000-0000-0000E6120000}"/>
    <cellStyle name="표준 24 2" xfId="4715" xr:uid="{00000000-0005-0000-0000-0000E7120000}"/>
    <cellStyle name="표준 25" xfId="4541" xr:uid="{00000000-0005-0000-0000-0000E8120000}"/>
    <cellStyle name="표준 25 2" xfId="4717" xr:uid="{00000000-0005-0000-0000-0000E9120000}"/>
    <cellStyle name="표준 26" xfId="4542" xr:uid="{00000000-0005-0000-0000-0000EA120000}"/>
    <cellStyle name="표준 26 2" xfId="4770" xr:uid="{00000000-0005-0000-0000-0000EB120000}"/>
    <cellStyle name="표준 26 3" xfId="4718" xr:uid="{00000000-0005-0000-0000-0000EC120000}"/>
    <cellStyle name="표준 27" xfId="4543" xr:uid="{00000000-0005-0000-0000-0000ED120000}"/>
    <cellStyle name="표준 27 2" xfId="4831" xr:uid="{00000000-0005-0000-0000-0000EE120000}"/>
    <cellStyle name="표준 27 3" xfId="4720" xr:uid="{00000000-0005-0000-0000-0000EF120000}"/>
    <cellStyle name="표준 28" xfId="4544" xr:uid="{00000000-0005-0000-0000-0000F0120000}"/>
    <cellStyle name="표준 28 2" xfId="4731" xr:uid="{00000000-0005-0000-0000-0000F1120000}"/>
    <cellStyle name="표준 28 3" xfId="4836" xr:uid="{00000000-0005-0000-0000-0000F2120000}"/>
    <cellStyle name="표준 29" xfId="4545" xr:uid="{00000000-0005-0000-0000-0000F3120000}"/>
    <cellStyle name="표준 29 2" xfId="4834" xr:uid="{00000000-0005-0000-0000-0000F4120000}"/>
    <cellStyle name="표준 29 3" xfId="4839" xr:uid="{00000000-0005-0000-0000-0000F5120000}"/>
    <cellStyle name="표준 3" xfId="11" xr:uid="{00000000-0005-0000-0000-0000F6120000}"/>
    <cellStyle name="표준 3 10" xfId="4778" xr:uid="{00000000-0005-0000-0000-0000F7120000}"/>
    <cellStyle name="표준 3 11" xfId="4737" xr:uid="{00000000-0005-0000-0000-0000F8120000}"/>
    <cellStyle name="표준 3 12" xfId="4774" xr:uid="{00000000-0005-0000-0000-0000F9120000}"/>
    <cellStyle name="표준 3 13" xfId="4796" xr:uid="{00000000-0005-0000-0000-0000FA120000}"/>
    <cellStyle name="표준 3 14" xfId="4793" xr:uid="{00000000-0005-0000-0000-0000FB120000}"/>
    <cellStyle name="표준 3 15" xfId="4801" xr:uid="{00000000-0005-0000-0000-0000FC120000}"/>
    <cellStyle name="표준 3 16" xfId="4784" xr:uid="{00000000-0005-0000-0000-0000FD120000}"/>
    <cellStyle name="표준 3 17" xfId="4805" xr:uid="{00000000-0005-0000-0000-0000FE120000}"/>
    <cellStyle name="표준 3 18" xfId="4818" xr:uid="{00000000-0005-0000-0000-0000FF120000}"/>
    <cellStyle name="표준 3 19" xfId="4823" xr:uid="{00000000-0005-0000-0000-000000130000}"/>
    <cellStyle name="표준 3 2" xfId="31" xr:uid="{00000000-0005-0000-0000-000001130000}"/>
    <cellStyle name="표준 3 2 2" xfId="91" xr:uid="{00000000-0005-0000-0000-000002130000}"/>
    <cellStyle name="표준 3 2 3" xfId="121" xr:uid="{00000000-0005-0000-0000-000003130000}"/>
    <cellStyle name="표준 3 2 4" xfId="4654" xr:uid="{00000000-0005-0000-0000-000004130000}"/>
    <cellStyle name="표준 3 2 5" xfId="4702" xr:uid="{00000000-0005-0000-0000-000005130000}"/>
    <cellStyle name="표준 3 20" xfId="4813" xr:uid="{00000000-0005-0000-0000-000006130000}"/>
    <cellStyle name="표준 3 21" xfId="4832" xr:uid="{00000000-0005-0000-0000-000007130000}"/>
    <cellStyle name="표준 3 3" xfId="48" xr:uid="{00000000-0005-0000-0000-000008130000}"/>
    <cellStyle name="표준 3 3 2" xfId="99" xr:uid="{00000000-0005-0000-0000-000009130000}"/>
    <cellStyle name="표준 3 3 3" xfId="129" xr:uid="{00000000-0005-0000-0000-00000A130000}"/>
    <cellStyle name="표준 3 3 4" xfId="4655" xr:uid="{00000000-0005-0000-0000-00000B130000}"/>
    <cellStyle name="표준 3 4" xfId="83" xr:uid="{00000000-0005-0000-0000-00000C130000}"/>
    <cellStyle name="표준 3 4 2" xfId="4728" xr:uid="{00000000-0005-0000-0000-00000D130000}"/>
    <cellStyle name="표준 3 4 3" xfId="4703" xr:uid="{00000000-0005-0000-0000-00000E130000}"/>
    <cellStyle name="표준 3 5" xfId="111" xr:uid="{00000000-0005-0000-0000-00000F130000}"/>
    <cellStyle name="표준 3 5 2" xfId="4740" xr:uid="{00000000-0005-0000-0000-000010130000}"/>
    <cellStyle name="표준 3 5 3" xfId="4701" xr:uid="{00000000-0005-0000-0000-000011130000}"/>
    <cellStyle name="표준 3 6" xfId="21" xr:uid="{00000000-0005-0000-0000-000012130000}"/>
    <cellStyle name="표준 3 6 2" xfId="4730" xr:uid="{00000000-0005-0000-0000-000013130000}"/>
    <cellStyle name="표준 3 7" xfId="4546" xr:uid="{00000000-0005-0000-0000-000014130000}"/>
    <cellStyle name="표준 3 7 2" xfId="4761" xr:uid="{00000000-0005-0000-0000-000015130000}"/>
    <cellStyle name="표준 3 7 3" xfId="4719" xr:uid="{00000000-0005-0000-0000-000016130000}"/>
    <cellStyle name="표준 3 8" xfId="4653" xr:uid="{00000000-0005-0000-0000-000017130000}"/>
    <cellStyle name="표준 3 8 2" xfId="4766" xr:uid="{00000000-0005-0000-0000-000018130000}"/>
    <cellStyle name="표준 3 9" xfId="4734" xr:uid="{00000000-0005-0000-0000-000019130000}"/>
    <cellStyle name="표준 30" xfId="4547" xr:uid="{00000000-0005-0000-0000-00001A130000}"/>
    <cellStyle name="표준 30 2" xfId="4780" xr:uid="{00000000-0005-0000-0000-00001B130000}"/>
    <cellStyle name="표준 31" xfId="4548" xr:uid="{00000000-0005-0000-0000-00001C130000}"/>
    <cellStyle name="표준 32" xfId="4549" xr:uid="{00000000-0005-0000-0000-00001D130000}"/>
    <cellStyle name="표준 33" xfId="4550" xr:uid="{00000000-0005-0000-0000-00001E130000}"/>
    <cellStyle name="표준 34" xfId="4551" xr:uid="{00000000-0005-0000-0000-00001F130000}"/>
    <cellStyle name="표준 35" xfId="4552" xr:uid="{00000000-0005-0000-0000-000020130000}"/>
    <cellStyle name="표준 36" xfId="4553" xr:uid="{00000000-0005-0000-0000-000021130000}"/>
    <cellStyle name="표준 37" xfId="4554" xr:uid="{00000000-0005-0000-0000-000022130000}"/>
    <cellStyle name="표준 38" xfId="4555" xr:uid="{00000000-0005-0000-0000-000023130000}"/>
    <cellStyle name="표준 39" xfId="4556" xr:uid="{00000000-0005-0000-0000-000024130000}"/>
    <cellStyle name="표준 4" xfId="20" xr:uid="{00000000-0005-0000-0000-000025130000}"/>
    <cellStyle name="표준 4 2" xfId="4557" xr:uid="{00000000-0005-0000-0000-000026130000}"/>
    <cellStyle name="표준 4 2 2" xfId="4723" xr:uid="{00000000-0005-0000-0000-000027130000}"/>
    <cellStyle name="표준 4 2 3" xfId="4835" xr:uid="{00000000-0005-0000-0000-000028130000}"/>
    <cellStyle name="표준 4 3" xfId="4833" xr:uid="{00000000-0005-0000-0000-000029130000}"/>
    <cellStyle name="표준 4 3 2" xfId="4838" xr:uid="{00000000-0005-0000-0000-00002A130000}"/>
    <cellStyle name="표준 4 4" xfId="4704" xr:uid="{00000000-0005-0000-0000-00002B130000}"/>
    <cellStyle name="표준 40" xfId="4558" xr:uid="{00000000-0005-0000-0000-00002C130000}"/>
    <cellStyle name="표준 41" xfId="4559" xr:uid="{00000000-0005-0000-0000-00002D130000}"/>
    <cellStyle name="표준 42" xfId="4560" xr:uid="{00000000-0005-0000-0000-00002E130000}"/>
    <cellStyle name="표준 43" xfId="4561" xr:uid="{00000000-0005-0000-0000-00002F130000}"/>
    <cellStyle name="표준 44" xfId="4562" xr:uid="{00000000-0005-0000-0000-000030130000}"/>
    <cellStyle name="표준 45" xfId="4563" xr:uid="{00000000-0005-0000-0000-000031130000}"/>
    <cellStyle name="표준 46" xfId="4564" xr:uid="{00000000-0005-0000-0000-000032130000}"/>
    <cellStyle name="표준 47" xfId="4565" xr:uid="{00000000-0005-0000-0000-000033130000}"/>
    <cellStyle name="표준 48" xfId="4566" xr:uid="{00000000-0005-0000-0000-000034130000}"/>
    <cellStyle name="표준 49" xfId="4567" xr:uid="{00000000-0005-0000-0000-000035130000}"/>
    <cellStyle name="표준 5" xfId="23" xr:uid="{00000000-0005-0000-0000-000036130000}"/>
    <cellStyle name="표준 5 2" xfId="33" xr:uid="{00000000-0005-0000-0000-000037130000}"/>
    <cellStyle name="표준 5 2 2" xfId="93" xr:uid="{00000000-0005-0000-0000-000038130000}"/>
    <cellStyle name="표준 5 2 3" xfId="123" xr:uid="{00000000-0005-0000-0000-000039130000}"/>
    <cellStyle name="표준 5 3" xfId="50" xr:uid="{00000000-0005-0000-0000-00003A130000}"/>
    <cellStyle name="표준 5 3 2" xfId="101" xr:uid="{00000000-0005-0000-0000-00003B130000}"/>
    <cellStyle name="표준 5 3 3" xfId="131" xr:uid="{00000000-0005-0000-0000-00003C130000}"/>
    <cellStyle name="표준 5 4" xfId="85" xr:uid="{00000000-0005-0000-0000-00003D130000}"/>
    <cellStyle name="표준 5 5" xfId="113" xr:uid="{00000000-0005-0000-0000-00003E130000}"/>
    <cellStyle name="표준 5 6" xfId="4568" xr:uid="{00000000-0005-0000-0000-00003F130000}"/>
    <cellStyle name="표준 5 7" xfId="4695" xr:uid="{00000000-0005-0000-0000-000040130000}"/>
    <cellStyle name="표준 50" xfId="4569" xr:uid="{00000000-0005-0000-0000-000041130000}"/>
    <cellStyle name="표준 51" xfId="4570" xr:uid="{00000000-0005-0000-0000-000042130000}"/>
    <cellStyle name="표준 52" xfId="4571" xr:uid="{00000000-0005-0000-0000-000043130000}"/>
    <cellStyle name="표준 53" xfId="4572" xr:uid="{00000000-0005-0000-0000-000044130000}"/>
    <cellStyle name="표준 54" xfId="4573" xr:uid="{00000000-0005-0000-0000-000045130000}"/>
    <cellStyle name="표준 55" xfId="4574" xr:uid="{00000000-0005-0000-0000-000046130000}"/>
    <cellStyle name="표준 56" xfId="4575" xr:uid="{00000000-0005-0000-0000-000047130000}"/>
    <cellStyle name="표준 57" xfId="4576" xr:uid="{00000000-0005-0000-0000-000048130000}"/>
    <cellStyle name="표준 58" xfId="4577" xr:uid="{00000000-0005-0000-0000-000049130000}"/>
    <cellStyle name="표준 59" xfId="4578" xr:uid="{00000000-0005-0000-0000-00004A130000}"/>
    <cellStyle name="표준 6" xfId="24" xr:uid="{00000000-0005-0000-0000-00004B130000}"/>
    <cellStyle name="표준 6 2" xfId="34" xr:uid="{00000000-0005-0000-0000-00004C130000}"/>
    <cellStyle name="표준 6 2 2" xfId="94" xr:uid="{00000000-0005-0000-0000-00004D130000}"/>
    <cellStyle name="표준 6 2 3" xfId="124" xr:uid="{00000000-0005-0000-0000-00004E130000}"/>
    <cellStyle name="표준 6 3" xfId="51" xr:uid="{00000000-0005-0000-0000-00004F130000}"/>
    <cellStyle name="표준 6 3 2" xfId="102" xr:uid="{00000000-0005-0000-0000-000050130000}"/>
    <cellStyle name="표준 6 3 3" xfId="132" xr:uid="{00000000-0005-0000-0000-000051130000}"/>
    <cellStyle name="표준 6 4" xfId="86" xr:uid="{00000000-0005-0000-0000-000052130000}"/>
    <cellStyle name="표준 6 5" xfId="114" xr:uid="{00000000-0005-0000-0000-000053130000}"/>
    <cellStyle name="표준 6 6" xfId="4579" xr:uid="{00000000-0005-0000-0000-000054130000}"/>
    <cellStyle name="표준 6 7" xfId="4697" xr:uid="{00000000-0005-0000-0000-000055130000}"/>
    <cellStyle name="표준 60" xfId="4580" xr:uid="{00000000-0005-0000-0000-000056130000}"/>
    <cellStyle name="표준 61" xfId="4581" xr:uid="{00000000-0005-0000-0000-000057130000}"/>
    <cellStyle name="표준 62" xfId="4582" xr:uid="{00000000-0005-0000-0000-000058130000}"/>
    <cellStyle name="표준 63" xfId="4583" xr:uid="{00000000-0005-0000-0000-000059130000}"/>
    <cellStyle name="표준 64" xfId="4584" xr:uid="{00000000-0005-0000-0000-00005A130000}"/>
    <cellStyle name="표준 65" xfId="4585" xr:uid="{00000000-0005-0000-0000-00005B130000}"/>
    <cellStyle name="표준 66" xfId="4586" xr:uid="{00000000-0005-0000-0000-00005C130000}"/>
    <cellStyle name="표준 67" xfId="4587" xr:uid="{00000000-0005-0000-0000-00005D130000}"/>
    <cellStyle name="표준 68" xfId="4588" xr:uid="{00000000-0005-0000-0000-00005E130000}"/>
    <cellStyle name="표준 69" xfId="4589" xr:uid="{00000000-0005-0000-0000-00005F130000}"/>
    <cellStyle name="표준 7" xfId="22" xr:uid="{00000000-0005-0000-0000-000060130000}"/>
    <cellStyle name="표준 7 2" xfId="32" xr:uid="{00000000-0005-0000-0000-000061130000}"/>
    <cellStyle name="표준 7 2 2" xfId="92" xr:uid="{00000000-0005-0000-0000-000062130000}"/>
    <cellStyle name="표준 7 2 3" xfId="122" xr:uid="{00000000-0005-0000-0000-000063130000}"/>
    <cellStyle name="표준 7 3" xfId="49" xr:uid="{00000000-0005-0000-0000-000064130000}"/>
    <cellStyle name="표준 7 3 2" xfId="100" xr:uid="{00000000-0005-0000-0000-000065130000}"/>
    <cellStyle name="표준 7 3 3" xfId="130" xr:uid="{00000000-0005-0000-0000-000066130000}"/>
    <cellStyle name="표준 7 4" xfId="84" xr:uid="{00000000-0005-0000-0000-000067130000}"/>
    <cellStyle name="표준 7 5" xfId="112" xr:uid="{00000000-0005-0000-0000-000068130000}"/>
    <cellStyle name="표준 7 6" xfId="4590" xr:uid="{00000000-0005-0000-0000-000069130000}"/>
    <cellStyle name="표준 7 7" xfId="4707" xr:uid="{00000000-0005-0000-0000-00006A130000}"/>
    <cellStyle name="표준 70" xfId="4591" xr:uid="{00000000-0005-0000-0000-00006B130000}"/>
    <cellStyle name="표준 71" xfId="4592" xr:uid="{00000000-0005-0000-0000-00006C130000}"/>
    <cellStyle name="표준 72" xfId="4593" xr:uid="{00000000-0005-0000-0000-00006D130000}"/>
    <cellStyle name="표준 73" xfId="4594" xr:uid="{00000000-0005-0000-0000-00006E130000}"/>
    <cellStyle name="표준 74" xfId="4595" xr:uid="{00000000-0005-0000-0000-00006F130000}"/>
    <cellStyle name="표준 75" xfId="4596" xr:uid="{00000000-0005-0000-0000-000070130000}"/>
    <cellStyle name="표준 76" xfId="4597" xr:uid="{00000000-0005-0000-0000-000071130000}"/>
    <cellStyle name="표준 77" xfId="4598" xr:uid="{00000000-0005-0000-0000-000072130000}"/>
    <cellStyle name="표준 78" xfId="4599" xr:uid="{00000000-0005-0000-0000-000073130000}"/>
    <cellStyle name="표준 79" xfId="4600" xr:uid="{00000000-0005-0000-0000-000074130000}"/>
    <cellStyle name="표준 8" xfId="25" xr:uid="{00000000-0005-0000-0000-000075130000}"/>
    <cellStyle name="표준 8 2" xfId="35" xr:uid="{00000000-0005-0000-0000-000076130000}"/>
    <cellStyle name="표준 8 2 2" xfId="95" xr:uid="{00000000-0005-0000-0000-000077130000}"/>
    <cellStyle name="표준 8 2 3" xfId="125" xr:uid="{00000000-0005-0000-0000-000078130000}"/>
    <cellStyle name="표준 8 3" xfId="52" xr:uid="{00000000-0005-0000-0000-000079130000}"/>
    <cellStyle name="표준 8 3 2" xfId="103" xr:uid="{00000000-0005-0000-0000-00007A130000}"/>
    <cellStyle name="표준 8 3 3" xfId="133" xr:uid="{00000000-0005-0000-0000-00007B130000}"/>
    <cellStyle name="표준 8 4" xfId="87" xr:uid="{00000000-0005-0000-0000-00007C130000}"/>
    <cellStyle name="표준 8 5" xfId="115" xr:uid="{00000000-0005-0000-0000-00007D130000}"/>
    <cellStyle name="표준 8 6" xfId="4601" xr:uid="{00000000-0005-0000-0000-00007E130000}"/>
    <cellStyle name="표준 8 7" xfId="4706" xr:uid="{00000000-0005-0000-0000-00007F130000}"/>
    <cellStyle name="표준 80" xfId="4602" xr:uid="{00000000-0005-0000-0000-000080130000}"/>
    <cellStyle name="표준 81" xfId="4603" xr:uid="{00000000-0005-0000-0000-000081130000}"/>
    <cellStyle name="표준 82" xfId="4604" xr:uid="{00000000-0005-0000-0000-000082130000}"/>
    <cellStyle name="표준 83" xfId="4605" xr:uid="{00000000-0005-0000-0000-000083130000}"/>
    <cellStyle name="표준 84" xfId="4606" xr:uid="{00000000-0005-0000-0000-000084130000}"/>
    <cellStyle name="표준 85" xfId="4607" xr:uid="{00000000-0005-0000-0000-000085130000}"/>
    <cellStyle name="표준 86" xfId="4608" xr:uid="{00000000-0005-0000-0000-000086130000}"/>
    <cellStyle name="표준 87" xfId="4609" xr:uid="{00000000-0005-0000-0000-000087130000}"/>
    <cellStyle name="표준 88" xfId="4610" xr:uid="{00000000-0005-0000-0000-000088130000}"/>
    <cellStyle name="표준 89" xfId="4611" xr:uid="{00000000-0005-0000-0000-000089130000}"/>
    <cellStyle name="표준 9" xfId="26" xr:uid="{00000000-0005-0000-0000-00008A130000}"/>
    <cellStyle name="표준 9 2" xfId="36" xr:uid="{00000000-0005-0000-0000-00008B130000}"/>
    <cellStyle name="표준 9 2 2" xfId="96" xr:uid="{00000000-0005-0000-0000-00008C130000}"/>
    <cellStyle name="표준 9 2 3" xfId="126" xr:uid="{00000000-0005-0000-0000-00008D130000}"/>
    <cellStyle name="표준 9 3" xfId="53" xr:uid="{00000000-0005-0000-0000-00008E130000}"/>
    <cellStyle name="표준 9 3 2" xfId="104" xr:uid="{00000000-0005-0000-0000-00008F130000}"/>
    <cellStyle name="표준 9 3 3" xfId="134" xr:uid="{00000000-0005-0000-0000-000090130000}"/>
    <cellStyle name="표준 9 4" xfId="88" xr:uid="{00000000-0005-0000-0000-000091130000}"/>
    <cellStyle name="표준 9 5" xfId="116" xr:uid="{00000000-0005-0000-0000-000092130000}"/>
    <cellStyle name="표준 9 6" xfId="4612" xr:uid="{00000000-0005-0000-0000-000093130000}"/>
    <cellStyle name="표준 9 7" xfId="4708" xr:uid="{00000000-0005-0000-0000-000094130000}"/>
    <cellStyle name="표준 90" xfId="4613" xr:uid="{00000000-0005-0000-0000-000095130000}"/>
    <cellStyle name="표준 91" xfId="4614" xr:uid="{00000000-0005-0000-0000-000096130000}"/>
    <cellStyle name="표준 92" xfId="4615" xr:uid="{00000000-0005-0000-0000-000097130000}"/>
    <cellStyle name="표준 93" xfId="4616" xr:uid="{00000000-0005-0000-0000-000098130000}"/>
    <cellStyle name="표준 94" xfId="4617" xr:uid="{00000000-0005-0000-0000-000099130000}"/>
    <cellStyle name="표준 95" xfId="4618" xr:uid="{00000000-0005-0000-0000-00009A130000}"/>
    <cellStyle name="표준 96" xfId="4619" xr:uid="{00000000-0005-0000-0000-00009B130000}"/>
    <cellStyle name="표준 97" xfId="4620" xr:uid="{00000000-0005-0000-0000-00009C130000}"/>
    <cellStyle name="표준 98" xfId="4621" xr:uid="{00000000-0005-0000-0000-00009D130000}"/>
    <cellStyle name="표준 99" xfId="4622" xr:uid="{00000000-0005-0000-0000-00009E130000}"/>
    <cellStyle name="표준_Book2" xfId="5028" xr:uid="{0BD83BBA-19BF-4592-96D8-5DB977F18F2F}"/>
    <cellStyle name="표준_KCB_외환카드_SCORE_CPS_전문(437)_배치추가_20080729" xfId="5" xr:uid="{00000000-0005-0000-0000-00009F130000}"/>
    <cellStyle name="표준_대부업계전문_20021218" xfId="3" xr:uid="{00000000-0005-0000-0000-0000A0130000}"/>
    <cellStyle name="표준_하나_KCB 서비스 전문" xfId="8" xr:uid="{00000000-0005-0000-0000-0000A1130000}"/>
    <cellStyle name="하이퍼링크" xfId="5027" builtinId="8"/>
    <cellStyle name="하이퍼링크 2" xfId="4705" xr:uid="{00000000-0005-0000-0000-0000A2130000}"/>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24</xdr:col>
          <xdr:colOff>66675</xdr:colOff>
          <xdr:row>1</xdr:row>
          <xdr:rowOff>0</xdr:rowOff>
        </xdr:from>
        <xdr:to>
          <xdr:col>24</xdr:col>
          <xdr:colOff>1057275</xdr:colOff>
          <xdr:row>1</xdr:row>
          <xdr:rowOff>257175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맑은 고딕"/>
                  <a:ea typeface="맑은 고딕"/>
                </a:rPr>
                <a:t>작업용파일복사</a:t>
              </a:r>
            </a:p>
          </xdr:txBody>
        </xdr:sp>
        <xdr:clientData fPrintsWithSheet="0"/>
      </xdr:twoCellAnchor>
    </mc:Choice>
    <mc:Fallback/>
  </mc:AlternateContent>
  <xdr:twoCellAnchor editAs="oneCell">
    <xdr:from>
      <xdr:col>24</xdr:col>
      <xdr:colOff>43295</xdr:colOff>
      <xdr:row>2</xdr:row>
      <xdr:rowOff>21647</xdr:rowOff>
    </xdr:from>
    <xdr:to>
      <xdr:col>29</xdr:col>
      <xdr:colOff>21505</xdr:colOff>
      <xdr:row>38</xdr:row>
      <xdr:rowOff>157987</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0067443" y="952499"/>
          <a:ext cx="4600000" cy="7247619"/>
        </a:xfrm>
        <a:prstGeom prst="rect">
          <a:avLst/>
        </a:prstGeom>
      </xdr:spPr>
    </xdr:pic>
    <xdr:clientData/>
  </xdr:twoCellAnchor>
  <xdr:twoCellAnchor editAs="oneCell">
    <xdr:from>
      <xdr:col>28</xdr:col>
      <xdr:colOff>562840</xdr:colOff>
      <xdr:row>2</xdr:row>
      <xdr:rowOff>21647</xdr:rowOff>
    </xdr:from>
    <xdr:to>
      <xdr:col>35</xdr:col>
      <xdr:colOff>351421</xdr:colOff>
      <xdr:row>40</xdr:row>
      <xdr:rowOff>80013</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4526874" y="952499"/>
          <a:ext cx="4561905" cy="7580952"/>
        </a:xfrm>
        <a:prstGeom prst="rect">
          <a:avLst/>
        </a:prstGeom>
      </xdr:spPr>
    </xdr:pic>
    <xdr:clientData/>
  </xdr:twoCellAnchor>
  <xdr:twoCellAnchor editAs="oneCell">
    <xdr:from>
      <xdr:col>24</xdr:col>
      <xdr:colOff>313894</xdr:colOff>
      <xdr:row>29</xdr:row>
      <xdr:rowOff>151533</xdr:rowOff>
    </xdr:from>
    <xdr:to>
      <xdr:col>28</xdr:col>
      <xdr:colOff>450198</xdr:colOff>
      <xdr:row>51</xdr:row>
      <xdr:rowOff>179539</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stretch>
          <a:fillRect/>
        </a:stretch>
      </xdr:blipFill>
      <xdr:spPr>
        <a:xfrm>
          <a:off x="20338042" y="6342783"/>
          <a:ext cx="4076190" cy="45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S02392\Desktop\&#53244;&#47532;&amp;&#50857;&#50612;_&#48320;&#54872;_v0.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01.&#53685;&#54633;&#53580;&#49828;&#53944;&#44208;&#44284;/R&#53364;&#47549;&#49828;/R&#53364;&#47549;&#49828;_C9_&#52852;&#46300;&#47200;_&#44060;&#48156;&#44228;_201904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01.&#53685;&#54633;&#53580;&#49828;&#53944;&#44208;&#44284;/R&#53364;&#47549;&#49828;/00.&#45936;&#51060;&#53552;&#54869;&#51064;/R&#53364;&#47549;&#49828;_C6_&#51068;&#49324;&#52380;&#47532;&#47200;_&#53580;&#49828;&#53944;&#44228;_&#45936;&#51060;&#53552;&#54869;&#51064;_20190625_AS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11.&#52852;&#46300;&#47200;_&#50689;&#50669;\100.%20&#52852;&#46300;&#47200;(KHC)%20&#51088;&#50896;&#47785;&#47197;%20&#51221;&#47532;\&#49900;&#49324;\RClips&#51204;&#47928;\&#9733;00-0.%20&#51109;&#44592;&#52852;&#46300;&#45824;&#52636;_&#49900;&#49324;_&#54532;&#47196;&#49464;&#49828;&#44396;&#54788;_Ver0.8(&#51473;&#44552;&#47532;&#47200;%20&#50500;&#50883;&#54411;%20&#48320;&#44221;,20180917)_R-CLIPS&#53076;&#46300;&#47588;&#54609;_&#9733;&#52572;&#51333;&#973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9733;KB&#44397;&#48124;&#52852;&#46300;_&#52264;&#49464;&#45824;(&#54028;&#51068;&#49436;&#48260;)\A000.&#54016;&#48324;&#51089;&#50629;\&#51025;&#50857;3&#54016;\&#52852;&#46300;&#47200;\&#52264;&#49464;&#45824;&#51204;&#49328;&#51032;&#47280;\&#49900;&#49324;\RClips&#51204;&#47928;\&#9733;00-0.%20&#51109;&#44592;&#52852;&#46300;&#45824;&#52636;_&#49900;&#49324;_&#54532;&#47196;&#49464;&#49828;&#44396;&#54788;_Ver0.8(&#51473;&#44552;&#47532;&#47200;%20&#50500;&#50883;&#54411;%20&#48320;&#44221;,20180917)_R-CLIPS&#53076;&#46300;&#47588;&#54609;_&#9733;&#52572;&#51333;&#97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가이드"/>
      <sheetName val="쿼리변환"/>
      <sheetName val="데이터모델조회"/>
      <sheetName val="용어일괄변환"/>
      <sheetName val="통합코드조회"/>
      <sheetName val="쿼리&amp;용어_변환_v0.4"/>
    </sheetNames>
    <definedNames>
      <definedName name="시트복사"/>
    </definedNames>
    <sheetDataSet>
      <sheetData sheetId="0"/>
      <sheetData sheetId="1"/>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계"/>
      <sheetName val="오류항목"/>
      <sheetName val="응답메시지"/>
    </sheetNames>
    <sheetDataSet>
      <sheetData sheetId="0"/>
      <sheetData sheetId="1"/>
      <sheetData sheetId="2">
        <row r="1">
          <cell r="A1" t="str">
            <v>응답코드</v>
          </cell>
          <cell r="B1" t="str">
            <v>응답 메시지</v>
          </cell>
        </row>
        <row r="2">
          <cell r="A2" t="str">
            <v>0000</v>
          </cell>
          <cell r="B2" t="str">
            <v>정상</v>
          </cell>
        </row>
        <row r="3">
          <cell r="A3">
            <v>9999</v>
          </cell>
          <cell r="B3" t="str">
            <v>해당 패키지ID 미존재</v>
          </cell>
        </row>
        <row r="4">
          <cell r="A4" t="str">
            <v>9998</v>
          </cell>
          <cell r="B4" t="str">
            <v>시스템 산출 오류</v>
          </cell>
        </row>
        <row r="5">
          <cell r="A5">
            <v>6101</v>
          </cell>
          <cell r="B5" t="str">
            <v>속성항목 결과 설정 오류</v>
          </cell>
        </row>
        <row r="6">
          <cell r="A6">
            <v>6102</v>
          </cell>
          <cell r="B6" t="str">
            <v>평점항목 결과 설정 오류</v>
          </cell>
        </row>
        <row r="7">
          <cell r="A7">
            <v>6103</v>
          </cell>
          <cell r="B7" t="str">
            <v>예외항목 결과 설정 오류</v>
          </cell>
        </row>
        <row r="8">
          <cell r="A8">
            <v>1100</v>
          </cell>
          <cell r="B8" t="str">
            <v>제공항목건수가 0 입니다. 1건 이상 제공 요청</v>
          </cell>
        </row>
        <row r="9">
          <cell r="A9">
            <v>1101</v>
          </cell>
          <cell r="B9" t="str">
            <v>제공항목반복부 수 불일치</v>
          </cell>
        </row>
        <row r="10">
          <cell r="A10">
            <v>1102</v>
          </cell>
          <cell r="B10" t="str">
            <v>제공항목 추출 오류(제공항목건수)</v>
          </cell>
        </row>
        <row r="11">
          <cell r="A11">
            <v>1103</v>
          </cell>
          <cell r="B11" t="str">
            <v>제공항목 추출 오류(Exception)</v>
          </cell>
        </row>
        <row r="12">
          <cell r="A12">
            <v>1302</v>
          </cell>
          <cell r="B12" t="str">
            <v>제공항목반복부 추출 오류</v>
          </cell>
        </row>
        <row r="13">
          <cell r="A13">
            <v>7101</v>
          </cell>
          <cell r="B13" t="str">
            <v>OUTPUT 항목 조립 오류</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
      <sheetName val="입력항목"/>
      <sheetName val="사전조회cpbi"/>
      <sheetName val="R클립스송수신결과"/>
      <sheetName val="오류항목"/>
      <sheetName val="응답메시지"/>
      <sheetName val="TBGEAA201"/>
      <sheetName val="TBGEAA202"/>
      <sheetName val="TBGEAA203"/>
      <sheetName val="TBGEAA215"/>
      <sheetName val="TBGEAA252"/>
      <sheetName val="TBGEAA253"/>
      <sheetName val="TBGEAA254"/>
      <sheetName val="TBGEAA256"/>
      <sheetName val="TBGEAA261"/>
      <sheetName val="TBGEAA262"/>
      <sheetName val="TBGEAA264"/>
      <sheetName val="TBGEAA206"/>
      <sheetName val="TBGEAA205"/>
      <sheetName val="TBGEAA207"/>
    </sheetNames>
    <sheetDataSet>
      <sheetData sheetId="0"/>
      <sheetData sheetId="1"/>
      <sheetData sheetId="2"/>
      <sheetData sheetId="3">
        <row r="1">
          <cell r="D1" t="str">
            <v>입력</v>
          </cell>
          <cell r="E1"/>
          <cell r="F1"/>
          <cell r="G1"/>
          <cell r="H1"/>
          <cell r="I1" t="str">
            <v>출력</v>
          </cell>
          <cell r="J1"/>
          <cell r="K1"/>
          <cell r="L1"/>
          <cell r="M1"/>
        </row>
        <row r="2">
          <cell r="D2" t="str">
            <v>코드</v>
          </cell>
          <cell r="E2" t="str">
            <v>코드명</v>
          </cell>
          <cell r="F2" t="str">
            <v>DATA TYPE</v>
          </cell>
          <cell r="G2" t="str">
            <v>LENGTH</v>
          </cell>
          <cell r="H2" t="str">
            <v>코드값</v>
          </cell>
          <cell r="I2" t="str">
            <v>코드</v>
          </cell>
          <cell r="J2" t="str">
            <v>코드명</v>
          </cell>
          <cell r="K2" t="str">
            <v>DATA TYPE</v>
          </cell>
          <cell r="L2" t="str">
            <v>LENGTH</v>
          </cell>
          <cell r="M2" t="str">
            <v>코드값</v>
          </cell>
        </row>
        <row r="3">
          <cell r="D3" t="str">
            <v>A1001</v>
          </cell>
          <cell r="E3" t="str">
            <v>상품코드</v>
          </cell>
          <cell r="F3" t="str">
            <v>Character</v>
          </cell>
          <cell r="G3">
            <v>2</v>
          </cell>
          <cell r="H3" t="str">
            <v xml:space="preserve">18             </v>
          </cell>
          <cell r="I3" t="str">
            <v>A3051</v>
          </cell>
          <cell r="J3" t="str">
            <v>NICE CB등급</v>
          </cell>
          <cell r="K3" t="str">
            <v>String</v>
          </cell>
          <cell r="L3">
            <v>20</v>
          </cell>
          <cell r="M3" t="str">
            <v xml:space="preserve">06             </v>
          </cell>
        </row>
        <row r="4">
          <cell r="D4" t="str">
            <v>A1004</v>
          </cell>
          <cell r="E4" t="str">
            <v>연령</v>
          </cell>
          <cell r="F4" t="str">
            <v>Numeric</v>
          </cell>
          <cell r="G4">
            <v>9</v>
          </cell>
          <cell r="H4" t="str">
            <v>000000000000065</v>
          </cell>
          <cell r="I4" t="str">
            <v>A3052</v>
          </cell>
          <cell r="J4" t="str">
            <v>Sub-prime부실예측모형 등급</v>
          </cell>
          <cell r="K4" t="str">
            <v>String</v>
          </cell>
          <cell r="L4">
            <v>20</v>
          </cell>
          <cell r="M4" t="str">
            <v xml:space="preserve">03             </v>
          </cell>
        </row>
        <row r="5">
          <cell r="D5" t="str">
            <v>A1005</v>
          </cell>
          <cell r="E5" t="str">
            <v>외국인여부</v>
          </cell>
          <cell r="F5" t="str">
            <v>Character</v>
          </cell>
          <cell r="G5">
            <v>1</v>
          </cell>
          <cell r="H5" t="str">
            <v xml:space="preserve">0              </v>
          </cell>
          <cell r="I5" t="str">
            <v>A3053</v>
          </cell>
          <cell r="J5" t="str">
            <v>NICE DEP등급</v>
          </cell>
          <cell r="K5" t="str">
            <v>String</v>
          </cell>
          <cell r="L5">
            <v>20</v>
          </cell>
          <cell r="M5" t="str">
            <v xml:space="preserve">07             </v>
          </cell>
        </row>
        <row r="6">
          <cell r="D6" t="str">
            <v>A1006</v>
          </cell>
          <cell r="E6" t="str">
            <v>접수번호</v>
          </cell>
          <cell r="F6" t="str">
            <v>Character</v>
          </cell>
          <cell r="G6">
            <v>14</v>
          </cell>
          <cell r="H6" t="str">
            <v xml:space="preserve">48880000014441 </v>
          </cell>
          <cell r="I6" t="str">
            <v>A3054</v>
          </cell>
          <cell r="J6" t="str">
            <v>PI등급 2.0버젼</v>
          </cell>
          <cell r="K6" t="str">
            <v>String</v>
          </cell>
          <cell r="L6">
            <v>20</v>
          </cell>
          <cell r="M6" t="str">
            <v xml:space="preserve">02             </v>
          </cell>
        </row>
        <row r="7">
          <cell r="D7" t="str">
            <v>A2001</v>
          </cell>
          <cell r="E7" t="str">
            <v>여신연체고객(KB 국민은행정보)</v>
          </cell>
          <cell r="F7" t="str">
            <v>Character</v>
          </cell>
          <cell r="G7">
            <v>1</v>
          </cell>
          <cell r="H7" t="str">
            <v xml:space="preserve">               </v>
          </cell>
          <cell r="I7" t="str">
            <v>A3055</v>
          </cell>
          <cell r="J7" t="str">
            <v>PI플러스스코어</v>
          </cell>
          <cell r="K7" t="str">
            <v>String</v>
          </cell>
          <cell r="L7">
            <v>20</v>
          </cell>
          <cell r="M7" t="str">
            <v xml:space="preserve">02             </v>
          </cell>
        </row>
        <row r="8">
          <cell r="D8" t="str">
            <v>A2002</v>
          </cell>
          <cell r="E8" t="str">
            <v>신용카드 거래정지 등록고객</v>
          </cell>
          <cell r="F8" t="str">
            <v>Character</v>
          </cell>
          <cell r="G8">
            <v>1</v>
          </cell>
          <cell r="H8" t="str">
            <v xml:space="preserve">               </v>
          </cell>
          <cell r="I8" t="str">
            <v>A3058</v>
          </cell>
          <cell r="J8" t="str">
            <v>NICE추정연소득</v>
          </cell>
          <cell r="K8" t="str">
            <v>Numeric</v>
          </cell>
          <cell r="L8">
            <v>20</v>
          </cell>
          <cell r="M8" t="str">
            <v>000000000004100</v>
          </cell>
        </row>
        <row r="9">
          <cell r="D9" t="str">
            <v>A2003</v>
          </cell>
          <cell r="E9" t="str">
            <v>신용관리대상 및 당행정보관리 등재고객(KB 국민은행 정보)</v>
          </cell>
          <cell r="F9" t="str">
            <v>Character</v>
          </cell>
          <cell r="G9">
            <v>1</v>
          </cell>
          <cell r="H9" t="str">
            <v xml:space="preserve">               </v>
          </cell>
          <cell r="I9" t="str">
            <v>A4002</v>
          </cell>
          <cell r="J9" t="str">
            <v>K-Score Score등급(적용배제)</v>
          </cell>
          <cell r="K9" t="str">
            <v>String</v>
          </cell>
          <cell r="L9">
            <v>20</v>
          </cell>
          <cell r="M9" t="str">
            <v xml:space="preserve">03             </v>
          </cell>
        </row>
        <row r="10">
          <cell r="D10" t="str">
            <v>A2004</v>
          </cell>
          <cell r="E10" t="str">
            <v>NICE 타사연체정보 보유고객(신용정보)</v>
          </cell>
          <cell r="F10" t="str">
            <v>Character</v>
          </cell>
          <cell r="G10">
            <v>1</v>
          </cell>
          <cell r="H10" t="str">
            <v xml:space="preserve">               </v>
          </cell>
          <cell r="I10" t="str">
            <v>A4009</v>
          </cell>
          <cell r="J10" t="str">
            <v>소득추정모형(결정연소득금액)</v>
          </cell>
          <cell r="K10" t="str">
            <v>Numeric</v>
          </cell>
          <cell r="L10">
            <v>20</v>
          </cell>
          <cell r="M10" t="str">
            <v>000000000041000</v>
          </cell>
        </row>
        <row r="11">
          <cell r="D11" t="str">
            <v>A2005</v>
          </cell>
          <cell r="E11" t="str">
            <v>KCB 타사연체정보 보유고객(신용정보)</v>
          </cell>
          <cell r="F11" t="str">
            <v>Character</v>
          </cell>
          <cell r="G11">
            <v>1</v>
          </cell>
          <cell r="H11" t="str">
            <v xml:space="preserve">               </v>
          </cell>
          <cell r="I11" t="str">
            <v>A3056</v>
          </cell>
          <cell r="J11" t="str">
            <v>실시간 대출 기관수</v>
          </cell>
          <cell r="K11" t="str">
            <v>Numeric</v>
          </cell>
          <cell r="L11">
            <v>20</v>
          </cell>
          <cell r="M11" t="str">
            <v>000000000000000</v>
          </cell>
        </row>
        <row r="12">
          <cell r="D12" t="str">
            <v>A2006</v>
          </cell>
          <cell r="E12" t="str">
            <v>사망실종 고객(고객정보)</v>
          </cell>
          <cell r="F12" t="str">
            <v>Character</v>
          </cell>
          <cell r="G12">
            <v>1</v>
          </cell>
          <cell r="H12" t="str">
            <v xml:space="preserve">               </v>
          </cell>
          <cell r="I12" t="str">
            <v>R0001</v>
          </cell>
          <cell r="J12" t="str">
            <v>상품코드</v>
          </cell>
          <cell r="K12" t="str">
            <v>Character</v>
          </cell>
          <cell r="L12">
            <v>20</v>
          </cell>
          <cell r="M12" t="str">
            <v xml:space="preserve">18             </v>
          </cell>
        </row>
        <row r="13">
          <cell r="D13" t="str">
            <v>A2007</v>
          </cell>
          <cell r="E13" t="str">
            <v>거래주의보정보 등록고객(고객정보)</v>
          </cell>
          <cell r="F13" t="str">
            <v>Character</v>
          </cell>
          <cell r="G13">
            <v>1</v>
          </cell>
          <cell r="H13" t="str">
            <v xml:space="preserve">               </v>
          </cell>
          <cell r="I13" t="str">
            <v>R0002</v>
          </cell>
          <cell r="J13" t="str">
            <v>신청평점</v>
          </cell>
          <cell r="K13" t="str">
            <v>Numeric</v>
          </cell>
          <cell r="L13">
            <v>20</v>
          </cell>
          <cell r="M13" t="str">
            <v>000000000000689</v>
          </cell>
        </row>
        <row r="14">
          <cell r="D14" t="str">
            <v>A2008</v>
          </cell>
          <cell r="E14" t="str">
            <v>워크아웃 등록고객</v>
          </cell>
          <cell r="F14" t="str">
            <v>Character</v>
          </cell>
          <cell r="G14">
            <v>1</v>
          </cell>
          <cell r="H14" t="str">
            <v xml:space="preserve">               </v>
          </cell>
          <cell r="I14" t="str">
            <v>R0003</v>
          </cell>
          <cell r="J14" t="str">
            <v>신청등급</v>
          </cell>
          <cell r="K14" t="str">
            <v>Numeric</v>
          </cell>
          <cell r="L14">
            <v>20</v>
          </cell>
          <cell r="M14" t="str">
            <v xml:space="preserve">03             </v>
          </cell>
        </row>
        <row r="15">
          <cell r="D15" t="str">
            <v>A2009</v>
          </cell>
          <cell r="E15" t="str">
            <v>장기카드대출 연체고객</v>
          </cell>
          <cell r="F15" t="str">
            <v>Character</v>
          </cell>
          <cell r="G15">
            <v>1</v>
          </cell>
          <cell r="H15" t="str">
            <v xml:space="preserve">               </v>
          </cell>
          <cell r="I15" t="str">
            <v>R0004</v>
          </cell>
          <cell r="J15" t="str">
            <v>결합등급</v>
          </cell>
          <cell r="K15" t="str">
            <v>Numeric</v>
          </cell>
          <cell r="L15">
            <v>20</v>
          </cell>
          <cell r="M15" t="str">
            <v xml:space="preserve">04             </v>
          </cell>
        </row>
        <row r="16">
          <cell r="D16" t="str">
            <v>A2010</v>
          </cell>
          <cell r="E16" t="str">
            <v>요주의 등록고객(신용정보)</v>
          </cell>
          <cell r="F16" t="str">
            <v>Character</v>
          </cell>
          <cell r="G16">
            <v>1</v>
          </cell>
          <cell r="H16" t="str">
            <v xml:space="preserve">               </v>
          </cell>
          <cell r="I16" t="str">
            <v>R0005</v>
          </cell>
          <cell r="J16" t="str">
            <v>전략등급</v>
          </cell>
          <cell r="K16" t="str">
            <v>Character</v>
          </cell>
          <cell r="L16">
            <v>20</v>
          </cell>
          <cell r="M16" t="str">
            <v xml:space="preserve">A              </v>
          </cell>
        </row>
        <row r="17">
          <cell r="D17" t="str">
            <v>A2011</v>
          </cell>
          <cell r="E17" t="str">
            <v>신용불량 채무관계제한 등록고객(신용정보)</v>
          </cell>
          <cell r="F17" t="str">
            <v>Character</v>
          </cell>
          <cell r="G17">
            <v>1</v>
          </cell>
          <cell r="H17" t="str">
            <v xml:space="preserve">               </v>
          </cell>
          <cell r="I17" t="str">
            <v>R0006</v>
          </cell>
          <cell r="J17" t="str">
            <v>Thin-file여부</v>
          </cell>
          <cell r="K17" t="str">
            <v>Numeric</v>
          </cell>
          <cell r="L17">
            <v>20</v>
          </cell>
          <cell r="M17" t="str">
            <v xml:space="preserve">0              </v>
          </cell>
        </row>
        <row r="18">
          <cell r="D18" t="str">
            <v>A2012</v>
          </cell>
          <cell r="E18" t="str">
            <v>은행 사전채무조정 신청자 및 확정자 등록고객(KB 국민은행 정보)</v>
          </cell>
          <cell r="F18" t="str">
            <v>Character</v>
          </cell>
          <cell r="G18">
            <v>1</v>
          </cell>
          <cell r="H18" t="str">
            <v xml:space="preserve">               </v>
          </cell>
          <cell r="I18" t="str">
            <v>R0007</v>
          </cell>
          <cell r="J18" t="str">
            <v>Knock-out여부</v>
          </cell>
          <cell r="K18" t="str">
            <v>Numeric</v>
          </cell>
          <cell r="L18">
            <v>20</v>
          </cell>
          <cell r="M18" t="str">
            <v xml:space="preserve">0              </v>
          </cell>
        </row>
        <row r="19">
          <cell r="D19" t="str">
            <v>A2013</v>
          </cell>
          <cell r="E19" t="str">
            <v>고객기본정보 구분코드 오류(고객정보)</v>
          </cell>
          <cell r="F19" t="str">
            <v>Character</v>
          </cell>
          <cell r="G19">
            <v>1</v>
          </cell>
          <cell r="H19" t="str">
            <v xml:space="preserve">               </v>
          </cell>
          <cell r="I19" t="str">
            <v>R0008</v>
          </cell>
          <cell r="J19" t="str">
            <v>월소득</v>
          </cell>
          <cell r="K19" t="str">
            <v>Numeric</v>
          </cell>
          <cell r="L19">
            <v>20</v>
          </cell>
          <cell r="M19" t="str">
            <v>000000003416666</v>
          </cell>
        </row>
        <row r="20">
          <cell r="D20" t="str">
            <v>A2014</v>
          </cell>
          <cell r="E20" t="str">
            <v>카드론대출잔액</v>
          </cell>
          <cell r="F20" t="str">
            <v>Numeric</v>
          </cell>
          <cell r="G20">
            <v>15</v>
          </cell>
          <cell r="H20" t="str">
            <v>000000000000000</v>
          </cell>
          <cell r="I20" t="str">
            <v>R0009</v>
          </cell>
          <cell r="J20" t="str">
            <v>DTI가중치</v>
          </cell>
          <cell r="K20" t="str">
            <v>Numeric</v>
          </cell>
          <cell r="L20">
            <v>20</v>
          </cell>
          <cell r="M20" t="str">
            <v>000000000000060</v>
          </cell>
        </row>
        <row r="21">
          <cell r="D21" t="str">
            <v>A2015</v>
          </cell>
          <cell r="E21" t="str">
            <v>오토론대출잔액</v>
          </cell>
          <cell r="F21" t="str">
            <v>Numeric</v>
          </cell>
          <cell r="G21">
            <v>15</v>
          </cell>
          <cell r="H21" t="str">
            <v>000000000000000</v>
          </cell>
          <cell r="I21" t="str">
            <v>R0010</v>
          </cell>
          <cell r="J21" t="str">
            <v>월원리금상환금액</v>
          </cell>
          <cell r="K21" t="str">
            <v>Numeric</v>
          </cell>
          <cell r="L21">
            <v>20</v>
          </cell>
          <cell r="M21" t="str">
            <v>000000000000000</v>
          </cell>
        </row>
        <row r="22">
          <cell r="D22" t="str">
            <v>A2016</v>
          </cell>
          <cell r="E22" t="str">
            <v>신용대출잔액</v>
          </cell>
          <cell r="F22" t="str">
            <v>Numeric</v>
          </cell>
          <cell r="G22">
            <v>15</v>
          </cell>
          <cell r="H22" t="str">
            <v>000000000000000</v>
          </cell>
          <cell r="I22" t="str">
            <v>R0011</v>
          </cell>
          <cell r="J22" t="str">
            <v>월가처분소득</v>
          </cell>
          <cell r="K22" t="str">
            <v>Numeric</v>
          </cell>
          <cell r="L22">
            <v>20</v>
          </cell>
          <cell r="M22" t="str">
            <v>000000002049999</v>
          </cell>
        </row>
        <row r="23">
          <cell r="D23" t="str">
            <v>A2017</v>
          </cell>
          <cell r="E23" t="str">
            <v>대환론대출잔액</v>
          </cell>
          <cell r="F23" t="str">
            <v>Numeric</v>
          </cell>
          <cell r="G23">
            <v>15</v>
          </cell>
          <cell r="H23" t="str">
            <v>000000000000000</v>
          </cell>
          <cell r="I23" t="str">
            <v>R0012</v>
          </cell>
          <cell r="J23" t="str">
            <v>적용금리</v>
          </cell>
          <cell r="K23" t="str">
            <v>Numeric</v>
          </cell>
          <cell r="L23">
            <v>20</v>
          </cell>
          <cell r="M23" t="str">
            <v>0000000000017.4</v>
          </cell>
        </row>
        <row r="24">
          <cell r="D24" t="str">
            <v>A2018</v>
          </cell>
          <cell r="E24" t="str">
            <v>순수 비회원 신용대출 잔액</v>
          </cell>
          <cell r="F24" t="str">
            <v>Numeric</v>
          </cell>
          <cell r="G24">
            <v>15</v>
          </cell>
          <cell r="H24" t="str">
            <v>000000000000000</v>
          </cell>
          <cell r="I24" t="str">
            <v>R0013</v>
          </cell>
          <cell r="J24" t="str">
            <v>적용금리코드</v>
          </cell>
          <cell r="K24" t="str">
            <v>Character</v>
          </cell>
          <cell r="L24">
            <v>20</v>
          </cell>
          <cell r="M24" t="str">
            <v xml:space="preserve">B1             </v>
          </cell>
        </row>
        <row r="25">
          <cell r="D25" t="str">
            <v>A2019</v>
          </cell>
          <cell r="E25" t="str">
            <v>당사 신용카드 잔액</v>
          </cell>
          <cell r="F25" t="str">
            <v>Numeric</v>
          </cell>
          <cell r="G25">
            <v>15</v>
          </cell>
          <cell r="H25" t="str">
            <v>000000000000000</v>
          </cell>
          <cell r="I25" t="str">
            <v>R0014</v>
          </cell>
          <cell r="J25" t="str">
            <v>기초한도</v>
          </cell>
          <cell r="K25" t="str">
            <v>Numeric</v>
          </cell>
          <cell r="L25">
            <v>20</v>
          </cell>
          <cell r="M25" t="str">
            <v>000000022400000</v>
          </cell>
        </row>
        <row r="26">
          <cell r="D26" t="str">
            <v>A2020</v>
          </cell>
          <cell r="E26" t="str">
            <v>유효회원여부</v>
          </cell>
          <cell r="F26" t="str">
            <v>Character</v>
          </cell>
          <cell r="G26">
            <v>1</v>
          </cell>
          <cell r="H26" t="str">
            <v xml:space="preserve">0              </v>
          </cell>
          <cell r="I26" t="str">
            <v>R0015</v>
          </cell>
          <cell r="J26" t="str">
            <v>신용한도CAP</v>
          </cell>
          <cell r="K26" t="str">
            <v>Numeric</v>
          </cell>
          <cell r="L26">
            <v>20</v>
          </cell>
          <cell r="M26" t="str">
            <v>000000006000000</v>
          </cell>
        </row>
        <row r="27">
          <cell r="D27" t="str">
            <v>A2021</v>
          </cell>
          <cell r="E27" t="str">
            <v>유효고객여부</v>
          </cell>
          <cell r="F27" t="str">
            <v>Character</v>
          </cell>
          <cell r="G27">
            <v>1</v>
          </cell>
          <cell r="H27" t="str">
            <v xml:space="preserve">0              </v>
          </cell>
          <cell r="I27" t="str">
            <v>R0016</v>
          </cell>
          <cell r="J27" t="str">
            <v>CB등급한도CAP</v>
          </cell>
          <cell r="K27" t="str">
            <v>Numeric</v>
          </cell>
          <cell r="L27">
            <v>20</v>
          </cell>
          <cell r="M27" t="str">
            <v>000000000000000</v>
          </cell>
        </row>
        <row r="28">
          <cell r="D28" t="str">
            <v>A2022</v>
          </cell>
          <cell r="E28" t="str">
            <v>신용카드소지여부</v>
          </cell>
          <cell r="F28" t="str">
            <v>Character</v>
          </cell>
          <cell r="G28">
            <v>1</v>
          </cell>
          <cell r="H28" t="str">
            <v xml:space="preserve">0              </v>
          </cell>
          <cell r="I28" t="str">
            <v>R0017</v>
          </cell>
          <cell r="J28" t="str">
            <v>연령한도CAP</v>
          </cell>
          <cell r="K28" t="str">
            <v>Numeric</v>
          </cell>
          <cell r="L28">
            <v>20</v>
          </cell>
          <cell r="M28" t="str">
            <v>000000020499996</v>
          </cell>
        </row>
        <row r="29">
          <cell r="D29" t="str">
            <v>A2023</v>
          </cell>
          <cell r="E29" t="str">
            <v>체크카드보유여부</v>
          </cell>
          <cell r="F29" t="str">
            <v>Character</v>
          </cell>
          <cell r="G29">
            <v>1</v>
          </cell>
          <cell r="H29" t="str">
            <v xml:space="preserve">0              </v>
          </cell>
          <cell r="I29" t="str">
            <v>R0018</v>
          </cell>
          <cell r="J29" t="str">
            <v>신용한도</v>
          </cell>
          <cell r="K29" t="str">
            <v>Numeric</v>
          </cell>
          <cell r="L29">
            <v>20</v>
          </cell>
          <cell r="M29" t="str">
            <v>000000006000000</v>
          </cell>
        </row>
        <row r="30">
          <cell r="D30" t="str">
            <v>A2024</v>
          </cell>
          <cell r="E30" t="str">
            <v>가맹점대표자여부</v>
          </cell>
          <cell r="F30" t="str">
            <v>Character</v>
          </cell>
          <cell r="G30">
            <v>1</v>
          </cell>
          <cell r="H30" t="str">
            <v xml:space="preserve">0              </v>
          </cell>
          <cell r="I30" t="str">
            <v>R0019</v>
          </cell>
          <cell r="J30" t="str">
            <v>시스템한도금액</v>
          </cell>
          <cell r="K30" t="str">
            <v>Numeric</v>
          </cell>
          <cell r="L30">
            <v>20</v>
          </cell>
          <cell r="M30" t="str">
            <v>000000007200000</v>
          </cell>
        </row>
        <row r="31">
          <cell r="D31" t="str">
            <v>A2025</v>
          </cell>
          <cell r="E31" t="str">
            <v>가맹점주등급</v>
          </cell>
          <cell r="F31" t="str">
            <v>Character</v>
          </cell>
          <cell r="G31">
            <v>2</v>
          </cell>
          <cell r="H31" t="str">
            <v xml:space="preserve">               </v>
          </cell>
          <cell r="I31" t="str">
            <v>R0020</v>
          </cell>
          <cell r="J31" t="str">
            <v>대출가능금액</v>
          </cell>
          <cell r="K31" t="str">
            <v>Numeric</v>
          </cell>
          <cell r="L31">
            <v>20</v>
          </cell>
          <cell r="M31" t="str">
            <v>000000007200000</v>
          </cell>
        </row>
        <row r="32">
          <cell r="D32" t="str">
            <v>A2026</v>
          </cell>
          <cell r="E32" t="str">
            <v>최근 6개월 가맹점 매출액</v>
          </cell>
          <cell r="F32" t="str">
            <v>Numeric</v>
          </cell>
          <cell r="G32">
            <v>15</v>
          </cell>
          <cell r="H32" t="str">
            <v>000000000000000</v>
          </cell>
          <cell r="I32" t="str">
            <v>R0021</v>
          </cell>
          <cell r="J32" t="str">
            <v>한도충족률</v>
          </cell>
          <cell r="K32" t="str">
            <v>Numeric</v>
          </cell>
          <cell r="L32">
            <v>20</v>
          </cell>
          <cell r="M32" t="str">
            <v>000000000000072</v>
          </cell>
        </row>
        <row r="33">
          <cell r="D33" t="str">
            <v>A2027</v>
          </cell>
          <cell r="E33" t="str">
            <v>당사 CA 잔액</v>
          </cell>
          <cell r="F33" t="str">
            <v>Numeric</v>
          </cell>
          <cell r="G33">
            <v>15</v>
          </cell>
          <cell r="H33" t="str">
            <v>000000000000000</v>
          </cell>
          <cell r="I33" t="str">
            <v>R0022</v>
          </cell>
          <cell r="J33" t="str">
            <v>한도결과코드</v>
          </cell>
          <cell r="K33" t="str">
            <v>Character</v>
          </cell>
          <cell r="L33">
            <v>20</v>
          </cell>
          <cell r="M33" t="str">
            <v xml:space="preserve">A              </v>
          </cell>
        </row>
        <row r="34">
          <cell r="D34" t="str">
            <v>A2028</v>
          </cell>
          <cell r="E34" t="str">
            <v>당사 RLS이월잔액</v>
          </cell>
          <cell r="F34" t="str">
            <v>Numeric</v>
          </cell>
          <cell r="G34">
            <v>15</v>
          </cell>
          <cell r="H34" t="str">
            <v>000000000000000</v>
          </cell>
          <cell r="I34" t="str">
            <v>R0023</v>
          </cell>
          <cell r="J34" t="str">
            <v>시스템판정결과</v>
          </cell>
          <cell r="K34" t="str">
            <v>Character</v>
          </cell>
          <cell r="L34">
            <v>20</v>
          </cell>
          <cell r="M34" t="str">
            <v xml:space="preserve">자동승인       </v>
          </cell>
        </row>
        <row r="35">
          <cell r="D35" t="str">
            <v>A2029</v>
          </cell>
          <cell r="E35" t="str">
            <v>당사 RCA이월잔액</v>
          </cell>
          <cell r="F35" t="str">
            <v>Numeric</v>
          </cell>
          <cell r="G35">
            <v>15</v>
          </cell>
          <cell r="H35" t="str">
            <v>000000000000000</v>
          </cell>
          <cell r="I35" t="str">
            <v>R0024</v>
          </cell>
          <cell r="J35" t="str">
            <v>시스템상세판정코드</v>
          </cell>
          <cell r="K35" t="str">
            <v>Character</v>
          </cell>
          <cell r="L35">
            <v>20</v>
          </cell>
          <cell r="M35" t="str">
            <v xml:space="preserve">AA             </v>
          </cell>
        </row>
        <row r="36">
          <cell r="D36" t="str">
            <v>A2030</v>
          </cell>
          <cell r="E36" t="str">
            <v>매입할부금융잔액</v>
          </cell>
          <cell r="F36" t="str">
            <v>Numeric</v>
          </cell>
          <cell r="G36">
            <v>15</v>
          </cell>
          <cell r="H36" t="str">
            <v>000000000000000</v>
          </cell>
          <cell r="I36" t="str">
            <v>R0025</v>
          </cell>
          <cell r="J36" t="str">
            <v>우대한도</v>
          </cell>
          <cell r="K36" t="str">
            <v>Numeric</v>
          </cell>
          <cell r="L36">
            <v>20</v>
          </cell>
          <cell r="M36" t="str">
            <v>000000001200000</v>
          </cell>
        </row>
        <row r="37">
          <cell r="D37" t="str">
            <v>A2031</v>
          </cell>
          <cell r="E37" t="str">
            <v>부채증명서 발급 경과일수 (단위: 일)</v>
          </cell>
          <cell r="F37" t="str">
            <v>Numeric</v>
          </cell>
          <cell r="G37">
            <v>15</v>
          </cell>
          <cell r="H37" t="str">
            <v>000000000000000</v>
          </cell>
          <cell r="I37" t="str">
            <v>R0026</v>
          </cell>
          <cell r="J37" t="str">
            <v>DTI</v>
          </cell>
          <cell r="K37" t="str">
            <v>Numeric</v>
          </cell>
          <cell r="L37">
            <v>20</v>
          </cell>
          <cell r="M37" t="str">
            <v>000000000000000</v>
          </cell>
        </row>
        <row r="38">
          <cell r="D38" t="str">
            <v>A2032</v>
          </cell>
          <cell r="E38" t="str">
            <v>쉬프트론대출잔액</v>
          </cell>
          <cell r="F38" t="str">
            <v>Numeric</v>
          </cell>
          <cell r="G38">
            <v>15</v>
          </cell>
          <cell r="H38" t="str">
            <v>000000000000000</v>
          </cell>
          <cell r="I38" t="str">
            <v>R0027</v>
          </cell>
          <cell r="J38" t="str">
            <v>신용가중치</v>
          </cell>
          <cell r="K38" t="str">
            <v>Numeric</v>
          </cell>
          <cell r="L38">
            <v>20</v>
          </cell>
          <cell r="M38" t="str">
            <v>000000000000100</v>
          </cell>
        </row>
        <row r="39">
          <cell r="D39" t="str">
            <v>A2033</v>
          </cell>
          <cell r="E39" t="str">
            <v>대출광고제휴업체구분코드</v>
          </cell>
          <cell r="F39" t="str">
            <v>Character</v>
          </cell>
          <cell r="G39">
            <v>3</v>
          </cell>
          <cell r="H39" t="str">
            <v xml:space="preserve">               </v>
          </cell>
          <cell r="I39" t="str">
            <v>R0028</v>
          </cell>
          <cell r="J39" t="str">
            <v>대출가능개월수</v>
          </cell>
          <cell r="K39" t="str">
            <v>Numeric</v>
          </cell>
          <cell r="L39">
            <v>20</v>
          </cell>
          <cell r="M39" t="str">
            <v>000000000000024</v>
          </cell>
        </row>
        <row r="40">
          <cell r="D40" t="str">
            <v>A2034</v>
          </cell>
          <cell r="E40" t="str">
            <v>우대한도소득충족여부</v>
          </cell>
          <cell r="F40" t="str">
            <v>Character</v>
          </cell>
          <cell r="G40">
            <v>1</v>
          </cell>
          <cell r="H40" t="str">
            <v xml:space="preserve">               </v>
          </cell>
          <cell r="I40" t="str">
            <v>R0029</v>
          </cell>
          <cell r="J40" t="str">
            <v>거치가능개월수</v>
          </cell>
          <cell r="K40" t="str">
            <v>Numeric</v>
          </cell>
          <cell r="L40">
            <v>20</v>
          </cell>
          <cell r="M40" t="str">
            <v>000000000000003</v>
          </cell>
        </row>
        <row r="41">
          <cell r="D41" t="str">
            <v>A2035</v>
          </cell>
          <cell r="E41" t="str">
            <v>중고차할부금융잔액</v>
          </cell>
          <cell r="F41" t="str">
            <v>Numeric</v>
          </cell>
          <cell r="G41">
            <v>15</v>
          </cell>
          <cell r="H41" t="str">
            <v>000000000000000</v>
          </cell>
          <cell r="I41" t="str">
            <v>R0030</v>
          </cell>
          <cell r="J41" t="str">
            <v>우대대상여부</v>
          </cell>
          <cell r="K41" t="str">
            <v>Character</v>
          </cell>
          <cell r="L41">
            <v>20</v>
          </cell>
          <cell r="M41" t="str">
            <v xml:space="preserve">               </v>
          </cell>
        </row>
        <row r="42">
          <cell r="D42" t="str">
            <v>A2036</v>
          </cell>
          <cell r="E42" t="str">
            <v>스크래핑소득_건보</v>
          </cell>
          <cell r="F42" t="str">
            <v>Numeric</v>
          </cell>
          <cell r="G42">
            <v>15</v>
          </cell>
          <cell r="H42" t="str">
            <v>000000000000000</v>
          </cell>
          <cell r="I42" t="str">
            <v>R0031</v>
          </cell>
          <cell r="J42" t="str">
            <v>우대한도금액</v>
          </cell>
          <cell r="K42" t="str">
            <v>Numeric</v>
          </cell>
          <cell r="L42">
            <v>20</v>
          </cell>
          <cell r="M42" t="str">
            <v>000000007200000</v>
          </cell>
        </row>
        <row r="43">
          <cell r="D43" t="str">
            <v>A2037</v>
          </cell>
          <cell r="E43" t="str">
            <v>스크래핑소득_국세청</v>
          </cell>
          <cell r="F43" t="str">
            <v>Numeric</v>
          </cell>
          <cell r="G43">
            <v>15</v>
          </cell>
          <cell r="H43" t="str">
            <v>000000000000000</v>
          </cell>
          <cell r="I43" t="str">
            <v>R0032</v>
          </cell>
          <cell r="J43" t="str">
            <v>KCB신용등급</v>
          </cell>
          <cell r="K43" t="str">
            <v>Numeric</v>
          </cell>
          <cell r="L43">
            <v>20</v>
          </cell>
          <cell r="M43" t="str">
            <v>0000000000003.0</v>
          </cell>
        </row>
        <row r="44">
          <cell r="D44" t="str">
            <v>A3001</v>
          </cell>
          <cell r="E44" t="str">
            <v>전은연 미상환 계좌별 은행업권 주택담보대출 총건수</v>
          </cell>
          <cell r="F44" t="str">
            <v>Numeric</v>
          </cell>
          <cell r="G44">
            <v>9</v>
          </cell>
          <cell r="H44" t="str">
            <v>000000000000000</v>
          </cell>
          <cell r="I44" t="str">
            <v>R0033</v>
          </cell>
          <cell r="J44" t="str">
            <v>NICE신용등급</v>
          </cell>
          <cell r="K44" t="str">
            <v>Numeric</v>
          </cell>
          <cell r="L44">
            <v>20</v>
          </cell>
          <cell r="M44" t="str">
            <v>0000000000006.0</v>
          </cell>
        </row>
        <row r="45">
          <cell r="D45" t="str">
            <v>A3002</v>
          </cell>
          <cell r="E45" t="str">
            <v>전은연 미상환 계좌별 은행업권 주택외 부동산담보대출 총건수</v>
          </cell>
          <cell r="F45" t="str">
            <v>Numeric</v>
          </cell>
          <cell r="G45">
            <v>9</v>
          </cell>
          <cell r="H45" t="str">
            <v>000000000000000</v>
          </cell>
          <cell r="I45" t="str">
            <v>R0034</v>
          </cell>
          <cell r="J45" t="str">
            <v>KCB추정소득</v>
          </cell>
          <cell r="K45" t="str">
            <v>Numeric</v>
          </cell>
          <cell r="L45">
            <v>20</v>
          </cell>
          <cell r="M45" t="str">
            <v>000000041000000</v>
          </cell>
        </row>
        <row r="46">
          <cell r="D46" t="str">
            <v>A3003</v>
          </cell>
          <cell r="E46" t="str">
            <v>전은연 미상환 계좌별 보험업권 주택담보대출 총건수</v>
          </cell>
          <cell r="F46" t="str">
            <v>Numeric</v>
          </cell>
          <cell r="G46">
            <v>9</v>
          </cell>
          <cell r="H46" t="str">
            <v>000000000000000</v>
          </cell>
          <cell r="I46" t="str">
            <v>R0035</v>
          </cell>
          <cell r="J46" t="str">
            <v>NICE추정소득</v>
          </cell>
          <cell r="K46" t="str">
            <v>Numeric</v>
          </cell>
          <cell r="L46">
            <v>20</v>
          </cell>
          <cell r="M46" t="str">
            <v>000000041000000</v>
          </cell>
        </row>
        <row r="47">
          <cell r="D47" t="str">
            <v>A3004</v>
          </cell>
          <cell r="E47" t="str">
            <v>전은연 미상환 계좌별 보험업권 주택외 부동산담보대출 총건수</v>
          </cell>
          <cell r="F47" t="str">
            <v>Numeric</v>
          </cell>
          <cell r="G47">
            <v>9</v>
          </cell>
          <cell r="H47" t="str">
            <v>000000000000000</v>
          </cell>
          <cell r="I47" t="str">
            <v>R0036</v>
          </cell>
          <cell r="J47" t="str">
            <v>연원리금상환액</v>
          </cell>
          <cell r="K47" t="str">
            <v>Numeric</v>
          </cell>
          <cell r="L47">
            <v>20</v>
          </cell>
          <cell r="M47" t="str">
            <v>000000000000000</v>
          </cell>
        </row>
        <row r="48">
          <cell r="D48" t="str">
            <v>A3005</v>
          </cell>
          <cell r="E48" t="str">
            <v>전은연 미상환 계좌별 대출 총건수</v>
          </cell>
          <cell r="F48" t="str">
            <v>Numeric</v>
          </cell>
          <cell r="G48">
            <v>9</v>
          </cell>
          <cell r="H48" t="str">
            <v>000000000000000</v>
          </cell>
          <cell r="I48" t="str">
            <v>R0037</v>
          </cell>
          <cell r="J48" t="str">
            <v>회원구분코드</v>
          </cell>
          <cell r="K48" t="str">
            <v>Character</v>
          </cell>
          <cell r="L48">
            <v>20</v>
          </cell>
          <cell r="M48" t="str">
            <v xml:space="preserve">04             </v>
          </cell>
        </row>
        <row r="49">
          <cell r="D49" t="str">
            <v>A3006</v>
          </cell>
          <cell r="E49" t="str">
            <v>전은연 미상환 계좌별 은행업권 대출 총건수</v>
          </cell>
          <cell r="F49" t="str">
            <v>Numeric</v>
          </cell>
          <cell r="G49">
            <v>9</v>
          </cell>
          <cell r="H49" t="str">
            <v>000000000000000</v>
          </cell>
          <cell r="I49" t="str">
            <v>R0038</v>
          </cell>
          <cell r="J49" t="str">
            <v>그룹통합모형평점</v>
          </cell>
          <cell r="K49" t="str">
            <v>Numeric</v>
          </cell>
          <cell r="L49">
            <v>20</v>
          </cell>
          <cell r="M49" t="str">
            <v>0000000000712.0</v>
          </cell>
        </row>
        <row r="50">
          <cell r="D50" t="str">
            <v>A3007</v>
          </cell>
          <cell r="E50" t="str">
            <v>전은연 미상환 계좌별 단위조합 대출 총건수</v>
          </cell>
          <cell r="F50" t="str">
            <v>Numeric</v>
          </cell>
          <cell r="G50">
            <v>9</v>
          </cell>
          <cell r="H50" t="str">
            <v>000000000000000</v>
          </cell>
          <cell r="I50" t="str">
            <v>R0039</v>
          </cell>
          <cell r="J50" t="str">
            <v>그룹통합모형등급</v>
          </cell>
          <cell r="K50" t="str">
            <v>Character</v>
          </cell>
          <cell r="L50">
            <v>20</v>
          </cell>
          <cell r="M50" t="str">
            <v xml:space="preserve">06             </v>
          </cell>
        </row>
        <row r="51">
          <cell r="D51" t="str">
            <v>A3008</v>
          </cell>
          <cell r="E51" t="str">
            <v>전은연 미상환 계좌별 보험업권 대출 총건수</v>
          </cell>
          <cell r="F51" t="str">
            <v>Numeric</v>
          </cell>
          <cell r="G51">
            <v>9</v>
          </cell>
          <cell r="H51" t="str">
            <v>000000000000000</v>
          </cell>
          <cell r="I51" t="str">
            <v>R0040</v>
          </cell>
          <cell r="J51" t="str">
            <v>그룹통합모형카드등급</v>
          </cell>
          <cell r="K51" t="str">
            <v>Character</v>
          </cell>
          <cell r="L51">
            <v>20</v>
          </cell>
          <cell r="M51" t="str">
            <v xml:space="preserve">04             </v>
          </cell>
        </row>
        <row r="52">
          <cell r="D52" t="str">
            <v>A3009</v>
          </cell>
          <cell r="E52" t="str">
            <v>전은연 미상환 계좌별 신용카드사 대출 총건수</v>
          </cell>
          <cell r="F52" t="str">
            <v>Numeric</v>
          </cell>
          <cell r="G52">
            <v>9</v>
          </cell>
          <cell r="H52" t="str">
            <v>000000000000000</v>
          </cell>
          <cell r="I52" t="str">
            <v>R0041</v>
          </cell>
          <cell r="J52" t="str">
            <v>그룹통합모형은행등급</v>
          </cell>
          <cell r="K52" t="str">
            <v>Character</v>
          </cell>
          <cell r="L52">
            <v>20</v>
          </cell>
          <cell r="M52" t="str">
            <v xml:space="preserve">07             </v>
          </cell>
        </row>
        <row r="53">
          <cell r="D53" t="str">
            <v>A3010</v>
          </cell>
          <cell r="E53" t="str">
            <v>전은연 미상환 계좌별 리스대출업권 신차 할부 총건수</v>
          </cell>
          <cell r="F53" t="str">
            <v>Numeric</v>
          </cell>
          <cell r="G53">
            <v>9</v>
          </cell>
          <cell r="H53" t="str">
            <v>000000000000000</v>
          </cell>
          <cell r="I53" t="str">
            <v>R0042</v>
          </cell>
          <cell r="J53" t="str">
            <v>기존카드론잔액</v>
          </cell>
          <cell r="K53" t="str">
            <v>Numeric</v>
          </cell>
          <cell r="L53">
            <v>20</v>
          </cell>
          <cell r="M53" t="str">
            <v xml:space="preserve">01             </v>
          </cell>
        </row>
        <row r="54">
          <cell r="D54" t="str">
            <v>A3011</v>
          </cell>
          <cell r="E54" t="str">
            <v>전은연 미상환 계좌별 할부금융업권 신차 할부 총건수</v>
          </cell>
          <cell r="F54" t="str">
            <v>Numeric</v>
          </cell>
          <cell r="G54">
            <v>9</v>
          </cell>
          <cell r="H54" t="str">
            <v>000000000000000</v>
          </cell>
          <cell r="I54" t="str">
            <v>R0043</v>
          </cell>
          <cell r="J54" t="str">
            <v>기존일반대출잔액</v>
          </cell>
          <cell r="K54" t="str">
            <v>Numeric</v>
          </cell>
          <cell r="L54">
            <v>20</v>
          </cell>
          <cell r="M54" t="str">
            <v xml:space="preserve">00             </v>
          </cell>
        </row>
        <row r="55">
          <cell r="D55" t="str">
            <v>A3012</v>
          </cell>
          <cell r="E55" t="str">
            <v>최근6개월내 경험한 연체 총 건수(10만원미만제외)</v>
          </cell>
          <cell r="F55" t="str">
            <v>Numeric</v>
          </cell>
          <cell r="G55">
            <v>9</v>
          </cell>
          <cell r="H55" t="str">
            <v>000000000000000</v>
          </cell>
          <cell r="I55" t="str">
            <v>R0044</v>
          </cell>
          <cell r="J55" t="str">
            <v>인정소득</v>
          </cell>
          <cell r="K55" t="str">
            <v>Numeric</v>
          </cell>
          <cell r="L55">
            <v>20</v>
          </cell>
          <cell r="M55" t="str">
            <v>000000003416666</v>
          </cell>
        </row>
        <row r="56">
          <cell r="D56" t="str">
            <v>A3013</v>
          </cell>
          <cell r="E56" t="str">
            <v>대부업계 30일이상 연체 6개월내 경험한 총 건수</v>
          </cell>
          <cell r="F56" t="str">
            <v>Numeric</v>
          </cell>
          <cell r="G56">
            <v>9</v>
          </cell>
          <cell r="H56" t="str">
            <v>000000000000000</v>
          </cell>
          <cell r="I56" t="str">
            <v>S0001</v>
          </cell>
          <cell r="J56" t="str">
            <v>평점표항목1 항목값</v>
          </cell>
          <cell r="K56" t="str">
            <v>Numeric</v>
          </cell>
          <cell r="L56">
            <v>20</v>
          </cell>
          <cell r="M56" t="str">
            <v>000000000006587</v>
          </cell>
        </row>
        <row r="57">
          <cell r="D57" t="str">
            <v>A3014</v>
          </cell>
          <cell r="E57" t="str">
            <v>최장 연체경험기간(해제후1년경과건제외)(최초또는연체금액10만원이상)</v>
          </cell>
          <cell r="F57" t="str">
            <v>Numeric</v>
          </cell>
          <cell r="G57">
            <v>9</v>
          </cell>
          <cell r="H57" t="str">
            <v>000000000000000</v>
          </cell>
          <cell r="I57" t="str">
            <v>S0002</v>
          </cell>
          <cell r="J57" t="str">
            <v>평점표항목2 항목값</v>
          </cell>
          <cell r="K57" t="str">
            <v>Numeric</v>
          </cell>
          <cell r="L57">
            <v>20</v>
          </cell>
          <cell r="M57" t="str">
            <v>000000000000005</v>
          </cell>
        </row>
        <row r="58">
          <cell r="D58" t="str">
            <v>A3015</v>
          </cell>
          <cell r="E58" t="str">
            <v>대부업계 30일이상 연체 12개월내 경험한 최장 연체 일수</v>
          </cell>
          <cell r="F58" t="str">
            <v>Numeric</v>
          </cell>
          <cell r="G58">
            <v>9</v>
          </cell>
          <cell r="H58" t="str">
            <v>000000000000000</v>
          </cell>
          <cell r="I58" t="str">
            <v>S0003</v>
          </cell>
          <cell r="J58" t="str">
            <v>평점표항목3 항목값</v>
          </cell>
          <cell r="K58" t="str">
            <v>Numeric</v>
          </cell>
          <cell r="L58">
            <v>20</v>
          </cell>
          <cell r="M58" t="str">
            <v>000000000000000</v>
          </cell>
        </row>
        <row r="59">
          <cell r="D59" t="str">
            <v>A3016</v>
          </cell>
          <cell r="E59" t="str">
            <v>NICE RK0400_000(CB등급)의 Profile Code 1</v>
          </cell>
          <cell r="F59" t="str">
            <v>Character</v>
          </cell>
          <cell r="G59">
            <v>3</v>
          </cell>
          <cell r="H59" t="str">
            <v xml:space="preserve">               </v>
          </cell>
          <cell r="I59" t="str">
            <v>S0004</v>
          </cell>
          <cell r="J59" t="str">
            <v>평점표항목4 항목값</v>
          </cell>
          <cell r="K59" t="str">
            <v>Numeric</v>
          </cell>
          <cell r="L59">
            <v>20</v>
          </cell>
          <cell r="M59" t="str">
            <v>000000000000000</v>
          </cell>
        </row>
        <row r="60">
          <cell r="D60" t="str">
            <v>A3017</v>
          </cell>
          <cell r="E60" t="str">
            <v>NICE RK0400_000(CB등급)의 Profile Code 2</v>
          </cell>
          <cell r="F60" t="str">
            <v>Character</v>
          </cell>
          <cell r="G60">
            <v>3</v>
          </cell>
          <cell r="H60" t="str">
            <v xml:space="preserve">               </v>
          </cell>
          <cell r="I60" t="str">
            <v>S0005</v>
          </cell>
          <cell r="J60" t="str">
            <v>평점표항목5 항목값</v>
          </cell>
          <cell r="K60" t="str">
            <v>Numeric</v>
          </cell>
          <cell r="L60">
            <v>20</v>
          </cell>
          <cell r="M60" t="str">
            <v>000000000000000</v>
          </cell>
        </row>
        <row r="61">
          <cell r="D61" t="str">
            <v>A3018</v>
          </cell>
          <cell r="E61" t="str">
            <v>NICE RK0400_000(CB등급)의 Profile Code 3</v>
          </cell>
          <cell r="F61" t="str">
            <v>Character</v>
          </cell>
          <cell r="G61">
            <v>3</v>
          </cell>
          <cell r="H61" t="str">
            <v xml:space="preserve">               </v>
          </cell>
          <cell r="I61" t="str">
            <v>S0006</v>
          </cell>
          <cell r="J61" t="str">
            <v>평점표항목6 항목값</v>
          </cell>
          <cell r="K61" t="str">
            <v>Numeric</v>
          </cell>
          <cell r="L61">
            <v>20</v>
          </cell>
          <cell r="M61" t="str">
            <v>-00000000000099</v>
          </cell>
        </row>
        <row r="62">
          <cell r="D62" t="str">
            <v>A3019</v>
          </cell>
          <cell r="E62" t="str">
            <v>채무불이행 최근5년내 해제건 중 최근 해제일로부터의 기간(삭제포함)</v>
          </cell>
          <cell r="F62" t="str">
            <v>Numeric</v>
          </cell>
          <cell r="G62">
            <v>9</v>
          </cell>
          <cell r="H62" t="str">
            <v>000000000000000</v>
          </cell>
          <cell r="I62" t="str">
            <v>S0007</v>
          </cell>
          <cell r="J62" t="str">
            <v>평점표항목7 항목값</v>
          </cell>
          <cell r="K62" t="str">
            <v>Numeric</v>
          </cell>
          <cell r="L62">
            <v>20</v>
          </cell>
          <cell r="M62" t="str">
            <v>000000000000000</v>
          </cell>
        </row>
        <row r="63">
          <cell r="D63" t="str">
            <v>A3020</v>
          </cell>
          <cell r="E63" t="str">
            <v>최초 미해지 신용카드 발급일로부터의 기간</v>
          </cell>
          <cell r="F63" t="str">
            <v>Numeric</v>
          </cell>
          <cell r="G63">
            <v>9</v>
          </cell>
          <cell r="H63" t="str">
            <v>000000000006587</v>
          </cell>
          <cell r="I63" t="str">
            <v>S0008</v>
          </cell>
          <cell r="J63" t="str">
            <v>평점표항목8 항목값</v>
          </cell>
          <cell r="K63" t="str">
            <v>Numeric</v>
          </cell>
          <cell r="L63">
            <v>20</v>
          </cell>
          <cell r="M63" t="str">
            <v>000000000000000</v>
          </cell>
        </row>
        <row r="64">
          <cell r="D64" t="str">
            <v>A3021</v>
          </cell>
          <cell r="E64" t="str">
            <v>최근12개월 카드 신판사용개월수(체크카드사용포함)(15일기준)</v>
          </cell>
          <cell r="F64" t="str">
            <v>Numeric</v>
          </cell>
          <cell r="G64">
            <v>9</v>
          </cell>
          <cell r="H64" t="str">
            <v>000000000000005</v>
          </cell>
          <cell r="I64" t="str">
            <v>S0009</v>
          </cell>
          <cell r="J64" t="str">
            <v>평점표항목9 항목값</v>
          </cell>
          <cell r="K64" t="str">
            <v>Numeric</v>
          </cell>
          <cell r="L64">
            <v>20</v>
          </cell>
          <cell r="M64" t="str">
            <v>000000000000000</v>
          </cell>
        </row>
        <row r="65">
          <cell r="D65" t="str">
            <v>A3022</v>
          </cell>
          <cell r="E65" t="str">
            <v>현금서비스이용잔액기관수</v>
          </cell>
          <cell r="F65" t="str">
            <v>Numeric</v>
          </cell>
          <cell r="G65">
            <v>9</v>
          </cell>
          <cell r="H65" t="str">
            <v>000000000000000</v>
          </cell>
          <cell r="I65" t="str">
            <v>S0010</v>
          </cell>
          <cell r="J65" t="str">
            <v>평점표항목10 항목값</v>
          </cell>
          <cell r="K65" t="str">
            <v>Numeric</v>
          </cell>
          <cell r="L65">
            <v>20</v>
          </cell>
          <cell r="M65" t="str">
            <v>000000000000000</v>
          </cell>
        </row>
        <row r="66">
          <cell r="D66" t="str">
            <v>A3023</v>
          </cell>
          <cell r="E66" t="str">
            <v>총신용공여 건수</v>
          </cell>
          <cell r="F66" t="str">
            <v>Numeric</v>
          </cell>
          <cell r="G66">
            <v>9</v>
          </cell>
          <cell r="H66" t="str">
            <v>000000000000000</v>
          </cell>
          <cell r="I66" t="str">
            <v>S0011</v>
          </cell>
          <cell r="J66" t="str">
            <v>평점표항목11 항목값</v>
          </cell>
          <cell r="K66" t="str">
            <v>Numeric</v>
          </cell>
          <cell r="L66">
            <v>20</v>
          </cell>
          <cell r="M66" t="str">
            <v>000000000000000</v>
          </cell>
        </row>
        <row r="67">
          <cell r="D67" t="str">
            <v>A3024</v>
          </cell>
          <cell r="E67" t="str">
            <v>최근1년내 미상환 주택담보제외 대출총금액</v>
          </cell>
          <cell r="F67" t="str">
            <v>Numeric</v>
          </cell>
          <cell r="G67">
            <v>9</v>
          </cell>
          <cell r="H67" t="str">
            <v>000000000000000</v>
          </cell>
          <cell r="I67" t="str">
            <v>W0001</v>
          </cell>
          <cell r="J67" t="str">
            <v>평점표항목1 배점</v>
          </cell>
          <cell r="K67" t="str">
            <v>Numeric</v>
          </cell>
          <cell r="L67">
            <v>20</v>
          </cell>
          <cell r="M67" t="str">
            <v>000000000000073</v>
          </cell>
        </row>
        <row r="68">
          <cell r="D68" t="str">
            <v>A3025</v>
          </cell>
          <cell r="E68" t="str">
            <v>최근 해제 후 경과일수 (3년내해제건)</v>
          </cell>
          <cell r="F68" t="str">
            <v>Numeric</v>
          </cell>
          <cell r="G68">
            <v>9</v>
          </cell>
          <cell r="H68" t="str">
            <v>-00000000000099</v>
          </cell>
          <cell r="I68" t="str">
            <v>W0002</v>
          </cell>
          <cell r="J68" t="str">
            <v>평점표항목2 배점</v>
          </cell>
          <cell r="K68" t="str">
            <v>Numeric</v>
          </cell>
          <cell r="L68">
            <v>20</v>
          </cell>
          <cell r="M68" t="str">
            <v>000000000000000</v>
          </cell>
        </row>
        <row r="69">
          <cell r="D69" t="str">
            <v>A3026</v>
          </cell>
          <cell r="E69" t="str">
            <v>(신용관리대상/공공정보)등록 총 건수</v>
          </cell>
          <cell r="F69" t="str">
            <v>Numeric</v>
          </cell>
          <cell r="G69">
            <v>9</v>
          </cell>
          <cell r="H69" t="str">
            <v>000000000000000</v>
          </cell>
          <cell r="I69" t="str">
            <v>W0003</v>
          </cell>
          <cell r="J69" t="str">
            <v>평점표항목3 배점</v>
          </cell>
          <cell r="K69" t="str">
            <v>Numeric</v>
          </cell>
          <cell r="L69">
            <v>20</v>
          </cell>
          <cell r="M69" t="str">
            <v>000000000000040</v>
          </cell>
        </row>
        <row r="70">
          <cell r="D70" t="str">
            <v>A3027</v>
          </cell>
          <cell r="E70" t="str">
            <v>대부업계 30일이상 연체 미해제 총 건수</v>
          </cell>
          <cell r="F70" t="str">
            <v>Numeric</v>
          </cell>
          <cell r="G70">
            <v>9</v>
          </cell>
          <cell r="H70" t="str">
            <v>000000000000000</v>
          </cell>
          <cell r="I70" t="str">
            <v>W0004</v>
          </cell>
          <cell r="J70" t="str">
            <v>평점표항목4 배점</v>
          </cell>
          <cell r="K70" t="str">
            <v>Numeric</v>
          </cell>
          <cell r="L70">
            <v>20</v>
          </cell>
          <cell r="M70" t="str">
            <v>000000000000058</v>
          </cell>
        </row>
        <row r="71">
          <cell r="D71" t="str">
            <v>A3028</v>
          </cell>
          <cell r="E71" t="str">
            <v>신용회복위원회 조정정보 보유 유무</v>
          </cell>
          <cell r="F71" t="str">
            <v>Numeric</v>
          </cell>
          <cell r="G71">
            <v>9</v>
          </cell>
          <cell r="H71" t="str">
            <v>000000000000000</v>
          </cell>
          <cell r="I71" t="str">
            <v>W0005</v>
          </cell>
          <cell r="J71" t="str">
            <v>평점표항목5 배점</v>
          </cell>
          <cell r="K71" t="str">
            <v>Numeric</v>
          </cell>
          <cell r="L71">
            <v>20</v>
          </cell>
          <cell r="M71" t="str">
            <v>000000000000044</v>
          </cell>
        </row>
        <row r="72">
          <cell r="D72" t="str">
            <v>A3029</v>
          </cell>
          <cell r="E72" t="str">
            <v>희망모아 신용회복지원 대상 구분</v>
          </cell>
          <cell r="F72" t="str">
            <v>Numeric</v>
          </cell>
          <cell r="G72">
            <v>9</v>
          </cell>
          <cell r="H72" t="str">
            <v>000000000000009</v>
          </cell>
          <cell r="I72" t="str">
            <v>W0006</v>
          </cell>
          <cell r="J72" t="str">
            <v>평점표항목6 배점</v>
          </cell>
          <cell r="K72" t="str">
            <v>Numeric</v>
          </cell>
          <cell r="L72">
            <v>20</v>
          </cell>
          <cell r="M72" t="str">
            <v>000000000000060</v>
          </cell>
        </row>
        <row r="73">
          <cell r="D73" t="str">
            <v>A3030</v>
          </cell>
          <cell r="E73" t="str">
            <v>상록수 신용회복지원 구분</v>
          </cell>
          <cell r="F73" t="str">
            <v>Numeric</v>
          </cell>
          <cell r="G73">
            <v>9</v>
          </cell>
          <cell r="H73" t="str">
            <v>000000000000009</v>
          </cell>
          <cell r="I73" t="str">
            <v>W0007</v>
          </cell>
          <cell r="J73" t="str">
            <v>평점표항목7 배점</v>
          </cell>
          <cell r="K73" t="str">
            <v>Numeric</v>
          </cell>
          <cell r="L73">
            <v>20</v>
          </cell>
          <cell r="M73" t="str">
            <v>000000000000000</v>
          </cell>
        </row>
        <row r="74">
          <cell r="D74" t="str">
            <v>A3031</v>
          </cell>
          <cell r="E74" t="str">
            <v>파산면책 등록 유무</v>
          </cell>
          <cell r="F74" t="str">
            <v>Numeric</v>
          </cell>
          <cell r="G74">
            <v>9</v>
          </cell>
          <cell r="H74" t="str">
            <v>000000000000000</v>
          </cell>
          <cell r="I74" t="str">
            <v>W0008</v>
          </cell>
          <cell r="J74" t="str">
            <v>평점표항목8 배점</v>
          </cell>
          <cell r="K74" t="str">
            <v>Numeric</v>
          </cell>
          <cell r="L74">
            <v>20</v>
          </cell>
          <cell r="M74" t="str">
            <v>000000000000027</v>
          </cell>
        </row>
        <row r="75">
          <cell r="D75" t="str">
            <v>A3032</v>
          </cell>
          <cell r="E75" t="str">
            <v>개인회생 등록 유무</v>
          </cell>
          <cell r="F75" t="str">
            <v>Numeric</v>
          </cell>
          <cell r="G75">
            <v>9</v>
          </cell>
          <cell r="H75" t="str">
            <v>000000000000000</v>
          </cell>
          <cell r="I75" t="str">
            <v>W0009</v>
          </cell>
          <cell r="J75" t="str">
            <v>평점표항목9 배점</v>
          </cell>
          <cell r="K75" t="str">
            <v>Numeric</v>
          </cell>
          <cell r="L75">
            <v>20</v>
          </cell>
          <cell r="M75" t="str">
            <v>000000000000030</v>
          </cell>
        </row>
        <row r="76">
          <cell r="D76" t="str">
            <v>A3033</v>
          </cell>
          <cell r="E76" t="str">
            <v>한정치산선고 유무</v>
          </cell>
          <cell r="F76" t="str">
            <v>Numeric</v>
          </cell>
          <cell r="G76">
            <v>9</v>
          </cell>
          <cell r="H76" t="str">
            <v>000000000000000</v>
          </cell>
          <cell r="I76" t="str">
            <v>W0010</v>
          </cell>
          <cell r="J76" t="str">
            <v>평점표항목10 배점</v>
          </cell>
          <cell r="K76" t="str">
            <v>Numeric</v>
          </cell>
          <cell r="L76">
            <v>20</v>
          </cell>
          <cell r="M76" t="str">
            <v>000000000000043</v>
          </cell>
        </row>
        <row r="77">
          <cell r="D77" t="str">
            <v>A3034</v>
          </cell>
          <cell r="E77" t="str">
            <v>금치산선고 유무</v>
          </cell>
          <cell r="F77" t="str">
            <v>Numeric</v>
          </cell>
          <cell r="G77">
            <v>9</v>
          </cell>
          <cell r="H77" t="str">
            <v>000000000000000</v>
          </cell>
          <cell r="I77" t="str">
            <v>W0011</v>
          </cell>
          <cell r="J77" t="str">
            <v>평점표항목11 배점</v>
          </cell>
          <cell r="K77" t="str">
            <v>Numeric</v>
          </cell>
          <cell r="L77">
            <v>20</v>
          </cell>
          <cell r="M77" t="str">
            <v>000000000000034</v>
          </cell>
        </row>
        <row r="78">
          <cell r="D78" t="str">
            <v>A3035</v>
          </cell>
          <cell r="E78" t="str">
            <v>기준일 현재 행안부 사망자 여부</v>
          </cell>
          <cell r="F78" t="str">
            <v>Numeric</v>
          </cell>
          <cell r="G78">
            <v>9</v>
          </cell>
          <cell r="H78" t="str">
            <v>000000000000000</v>
          </cell>
          <cell r="I78" t="str">
            <v>KORLT</v>
          </cell>
          <cell r="J78" t="e">
            <v>#N/A</v>
          </cell>
          <cell r="K78" t="e">
            <v>#N/A</v>
          </cell>
          <cell r="L78" t="e">
            <v>#N/A</v>
          </cell>
          <cell r="M78" t="str">
            <v/>
          </cell>
        </row>
        <row r="79">
          <cell r="D79" t="str">
            <v>A3036</v>
          </cell>
          <cell r="E79" t="str">
            <v>미해제 연체 총 기관수 (일보 기준)</v>
          </cell>
          <cell r="F79" t="str">
            <v>Numeric</v>
          </cell>
          <cell r="G79">
            <v>9</v>
          </cell>
          <cell r="H79" t="str">
            <v>000000000000000</v>
          </cell>
          <cell r="I79" t="str">
            <v/>
          </cell>
          <cell r="J79" t="e">
            <v>#N/A</v>
          </cell>
          <cell r="K79" t="e">
            <v>#N/A</v>
          </cell>
          <cell r="L79" t="e">
            <v>#N/A</v>
          </cell>
          <cell r="M79" t="str">
            <v/>
          </cell>
        </row>
        <row r="80">
          <cell r="D80" t="str">
            <v>A3037</v>
          </cell>
          <cell r="E80" t="str">
            <v>연체 총 잔액(해제후1년경과건제외)</v>
          </cell>
          <cell r="F80" t="str">
            <v>Numeric</v>
          </cell>
          <cell r="G80">
            <v>9</v>
          </cell>
          <cell r="H80" t="str">
            <v>000000000000000</v>
          </cell>
          <cell r="I80" t="str">
            <v/>
          </cell>
          <cell r="J80" t="e">
            <v>#N/A</v>
          </cell>
          <cell r="K80" t="e">
            <v>#N/A</v>
          </cell>
          <cell r="L80" t="e">
            <v>#N/A</v>
          </cell>
          <cell r="M80" t="str">
            <v/>
          </cell>
        </row>
        <row r="81">
          <cell r="D81" t="str">
            <v>A3038</v>
          </cell>
          <cell r="E81" t="str">
            <v>최근3개월내 미해지 신용카드 발급 총건수</v>
          </cell>
          <cell r="F81" t="str">
            <v>Numeric</v>
          </cell>
          <cell r="G81">
            <v>9</v>
          </cell>
          <cell r="H81" t="str">
            <v>000000000000000</v>
          </cell>
          <cell r="I81" t="str">
            <v/>
          </cell>
          <cell r="J81" t="e">
            <v>#N/A</v>
          </cell>
          <cell r="K81" t="e">
            <v>#N/A</v>
          </cell>
          <cell r="L81" t="e">
            <v>#N/A</v>
          </cell>
          <cell r="M81" t="str">
            <v/>
          </cell>
        </row>
        <row r="82">
          <cell r="D82" t="str">
            <v>A3039</v>
          </cell>
          <cell r="E82" t="str">
            <v>최근1개월 리볼빙 이용기관수(15일기준)</v>
          </cell>
          <cell r="F82" t="str">
            <v>Numeric</v>
          </cell>
          <cell r="G82">
            <v>9</v>
          </cell>
          <cell r="H82" t="str">
            <v>000000000000000</v>
          </cell>
          <cell r="I82" t="str">
            <v/>
          </cell>
          <cell r="J82" t="e">
            <v>#N/A</v>
          </cell>
          <cell r="K82" t="e">
            <v>#N/A</v>
          </cell>
          <cell r="L82" t="e">
            <v>#N/A</v>
          </cell>
          <cell r="M82" t="str">
            <v/>
          </cell>
        </row>
        <row r="83">
          <cell r="D83" t="str">
            <v>A3040</v>
          </cell>
          <cell r="E83" t="str">
            <v>총대출공여 건수</v>
          </cell>
          <cell r="F83" t="str">
            <v>Numeric</v>
          </cell>
          <cell r="G83">
            <v>9</v>
          </cell>
          <cell r="H83" t="str">
            <v>000000000000000</v>
          </cell>
          <cell r="I83" t="str">
            <v/>
          </cell>
          <cell r="J83" t="e">
            <v>#N/A</v>
          </cell>
          <cell r="K83" t="e">
            <v>#N/A</v>
          </cell>
          <cell r="L83" t="e">
            <v>#N/A</v>
          </cell>
          <cell r="M83" t="str">
            <v/>
          </cell>
        </row>
        <row r="84">
          <cell r="D84" t="str">
            <v>A3041</v>
          </cell>
          <cell r="E84" t="str">
            <v>최근3개월내 저축은행업권 미상환 대출총건수</v>
          </cell>
          <cell r="F84" t="str">
            <v>Numeric</v>
          </cell>
          <cell r="G84">
            <v>9</v>
          </cell>
          <cell r="H84" t="str">
            <v>000000000000000</v>
          </cell>
          <cell r="I84" t="str">
            <v/>
          </cell>
          <cell r="J84" t="e">
            <v>#N/A</v>
          </cell>
          <cell r="K84" t="e">
            <v>#N/A</v>
          </cell>
          <cell r="L84" t="e">
            <v>#N/A</v>
          </cell>
          <cell r="M84" t="str">
            <v/>
          </cell>
        </row>
        <row r="85">
          <cell r="D85" t="str">
            <v>A3042</v>
          </cell>
          <cell r="E85" t="str">
            <v>전은연 미상환 계좌별 카드업권또는카드론 신용대출 총금액</v>
          </cell>
          <cell r="F85" t="str">
            <v>Numeric</v>
          </cell>
          <cell r="G85">
            <v>9</v>
          </cell>
          <cell r="H85" t="str">
            <v>000000000000000</v>
          </cell>
          <cell r="I85" t="str">
            <v/>
          </cell>
          <cell r="J85" t="e">
            <v>#N/A</v>
          </cell>
          <cell r="K85" t="e">
            <v>#N/A</v>
          </cell>
          <cell r="L85" t="e">
            <v>#N/A</v>
          </cell>
          <cell r="M85" t="str">
            <v/>
          </cell>
        </row>
        <row r="86">
          <cell r="D86" t="str">
            <v>A3043</v>
          </cell>
          <cell r="E86" t="str">
            <v>최근3개월내 캐피탈업권 미상환 대출총금액</v>
          </cell>
          <cell r="F86" t="str">
            <v>Numeric</v>
          </cell>
          <cell r="G86">
            <v>9</v>
          </cell>
          <cell r="H86" t="str">
            <v>000000000000000</v>
          </cell>
          <cell r="I86" t="str">
            <v/>
          </cell>
          <cell r="J86" t="e">
            <v>#N/A</v>
          </cell>
          <cell r="K86" t="e">
            <v>#N/A</v>
          </cell>
          <cell r="L86" t="e">
            <v>#N/A</v>
          </cell>
          <cell r="M86" t="str">
            <v/>
          </cell>
        </row>
        <row r="87">
          <cell r="D87" t="str">
            <v>A3044</v>
          </cell>
          <cell r="E87" t="str">
            <v>최근1개월내 미상환 카드론 대출총건수</v>
          </cell>
          <cell r="F87" t="str">
            <v>Numeric</v>
          </cell>
          <cell r="G87">
            <v>9</v>
          </cell>
          <cell r="H87" t="str">
            <v>000000000000000</v>
          </cell>
          <cell r="I87" t="str">
            <v/>
          </cell>
          <cell r="J87" t="e">
            <v>#N/A</v>
          </cell>
          <cell r="K87" t="e">
            <v>#N/A</v>
          </cell>
          <cell r="L87" t="e">
            <v>#N/A</v>
          </cell>
          <cell r="M87" t="str">
            <v/>
          </cell>
        </row>
        <row r="88">
          <cell r="D88" t="str">
            <v>A3045</v>
          </cell>
          <cell r="E88" t="str">
            <v>전은연 계좌별 대출 최근 1개월 내 상환 건수</v>
          </cell>
          <cell r="F88" t="str">
            <v>Numeric</v>
          </cell>
          <cell r="G88">
            <v>9</v>
          </cell>
          <cell r="H88" t="str">
            <v>000000000000000</v>
          </cell>
          <cell r="I88" t="str">
            <v/>
          </cell>
          <cell r="J88" t="e">
            <v>#N/A</v>
          </cell>
          <cell r="K88" t="e">
            <v>#N/A</v>
          </cell>
          <cell r="L88" t="e">
            <v>#N/A</v>
          </cell>
          <cell r="M88" t="str">
            <v/>
          </cell>
        </row>
        <row r="89">
          <cell r="D89" t="str">
            <v>A3046</v>
          </cell>
          <cell r="E89" t="str">
            <v>(채무불이행-신용정보사)미해제등록 총 건수</v>
          </cell>
          <cell r="F89" t="str">
            <v>Numeric</v>
          </cell>
          <cell r="G89">
            <v>9</v>
          </cell>
          <cell r="H89" t="str">
            <v>000000000000000</v>
          </cell>
          <cell r="I89" t="str">
            <v/>
          </cell>
          <cell r="J89" t="e">
            <v>#N/A</v>
          </cell>
          <cell r="K89" t="e">
            <v>#N/A</v>
          </cell>
          <cell r="L89" t="e">
            <v>#N/A</v>
          </cell>
          <cell r="M89" t="str">
            <v/>
          </cell>
        </row>
        <row r="90">
          <cell r="D90" t="str">
            <v>A3047</v>
          </cell>
          <cell r="E90" t="str">
            <v>미해제 연체 총 건수</v>
          </cell>
          <cell r="F90" t="str">
            <v>Numeric</v>
          </cell>
          <cell r="G90">
            <v>9</v>
          </cell>
          <cell r="H90" t="str">
            <v>000000000000000</v>
          </cell>
          <cell r="I90" t="str">
            <v/>
          </cell>
          <cell r="J90" t="e">
            <v>#N/A</v>
          </cell>
          <cell r="K90" t="e">
            <v>#N/A</v>
          </cell>
          <cell r="L90" t="e">
            <v>#N/A</v>
          </cell>
          <cell r="M90" t="str">
            <v/>
          </cell>
        </row>
        <row r="91">
          <cell r="D91" t="str">
            <v>A3048</v>
          </cell>
          <cell r="E91" t="str">
            <v>미해제 총 연체 금액</v>
          </cell>
          <cell r="F91" t="str">
            <v>Numeric</v>
          </cell>
          <cell r="G91">
            <v>9</v>
          </cell>
          <cell r="H91" t="str">
            <v>000000000000000</v>
          </cell>
          <cell r="I91" t="str">
            <v/>
          </cell>
          <cell r="J91" t="e">
            <v>#N/A</v>
          </cell>
          <cell r="K91" t="e">
            <v>#N/A</v>
          </cell>
          <cell r="L91" t="e">
            <v>#N/A</v>
          </cell>
          <cell r="M91" t="str">
            <v/>
          </cell>
        </row>
        <row r="92">
          <cell r="D92" t="str">
            <v>A3049</v>
          </cell>
          <cell r="E92" t="str">
            <v>최근1개월내 총 연체금액(최초연체발생일기준)</v>
          </cell>
          <cell r="F92" t="str">
            <v>Numeric</v>
          </cell>
          <cell r="G92">
            <v>9</v>
          </cell>
          <cell r="H92" t="str">
            <v>000000000000000</v>
          </cell>
          <cell r="I92" t="str">
            <v/>
          </cell>
          <cell r="J92" t="e">
            <v>#N/A</v>
          </cell>
          <cell r="K92" t="e">
            <v>#N/A</v>
          </cell>
          <cell r="L92" t="e">
            <v>#N/A</v>
          </cell>
          <cell r="M92" t="str">
            <v/>
          </cell>
        </row>
        <row r="93">
          <cell r="D93" t="str">
            <v>A3050</v>
          </cell>
          <cell r="E93" t="str">
            <v>최근3개월내 총 연체금액(최초연체발생일기준)</v>
          </cell>
          <cell r="F93" t="str">
            <v>Numeric</v>
          </cell>
          <cell r="G93">
            <v>9</v>
          </cell>
          <cell r="H93" t="str">
            <v>000000000000000</v>
          </cell>
          <cell r="I93" t="str">
            <v/>
          </cell>
          <cell r="J93" t="e">
            <v>#N/A</v>
          </cell>
          <cell r="K93" t="e">
            <v>#N/A</v>
          </cell>
          <cell r="L93" t="e">
            <v>#N/A</v>
          </cell>
          <cell r="M93" t="str">
            <v/>
          </cell>
        </row>
        <row r="94">
          <cell r="D94" t="str">
            <v>A3051</v>
          </cell>
          <cell r="E94" t="str">
            <v>NICE CB등급</v>
          </cell>
          <cell r="F94" t="str">
            <v>Numeric</v>
          </cell>
          <cell r="G94">
            <v>4</v>
          </cell>
          <cell r="H94" t="str">
            <v>000000000000006</v>
          </cell>
          <cell r="I94" t="str">
            <v/>
          </cell>
          <cell r="J94" t="e">
            <v>#N/A</v>
          </cell>
          <cell r="K94" t="e">
            <v>#N/A</v>
          </cell>
          <cell r="L94" t="e">
            <v>#N/A</v>
          </cell>
          <cell r="M94" t="str">
            <v/>
          </cell>
        </row>
        <row r="95">
          <cell r="D95" t="str">
            <v>A3052</v>
          </cell>
          <cell r="E95" t="str">
            <v>Sub-prime부실예측모형 등급</v>
          </cell>
          <cell r="F95" t="str">
            <v>Numeric</v>
          </cell>
          <cell r="G95">
            <v>4</v>
          </cell>
          <cell r="H95" t="str">
            <v>000000000000003</v>
          </cell>
          <cell r="I95" t="str">
            <v/>
          </cell>
          <cell r="J95" t="e">
            <v>#N/A</v>
          </cell>
          <cell r="K95" t="e">
            <v>#N/A</v>
          </cell>
          <cell r="L95" t="e">
            <v>#N/A</v>
          </cell>
          <cell r="M95" t="str">
            <v/>
          </cell>
        </row>
        <row r="96">
          <cell r="D96" t="str">
            <v>A3053</v>
          </cell>
          <cell r="E96" t="str">
            <v>NICE DeP등급</v>
          </cell>
          <cell r="F96" t="str">
            <v>Numeric</v>
          </cell>
          <cell r="G96">
            <v>4</v>
          </cell>
          <cell r="H96" t="str">
            <v>000000000000007</v>
          </cell>
          <cell r="I96" t="str">
            <v/>
          </cell>
          <cell r="J96" t="e">
            <v>#N/A</v>
          </cell>
          <cell r="K96" t="e">
            <v>#N/A</v>
          </cell>
          <cell r="L96" t="e">
            <v>#N/A</v>
          </cell>
          <cell r="M96" t="str">
            <v/>
          </cell>
        </row>
        <row r="97">
          <cell r="D97" t="str">
            <v>A3054</v>
          </cell>
          <cell r="E97" t="str">
            <v>PI등급 2.0버젼</v>
          </cell>
          <cell r="F97" t="str">
            <v>Numeric</v>
          </cell>
          <cell r="G97">
            <v>4</v>
          </cell>
          <cell r="H97" t="str">
            <v>000000000000002</v>
          </cell>
          <cell r="I97" t="str">
            <v/>
          </cell>
          <cell r="J97" t="e">
            <v>#N/A</v>
          </cell>
          <cell r="K97" t="e">
            <v>#N/A</v>
          </cell>
          <cell r="L97" t="e">
            <v>#N/A</v>
          </cell>
          <cell r="M97" t="str">
            <v/>
          </cell>
        </row>
        <row r="98">
          <cell r="D98" t="str">
            <v>A3055</v>
          </cell>
          <cell r="E98" t="str">
            <v>PI플러스스코어</v>
          </cell>
          <cell r="F98" t="str">
            <v>Numeric</v>
          </cell>
          <cell r="G98">
            <v>4</v>
          </cell>
          <cell r="H98" t="str">
            <v>000000000000002</v>
          </cell>
          <cell r="I98" t="str">
            <v/>
          </cell>
          <cell r="J98" t="e">
            <v>#N/A</v>
          </cell>
          <cell r="K98" t="e">
            <v>#N/A</v>
          </cell>
          <cell r="L98" t="e">
            <v>#N/A</v>
          </cell>
          <cell r="M98" t="str">
            <v/>
          </cell>
        </row>
        <row r="99">
          <cell r="D99" t="str">
            <v>A3056</v>
          </cell>
          <cell r="E99" t="str">
            <v>실시간 대출 기관수(당사 제외 1영업일 이내 신용대출 기관수)</v>
          </cell>
          <cell r="F99" t="str">
            <v>Numeric</v>
          </cell>
          <cell r="G99">
            <v>9</v>
          </cell>
          <cell r="H99" t="str">
            <v>000000000000000</v>
          </cell>
          <cell r="I99" t="str">
            <v/>
          </cell>
          <cell r="J99" t="e">
            <v>#N/A</v>
          </cell>
          <cell r="K99" t="e">
            <v>#N/A</v>
          </cell>
          <cell r="L99" t="e">
            <v>#N/A</v>
          </cell>
          <cell r="M99" t="str">
            <v/>
          </cell>
        </row>
        <row r="100">
          <cell r="D100" t="str">
            <v>A3057</v>
          </cell>
          <cell r="E100" t="str">
            <v>전은연대출 연간원리금상환금액(기준2)</v>
          </cell>
          <cell r="F100" t="str">
            <v>Numeric</v>
          </cell>
          <cell r="G100">
            <v>9</v>
          </cell>
          <cell r="H100" t="str">
            <v>000000000000000</v>
          </cell>
          <cell r="I100" t="str">
            <v/>
          </cell>
          <cell r="J100" t="e">
            <v>#N/A</v>
          </cell>
          <cell r="K100" t="e">
            <v>#N/A</v>
          </cell>
          <cell r="L100" t="e">
            <v>#N/A</v>
          </cell>
          <cell r="M100" t="str">
            <v/>
          </cell>
        </row>
        <row r="101">
          <cell r="D101" t="str">
            <v>A3058</v>
          </cell>
          <cell r="E101" t="str">
            <v>NICE추정연소득(IE0305_000의 평점관련결과값1)</v>
          </cell>
          <cell r="F101" t="str">
            <v>Numeric</v>
          </cell>
          <cell r="G101">
            <v>9</v>
          </cell>
          <cell r="H101" t="str">
            <v>000000000004100</v>
          </cell>
          <cell r="I101" t="str">
            <v/>
          </cell>
          <cell r="J101" t="e">
            <v>#N/A</v>
          </cell>
          <cell r="K101" t="e">
            <v>#N/A</v>
          </cell>
          <cell r="L101" t="e">
            <v>#N/A</v>
          </cell>
          <cell r="M101" t="str">
            <v/>
          </cell>
        </row>
        <row r="102">
          <cell r="D102" t="str">
            <v>A3059</v>
          </cell>
          <cell r="E102" t="str">
            <v>LGU+ Telco 스코어</v>
          </cell>
          <cell r="F102" t="str">
            <v>Numeric</v>
          </cell>
          <cell r="G102">
            <v>4</v>
          </cell>
          <cell r="H102" t="str">
            <v>000000000000000</v>
          </cell>
          <cell r="I102" t="str">
            <v/>
          </cell>
          <cell r="J102" t="e">
            <v>#N/A</v>
          </cell>
          <cell r="K102" t="e">
            <v>#N/A</v>
          </cell>
          <cell r="L102" t="e">
            <v>#N/A</v>
          </cell>
          <cell r="M102" t="str">
            <v/>
          </cell>
        </row>
        <row r="103">
          <cell r="D103" t="str">
            <v>A3060</v>
          </cell>
          <cell r="E103" t="str">
            <v>LGU+ Telco 등급</v>
          </cell>
          <cell r="F103" t="str">
            <v>Numeric</v>
          </cell>
          <cell r="G103">
            <v>4</v>
          </cell>
          <cell r="H103" t="str">
            <v>000000000000000</v>
          </cell>
          <cell r="I103" t="str">
            <v/>
          </cell>
          <cell r="J103" t="e">
            <v>#N/A</v>
          </cell>
          <cell r="K103" t="e">
            <v>#N/A</v>
          </cell>
          <cell r="L103" t="e">
            <v>#N/A</v>
          </cell>
          <cell r="M103" t="str">
            <v/>
          </cell>
        </row>
        <row r="104">
          <cell r="D104" t="str">
            <v>A3061</v>
          </cell>
          <cell r="E104" t="str">
            <v>평점 관련 사유코드 1</v>
          </cell>
          <cell r="F104" t="str">
            <v>Numeric</v>
          </cell>
          <cell r="G104">
            <v>4</v>
          </cell>
          <cell r="H104" t="str">
            <v>000000000000000</v>
          </cell>
          <cell r="I104" t="str">
            <v/>
          </cell>
          <cell r="J104" t="e">
            <v>#N/A</v>
          </cell>
          <cell r="K104" t="e">
            <v>#N/A</v>
          </cell>
          <cell r="L104" t="e">
            <v>#N/A</v>
          </cell>
          <cell r="M104" t="str">
            <v/>
          </cell>
        </row>
        <row r="105">
          <cell r="D105" t="str">
            <v>A3062</v>
          </cell>
          <cell r="E105" t="str">
            <v>평점 관련 사유코드 2</v>
          </cell>
          <cell r="F105" t="str">
            <v>Numeric</v>
          </cell>
          <cell r="G105">
            <v>4</v>
          </cell>
          <cell r="H105" t="str">
            <v>000000000000000</v>
          </cell>
          <cell r="I105" t="str">
            <v/>
          </cell>
          <cell r="J105" t="e">
            <v>#N/A</v>
          </cell>
          <cell r="K105" t="e">
            <v>#N/A</v>
          </cell>
          <cell r="L105" t="e">
            <v>#N/A</v>
          </cell>
          <cell r="M105" t="str">
            <v/>
          </cell>
        </row>
        <row r="106">
          <cell r="D106" t="str">
            <v>A3063</v>
          </cell>
          <cell r="E106" t="str">
            <v>평점 관련 사유코드 3</v>
          </cell>
          <cell r="F106" t="str">
            <v>Numeric</v>
          </cell>
          <cell r="G106">
            <v>4</v>
          </cell>
          <cell r="H106" t="str">
            <v>000000000000000</v>
          </cell>
          <cell r="I106" t="str">
            <v/>
          </cell>
          <cell r="J106" t="e">
            <v>#N/A</v>
          </cell>
          <cell r="K106" t="e">
            <v>#N/A</v>
          </cell>
          <cell r="L106" t="e">
            <v>#N/A</v>
          </cell>
          <cell r="M106" t="str">
            <v/>
          </cell>
        </row>
        <row r="107">
          <cell r="D107" t="str">
            <v>A4001</v>
          </cell>
          <cell r="E107" t="str">
            <v>K-Score Score</v>
          </cell>
          <cell r="F107" t="str">
            <v>Numeric</v>
          </cell>
          <cell r="G107">
            <v>4</v>
          </cell>
          <cell r="H107" t="str">
            <v>000000000000883</v>
          </cell>
          <cell r="I107" t="str">
            <v/>
          </cell>
          <cell r="J107" t="e">
            <v>#N/A</v>
          </cell>
          <cell r="K107" t="e">
            <v>#N/A</v>
          </cell>
          <cell r="L107" t="e">
            <v>#N/A</v>
          </cell>
          <cell r="M107" t="str">
            <v/>
          </cell>
        </row>
        <row r="108">
          <cell r="D108" t="str">
            <v>A4002</v>
          </cell>
          <cell r="E108" t="str">
            <v>K-Score Score등급(적용배제)</v>
          </cell>
          <cell r="F108" t="str">
            <v>Numeric</v>
          </cell>
          <cell r="G108">
            <v>2</v>
          </cell>
          <cell r="H108" t="str">
            <v>000000000000003</v>
          </cell>
          <cell r="I108" t="str">
            <v/>
          </cell>
          <cell r="J108" t="e">
            <v>#N/A</v>
          </cell>
          <cell r="K108" t="e">
            <v>#N/A</v>
          </cell>
          <cell r="L108" t="e">
            <v>#N/A</v>
          </cell>
          <cell r="M108" t="str">
            <v/>
          </cell>
        </row>
        <row r="109">
          <cell r="D109" t="str">
            <v>A4003</v>
          </cell>
          <cell r="E109" t="str">
            <v>채무불이행(신용정보사)건수(미해제)</v>
          </cell>
          <cell r="F109" t="str">
            <v>Numeric</v>
          </cell>
          <cell r="G109">
            <v>3</v>
          </cell>
          <cell r="H109" t="str">
            <v>000000000000000</v>
          </cell>
          <cell r="I109" t="str">
            <v/>
          </cell>
          <cell r="J109" t="e">
            <v>#N/A</v>
          </cell>
          <cell r="K109" t="e">
            <v>#N/A</v>
          </cell>
          <cell r="L109" t="e">
            <v>#N/A</v>
          </cell>
          <cell r="M109" t="str">
            <v/>
          </cell>
        </row>
        <row r="110">
          <cell r="D110" t="str">
            <v>A4004</v>
          </cell>
          <cell r="E110" t="str">
            <v>연체건수(미해제)(대지급포함)</v>
          </cell>
          <cell r="F110" t="str">
            <v>Numeric</v>
          </cell>
          <cell r="G110">
            <v>3</v>
          </cell>
          <cell r="H110" t="str">
            <v>000000000000000</v>
          </cell>
          <cell r="I110" t="str">
            <v/>
          </cell>
          <cell r="J110" t="e">
            <v>#N/A</v>
          </cell>
          <cell r="K110" t="e">
            <v>#N/A</v>
          </cell>
          <cell r="L110" t="e">
            <v>#N/A</v>
          </cell>
          <cell r="M110" t="str">
            <v/>
          </cell>
        </row>
        <row r="111">
          <cell r="D111" t="str">
            <v>A4005</v>
          </cell>
          <cell r="E111" t="str">
            <v>총연체금액(미해제)(대지급포함)</v>
          </cell>
          <cell r="F111" t="str">
            <v>Numeric</v>
          </cell>
          <cell r="G111">
            <v>9</v>
          </cell>
          <cell r="H111" t="str">
            <v>000000000000000</v>
          </cell>
          <cell r="I111" t="str">
            <v/>
          </cell>
          <cell r="J111" t="e">
            <v>#N/A</v>
          </cell>
          <cell r="K111" t="e">
            <v>#N/A</v>
          </cell>
          <cell r="L111" t="e">
            <v>#N/A</v>
          </cell>
          <cell r="M111" t="str">
            <v/>
          </cell>
        </row>
        <row r="112">
          <cell r="D112" t="str">
            <v>A4006</v>
          </cell>
          <cell r="E112" t="str">
            <v>총최초연체금액(1개월내발생)(해제포함)</v>
          </cell>
          <cell r="F112" t="str">
            <v>Numeric</v>
          </cell>
          <cell r="G112">
            <v>9</v>
          </cell>
          <cell r="H112" t="str">
            <v>000000000000000</v>
          </cell>
          <cell r="I112" t="str">
            <v/>
          </cell>
          <cell r="J112" t="e">
            <v>#N/A</v>
          </cell>
          <cell r="K112" t="e">
            <v>#N/A</v>
          </cell>
          <cell r="L112" t="e">
            <v>#N/A</v>
          </cell>
          <cell r="M112" t="str">
            <v/>
          </cell>
        </row>
        <row r="113">
          <cell r="D113" t="str">
            <v>A4007</v>
          </cell>
          <cell r="E113" t="str">
            <v>총최초연체금액(3개월내발생)(해제포함)</v>
          </cell>
          <cell r="F113" t="str">
            <v>Numeric</v>
          </cell>
          <cell r="G113">
            <v>9</v>
          </cell>
          <cell r="H113" t="str">
            <v>000000000000000</v>
          </cell>
          <cell r="I113" t="str">
            <v/>
          </cell>
          <cell r="J113" t="e">
            <v>#N/A</v>
          </cell>
          <cell r="K113" t="e">
            <v>#N/A</v>
          </cell>
          <cell r="L113" t="e">
            <v>#N/A</v>
          </cell>
          <cell r="M113" t="str">
            <v/>
          </cell>
        </row>
        <row r="114">
          <cell r="D114" t="str">
            <v>A4008</v>
          </cell>
          <cell r="E114" t="str">
            <v>연체대환대출건수(미해지)</v>
          </cell>
          <cell r="F114" t="str">
            <v>Numeric</v>
          </cell>
          <cell r="G114">
            <v>3</v>
          </cell>
          <cell r="H114" t="str">
            <v>000000000000000</v>
          </cell>
          <cell r="I114" t="str">
            <v/>
          </cell>
          <cell r="J114" t="e">
            <v>#N/A</v>
          </cell>
          <cell r="K114" t="e">
            <v>#N/A</v>
          </cell>
          <cell r="L114" t="e">
            <v>#N/A</v>
          </cell>
          <cell r="M114" t="str">
            <v/>
          </cell>
        </row>
        <row r="115">
          <cell r="D115" t="str">
            <v>A4009</v>
          </cell>
          <cell r="E115" t="str">
            <v>소득추정모형(결정연소득금액)(소득추정모형 VER 2.5)</v>
          </cell>
          <cell r="F115" t="str">
            <v>Numeric</v>
          </cell>
          <cell r="G115">
            <v>9</v>
          </cell>
          <cell r="H115" t="str">
            <v>000000000041000</v>
          </cell>
          <cell r="I115" t="str">
            <v/>
          </cell>
          <cell r="J115" t="e">
            <v>#N/A</v>
          </cell>
          <cell r="K115" t="e">
            <v>#N/A</v>
          </cell>
          <cell r="L115" t="e">
            <v>#N/A</v>
          </cell>
          <cell r="M115" t="str">
            <v/>
          </cell>
        </row>
        <row r="116">
          <cell r="D116" t="str">
            <v>A4010</v>
          </cell>
          <cell r="E116" t="str">
            <v>일반중금리평점</v>
          </cell>
          <cell r="F116" t="str">
            <v>Numeric</v>
          </cell>
          <cell r="G116">
            <v>5</v>
          </cell>
          <cell r="H116" t="str">
            <v>000000000000712</v>
          </cell>
          <cell r="I116" t="str">
            <v/>
          </cell>
          <cell r="J116" t="e">
            <v>#N/A</v>
          </cell>
          <cell r="K116" t="e">
            <v>#N/A</v>
          </cell>
          <cell r="L116" t="e">
            <v>#N/A</v>
          </cell>
          <cell r="M116" t="str">
            <v/>
          </cell>
        </row>
        <row r="117">
          <cell r="D117" t="str">
            <v>A4011</v>
          </cell>
          <cell r="E117" t="str">
            <v>일반중금리배제사유코드</v>
          </cell>
          <cell r="F117" t="str">
            <v>Character</v>
          </cell>
          <cell r="G117">
            <v>9</v>
          </cell>
          <cell r="H117" t="str">
            <v xml:space="preserve">712            </v>
          </cell>
          <cell r="I117" t="str">
            <v/>
          </cell>
          <cell r="J117" t="e">
            <v>#N/A</v>
          </cell>
          <cell r="K117" t="e">
            <v>#N/A</v>
          </cell>
          <cell r="L117" t="e">
            <v>#N/A</v>
          </cell>
          <cell r="M117" t="str">
            <v/>
          </cell>
        </row>
        <row r="118">
          <cell r="D118" t="str">
            <v>A4012</v>
          </cell>
          <cell r="E118" t="str">
            <v>일반중금리결과사유코드1</v>
          </cell>
          <cell r="F118" t="str">
            <v>Character</v>
          </cell>
          <cell r="G118">
            <v>9</v>
          </cell>
          <cell r="H118" t="str">
            <v xml:space="preserve">L55C40         </v>
          </cell>
          <cell r="I118" t="str">
            <v/>
          </cell>
          <cell r="J118" t="e">
            <v>#N/A</v>
          </cell>
          <cell r="K118" t="e">
            <v>#N/A</v>
          </cell>
          <cell r="L118" t="e">
            <v>#N/A</v>
          </cell>
          <cell r="M118" t="str">
            <v/>
          </cell>
        </row>
        <row r="119">
          <cell r="D119" t="str">
            <v>A4013</v>
          </cell>
          <cell r="E119" t="str">
            <v>일반중금리결과사유코드2</v>
          </cell>
          <cell r="F119" t="str">
            <v>Character</v>
          </cell>
          <cell r="G119">
            <v>9</v>
          </cell>
          <cell r="H119" t="str">
            <v xml:space="preserve">               </v>
          </cell>
          <cell r="I119" t="str">
            <v/>
          </cell>
          <cell r="J119" t="e">
            <v>#N/A</v>
          </cell>
          <cell r="K119" t="e">
            <v>#N/A</v>
          </cell>
          <cell r="L119" t="e">
            <v>#N/A</v>
          </cell>
          <cell r="M119" t="str">
            <v/>
          </cell>
        </row>
        <row r="120">
          <cell r="D120" t="str">
            <v>A5001</v>
          </cell>
          <cell r="E120" t="str">
            <v>그룹실적모형구분</v>
          </cell>
          <cell r="F120" t="str">
            <v>Character</v>
          </cell>
          <cell r="G120">
            <v>4</v>
          </cell>
          <cell r="H120" t="str">
            <v xml:space="preserve">               </v>
          </cell>
          <cell r="I120" t="str">
            <v/>
          </cell>
          <cell r="J120" t="e">
            <v>#N/A</v>
          </cell>
          <cell r="K120" t="e">
            <v>#N/A</v>
          </cell>
          <cell r="L120" t="e">
            <v>#N/A</v>
          </cell>
          <cell r="M120" t="str">
            <v/>
          </cell>
        </row>
        <row r="121">
          <cell r="D121" t="str">
            <v>A5002</v>
          </cell>
          <cell r="E121" t="str">
            <v>그룹실적BSS평점</v>
          </cell>
          <cell r="F121" t="str">
            <v>Numeric</v>
          </cell>
          <cell r="G121">
            <v>5</v>
          </cell>
          <cell r="H121" t="str">
            <v>000000000000000</v>
          </cell>
          <cell r="I121" t="str">
            <v/>
          </cell>
          <cell r="J121" t="e">
            <v>#N/A</v>
          </cell>
          <cell r="K121" t="e">
            <v>#N/A</v>
          </cell>
          <cell r="L121" t="e">
            <v>#N/A</v>
          </cell>
          <cell r="M121" t="str">
            <v/>
          </cell>
        </row>
        <row r="122">
          <cell r="D122" t="str">
            <v>A5003</v>
          </cell>
          <cell r="E122" t="str">
            <v>그룹실적ASS평점</v>
          </cell>
          <cell r="F122" t="str">
            <v>Numeric</v>
          </cell>
          <cell r="G122">
            <v>5</v>
          </cell>
          <cell r="H122" t="str">
            <v>000000000000000</v>
          </cell>
          <cell r="I122" t="str">
            <v/>
          </cell>
          <cell r="J122" t="e">
            <v>#N/A</v>
          </cell>
          <cell r="K122" t="e">
            <v>#N/A</v>
          </cell>
          <cell r="L122" t="e">
            <v>#N/A</v>
          </cell>
          <cell r="M122" t="str">
            <v/>
          </cell>
        </row>
        <row r="123">
          <cell r="D123" t="str">
            <v/>
          </cell>
          <cell r="E123" t="e">
            <v>#N/A</v>
          </cell>
          <cell r="F123" t="e">
            <v>#N/A</v>
          </cell>
          <cell r="G123" t="e">
            <v>#N/A</v>
          </cell>
          <cell r="H123" t="str">
            <v/>
          </cell>
          <cell r="I123" t="str">
            <v/>
          </cell>
          <cell r="J123" t="e">
            <v>#N/A</v>
          </cell>
          <cell r="K123" t="e">
            <v>#N/A</v>
          </cell>
          <cell r="L123" t="e">
            <v>#N/A</v>
          </cell>
          <cell r="M123" t="str">
            <v/>
          </cell>
        </row>
        <row r="124">
          <cell r="D124" t="str">
            <v/>
          </cell>
          <cell r="E124" t="e">
            <v>#N/A</v>
          </cell>
          <cell r="F124" t="e">
            <v>#N/A</v>
          </cell>
          <cell r="G124" t="e">
            <v>#N/A</v>
          </cell>
          <cell r="H124" t="str">
            <v/>
          </cell>
          <cell r="I124" t="str">
            <v/>
          </cell>
          <cell r="J124" t="e">
            <v>#N/A</v>
          </cell>
          <cell r="K124" t="e">
            <v>#N/A</v>
          </cell>
          <cell r="L124" t="e">
            <v>#N/A</v>
          </cell>
          <cell r="M124" t="str">
            <v/>
          </cell>
        </row>
        <row r="125">
          <cell r="D125" t="str">
            <v/>
          </cell>
          <cell r="E125" t="e">
            <v>#N/A</v>
          </cell>
          <cell r="F125" t="e">
            <v>#N/A</v>
          </cell>
          <cell r="G125" t="e">
            <v>#N/A</v>
          </cell>
          <cell r="H125" t="str">
            <v/>
          </cell>
          <cell r="I125" t="str">
            <v/>
          </cell>
          <cell r="J125" t="e">
            <v>#N/A</v>
          </cell>
          <cell r="K125" t="e">
            <v>#N/A</v>
          </cell>
          <cell r="L125" t="e">
            <v>#N/A</v>
          </cell>
          <cell r="M125" t="str">
            <v/>
          </cell>
        </row>
        <row r="126">
          <cell r="D126" t="str">
            <v/>
          </cell>
          <cell r="E126" t="e">
            <v>#N/A</v>
          </cell>
          <cell r="F126" t="e">
            <v>#N/A</v>
          </cell>
          <cell r="G126" t="e">
            <v>#N/A</v>
          </cell>
          <cell r="H126" t="str">
            <v/>
          </cell>
          <cell r="I126" t="str">
            <v/>
          </cell>
          <cell r="J126" t="e">
            <v>#N/A</v>
          </cell>
          <cell r="K126" t="e">
            <v>#N/A</v>
          </cell>
          <cell r="L126" t="e">
            <v>#N/A</v>
          </cell>
          <cell r="M126" t="str">
            <v/>
          </cell>
        </row>
        <row r="127">
          <cell r="D127" t="str">
            <v/>
          </cell>
          <cell r="E127" t="e">
            <v>#N/A</v>
          </cell>
          <cell r="F127" t="e">
            <v>#N/A</v>
          </cell>
          <cell r="G127" t="e">
            <v>#N/A</v>
          </cell>
          <cell r="H127" t="str">
            <v/>
          </cell>
          <cell r="I127" t="str">
            <v/>
          </cell>
          <cell r="J127" t="e">
            <v>#N/A</v>
          </cell>
          <cell r="K127" t="e">
            <v>#N/A</v>
          </cell>
          <cell r="L127" t="e">
            <v>#N/A</v>
          </cell>
          <cell r="M127" t="str">
            <v/>
          </cell>
        </row>
        <row r="128">
          <cell r="D128" t="str">
            <v/>
          </cell>
          <cell r="E128" t="e">
            <v>#N/A</v>
          </cell>
          <cell r="F128" t="e">
            <v>#N/A</v>
          </cell>
          <cell r="G128" t="e">
            <v>#N/A</v>
          </cell>
          <cell r="H128" t="str">
            <v/>
          </cell>
          <cell r="I128" t="str">
            <v/>
          </cell>
          <cell r="J128" t="e">
            <v>#N/A</v>
          </cell>
          <cell r="K128" t="e">
            <v>#N/A</v>
          </cell>
          <cell r="L128" t="e">
            <v>#N/A</v>
          </cell>
          <cell r="M128" t="str">
            <v/>
          </cell>
        </row>
        <row r="129">
          <cell r="D129" t="str">
            <v/>
          </cell>
          <cell r="E129" t="e">
            <v>#N/A</v>
          </cell>
          <cell r="F129" t="e">
            <v>#N/A</v>
          </cell>
          <cell r="G129" t="e">
            <v>#N/A</v>
          </cell>
          <cell r="H129" t="str">
            <v/>
          </cell>
          <cell r="I129" t="str">
            <v/>
          </cell>
          <cell r="J129" t="e">
            <v>#N/A</v>
          </cell>
          <cell r="K129" t="e">
            <v>#N/A</v>
          </cell>
          <cell r="L129" t="e">
            <v>#N/A</v>
          </cell>
          <cell r="M129" t="str">
            <v/>
          </cell>
        </row>
        <row r="130">
          <cell r="D130" t="str">
            <v/>
          </cell>
          <cell r="E130" t="e">
            <v>#N/A</v>
          </cell>
          <cell r="F130" t="e">
            <v>#N/A</v>
          </cell>
          <cell r="G130" t="e">
            <v>#N/A</v>
          </cell>
          <cell r="H130" t="str">
            <v/>
          </cell>
          <cell r="I130" t="str">
            <v/>
          </cell>
          <cell r="J130" t="e">
            <v>#N/A</v>
          </cell>
          <cell r="K130" t="e">
            <v>#N/A</v>
          </cell>
          <cell r="L130" t="e">
            <v>#N/A</v>
          </cell>
          <cell r="M130" t="str">
            <v/>
          </cell>
        </row>
        <row r="131">
          <cell r="D131" t="str">
            <v/>
          </cell>
          <cell r="E131" t="e">
            <v>#N/A</v>
          </cell>
          <cell r="F131" t="e">
            <v>#N/A</v>
          </cell>
          <cell r="G131" t="e">
            <v>#N/A</v>
          </cell>
          <cell r="H131" t="str">
            <v/>
          </cell>
          <cell r="I131" t="str">
            <v/>
          </cell>
          <cell r="J131" t="e">
            <v>#N/A</v>
          </cell>
          <cell r="K131" t="e">
            <v>#N/A</v>
          </cell>
          <cell r="L131" t="e">
            <v>#N/A</v>
          </cell>
          <cell r="M131" t="str">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별심사처리기준"/>
      <sheetName val="심사테이블"/>
      <sheetName val="DW수보테이블"/>
      <sheetName val="RCLIPS송신(이지론)_최종"/>
      <sheetName val="Sheet1"/>
      <sheetName val="WORK"/>
      <sheetName val="RCLIPS수신(이지론)_최종"/>
      <sheetName val="RCLIPS송신(이지론플러스)_최종"/>
      <sheetName val="RCLIPS수신(이지론플러스)_최종"/>
      <sheetName val="RCLIPS송신(일사천리론)_최종"/>
      <sheetName val="RCLIPS수신(일사천리론)_최종"/>
      <sheetName val="참고_AsIs_RCLIPS송신"/>
      <sheetName val="참고_AsIs_RCLIPS수신"/>
      <sheetName val="용어신청대상"/>
      <sheetName val="질의 및 확인 사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t="str">
            <v>RCLIPS코드</v>
          </cell>
          <cell r="C1" t="str">
            <v>속성</v>
          </cell>
          <cell r="D1" t="str">
            <v>길이</v>
          </cell>
          <cell r="E1" t="str">
            <v>R클립스_항목명</v>
          </cell>
          <cell r="F1" t="str">
            <v>구분</v>
          </cell>
          <cell r="G1" t="str">
            <v>R클립스_비고</v>
          </cell>
          <cell r="H1" t="str">
            <v>원천정보그룹</v>
          </cell>
          <cell r="I1" t="str">
            <v>원천정보(원본)</v>
          </cell>
          <cell r="J1" t="str">
            <v>MDD_호출CPBI/EBI</v>
          </cell>
          <cell r="K1" t="str">
            <v>MDD_항목명</v>
          </cell>
          <cell r="L1" t="str">
            <v>CB사 항목코드</v>
          </cell>
          <cell r="M1" t="str">
            <v>CB사 전문번호</v>
          </cell>
          <cell r="N1" t="str">
            <v>BITMAP</v>
          </cell>
          <cell r="O1" t="str">
            <v>변경구분</v>
          </cell>
          <cell r="P1" t="str">
            <v>비고2(개발팀)</v>
          </cell>
          <cell r="Q1" t="str">
            <v>필수입력</v>
          </cell>
        </row>
        <row r="2">
          <cell r="B2" t="str">
            <v>PKG_ID</v>
          </cell>
          <cell r="C2" t="str">
            <v>String</v>
          </cell>
          <cell r="D2">
            <v>20</v>
          </cell>
          <cell r="E2" t="str">
            <v>Online_C8_ASS</v>
          </cell>
          <cell r="F2"/>
          <cell r="G2"/>
          <cell r="H2"/>
          <cell r="I2"/>
          <cell r="J2"/>
          <cell r="K2"/>
          <cell r="L2"/>
          <cell r="M2"/>
          <cell r="N2"/>
          <cell r="O2" t="str">
            <v>추가</v>
          </cell>
          <cell r="P2" t="str">
            <v>20190326 현업엑셀파일과 본파일의 항목이 맞지않아서 추가함</v>
          </cell>
          <cell r="Q2"/>
        </row>
        <row r="3">
          <cell r="B3" t="str">
            <v>CNT</v>
          </cell>
          <cell r="C3" t="str">
            <v>Number</v>
          </cell>
          <cell r="D3">
            <v>3</v>
          </cell>
          <cell r="E3" t="str">
            <v>제공항목건수</v>
          </cell>
          <cell r="F3"/>
          <cell r="G3"/>
          <cell r="H3"/>
          <cell r="I3"/>
          <cell r="J3"/>
          <cell r="K3"/>
          <cell r="L3"/>
          <cell r="M3"/>
          <cell r="N3"/>
          <cell r="O3" t="str">
            <v>추가</v>
          </cell>
          <cell r="P3" t="str">
            <v>20190326 현업엑셀파일과 본파일의 항목이 맞지않아서 추가함</v>
          </cell>
          <cell r="Q3"/>
        </row>
        <row r="4">
          <cell r="B4" t="str">
            <v>A0001</v>
          </cell>
          <cell r="C4" t="str">
            <v>String</v>
          </cell>
          <cell r="D4">
            <v>14</v>
          </cell>
          <cell r="E4" t="str">
            <v>접수번호</v>
          </cell>
          <cell r="F4" t="str">
            <v>제공항목</v>
          </cell>
          <cell r="G4"/>
          <cell r="H4" t="str">
            <v>내부정보</v>
          </cell>
          <cell r="I4" t="str">
            <v>i이지론플러스대출RCLIPS전문조립C</v>
          </cell>
          <cell r="J4" t="str">
            <v>i이지론플러스대출RCLIPS전문조립C</v>
          </cell>
          <cell r="K4" t="str">
            <v>카드론신청서접수번호</v>
          </cell>
          <cell r="L4"/>
          <cell r="M4"/>
          <cell r="N4"/>
          <cell r="O4"/>
          <cell r="P4"/>
          <cell r="Q4"/>
        </row>
        <row r="5">
          <cell r="B5" t="str">
            <v>A0002</v>
          </cell>
          <cell r="C5" t="str">
            <v>String</v>
          </cell>
          <cell r="D5">
            <v>2</v>
          </cell>
          <cell r="E5" t="str">
            <v>상품코드</v>
          </cell>
          <cell r="F5" t="str">
            <v>제공항목</v>
          </cell>
          <cell r="G5"/>
          <cell r="H5" t="str">
            <v>내부정보</v>
          </cell>
          <cell r="I5" t="str">
            <v>i이지론플러스대출RCLIPS전문조립C</v>
          </cell>
          <cell r="J5" t="str">
            <v>i이지론플러스대출RCLIPS전문조립C</v>
          </cell>
          <cell r="K5" t="str">
            <v>카드론평가상품구분코드</v>
          </cell>
          <cell r="L5"/>
          <cell r="M5"/>
          <cell r="N5"/>
          <cell r="O5"/>
          <cell r="P5"/>
          <cell r="Q5"/>
        </row>
        <row r="6">
          <cell r="B6" t="str">
            <v>A0003</v>
          </cell>
          <cell r="C6" t="str">
            <v>Numeric</v>
          </cell>
          <cell r="D6">
            <v>5</v>
          </cell>
          <cell r="E6" t="str">
            <v>연령</v>
          </cell>
          <cell r="F6" t="str">
            <v>제공항목</v>
          </cell>
          <cell r="G6"/>
          <cell r="H6" t="str">
            <v>내부정보</v>
          </cell>
          <cell r="I6" t="str">
            <v>i이지론플러스대출RCLIPS전문조립C</v>
          </cell>
          <cell r="J6" t="str">
            <v>i이지론플러스대출RCLIPS전문조립C</v>
          </cell>
          <cell r="K6" t="str">
            <v>주민등록번호</v>
          </cell>
          <cell r="L6"/>
          <cell r="M6"/>
          <cell r="N6"/>
          <cell r="O6"/>
          <cell r="P6"/>
          <cell r="Q6"/>
        </row>
        <row r="7">
          <cell r="B7" t="str">
            <v>A0004</v>
          </cell>
          <cell r="C7" t="str">
            <v>String</v>
          </cell>
          <cell r="D7">
            <v>1</v>
          </cell>
          <cell r="E7" t="str">
            <v>외국인여부</v>
          </cell>
          <cell r="F7" t="str">
            <v>제공항목</v>
          </cell>
          <cell r="G7"/>
          <cell r="H7" t="str">
            <v>내부정보</v>
          </cell>
          <cell r="I7" t="str">
            <v>GEA심사사전정보내역</v>
          </cell>
          <cell r="J7" t="str">
            <v>심사사전정보내역조회C &gt; 현재일자기준대출심사모형사전조회</v>
          </cell>
          <cell r="K7" t="str">
            <v>고객고유번호구분코드</v>
          </cell>
          <cell r="L7"/>
          <cell r="M7"/>
          <cell r="N7"/>
          <cell r="O7"/>
          <cell r="P7"/>
          <cell r="Q7"/>
        </row>
        <row r="8">
          <cell r="B8" t="str">
            <v>A1001</v>
          </cell>
          <cell r="C8" t="str">
            <v>String</v>
          </cell>
          <cell r="D8">
            <v>1</v>
          </cell>
          <cell r="E8" t="str">
            <v>여신연체고객(KB 국민은행정보)</v>
          </cell>
          <cell r="F8" t="str">
            <v>제공항목</v>
          </cell>
          <cell r="G8"/>
          <cell r="H8" t="str">
            <v>내부정보</v>
          </cell>
          <cell r="I8" t="str">
            <v>GEA심사사전정보내역</v>
          </cell>
          <cell r="J8" t="str">
            <v>심사사전정보내역조회C &gt; 현재일자기준대출심사모형사전조회</v>
          </cell>
          <cell r="K8" t="str">
            <v>IF (불가사유코드_V3 = 103) THEN 1 ELSE 0 END</v>
          </cell>
          <cell r="L8"/>
          <cell r="M8"/>
          <cell r="N8"/>
          <cell r="O8" t="str">
            <v>삭제</v>
          </cell>
          <cell r="P8">
            <v>20200630</v>
          </cell>
          <cell r="Q8"/>
        </row>
        <row r="9">
          <cell r="B9" t="str">
            <v>A1002</v>
          </cell>
          <cell r="C9" t="str">
            <v>String</v>
          </cell>
          <cell r="D9">
            <v>1</v>
          </cell>
          <cell r="E9" t="str">
            <v>신용카드 거래정지 등록고객</v>
          </cell>
          <cell r="F9" t="str">
            <v>제공항목</v>
          </cell>
          <cell r="G9"/>
          <cell r="H9" t="str">
            <v>내부정보</v>
          </cell>
          <cell r="I9" t="str">
            <v>GEA심사사전정보내역</v>
          </cell>
          <cell r="J9" t="str">
            <v>심사사전정보내역조회C &gt; 현재일자기준대출심사모형사전조회</v>
          </cell>
          <cell r="K9" t="str">
            <v>IF (불가사유코드_V3 = 006) THEN 1 ELSE 0 END</v>
          </cell>
          <cell r="L9"/>
          <cell r="M9"/>
          <cell r="N9"/>
          <cell r="O9"/>
          <cell r="P9"/>
          <cell r="Q9"/>
        </row>
        <row r="10">
          <cell r="B10" t="str">
            <v>A1003</v>
          </cell>
          <cell r="C10" t="str">
            <v>String</v>
          </cell>
          <cell r="D10">
            <v>1</v>
          </cell>
          <cell r="E10" t="str">
            <v>신용관리대상 및 당행정보관리 등재고객(KB 국민은행 정보)</v>
          </cell>
          <cell r="F10" t="str">
            <v>제공항목</v>
          </cell>
          <cell r="G10"/>
          <cell r="H10" t="str">
            <v>내부정보</v>
          </cell>
          <cell r="I10" t="str">
            <v>GEA심사사전정보내역</v>
          </cell>
          <cell r="J10" t="str">
            <v>심사사전정보내역조회C &gt; 현재일자기준대출심사모형사전조회</v>
          </cell>
          <cell r="K10" t="str">
            <v>IF (불가사유코드_V3 = 014) THEN 1 ELSE 0 END</v>
          </cell>
          <cell r="L10"/>
          <cell r="M10"/>
          <cell r="N10"/>
          <cell r="O10"/>
          <cell r="P10"/>
          <cell r="Q10"/>
        </row>
        <row r="11">
          <cell r="B11"/>
          <cell r="C11" t="str">
            <v>String</v>
          </cell>
          <cell r="D11">
            <v>1</v>
          </cell>
          <cell r="E11" t="str">
            <v>NICE 타사연체정보 보유고객(신용정보)</v>
          </cell>
          <cell r="F11" t="str">
            <v>제공항목</v>
          </cell>
          <cell r="G11"/>
          <cell r="H11"/>
          <cell r="I11" t="str">
            <v>GEA심사사전정보내역</v>
          </cell>
          <cell r="J11"/>
          <cell r="K11" t="str">
            <v>NICE타사연체정보보유여부_V1</v>
          </cell>
          <cell r="L11"/>
          <cell r="M11"/>
          <cell r="N11"/>
          <cell r="O11" t="str">
            <v>삭제</v>
          </cell>
          <cell r="P11" t="str">
            <v>20190325 문서정리작업전 기술되어있음.</v>
          </cell>
          <cell r="Q11"/>
        </row>
        <row r="12">
          <cell r="B12"/>
          <cell r="C12" t="str">
            <v>String</v>
          </cell>
          <cell r="D12">
            <v>1</v>
          </cell>
          <cell r="E12" t="str">
            <v>KCB 타사연체정보 보유고객(신용정보)</v>
          </cell>
          <cell r="F12" t="str">
            <v>제공항목</v>
          </cell>
          <cell r="G12"/>
          <cell r="H12"/>
          <cell r="I12" t="str">
            <v>GEA심사사전정보내역</v>
          </cell>
          <cell r="J12"/>
          <cell r="K12" t="str">
            <v>KCB타사연체정보보유여부_V1</v>
          </cell>
          <cell r="L12"/>
          <cell r="M12"/>
          <cell r="N12"/>
          <cell r="O12" t="str">
            <v>삭제</v>
          </cell>
          <cell r="P12" t="str">
            <v>20190325 문서정리작업전 기술되어있음.</v>
          </cell>
          <cell r="Q12"/>
        </row>
        <row r="13">
          <cell r="B13" t="str">
            <v>A1004</v>
          </cell>
          <cell r="C13" t="str">
            <v>String</v>
          </cell>
          <cell r="D13">
            <v>1</v>
          </cell>
          <cell r="E13" t="str">
            <v>사망실종 고객(고객정보)</v>
          </cell>
          <cell r="F13" t="str">
            <v>제공항목</v>
          </cell>
          <cell r="G13"/>
          <cell r="H13" t="str">
            <v>내부정보</v>
          </cell>
          <cell r="I13" t="str">
            <v>GEA심사사전정보내역</v>
          </cell>
          <cell r="J13" t="str">
            <v>심사사전정보내역조회C &gt; 현재일자기준대출심사모형사전조회</v>
          </cell>
          <cell r="K13" t="str">
            <v>IF (불가사유코드_V3 = 001) THEN 1 ELSE 0 END</v>
          </cell>
          <cell r="L13"/>
          <cell r="M13"/>
          <cell r="N13"/>
          <cell r="O13"/>
          <cell r="P13"/>
          <cell r="Q13"/>
        </row>
        <row r="14">
          <cell r="B14" t="str">
            <v>A1005</v>
          </cell>
          <cell r="C14" t="str">
            <v>String</v>
          </cell>
          <cell r="D14">
            <v>1</v>
          </cell>
          <cell r="E14" t="str">
            <v>거래주의보정보 등록고객(고객정보)</v>
          </cell>
          <cell r="F14" t="str">
            <v>제공항목</v>
          </cell>
          <cell r="G14"/>
          <cell r="H14" t="str">
            <v>내부정보</v>
          </cell>
          <cell r="I14" t="str">
            <v>GEA심사사전정보내역</v>
          </cell>
          <cell r="J14" t="str">
            <v>심사사전정보내역조회C &gt; 현재일자기준대출심사모형사전조회</v>
          </cell>
          <cell r="K14" t="str">
            <v>IF (불가사유코드_V3 = 003) THEN 1 ELSE 0 END</v>
          </cell>
          <cell r="L14"/>
          <cell r="M14"/>
          <cell r="N14"/>
          <cell r="O14"/>
          <cell r="P14"/>
          <cell r="Q14"/>
        </row>
        <row r="15">
          <cell r="B15" t="str">
            <v>A1006</v>
          </cell>
          <cell r="C15" t="str">
            <v>String</v>
          </cell>
          <cell r="D15">
            <v>1</v>
          </cell>
          <cell r="E15" t="str">
            <v>워크아웃 등록고객</v>
          </cell>
          <cell r="F15" t="str">
            <v>제공항목</v>
          </cell>
          <cell r="G15"/>
          <cell r="H15" t="str">
            <v>내부정보</v>
          </cell>
          <cell r="I15" t="str">
            <v>GEA심사사전정보내역</v>
          </cell>
          <cell r="J15" t="str">
            <v>심사사전정보내역조회C &gt; 현재일자기준대출심사모형사전조회</v>
          </cell>
          <cell r="K15" t="str">
            <v>IF (불가사유코드_V3 = 005) THEN 1 ELSE 0 END</v>
          </cell>
          <cell r="L15"/>
          <cell r="M15"/>
          <cell r="N15"/>
          <cell r="O15"/>
          <cell r="P15"/>
          <cell r="Q15"/>
        </row>
        <row r="16">
          <cell r="B16" t="str">
            <v>A1007</v>
          </cell>
          <cell r="C16" t="str">
            <v>String</v>
          </cell>
          <cell r="D16">
            <v>1</v>
          </cell>
          <cell r="E16" t="str">
            <v>장기카드대출 연체고객</v>
          </cell>
          <cell r="F16" t="str">
            <v>제공항목</v>
          </cell>
          <cell r="G16"/>
          <cell r="H16" t="str">
            <v>내부정보</v>
          </cell>
          <cell r="I16" t="str">
            <v>GEA심사사전정보내역</v>
          </cell>
          <cell r="J16" t="str">
            <v>심사사전정보내역조회C &gt; 현재일자기준대출심사모형사전조회</v>
          </cell>
          <cell r="K16" t="str">
            <v>IF (불가사유코드_V3 = 008) THEN 1 ELSE 0 END</v>
          </cell>
          <cell r="L16"/>
          <cell r="M16"/>
          <cell r="N16"/>
          <cell r="O16"/>
          <cell r="P16"/>
          <cell r="Q16"/>
        </row>
        <row r="17">
          <cell r="B17" t="str">
            <v>A1008</v>
          </cell>
          <cell r="C17" t="str">
            <v>String</v>
          </cell>
          <cell r="D17">
            <v>1</v>
          </cell>
          <cell r="E17" t="str">
            <v>요주의 등록고객(신용정보)</v>
          </cell>
          <cell r="F17" t="str">
            <v>제공항목</v>
          </cell>
          <cell r="G17"/>
          <cell r="H17" t="str">
            <v>내부정보</v>
          </cell>
          <cell r="I17" t="str">
            <v>GEA심사사전정보내역</v>
          </cell>
          <cell r="J17" t="str">
            <v>심사사전정보내역조회C &gt; 현재일자기준대출심사모형사전조회</v>
          </cell>
          <cell r="K17" t="str">
            <v>IF (불가사유코드_V3 = 009) THEN 1 ELSE 0 END</v>
          </cell>
          <cell r="L17"/>
          <cell r="M17"/>
          <cell r="N17"/>
          <cell r="O17"/>
          <cell r="P17"/>
          <cell r="Q17"/>
        </row>
        <row r="18">
          <cell r="B18" t="str">
            <v>A1009</v>
          </cell>
          <cell r="C18" t="str">
            <v>String</v>
          </cell>
          <cell r="D18">
            <v>1</v>
          </cell>
          <cell r="E18" t="str">
            <v>신용불량 채무관계제한 등록고객(신용정보)</v>
          </cell>
          <cell r="F18" t="str">
            <v>제공항목</v>
          </cell>
          <cell r="G18"/>
          <cell r="H18" t="str">
            <v>내부정보</v>
          </cell>
          <cell r="I18" t="str">
            <v>GEA심사사전정보내역</v>
          </cell>
          <cell r="J18" t="str">
            <v>심사사전정보내역조회C &gt; 현재일자기준대출심사모형사전조회</v>
          </cell>
          <cell r="K18" t="str">
            <v>IF (불가사유코드_V3 = 010) THEN 1 ELSE 0 END</v>
          </cell>
          <cell r="L18"/>
          <cell r="M18"/>
          <cell r="N18"/>
          <cell r="O18"/>
          <cell r="P18"/>
          <cell r="Q18"/>
        </row>
        <row r="19">
          <cell r="B19" t="str">
            <v>A1010</v>
          </cell>
          <cell r="C19" t="str">
            <v>String</v>
          </cell>
          <cell r="D19">
            <v>1</v>
          </cell>
          <cell r="E19" t="str">
            <v>은행 사전채무조정 신청자 및 확정자 등록고객(KB 국민은행 정보)</v>
          </cell>
          <cell r="F19" t="str">
            <v>제공항목</v>
          </cell>
          <cell r="G19"/>
          <cell r="H19" t="str">
            <v>내부정보</v>
          </cell>
          <cell r="I19" t="str">
            <v>GEA심사사전정보내역</v>
          </cell>
          <cell r="J19" t="str">
            <v>심사사전정보내역조회C &gt; 현재일자기준대출심사모형사전조회</v>
          </cell>
          <cell r="K19" t="str">
            <v>IF (불가사유코드_V3 = 015) THEN 1 ELSE 0 END</v>
          </cell>
          <cell r="L19"/>
          <cell r="M19"/>
          <cell r="N19"/>
          <cell r="O19"/>
          <cell r="P19"/>
          <cell r="Q19"/>
        </row>
        <row r="20">
          <cell r="B20" t="str">
            <v>A1011</v>
          </cell>
          <cell r="C20" t="str">
            <v>String</v>
          </cell>
          <cell r="D20">
            <v>1</v>
          </cell>
          <cell r="E20" t="str">
            <v>고객기본정보 구분코드 오류(고객정보)</v>
          </cell>
          <cell r="F20" t="str">
            <v>제공항목</v>
          </cell>
          <cell r="G20"/>
          <cell r="H20" t="str">
            <v>내부정보</v>
          </cell>
          <cell r="I20" t="str">
            <v>GEA심사사전정보내역</v>
          </cell>
          <cell r="J20" t="str">
            <v>심사사전정보내역조회C &gt; 현재일자기준대출심사모형사전조회</v>
          </cell>
          <cell r="K20" t="str">
            <v>IF (불가사유코드_V3 = 016) THEN 1 ELSE 0 END</v>
          </cell>
          <cell r="L20"/>
          <cell r="M20"/>
          <cell r="N20"/>
          <cell r="O20"/>
          <cell r="P20"/>
          <cell r="Q20"/>
        </row>
        <row r="21">
          <cell r="B21" t="str">
            <v>A1012</v>
          </cell>
          <cell r="C21" t="str">
            <v>String</v>
          </cell>
          <cell r="D21">
            <v>1</v>
          </cell>
          <cell r="E21" t="str">
            <v>유효회원여부</v>
          </cell>
          <cell r="F21" t="str">
            <v>제공항목</v>
          </cell>
          <cell r="G21"/>
          <cell r="H21" t="str">
            <v>내부정보</v>
          </cell>
          <cell r="I21" t="str">
            <v>GEA심사사전정보내역</v>
          </cell>
          <cell r="J21" t="str">
            <v>심사사전정보내역조회C &gt; 현재일자기준대출심사모형사전조회</v>
          </cell>
          <cell r="K21" t="str">
            <v>KB카드유효회원여부</v>
          </cell>
          <cell r="L21"/>
          <cell r="M21"/>
          <cell r="N21"/>
          <cell r="O21"/>
          <cell r="P21"/>
          <cell r="Q21"/>
        </row>
        <row r="22">
          <cell r="B22" t="str">
            <v>A1013</v>
          </cell>
          <cell r="C22" t="str">
            <v>String</v>
          </cell>
          <cell r="D22">
            <v>1</v>
          </cell>
          <cell r="E22" t="str">
            <v>유효고객여부</v>
          </cell>
          <cell r="F22" t="str">
            <v>제공항목</v>
          </cell>
          <cell r="G22"/>
          <cell r="H22" t="str">
            <v>내부정보</v>
          </cell>
          <cell r="I22" t="str">
            <v>GEA심사사전정보내역</v>
          </cell>
          <cell r="J22" t="str">
            <v>심사사전정보내역조회C &gt; 현재일자기준대출심사모형사전조회</v>
          </cell>
          <cell r="K22" t="str">
            <v>KB카드유효고객여부</v>
          </cell>
          <cell r="L22"/>
          <cell r="M22"/>
          <cell r="N22"/>
          <cell r="O22"/>
          <cell r="P22"/>
          <cell r="Q22"/>
        </row>
        <row r="23">
          <cell r="B23" t="str">
            <v>A1014</v>
          </cell>
          <cell r="C23" t="str">
            <v>String</v>
          </cell>
          <cell r="D23">
            <v>1</v>
          </cell>
          <cell r="E23" t="str">
            <v>신용카드소지여부</v>
          </cell>
          <cell r="F23" t="str">
            <v>제공항목</v>
          </cell>
          <cell r="G23"/>
          <cell r="H23" t="str">
            <v>내부정보</v>
          </cell>
          <cell r="I23" t="str">
            <v>GEA심사사전정보내역</v>
          </cell>
          <cell r="J23" t="str">
            <v>심사사전정보내역조회C &gt; 현재일자기준대출심사모형사전조회</v>
          </cell>
          <cell r="K23" t="str">
            <v>유효신용카드소지여부</v>
          </cell>
          <cell r="L23"/>
          <cell r="M23"/>
          <cell r="N23"/>
          <cell r="O23"/>
          <cell r="P23"/>
          <cell r="Q23"/>
        </row>
        <row r="24">
          <cell r="B24" t="str">
            <v>A1015</v>
          </cell>
          <cell r="C24" t="str">
            <v>String</v>
          </cell>
          <cell r="D24">
            <v>1</v>
          </cell>
          <cell r="E24" t="str">
            <v>체크카드보유여부</v>
          </cell>
          <cell r="F24" t="str">
            <v>제공항목</v>
          </cell>
          <cell r="G24"/>
          <cell r="H24" t="str">
            <v>내부정보</v>
          </cell>
          <cell r="I24" t="str">
            <v>GEA심사사전정보내역</v>
          </cell>
          <cell r="J24" t="str">
            <v>심사사전정보내역조회C &gt; 현재일자기준대출심사모형사전조회</v>
          </cell>
          <cell r="K24" t="str">
            <v>유효체크카드소지여부</v>
          </cell>
          <cell r="L24"/>
          <cell r="M24"/>
          <cell r="N24"/>
          <cell r="O24"/>
          <cell r="P24"/>
          <cell r="Q24"/>
        </row>
        <row r="25">
          <cell r="B25" t="str">
            <v>A1016</v>
          </cell>
          <cell r="C25" t="str">
            <v>String</v>
          </cell>
          <cell r="D25">
            <v>1</v>
          </cell>
          <cell r="E25" t="str">
            <v>가맹점대표자여부</v>
          </cell>
          <cell r="F25" t="str">
            <v>제공항목</v>
          </cell>
          <cell r="G25"/>
          <cell r="H25" t="str">
            <v>내부정보</v>
          </cell>
          <cell r="I25" t="str">
            <v>GEA심사사전정보내역</v>
          </cell>
          <cell r="J25" t="str">
            <v>심사사전정보내역조회C &gt; 현재일자기준대출심사모형사전조회 &gt;&gt; [WCA_MODEL_Common] 2.시스템명세모델::03.업무간호출::GDB.가맹점::CPBI::02.가맹점대금지급::22.대금지급공통::대금지급공통조회Cpbi::대금지급공통조회Cibi::가맹점매출실적산출</v>
          </cell>
          <cell r="K25" t="str">
            <v>가맹점대표자여부</v>
          </cell>
          <cell r="L25"/>
          <cell r="M25"/>
          <cell r="N25"/>
          <cell r="O25"/>
          <cell r="P25"/>
          <cell r="Q25"/>
        </row>
        <row r="26">
          <cell r="B26" t="str">
            <v>A1017</v>
          </cell>
          <cell r="C26" t="str">
            <v>String</v>
          </cell>
          <cell r="D26">
            <v>2</v>
          </cell>
          <cell r="E26" t="str">
            <v>가맹점주등급</v>
          </cell>
          <cell r="F26" t="str">
            <v>제공항목</v>
          </cell>
          <cell r="G26"/>
          <cell r="H26" t="str">
            <v>내부정보</v>
          </cell>
          <cell r="I26" t="str">
            <v>GEA심사사전정보내역</v>
          </cell>
          <cell r="J26" t="str">
            <v>[GEA_MODEL_장기카드대출] 2.시스템명세모델::05.엔터티컴포넌트::02.심사::GEA카드기타가맹점지급요약내역Ebi::카드기타가맹점지급요약내역Jebi::실시간심사가맹점주등급조회</v>
          </cell>
          <cell r="K26" t="str">
            <v>가맹점주등급구분코드</v>
          </cell>
          <cell r="L26"/>
          <cell r="M26"/>
          <cell r="N26"/>
          <cell r="O26"/>
          <cell r="P26"/>
          <cell r="Q26"/>
        </row>
        <row r="27">
          <cell r="B27" t="str">
            <v>A1018</v>
          </cell>
          <cell r="C27" t="str">
            <v>Numeric</v>
          </cell>
          <cell r="D27">
            <v>15</v>
          </cell>
          <cell r="E27" t="str">
            <v>최근 6개월 가맹점 매출액</v>
          </cell>
          <cell r="F27" t="str">
            <v>제공항목</v>
          </cell>
          <cell r="G27"/>
          <cell r="H27" t="str">
            <v>내부정보</v>
          </cell>
          <cell r="I27" t="str">
            <v>GEA심사사전정보내역</v>
          </cell>
          <cell r="J27" t="str">
            <v>[GEA_MODEL_장기카드대출] 2.시스템명세모델::05.엔터티컴포넌트::02.심사::GEA카드기타가맹점지급요약내역Ebi::카드기타가맹점지급요약내역Jebi::실시간심사6개월가맹점매출금액조회</v>
          </cell>
          <cell r="K27" t="str">
            <v>최근6개월가맹점매출금액</v>
          </cell>
          <cell r="L27"/>
          <cell r="M27"/>
          <cell r="N27"/>
          <cell r="O27"/>
          <cell r="P27"/>
          <cell r="Q27"/>
        </row>
        <row r="28">
          <cell r="B28" t="str">
            <v>A1019</v>
          </cell>
          <cell r="C28" t="str">
            <v>Numeric</v>
          </cell>
          <cell r="D28">
            <v>15</v>
          </cell>
          <cell r="E28" t="str">
            <v>카드론대출잔액</v>
          </cell>
          <cell r="F28" t="str">
            <v>제공항목</v>
          </cell>
          <cell r="G28"/>
          <cell r="H28" t="str">
            <v>내부정보</v>
          </cell>
          <cell r="I28" t="str">
            <v>GEA심사사전정보내역</v>
          </cell>
          <cell r="J28" t="str">
            <v>심사사전정보내역조회C &gt; 현재일자기준대출심사모형사전조회</v>
          </cell>
          <cell r="K28" t="str">
            <v>카드론대출잔액</v>
          </cell>
          <cell r="L28"/>
          <cell r="M28"/>
          <cell r="N28"/>
          <cell r="O28"/>
          <cell r="P28"/>
          <cell r="Q28"/>
        </row>
        <row r="29">
          <cell r="B29" t="str">
            <v>A1020</v>
          </cell>
          <cell r="C29" t="str">
            <v>Numeric</v>
          </cell>
          <cell r="D29">
            <v>15</v>
          </cell>
          <cell r="E29" t="str">
            <v>오토론대출잔액</v>
          </cell>
          <cell r="F29" t="str">
            <v>제공항목</v>
          </cell>
          <cell r="G29"/>
          <cell r="H29" t="str">
            <v>내부정보</v>
          </cell>
          <cell r="I29" t="str">
            <v>GEA심사사전정보내역</v>
          </cell>
          <cell r="J29" t="str">
            <v>심사사전정보내역조회C &gt; 현재일자기준대출심사모형사전조회</v>
          </cell>
          <cell r="K29" t="str">
            <v>오토론대출잔액</v>
          </cell>
          <cell r="L29"/>
          <cell r="M29"/>
          <cell r="N29"/>
          <cell r="O29"/>
          <cell r="P29"/>
          <cell r="Q29"/>
        </row>
        <row r="30">
          <cell r="B30" t="str">
            <v>A1021</v>
          </cell>
          <cell r="C30" t="str">
            <v>Numeric</v>
          </cell>
          <cell r="D30">
            <v>15</v>
          </cell>
          <cell r="E30" t="str">
            <v>신용대출잔액</v>
          </cell>
          <cell r="F30" t="str">
            <v>제공항목</v>
          </cell>
          <cell r="G30"/>
          <cell r="H30" t="str">
            <v>내부정보</v>
          </cell>
          <cell r="I30" t="str">
            <v>GEA심사사전정보내역</v>
          </cell>
          <cell r="J30" t="str">
            <v>심사사전정보내역조회C &gt; 현재일자기준대출심사모형사전조회</v>
          </cell>
          <cell r="K30" t="str">
            <v>신용대출잔액</v>
          </cell>
          <cell r="L30"/>
          <cell r="M30"/>
          <cell r="N30"/>
          <cell r="O30"/>
          <cell r="P30"/>
          <cell r="Q30"/>
        </row>
        <row r="31">
          <cell r="B31" t="str">
            <v>A1022</v>
          </cell>
          <cell r="C31" t="str">
            <v>Numeric</v>
          </cell>
          <cell r="D31">
            <v>15</v>
          </cell>
          <cell r="E31" t="str">
            <v>대환론대출잔액</v>
          </cell>
          <cell r="F31" t="str">
            <v>제공항목</v>
          </cell>
          <cell r="G31"/>
          <cell r="H31" t="str">
            <v>내부정보</v>
          </cell>
          <cell r="I31" t="str">
            <v>GEA심사사전정보내역</v>
          </cell>
          <cell r="J31" t="str">
            <v>심사사전정보내역조회C &gt; 현재일자기준대출심사모형사전조회</v>
          </cell>
          <cell r="K31" t="str">
            <v>대환론대출잔액</v>
          </cell>
          <cell r="L31"/>
          <cell r="M31"/>
          <cell r="N31"/>
          <cell r="O31"/>
          <cell r="P31"/>
          <cell r="Q31"/>
        </row>
        <row r="32">
          <cell r="B32" t="str">
            <v>A1023</v>
          </cell>
          <cell r="C32" t="str">
            <v>Numeric</v>
          </cell>
          <cell r="D32">
            <v>15</v>
          </cell>
          <cell r="E32" t="str">
            <v>순수 비회원 신용대출 잔액</v>
          </cell>
          <cell r="F32" t="str">
            <v>제공항목</v>
          </cell>
          <cell r="G32"/>
          <cell r="H32" t="str">
            <v>내부정보</v>
          </cell>
          <cell r="I32" t="str">
            <v>GEA심사사전정보내역</v>
          </cell>
          <cell r="J32" t="str">
            <v>심사사전정보내역조회C &gt; 현재일자기준대출심사모형사전조회</v>
          </cell>
          <cell r="K32" t="str">
            <v>비회원신용대출잔액</v>
          </cell>
          <cell r="L32"/>
          <cell r="M32"/>
          <cell r="N32"/>
          <cell r="O32"/>
          <cell r="P32"/>
          <cell r="Q32"/>
        </row>
        <row r="33">
          <cell r="B33" t="str">
            <v>A1024</v>
          </cell>
          <cell r="C33" t="str">
            <v>Numeric</v>
          </cell>
          <cell r="D33">
            <v>15</v>
          </cell>
          <cell r="E33" t="str">
            <v>쉬프트론대출잔액</v>
          </cell>
          <cell r="F33" t="str">
            <v>제공항목</v>
          </cell>
          <cell r="G33"/>
          <cell r="H33" t="str">
            <v>내부정보</v>
          </cell>
          <cell r="I33" t="str">
            <v>GEA심사사전정보내역</v>
          </cell>
          <cell r="J33" t="str">
            <v>심사사전정보내역조회C &gt; 현재일자기준대출심사모형사전조회</v>
          </cell>
          <cell r="K33" t="str">
            <v>전환대출잔액_N15</v>
          </cell>
          <cell r="L33"/>
          <cell r="M33"/>
          <cell r="N33"/>
          <cell r="O33"/>
          <cell r="P33"/>
          <cell r="Q33"/>
        </row>
        <row r="34">
          <cell r="B34" t="str">
            <v>A1025</v>
          </cell>
          <cell r="C34" t="str">
            <v>Numeric</v>
          </cell>
          <cell r="D34">
            <v>15</v>
          </cell>
          <cell r="E34" t="str">
            <v>당사 신용카드 잔액</v>
          </cell>
          <cell r="F34" t="str">
            <v>제공항목</v>
          </cell>
          <cell r="G34"/>
          <cell r="H34" t="str">
            <v>내부정보</v>
          </cell>
          <cell r="I34" t="str">
            <v>GEA심사사전정보내역</v>
          </cell>
          <cell r="J34" t="str">
            <v>심사사전정보내역조회C &gt; 현재일자기준대출심사모형사전조회</v>
          </cell>
          <cell r="K34" t="str">
            <v>당사신용카드잔액
[bd당사신용카드잔액] = [r심사사전정보내역조회C].[현재일자기준대출심사모형사전조회출력Dto].[LS연체원금_N15]
                + [r심사사전정보내역조회C].[현재일자기준대출심사모형사전조회출력Dto].[LS청구원금_N15]
                + [r심사사전정보내역조회C].[현재일자기준대출심사모형사전조회출력Dto].[IS연체원금_N15]
                + [r심사사전정보내역조회C].[현재일자기준대출심사모형사전조회출력Dto].[IS미청구원금_N15]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
                + [r심사사전정보내역조회C].[현재일자기준대출심사모형사전조회출력Dto].[RLS연체원금_N15]
                + [r심사사전정보내역조회C].[현재일자기준대출심사모형사전조회출력Dto].[RLS이월금액_N15]
                + [r심사사전정보내역조회C].[현재일자기준대출심사모형사전조회출력Dto].[RLS미청구원금_N15];</v>
          </cell>
          <cell r="L34"/>
          <cell r="M34"/>
          <cell r="N34"/>
          <cell r="O34"/>
          <cell r="P34"/>
          <cell r="Q34"/>
        </row>
        <row r="35">
          <cell r="B35" t="str">
            <v>A1026</v>
          </cell>
          <cell r="C35" t="str">
            <v>Numeric</v>
          </cell>
          <cell r="D35">
            <v>15</v>
          </cell>
          <cell r="E35" t="str">
            <v>당사 CA 잔액</v>
          </cell>
          <cell r="F35" t="str">
            <v>제공항목</v>
          </cell>
          <cell r="G35"/>
          <cell r="H35" t="str">
            <v>내부정보</v>
          </cell>
          <cell r="I35" t="str">
            <v>GEA심사사전정보내역</v>
          </cell>
          <cell r="J35" t="str">
            <v>심사사전정보내역조회C &gt; 현재일자기준대출심사모형사전조회</v>
          </cell>
          <cell r="K35" t="str">
            <v>당사CA잔액
[bdCA잔액] = [r심사사전정보내역조회C].[현재일자기준대출심사모형사전조회출력Dto].[CA연체원금]
          + [r심사사전정보내역조회C].[현재일자기준대출심사모형사전조회출력Dto].[CA청구원금]
          + [r심사사전정보내역조회C].[현재일자기준대출심사모형사전조회출력Dto].[CAI연체원금_N15]
          + [r심사사전정보내역조회C].[현재일자기준대출심사모형사전조회출력Dto].[CAI미청구원금_N15]
          + [r심사사전정보내역조회C].[현재일자기준대출심사모형사전조회출력Dto].[RCA연체원금_N15]
          + [r심사사전정보내역조회C].[현재일자기준대출심사모형사전조회출력Dto].[RCA이월금액_N15]
          + [r심사사전정보내역조회C].[현재일자기준대출심사모형사전조회출력Dto].[RCA미청구원금_N15];</v>
          </cell>
          <cell r="L35"/>
          <cell r="M35"/>
          <cell r="N35"/>
          <cell r="O35"/>
          <cell r="P35"/>
          <cell r="Q35"/>
        </row>
        <row r="36">
          <cell r="B36" t="str">
            <v>A1027</v>
          </cell>
          <cell r="C36" t="str">
            <v>Numeric</v>
          </cell>
          <cell r="D36">
            <v>15</v>
          </cell>
          <cell r="E36" t="str">
            <v>당사 RLS이월잔액</v>
          </cell>
          <cell r="F36" t="str">
            <v>제공항목</v>
          </cell>
          <cell r="G36"/>
          <cell r="H36" t="str">
            <v>내부정보</v>
          </cell>
          <cell r="I36" t="str">
            <v>GEA심사사전정보내역</v>
          </cell>
          <cell r="J36" t="str">
            <v>심사사전정보내역조회C &gt; 현재일자기준대출심사모형사전조회</v>
          </cell>
          <cell r="K36" t="str">
            <v>RLS이월금액_N15</v>
          </cell>
          <cell r="L36"/>
          <cell r="M36"/>
          <cell r="N36"/>
          <cell r="O36"/>
          <cell r="P36"/>
          <cell r="Q36"/>
        </row>
        <row r="37">
          <cell r="B37" t="str">
            <v>A1028</v>
          </cell>
          <cell r="C37" t="str">
            <v>Numeric</v>
          </cell>
          <cell r="D37">
            <v>15</v>
          </cell>
          <cell r="E37" t="str">
            <v>당사 RCA이월잔액</v>
          </cell>
          <cell r="F37" t="str">
            <v>제공항목</v>
          </cell>
          <cell r="G37"/>
          <cell r="H37" t="str">
            <v>내부정보</v>
          </cell>
          <cell r="I37" t="str">
            <v>GEA심사사전정보내역</v>
          </cell>
          <cell r="J37" t="str">
            <v>심사사전정보내역조회C &gt; 현재일자기준대출심사모형사전조회</v>
          </cell>
          <cell r="K37" t="str">
            <v>RCA이월금액_N15</v>
          </cell>
          <cell r="L37"/>
          <cell r="M37"/>
          <cell r="N37"/>
          <cell r="O37"/>
          <cell r="P37"/>
          <cell r="Q37"/>
        </row>
        <row r="38">
          <cell r="B38" t="str">
            <v>A1029</v>
          </cell>
          <cell r="C38" t="str">
            <v>Numeric</v>
          </cell>
          <cell r="D38">
            <v>15</v>
          </cell>
          <cell r="E38" t="str">
            <v>매입할부금융잔액</v>
          </cell>
          <cell r="F38" t="str">
            <v>제공항목</v>
          </cell>
          <cell r="G38"/>
          <cell r="H38" t="str">
            <v>내부정보</v>
          </cell>
          <cell r="I38" t="str">
            <v>GEA심사사전정보내역</v>
          </cell>
          <cell r="J38" t="str">
            <v>심사사전정보내역조회C &gt; 현재일자기준대출심사모형사전조회</v>
          </cell>
          <cell r="K38" t="str">
            <v>매입할부금융잔액_N15</v>
          </cell>
          <cell r="L38"/>
          <cell r="M38"/>
          <cell r="N38"/>
          <cell r="O38"/>
          <cell r="P38"/>
          <cell r="Q38"/>
        </row>
        <row r="39">
          <cell r="B39" t="str">
            <v>A1030</v>
          </cell>
          <cell r="C39" t="str">
            <v>Numeric</v>
          </cell>
          <cell r="D39">
            <v>15</v>
          </cell>
          <cell r="E39" t="str">
            <v>부채증명서 발급 경과일수 (단위: 일)</v>
          </cell>
          <cell r="F39" t="str">
            <v>제공항목</v>
          </cell>
          <cell r="G39"/>
          <cell r="H39" t="str">
            <v>내부정보</v>
          </cell>
          <cell r="I39" t="str">
            <v>GEA심사사전정보내역</v>
          </cell>
          <cell r="J39" t="str">
            <v>심사사전정보내역조회C</v>
          </cell>
          <cell r="K39" t="str">
            <v>부채증명서발급경과일수</v>
          </cell>
          <cell r="L39"/>
          <cell r="M39"/>
          <cell r="N39"/>
          <cell r="O39"/>
          <cell r="P39"/>
          <cell r="Q39"/>
        </row>
        <row r="40">
          <cell r="B40" t="str">
            <v>A1031</v>
          </cell>
          <cell r="C40" t="str">
            <v>Numeric</v>
          </cell>
          <cell r="D40">
            <v>15</v>
          </cell>
          <cell r="E40" t="str">
            <v>TOTAL CREDIT</v>
          </cell>
          <cell r="F40" t="str">
            <v>제공항목</v>
          </cell>
          <cell r="G40"/>
          <cell r="H40" t="str">
            <v>내부정보</v>
          </cell>
          <cell r="I40" t="str">
            <v>GEA심사사전정보내역</v>
          </cell>
          <cell r="J40" t="str">
            <v>심사사전정보내역조회C</v>
          </cell>
          <cell r="K40" t="str">
            <v>0 set</v>
          </cell>
          <cell r="L40"/>
          <cell r="M40"/>
          <cell r="N40"/>
          <cell r="O40"/>
          <cell r="P40"/>
          <cell r="Q40"/>
        </row>
        <row r="41">
          <cell r="B41" t="str">
            <v>A1032</v>
          </cell>
          <cell r="C41" t="str">
            <v>Numeric</v>
          </cell>
          <cell r="D41">
            <v>15</v>
          </cell>
          <cell r="E41" t="str">
            <v>TOTAL CREDIT잔여한도</v>
          </cell>
          <cell r="F41" t="str">
            <v>제공항목</v>
          </cell>
          <cell r="G41"/>
          <cell r="H41" t="str">
            <v>내부정보</v>
          </cell>
          <cell r="I41" t="str">
            <v>GEA심사사전정보내역</v>
          </cell>
          <cell r="J41" t="str">
            <v>심사사전정보내역조회C</v>
          </cell>
          <cell r="K41" t="str">
            <v>0 set</v>
          </cell>
          <cell r="L41"/>
          <cell r="M41"/>
          <cell r="N41"/>
          <cell r="O41"/>
          <cell r="P41"/>
          <cell r="Q41"/>
        </row>
        <row r="42">
          <cell r="B42" t="str">
            <v>A1033</v>
          </cell>
          <cell r="C42" t="str">
            <v>String</v>
          </cell>
          <cell r="D42">
            <v>1</v>
          </cell>
          <cell r="E42" t="str">
            <v>예외승인여부</v>
          </cell>
          <cell r="F42" t="str">
            <v>제공항목</v>
          </cell>
          <cell r="G42"/>
          <cell r="H42" t="str">
            <v>내부정보</v>
          </cell>
          <cell r="I42" t="str">
            <v>GEA심사사전정보내역</v>
          </cell>
          <cell r="J42" t="str">
            <v>심사사전정보내역조회C &gt; 현재일자기준대출심사모형사전조회</v>
          </cell>
          <cell r="K42" t="str">
            <v>카드론예외승인구분코드</v>
          </cell>
          <cell r="L42"/>
          <cell r="M42"/>
          <cell r="N42"/>
          <cell r="O42"/>
          <cell r="P42"/>
          <cell r="Q42"/>
        </row>
        <row r="43">
          <cell r="B43" t="str">
            <v>A1034</v>
          </cell>
          <cell r="C43" t="str">
            <v>String</v>
          </cell>
          <cell r="D43">
            <v>2</v>
          </cell>
          <cell r="E43" t="str">
            <v>카드론매체구분코드</v>
          </cell>
          <cell r="F43" t="str">
            <v>제공항목</v>
          </cell>
          <cell r="G43"/>
          <cell r="H43" t="str">
            <v>내부정보</v>
          </cell>
          <cell r="I43" t="str">
            <v>i이지론플러스대출RCLIPS전문조립C</v>
          </cell>
          <cell r="J43" t="str">
            <v>i이지론플러스대출RCLIPS전문조립C</v>
          </cell>
          <cell r="K43" t="str">
            <v>카드론거래매체구분코드</v>
          </cell>
          <cell r="L43"/>
          <cell r="M43"/>
          <cell r="N43"/>
          <cell r="O43" t="str">
            <v>추가</v>
          </cell>
          <cell r="P43" t="str">
            <v>20190325 문서정리작업전 기술되어있음.</v>
          </cell>
          <cell r="Q43"/>
        </row>
        <row r="44">
          <cell r="B44" t="str">
            <v>A1035</v>
          </cell>
          <cell r="C44" t="str">
            <v>String</v>
          </cell>
          <cell r="D44">
            <v>1</v>
          </cell>
          <cell r="E44" t="str">
            <v xml:space="preserve">우대한도소득충족여부 </v>
          </cell>
          <cell r="F44" t="str">
            <v>제공항목</v>
          </cell>
          <cell r="G44"/>
          <cell r="H44" t="str">
            <v>내부정보</v>
          </cell>
          <cell r="I44" t="str">
            <v>i이지론플러스대출RCLIPS전문조립C</v>
          </cell>
          <cell r="J44" t="str">
            <v>i이지론플러스대출RCLIPS전문조립C</v>
          </cell>
          <cell r="K44" t="str">
            <v>우대한도소득기준충족여부</v>
          </cell>
          <cell r="L44"/>
          <cell r="M44"/>
          <cell r="N44"/>
          <cell r="O44" t="str">
            <v>추가</v>
          </cell>
          <cell r="P44" t="str">
            <v>20190325 문서정리작업전 기술되어있음.</v>
          </cell>
          <cell r="Q44"/>
        </row>
        <row r="45">
          <cell r="B45" t="str">
            <v>A1036</v>
          </cell>
          <cell r="C45" t="str">
            <v>String</v>
          </cell>
          <cell r="D45">
            <v>2</v>
          </cell>
          <cell r="E45" t="str">
            <v>신용BSS모형구분</v>
          </cell>
          <cell r="F45" t="str">
            <v>제공항목</v>
          </cell>
          <cell r="G45" t="str">
            <v>THKAASCE1 (20190220)</v>
          </cell>
          <cell r="H45" t="str">
            <v>내부정보</v>
          </cell>
          <cell r="I45" t="str">
            <v>GEA심사사전정보내역</v>
          </cell>
          <cell r="J45" t="str">
            <v>심사사전정보내역조회C &gt; 현재일자기준대출심사모형사전조회</v>
          </cell>
          <cell r="K45" t="str">
            <v>신용BSS모형구분</v>
          </cell>
          <cell r="L45"/>
          <cell r="M45"/>
          <cell r="N45"/>
          <cell r="O45" t="str">
            <v>추가</v>
          </cell>
          <cell r="P45" t="str">
            <v>20190514 추가 (20190314 현업제공 누락분 추가)</v>
          </cell>
          <cell r="Q45"/>
        </row>
        <row r="46">
          <cell r="B46" t="str">
            <v>A1037</v>
          </cell>
          <cell r="C46" t="str">
            <v>String</v>
          </cell>
          <cell r="D46">
            <v>2</v>
          </cell>
          <cell r="E46" t="str">
            <v>카드론금리등급구분코드</v>
          </cell>
          <cell r="F46" t="str">
            <v>제공항목</v>
          </cell>
          <cell r="G46" t="str">
            <v>TBGEAA001(20190515) - 예외승인된 건에 대해 필요</v>
          </cell>
          <cell r="H46" t="str">
            <v>내부정보</v>
          </cell>
          <cell r="I46" t="str">
            <v>GEA심사사전정보내역</v>
          </cell>
          <cell r="J46" t="str">
            <v>심사사전정보내역조회C &gt; 현재일자기준대출심사모형사전조회</v>
          </cell>
          <cell r="K46" t="str">
            <v>카드론금리등급구분코드</v>
          </cell>
          <cell r="L46"/>
          <cell r="M46"/>
          <cell r="N46"/>
          <cell r="O46" t="str">
            <v>추가</v>
          </cell>
          <cell r="P46" t="str">
            <v>20190515 추가 (신규항목추가)</v>
          </cell>
          <cell r="Q46"/>
        </row>
        <row r="47">
          <cell r="B47" t="str">
            <v>A1038</v>
          </cell>
          <cell r="C47" t="str">
            <v>Numeric</v>
          </cell>
          <cell r="D47">
            <v>15</v>
          </cell>
          <cell r="E47" t="str">
            <v>카드론한도금액</v>
          </cell>
          <cell r="F47" t="str">
            <v>제공항목</v>
          </cell>
          <cell r="G47" t="str">
            <v>TBGEAA001(20190515) - 예외승인된 건에 대해 필요</v>
          </cell>
          <cell r="H47" t="str">
            <v>내부정보</v>
          </cell>
          <cell r="I47" t="str">
            <v>GEA심사사전정보내역</v>
          </cell>
          <cell r="J47" t="str">
            <v>심사사전정보내역조회C &gt; 현재일자기준대출심사모형사전조회</v>
          </cell>
          <cell r="K47" t="str">
            <v>카드론한도금액</v>
          </cell>
          <cell r="L47"/>
          <cell r="M47"/>
          <cell r="N47"/>
          <cell r="O47" t="str">
            <v>추가</v>
          </cell>
          <cell r="P47" t="str">
            <v>20190515 추가 (신규항목추가)</v>
          </cell>
          <cell r="Q47"/>
        </row>
        <row r="48">
          <cell r="B48" t="str">
            <v>A1039</v>
          </cell>
          <cell r="C48" t="str">
            <v>Numeric</v>
          </cell>
          <cell r="D48">
            <v>15</v>
          </cell>
          <cell r="E48" t="str">
            <v>일시상환한도금액</v>
          </cell>
          <cell r="F48" t="str">
            <v>제공항목</v>
          </cell>
          <cell r="G48" t="str">
            <v>TBGEAA001(20190515) - 예외승인된 건에 대해 필요</v>
          </cell>
          <cell r="H48" t="str">
            <v>내부정보</v>
          </cell>
          <cell r="I48" t="str">
            <v>GEA심사사전정보내역</v>
          </cell>
          <cell r="J48" t="str">
            <v>심사사전정보내역조회C &gt; 현재일자기준대출심사모형사전조회</v>
          </cell>
          <cell r="K48" t="str">
            <v>일시상환한도금액</v>
          </cell>
          <cell r="L48"/>
          <cell r="M48"/>
          <cell r="N48"/>
          <cell r="O48" t="str">
            <v>추가</v>
          </cell>
          <cell r="P48" t="str">
            <v>20190515 추가 (신규항목추가)</v>
          </cell>
          <cell r="Q48"/>
        </row>
        <row r="49">
          <cell r="B49" t="str">
            <v>A1040</v>
          </cell>
          <cell r="C49" t="str">
            <v>Numeric</v>
          </cell>
          <cell r="D49">
            <v>15</v>
          </cell>
          <cell r="E49" t="str">
            <v>분할상환대출기간수</v>
          </cell>
          <cell r="F49" t="str">
            <v>제공항목</v>
          </cell>
          <cell r="G49" t="str">
            <v>TBGEAA001(20190515) - 예외승인된 건에 대해 필요</v>
          </cell>
          <cell r="H49" t="str">
            <v>내부정보</v>
          </cell>
          <cell r="I49" t="str">
            <v>GEA심사사전정보내역</v>
          </cell>
          <cell r="J49" t="str">
            <v>심사사전정보내역조회C &gt; 현재일자기준대출심사모형사전조회</v>
          </cell>
          <cell r="K49" t="str">
            <v>분할상환대출기간수</v>
          </cell>
          <cell r="L49"/>
          <cell r="M49"/>
          <cell r="N49"/>
          <cell r="O49" t="str">
            <v>추가</v>
          </cell>
          <cell r="P49" t="str">
            <v>20190515 추가 (신규항목추가)</v>
          </cell>
          <cell r="Q49"/>
        </row>
        <row r="50">
          <cell r="B50" t="str">
            <v>A1041</v>
          </cell>
          <cell r="C50" t="str">
            <v>Numeric</v>
          </cell>
          <cell r="D50">
            <v>15</v>
          </cell>
          <cell r="E50" t="str">
            <v>거치기간수</v>
          </cell>
          <cell r="F50" t="str">
            <v>제공항목</v>
          </cell>
          <cell r="G50" t="str">
            <v>TBGEAA001(20190515) - 예외승인된 건에 대해 필요</v>
          </cell>
          <cell r="H50" t="str">
            <v>내부정보</v>
          </cell>
          <cell r="I50" t="str">
            <v>GEA심사사전정보내역</v>
          </cell>
          <cell r="J50" t="str">
            <v>심사사전정보내역조회C &gt; 현재일자기준대출심사모형사전조회</v>
          </cell>
          <cell r="K50" t="str">
            <v>거치기간수</v>
          </cell>
          <cell r="L50"/>
          <cell r="M50"/>
          <cell r="N50"/>
          <cell r="O50" t="str">
            <v>추가</v>
          </cell>
          <cell r="P50" t="str">
            <v>20190515 추가 (신규항목추가)</v>
          </cell>
          <cell r="Q50"/>
        </row>
        <row r="51">
          <cell r="B51" t="str">
            <v>A1043</v>
          </cell>
          <cell r="C51" t="str">
            <v>Numeric</v>
          </cell>
          <cell r="D51">
            <v>15</v>
          </cell>
          <cell r="E51" t="str">
            <v>스크래핑소득_국세청</v>
          </cell>
          <cell r="F51" t="str">
            <v>내부항목</v>
          </cell>
          <cell r="G51" t="str">
            <v>20200730 추가</v>
          </cell>
          <cell r="H51"/>
          <cell r="I51" t="str">
            <v>GEA스크래핑국세청소득금액증명서상세전문</v>
          </cell>
          <cell r="J51" t="str">
            <v>스크래핑국세청최종소득금액조회E</v>
          </cell>
          <cell r="K51" t="str">
            <v>스크래핑국세청최종소득금액_N15</v>
          </cell>
          <cell r="L51"/>
          <cell r="M51"/>
          <cell r="N51"/>
          <cell r="O51"/>
          <cell r="P51"/>
          <cell r="Q51"/>
        </row>
        <row r="52">
          <cell r="B52" t="str">
            <v>A1044</v>
          </cell>
          <cell r="C52" t="str">
            <v>Numeric</v>
          </cell>
          <cell r="D52">
            <v>15</v>
          </cell>
          <cell r="E52" t="str">
            <v>스크래핑소득_건보</v>
          </cell>
          <cell r="F52" t="str">
            <v>내부항목</v>
          </cell>
          <cell r="G52" t="str">
            <v>20200730 추가</v>
          </cell>
          <cell r="H52"/>
          <cell r="I52" t="str">
            <v>GEA스크래핑건강보험료납부상세전문</v>
          </cell>
          <cell r="J52" t="str">
            <v>스크래핑건강보험최종소득금액조회E</v>
          </cell>
          <cell r="K52" t="str">
            <v>스크래핑건강보험최종소득금액_N15</v>
          </cell>
          <cell r="L52"/>
          <cell r="M52"/>
          <cell r="N52"/>
          <cell r="O52"/>
          <cell r="P52"/>
          <cell r="Q52"/>
        </row>
        <row r="53">
          <cell r="B53" t="str">
            <v>A1045</v>
          </cell>
          <cell r="C53" t="str">
            <v>Numeric</v>
          </cell>
          <cell r="D53">
            <v>15</v>
          </cell>
          <cell r="E53" t="str">
            <v>채널구분코드</v>
          </cell>
          <cell r="F53" t="str">
            <v>내부항목</v>
          </cell>
          <cell r="G53" t="str">
            <v>20201127 추가</v>
          </cell>
          <cell r="H53"/>
          <cell r="I53" t="str">
            <v>입력COMDtoctx].[SDT매체구분코드</v>
          </cell>
          <cell r="J53" t="str">
            <v>입력COMDtoctx].[SDT매체구분코드</v>
          </cell>
          <cell r="K53" t="str">
            <v>입력COMDtoctx].[SDT매체구분코드</v>
          </cell>
          <cell r="L53"/>
          <cell r="M53"/>
          <cell r="N53"/>
          <cell r="O53"/>
          <cell r="P53"/>
          <cell r="Q53"/>
        </row>
        <row r="54">
          <cell r="B54" t="str">
            <v>A2000</v>
          </cell>
          <cell r="C54" t="str">
            <v>Numeric</v>
          </cell>
          <cell r="D54">
            <v>15</v>
          </cell>
          <cell r="E54" t="str">
            <v>중고차대출잔액</v>
          </cell>
          <cell r="F54" t="str">
            <v>제공항목</v>
          </cell>
          <cell r="G54"/>
          <cell r="H54" t="str">
            <v>내부정보</v>
          </cell>
          <cell r="I54" t="str">
            <v>GEA심사사전정보내역</v>
          </cell>
          <cell r="J54" t="str">
            <v>심사사전정보내역조회C &gt; 현재일자기준대출심사모형사전조회</v>
          </cell>
          <cell r="K54" t="str">
            <v>중고차대출잔액</v>
          </cell>
          <cell r="L54"/>
          <cell r="M54"/>
          <cell r="N54"/>
          <cell r="O54" t="str">
            <v>추가</v>
          </cell>
          <cell r="P54" t="str">
            <v>20190514 추가 (현업문서에는 미존재함)</v>
          </cell>
          <cell r="Q54"/>
        </row>
        <row r="55">
          <cell r="B55" t="str">
            <v>A2001</v>
          </cell>
          <cell r="C55" t="str">
            <v>String</v>
          </cell>
          <cell r="D55">
            <v>60</v>
          </cell>
          <cell r="E55" t="str">
            <v>대출탈락사유내용</v>
          </cell>
          <cell r="F55" t="str">
            <v>제공항목</v>
          </cell>
          <cell r="G55"/>
          <cell r="H55" t="str">
            <v>EDW(체크회원사전대상자)</v>
          </cell>
          <cell r="I55" t="str">
            <v>GEA체크회원사전대상자내역</v>
          </cell>
          <cell r="J55" t="str">
            <v>GEA체크회원사전대상자내역조회E</v>
          </cell>
          <cell r="K55" t="str">
            <v>이지론플러스탈락사유</v>
          </cell>
          <cell r="L55"/>
          <cell r="M55"/>
          <cell r="N55"/>
          <cell r="O55"/>
          <cell r="P55"/>
          <cell r="Q55"/>
        </row>
        <row r="56">
          <cell r="B56" t="str">
            <v>A2002</v>
          </cell>
          <cell r="C56" t="str">
            <v>String</v>
          </cell>
          <cell r="D56">
            <v>1</v>
          </cell>
          <cell r="E56" t="str">
            <v>KCB스코어정보보유여부</v>
          </cell>
          <cell r="F56" t="str">
            <v>제공항목</v>
          </cell>
          <cell r="G56"/>
          <cell r="H56" t="str">
            <v>EDW(체크회원사전대상자)</v>
          </cell>
          <cell r="I56" t="str">
            <v>GEA체크회원사전대상자내역</v>
          </cell>
          <cell r="J56" t="str">
            <v>GEA체크회원사전대상자내역조회E</v>
          </cell>
          <cell r="K56" t="str">
            <v>KCB신용정보보유여부</v>
          </cell>
          <cell r="L56"/>
          <cell r="M56"/>
          <cell r="N56"/>
          <cell r="O56" t="str">
            <v>추가</v>
          </cell>
          <cell r="P56" t="str">
            <v>20190325 문서정리작업전 기술되어있음.</v>
          </cell>
          <cell r="Q56"/>
        </row>
        <row r="57">
          <cell r="B57" t="str">
            <v>A2003</v>
          </cell>
          <cell r="C57" t="str">
            <v>String</v>
          </cell>
          <cell r="D57">
            <v>1</v>
          </cell>
          <cell r="E57" t="str">
            <v>KCB프로파일정보보유여부</v>
          </cell>
          <cell r="F57" t="str">
            <v>제공항목</v>
          </cell>
          <cell r="G57"/>
          <cell r="H57" t="str">
            <v>EDW(체크회원사전대상자)</v>
          </cell>
          <cell r="I57" t="str">
            <v>GEA체크회원사전대상자내역</v>
          </cell>
          <cell r="J57" t="str">
            <v>GEA체크회원사전대상자내역조회E</v>
          </cell>
          <cell r="K57" t="str">
            <v>KCB프로파일정보보유여부</v>
          </cell>
          <cell r="L57"/>
          <cell r="M57"/>
          <cell r="N57"/>
          <cell r="O57" t="str">
            <v>추가</v>
          </cell>
          <cell r="P57" t="str">
            <v>20190325 문서정리작업전 기술되어있음.</v>
          </cell>
          <cell r="Q57"/>
        </row>
        <row r="58">
          <cell r="B58" t="str">
            <v>A2004</v>
          </cell>
          <cell r="C58" t="str">
            <v>String</v>
          </cell>
          <cell r="D58">
            <v>1</v>
          </cell>
          <cell r="E58" t="str">
            <v>NICE스코어정보보유여부</v>
          </cell>
          <cell r="F58" t="str">
            <v>제공항목</v>
          </cell>
          <cell r="G58"/>
          <cell r="H58" t="str">
            <v>EDW(체크회원사전대상자)</v>
          </cell>
          <cell r="I58" t="str">
            <v>GEA체크회원사전대상자내역</v>
          </cell>
          <cell r="J58" t="str">
            <v>GEA체크회원사전대상자내역조회E</v>
          </cell>
          <cell r="K58" t="str">
            <v>NICE신용정보보유여부</v>
          </cell>
          <cell r="L58"/>
          <cell r="M58"/>
          <cell r="N58"/>
          <cell r="O58" t="str">
            <v>추가</v>
          </cell>
          <cell r="P58" t="str">
            <v>20190325 문서정리작업전 기술되어있음.</v>
          </cell>
          <cell r="Q58"/>
        </row>
        <row r="59">
          <cell r="B59" t="str">
            <v>A2005</v>
          </cell>
          <cell r="C59" t="str">
            <v>String</v>
          </cell>
          <cell r="D59">
            <v>1</v>
          </cell>
          <cell r="E59" t="str">
            <v>NICE프로파일정보보유여부</v>
          </cell>
          <cell r="F59" t="str">
            <v>제공항목</v>
          </cell>
          <cell r="G59"/>
          <cell r="H59" t="str">
            <v>EDW(체크회원사전대상자)</v>
          </cell>
          <cell r="I59" t="str">
            <v>GEA체크회원사전대상자내역</v>
          </cell>
          <cell r="J59" t="str">
            <v>GEA체크회원사전대상자내역조회E</v>
          </cell>
          <cell r="K59" t="str">
            <v>NICE프로파일정보보유여부</v>
          </cell>
          <cell r="L59"/>
          <cell r="M59"/>
          <cell r="N59"/>
          <cell r="O59" t="str">
            <v>추가</v>
          </cell>
          <cell r="P59" t="str">
            <v>20190325 문서정리작업전 기술되어있음.</v>
          </cell>
          <cell r="Q59"/>
        </row>
        <row r="60">
          <cell r="B60" t="str">
            <v>A2006</v>
          </cell>
          <cell r="C60" t="str">
            <v>Numeric</v>
          </cell>
          <cell r="D60">
            <v>15</v>
          </cell>
          <cell r="E60" t="str">
            <v>연합회신용대출금액</v>
          </cell>
          <cell r="F60" t="str">
            <v>제공항목</v>
          </cell>
          <cell r="G60"/>
          <cell r="H60" t="str">
            <v>EDW(체크회원사전대상자)</v>
          </cell>
          <cell r="I60" t="str">
            <v>GEA체크회원사전대상자내역</v>
          </cell>
          <cell r="J60" t="str">
            <v>GEA체크회원사전대상자내역조회E</v>
          </cell>
          <cell r="K60" t="str">
            <v>KCIS신용대출금액</v>
          </cell>
          <cell r="L60"/>
          <cell r="M60"/>
          <cell r="N60"/>
          <cell r="O60" t="str">
            <v>삭제</v>
          </cell>
          <cell r="P60">
            <v>20200630</v>
          </cell>
          <cell r="Q60"/>
        </row>
        <row r="61">
          <cell r="B61" t="str">
            <v>A2007</v>
          </cell>
          <cell r="C61" t="str">
            <v>Numeric</v>
          </cell>
          <cell r="D61">
            <v>15</v>
          </cell>
          <cell r="E61" t="str">
            <v>연합회담보대출금액</v>
          </cell>
          <cell r="F61" t="str">
            <v>제공항목</v>
          </cell>
          <cell r="G61"/>
          <cell r="H61" t="str">
            <v>EDW(체크회원사전대상자)</v>
          </cell>
          <cell r="I61" t="str">
            <v>GEA체크회원사전대상자내역</v>
          </cell>
          <cell r="J61" t="str">
            <v>GEA체크회원사전대상자내역조회E</v>
          </cell>
          <cell r="K61" t="str">
            <v>KCIS담보대출금액</v>
          </cell>
          <cell r="L61"/>
          <cell r="M61"/>
          <cell r="N61"/>
          <cell r="O61" t="str">
            <v>삭제</v>
          </cell>
          <cell r="P61">
            <v>20200630</v>
          </cell>
          <cell r="Q61"/>
        </row>
        <row r="62">
          <cell r="B62" t="str">
            <v>A2008</v>
          </cell>
          <cell r="C62" t="str">
            <v>Numeric</v>
          </cell>
          <cell r="D62">
            <v>15</v>
          </cell>
          <cell r="E62" t="str">
            <v>은행신용대출금액</v>
          </cell>
          <cell r="F62" t="str">
            <v>제공항목</v>
          </cell>
          <cell r="G62"/>
          <cell r="H62" t="str">
            <v>EDW(체크회원사전대상자)</v>
          </cell>
          <cell r="I62" t="str">
            <v>GEA체크회원사전대상자내역</v>
          </cell>
          <cell r="J62" t="str">
            <v>GEA체크회원사전대상자내역조회E</v>
          </cell>
          <cell r="K62" t="str">
            <v>은행업권신용대출금액</v>
          </cell>
          <cell r="L62"/>
          <cell r="M62"/>
          <cell r="N62"/>
          <cell r="O62"/>
          <cell r="P62"/>
          <cell r="Q62"/>
        </row>
        <row r="63">
          <cell r="B63" t="str">
            <v>A2009</v>
          </cell>
          <cell r="C63" t="str">
            <v>Numeric</v>
          </cell>
          <cell r="D63">
            <v>15</v>
          </cell>
          <cell r="E63" t="str">
            <v>KCB추정소득</v>
          </cell>
          <cell r="F63" t="str">
            <v>제공항목</v>
          </cell>
          <cell r="G63"/>
          <cell r="H63" t="str">
            <v>EDW(체크회원사전대상자)</v>
          </cell>
          <cell r="I63" t="str">
            <v>GEA체크회원사전대상자내역</v>
          </cell>
          <cell r="J63" t="str">
            <v>GEA체크회원사전대상자내역조회E</v>
          </cell>
          <cell r="K63" t="str">
            <v>사전KCB추정소득금액</v>
          </cell>
          <cell r="L63"/>
          <cell r="M63"/>
          <cell r="N63"/>
          <cell r="O63" t="str">
            <v>추가</v>
          </cell>
          <cell r="P63" t="str">
            <v>20190325 문서정리작업전 기술되어있음.</v>
          </cell>
          <cell r="Q63"/>
        </row>
        <row r="64">
          <cell r="B64" t="str">
            <v>A2010</v>
          </cell>
          <cell r="C64" t="str">
            <v>Numeric</v>
          </cell>
          <cell r="D64">
            <v>15</v>
          </cell>
          <cell r="E64" t="str">
            <v>NICE추정소득</v>
          </cell>
          <cell r="F64" t="str">
            <v>제공항목</v>
          </cell>
          <cell r="G64"/>
          <cell r="H64" t="str">
            <v>EDW(체크회원사전대상자)</v>
          </cell>
          <cell r="I64" t="str">
            <v>GEA체크회원사전대상자내역</v>
          </cell>
          <cell r="J64" t="str">
            <v>GEA체크회원사전대상자내역조회E</v>
          </cell>
          <cell r="K64" t="str">
            <v>사전NICE추정소득금액</v>
          </cell>
          <cell r="L64"/>
          <cell r="M64"/>
          <cell r="N64"/>
          <cell r="O64" t="str">
            <v>추가</v>
          </cell>
          <cell r="P64" t="str">
            <v>20190325 문서정리작업전 기술되어있음.</v>
          </cell>
          <cell r="Q64"/>
        </row>
        <row r="65">
          <cell r="B65" t="str">
            <v>A2011</v>
          </cell>
          <cell r="C65" t="str">
            <v>Numeric</v>
          </cell>
          <cell r="D65">
            <v>15</v>
          </cell>
          <cell r="E65" t="str">
            <v>평균추정소득</v>
          </cell>
          <cell r="F65" t="str">
            <v>제공항목</v>
          </cell>
          <cell r="G65"/>
          <cell r="H65" t="str">
            <v>EDW(체크회원사전대상자)</v>
          </cell>
          <cell r="I65" t="str">
            <v>GEA체크회원사전대상자내역</v>
          </cell>
          <cell r="J65" t="str">
            <v>GEA체크회원사전대상자내역조회E</v>
          </cell>
          <cell r="K65" t="str">
            <v>사전평균추정소득금액</v>
          </cell>
          <cell r="L65"/>
          <cell r="M65"/>
          <cell r="N65"/>
          <cell r="O65" t="str">
            <v>추가</v>
          </cell>
          <cell r="P65" t="str">
            <v>20190325 문서정리작업전 기술되어있음.</v>
          </cell>
          <cell r="Q65"/>
        </row>
        <row r="66">
          <cell r="B66" t="str">
            <v>A2012</v>
          </cell>
          <cell r="C66" t="str">
            <v>Numeric</v>
          </cell>
          <cell r="D66">
            <v>15</v>
          </cell>
          <cell r="E66" t="str">
            <v>KCB연간원리금</v>
          </cell>
          <cell r="F66" t="str">
            <v>제공항목</v>
          </cell>
          <cell r="G66"/>
          <cell r="H66" t="str">
            <v>EDW(체크회원사전대상자)</v>
          </cell>
          <cell r="I66" t="str">
            <v>GEA체크회원사전대상자내역</v>
          </cell>
          <cell r="J66" t="str">
            <v>GEA체크회원사전대상자내역조회E</v>
          </cell>
          <cell r="K66" t="str">
            <v>사전KCB연간원리금상환금액</v>
          </cell>
          <cell r="L66"/>
          <cell r="M66"/>
          <cell r="N66"/>
          <cell r="O66" t="str">
            <v>추가</v>
          </cell>
          <cell r="P66" t="str">
            <v>20190325 문서정리작업전 기술되어있음.</v>
          </cell>
          <cell r="Q66"/>
        </row>
        <row r="67">
          <cell r="B67" t="str">
            <v>A2013</v>
          </cell>
          <cell r="C67" t="str">
            <v>Numeric</v>
          </cell>
          <cell r="D67">
            <v>15</v>
          </cell>
          <cell r="E67" t="str">
            <v>NICE연간원리금</v>
          </cell>
          <cell r="F67" t="str">
            <v>제공항목</v>
          </cell>
          <cell r="G67"/>
          <cell r="H67" t="str">
            <v>EDW(체크회원사전대상자)</v>
          </cell>
          <cell r="I67" t="str">
            <v>GEA체크회원사전대상자내역</v>
          </cell>
          <cell r="J67" t="str">
            <v>GEA체크회원사전대상자내역조회E</v>
          </cell>
          <cell r="K67" t="str">
            <v>사전NICE연간원리금상환금액</v>
          </cell>
          <cell r="L67"/>
          <cell r="M67"/>
          <cell r="N67"/>
          <cell r="O67" t="str">
            <v>추가</v>
          </cell>
          <cell r="P67" t="str">
            <v>20190325 문서정리작업전 기술되어있음.</v>
          </cell>
          <cell r="Q67"/>
        </row>
        <row r="68">
          <cell r="B68" t="str">
            <v>A2014</v>
          </cell>
          <cell r="C68" t="str">
            <v>Numeric</v>
          </cell>
          <cell r="D68">
            <v>15</v>
          </cell>
          <cell r="E68" t="str">
            <v>월가처분소득</v>
          </cell>
          <cell r="F68" t="str">
            <v>제공항목</v>
          </cell>
          <cell r="G68"/>
          <cell r="H68" t="str">
            <v>EDW(체크회원사전대상자)</v>
          </cell>
          <cell r="I68" t="str">
            <v>GEA체크회원사전대상자내역</v>
          </cell>
          <cell r="J68" t="str">
            <v>GEA체크회원사전대상자내역조회E</v>
          </cell>
          <cell r="K68" t="str">
            <v>월가처분소득금액</v>
          </cell>
          <cell r="L68"/>
          <cell r="M68"/>
          <cell r="N68"/>
          <cell r="O68" t="str">
            <v>추가</v>
          </cell>
          <cell r="P68" t="str">
            <v>20190325 문서정리작업전 기술되어있음.</v>
          </cell>
          <cell r="Q68"/>
        </row>
        <row r="69">
          <cell r="B69" t="str">
            <v>A2015</v>
          </cell>
          <cell r="C69" t="str">
            <v>Numeric</v>
          </cell>
          <cell r="D69">
            <v>15</v>
          </cell>
          <cell r="E69" t="str">
            <v>반영월가처분소득</v>
          </cell>
          <cell r="F69" t="str">
            <v>제공항목</v>
          </cell>
          <cell r="G69"/>
          <cell r="H69" t="str">
            <v>EDW(체크회원사전대상자)</v>
          </cell>
          <cell r="I69" t="str">
            <v>GEA체크회원사전대상자내역</v>
          </cell>
          <cell r="J69" t="str">
            <v>GEA체크회원사전대상자내역조회E</v>
          </cell>
          <cell r="K69" t="str">
            <v>플러스론반영월가처분소득금액</v>
          </cell>
          <cell r="L69"/>
          <cell r="M69"/>
          <cell r="N69"/>
          <cell r="O69" t="str">
            <v>추가</v>
          </cell>
          <cell r="P69" t="str">
            <v>20190325 문서정리작업전 기술되어있음.</v>
          </cell>
          <cell r="Q69"/>
        </row>
        <row r="70">
          <cell r="B70" t="str">
            <v>A2016</v>
          </cell>
          <cell r="C70" t="str">
            <v>Numeric</v>
          </cell>
          <cell r="D70">
            <v>5.2</v>
          </cell>
          <cell r="E70" t="str">
            <v>전략DTI율</v>
          </cell>
          <cell r="F70" t="str">
            <v>제공항목</v>
          </cell>
          <cell r="G70"/>
          <cell r="H70" t="str">
            <v>EDW(체크회원사전대상자)</v>
          </cell>
          <cell r="I70" t="str">
            <v>GEA체크회원사전대상자내역</v>
          </cell>
          <cell r="J70" t="str">
            <v>GEA체크회원사전대상자내역조회E</v>
          </cell>
          <cell r="K70" t="str">
            <v>사전전략DTI비율</v>
          </cell>
          <cell r="L70"/>
          <cell r="M70"/>
          <cell r="N70"/>
          <cell r="O70" t="str">
            <v>추가</v>
          </cell>
          <cell r="P70" t="str">
            <v>20190325 문서정리작업전 기술되어있음.</v>
          </cell>
          <cell r="Q70"/>
        </row>
        <row r="71">
          <cell r="B71" t="str">
            <v>A2017</v>
          </cell>
          <cell r="C71" t="str">
            <v>Numeric</v>
          </cell>
          <cell r="D71">
            <v>9.5</v>
          </cell>
          <cell r="E71" t="str">
            <v>대출이율</v>
          </cell>
          <cell r="F71" t="str">
            <v>제공항목</v>
          </cell>
          <cell r="G71"/>
          <cell r="H71" t="str">
            <v>EDW(체크회원사전대상자)</v>
          </cell>
          <cell r="I71" t="str">
            <v>GEA체크회원사전대상자내역</v>
          </cell>
          <cell r="J71" t="str">
            <v>GEA체크회원사전대상자내역조회E</v>
          </cell>
          <cell r="K71" t="str">
            <v>이지론플러스대출금리</v>
          </cell>
          <cell r="L71"/>
          <cell r="M71"/>
          <cell r="N71"/>
          <cell r="O71"/>
          <cell r="P71"/>
          <cell r="Q71" t="str">
            <v>필수</v>
          </cell>
        </row>
        <row r="72">
          <cell r="B72" t="str">
            <v>A2018</v>
          </cell>
          <cell r="C72" t="str">
            <v>String</v>
          </cell>
          <cell r="D72">
            <v>2</v>
          </cell>
          <cell r="E72" t="str">
            <v>금리등급</v>
          </cell>
          <cell r="F72" t="str">
            <v>제공항목</v>
          </cell>
          <cell r="G72"/>
          <cell r="H72" t="str">
            <v>EDW(체크회원사전대상자)</v>
          </cell>
          <cell r="I72" t="str">
            <v>GEA체크회원사전대상자내역</v>
          </cell>
          <cell r="J72" t="str">
            <v>GEA체크회원사전대상자내역조회E</v>
          </cell>
          <cell r="K72" t="str">
            <v>이지론플러스금리등급구분코드</v>
          </cell>
          <cell r="L72"/>
          <cell r="M72"/>
          <cell r="N72"/>
          <cell r="O72" t="str">
            <v>추가</v>
          </cell>
          <cell r="P72" t="str">
            <v>20190325 문서정리작업전 기술되어있음.</v>
          </cell>
          <cell r="Q72"/>
        </row>
        <row r="73">
          <cell r="B73" t="str">
            <v>A2019</v>
          </cell>
          <cell r="C73" t="str">
            <v>Numeric</v>
          </cell>
          <cell r="D73">
            <v>3</v>
          </cell>
          <cell r="E73" t="str">
            <v>연령</v>
          </cell>
          <cell r="F73" t="str">
            <v>제공항목</v>
          </cell>
          <cell r="G73"/>
          <cell r="H73" t="str">
            <v>EDW(체크회원사전대상자)</v>
          </cell>
          <cell r="I73" t="str">
            <v>GEA체크회원사전대상자내역</v>
          </cell>
          <cell r="J73" t="str">
            <v>GEA체크회원사전대상자내역조회E</v>
          </cell>
          <cell r="K73" t="str">
            <v>회원연령</v>
          </cell>
          <cell r="L73"/>
          <cell r="M73"/>
          <cell r="N73"/>
          <cell r="O73" t="str">
            <v>추가</v>
          </cell>
          <cell r="P73" t="str">
            <v>20190325 문서정리작업전 기술되어있음.</v>
          </cell>
          <cell r="Q73"/>
        </row>
        <row r="74">
          <cell r="B74" t="str">
            <v>A2020</v>
          </cell>
          <cell r="C74" t="str">
            <v>String</v>
          </cell>
          <cell r="D74">
            <v>1</v>
          </cell>
          <cell r="E74" t="str">
            <v>외국인여부</v>
          </cell>
          <cell r="F74" t="str">
            <v>제공항목</v>
          </cell>
          <cell r="G74"/>
          <cell r="H74" t="str">
            <v>EDW(체크회원사전대상자)</v>
          </cell>
          <cell r="I74" t="str">
            <v>GEA체크회원사전대상자내역</v>
          </cell>
          <cell r="J74" t="str">
            <v>GEA체크회원사전대상자내역조회E</v>
          </cell>
          <cell r="K74" t="str">
            <v>외국인여부</v>
          </cell>
          <cell r="L74"/>
          <cell r="M74"/>
          <cell r="N74"/>
          <cell r="O74" t="str">
            <v>삭제</v>
          </cell>
          <cell r="P74">
            <v>20200630</v>
          </cell>
          <cell r="Q74"/>
        </row>
        <row r="75">
          <cell r="B75" t="str">
            <v>A2021</v>
          </cell>
          <cell r="C75" t="str">
            <v>String</v>
          </cell>
          <cell r="D75">
            <v>1</v>
          </cell>
          <cell r="E75" t="str">
            <v>회원별거래정지여부</v>
          </cell>
          <cell r="F75" t="str">
            <v>제공항목</v>
          </cell>
          <cell r="G75"/>
          <cell r="H75" t="str">
            <v>EDW(체크회원사전대상자)</v>
          </cell>
          <cell r="I75" t="str">
            <v>GEA체크회원사전대상자내역</v>
          </cell>
          <cell r="J75" t="str">
            <v>GEA체크회원사전대상자내역조회E</v>
          </cell>
          <cell r="K75" t="str">
            <v>회원거래정지여부</v>
          </cell>
          <cell r="L75"/>
          <cell r="M75"/>
          <cell r="N75"/>
          <cell r="O75" t="str">
            <v>삭제</v>
          </cell>
          <cell r="P75">
            <v>20200630</v>
          </cell>
          <cell r="Q75"/>
        </row>
        <row r="76">
          <cell r="B76" t="str">
            <v>A2022</v>
          </cell>
          <cell r="C76" t="str">
            <v>String</v>
          </cell>
          <cell r="D76">
            <v>1</v>
          </cell>
          <cell r="E76" t="str">
            <v>회원별거래정지이력여부</v>
          </cell>
          <cell r="F76" t="str">
            <v>제공항목</v>
          </cell>
          <cell r="G76"/>
          <cell r="H76" t="str">
            <v>EDW(체크회원사전대상자)</v>
          </cell>
          <cell r="I76" t="str">
            <v>GEA체크회원사전대상자내역</v>
          </cell>
          <cell r="J76" t="str">
            <v>GEA체크회원사전대상자내역조회E</v>
          </cell>
          <cell r="K76" t="str">
            <v>최근1년회원거래정지이력유무</v>
          </cell>
          <cell r="L76"/>
          <cell r="M76"/>
          <cell r="N76"/>
          <cell r="O76" t="str">
            <v>삭제</v>
          </cell>
          <cell r="P76">
            <v>20200630</v>
          </cell>
          <cell r="Q76"/>
        </row>
        <row r="77">
          <cell r="B77" t="str">
            <v>A2023</v>
          </cell>
          <cell r="C77" t="str">
            <v>String</v>
          </cell>
          <cell r="D77">
            <v>1</v>
          </cell>
          <cell r="E77" t="str">
            <v>불량가맹점업주여부</v>
          </cell>
          <cell r="F77" t="str">
            <v>제공항목</v>
          </cell>
          <cell r="G77"/>
          <cell r="H77" t="str">
            <v>EDW(체크회원사전대상자)</v>
          </cell>
          <cell r="I77" t="str">
            <v>GEA체크회원사전대상자내역</v>
          </cell>
          <cell r="J77" t="str">
            <v>GEA체크회원사전대상자내역조회E</v>
          </cell>
          <cell r="K77" t="str">
            <v>불량가맹점주등재여부</v>
          </cell>
          <cell r="L77"/>
          <cell r="M77"/>
          <cell r="N77"/>
          <cell r="O77" t="str">
            <v>삭제</v>
          </cell>
          <cell r="P77">
            <v>20200630</v>
          </cell>
          <cell r="Q77"/>
        </row>
        <row r="78">
          <cell r="B78" t="str">
            <v>A2024</v>
          </cell>
          <cell r="C78" t="str">
            <v>String</v>
          </cell>
          <cell r="D78">
            <v>1</v>
          </cell>
          <cell r="E78" t="str">
            <v>요주의인물등록여부</v>
          </cell>
          <cell r="F78" t="str">
            <v>제공항목</v>
          </cell>
          <cell r="G78"/>
          <cell r="H78" t="str">
            <v>EDW(체크회원사전대상자)</v>
          </cell>
          <cell r="I78" t="str">
            <v>GEA체크회원사전대상자내역</v>
          </cell>
          <cell r="J78" t="str">
            <v>GEA체크회원사전대상자내역조회E</v>
          </cell>
          <cell r="K78" t="str">
            <v>요주의인물등재여부</v>
          </cell>
          <cell r="L78"/>
          <cell r="M78"/>
          <cell r="N78"/>
          <cell r="O78" t="str">
            <v>삭제</v>
          </cell>
          <cell r="P78">
            <v>20200630</v>
          </cell>
          <cell r="Q78"/>
        </row>
        <row r="79">
          <cell r="B79" t="str">
            <v>A2025</v>
          </cell>
          <cell r="C79" t="str">
            <v>String</v>
          </cell>
          <cell r="D79">
            <v>1</v>
          </cell>
          <cell r="E79" t="str">
            <v>부재정보등록여부</v>
          </cell>
          <cell r="F79" t="str">
            <v>제공항목</v>
          </cell>
          <cell r="G79"/>
          <cell r="H79" t="str">
            <v>EDW(체크회원사전대상자)</v>
          </cell>
          <cell r="I79" t="str">
            <v>GEA체크회원사전대상자내역</v>
          </cell>
          <cell r="J79" t="str">
            <v>GEA체크회원사전대상자내역조회E</v>
          </cell>
          <cell r="K79" t="str">
            <v>부재정보등록유무</v>
          </cell>
          <cell r="L79"/>
          <cell r="M79"/>
          <cell r="N79"/>
          <cell r="O79" t="str">
            <v>삭제</v>
          </cell>
          <cell r="P79">
            <v>20200630</v>
          </cell>
          <cell r="Q79"/>
        </row>
        <row r="80">
          <cell r="B80" t="str">
            <v>A2026</v>
          </cell>
          <cell r="C80" t="str">
            <v>String</v>
          </cell>
          <cell r="D80">
            <v>1</v>
          </cell>
          <cell r="E80" t="str">
            <v>당사카드론보유여부</v>
          </cell>
          <cell r="F80" t="str">
            <v>제공항목</v>
          </cell>
          <cell r="G80"/>
          <cell r="H80" t="str">
            <v>EDW(체크회원사전대상자)</v>
          </cell>
          <cell r="I80" t="str">
            <v>GEA체크회원사전대상자내역</v>
          </cell>
          <cell r="J80" t="str">
            <v>GEA체크회원사전대상자내역조회E</v>
          </cell>
          <cell r="K80" t="str">
            <v>당사카드론잔액보유여부</v>
          </cell>
          <cell r="L80"/>
          <cell r="M80"/>
          <cell r="N80"/>
          <cell r="O80" t="str">
            <v>삭제</v>
          </cell>
          <cell r="P80">
            <v>20200630</v>
          </cell>
          <cell r="Q80"/>
        </row>
        <row r="81">
          <cell r="B81" t="str">
            <v>A2027</v>
          </cell>
          <cell r="C81" t="str">
            <v>String</v>
          </cell>
          <cell r="D81">
            <v>1</v>
          </cell>
          <cell r="E81" t="str">
            <v>한도삭제요청여부</v>
          </cell>
          <cell r="F81" t="str">
            <v>제공항목</v>
          </cell>
          <cell r="G81"/>
          <cell r="H81" t="str">
            <v>EDW(체크회원사전대상자)</v>
          </cell>
          <cell r="I81" t="str">
            <v>GEA체크회원사전대상자내역</v>
          </cell>
          <cell r="J81" t="str">
            <v>GEA체크회원사전대상자내역조회E</v>
          </cell>
          <cell r="K81" t="str">
            <v>카드론한도삭제요청여부</v>
          </cell>
          <cell r="L81"/>
          <cell r="M81"/>
          <cell r="N81"/>
          <cell r="O81" t="str">
            <v>삭제</v>
          </cell>
          <cell r="P81">
            <v>20200630</v>
          </cell>
          <cell r="Q81"/>
        </row>
        <row r="82">
          <cell r="B82" t="str">
            <v>A2028</v>
          </cell>
          <cell r="C82" t="str">
            <v>Numeric</v>
          </cell>
          <cell r="D82">
            <v>15</v>
          </cell>
          <cell r="E82" t="str">
            <v>비은행권신용대출금액</v>
          </cell>
          <cell r="F82" t="str">
            <v>제공항목</v>
          </cell>
          <cell r="G82"/>
          <cell r="H82" t="str">
            <v>EDW(체크회원사전대상자)</v>
          </cell>
          <cell r="I82" t="str">
            <v>GEA체크회원사전대상자내역</v>
          </cell>
          <cell r="J82" t="str">
            <v>GEA체크회원사전대상자내역조회E</v>
          </cell>
          <cell r="K82" t="str">
            <v>비은행업권신용대출금액</v>
          </cell>
          <cell r="L82"/>
          <cell r="M82"/>
          <cell r="N82"/>
          <cell r="O82"/>
          <cell r="P82"/>
          <cell r="Q82"/>
        </row>
        <row r="83">
          <cell r="B83" t="str">
            <v>A2029</v>
          </cell>
          <cell r="C83" t="str">
            <v>Numeric</v>
          </cell>
          <cell r="D83">
            <v>9</v>
          </cell>
          <cell r="E83" t="str">
            <v>현금서비스기관수</v>
          </cell>
          <cell r="F83" t="str">
            <v>제공항목</v>
          </cell>
          <cell r="G83"/>
          <cell r="H83" t="str">
            <v>EDW(체크회원사전대상자)</v>
          </cell>
          <cell r="I83" t="str">
            <v>GEA체크회원사전대상자내역</v>
          </cell>
          <cell r="J83" t="str">
            <v>GEA체크회원사전대상자내역조회E</v>
          </cell>
          <cell r="K83" t="str">
            <v>CA이용금액기관수</v>
          </cell>
          <cell r="L83"/>
          <cell r="M83"/>
          <cell r="N83"/>
          <cell r="O83" t="str">
            <v>삭제</v>
          </cell>
          <cell r="P83">
            <v>20200630</v>
          </cell>
          <cell r="Q83"/>
        </row>
        <row r="84">
          <cell r="B84" t="str">
            <v>A2030</v>
          </cell>
          <cell r="C84" t="str">
            <v>Numeric</v>
          </cell>
          <cell r="D84">
            <v>5</v>
          </cell>
          <cell r="E84" t="str">
            <v>연체대환대출총건수</v>
          </cell>
          <cell r="F84" t="str">
            <v>제공항목</v>
          </cell>
          <cell r="G84"/>
          <cell r="H84" t="str">
            <v>EDW(체크회원사전대상자)</v>
          </cell>
          <cell r="I84" t="str">
            <v>GEA체크회원사전대상자내역</v>
          </cell>
          <cell r="J84" t="str">
            <v>GEA체크회원사전대상자내역조회E</v>
          </cell>
          <cell r="K84" t="str">
            <v>연체대환대출건수</v>
          </cell>
          <cell r="L84"/>
          <cell r="M84"/>
          <cell r="N84"/>
          <cell r="O84" t="str">
            <v>삭제</v>
          </cell>
          <cell r="P84">
            <v>20200630</v>
          </cell>
          <cell r="Q84"/>
        </row>
        <row r="85">
          <cell r="B85" t="str">
            <v>A2031</v>
          </cell>
          <cell r="C85" t="str">
            <v>Numeric</v>
          </cell>
          <cell r="D85">
            <v>9</v>
          </cell>
          <cell r="E85" t="str">
            <v>리볼빙이용기관수</v>
          </cell>
          <cell r="F85" t="str">
            <v>제공항목</v>
          </cell>
          <cell r="G85"/>
          <cell r="H85" t="str">
            <v>EDW(체크회원사전대상자)</v>
          </cell>
          <cell r="I85" t="str">
            <v>GEA체크회원사전대상자내역</v>
          </cell>
          <cell r="J85" t="str">
            <v>GEA체크회원사전대상자내역조회E</v>
          </cell>
          <cell r="K85" t="str">
            <v>최근3개월최다리볼빙이용기관수</v>
          </cell>
          <cell r="L85"/>
          <cell r="M85"/>
          <cell r="N85"/>
          <cell r="O85" t="str">
            <v>삭제</v>
          </cell>
          <cell r="P85">
            <v>20200630</v>
          </cell>
          <cell r="Q85"/>
        </row>
        <row r="86">
          <cell r="B86" t="str">
            <v>A2032</v>
          </cell>
          <cell r="C86" t="str">
            <v>String</v>
          </cell>
          <cell r="D86">
            <v>2</v>
          </cell>
          <cell r="E86" t="str">
            <v>카드론니즈등급</v>
          </cell>
          <cell r="F86" t="str">
            <v>제공항목</v>
          </cell>
          <cell r="G86"/>
          <cell r="H86" t="str">
            <v>EDW(체크회원사전대상자)</v>
          </cell>
          <cell r="I86" t="str">
            <v>GEA체크회원사전대상자내역</v>
          </cell>
          <cell r="J86" t="str">
            <v>GEA체크회원사전대상자내역조회E</v>
          </cell>
          <cell r="K86" t="str">
            <v>사전카드론니즈등급구분코드</v>
          </cell>
          <cell r="L86"/>
          <cell r="M86"/>
          <cell r="N86"/>
          <cell r="O86" t="str">
            <v>추가</v>
          </cell>
          <cell r="P86" t="str">
            <v>20190325 문서정리작업전 기술되어있음.</v>
          </cell>
          <cell r="Q86"/>
        </row>
        <row r="87">
          <cell r="B87" t="str">
            <v>A2033</v>
          </cell>
          <cell r="C87" t="str">
            <v>String</v>
          </cell>
          <cell r="D87">
            <v>2</v>
          </cell>
          <cell r="E87" t="str">
            <v>과다채무등급</v>
          </cell>
          <cell r="F87" t="str">
            <v>제공항목</v>
          </cell>
          <cell r="G87"/>
          <cell r="H87" t="str">
            <v>EDW(체크회원사전대상자)</v>
          </cell>
          <cell r="I87" t="str">
            <v>GEA체크회원사전대상자내역</v>
          </cell>
          <cell r="J87" t="str">
            <v>GEA체크회원사전대상자내역조회E</v>
          </cell>
          <cell r="K87" t="str">
            <v>과다채무등급구분코드</v>
          </cell>
          <cell r="L87"/>
          <cell r="M87"/>
          <cell r="N87"/>
          <cell r="O87" t="str">
            <v>삭제</v>
          </cell>
          <cell r="P87">
            <v>20200630</v>
          </cell>
          <cell r="Q87"/>
        </row>
        <row r="88">
          <cell r="B88" t="str">
            <v>A2034</v>
          </cell>
          <cell r="C88" t="str">
            <v>String</v>
          </cell>
          <cell r="D88">
            <v>4</v>
          </cell>
          <cell r="E88" t="str">
            <v>서브프라임신용등급코드</v>
          </cell>
          <cell r="F88" t="str">
            <v>제공항목</v>
          </cell>
          <cell r="G88"/>
          <cell r="H88" t="str">
            <v>EDW(체크회원사전대상자)</v>
          </cell>
          <cell r="I88" t="str">
            <v>GEA체크회원사전대상자내역</v>
          </cell>
          <cell r="J88" t="str">
            <v>GEA체크회원사전대상자내역조회E</v>
          </cell>
          <cell r="K88" t="str">
            <v>서브프라임신용등급코드</v>
          </cell>
          <cell r="L88"/>
          <cell r="M88"/>
          <cell r="N88"/>
          <cell r="O88" t="str">
            <v>추가</v>
          </cell>
          <cell r="P88" t="str">
            <v>20190325 문서정리작업전 기술되어있음.</v>
          </cell>
          <cell r="Q88"/>
        </row>
        <row r="89">
          <cell r="B89" t="str">
            <v>A2035</v>
          </cell>
          <cell r="C89" t="str">
            <v>String</v>
          </cell>
          <cell r="D89">
            <v>1</v>
          </cell>
          <cell r="E89" t="str">
            <v>연합회연체등재여부</v>
          </cell>
          <cell r="F89" t="str">
            <v>제공항목</v>
          </cell>
          <cell r="G89"/>
          <cell r="H89" t="str">
            <v>EDW(체크회원사전대상자)</v>
          </cell>
          <cell r="I89" t="str">
            <v>GEA체크회원사전대상자내역</v>
          </cell>
          <cell r="J89" t="str">
            <v>GEA체크회원사전대상자내역조회E</v>
          </cell>
          <cell r="K89" t="str">
            <v>KCIS당사연체정보등재여부</v>
          </cell>
          <cell r="L89"/>
          <cell r="M89"/>
          <cell r="N89"/>
          <cell r="O89" t="str">
            <v>삭제</v>
          </cell>
          <cell r="P89">
            <v>20200630</v>
          </cell>
          <cell r="Q89"/>
        </row>
        <row r="90">
          <cell r="B90" t="str">
            <v>A2036</v>
          </cell>
          <cell r="C90" t="str">
            <v>String</v>
          </cell>
          <cell r="D90">
            <v>1</v>
          </cell>
          <cell r="E90" t="str">
            <v>KCB연체등재여부</v>
          </cell>
          <cell r="F90" t="str">
            <v>제공항목</v>
          </cell>
          <cell r="G90"/>
          <cell r="H90" t="str">
            <v>EDW(체크회원사전대상자)</v>
          </cell>
          <cell r="I90" t="str">
            <v>GEA체크회원사전대상자내역</v>
          </cell>
          <cell r="J90" t="str">
            <v>GEA체크회원사전대상자내역조회E</v>
          </cell>
          <cell r="K90" t="str">
            <v>KCB연체정보등재여부</v>
          </cell>
          <cell r="L90"/>
          <cell r="M90"/>
          <cell r="N90"/>
          <cell r="O90" t="str">
            <v>삭제</v>
          </cell>
          <cell r="P90">
            <v>20200630</v>
          </cell>
          <cell r="Q90"/>
        </row>
        <row r="91">
          <cell r="B91" t="str">
            <v>A2037</v>
          </cell>
          <cell r="C91" t="str">
            <v>String</v>
          </cell>
          <cell r="D91">
            <v>1</v>
          </cell>
          <cell r="E91" t="str">
            <v>NICE연체등재여부</v>
          </cell>
          <cell r="F91" t="str">
            <v>제공항목</v>
          </cell>
          <cell r="G91"/>
          <cell r="H91" t="str">
            <v>EDW(체크회원사전대상자)</v>
          </cell>
          <cell r="I91" t="str">
            <v>GEA체크회원사전대상자내역</v>
          </cell>
          <cell r="J91" t="str">
            <v>GEA체크회원사전대상자내역조회E</v>
          </cell>
          <cell r="K91" t="str">
            <v>NICE연체정보등재여부</v>
          </cell>
          <cell r="L91"/>
          <cell r="M91"/>
          <cell r="N91"/>
          <cell r="O91" t="str">
            <v>삭제</v>
          </cell>
          <cell r="P91">
            <v>20200630</v>
          </cell>
          <cell r="Q91"/>
        </row>
        <row r="92">
          <cell r="B92" t="str">
            <v>A2038</v>
          </cell>
          <cell r="C92" t="str">
            <v>String</v>
          </cell>
          <cell r="D92">
            <v>1</v>
          </cell>
          <cell r="E92" t="str">
            <v>KCB연체이력여부</v>
          </cell>
          <cell r="F92" t="str">
            <v>제공항목</v>
          </cell>
          <cell r="G92"/>
          <cell r="H92" t="str">
            <v>EDW(체크회원사전대상자)</v>
          </cell>
          <cell r="I92" t="str">
            <v>GEA체크회원사전대상자내역</v>
          </cell>
          <cell r="J92" t="str">
            <v>GEA체크회원사전대상자내역조회E</v>
          </cell>
          <cell r="K92" t="str">
            <v>KCB연체이력유무</v>
          </cell>
          <cell r="L92"/>
          <cell r="M92"/>
          <cell r="N92"/>
          <cell r="O92" t="str">
            <v>삭제</v>
          </cell>
          <cell r="P92">
            <v>20200630</v>
          </cell>
          <cell r="Q92"/>
        </row>
        <row r="93">
          <cell r="B93" t="str">
            <v>A2039</v>
          </cell>
          <cell r="C93" t="str">
            <v>String</v>
          </cell>
          <cell r="D93">
            <v>1</v>
          </cell>
          <cell r="E93" t="str">
            <v>NICE연체이력여부</v>
          </cell>
          <cell r="F93" t="str">
            <v>제공항목</v>
          </cell>
          <cell r="G93"/>
          <cell r="H93" t="str">
            <v>EDW(체크회원사전대상자)</v>
          </cell>
          <cell r="I93" t="str">
            <v>GEA체크회원사전대상자내역</v>
          </cell>
          <cell r="J93" t="str">
            <v>GEA체크회원사전대상자내역조회E</v>
          </cell>
          <cell r="K93" t="str">
            <v>NICE연체이력유무</v>
          </cell>
          <cell r="L93"/>
          <cell r="M93"/>
          <cell r="N93"/>
          <cell r="O93" t="str">
            <v>삭제</v>
          </cell>
          <cell r="P93">
            <v>20200630</v>
          </cell>
          <cell r="Q93"/>
        </row>
        <row r="94">
          <cell r="B94" t="str">
            <v>A2040</v>
          </cell>
          <cell r="C94" t="str">
            <v>String</v>
          </cell>
          <cell r="D94">
            <v>1</v>
          </cell>
          <cell r="E94" t="str">
            <v>불량정보보유여부</v>
          </cell>
          <cell r="F94" t="str">
            <v>제공항목</v>
          </cell>
          <cell r="G94"/>
          <cell r="H94" t="str">
            <v>EDW(체크회원사전대상자)</v>
          </cell>
          <cell r="I94" t="str">
            <v>GEA체크회원사전대상자내역</v>
          </cell>
          <cell r="J94" t="str">
            <v>GEA체크회원사전대상자내역조회E</v>
          </cell>
          <cell r="K94" t="str">
            <v>불량정보등재여부</v>
          </cell>
          <cell r="L94"/>
          <cell r="M94"/>
          <cell r="N94"/>
          <cell r="O94" t="str">
            <v>삭제</v>
          </cell>
          <cell r="P94">
            <v>20200630</v>
          </cell>
          <cell r="Q94"/>
        </row>
        <row r="95">
          <cell r="B95" t="str">
            <v>A2041</v>
          </cell>
          <cell r="C95" t="str">
            <v>String</v>
          </cell>
          <cell r="D95">
            <v>1</v>
          </cell>
          <cell r="E95" t="str">
            <v>연합회불량정보등록여부</v>
          </cell>
          <cell r="F95" t="str">
            <v>제공항목</v>
          </cell>
          <cell r="G95"/>
          <cell r="H95" t="str">
            <v>EDW(체크회원사전대상자)</v>
          </cell>
          <cell r="I95" t="str">
            <v>GEA체크회원사전대상자내역</v>
          </cell>
          <cell r="J95" t="str">
            <v>GEA체크회원사전대상자내역조회E</v>
          </cell>
          <cell r="K95" t="str">
            <v>KCIS불량정보등재여부</v>
          </cell>
          <cell r="L95"/>
          <cell r="M95"/>
          <cell r="N95"/>
          <cell r="O95" t="str">
            <v>삭제</v>
          </cell>
          <cell r="P95">
            <v>20200630</v>
          </cell>
          <cell r="Q95"/>
        </row>
        <row r="96">
          <cell r="B96" t="str">
            <v>A2042</v>
          </cell>
          <cell r="C96" t="str">
            <v>String</v>
          </cell>
          <cell r="D96">
            <v>4</v>
          </cell>
          <cell r="E96" t="str">
            <v>PI신용등급코드</v>
          </cell>
          <cell r="F96" t="str">
            <v>제공항목</v>
          </cell>
          <cell r="G96"/>
          <cell r="H96" t="str">
            <v>EDW(체크회원사전대상자)</v>
          </cell>
          <cell r="I96" t="str">
            <v>GEA체크회원사전대상자내역</v>
          </cell>
          <cell r="J96" t="str">
            <v>GEA체크회원사전대상자내역조회E</v>
          </cell>
          <cell r="K96" t="str">
            <v>PI신용등급코드</v>
          </cell>
          <cell r="L96"/>
          <cell r="M96"/>
          <cell r="N96"/>
          <cell r="O96" t="str">
            <v>삭제</v>
          </cell>
          <cell r="P96">
            <v>20200630</v>
          </cell>
          <cell r="Q96"/>
        </row>
        <row r="97">
          <cell r="B97" t="str">
            <v>A2043</v>
          </cell>
          <cell r="C97" t="str">
            <v>String</v>
          </cell>
          <cell r="D97">
            <v>2</v>
          </cell>
          <cell r="E97" t="str">
            <v>최저가맹점주등급</v>
          </cell>
          <cell r="F97" t="str">
            <v>제공항목</v>
          </cell>
          <cell r="G97"/>
          <cell r="H97" t="str">
            <v>EDW(체크회원사전대상자)</v>
          </cell>
          <cell r="I97" t="str">
            <v>GEA체크회원사전대상자내역</v>
          </cell>
          <cell r="J97" t="str">
            <v>GEA체크회원사전대상자내역조회E</v>
          </cell>
          <cell r="K97" t="str">
            <v>가맹점등급구분코드</v>
          </cell>
          <cell r="L97"/>
          <cell r="M97"/>
          <cell r="N97"/>
          <cell r="O97" t="str">
            <v>삭제</v>
          </cell>
          <cell r="P97">
            <v>20200630</v>
          </cell>
          <cell r="Q97"/>
        </row>
        <row r="98">
          <cell r="B98" t="str">
            <v>A2044</v>
          </cell>
          <cell r="C98" t="str">
            <v>Numeric</v>
          </cell>
          <cell r="D98">
            <v>5</v>
          </cell>
          <cell r="E98" t="str">
            <v>체크BS평점</v>
          </cell>
          <cell r="F98" t="str">
            <v>제공항목</v>
          </cell>
          <cell r="G98"/>
          <cell r="H98" t="str">
            <v>EDW(체크회원사전대상자)</v>
          </cell>
          <cell r="I98" t="str">
            <v>GEA체크회원사전대상자내역</v>
          </cell>
          <cell r="J98" t="str">
            <v>GEA체크회원사전대상자내역조회E</v>
          </cell>
          <cell r="K98" t="str">
            <v>체크카드회원BSS평점</v>
          </cell>
          <cell r="L98"/>
          <cell r="M98"/>
          <cell r="N98"/>
          <cell r="O98" t="str">
            <v>삭제</v>
          </cell>
          <cell r="P98">
            <v>20200630</v>
          </cell>
          <cell r="Q98"/>
        </row>
        <row r="99">
          <cell r="B99" t="str">
            <v>A2045</v>
          </cell>
          <cell r="C99" t="str">
            <v>String</v>
          </cell>
          <cell r="D99">
            <v>2</v>
          </cell>
          <cell r="E99" t="str">
            <v>체크BS등급</v>
          </cell>
          <cell r="F99" t="str">
            <v>제공항목</v>
          </cell>
          <cell r="G99"/>
          <cell r="H99" t="str">
            <v>EDW(체크회원사전대상자)</v>
          </cell>
          <cell r="I99" t="str">
            <v>GEA체크회원사전대상자내역</v>
          </cell>
          <cell r="J99" t="str">
            <v>GEA체크회원사전대상자내역조회E</v>
          </cell>
          <cell r="K99" t="str">
            <v>체크BSS등급구분코드</v>
          </cell>
          <cell r="L99"/>
          <cell r="M99"/>
          <cell r="N99"/>
          <cell r="O99" t="str">
            <v>삭제</v>
          </cell>
          <cell r="P99">
            <v>20200630</v>
          </cell>
          <cell r="Q99"/>
        </row>
        <row r="100">
          <cell r="B100" t="str">
            <v>A2046</v>
          </cell>
          <cell r="C100" t="str">
            <v>Numeric</v>
          </cell>
          <cell r="D100">
            <v>5</v>
          </cell>
          <cell r="E100" t="str">
            <v>KCB신용평점</v>
          </cell>
          <cell r="F100" t="str">
            <v>제공항목</v>
          </cell>
          <cell r="G100"/>
          <cell r="H100" t="str">
            <v>EDW(체크회원사전대상자)</v>
          </cell>
          <cell r="I100" t="str">
            <v>GEA체크회원사전대상자내역</v>
          </cell>
          <cell r="J100" t="str">
            <v>GEA체크회원사전대상자내역조회E</v>
          </cell>
          <cell r="K100" t="str">
            <v>KCB신용평점</v>
          </cell>
          <cell r="L100"/>
          <cell r="M100"/>
          <cell r="N100"/>
          <cell r="O100" t="str">
            <v>추가</v>
          </cell>
          <cell r="P100" t="str">
            <v>20190325 문서정리작업전 기술되어있음.</v>
          </cell>
          <cell r="Q100"/>
        </row>
        <row r="101">
          <cell r="B101" t="str">
            <v>A2047</v>
          </cell>
          <cell r="C101" t="str">
            <v>String</v>
          </cell>
          <cell r="D101">
            <v>4</v>
          </cell>
          <cell r="E101" t="str">
            <v>KCB신용등급코드</v>
          </cell>
          <cell r="F101" t="str">
            <v>제공항목</v>
          </cell>
          <cell r="G101"/>
          <cell r="H101" t="str">
            <v>EDW(체크회원사전대상자)</v>
          </cell>
          <cell r="I101" t="str">
            <v>GEA체크회원사전대상자내역</v>
          </cell>
          <cell r="J101" t="str">
            <v>GEA체크회원사전대상자내역조회E</v>
          </cell>
          <cell r="K101" t="str">
            <v>K스코어신용등급코드</v>
          </cell>
          <cell r="L101"/>
          <cell r="M101"/>
          <cell r="N101"/>
          <cell r="O101" t="str">
            <v>추가</v>
          </cell>
          <cell r="P101" t="str">
            <v>20190325 문서정리작업전 기술되어있음.</v>
          </cell>
          <cell r="Q101"/>
        </row>
        <row r="102">
          <cell r="B102" t="str">
            <v>A2048</v>
          </cell>
          <cell r="C102" t="str">
            <v>Numeric</v>
          </cell>
          <cell r="D102">
            <v>5</v>
          </cell>
          <cell r="E102" t="str">
            <v>NICE신용평점</v>
          </cell>
          <cell r="F102" t="str">
            <v>제공항목</v>
          </cell>
          <cell r="G102"/>
          <cell r="H102" t="str">
            <v>EDW(체크회원사전대상자)</v>
          </cell>
          <cell r="I102" t="str">
            <v>GEA체크회원사전대상자내역</v>
          </cell>
          <cell r="J102" t="str">
            <v>GEA체크회원사전대상자내역조회E</v>
          </cell>
          <cell r="K102" t="str">
            <v>NICE신용평점</v>
          </cell>
          <cell r="L102"/>
          <cell r="M102"/>
          <cell r="N102"/>
          <cell r="O102" t="str">
            <v>추가</v>
          </cell>
          <cell r="P102" t="str">
            <v>20190325 문서정리작업전 기술되어있음.</v>
          </cell>
          <cell r="Q102"/>
        </row>
        <row r="103">
          <cell r="B103" t="str">
            <v>A2049</v>
          </cell>
          <cell r="C103" t="str">
            <v>String</v>
          </cell>
          <cell r="D103">
            <v>4</v>
          </cell>
          <cell r="E103" t="str">
            <v>NICE신용등급코드</v>
          </cell>
          <cell r="F103" t="str">
            <v>제공항목</v>
          </cell>
          <cell r="G103"/>
          <cell r="H103" t="str">
            <v>EDW(체크회원사전대상자)</v>
          </cell>
          <cell r="I103" t="str">
            <v>GEA체크회원사전대상자내역</v>
          </cell>
          <cell r="J103" t="str">
            <v>GEA체크회원사전대상자내역조회E</v>
          </cell>
          <cell r="K103" t="str">
            <v>NICE신용등급구분코드</v>
          </cell>
          <cell r="L103"/>
          <cell r="M103"/>
          <cell r="N103"/>
          <cell r="O103" t="str">
            <v>추가</v>
          </cell>
          <cell r="P103" t="str">
            <v>20190325 문서정리작업전 기술되어있음.</v>
          </cell>
          <cell r="Q103"/>
        </row>
        <row r="104">
          <cell r="B104" t="str">
            <v>A2050</v>
          </cell>
          <cell r="C104" t="str">
            <v>String</v>
          </cell>
          <cell r="D104">
            <v>2</v>
          </cell>
          <cell r="E104" t="str">
            <v>최고CB등급</v>
          </cell>
          <cell r="F104" t="str">
            <v>제공항목</v>
          </cell>
          <cell r="G104"/>
          <cell r="H104" t="str">
            <v>EDW(체크회원사전대상자)</v>
          </cell>
          <cell r="I104" t="str">
            <v>GEA체크회원사전대상자내역</v>
          </cell>
          <cell r="J104" t="str">
            <v>GEA체크회원사전대상자내역조회E</v>
          </cell>
          <cell r="K104" t="str">
            <v>최고CB등급구분코드</v>
          </cell>
          <cell r="L104"/>
          <cell r="M104"/>
          <cell r="N104"/>
          <cell r="O104" t="str">
            <v>삭제</v>
          </cell>
          <cell r="P104">
            <v>20200630</v>
          </cell>
          <cell r="Q104"/>
        </row>
        <row r="105">
          <cell r="B105" t="str">
            <v>A2051</v>
          </cell>
          <cell r="C105" t="str">
            <v>String</v>
          </cell>
          <cell r="D105">
            <v>2</v>
          </cell>
          <cell r="E105" t="str">
            <v>최저CB등급</v>
          </cell>
          <cell r="F105" t="str">
            <v>제공항목</v>
          </cell>
          <cell r="G105"/>
          <cell r="H105" t="str">
            <v>EDW(체크회원사전대상자)</v>
          </cell>
          <cell r="I105" t="str">
            <v>GEA체크회원사전대상자내역</v>
          </cell>
          <cell r="J105" t="str">
            <v>GEA체크회원사전대상자내역조회E</v>
          </cell>
          <cell r="K105" t="str">
            <v>최저CB등급구분코드</v>
          </cell>
          <cell r="L105"/>
          <cell r="M105"/>
          <cell r="N105"/>
          <cell r="O105" t="str">
            <v>삭제</v>
          </cell>
          <cell r="P105">
            <v>20200630</v>
          </cell>
          <cell r="Q105"/>
        </row>
        <row r="106">
          <cell r="B106" t="str">
            <v>A2052</v>
          </cell>
          <cell r="C106" t="str">
            <v>String</v>
          </cell>
          <cell r="D106">
            <v>2</v>
          </cell>
          <cell r="E106" t="str">
            <v>신용등급세그먼트구분</v>
          </cell>
          <cell r="F106" t="str">
            <v>제공항목</v>
          </cell>
          <cell r="G106"/>
          <cell r="H106" t="str">
            <v>EDW(체크회원사전대상자)</v>
          </cell>
          <cell r="I106" t="str">
            <v>GEA체크회원사전대상자내역</v>
          </cell>
          <cell r="J106" t="str">
            <v>GEA체크회원사전대상자내역조회E</v>
          </cell>
          <cell r="K106" t="str">
            <v>신용등급세그먼트구분코드</v>
          </cell>
          <cell r="L106"/>
          <cell r="M106"/>
          <cell r="N106"/>
          <cell r="O106"/>
          <cell r="P106"/>
          <cell r="Q106"/>
        </row>
        <row r="107">
          <cell r="B107" t="str">
            <v>A2053</v>
          </cell>
          <cell r="C107" t="str">
            <v>Numeric</v>
          </cell>
          <cell r="D107">
            <v>5</v>
          </cell>
          <cell r="E107" t="str">
            <v>최장대출기간월수</v>
          </cell>
          <cell r="F107" t="str">
            <v>제공항목</v>
          </cell>
          <cell r="G107"/>
          <cell r="H107" t="str">
            <v>EDW(체크회원사전대상자)</v>
          </cell>
          <cell r="I107" t="str">
            <v>GEA체크회원사전대상자내역</v>
          </cell>
          <cell r="J107" t="str">
            <v>GEA체크회원사전대상자내역조회E</v>
          </cell>
          <cell r="K107" t="str">
            <v>이지론플러스분할상환대출기간수</v>
          </cell>
          <cell r="L107"/>
          <cell r="M107"/>
          <cell r="N107"/>
          <cell r="O107"/>
          <cell r="P107"/>
          <cell r="Q107"/>
        </row>
        <row r="108">
          <cell r="B108" t="str">
            <v>A2054</v>
          </cell>
          <cell r="C108" t="str">
            <v>Numeric</v>
          </cell>
          <cell r="D108">
            <v>5</v>
          </cell>
          <cell r="E108" t="str">
            <v>최장거치개월수</v>
          </cell>
          <cell r="F108" t="str">
            <v>제공항목</v>
          </cell>
          <cell r="G108"/>
          <cell r="H108" t="str">
            <v>EDW(체크회원사전대상자)</v>
          </cell>
          <cell r="I108" t="str">
            <v>GEA체크회원사전대상자내역</v>
          </cell>
          <cell r="J108" t="str">
            <v>GEA체크회원사전대상자내역조회E</v>
          </cell>
          <cell r="K108" t="str">
            <v>이지론플러스거치기간수</v>
          </cell>
          <cell r="L108"/>
          <cell r="M108"/>
          <cell r="N108"/>
          <cell r="O108"/>
          <cell r="P108"/>
          <cell r="Q108"/>
        </row>
        <row r="109">
          <cell r="B109" t="str">
            <v>A2055</v>
          </cell>
          <cell r="C109" t="str">
            <v>Numeric</v>
          </cell>
          <cell r="D109">
            <v>5</v>
          </cell>
          <cell r="E109" t="str">
            <v>대출가능금액기준기간월수</v>
          </cell>
          <cell r="F109" t="str">
            <v>제공항목</v>
          </cell>
          <cell r="G109"/>
          <cell r="H109" t="str">
            <v>EDW(체크회원사전대상자)</v>
          </cell>
          <cell r="I109" t="str">
            <v>GEA체크회원사전대상자내역</v>
          </cell>
          <cell r="J109" t="str">
            <v>GEA체크회원사전대상자내역조회E</v>
          </cell>
          <cell r="K109" t="str">
            <v>대출가능금액기준기간월수</v>
          </cell>
          <cell r="L109"/>
          <cell r="M109"/>
          <cell r="N109"/>
          <cell r="O109" t="str">
            <v>삭제</v>
          </cell>
          <cell r="P109">
            <v>20200630</v>
          </cell>
          <cell r="Q109"/>
        </row>
        <row r="110">
          <cell r="B110" t="str">
            <v>A2056</v>
          </cell>
          <cell r="C110" t="str">
            <v>String</v>
          </cell>
          <cell r="D110">
            <v>9</v>
          </cell>
          <cell r="E110" t="str">
            <v>KCB직업정보코드</v>
          </cell>
          <cell r="F110" t="str">
            <v>제공항목</v>
          </cell>
          <cell r="G110"/>
          <cell r="H110" t="str">
            <v>EDW(체크회원사전대상자)</v>
          </cell>
          <cell r="I110" t="str">
            <v>GEA체크회원사전대상자내역</v>
          </cell>
          <cell r="J110" t="str">
            <v>GEA체크회원사전대상자내역조회E</v>
          </cell>
          <cell r="K110" t="str">
            <v>KCB직업직위코드</v>
          </cell>
          <cell r="L110"/>
          <cell r="M110"/>
          <cell r="N110"/>
          <cell r="O110" t="str">
            <v>추가</v>
          </cell>
          <cell r="P110" t="str">
            <v>20190325 문서정리작업전 기술되어있음.</v>
          </cell>
          <cell r="Q110"/>
        </row>
        <row r="111">
          <cell r="B111" t="str">
            <v>A2057</v>
          </cell>
          <cell r="C111" t="str">
            <v>String</v>
          </cell>
          <cell r="D111">
            <v>1</v>
          </cell>
          <cell r="E111" t="str">
            <v>KCB우량직업군여부</v>
          </cell>
          <cell r="F111" t="str">
            <v>제공항목</v>
          </cell>
          <cell r="G111"/>
          <cell r="H111" t="str">
            <v>EDW(체크회원사전대상자)</v>
          </cell>
          <cell r="I111" t="str">
            <v>GEA체크회원사전대상자내역</v>
          </cell>
          <cell r="J111" t="str">
            <v>GEA체크회원사전대상자내역조회E</v>
          </cell>
          <cell r="K111" t="str">
            <v>KCB우량직업군여부</v>
          </cell>
          <cell r="L111"/>
          <cell r="M111"/>
          <cell r="N111"/>
          <cell r="O111" t="str">
            <v>추가</v>
          </cell>
          <cell r="P111" t="str">
            <v>20190325 문서정리작업전 기술되어있음.</v>
          </cell>
          <cell r="Q111"/>
        </row>
        <row r="112">
          <cell r="B112" t="str">
            <v>A2058</v>
          </cell>
          <cell r="C112" t="str">
            <v>String</v>
          </cell>
          <cell r="D112">
            <v>1</v>
          </cell>
          <cell r="E112" t="str">
            <v>우량가맹점주여부</v>
          </cell>
          <cell r="F112" t="str">
            <v>제공항목</v>
          </cell>
          <cell r="G112"/>
          <cell r="H112" t="str">
            <v>EDW(체크회원사전대상자)</v>
          </cell>
          <cell r="I112" t="str">
            <v>GEA체크회원사전대상자내역</v>
          </cell>
          <cell r="J112" t="str">
            <v>GEA체크회원사전대상자내역조회E</v>
          </cell>
          <cell r="K112" t="str">
            <v>우량가맹점주여부</v>
          </cell>
          <cell r="L112"/>
          <cell r="M112"/>
          <cell r="N112"/>
          <cell r="O112" t="str">
            <v>삭제</v>
          </cell>
          <cell r="P112">
            <v>20200630</v>
          </cell>
          <cell r="Q112"/>
        </row>
        <row r="113">
          <cell r="B113" t="str">
            <v>A2059</v>
          </cell>
          <cell r="C113" t="str">
            <v>String</v>
          </cell>
          <cell r="D113">
            <v>1</v>
          </cell>
          <cell r="E113" t="str">
            <v>전략세그먼트등급</v>
          </cell>
          <cell r="F113" t="str">
            <v>제공항목</v>
          </cell>
          <cell r="G113"/>
          <cell r="H113" t="str">
            <v>EDW(체크회원사전대상자)</v>
          </cell>
          <cell r="I113" t="str">
            <v>GEA체크회원사전대상자내역</v>
          </cell>
          <cell r="J113" t="str">
            <v>GEA체크회원사전대상자내역조회E</v>
          </cell>
          <cell r="K113" t="str">
            <v>전략세그먼트등급구분코드</v>
          </cell>
          <cell r="L113"/>
          <cell r="M113"/>
          <cell r="N113"/>
          <cell r="O113" t="str">
            <v>삭제</v>
          </cell>
          <cell r="P113">
            <v>20200630</v>
          </cell>
          <cell r="Q113"/>
        </row>
        <row r="114">
          <cell r="B114" t="str">
            <v>A2060</v>
          </cell>
          <cell r="C114" t="str">
            <v>Numeric</v>
          </cell>
          <cell r="D114">
            <v>15</v>
          </cell>
          <cell r="E114" t="str">
            <v>세그먼트최고대출가능금액</v>
          </cell>
          <cell r="F114" t="str">
            <v>제공항목</v>
          </cell>
          <cell r="G114"/>
          <cell r="H114" t="str">
            <v>EDW(체크회원사전대상자)</v>
          </cell>
          <cell r="I114" t="str">
            <v>GEA체크회원사전대상자내역</v>
          </cell>
          <cell r="J114" t="str">
            <v>GEA체크회원사전대상자내역조회E</v>
          </cell>
          <cell r="K114" t="str">
            <v>이지론플러스세그먼트한도금액</v>
          </cell>
          <cell r="L114"/>
          <cell r="M114"/>
          <cell r="N114"/>
          <cell r="O114"/>
          <cell r="P114"/>
          <cell r="Q114"/>
        </row>
        <row r="115">
          <cell r="B115" t="str">
            <v>A2061</v>
          </cell>
          <cell r="C115" t="str">
            <v>Numeric</v>
          </cell>
          <cell r="D115">
            <v>15</v>
          </cell>
          <cell r="E115" t="str">
            <v>연령최고대출가능금액</v>
          </cell>
          <cell r="F115" t="str">
            <v>제공항목</v>
          </cell>
          <cell r="G115"/>
          <cell r="H115" t="str">
            <v>EDW(체크회원사전대상자)</v>
          </cell>
          <cell r="I115" t="str">
            <v>GEA체크회원사전대상자내역</v>
          </cell>
          <cell r="J115" t="str">
            <v>GEA체크회원사전대상자내역조회E</v>
          </cell>
          <cell r="K115" t="str">
            <v>연령최대대출가능금액</v>
          </cell>
          <cell r="L115"/>
          <cell r="M115"/>
          <cell r="N115"/>
          <cell r="O115" t="str">
            <v>추가</v>
          </cell>
          <cell r="P115" t="str">
            <v>20190325 문서정리작업전 기술되어있음.</v>
          </cell>
          <cell r="Q115"/>
        </row>
        <row r="116">
          <cell r="B116" t="str">
            <v>A2062</v>
          </cell>
          <cell r="C116" t="str">
            <v>Numeric</v>
          </cell>
          <cell r="D116">
            <v>15</v>
          </cell>
          <cell r="E116" t="str">
            <v>DTI율가이드금액</v>
          </cell>
          <cell r="F116" t="str">
            <v>제공항목</v>
          </cell>
          <cell r="G116"/>
          <cell r="H116" t="str">
            <v>EDW(체크회원사전대상자)</v>
          </cell>
          <cell r="I116" t="str">
            <v>GEA체크회원사전대상자내역</v>
          </cell>
          <cell r="J116" t="str">
            <v>GEA체크회원사전대상자내역조회E</v>
          </cell>
          <cell r="K116" t="str">
            <v>DTI가이드금액</v>
          </cell>
          <cell r="L116"/>
          <cell r="M116"/>
          <cell r="N116"/>
          <cell r="O116" t="str">
            <v>추가</v>
          </cell>
          <cell r="P116" t="str">
            <v>20190325 문서정리작업전 기술되어있음.</v>
          </cell>
          <cell r="Q116"/>
        </row>
        <row r="117">
          <cell r="B117" t="str">
            <v>A2063</v>
          </cell>
          <cell r="C117" t="str">
            <v>Numeric</v>
          </cell>
          <cell r="D117">
            <v>15</v>
          </cell>
          <cell r="E117" t="str">
            <v>DTI율가이드적용금액</v>
          </cell>
          <cell r="F117" t="str">
            <v>제공항목</v>
          </cell>
          <cell r="G117"/>
          <cell r="H117" t="str">
            <v>EDW(체크회원사전대상자)</v>
          </cell>
          <cell r="I117" t="str">
            <v>GEA체크회원사전대상자내역</v>
          </cell>
          <cell r="J117" t="str">
            <v>GEA체크회원사전대상자내역조회E</v>
          </cell>
          <cell r="K117" t="str">
            <v>DTI가이드캡적용금액</v>
          </cell>
          <cell r="L117"/>
          <cell r="M117"/>
          <cell r="N117"/>
          <cell r="O117"/>
          <cell r="P117"/>
          <cell r="Q117"/>
        </row>
        <row r="118">
          <cell r="B118" t="str">
            <v>A2064</v>
          </cell>
          <cell r="C118" t="str">
            <v>Numeric</v>
          </cell>
          <cell r="D118">
            <v>15</v>
          </cell>
          <cell r="E118" t="str">
            <v>예비대출가능금액</v>
          </cell>
          <cell r="F118" t="str">
            <v>제공항목</v>
          </cell>
          <cell r="G118"/>
          <cell r="H118" t="str">
            <v>EDW(체크회원사전대상자)</v>
          </cell>
          <cell r="I118" t="str">
            <v>GEA체크회원사전대상자내역</v>
          </cell>
          <cell r="J118" t="str">
            <v>GEA체크회원사전대상자내역조회E</v>
          </cell>
          <cell r="K118" t="str">
            <v>예비한도금액</v>
          </cell>
          <cell r="L118"/>
          <cell r="M118"/>
          <cell r="N118"/>
          <cell r="O118" t="str">
            <v>추가</v>
          </cell>
          <cell r="P118" t="str">
            <v>20190325 문서정리작업전 기술되어있음.</v>
          </cell>
          <cell r="Q118"/>
        </row>
        <row r="119">
          <cell r="B119" t="str">
            <v>A2065</v>
          </cell>
          <cell r="C119" t="str">
            <v>Numeric</v>
          </cell>
          <cell r="D119">
            <v>15</v>
          </cell>
          <cell r="E119" t="str">
            <v>최종대출가능금액</v>
          </cell>
          <cell r="F119" t="str">
            <v>제공항목</v>
          </cell>
          <cell r="G119"/>
          <cell r="H119" t="str">
            <v>EDW(체크회원사전대상자)</v>
          </cell>
          <cell r="I119" t="str">
            <v>GEA체크회원사전대상자내역</v>
          </cell>
          <cell r="J119" t="str">
            <v>GEA체크회원사전대상자내역조회E</v>
          </cell>
          <cell r="K119" t="str">
            <v>이지론플러스한도금액</v>
          </cell>
          <cell r="L119"/>
          <cell r="M119"/>
          <cell r="N119"/>
          <cell r="O119"/>
          <cell r="P119"/>
          <cell r="Q119"/>
        </row>
        <row r="120">
          <cell r="B120" t="str">
            <v>A2066</v>
          </cell>
          <cell r="C120" t="str">
            <v>Numeric</v>
          </cell>
          <cell r="D120">
            <v>15</v>
          </cell>
          <cell r="E120" t="str">
            <v>비회원신용대출잔액</v>
          </cell>
          <cell r="F120" t="str">
            <v>제공항목</v>
          </cell>
          <cell r="G120"/>
          <cell r="H120" t="str">
            <v>EDW(체크회원사전대상자)</v>
          </cell>
          <cell r="I120" t="str">
            <v>GEA체크회원사전대상자내역</v>
          </cell>
          <cell r="J120" t="str">
            <v>GEA체크회원사전대상자내역조회E</v>
          </cell>
          <cell r="K120" t="str">
            <v>비회원신용대출잔액</v>
          </cell>
          <cell r="L120"/>
          <cell r="M120"/>
          <cell r="N120"/>
          <cell r="O120" t="str">
            <v>삭제</v>
          </cell>
          <cell r="P120">
            <v>20200630</v>
          </cell>
          <cell r="Q120"/>
        </row>
        <row r="121">
          <cell r="B121" t="str">
            <v>A2067</v>
          </cell>
          <cell r="C121" t="str">
            <v>String</v>
          </cell>
          <cell r="D121">
            <v>1</v>
          </cell>
          <cell r="E121" t="str">
            <v>타사신용카드보유여부</v>
          </cell>
          <cell r="F121" t="str">
            <v>제공항목</v>
          </cell>
          <cell r="G121"/>
          <cell r="H121" t="str">
            <v>EDW(체크회원사전대상자)</v>
          </cell>
          <cell r="I121" t="str">
            <v>GEA체크회원사전대상자내역</v>
          </cell>
          <cell r="J121" t="str">
            <v>GEA체크회원사전대상자내역조회E</v>
          </cell>
          <cell r="K121" t="str">
            <v>타사신용카드보유여부</v>
          </cell>
          <cell r="L121"/>
          <cell r="M121"/>
          <cell r="N121"/>
          <cell r="O121" t="str">
            <v>추가</v>
          </cell>
          <cell r="P121" t="str">
            <v>20190325 문서정리작업전 기술되어있음.</v>
          </cell>
          <cell r="Q121"/>
        </row>
        <row r="122">
          <cell r="B122" t="str">
            <v>A2068</v>
          </cell>
          <cell r="C122" t="str">
            <v>String</v>
          </cell>
          <cell r="D122">
            <v>2</v>
          </cell>
          <cell r="E122" t="str">
            <v>KCB소득구분</v>
          </cell>
          <cell r="F122" t="str">
            <v>제공항목</v>
          </cell>
          <cell r="G122"/>
          <cell r="H122" t="str">
            <v>EDW(체크회원사전대상자)</v>
          </cell>
          <cell r="I122" t="str">
            <v>GEA체크회원사전대상자내역</v>
          </cell>
          <cell r="J122" t="str">
            <v>GEA체크회원사전대상자내역조회E</v>
          </cell>
          <cell r="K122" t="str">
            <v>KCB소득구분코드</v>
          </cell>
          <cell r="L122"/>
          <cell r="M122"/>
          <cell r="N122"/>
          <cell r="O122" t="str">
            <v>삭제</v>
          </cell>
          <cell r="P122">
            <v>20200630</v>
          </cell>
          <cell r="Q122"/>
        </row>
        <row r="123">
          <cell r="B123" t="str">
            <v>A2069</v>
          </cell>
          <cell r="C123" t="str">
            <v>String</v>
          </cell>
          <cell r="D123">
            <v>1</v>
          </cell>
          <cell r="E123" t="str">
            <v>NICE주거우량여부</v>
          </cell>
          <cell r="F123" t="str">
            <v>제공항목</v>
          </cell>
          <cell r="G123"/>
          <cell r="H123" t="str">
            <v>EDW(체크회원사전대상자)</v>
          </cell>
          <cell r="I123" t="str">
            <v>GEA체크회원사전대상자내역</v>
          </cell>
          <cell r="J123" t="str">
            <v>GEA체크회원사전대상자내역조회E</v>
          </cell>
          <cell r="K123" t="str">
            <v>NICE주거우량여부</v>
          </cell>
          <cell r="L123"/>
          <cell r="M123"/>
          <cell r="N123"/>
          <cell r="O123" t="str">
            <v>삭제</v>
          </cell>
          <cell r="P123">
            <v>20200630</v>
          </cell>
          <cell r="Q123"/>
        </row>
        <row r="124">
          <cell r="B124" t="str">
            <v>A2070</v>
          </cell>
          <cell r="C124" t="str">
            <v>String</v>
          </cell>
          <cell r="D124">
            <v>1</v>
          </cell>
          <cell r="E124" t="str">
            <v>NICE직업우량여부</v>
          </cell>
          <cell r="F124" t="str">
            <v>제공항목</v>
          </cell>
          <cell r="G124"/>
          <cell r="H124" t="str">
            <v>EDW(체크회원사전대상자)</v>
          </cell>
          <cell r="I124" t="str">
            <v>GEA체크회원사전대상자내역</v>
          </cell>
          <cell r="J124" t="str">
            <v>GEA체크회원사전대상자내역조회E</v>
          </cell>
          <cell r="K124" t="str">
            <v>NICE직업우량여부</v>
          </cell>
          <cell r="L124"/>
          <cell r="M124"/>
          <cell r="N124"/>
          <cell r="O124"/>
          <cell r="P124"/>
          <cell r="Q124" t="str">
            <v>필수</v>
          </cell>
        </row>
        <row r="125">
          <cell r="B125" t="str">
            <v>A2071</v>
          </cell>
          <cell r="C125" t="str">
            <v>String</v>
          </cell>
          <cell r="D125">
            <v>1</v>
          </cell>
          <cell r="E125" t="str">
            <v>고위험지역군여부</v>
          </cell>
          <cell r="F125" t="str">
            <v>제공항목</v>
          </cell>
          <cell r="G125"/>
          <cell r="H125" t="str">
            <v>EDW(체크회원사전대상자)</v>
          </cell>
          <cell r="I125" t="str">
            <v>GEA체크회원사전대상자내역</v>
          </cell>
          <cell r="J125" t="str">
            <v>GEA체크회원사전대상자내역조회E</v>
          </cell>
          <cell r="K125" t="str">
            <v>고위험지역군가맹점보유여부</v>
          </cell>
          <cell r="L125"/>
          <cell r="M125"/>
          <cell r="N125"/>
          <cell r="O125" t="str">
            <v>삭제</v>
          </cell>
          <cell r="P125">
            <v>20200630</v>
          </cell>
          <cell r="Q125"/>
        </row>
        <row r="126">
          <cell r="B126" t="str">
            <v>A2072</v>
          </cell>
          <cell r="C126" t="str">
            <v>String</v>
          </cell>
          <cell r="D126">
            <v>10</v>
          </cell>
          <cell r="E126" t="str">
            <v>미래상환능력지수내용</v>
          </cell>
          <cell r="F126" t="str">
            <v>제공항목</v>
          </cell>
          <cell r="G126"/>
          <cell r="H126" t="str">
            <v>EDW(체크회원사전대상자)</v>
          </cell>
          <cell r="I126" t="str">
            <v>GEA체크회원사전대상자내역</v>
          </cell>
          <cell r="J126" t="str">
            <v>GEA체크회원사전대상자내역조회E</v>
          </cell>
          <cell r="K126" t="str">
            <v>KCB미래상환능력지수내용</v>
          </cell>
          <cell r="L126"/>
          <cell r="M126"/>
          <cell r="N126"/>
          <cell r="O126" t="str">
            <v>추가</v>
          </cell>
          <cell r="P126" t="str">
            <v>20190325 문서정리작업전 기술되어있음.</v>
          </cell>
          <cell r="Q126"/>
        </row>
        <row r="127">
          <cell r="B127" t="str">
            <v>A2073</v>
          </cell>
          <cell r="C127" t="str">
            <v>String</v>
          </cell>
          <cell r="D127">
            <v>1</v>
          </cell>
          <cell r="E127" t="str">
            <v>고위험군여부</v>
          </cell>
          <cell r="F127" t="str">
            <v>제공항목</v>
          </cell>
          <cell r="G127"/>
          <cell r="H127" t="str">
            <v>EDW(체크회원사전대상자)</v>
          </cell>
          <cell r="I127" t="str">
            <v>GEA체크회원사전대상자내역</v>
          </cell>
          <cell r="J127" t="str">
            <v>GEA체크회원사전대상자내역조회E</v>
          </cell>
          <cell r="K127" t="str">
            <v>사전고위험군여부</v>
          </cell>
          <cell r="L127"/>
          <cell r="M127"/>
          <cell r="N127"/>
          <cell r="O127" t="str">
            <v>추가</v>
          </cell>
          <cell r="P127" t="str">
            <v>20190325 문서정리작업전 기술되어있음.</v>
          </cell>
          <cell r="Q127"/>
        </row>
        <row r="128">
          <cell r="B128" t="str">
            <v>A2074</v>
          </cell>
          <cell r="C128" t="str">
            <v>String</v>
          </cell>
          <cell r="D128">
            <v>8</v>
          </cell>
          <cell r="E128" t="str">
            <v>현금융통적발년월일</v>
          </cell>
          <cell r="F128" t="str">
            <v>제공항목</v>
          </cell>
          <cell r="G128"/>
          <cell r="H128" t="str">
            <v>EDW(체크회원사전대상자)</v>
          </cell>
          <cell r="I128" t="str">
            <v>GEA체크회원사전대상자내역</v>
          </cell>
          <cell r="J128" t="str">
            <v>GEA체크회원사전대상자내역조회E</v>
          </cell>
          <cell r="K128" t="str">
            <v>현금융통적발년월일</v>
          </cell>
          <cell r="L128"/>
          <cell r="M128"/>
          <cell r="N128"/>
          <cell r="O128" t="str">
            <v>삭제</v>
          </cell>
          <cell r="P128">
            <v>20200630</v>
          </cell>
          <cell r="Q128"/>
        </row>
        <row r="129">
          <cell r="B129" t="str">
            <v>A2075</v>
          </cell>
          <cell r="C129" t="str">
            <v>Numeric</v>
          </cell>
          <cell r="D129">
            <v>15</v>
          </cell>
          <cell r="E129" t="str">
            <v>저연령자최고대출가능금액</v>
          </cell>
          <cell r="F129" t="str">
            <v>제공항목</v>
          </cell>
          <cell r="G129"/>
          <cell r="H129" t="str">
            <v>EDW(체크회원사전대상자)</v>
          </cell>
          <cell r="I129" t="str">
            <v>GEA체크회원사전대상자내역</v>
          </cell>
          <cell r="J129" t="str">
            <v>GEA체크회원사전대상자내역조회E</v>
          </cell>
          <cell r="K129" t="str">
            <v>저연령최대대출가능금액</v>
          </cell>
          <cell r="L129"/>
          <cell r="M129"/>
          <cell r="N129"/>
          <cell r="O129" t="str">
            <v>삭제</v>
          </cell>
          <cell r="P129">
            <v>20200630</v>
          </cell>
          <cell r="Q129"/>
        </row>
        <row r="130">
          <cell r="B130" t="str">
            <v>A2076</v>
          </cell>
          <cell r="C130" t="str">
            <v>Numeric</v>
          </cell>
          <cell r="D130">
            <v>15</v>
          </cell>
          <cell r="E130" t="str">
            <v>CB등급최고대출가능금액</v>
          </cell>
          <cell r="F130" t="str">
            <v>제공항목</v>
          </cell>
          <cell r="G130"/>
          <cell r="H130" t="str">
            <v>EDW(체크회원사전대상자)</v>
          </cell>
          <cell r="I130" t="str">
            <v>GEA체크회원사전대상자내역</v>
          </cell>
          <cell r="J130" t="str">
            <v>GEA체크회원사전대상자내역조회E</v>
          </cell>
          <cell r="K130" t="str">
            <v>CB등급최대대출가능금액</v>
          </cell>
          <cell r="L130"/>
          <cell r="M130"/>
          <cell r="N130"/>
          <cell r="O130" t="str">
            <v>추가</v>
          </cell>
          <cell r="P130" t="str">
            <v>20190325 문서정리작업전 기술되어있음.</v>
          </cell>
          <cell r="Q130"/>
        </row>
        <row r="131">
          <cell r="B131" t="str">
            <v>A2077</v>
          </cell>
          <cell r="C131" t="str">
            <v>Numeric</v>
          </cell>
          <cell r="D131">
            <v>15</v>
          </cell>
          <cell r="E131" t="str">
            <v>우대대출가능금액</v>
          </cell>
          <cell r="F131" t="str">
            <v>제공항목</v>
          </cell>
          <cell r="G131"/>
          <cell r="H131" t="str">
            <v>EDW(체크회원사전대상자)</v>
          </cell>
          <cell r="I131" t="str">
            <v>GEA체크회원사전대상자내역</v>
          </cell>
          <cell r="J131" t="str">
            <v>GEA체크회원사전대상자내역조회E</v>
          </cell>
          <cell r="K131" t="str">
            <v>LGU우대한도금액</v>
          </cell>
          <cell r="L131"/>
          <cell r="M131"/>
          <cell r="N131"/>
          <cell r="O131"/>
          <cell r="P131"/>
          <cell r="Q131"/>
        </row>
        <row r="132">
          <cell r="B132" t="str">
            <v>A2078</v>
          </cell>
          <cell r="C132" t="str">
            <v>String</v>
          </cell>
          <cell r="D132">
            <v>2</v>
          </cell>
          <cell r="E132" t="str">
            <v>신용대출ASS등급</v>
          </cell>
          <cell r="F132" t="str">
            <v>제공항목</v>
          </cell>
          <cell r="G132"/>
          <cell r="H132" t="str">
            <v>EDW(체크회원사전대상자)</v>
          </cell>
          <cell r="I132" t="str">
            <v>GEA체크회원사전대상자내역</v>
          </cell>
          <cell r="J132" t="str">
            <v>GEA체크회원사전대상자내역조회E</v>
          </cell>
          <cell r="K132" t="str">
            <v>신용대출ASS등급구분코드</v>
          </cell>
          <cell r="L132"/>
          <cell r="M132"/>
          <cell r="N132"/>
          <cell r="O132"/>
          <cell r="P132" t="str">
            <v>20190802 MDD_항목명변경</v>
          </cell>
          <cell r="Q132" t="str">
            <v>필수</v>
          </cell>
        </row>
        <row r="133">
          <cell r="B133" t="str">
            <v>A2079</v>
          </cell>
          <cell r="C133" t="str">
            <v>String</v>
          </cell>
          <cell r="D133">
            <v>2</v>
          </cell>
          <cell r="E133" t="str">
            <v>플러스론결합등급</v>
          </cell>
          <cell r="F133" t="str">
            <v>제공항목</v>
          </cell>
          <cell r="G133"/>
          <cell r="H133" t="str">
            <v>EDW(체크회원사전대상자)</v>
          </cell>
          <cell r="I133" t="str">
            <v>GEA체크회원사전대상자내역</v>
          </cell>
          <cell r="J133" t="str">
            <v>GEA체크회원사전대상자내역조회E</v>
          </cell>
          <cell r="K133" t="str">
            <v>사전플러스론결합등급코드</v>
          </cell>
          <cell r="L133"/>
          <cell r="M133"/>
          <cell r="N133"/>
          <cell r="O133" t="str">
            <v>추가</v>
          </cell>
          <cell r="P133" t="str">
            <v>20190325 문서정리작업전 기술되어있음.</v>
          </cell>
          <cell r="Q133"/>
        </row>
        <row r="134">
          <cell r="B134" t="str">
            <v>A2080</v>
          </cell>
          <cell r="C134" t="str">
            <v>String</v>
          </cell>
          <cell r="D134">
            <v>2</v>
          </cell>
          <cell r="E134" t="str">
            <v>플러스론전략등급</v>
          </cell>
          <cell r="F134" t="str">
            <v>제공항목</v>
          </cell>
          <cell r="G134"/>
          <cell r="H134" t="str">
            <v>EDW(체크회원사전대상자)</v>
          </cell>
          <cell r="I134" t="str">
            <v>GEA체크회원사전대상자내역</v>
          </cell>
          <cell r="J134" t="str">
            <v>GEA체크회원사전대상자내역조회E</v>
          </cell>
          <cell r="K134" t="str">
            <v>사전플러스론전략등급구분코드</v>
          </cell>
          <cell r="L134"/>
          <cell r="M134"/>
          <cell r="N134"/>
          <cell r="O134" t="str">
            <v>추가</v>
          </cell>
          <cell r="P134" t="str">
            <v>20190325 문서정리작업전 기술되어있음.</v>
          </cell>
          <cell r="Q134"/>
        </row>
        <row r="135">
          <cell r="B135" t="str">
            <v>A2081</v>
          </cell>
          <cell r="C135" t="str">
            <v>String</v>
          </cell>
          <cell r="D135">
            <v>3</v>
          </cell>
          <cell r="E135" t="str">
            <v>프로파일코드1</v>
          </cell>
          <cell r="F135" t="str">
            <v>제공항목</v>
          </cell>
          <cell r="G135"/>
          <cell r="H135" t="str">
            <v>EDW(체크회원사전대상자)</v>
          </cell>
          <cell r="I135" t="str">
            <v>GEA체크회원사전대상자내역</v>
          </cell>
          <cell r="J135" t="str">
            <v>GEA체크회원사전대상자내역조회E</v>
          </cell>
          <cell r="K135" t="str">
            <v>NICE프로파일코드1</v>
          </cell>
          <cell r="L135"/>
          <cell r="M135"/>
          <cell r="N135"/>
          <cell r="O135" t="str">
            <v>추가</v>
          </cell>
          <cell r="P135" t="str">
            <v>20190325 문서정리작업전 기술되어있음.</v>
          </cell>
          <cell r="Q135"/>
        </row>
        <row r="136">
          <cell r="B136" t="str">
            <v>A2082</v>
          </cell>
          <cell r="C136" t="str">
            <v>String</v>
          </cell>
          <cell r="D136">
            <v>3</v>
          </cell>
          <cell r="E136" t="str">
            <v>프로파일코드2</v>
          </cell>
          <cell r="F136" t="str">
            <v>제공항목</v>
          </cell>
          <cell r="G136"/>
          <cell r="H136" t="str">
            <v>EDW(체크회원사전대상자)</v>
          </cell>
          <cell r="I136" t="str">
            <v>GEA체크회원사전대상자내역</v>
          </cell>
          <cell r="J136" t="str">
            <v>GEA체크회원사전대상자내역조회E</v>
          </cell>
          <cell r="K136" t="str">
            <v>NICE프로파일코드2</v>
          </cell>
          <cell r="L136"/>
          <cell r="M136"/>
          <cell r="N136"/>
          <cell r="O136" t="str">
            <v>추가</v>
          </cell>
          <cell r="P136" t="str">
            <v>20190325 문서정리작업전 기술되어있음.</v>
          </cell>
          <cell r="Q136"/>
        </row>
        <row r="137">
          <cell r="B137" t="str">
            <v>A2083</v>
          </cell>
          <cell r="C137" t="str">
            <v>String</v>
          </cell>
          <cell r="D137">
            <v>3</v>
          </cell>
          <cell r="E137" t="str">
            <v>프로파일코드3</v>
          </cell>
          <cell r="F137" t="str">
            <v>제공항목</v>
          </cell>
          <cell r="G137"/>
          <cell r="H137" t="str">
            <v>EDW(체크회원사전대상자)</v>
          </cell>
          <cell r="I137" t="str">
            <v>GEA체크회원사전대상자내역</v>
          </cell>
          <cell r="J137" t="str">
            <v>GEA체크회원사전대상자내역조회E</v>
          </cell>
          <cell r="K137" t="str">
            <v>NICE프로파일코드3</v>
          </cell>
          <cell r="L137"/>
          <cell r="M137"/>
          <cell r="N137"/>
          <cell r="O137" t="str">
            <v>추가</v>
          </cell>
          <cell r="P137" t="str">
            <v>20190325 문서정리작업전 기술되어있음.</v>
          </cell>
          <cell r="Q137"/>
        </row>
        <row r="138">
          <cell r="B138" t="str">
            <v>A2084</v>
          </cell>
          <cell r="C138" t="str">
            <v>String</v>
          </cell>
          <cell r="D138">
            <v>4</v>
          </cell>
          <cell r="E138" t="str">
            <v>PI2신용등급코드</v>
          </cell>
          <cell r="F138" t="str">
            <v>제공항목</v>
          </cell>
          <cell r="G138"/>
          <cell r="H138" t="str">
            <v>EDW(체크회원사전대상자)</v>
          </cell>
          <cell r="I138" t="str">
            <v>GEA체크회원사전대상자내역</v>
          </cell>
          <cell r="J138" t="str">
            <v>GEA체크회원사전대상자내역조회E</v>
          </cell>
          <cell r="K138" t="str">
            <v>PI2신용등급코드</v>
          </cell>
          <cell r="L138"/>
          <cell r="M138"/>
          <cell r="N138"/>
          <cell r="O138" t="str">
            <v>추가</v>
          </cell>
          <cell r="P138" t="str">
            <v>20190325 문서정리작업전 기술되어있음.</v>
          </cell>
          <cell r="Q138"/>
        </row>
        <row r="139">
          <cell r="B139" t="str">
            <v>A2085</v>
          </cell>
          <cell r="C139" t="str">
            <v>String</v>
          </cell>
          <cell r="D139">
            <v>4</v>
          </cell>
          <cell r="E139" t="str">
            <v>DEP신용등급코드</v>
          </cell>
          <cell r="F139" t="str">
            <v>제공항목</v>
          </cell>
          <cell r="G139"/>
          <cell r="H139" t="str">
            <v>EDW(체크회원사전대상자)</v>
          </cell>
          <cell r="I139" t="str">
            <v>GEA체크회원사전대상자내역</v>
          </cell>
          <cell r="J139" t="str">
            <v>GEA체크회원사전대상자내역조회E</v>
          </cell>
          <cell r="K139" t="str">
            <v>사전NICE채무건전성등급코드1</v>
          </cell>
          <cell r="L139"/>
          <cell r="M139"/>
          <cell r="N139"/>
          <cell r="O139" t="str">
            <v>추가</v>
          </cell>
          <cell r="P139" t="str">
            <v>20190325 문서정리작업전 기술되어있음.</v>
          </cell>
          <cell r="Q139"/>
        </row>
        <row r="140">
          <cell r="B140" t="str">
            <v>A2086</v>
          </cell>
          <cell r="C140" t="str">
            <v>String</v>
          </cell>
          <cell r="D140">
            <v>4</v>
          </cell>
          <cell r="E140" t="str">
            <v>PIPLUS신용등급코드</v>
          </cell>
          <cell r="F140" t="str">
            <v>제공항목</v>
          </cell>
          <cell r="G140"/>
          <cell r="H140" t="str">
            <v>EDW(체크회원사전대상자)</v>
          </cell>
          <cell r="I140" t="str">
            <v>GEA체크회원사전대상자내역</v>
          </cell>
          <cell r="J140" t="str">
            <v>GEA체크회원사전대상자내역조회E</v>
          </cell>
          <cell r="K140" t="str">
            <v>PI플러스신용등급구분코드</v>
          </cell>
          <cell r="L140"/>
          <cell r="M140"/>
          <cell r="N140"/>
          <cell r="O140" t="str">
            <v>추가</v>
          </cell>
          <cell r="P140" t="str">
            <v>20190325 문서정리작업전 기술되어있음.</v>
          </cell>
          <cell r="Q140"/>
        </row>
        <row r="141">
          <cell r="B141" t="str">
            <v>A2087</v>
          </cell>
          <cell r="C141" t="str">
            <v>Numeric</v>
          </cell>
          <cell r="D141">
            <v>5</v>
          </cell>
          <cell r="E141" t="str">
            <v>연합회불량등록총건수</v>
          </cell>
          <cell r="F141" t="str">
            <v>제공항목</v>
          </cell>
          <cell r="G141"/>
          <cell r="H141" t="str">
            <v>EDW(체크회원사전대상자)</v>
          </cell>
          <cell r="I141" t="str">
            <v>GEA체크회원사전대상자내역</v>
          </cell>
          <cell r="J141" t="str">
            <v>GEA체크회원사전대상자내역조회E</v>
          </cell>
          <cell r="K141" t="str">
            <v>KCIS불량정보등재건수</v>
          </cell>
          <cell r="L141"/>
          <cell r="M141"/>
          <cell r="N141"/>
          <cell r="O141" t="str">
            <v>삭제</v>
          </cell>
          <cell r="P141">
            <v>20200630</v>
          </cell>
          <cell r="Q141"/>
        </row>
        <row r="142">
          <cell r="B142" t="str">
            <v>A2088</v>
          </cell>
          <cell r="C142" t="str">
            <v>Numeric</v>
          </cell>
          <cell r="D142">
            <v>3</v>
          </cell>
          <cell r="E142" t="str">
            <v>현재연합회불량등록건수</v>
          </cell>
          <cell r="F142" t="str">
            <v>제공항목</v>
          </cell>
          <cell r="G142"/>
          <cell r="H142" t="str">
            <v>EDW(체크회원사전대상자)</v>
          </cell>
          <cell r="I142" t="str">
            <v>GEA체크회원사전대상자내역</v>
          </cell>
          <cell r="J142" t="str">
            <v>GEA체크회원사전대상자내역조회E</v>
          </cell>
          <cell r="K142" t="str">
            <v>신용관리대상미해제건수</v>
          </cell>
          <cell r="L142"/>
          <cell r="M142"/>
          <cell r="N142"/>
          <cell r="O142" t="str">
            <v>삭제</v>
          </cell>
          <cell r="P142">
            <v>20200630</v>
          </cell>
          <cell r="Q142"/>
        </row>
        <row r="143">
          <cell r="B143" t="str">
            <v>A2089</v>
          </cell>
          <cell r="C143" t="str">
            <v>Numeric</v>
          </cell>
          <cell r="D143">
            <v>15</v>
          </cell>
          <cell r="E143" t="str">
            <v>은연카드신용대출금액</v>
          </cell>
          <cell r="F143" t="str">
            <v>제공항목</v>
          </cell>
          <cell r="G143"/>
          <cell r="H143" t="str">
            <v>EDW(체크회원사전대상자)</v>
          </cell>
          <cell r="I143" t="str">
            <v>GEA체크회원사전대상자내역</v>
          </cell>
          <cell r="J143" t="str">
            <v>GEA체크회원사전대상자내역조회E</v>
          </cell>
          <cell r="K143" t="str">
            <v>KCIS카드신용대출금액</v>
          </cell>
          <cell r="L143"/>
          <cell r="M143"/>
          <cell r="N143"/>
          <cell r="O143" t="str">
            <v>삭제</v>
          </cell>
          <cell r="P143">
            <v>20200630</v>
          </cell>
          <cell r="Q143"/>
        </row>
        <row r="144">
          <cell r="B144" t="str">
            <v>A2090</v>
          </cell>
          <cell r="C144" t="str">
            <v>Numeric</v>
          </cell>
          <cell r="D144">
            <v>5</v>
          </cell>
          <cell r="E144" t="str">
            <v>N3M신용카드발급총건수</v>
          </cell>
          <cell r="F144" t="str">
            <v>제공항목</v>
          </cell>
          <cell r="G144"/>
          <cell r="H144" t="str">
            <v>EDW(체크회원사전대상자)</v>
          </cell>
          <cell r="I144" t="str">
            <v>GEA체크회원사전대상자내역</v>
          </cell>
          <cell r="J144" t="str">
            <v>GEA체크회원사전대상자내역조회E</v>
          </cell>
          <cell r="K144" t="str">
            <v>최근3개월미해지카드발급건수</v>
          </cell>
          <cell r="L144"/>
          <cell r="M144"/>
          <cell r="N144"/>
          <cell r="O144" t="str">
            <v>삭제</v>
          </cell>
          <cell r="P144">
            <v>20200630</v>
          </cell>
          <cell r="Q144"/>
        </row>
        <row r="145">
          <cell r="B145" t="str">
            <v>A2091</v>
          </cell>
          <cell r="C145" t="str">
            <v>Numeric</v>
          </cell>
          <cell r="D145">
            <v>5</v>
          </cell>
          <cell r="E145" t="str">
            <v>총대출공여건수</v>
          </cell>
          <cell r="F145" t="str">
            <v>제공항목</v>
          </cell>
          <cell r="G145"/>
          <cell r="H145" t="str">
            <v>EDW(체크회원사전대상자)</v>
          </cell>
          <cell r="I145" t="str">
            <v>GEA체크회원사전대상자내역</v>
          </cell>
          <cell r="J145" t="str">
            <v>GEA체크회원사전대상자내역조회E</v>
          </cell>
          <cell r="K145" t="str">
            <v>NICE대출공여건수</v>
          </cell>
          <cell r="L145"/>
          <cell r="M145"/>
          <cell r="N145"/>
          <cell r="O145" t="str">
            <v>삭제</v>
          </cell>
          <cell r="P145">
            <v>20200630</v>
          </cell>
          <cell r="Q145"/>
        </row>
        <row r="146">
          <cell r="B146" t="str">
            <v>A2092</v>
          </cell>
          <cell r="C146" t="str">
            <v>Numeric</v>
          </cell>
          <cell r="D146">
            <v>5</v>
          </cell>
          <cell r="E146" t="str">
            <v>N3M저축미상환대출건수</v>
          </cell>
          <cell r="F146" t="str">
            <v>제공항목</v>
          </cell>
          <cell r="G146"/>
          <cell r="H146" t="str">
            <v>EDW(체크회원사전대상자)</v>
          </cell>
          <cell r="I146" t="str">
            <v>GEA체크회원사전대상자내역</v>
          </cell>
          <cell r="J146" t="str">
            <v>GEA체크회원사전대상자내역조회E</v>
          </cell>
          <cell r="K146" t="str">
            <v>N3개월저축업권미상환대출건수</v>
          </cell>
          <cell r="L146"/>
          <cell r="M146"/>
          <cell r="N146"/>
          <cell r="O146" t="str">
            <v>삭제</v>
          </cell>
          <cell r="P146">
            <v>20200630</v>
          </cell>
          <cell r="Q146"/>
        </row>
        <row r="147">
          <cell r="B147" t="str">
            <v>A2093</v>
          </cell>
          <cell r="C147" t="str">
            <v>Numeric</v>
          </cell>
          <cell r="D147">
            <v>15</v>
          </cell>
          <cell r="E147" t="str">
            <v>N3M캐피탈미상환대출액</v>
          </cell>
          <cell r="F147" t="str">
            <v>제공항목</v>
          </cell>
          <cell r="G147"/>
          <cell r="H147" t="str">
            <v>EDW(체크회원사전대상자)</v>
          </cell>
          <cell r="I147" t="str">
            <v>GEA체크회원사전대상자내역</v>
          </cell>
          <cell r="J147" t="str">
            <v>GEA체크회원사전대상자내역조회E</v>
          </cell>
          <cell r="K147" t="str">
            <v>최근3개월캐피탈미상환대출금액</v>
          </cell>
          <cell r="L147"/>
          <cell r="M147"/>
          <cell r="N147"/>
          <cell r="O147" t="str">
            <v>삭제</v>
          </cell>
          <cell r="P147">
            <v>20200630</v>
          </cell>
          <cell r="Q147"/>
        </row>
        <row r="148">
          <cell r="B148" t="str">
            <v>A2094</v>
          </cell>
          <cell r="C148" t="str">
            <v>Numeric</v>
          </cell>
          <cell r="D148">
            <v>5</v>
          </cell>
          <cell r="E148" t="str">
            <v>N1M카드론미상환대출수</v>
          </cell>
          <cell r="F148" t="str">
            <v>제공항목</v>
          </cell>
          <cell r="G148"/>
          <cell r="H148" t="str">
            <v>EDW(체크회원사전대상자)</v>
          </cell>
          <cell r="I148" t="str">
            <v>GEA체크회원사전대상자내역</v>
          </cell>
          <cell r="J148" t="str">
            <v>GEA체크회원사전대상자내역조회E</v>
          </cell>
          <cell r="K148" t="str">
            <v>최근1개월카드론미상환대출건수</v>
          </cell>
          <cell r="L148"/>
          <cell r="M148"/>
          <cell r="N148"/>
          <cell r="O148" t="str">
            <v>삭제</v>
          </cell>
          <cell r="P148">
            <v>20200630</v>
          </cell>
          <cell r="Q148"/>
        </row>
        <row r="149">
          <cell r="B149" t="str">
            <v>A2095</v>
          </cell>
          <cell r="C149" t="str">
            <v>Numeric</v>
          </cell>
          <cell r="D149">
            <v>5</v>
          </cell>
          <cell r="E149" t="str">
            <v>N1M은연대출상환총건수</v>
          </cell>
          <cell r="F149" t="str">
            <v>제공항목</v>
          </cell>
          <cell r="G149"/>
          <cell r="H149" t="str">
            <v>EDW(체크회원사전대상자)</v>
          </cell>
          <cell r="I149" t="str">
            <v>GEA체크회원사전대상자내역</v>
          </cell>
          <cell r="J149" t="str">
            <v>GEA체크회원사전대상자내역조회E</v>
          </cell>
          <cell r="K149" t="str">
            <v>최근1개월KCIS대출상환건수</v>
          </cell>
          <cell r="L149"/>
          <cell r="M149"/>
          <cell r="N149"/>
          <cell r="O149" t="str">
            <v>삭제</v>
          </cell>
          <cell r="P149">
            <v>20200630</v>
          </cell>
          <cell r="Q149"/>
        </row>
        <row r="150">
          <cell r="B150" t="str">
            <v>A2096</v>
          </cell>
          <cell r="C150" t="str">
            <v>Numeric</v>
          </cell>
          <cell r="D150">
            <v>5</v>
          </cell>
          <cell r="E150" t="str">
            <v>채무불이행미해제건수</v>
          </cell>
          <cell r="F150" t="str">
            <v>제공항목</v>
          </cell>
          <cell r="G150"/>
          <cell r="H150" t="str">
            <v>EDW(체크회원사전대상자)</v>
          </cell>
          <cell r="I150" t="str">
            <v>GEA체크회원사전대상자내역</v>
          </cell>
          <cell r="J150" t="str">
            <v>GEA체크회원사전대상자내역조회E</v>
          </cell>
          <cell r="K150" t="str">
            <v>채무불이행미해제건수</v>
          </cell>
          <cell r="L150"/>
          <cell r="M150"/>
          <cell r="N150"/>
          <cell r="O150" t="str">
            <v>삭제</v>
          </cell>
          <cell r="P150">
            <v>20200630</v>
          </cell>
          <cell r="Q150"/>
        </row>
        <row r="151">
          <cell r="B151" t="str">
            <v>A2097</v>
          </cell>
          <cell r="C151" t="str">
            <v>String</v>
          </cell>
          <cell r="D151">
            <v>4</v>
          </cell>
          <cell r="E151" t="str">
            <v>DEP2신용등급코드</v>
          </cell>
          <cell r="F151" t="str">
            <v>제공항목</v>
          </cell>
          <cell r="G151"/>
          <cell r="H151" t="str">
            <v>EDW(체크회원사전대상자)</v>
          </cell>
          <cell r="I151" t="str">
            <v>GEA체크회원사전대상자내역</v>
          </cell>
          <cell r="J151" t="str">
            <v>GEA체크회원사전대상자내역조회E</v>
          </cell>
          <cell r="K151" t="str">
            <v>사전NICE채무건전성등급코드2</v>
          </cell>
          <cell r="L151"/>
          <cell r="M151"/>
          <cell r="N151"/>
          <cell r="O151" t="str">
            <v>추가</v>
          </cell>
          <cell r="P151" t="str">
            <v>20190325 문서정리작업전 기술되어있음.</v>
          </cell>
          <cell r="Q151"/>
        </row>
        <row r="152">
          <cell r="B152" t="str">
            <v>A2098</v>
          </cell>
          <cell r="C152" t="str">
            <v>Numeric</v>
          </cell>
          <cell r="D152">
            <v>15</v>
          </cell>
          <cell r="E152" t="str">
            <v>연체총잔액</v>
          </cell>
          <cell r="F152" t="str">
            <v>제공항목</v>
          </cell>
          <cell r="G152"/>
          <cell r="H152" t="str">
            <v>EDW(체크회원사전대상자)</v>
          </cell>
          <cell r="I152" t="str">
            <v>GEA체크회원사전대상자내역</v>
          </cell>
          <cell r="J152" t="str">
            <v>GEA체크회원사전대상자내역조회E</v>
          </cell>
          <cell r="K152" t="str">
            <v>해제후1년경과제외연체잔액</v>
          </cell>
          <cell r="L152"/>
          <cell r="M152"/>
          <cell r="N152"/>
          <cell r="O152" t="str">
            <v>삭제</v>
          </cell>
          <cell r="P152">
            <v>20200630</v>
          </cell>
          <cell r="Q152"/>
        </row>
        <row r="153">
          <cell r="B153" t="str">
            <v>A2099</v>
          </cell>
          <cell r="C153" t="str">
            <v>Numeric</v>
          </cell>
          <cell r="D153">
            <v>15</v>
          </cell>
          <cell r="E153" t="str">
            <v>최근6개월체크카드이용합계액</v>
          </cell>
          <cell r="F153" t="str">
            <v>제공항목</v>
          </cell>
          <cell r="G153"/>
          <cell r="H153" t="str">
            <v>EDW(체크회원사전대상자)</v>
          </cell>
          <cell r="I153" t="str">
            <v>GEA체크회원사전대상자내역</v>
          </cell>
          <cell r="J153" t="str">
            <v>GEA체크회원사전대상자내역조회E</v>
          </cell>
          <cell r="K153" t="str">
            <v>최근6개월체크카드이용금액</v>
          </cell>
          <cell r="L153"/>
          <cell r="M153"/>
          <cell r="N153"/>
          <cell r="O153" t="str">
            <v>삭제</v>
          </cell>
          <cell r="P153">
            <v>20200630</v>
          </cell>
          <cell r="Q153"/>
        </row>
        <row r="154">
          <cell r="B154" t="str">
            <v>A2100</v>
          </cell>
          <cell r="C154" t="str">
            <v>String</v>
          </cell>
          <cell r="D154">
            <v>1</v>
          </cell>
          <cell r="E154" t="str">
            <v>소액한도대상여부</v>
          </cell>
          <cell r="F154" t="str">
            <v>제공항목</v>
          </cell>
          <cell r="G154"/>
          <cell r="H154" t="str">
            <v>EDW(체크회원사전대상자)</v>
          </cell>
          <cell r="I154" t="str">
            <v>GEA체크회원사전대상자내역</v>
          </cell>
          <cell r="J154" t="str">
            <v>GEA체크회원사전대상자내역조회E</v>
          </cell>
          <cell r="K154" t="str">
            <v>이지누리론소액한도대상여부</v>
          </cell>
          <cell r="L154"/>
          <cell r="M154"/>
          <cell r="N154"/>
          <cell r="O154"/>
          <cell r="P154"/>
          <cell r="Q154"/>
        </row>
        <row r="155">
          <cell r="B155" t="str">
            <v>A2101</v>
          </cell>
          <cell r="C155" t="str">
            <v>String</v>
          </cell>
          <cell r="D155">
            <v>2</v>
          </cell>
          <cell r="E155" t="str">
            <v>최고대출가능금액세그먼트구분</v>
          </cell>
          <cell r="F155" t="str">
            <v>제공항목</v>
          </cell>
          <cell r="G155"/>
          <cell r="H155" t="str">
            <v>EDW(체크회원사전대상자)</v>
          </cell>
          <cell r="I155" t="str">
            <v>GEA체크회원사전대상자내역</v>
          </cell>
          <cell r="J155" t="str">
            <v>GEA체크회원사전대상자내역조회E</v>
          </cell>
          <cell r="K155" t="str">
            <v>최대가능금액세그먼트구분코드</v>
          </cell>
          <cell r="L155"/>
          <cell r="M155"/>
          <cell r="N155"/>
          <cell r="O155"/>
          <cell r="P155"/>
          <cell r="Q155"/>
        </row>
        <row r="156">
          <cell r="B156" t="str">
            <v>A2102</v>
          </cell>
          <cell r="C156" t="str">
            <v>String</v>
          </cell>
          <cell r="D156">
            <v>6</v>
          </cell>
          <cell r="E156" t="str">
            <v>자택우편번호</v>
          </cell>
          <cell r="F156" t="str">
            <v>제공항목</v>
          </cell>
          <cell r="G156"/>
          <cell r="H156" t="str">
            <v>EDW(체크회원사전대상자)</v>
          </cell>
          <cell r="I156" t="str">
            <v>GEA체크회원사전대상자내역</v>
          </cell>
          <cell r="J156" t="str">
            <v>GEA체크회원사전대상자내역조회E</v>
          </cell>
          <cell r="K156" t="str">
            <v>자택우편번호</v>
          </cell>
          <cell r="L156"/>
          <cell r="M156"/>
          <cell r="N156"/>
          <cell r="O156" t="str">
            <v>추가</v>
          </cell>
          <cell r="P156" t="str">
            <v>20190325 문서정리작업전 기술되어있음.</v>
          </cell>
          <cell r="Q156"/>
        </row>
        <row r="157">
          <cell r="B157" t="str">
            <v>A2103</v>
          </cell>
          <cell r="C157" t="str">
            <v>String</v>
          </cell>
          <cell r="D157">
            <v>1</v>
          </cell>
          <cell r="E157" t="str">
            <v>성별구분</v>
          </cell>
          <cell r="F157" t="str">
            <v>제공항목</v>
          </cell>
          <cell r="G157"/>
          <cell r="H157" t="str">
            <v>EDW(체크회원사전대상자)</v>
          </cell>
          <cell r="I157" t="str">
            <v>GEA체크회원사전대상자내역</v>
          </cell>
          <cell r="J157" t="str">
            <v>GEA체크회원사전대상자내역조회E</v>
          </cell>
          <cell r="K157" t="str">
            <v>성별구분코드</v>
          </cell>
          <cell r="L157"/>
          <cell r="M157"/>
          <cell r="N157"/>
          <cell r="O157" t="str">
            <v>삭제</v>
          </cell>
          <cell r="P157">
            <v>20200630</v>
          </cell>
          <cell r="Q157"/>
        </row>
        <row r="158">
          <cell r="B158" t="str">
            <v>A2104</v>
          </cell>
          <cell r="C158" t="str">
            <v>String</v>
          </cell>
          <cell r="D158">
            <v>1</v>
          </cell>
          <cell r="E158" t="str">
            <v>주거우대여부</v>
          </cell>
          <cell r="F158" t="str">
            <v>제공항목</v>
          </cell>
          <cell r="G158"/>
          <cell r="H158" t="str">
            <v>EDW(체크회원사전대상자)</v>
          </cell>
          <cell r="I158" t="str">
            <v>GEA체크회원사전대상자내역</v>
          </cell>
          <cell r="J158" t="str">
            <v>GEA체크회원사전대상자내역조회E</v>
          </cell>
          <cell r="K158" t="str">
            <v>주거유형별한도우대대상여부</v>
          </cell>
          <cell r="L158"/>
          <cell r="M158"/>
          <cell r="N158"/>
          <cell r="O158"/>
          <cell r="P158"/>
          <cell r="Q158" t="str">
            <v>필수</v>
          </cell>
        </row>
        <row r="159">
          <cell r="B159" t="str">
            <v>A2105</v>
          </cell>
          <cell r="C159" t="str">
            <v>Numeric</v>
          </cell>
          <cell r="D159">
            <v>3</v>
          </cell>
          <cell r="E159" t="str">
            <v>결합HR평점</v>
          </cell>
          <cell r="F159" t="str">
            <v>제공항목</v>
          </cell>
          <cell r="G159"/>
          <cell r="H159" t="str">
            <v>EDW(체크회원사전대상자)</v>
          </cell>
          <cell r="I159" t="str">
            <v>GEA체크회원사전대상자내역</v>
          </cell>
          <cell r="J159" t="str">
            <v>GEA체크회원사전대상자내역조회E</v>
          </cell>
          <cell r="K159" t="str">
            <v>결합하이리스크평점</v>
          </cell>
          <cell r="L159"/>
          <cell r="M159"/>
          <cell r="N159"/>
          <cell r="O159" t="str">
            <v>삭제</v>
          </cell>
          <cell r="P159">
            <v>20200630</v>
          </cell>
          <cell r="Q159"/>
        </row>
        <row r="160">
          <cell r="B160" t="str">
            <v>A2106</v>
          </cell>
          <cell r="C160" t="str">
            <v>String</v>
          </cell>
          <cell r="D160">
            <v>2</v>
          </cell>
          <cell r="E160" t="str">
            <v>최종HR등급</v>
          </cell>
          <cell r="F160" t="str">
            <v>제공항목</v>
          </cell>
          <cell r="G160"/>
          <cell r="H160" t="str">
            <v>EDW(체크회원사전대상자)</v>
          </cell>
          <cell r="I160" t="str">
            <v>GEA체크회원사전대상자내역</v>
          </cell>
          <cell r="J160" t="str">
            <v>GEA체크회원사전대상자내역조회E</v>
          </cell>
          <cell r="K160" t="str">
            <v>최종하이리스크등급구분코드</v>
          </cell>
          <cell r="L160"/>
          <cell r="M160"/>
          <cell r="N160"/>
          <cell r="O160" t="str">
            <v>삭제</v>
          </cell>
          <cell r="P160">
            <v>20200630</v>
          </cell>
          <cell r="Q160"/>
        </row>
        <row r="161">
          <cell r="B161" t="str">
            <v>A2107</v>
          </cell>
          <cell r="C161" t="str">
            <v>Numeric</v>
          </cell>
          <cell r="D161">
            <v>15</v>
          </cell>
          <cell r="E161" t="str">
            <v>한도조정금액</v>
          </cell>
          <cell r="F161" t="str">
            <v>제공항목</v>
          </cell>
          <cell r="G161"/>
          <cell r="H161" t="str">
            <v>EDW(체크회원사전대상자)</v>
          </cell>
          <cell r="I161" t="str">
            <v>GEA체크회원사전대상자내역</v>
          </cell>
          <cell r="J161" t="str">
            <v>GEA체크회원사전대상자내역조회E</v>
          </cell>
          <cell r="K161" t="str">
            <v>카드론한도조정금액</v>
          </cell>
          <cell r="L161"/>
          <cell r="M161"/>
          <cell r="N161"/>
          <cell r="O161"/>
          <cell r="P161"/>
          <cell r="Q161"/>
        </row>
        <row r="162">
          <cell r="B162" t="str">
            <v>A2108</v>
          </cell>
          <cell r="C162" t="str">
            <v>String</v>
          </cell>
          <cell r="D162">
            <v>1</v>
          </cell>
          <cell r="E162" t="str">
            <v>부채증명서발급여부</v>
          </cell>
          <cell r="F162" t="str">
            <v>제공항목</v>
          </cell>
          <cell r="G162"/>
          <cell r="H162" t="str">
            <v>EDW(체크회원사전대상자)</v>
          </cell>
          <cell r="I162" t="str">
            <v>GEA체크회원사전대상자내역</v>
          </cell>
          <cell r="J162" t="str">
            <v>GEA체크회원사전대상자내역조회E</v>
          </cell>
          <cell r="K162" t="str">
            <v>최근1년부채증명서발급여부</v>
          </cell>
          <cell r="L162"/>
          <cell r="M162"/>
          <cell r="N162"/>
          <cell r="O162" t="str">
            <v>삭제</v>
          </cell>
          <cell r="P162">
            <v>20200630</v>
          </cell>
          <cell r="Q162"/>
        </row>
        <row r="163">
          <cell r="B163" t="str">
            <v>A2109</v>
          </cell>
          <cell r="C163" t="str">
            <v>String</v>
          </cell>
          <cell r="D163">
            <v>1</v>
          </cell>
          <cell r="E163" t="str">
            <v>소개영업대상여부</v>
          </cell>
          <cell r="F163" t="str">
            <v>제공항목</v>
          </cell>
          <cell r="G163"/>
          <cell r="H163" t="str">
            <v>EDW(체크회원사전대상자)</v>
          </cell>
          <cell r="I163" t="str">
            <v>GEA체크회원사전대상자내역</v>
          </cell>
          <cell r="J163" t="str">
            <v>GEA체크회원사전대상자내역조회E</v>
          </cell>
          <cell r="K163" t="str">
            <v>사전소개영업대상여부</v>
          </cell>
          <cell r="L163"/>
          <cell r="M163"/>
          <cell r="N163"/>
          <cell r="O163" t="str">
            <v>추가</v>
          </cell>
          <cell r="P163" t="str">
            <v>20190325 문서정리작업전 기술되어있음.</v>
          </cell>
          <cell r="Q163"/>
        </row>
        <row r="164">
          <cell r="B164" t="str">
            <v>A2110</v>
          </cell>
          <cell r="C164" t="str">
            <v>String</v>
          </cell>
          <cell r="D164">
            <v>1</v>
          </cell>
          <cell r="E164" t="str">
            <v>다중채무자여부</v>
          </cell>
          <cell r="F164" t="str">
            <v>제공항목</v>
          </cell>
          <cell r="G164"/>
          <cell r="H164" t="str">
            <v>EDW(체크회원사전대상자)</v>
          </cell>
          <cell r="I164" t="str">
            <v>GEA체크회원사전대상자내역</v>
          </cell>
          <cell r="J164" t="str">
            <v>GEA체크회원사전대상자내역조회E</v>
          </cell>
          <cell r="K164" t="str">
            <v>사전다중채무대상여부</v>
          </cell>
          <cell r="L164"/>
          <cell r="M164"/>
          <cell r="N164"/>
          <cell r="O164" t="str">
            <v>추가</v>
          </cell>
          <cell r="P164" t="str">
            <v>20190325 문서정리작업전 기술되어있음.</v>
          </cell>
          <cell r="Q164"/>
        </row>
        <row r="165">
          <cell r="B165" t="str">
            <v>A2111</v>
          </cell>
          <cell r="C165" t="str">
            <v>Numeric</v>
          </cell>
          <cell r="D165">
            <v>15</v>
          </cell>
          <cell r="E165" t="str">
            <v>쉬프트론잔액</v>
          </cell>
          <cell r="F165" t="str">
            <v>제공항목</v>
          </cell>
          <cell r="G165"/>
          <cell r="H165" t="str">
            <v>EDW(체크회원사전대상자)</v>
          </cell>
          <cell r="I165" t="str">
            <v>GEA체크회원사전대상자내역</v>
          </cell>
          <cell r="J165" t="str">
            <v>GEA체크회원사전대상자내역조회E</v>
          </cell>
          <cell r="K165" t="str">
            <v>쉬프트론잔액</v>
          </cell>
          <cell r="L165"/>
          <cell r="M165"/>
          <cell r="N165"/>
          <cell r="O165" t="str">
            <v>삭제</v>
          </cell>
          <cell r="P165">
            <v>20200630</v>
          </cell>
          <cell r="Q165"/>
        </row>
        <row r="166">
          <cell r="B166" t="str">
            <v>A2112</v>
          </cell>
          <cell r="C166" t="str">
            <v>Numeric</v>
          </cell>
          <cell r="D166">
            <v>15</v>
          </cell>
          <cell r="E166" t="str">
            <v>주택담보대출잔액</v>
          </cell>
          <cell r="F166" t="str">
            <v>제공항목</v>
          </cell>
          <cell r="G166"/>
          <cell r="H166" t="str">
            <v>EDW(체크회원사전대상자)</v>
          </cell>
          <cell r="I166" t="str">
            <v>GEA체크회원사전대상자내역</v>
          </cell>
          <cell r="J166" t="str">
            <v>GEA체크회원사전대상자내역조회E</v>
          </cell>
          <cell r="K166" t="str">
            <v>KCIS은행주택담보대출잔액</v>
          </cell>
          <cell r="L166"/>
          <cell r="M166"/>
          <cell r="N166"/>
          <cell r="O166" t="str">
            <v>삭제</v>
          </cell>
          <cell r="P166">
            <v>20200630</v>
          </cell>
          <cell r="Q166"/>
        </row>
        <row r="167">
          <cell r="B167" t="str">
            <v>A2113</v>
          </cell>
          <cell r="C167" t="str">
            <v>String</v>
          </cell>
          <cell r="D167">
            <v>1</v>
          </cell>
          <cell r="E167" t="str">
            <v>스타클럽실질등급</v>
          </cell>
          <cell r="F167" t="str">
            <v>제공항목</v>
          </cell>
          <cell r="G167"/>
          <cell r="H167" t="str">
            <v>EDW(체크회원사전대상자)</v>
          </cell>
          <cell r="I167" t="str">
            <v>GEA체크회원사전대상자내역</v>
          </cell>
          <cell r="J167" t="str">
            <v>GEA체크회원사전대상자내역조회E</v>
          </cell>
          <cell r="K167" t="str">
            <v>KB스타클럽실질고객구분코드</v>
          </cell>
          <cell r="L167"/>
          <cell r="M167"/>
          <cell r="N167"/>
          <cell r="O167" t="str">
            <v>삭제</v>
          </cell>
          <cell r="P167">
            <v>20200630</v>
          </cell>
          <cell r="Q167"/>
        </row>
        <row r="168">
          <cell r="B168" t="str">
            <v>A2114</v>
          </cell>
          <cell r="C168" t="str">
            <v>Numeric</v>
          </cell>
          <cell r="D168">
            <v>15</v>
          </cell>
          <cell r="E168" t="str">
            <v>최근3개월수신평잔</v>
          </cell>
          <cell r="F168" t="str">
            <v>제공항목</v>
          </cell>
          <cell r="G168"/>
          <cell r="H168" t="str">
            <v>EDW(체크회원사전대상자)</v>
          </cell>
          <cell r="I168" t="str">
            <v>GEA체크회원사전대상자내역</v>
          </cell>
          <cell r="J168" t="str">
            <v>GEA체크회원사전대상자내역조회E</v>
          </cell>
          <cell r="K168" t="str">
            <v>최근3개월수신평잔</v>
          </cell>
          <cell r="L168"/>
          <cell r="M168"/>
          <cell r="N168"/>
          <cell r="O168" t="str">
            <v>삭제</v>
          </cell>
          <cell r="P168">
            <v>20200630</v>
          </cell>
          <cell r="Q168"/>
        </row>
        <row r="169">
          <cell r="B169" t="str">
            <v>A2115</v>
          </cell>
          <cell r="C169" t="str">
            <v>String</v>
          </cell>
          <cell r="D169">
            <v>1</v>
          </cell>
          <cell r="E169" t="str">
            <v>파일롯1대상여부</v>
          </cell>
          <cell r="F169" t="str">
            <v>제공항목</v>
          </cell>
          <cell r="G169"/>
          <cell r="H169" t="str">
            <v>EDW(체크회원사전대상자)</v>
          </cell>
          <cell r="I169" t="str">
            <v>GEA체크회원사전대상자내역</v>
          </cell>
          <cell r="J169" t="str">
            <v>GEA체크회원사전대상자내역조회E</v>
          </cell>
          <cell r="K169" t="str">
            <v>파일롯버전1대상여부</v>
          </cell>
          <cell r="L169"/>
          <cell r="M169"/>
          <cell r="N169"/>
          <cell r="O169" t="str">
            <v>삭제</v>
          </cell>
          <cell r="P169">
            <v>20200630</v>
          </cell>
          <cell r="Q169"/>
        </row>
        <row r="170">
          <cell r="B170" t="str">
            <v>A2116</v>
          </cell>
          <cell r="C170" t="str">
            <v>String</v>
          </cell>
          <cell r="D170">
            <v>1</v>
          </cell>
          <cell r="E170" t="str">
            <v>파일롯2대상여부</v>
          </cell>
          <cell r="F170" t="str">
            <v>제공항목</v>
          </cell>
          <cell r="G170"/>
          <cell r="H170" t="str">
            <v>EDW(체크회원사전대상자)</v>
          </cell>
          <cell r="I170" t="str">
            <v>GEA체크회원사전대상자내역</v>
          </cell>
          <cell r="J170" t="str">
            <v>GEA체크회원사전대상자내역조회E</v>
          </cell>
          <cell r="K170" t="str">
            <v>파일롯버전2대상여부</v>
          </cell>
          <cell r="L170"/>
          <cell r="M170"/>
          <cell r="N170"/>
          <cell r="O170" t="str">
            <v>삭제</v>
          </cell>
          <cell r="P170">
            <v>20200630</v>
          </cell>
          <cell r="Q170"/>
        </row>
        <row r="171">
          <cell r="B171" t="str">
            <v>A2117</v>
          </cell>
          <cell r="C171" t="str">
            <v>Numeric</v>
          </cell>
          <cell r="D171">
            <v>15</v>
          </cell>
          <cell r="E171" t="str">
            <v>파일롯대상대출가능금액</v>
          </cell>
          <cell r="F171" t="str">
            <v>제공항목</v>
          </cell>
          <cell r="G171"/>
          <cell r="H171" t="str">
            <v>EDW(체크회원사전대상자)</v>
          </cell>
          <cell r="I171" t="str">
            <v>GEA체크회원사전대상자내역</v>
          </cell>
          <cell r="J171" t="str">
            <v>GEA체크회원사전대상자내역조회E</v>
          </cell>
          <cell r="K171" t="str">
            <v>사전우대한도금액</v>
          </cell>
          <cell r="L171"/>
          <cell r="M171"/>
          <cell r="N171"/>
          <cell r="O171" t="str">
            <v>추가</v>
          </cell>
          <cell r="P171" t="str">
            <v>20190325 문서정리작업전 기술되어있음.</v>
          </cell>
          <cell r="Q171"/>
        </row>
        <row r="172">
          <cell r="B172" t="str">
            <v>A2118</v>
          </cell>
          <cell r="C172" t="str">
            <v>String</v>
          </cell>
          <cell r="D172">
            <v>1</v>
          </cell>
          <cell r="E172" t="str">
            <v>FRAUD유의여부</v>
          </cell>
          <cell r="F172" t="str">
            <v>제공항목</v>
          </cell>
          <cell r="G172"/>
          <cell r="H172" t="str">
            <v>EDW(체크회원사전대상자)</v>
          </cell>
          <cell r="I172" t="str">
            <v>GEA체크회원사전대상자내역</v>
          </cell>
          <cell r="J172" t="str">
            <v>GEA체크회원사전대상자내역조회E</v>
          </cell>
          <cell r="K172" t="str">
            <v>NICE사기거래경험자여부</v>
          </cell>
          <cell r="L172"/>
          <cell r="M172"/>
          <cell r="N172"/>
          <cell r="O172" t="str">
            <v>삭제</v>
          </cell>
          <cell r="P172">
            <v>20200630</v>
          </cell>
          <cell r="Q172"/>
        </row>
        <row r="173">
          <cell r="B173" t="str">
            <v>A2119</v>
          </cell>
          <cell r="C173" t="str">
            <v>String</v>
          </cell>
          <cell r="D173">
            <v>1</v>
          </cell>
          <cell r="E173" t="str">
            <v>지역보유구분</v>
          </cell>
          <cell r="F173" t="str">
            <v>제공항목</v>
          </cell>
          <cell r="G173"/>
          <cell r="H173" t="str">
            <v>EDW(체크회원사전대상자)</v>
          </cell>
          <cell r="I173" t="str">
            <v>GEA체크회원사전대상자내역</v>
          </cell>
          <cell r="J173" t="str">
            <v>GEA체크회원사전대상자내역조회E</v>
          </cell>
          <cell r="K173" t="str">
            <v>부동산보유지역구분코드</v>
          </cell>
          <cell r="L173"/>
          <cell r="M173"/>
          <cell r="N173"/>
          <cell r="O173" t="str">
            <v>삭제</v>
          </cell>
          <cell r="P173">
            <v>20200630</v>
          </cell>
          <cell r="Q173"/>
        </row>
        <row r="174">
          <cell r="B174" t="str">
            <v>A2120</v>
          </cell>
          <cell r="C174" t="str">
            <v>Numeric</v>
          </cell>
          <cell r="D174">
            <v>15</v>
          </cell>
          <cell r="E174" t="str">
            <v>우대전최종대출가능금액</v>
          </cell>
          <cell r="F174" t="str">
            <v>제공항목</v>
          </cell>
          <cell r="G174"/>
          <cell r="H174" t="str">
            <v>EDW(체크회원사전대상자)</v>
          </cell>
          <cell r="I174" t="str">
            <v>GEA체크회원사전대상자내역</v>
          </cell>
          <cell r="J174" t="str">
            <v>GEA체크회원사전대상자내역조회E</v>
          </cell>
          <cell r="K174" t="str">
            <v>우대적용전최종한도금액</v>
          </cell>
          <cell r="L174"/>
          <cell r="M174"/>
          <cell r="N174"/>
          <cell r="O174" t="str">
            <v>추가</v>
          </cell>
          <cell r="P174" t="str">
            <v>20190325 문서정리작업전 기술되어있음.</v>
          </cell>
          <cell r="Q174"/>
        </row>
        <row r="175">
          <cell r="B175" t="str">
            <v>A2121</v>
          </cell>
          <cell r="C175" t="str">
            <v>Numeric</v>
          </cell>
          <cell r="D175">
            <v>15</v>
          </cell>
          <cell r="E175" t="str">
            <v>소유실거래가합계</v>
          </cell>
          <cell r="F175" t="str">
            <v>제공항목</v>
          </cell>
          <cell r="G175"/>
          <cell r="H175" t="str">
            <v>EDW(체크회원사전대상자)</v>
          </cell>
          <cell r="I175" t="str">
            <v>GEA체크회원사전대상자내역</v>
          </cell>
          <cell r="J175" t="str">
            <v>GEA체크회원사전대상자내역조회E</v>
          </cell>
          <cell r="K175" t="str">
            <v>보유부동산실거래가합계금액</v>
          </cell>
          <cell r="L175"/>
          <cell r="M175"/>
          <cell r="N175"/>
          <cell r="O175" t="str">
            <v>삭제</v>
          </cell>
          <cell r="P175">
            <v>20200630</v>
          </cell>
          <cell r="Q175"/>
        </row>
        <row r="176">
          <cell r="B176" t="str">
            <v>A2122</v>
          </cell>
          <cell r="C176" t="str">
            <v>Numeric</v>
          </cell>
          <cell r="D176">
            <v>5</v>
          </cell>
          <cell r="E176" t="str">
            <v>소유건축물건수</v>
          </cell>
          <cell r="F176" t="str">
            <v>제공항목</v>
          </cell>
          <cell r="G176"/>
          <cell r="H176" t="str">
            <v>EDW(체크회원사전대상자)</v>
          </cell>
          <cell r="I176" t="str">
            <v>GEA체크회원사전대상자내역</v>
          </cell>
          <cell r="J176" t="str">
            <v>GEA체크회원사전대상자내역조회E</v>
          </cell>
          <cell r="K176" t="str">
            <v>부동산보유건수</v>
          </cell>
          <cell r="L176"/>
          <cell r="M176"/>
          <cell r="N176"/>
          <cell r="O176" t="str">
            <v>삭제</v>
          </cell>
          <cell r="P176">
            <v>20200630</v>
          </cell>
          <cell r="Q176"/>
        </row>
        <row r="177">
          <cell r="B177" t="str">
            <v>A2123</v>
          </cell>
          <cell r="C177" t="str">
            <v>Numeric</v>
          </cell>
          <cell r="D177">
            <v>5</v>
          </cell>
          <cell r="E177" t="str">
            <v>서울부동산건수</v>
          </cell>
          <cell r="F177" t="str">
            <v>제공항목</v>
          </cell>
          <cell r="G177"/>
          <cell r="H177" t="str">
            <v>EDW(체크회원사전대상자)</v>
          </cell>
          <cell r="I177" t="str">
            <v>GEA체크회원사전대상자내역</v>
          </cell>
          <cell r="J177" t="str">
            <v>GEA체크회원사전대상자내역조회E</v>
          </cell>
          <cell r="K177" t="str">
            <v>서울지역부동산보유건수</v>
          </cell>
          <cell r="L177"/>
          <cell r="M177"/>
          <cell r="N177"/>
          <cell r="O177" t="str">
            <v>삭제</v>
          </cell>
          <cell r="P177">
            <v>20200630</v>
          </cell>
          <cell r="Q177"/>
        </row>
        <row r="178">
          <cell r="B178" t="str">
            <v>A2124</v>
          </cell>
          <cell r="C178" t="str">
            <v>Numeric</v>
          </cell>
          <cell r="D178">
            <v>5</v>
          </cell>
          <cell r="E178" t="str">
            <v>경기도부동산건수</v>
          </cell>
          <cell r="F178" t="str">
            <v>제공항목</v>
          </cell>
          <cell r="G178"/>
          <cell r="H178" t="str">
            <v>EDW(체크회원사전대상자)</v>
          </cell>
          <cell r="I178" t="str">
            <v>GEA체크회원사전대상자내역</v>
          </cell>
          <cell r="J178" t="str">
            <v>GEA체크회원사전대상자내역조회E</v>
          </cell>
          <cell r="K178" t="str">
            <v>경기도지역부동산보유건수</v>
          </cell>
          <cell r="L178"/>
          <cell r="M178"/>
          <cell r="N178"/>
          <cell r="O178" t="str">
            <v>삭제</v>
          </cell>
          <cell r="P178">
            <v>20200630</v>
          </cell>
          <cell r="Q178"/>
        </row>
        <row r="179">
          <cell r="B179" t="str">
            <v>A2125</v>
          </cell>
          <cell r="C179" t="str">
            <v>Numeric</v>
          </cell>
          <cell r="D179">
            <v>5</v>
          </cell>
          <cell r="E179" t="str">
            <v>광역시부동산건수</v>
          </cell>
          <cell r="F179" t="str">
            <v>제공항목</v>
          </cell>
          <cell r="G179"/>
          <cell r="H179" t="str">
            <v>EDW(체크회원사전대상자)</v>
          </cell>
          <cell r="I179" t="str">
            <v>GEA체크회원사전대상자내역</v>
          </cell>
          <cell r="J179" t="str">
            <v>GEA체크회원사전대상자내역조회E</v>
          </cell>
          <cell r="K179" t="str">
            <v>광역시도지역부동산보유건수</v>
          </cell>
          <cell r="L179"/>
          <cell r="M179"/>
          <cell r="N179"/>
          <cell r="O179" t="str">
            <v>삭제</v>
          </cell>
          <cell r="P179">
            <v>20200630</v>
          </cell>
          <cell r="Q179"/>
        </row>
        <row r="180">
          <cell r="B180" t="str">
            <v>A2126</v>
          </cell>
          <cell r="C180" t="str">
            <v>Numeric</v>
          </cell>
          <cell r="D180">
            <v>5</v>
          </cell>
          <cell r="E180" t="str">
            <v>세종시부동산건수</v>
          </cell>
          <cell r="F180" t="str">
            <v>제공항목</v>
          </cell>
          <cell r="G180"/>
          <cell r="H180" t="str">
            <v>EDW(체크회원사전대상자)</v>
          </cell>
          <cell r="I180" t="str">
            <v>GEA체크회원사전대상자내역</v>
          </cell>
          <cell r="J180" t="str">
            <v>GEA체크회원사전대상자내역조회E</v>
          </cell>
          <cell r="K180" t="str">
            <v>세종시지역부동산보유건수</v>
          </cell>
          <cell r="L180"/>
          <cell r="M180"/>
          <cell r="N180"/>
          <cell r="O180" t="str">
            <v>삭제</v>
          </cell>
          <cell r="P180">
            <v>20200630</v>
          </cell>
          <cell r="Q180"/>
        </row>
        <row r="181">
          <cell r="B181" t="str">
            <v>A2127</v>
          </cell>
          <cell r="C181" t="str">
            <v>Numeric</v>
          </cell>
          <cell r="D181">
            <v>5</v>
          </cell>
          <cell r="E181" t="str">
            <v>제주도부동산건수</v>
          </cell>
          <cell r="F181" t="str">
            <v>제공항목</v>
          </cell>
          <cell r="G181"/>
          <cell r="H181" t="str">
            <v>EDW(체크회원사전대상자)</v>
          </cell>
          <cell r="I181" t="str">
            <v>GEA체크회원사전대상자내역</v>
          </cell>
          <cell r="J181" t="str">
            <v>GEA체크회원사전대상자내역조회E</v>
          </cell>
          <cell r="K181" t="str">
            <v>제주지역부동산보유건수</v>
          </cell>
          <cell r="L181"/>
          <cell r="M181"/>
          <cell r="N181"/>
          <cell r="O181" t="str">
            <v>삭제</v>
          </cell>
          <cell r="P181">
            <v>20200630</v>
          </cell>
          <cell r="Q181"/>
        </row>
        <row r="182">
          <cell r="B182" t="str">
            <v>A2128</v>
          </cell>
          <cell r="C182" t="str">
            <v>Numeric</v>
          </cell>
          <cell r="D182">
            <v>5</v>
          </cell>
          <cell r="E182" t="str">
            <v>기타부동산건수</v>
          </cell>
          <cell r="F182" t="str">
            <v>제공항목</v>
          </cell>
          <cell r="G182"/>
          <cell r="H182" t="str">
            <v>EDW(체크회원사전대상자)</v>
          </cell>
          <cell r="I182" t="str">
            <v>GEA체크회원사전대상자내역</v>
          </cell>
          <cell r="J182" t="str">
            <v>GEA체크회원사전대상자내역조회E</v>
          </cell>
          <cell r="K182" t="str">
            <v>기타지역부동산보유건수</v>
          </cell>
          <cell r="L182"/>
          <cell r="M182"/>
          <cell r="N182"/>
          <cell r="O182" t="str">
            <v>삭제</v>
          </cell>
          <cell r="P182">
            <v>20200630</v>
          </cell>
          <cell r="Q182"/>
        </row>
        <row r="183">
          <cell r="B183" t="str">
            <v>A2129</v>
          </cell>
          <cell r="C183" t="str">
            <v>String</v>
          </cell>
          <cell r="D183">
            <v>1</v>
          </cell>
          <cell r="E183" t="str">
            <v>자가가압류여부</v>
          </cell>
          <cell r="F183" t="str">
            <v>제공항목</v>
          </cell>
          <cell r="G183"/>
          <cell r="H183" t="str">
            <v>EDW(체크회원사전대상자)</v>
          </cell>
          <cell r="I183" t="str">
            <v>GEA체크회원사전대상자내역</v>
          </cell>
          <cell r="J183" t="str">
            <v>GEA체크회원사전대상자내역조회E</v>
          </cell>
          <cell r="K183" t="str">
            <v>자택가압류여부</v>
          </cell>
          <cell r="L183"/>
          <cell r="M183"/>
          <cell r="N183"/>
          <cell r="O183" t="str">
            <v>삭제</v>
          </cell>
          <cell r="P183">
            <v>20200630</v>
          </cell>
          <cell r="Q183"/>
        </row>
        <row r="184">
          <cell r="B184" t="str">
            <v>A2130</v>
          </cell>
          <cell r="C184" t="str">
            <v>String</v>
          </cell>
          <cell r="D184">
            <v>1</v>
          </cell>
          <cell r="E184" t="str">
            <v>소유가압류여부</v>
          </cell>
          <cell r="F184" t="str">
            <v>제공항목</v>
          </cell>
          <cell r="G184"/>
          <cell r="H184" t="str">
            <v>EDW(체크회원사전대상자)</v>
          </cell>
          <cell r="I184" t="str">
            <v>GEA체크회원사전대상자내역</v>
          </cell>
          <cell r="J184" t="str">
            <v>GEA체크회원사전대상자내역조회E</v>
          </cell>
          <cell r="K184" t="str">
            <v>보유부동산가압류여부</v>
          </cell>
          <cell r="L184"/>
          <cell r="M184"/>
          <cell r="N184"/>
          <cell r="O184" t="str">
            <v>삭제</v>
          </cell>
          <cell r="P184">
            <v>20200630</v>
          </cell>
          <cell r="Q184"/>
        </row>
        <row r="185">
          <cell r="B185" t="str">
            <v>A2131</v>
          </cell>
          <cell r="C185" t="str">
            <v>Numeric</v>
          </cell>
          <cell r="D185">
            <v>15</v>
          </cell>
          <cell r="E185" t="str">
            <v>최근3개월체크카드이용합계액</v>
          </cell>
          <cell r="F185" t="str">
            <v>제공항목</v>
          </cell>
          <cell r="G185"/>
          <cell r="H185" t="str">
            <v>EDW(체크회원사전대상자)</v>
          </cell>
          <cell r="I185" t="str">
            <v>GEA체크회원사전대상자내역</v>
          </cell>
          <cell r="J185" t="str">
            <v>GEA체크회원사전대상자내역조회E</v>
          </cell>
          <cell r="K185" t="str">
            <v>최근3개월체크카드이용금액</v>
          </cell>
          <cell r="L185"/>
          <cell r="M185"/>
          <cell r="N185"/>
          <cell r="O185" t="str">
            <v>삭제</v>
          </cell>
          <cell r="P185">
            <v>20200630</v>
          </cell>
          <cell r="Q185"/>
        </row>
        <row r="186">
          <cell r="B186" t="str">
            <v>A2132</v>
          </cell>
          <cell r="C186" t="str">
            <v>Numeric</v>
          </cell>
          <cell r="D186">
            <v>15</v>
          </cell>
          <cell r="E186" t="str">
            <v>최근12개월일반대출평잔</v>
          </cell>
          <cell r="F186" t="str">
            <v>제공항목</v>
          </cell>
          <cell r="G186"/>
          <cell r="H186" t="str">
            <v>EDW(체크회원사전대상자)</v>
          </cell>
          <cell r="I186" t="str">
            <v>GEA체크회원사전대상자내역</v>
          </cell>
          <cell r="J186" t="str">
            <v>GEA체크회원사전대상자내역조회E</v>
          </cell>
          <cell r="K186" t="str">
            <v>최근1년일반대출평잔</v>
          </cell>
          <cell r="L186"/>
          <cell r="M186"/>
          <cell r="N186"/>
          <cell r="O186" t="str">
            <v>삭제</v>
          </cell>
          <cell r="P186">
            <v>20200630</v>
          </cell>
          <cell r="Q186"/>
        </row>
        <row r="187">
          <cell r="B187" t="str">
            <v>A2133</v>
          </cell>
          <cell r="C187" t="str">
            <v>String</v>
          </cell>
          <cell r="D187">
            <v>3</v>
          </cell>
          <cell r="E187" t="str">
            <v>금리기여도등급</v>
          </cell>
          <cell r="F187" t="str">
            <v>제공항목</v>
          </cell>
          <cell r="G187"/>
          <cell r="H187" t="str">
            <v>EDW(체크회원사전대상자)</v>
          </cell>
          <cell r="I187" t="str">
            <v>GEA체크회원사전대상자내역</v>
          </cell>
          <cell r="J187" t="str">
            <v>GEA체크회원사전대상자내역조회E</v>
          </cell>
          <cell r="K187" t="str">
            <v>카드론신규금리기여도등급</v>
          </cell>
          <cell r="L187"/>
          <cell r="M187"/>
          <cell r="N187"/>
          <cell r="O187" t="str">
            <v>삭제</v>
          </cell>
          <cell r="P187">
            <v>20200630</v>
          </cell>
          <cell r="Q187"/>
        </row>
        <row r="188">
          <cell r="B188" t="str">
            <v>A2134</v>
          </cell>
          <cell r="C188" t="str">
            <v>String</v>
          </cell>
          <cell r="D188">
            <v>1</v>
          </cell>
          <cell r="E188" t="str">
            <v>비RF카드단독보유여부</v>
          </cell>
          <cell r="F188" t="str">
            <v>제공항목</v>
          </cell>
          <cell r="G188"/>
          <cell r="H188" t="str">
            <v>EDW(체크회원사전대상자)</v>
          </cell>
          <cell r="I188" t="str">
            <v>GEA체크회원사전대상자내역</v>
          </cell>
          <cell r="J188" t="str">
            <v>GEA체크회원사전대상자내역조회E</v>
          </cell>
          <cell r="K188" t="str">
            <v>비RF체크카드단독보유여부</v>
          </cell>
          <cell r="L188"/>
          <cell r="M188"/>
          <cell r="N188"/>
          <cell r="O188" t="str">
            <v>삭제</v>
          </cell>
          <cell r="P188">
            <v>20200630</v>
          </cell>
          <cell r="Q188"/>
        </row>
        <row r="189">
          <cell r="B189" t="str">
            <v>A2135</v>
          </cell>
          <cell r="C189" t="str">
            <v>String</v>
          </cell>
          <cell r="D189">
            <v>1</v>
          </cell>
          <cell r="E189" t="str">
            <v>소액신용한도보유여부</v>
          </cell>
          <cell r="F189" t="str">
            <v>제공항목</v>
          </cell>
          <cell r="G189"/>
          <cell r="H189" t="str">
            <v>EDW(체크회원사전대상자)</v>
          </cell>
          <cell r="I189" t="str">
            <v>GEA체크회원사전대상자내역</v>
          </cell>
          <cell r="J189" t="str">
            <v>GEA체크회원사전대상자내역조회E</v>
          </cell>
          <cell r="K189" t="str">
            <v>소액신용한도보유여부</v>
          </cell>
          <cell r="L189"/>
          <cell r="M189"/>
          <cell r="N189"/>
          <cell r="O189" t="str">
            <v>삭제</v>
          </cell>
          <cell r="P189">
            <v>20200630</v>
          </cell>
          <cell r="Q189"/>
        </row>
        <row r="190">
          <cell r="B190" t="str">
            <v>A2136</v>
          </cell>
          <cell r="C190" t="str">
            <v>String</v>
          </cell>
          <cell r="D190">
            <v>1</v>
          </cell>
          <cell r="E190" t="str">
            <v>제외대상여부</v>
          </cell>
          <cell r="F190" t="str">
            <v>제공항목</v>
          </cell>
          <cell r="G190"/>
          <cell r="H190" t="str">
            <v>EDW(체크회원사전대상자)</v>
          </cell>
          <cell r="I190" t="str">
            <v>GEA체크회원사전대상자내역</v>
          </cell>
          <cell r="J190" t="str">
            <v>GEA체크회원사전대상자내역조회E</v>
          </cell>
          <cell r="K190" t="str">
            <v>플러스론제외대상여부</v>
          </cell>
          <cell r="L190"/>
          <cell r="M190"/>
          <cell r="N190"/>
          <cell r="O190" t="str">
            <v>추가</v>
          </cell>
          <cell r="P190" t="str">
            <v>20190325 문서정리작업전 기술되어있음.</v>
          </cell>
          <cell r="Q190"/>
        </row>
        <row r="191">
          <cell r="B191" t="str">
            <v>A2137</v>
          </cell>
          <cell r="C191" t="str">
            <v>String</v>
          </cell>
          <cell r="D191">
            <v>1</v>
          </cell>
          <cell r="E191" t="str">
            <v>연합회담보대출구분</v>
          </cell>
          <cell r="F191" t="str">
            <v>제공항목</v>
          </cell>
          <cell r="G191"/>
          <cell r="H191" t="str">
            <v>EDW(체크회원사전대상자)</v>
          </cell>
          <cell r="I191" t="str">
            <v>GEA체크회원사전대상자내역</v>
          </cell>
          <cell r="J191" t="str">
            <v>GEA체크회원사전대상자내역조회E</v>
          </cell>
          <cell r="K191" t="str">
            <v>KCIS담보대출구분코드</v>
          </cell>
          <cell r="L191"/>
          <cell r="M191"/>
          <cell r="N191"/>
          <cell r="O191" t="str">
            <v>추가</v>
          </cell>
          <cell r="P191" t="str">
            <v>20190325 문서정리작업전 기술되어있음.</v>
          </cell>
          <cell r="Q191" t="str">
            <v>필수</v>
          </cell>
        </row>
        <row r="192">
          <cell r="B192" t="str">
            <v>A2138</v>
          </cell>
          <cell r="C192" t="str">
            <v>String</v>
          </cell>
          <cell r="D192">
            <v>1</v>
          </cell>
          <cell r="E192" t="str">
            <v>전문직군여부</v>
          </cell>
          <cell r="F192" t="str">
            <v>제공항목</v>
          </cell>
          <cell r="G192"/>
          <cell r="H192" t="str">
            <v>EDW(체크회원사전대상자)</v>
          </cell>
          <cell r="I192" t="str">
            <v>GEA체크회원사전대상자내역</v>
          </cell>
          <cell r="J192" t="str">
            <v>GEA체크회원사전대상자내역조회E</v>
          </cell>
          <cell r="K192" t="str">
            <v>전문직군여부</v>
          </cell>
          <cell r="L192"/>
          <cell r="M192"/>
          <cell r="N192"/>
          <cell r="O192" t="str">
            <v>추가</v>
          </cell>
          <cell r="P192" t="str">
            <v>20190325 문서정리작업전 기술되어있음.</v>
          </cell>
          <cell r="Q192"/>
        </row>
        <row r="193">
          <cell r="B193" t="str">
            <v>A2139</v>
          </cell>
          <cell r="C193" t="str">
            <v>String</v>
          </cell>
          <cell r="D193">
            <v>2</v>
          </cell>
          <cell r="E193" t="str">
            <v>다중채무위험등급</v>
          </cell>
          <cell r="F193" t="str">
            <v>제공항목</v>
          </cell>
          <cell r="G193"/>
          <cell r="H193" t="str">
            <v>EDW(체크회원사전대상자)</v>
          </cell>
          <cell r="I193" t="str">
            <v>GEA체크회원사전대상자내역</v>
          </cell>
          <cell r="J193" t="str">
            <v>GEA체크회원사전대상자내역조회E</v>
          </cell>
          <cell r="K193" t="str">
            <v>다중채무위험등급구분코드</v>
          </cell>
          <cell r="L193"/>
          <cell r="M193"/>
          <cell r="N193"/>
          <cell r="O193" t="str">
            <v>추가</v>
          </cell>
          <cell r="P193" t="str">
            <v>20190325 문서정리작업전 기술되어있음.</v>
          </cell>
          <cell r="Q193"/>
        </row>
        <row r="194">
          <cell r="B194" t="str">
            <v>A2140</v>
          </cell>
          <cell r="C194" t="str">
            <v>String</v>
          </cell>
          <cell r="D194">
            <v>2</v>
          </cell>
          <cell r="E194" t="str">
            <v>그룹다중채무세그먼트등급</v>
          </cell>
          <cell r="F194" t="str">
            <v>제공항목</v>
          </cell>
          <cell r="G194"/>
          <cell r="H194" t="str">
            <v>EDW(체크회원사전대상자)</v>
          </cell>
          <cell r="I194" t="str">
            <v>GEA체크회원사전대상자내역</v>
          </cell>
          <cell r="J194" t="str">
            <v>GEA체크회원사전대상자내역조회E</v>
          </cell>
          <cell r="K194" t="str">
            <v>사전다중채무위험지수구분코드</v>
          </cell>
          <cell r="L194"/>
          <cell r="M194"/>
          <cell r="N194"/>
          <cell r="O194" t="str">
            <v>추가</v>
          </cell>
          <cell r="P194" t="str">
            <v>20190325 문서정리작업전 기술되어있음.</v>
          </cell>
          <cell r="Q194"/>
        </row>
        <row r="195">
          <cell r="B195" t="str">
            <v>A2141</v>
          </cell>
          <cell r="C195" t="str">
            <v>String</v>
          </cell>
          <cell r="D195">
            <v>20</v>
          </cell>
          <cell r="E195" t="str">
            <v>최종신용등급세그먼트구분_사전</v>
          </cell>
          <cell r="F195" t="str">
            <v>제공항목</v>
          </cell>
          <cell r="G195"/>
          <cell r="H195" t="str">
            <v>EDW(체크회원사전대상자)</v>
          </cell>
          <cell r="I195" t="str">
            <v>GEA체크회원사전대상자내역</v>
          </cell>
          <cell r="J195" t="str">
            <v>GEA체크회원사전대상자내역조회E</v>
          </cell>
          <cell r="K195" t="str">
            <v>최종신용등급세그먼트구분코드</v>
          </cell>
          <cell r="L195"/>
          <cell r="M195"/>
          <cell r="N195"/>
          <cell r="O195" t="str">
            <v>추가</v>
          </cell>
          <cell r="P195" t="str">
            <v>20190711 추가(이시정K, 문선희K)
20190326 현업엑셀파일과 본파일의 항목이 맞지않아서 추가함</v>
          </cell>
          <cell r="Q195"/>
        </row>
        <row r="196">
          <cell r="B196" t="str">
            <v>A2142</v>
          </cell>
          <cell r="C196" t="str">
            <v>Long</v>
          </cell>
          <cell r="D196">
            <v>20</v>
          </cell>
          <cell r="E196" t="str">
            <v>통합모형평점_사전</v>
          </cell>
          <cell r="F196" t="str">
            <v>제공항목</v>
          </cell>
          <cell r="G196"/>
          <cell r="H196" t="str">
            <v>EDW(체크회원사전대상자)</v>
          </cell>
          <cell r="I196" t="str">
            <v>GEA체크회원사전대상자내역</v>
          </cell>
          <cell r="J196" t="str">
            <v>GEA체크회원사전대상자내역조회E</v>
          </cell>
          <cell r="K196" t="str">
            <v>통합모형평점</v>
          </cell>
          <cell r="L196"/>
          <cell r="M196"/>
          <cell r="N196"/>
          <cell r="O196" t="str">
            <v>추가</v>
          </cell>
          <cell r="P196" t="str">
            <v>20190711 추가(이시정K, 문선희K)
20190326 현업엑셀파일과 본파일의 항목이 맞지않아서 추가함</v>
          </cell>
          <cell r="Q196"/>
        </row>
        <row r="197">
          <cell r="B197" t="str">
            <v>A2143</v>
          </cell>
          <cell r="C197" t="str">
            <v>String</v>
          </cell>
          <cell r="D197">
            <v>20</v>
          </cell>
          <cell r="E197" t="str">
            <v>통합모형카드등급구분_사전</v>
          </cell>
          <cell r="F197" t="str">
            <v>제공항목</v>
          </cell>
          <cell r="G197"/>
          <cell r="H197" t="str">
            <v>EDW(체크회원사전대상자)</v>
          </cell>
          <cell r="I197" t="str">
            <v>GEA체크회원사전대상자내역</v>
          </cell>
          <cell r="J197" t="str">
            <v>GEA체크회원사전대상자내역조회E</v>
          </cell>
          <cell r="K197" t="str">
            <v>통합모형카드등급구분코드</v>
          </cell>
          <cell r="L197"/>
          <cell r="M197"/>
          <cell r="N197"/>
          <cell r="O197" t="str">
            <v>추가</v>
          </cell>
          <cell r="P197" t="str">
            <v>20190711 추가(이시정K, 문선희K)
20190326 현업엑셀파일과 본파일의 항목이 맞지않아서 추가함</v>
          </cell>
          <cell r="Q197"/>
        </row>
        <row r="198">
          <cell r="B198" t="str">
            <v>A2144</v>
          </cell>
          <cell r="C198" t="str">
            <v>String</v>
          </cell>
          <cell r="D198">
            <v>20</v>
          </cell>
          <cell r="E198" t="str">
            <v>KCB소호머신러닝등급_사전</v>
          </cell>
          <cell r="F198" t="str">
            <v>제공항목</v>
          </cell>
          <cell r="G198"/>
          <cell r="H198" t="str">
            <v>EDW(체크회원사전대상자)</v>
          </cell>
          <cell r="I198" t="str">
            <v>GEA체크회원사전대상자내역</v>
          </cell>
          <cell r="J198" t="str">
            <v>GEA체크회원사전대상자내역조회E</v>
          </cell>
          <cell r="K198" t="str">
            <v>KCB소호머신러닝등급구분코드</v>
          </cell>
          <cell r="L198"/>
          <cell r="M198"/>
          <cell r="N198"/>
          <cell r="O198" t="str">
            <v>추가</v>
          </cell>
          <cell r="P198" t="str">
            <v>20190711 추가(이시정K, 문선희K)
20190418 삭제 (이관용c 확인)
20190409 신규추가</v>
          </cell>
          <cell r="Q198"/>
        </row>
        <row r="199">
          <cell r="B199" t="str">
            <v>A2145</v>
          </cell>
          <cell r="C199" t="str">
            <v>Long</v>
          </cell>
          <cell r="D199">
            <v>20</v>
          </cell>
          <cell r="E199" t="str">
            <v>KCB소호머신러닝스코어_사전</v>
          </cell>
          <cell r="F199" t="str">
            <v>제공항목</v>
          </cell>
          <cell r="G199"/>
          <cell r="H199" t="str">
            <v>EDW(체크회원사전대상자)</v>
          </cell>
          <cell r="I199" t="str">
            <v>GEA체크회원사전대상자내역</v>
          </cell>
          <cell r="J199" t="str">
            <v>GEA체크회원사전대상자내역조회E</v>
          </cell>
          <cell r="K199" t="str">
            <v>KCB소호머신러닝평점</v>
          </cell>
          <cell r="L199"/>
          <cell r="M199"/>
          <cell r="N199"/>
          <cell r="O199" t="str">
            <v>추가</v>
          </cell>
          <cell r="P199" t="str">
            <v>20190711 추가(이시정K, 문선희K)
20190418 삭제 (이관용c 확인)
20190409 신규추가</v>
          </cell>
          <cell r="Q199"/>
        </row>
        <row r="200">
          <cell r="B200" t="str">
            <v>A2146</v>
          </cell>
          <cell r="C200" t="str">
            <v>String</v>
          </cell>
          <cell r="D200">
            <v>20</v>
          </cell>
          <cell r="E200" t="str">
            <v>KCB소호구분_사전</v>
          </cell>
          <cell r="F200" t="str">
            <v>제공항목</v>
          </cell>
          <cell r="G200"/>
          <cell r="H200" t="str">
            <v>EDW(체크회원사전대상자)</v>
          </cell>
          <cell r="I200" t="str">
            <v>GEA체크회원사전대상자내역</v>
          </cell>
          <cell r="J200" t="str">
            <v>GEA체크회원사전대상자내역조회E</v>
          </cell>
          <cell r="K200" t="str">
            <v>KCB소호구분코드</v>
          </cell>
          <cell r="L200"/>
          <cell r="M200"/>
          <cell r="N200"/>
          <cell r="O200" t="str">
            <v>추가</v>
          </cell>
          <cell r="P200" t="str">
            <v>20190711 추가(이시정K, 문선희K)
20190418 삭제 (이관용c 확인)
20190409 신규추가</v>
          </cell>
          <cell r="Q200"/>
        </row>
        <row r="201">
          <cell r="B201" t="str">
            <v>A2147</v>
          </cell>
          <cell r="C201" t="str">
            <v>String</v>
          </cell>
          <cell r="D201">
            <v>20</v>
          </cell>
          <cell r="E201" t="str">
            <v>환산DSR비율_사전</v>
          </cell>
          <cell r="F201" t="str">
            <v>제공항목</v>
          </cell>
          <cell r="G201"/>
          <cell r="H201" t="str">
            <v>EDW(체크회원사전대상자)</v>
          </cell>
          <cell r="I201" t="str">
            <v>GEA체크회원사전대상자내역</v>
          </cell>
          <cell r="J201" t="str">
            <v>GEA체크회원사전대상자내역조회E</v>
          </cell>
          <cell r="K201" t="str">
            <v>환산DSR비율</v>
          </cell>
          <cell r="L201"/>
          <cell r="M201"/>
          <cell r="N201"/>
          <cell r="O201" t="str">
            <v>추가</v>
          </cell>
          <cell r="P201" t="str">
            <v>20190711 추가(이시정K, 문선희K)</v>
          </cell>
          <cell r="Q201"/>
        </row>
        <row r="202">
          <cell r="B202" t="str">
            <v>A2148</v>
          </cell>
          <cell r="C202" t="str">
            <v>String</v>
          </cell>
          <cell r="D202">
            <v>20</v>
          </cell>
          <cell r="E202" t="str">
            <v>대부업권대출잔액_사전</v>
          </cell>
          <cell r="F202" t="str">
            <v>제공항목</v>
          </cell>
          <cell r="G202"/>
          <cell r="H202" t="str">
            <v>EDW(체크회원사전대상자)</v>
          </cell>
          <cell r="I202" t="str">
            <v>GEA체크회원사전대상자내역</v>
          </cell>
          <cell r="J202" t="str">
            <v>GEA체크회원사전대상자내역조회E</v>
          </cell>
          <cell r="K202" t="str">
            <v>대부업권대출잔액</v>
          </cell>
          <cell r="L202"/>
          <cell r="M202"/>
          <cell r="N202"/>
          <cell r="O202" t="str">
            <v>추가</v>
          </cell>
          <cell r="P202" t="str">
            <v>20190711 추가(이시정K, 문선희K)</v>
          </cell>
          <cell r="Q202"/>
        </row>
        <row r="203">
          <cell r="B203" t="str">
            <v>A2149</v>
          </cell>
          <cell r="C203" t="str">
            <v>String</v>
          </cell>
          <cell r="D203">
            <v>20</v>
          </cell>
          <cell r="E203" t="str">
            <v>연간원리금상환추정금액_사전</v>
          </cell>
          <cell r="F203" t="str">
            <v>제공항목</v>
          </cell>
          <cell r="G203"/>
          <cell r="H203" t="str">
            <v>EDW(체크회원사전대상자)</v>
          </cell>
          <cell r="I203" t="str">
            <v>GEA체크회원사전대상자내역</v>
          </cell>
          <cell r="J203" t="str">
            <v>GEA체크회원사전대상자내역조회E</v>
          </cell>
          <cell r="K203" t="str">
            <v>연간원리금상환추정금액</v>
          </cell>
          <cell r="L203"/>
          <cell r="M203"/>
          <cell r="N203"/>
          <cell r="O203" t="str">
            <v>추가</v>
          </cell>
          <cell r="P203" t="str">
            <v>20190711 추가(이시정K, 문선희K)</v>
          </cell>
          <cell r="Q203"/>
        </row>
        <row r="204">
          <cell r="B204" t="str">
            <v>A2150</v>
          </cell>
          <cell r="C204" t="str">
            <v>String</v>
          </cell>
          <cell r="D204">
            <v>20</v>
          </cell>
          <cell r="E204" t="str">
            <v>KCBCA잔액_사전</v>
          </cell>
          <cell r="F204" t="str">
            <v>제공항목</v>
          </cell>
          <cell r="G204"/>
          <cell r="H204" t="str">
            <v>EDW(체크회원사전대상자)</v>
          </cell>
          <cell r="I204" t="str">
            <v>GEA체크회원사전대상자내역</v>
          </cell>
          <cell r="J204" t="str">
            <v>GEA체크회원사전대상자내역조회E</v>
          </cell>
          <cell r="K204" t="str">
            <v>KCBCA잔액</v>
          </cell>
          <cell r="L204"/>
          <cell r="M204"/>
          <cell r="N204"/>
          <cell r="O204" t="str">
            <v>추가</v>
          </cell>
          <cell r="P204" t="str">
            <v>20190711 추가(이시정K, 문선희K)</v>
          </cell>
          <cell r="Q204"/>
        </row>
        <row r="205">
          <cell r="B205" t="str">
            <v>A2151</v>
          </cell>
          <cell r="C205" t="str">
            <v>Numeric</v>
          </cell>
          <cell r="D205">
            <v>20</v>
          </cell>
          <cell r="E205" t="str">
            <v>주택담보제외상환원리금_사전</v>
          </cell>
          <cell r="F205" t="str">
            <v>제공항목</v>
          </cell>
          <cell r="G205"/>
          <cell r="H205" t="str">
            <v>EDW(체크회원사전대상자)</v>
          </cell>
          <cell r="I205" t="str">
            <v>GEA체크회원사전대상자내역</v>
          </cell>
          <cell r="J205" t="str">
            <v>GEA체크회원사전대상자내역조회E</v>
          </cell>
          <cell r="K205" t="str">
            <v>주택담보제외상환원리금</v>
          </cell>
          <cell r="L205"/>
          <cell r="M205"/>
          <cell r="N205"/>
          <cell r="O205" t="str">
            <v>추가</v>
          </cell>
          <cell r="P205" t="str">
            <v>20200204 추가</v>
          </cell>
          <cell r="Q205"/>
        </row>
        <row r="206">
          <cell r="B206" t="str">
            <v>A2152</v>
          </cell>
          <cell r="C206" t="str">
            <v>Numeric</v>
          </cell>
          <cell r="D206">
            <v>20</v>
          </cell>
          <cell r="E206" t="str">
            <v>은행업권미상환주택담보대출건수_사전</v>
          </cell>
          <cell r="F206" t="str">
            <v>제공항목</v>
          </cell>
          <cell r="G206"/>
          <cell r="H206" t="str">
            <v>EDW(체크회원사전대상자)</v>
          </cell>
          <cell r="I206" t="str">
            <v>GEA체크회원사전대상자내역</v>
          </cell>
          <cell r="J206" t="str">
            <v>GEA체크회원사전대상자내역조회E</v>
          </cell>
          <cell r="K206" t="str">
            <v>은행업권미상환주택담보대출건수</v>
          </cell>
          <cell r="L206"/>
          <cell r="M206"/>
          <cell r="N206"/>
          <cell r="O206" t="str">
            <v>추가</v>
          </cell>
          <cell r="P206" t="str">
            <v>20200204 추가</v>
          </cell>
          <cell r="Q206"/>
        </row>
        <row r="207">
          <cell r="B207" t="str">
            <v>A2153</v>
          </cell>
          <cell r="C207" t="str">
            <v>Numeric</v>
          </cell>
          <cell r="D207">
            <v>20</v>
          </cell>
          <cell r="E207" t="str">
            <v>미상환주택담보대출건수_사전</v>
          </cell>
          <cell r="F207" t="str">
            <v>제공항목</v>
          </cell>
          <cell r="G207"/>
          <cell r="H207" t="str">
            <v>EDW(체크회원사전대상자)</v>
          </cell>
          <cell r="I207" t="str">
            <v>GEA체크회원사전대상자내역</v>
          </cell>
          <cell r="J207" t="str">
            <v>GEA체크회원사전대상자내역조회E</v>
          </cell>
          <cell r="K207" t="str">
            <v>미상환주택담보대출건수</v>
          </cell>
          <cell r="L207"/>
          <cell r="M207"/>
          <cell r="N207"/>
          <cell r="O207" t="str">
            <v>추가</v>
          </cell>
          <cell r="P207" t="str">
            <v>20200204 추가</v>
          </cell>
          <cell r="Q207"/>
        </row>
        <row r="208">
          <cell r="B208" t="str">
            <v>A2154</v>
          </cell>
          <cell r="C208" t="str">
            <v>Numeric</v>
          </cell>
          <cell r="D208">
            <v>20</v>
          </cell>
          <cell r="E208" t="str">
            <v>KCB결정연소득금액_30_사전</v>
          </cell>
          <cell r="F208" t="str">
            <v>제공항목</v>
          </cell>
          <cell r="G208"/>
          <cell r="H208" t="str">
            <v>EDW(체크회원사전대상자)</v>
          </cell>
          <cell r="I208" t="str">
            <v>GEA체크회원사전대상자내역</v>
          </cell>
          <cell r="J208" t="str">
            <v>GEA체크회원사전대상자내역조회E</v>
          </cell>
          <cell r="K208" t="str">
            <v>KCB추정소득금액</v>
          </cell>
          <cell r="L208"/>
          <cell r="M208"/>
          <cell r="N208"/>
          <cell r="O208" t="str">
            <v>추가</v>
          </cell>
          <cell r="P208" t="str">
            <v>20200204 추가</v>
          </cell>
          <cell r="Q208"/>
        </row>
        <row r="209">
          <cell r="B209" t="str">
            <v>A2155</v>
          </cell>
          <cell r="C209" t="str">
            <v>Numeric</v>
          </cell>
          <cell r="D209">
            <v>20</v>
          </cell>
          <cell r="E209" t="str">
            <v>NICE최종연소득금액_40_사전</v>
          </cell>
          <cell r="F209" t="str">
            <v>제공항목</v>
          </cell>
          <cell r="G209"/>
          <cell r="H209" t="str">
            <v>EDW(체크회원사전대상자)</v>
          </cell>
          <cell r="I209" t="str">
            <v>GEA체크회원사전대상자내역</v>
          </cell>
          <cell r="J209" t="str">
            <v>GEA체크회원사전대상자내역조회E</v>
          </cell>
          <cell r="K209" t="str">
            <v>NICE추정소득금액</v>
          </cell>
          <cell r="L209"/>
          <cell r="M209"/>
          <cell r="N209"/>
          <cell r="O209" t="str">
            <v>추가</v>
          </cell>
          <cell r="P209" t="str">
            <v>20200204 추가</v>
          </cell>
          <cell r="Q209"/>
        </row>
        <row r="210">
          <cell r="B210" t="str">
            <v>A2156</v>
          </cell>
          <cell r="C210" t="str">
            <v>Numeric</v>
          </cell>
          <cell r="D210">
            <v>20</v>
          </cell>
          <cell r="E210" t="str">
            <v>KCB전월세지수_사전</v>
          </cell>
          <cell r="F210" t="str">
            <v>제공항목</v>
          </cell>
          <cell r="G210"/>
          <cell r="H210" t="str">
            <v>EDW(체크회원사전대상자)</v>
          </cell>
          <cell r="I210" t="str">
            <v>GEA체크회원사전대상자내역</v>
          </cell>
          <cell r="J210" t="str">
            <v>GEA체크회원사전대상자내역조회E</v>
          </cell>
          <cell r="K210" t="str">
            <v>KCB등급내용</v>
          </cell>
          <cell r="L210"/>
          <cell r="M210"/>
          <cell r="N210"/>
          <cell r="O210" t="str">
            <v>추가</v>
          </cell>
          <cell r="P210" t="str">
            <v>20200204 추가</v>
          </cell>
          <cell r="Q210"/>
        </row>
        <row r="211">
          <cell r="B211" t="str">
            <v>A2157</v>
          </cell>
          <cell r="C211" t="str">
            <v>Numeric</v>
          </cell>
          <cell r="D211">
            <v>20</v>
          </cell>
          <cell r="E211" t="str">
            <v>SOHO신용개설가능지수_사전</v>
          </cell>
          <cell r="F211" t="str">
            <v>제공항목</v>
          </cell>
          <cell r="G211"/>
          <cell r="H211" t="str">
            <v>EDW(체크회원사전대상자)</v>
          </cell>
          <cell r="I211" t="str">
            <v>GEA체크회원사전대상자내역</v>
          </cell>
          <cell r="J211" t="str">
            <v>GEA체크회원사전대상자내역조회E</v>
          </cell>
          <cell r="K211" t="str">
            <v>신용평가점수내용</v>
          </cell>
          <cell r="L211"/>
          <cell r="M211"/>
          <cell r="N211"/>
          <cell r="O211" t="str">
            <v>추가</v>
          </cell>
          <cell r="P211" t="str">
            <v>20200204 추가</v>
          </cell>
          <cell r="Q211"/>
        </row>
        <row r="212">
          <cell r="B212" t="str">
            <v>A3001</v>
          </cell>
          <cell r="C212" t="str">
            <v>Numeric</v>
          </cell>
          <cell r="D212">
            <v>5</v>
          </cell>
          <cell r="E212" t="str">
            <v>(신용관리대상/공공정보)등록 총 건수</v>
          </cell>
          <cell r="F212" t="str">
            <v>제공항목</v>
          </cell>
          <cell r="G212" t="str">
            <v>항목코드5+항목값15</v>
          </cell>
          <cell r="H212" t="str">
            <v>NICE</v>
          </cell>
          <cell r="I212" t="str">
            <v>GEA_NICE신용요약정보상세전문</v>
          </cell>
          <cell r="J212" t="str">
            <v>NICE신용정보조회C &gt; GEA_NICE신용요약정보조회</v>
          </cell>
          <cell r="K212" t="str">
            <v>신용정보등록건수</v>
          </cell>
          <cell r="L212" t="str">
            <v>B12000100</v>
          </cell>
          <cell r="M212" t="str">
            <v>1F003</v>
          </cell>
          <cell r="N212" t="str">
            <v>62</v>
          </cell>
          <cell r="O212" t="str">
            <v>삭제</v>
          </cell>
          <cell r="P212">
            <v>20200630</v>
          </cell>
          <cell r="Q212"/>
        </row>
        <row r="213">
          <cell r="B213" t="str">
            <v>A3002</v>
          </cell>
          <cell r="C213" t="str">
            <v>Numeric</v>
          </cell>
          <cell r="D213">
            <v>5</v>
          </cell>
          <cell r="E213" t="str">
            <v>(채무불이행-신용정보사)미해제등록 총 건수</v>
          </cell>
          <cell r="F213" t="str">
            <v>제공항목</v>
          </cell>
          <cell r="G213"/>
          <cell r="H213" t="str">
            <v>NICE</v>
          </cell>
          <cell r="I213" t="str">
            <v>GEA_NICE신용요약정보상세전문</v>
          </cell>
          <cell r="J213" t="str">
            <v>NICE신용정보조회C &gt; GEA_NICE신용요약정보조회</v>
          </cell>
          <cell r="K213" t="str">
            <v>NICE미해제총건수</v>
          </cell>
          <cell r="L213" t="str">
            <v>B22000200</v>
          </cell>
          <cell r="M213" t="str">
            <v>1F003</v>
          </cell>
          <cell r="N213" t="str">
            <v>62</v>
          </cell>
          <cell r="O213" t="str">
            <v>삭제</v>
          </cell>
          <cell r="P213">
            <v>20200630</v>
          </cell>
          <cell r="Q213"/>
        </row>
        <row r="214">
          <cell r="B214" t="str">
            <v>A3003</v>
          </cell>
          <cell r="C214" t="str">
            <v>String</v>
          </cell>
          <cell r="D214">
            <v>1</v>
          </cell>
          <cell r="E214" t="str">
            <v>희망모아 신용회복지원 대상 구분</v>
          </cell>
          <cell r="F214" t="str">
            <v>제공항목</v>
          </cell>
          <cell r="G214"/>
          <cell r="H214" t="str">
            <v>NICE</v>
          </cell>
          <cell r="I214" t="str">
            <v>GEA_NICE신용요약정보상세전문</v>
          </cell>
          <cell r="J214" t="str">
            <v>NICE신용정보조회C &gt; GEA_NICE신용요약정보조회</v>
          </cell>
          <cell r="K214" t="str">
            <v>희망모아신용회복지원대상여부_V1</v>
          </cell>
          <cell r="L214" t="str">
            <v>BS0000051</v>
          </cell>
          <cell r="M214" t="str">
            <v>1F003</v>
          </cell>
          <cell r="N214" t="str">
            <v>62</v>
          </cell>
          <cell r="O214" t="str">
            <v>삭제</v>
          </cell>
          <cell r="P214">
            <v>20200630</v>
          </cell>
          <cell r="Q214"/>
        </row>
        <row r="215">
          <cell r="B215" t="str">
            <v>A3004</v>
          </cell>
          <cell r="C215" t="str">
            <v>Numeric</v>
          </cell>
          <cell r="D215">
            <v>5</v>
          </cell>
          <cell r="E215" t="str">
            <v>채무불이행 최근5년내 해제건 중 최근 해제일로부터의 기간(삭제포함)</v>
          </cell>
          <cell r="F215" t="str">
            <v>제공항목</v>
          </cell>
          <cell r="G215"/>
          <cell r="H215" t="str">
            <v>NICE</v>
          </cell>
          <cell r="I215" t="str">
            <v>GEA_NICE신용요약정보상세전문</v>
          </cell>
          <cell r="J215" t="str">
            <v>NICE신용정보조회C &gt; GEA_NICE신용요약정보조회</v>
          </cell>
          <cell r="K215" t="str">
            <v>최근5년디폴트해제경과일수</v>
          </cell>
          <cell r="L215" t="str">
            <v>BS0000667</v>
          </cell>
          <cell r="M215" t="str">
            <v>1F003</v>
          </cell>
          <cell r="N215" t="str">
            <v>62</v>
          </cell>
          <cell r="O215" t="str">
            <v>삭제</v>
          </cell>
          <cell r="P215">
            <v>20200630</v>
          </cell>
          <cell r="Q215"/>
        </row>
        <row r="216">
          <cell r="B216" t="str">
            <v>A3005</v>
          </cell>
          <cell r="C216" t="str">
            <v>String</v>
          </cell>
          <cell r="D216">
            <v>1</v>
          </cell>
          <cell r="E216" t="str">
            <v>신용회복위원회 조정정보 보유 유무</v>
          </cell>
          <cell r="F216" t="str">
            <v>제공항목</v>
          </cell>
          <cell r="G216"/>
          <cell r="H216" t="str">
            <v>NICE</v>
          </cell>
          <cell r="I216" t="str">
            <v>GEA_NICE신용요약정보상세전문</v>
          </cell>
          <cell r="J216" t="str">
            <v>NICE신용정보조회C &gt; GEA_NICE신용요약정보조회</v>
          </cell>
          <cell r="K216" t="str">
            <v>신용회복위원회조정정보보유여부_V1</v>
          </cell>
          <cell r="L216" t="str">
            <v>BS0000783</v>
          </cell>
          <cell r="M216" t="str">
            <v>1F003</v>
          </cell>
          <cell r="N216" t="str">
            <v>62</v>
          </cell>
          <cell r="O216" t="str">
            <v>삭제</v>
          </cell>
          <cell r="P216">
            <v>20200630</v>
          </cell>
          <cell r="Q216"/>
        </row>
        <row r="217">
          <cell r="B217" t="str">
            <v>A3006</v>
          </cell>
          <cell r="C217" t="str">
            <v>String</v>
          </cell>
          <cell r="D217">
            <v>1</v>
          </cell>
          <cell r="E217" t="str">
            <v>상록수 신용회복지원 구분</v>
          </cell>
          <cell r="F217" t="str">
            <v>제공항목</v>
          </cell>
          <cell r="G217"/>
          <cell r="H217" t="str">
            <v>NICE</v>
          </cell>
          <cell r="I217" t="str">
            <v>GEA_NICE신용요약정보상세전문</v>
          </cell>
          <cell r="J217" t="str">
            <v>NICE신용정보조회C &gt; GEA_NICE신용요약정보조회</v>
          </cell>
          <cell r="K217" t="str">
            <v>상록수신용회복지원여부_V1</v>
          </cell>
          <cell r="L217" t="str">
            <v>BS0000784</v>
          </cell>
          <cell r="M217" t="str">
            <v>1F003</v>
          </cell>
          <cell r="N217" t="str">
            <v>62</v>
          </cell>
          <cell r="O217" t="str">
            <v>삭제</v>
          </cell>
          <cell r="P217">
            <v>20200630</v>
          </cell>
          <cell r="Q217"/>
        </row>
        <row r="218">
          <cell r="B218" t="str">
            <v>A3007</v>
          </cell>
          <cell r="C218" t="str">
            <v>Numeric</v>
          </cell>
          <cell r="D218">
            <v>5</v>
          </cell>
          <cell r="E218" t="str">
            <v>최근1개월 리볼빙 이용기관수(15일기준)</v>
          </cell>
          <cell r="F218" t="str">
            <v>제공항목</v>
          </cell>
          <cell r="G218"/>
          <cell r="H218" t="str">
            <v>NICE</v>
          </cell>
          <cell r="I218" t="str">
            <v>GEA_NICE신용요약정보상세전문</v>
          </cell>
          <cell r="J218" t="str">
            <v>NICE신용정보조회C &gt; GEA_NICE신용요약정보조회</v>
          </cell>
          <cell r="K218" t="str">
            <v>최근1개월리볼빙이용기관수_N5</v>
          </cell>
          <cell r="L218" t="str">
            <v>CF0100116</v>
          </cell>
          <cell r="M218" t="str">
            <v>1F003</v>
          </cell>
          <cell r="N218" t="str">
            <v>62</v>
          </cell>
          <cell r="O218" t="str">
            <v>삭제</v>
          </cell>
          <cell r="P218">
            <v>20200630</v>
          </cell>
          <cell r="Q218"/>
        </row>
        <row r="219">
          <cell r="B219" t="str">
            <v>A3008</v>
          </cell>
          <cell r="C219" t="str">
            <v>Numeric</v>
          </cell>
          <cell r="D219">
            <v>5</v>
          </cell>
          <cell r="E219" t="str">
            <v>미상환카드론,CA 및 리볼빙잔액 보유 기관수</v>
          </cell>
          <cell r="F219" t="str">
            <v>제공항목</v>
          </cell>
          <cell r="G219"/>
          <cell r="H219" t="str">
            <v>NICE</v>
          </cell>
          <cell r="I219" t="str">
            <v>GEA_NICE신용요약정보상세전문</v>
          </cell>
          <cell r="J219" t="str">
            <v>NICE신용정보조회C &gt; GEA_NICE신용요약정보조회</v>
          </cell>
          <cell r="K219" t="str">
            <v>미상환카드론리볼빙보유기관수</v>
          </cell>
          <cell r="L219" t="str">
            <v>CF0100122</v>
          </cell>
          <cell r="M219" t="str">
            <v>1F003</v>
          </cell>
          <cell r="N219" t="str">
            <v>62</v>
          </cell>
          <cell r="O219" t="str">
            <v>삭제</v>
          </cell>
          <cell r="P219">
            <v>20200630</v>
          </cell>
          <cell r="Q219"/>
        </row>
        <row r="220">
          <cell r="B220" t="str">
            <v>A3009</v>
          </cell>
          <cell r="C220" t="str">
            <v>Numeric</v>
          </cell>
          <cell r="D220">
            <v>15</v>
          </cell>
          <cell r="E220" t="str">
            <v>최근1개월 리볼빙잔액 합계(15일기준)</v>
          </cell>
          <cell r="F220" t="str">
            <v>제공항목</v>
          </cell>
          <cell r="G220"/>
          <cell r="H220" t="str">
            <v>NICE</v>
          </cell>
          <cell r="I220" t="str">
            <v>GEA_NICE신용요약정보상세전문</v>
          </cell>
          <cell r="J220" t="str">
            <v>NICE신용정보조회C &gt; GEA_NICE신용요약정보조회</v>
          </cell>
          <cell r="K220" t="str">
            <v>최근1개월리볼빙잔액합계금액_N15</v>
          </cell>
          <cell r="L220" t="str">
            <v>CF0100218</v>
          </cell>
          <cell r="M220" t="str">
            <v>1F003</v>
          </cell>
          <cell r="N220" t="str">
            <v>62</v>
          </cell>
          <cell r="O220" t="str">
            <v>삭제</v>
          </cell>
          <cell r="P220">
            <v>20200630</v>
          </cell>
          <cell r="Q220"/>
        </row>
        <row r="221">
          <cell r="B221" t="str">
            <v>A3010</v>
          </cell>
          <cell r="C221" t="str">
            <v>Numeric</v>
          </cell>
          <cell r="D221">
            <v>15</v>
          </cell>
          <cell r="E221" t="str">
            <v>최근3개월현금서비스</v>
          </cell>
          <cell r="F221" t="str">
            <v>제공항목</v>
          </cell>
          <cell r="G221"/>
          <cell r="H221" t="str">
            <v>NICE</v>
          </cell>
          <cell r="I221" t="str">
            <v>GEA_NICE신용요약정보상세전문</v>
          </cell>
          <cell r="J221" t="str">
            <v>NICE신용정보조회C &gt; GEA_NICE신용요약정보조회</v>
          </cell>
          <cell r="K221" t="str">
            <v>최근3개월CA이용금액 _N15</v>
          </cell>
          <cell r="L221" t="str">
            <v>CF0300227</v>
          </cell>
          <cell r="M221" t="str">
            <v>1F003</v>
          </cell>
          <cell r="N221" t="str">
            <v>62</v>
          </cell>
          <cell r="O221" t="str">
            <v>삭제</v>
          </cell>
          <cell r="P221">
            <v>20200630</v>
          </cell>
          <cell r="Q221"/>
        </row>
        <row r="222">
          <cell r="B222" t="str">
            <v>A3011</v>
          </cell>
          <cell r="C222" t="str">
            <v>Numeric</v>
          </cell>
          <cell r="D222">
            <v>5</v>
          </cell>
          <cell r="E222" t="str">
            <v>최근12개월 카드 신판사용개월수(체크카드사용포함)(15일기준)</v>
          </cell>
          <cell r="F222" t="str">
            <v>제공항목</v>
          </cell>
          <cell r="G222"/>
          <cell r="H222" t="str">
            <v>NICE</v>
          </cell>
          <cell r="I222" t="str">
            <v>GEA_NICE신용요약정보상세전문</v>
          </cell>
          <cell r="J222" t="str">
            <v>NICE신용정보조회C &gt; GEA_NICE신용요약정보조회</v>
          </cell>
          <cell r="K222" t="str">
            <v>최근1년신용판매이용개월수</v>
          </cell>
          <cell r="L222" t="str">
            <v>CF1200610</v>
          </cell>
          <cell r="M222" t="str">
            <v>1F003</v>
          </cell>
          <cell r="N222" t="str">
            <v>62</v>
          </cell>
          <cell r="O222" t="str">
            <v>수정</v>
          </cell>
          <cell r="P222" t="str">
            <v>20190325 문서정리작업전 기술되어있음.</v>
          </cell>
          <cell r="Q222"/>
        </row>
        <row r="223">
          <cell r="B223" t="str">
            <v>A3012</v>
          </cell>
          <cell r="C223" t="str">
            <v>String</v>
          </cell>
          <cell r="D223">
            <v>1</v>
          </cell>
          <cell r="E223" t="str">
            <v>파산면책 등록 유무</v>
          </cell>
          <cell r="F223" t="str">
            <v>제공항목</v>
          </cell>
          <cell r="G223"/>
          <cell r="H223" t="str">
            <v>NICE</v>
          </cell>
          <cell r="I223" t="str">
            <v>GEA_NICE신용요약정보상세전문</v>
          </cell>
          <cell r="J223" t="str">
            <v>NICE신용정보조회C &gt; GEA_NICE신용요약정보조회</v>
          </cell>
          <cell r="K223" t="str">
            <v>파산면책등록유무</v>
          </cell>
          <cell r="L223" t="str">
            <v>CRT000005</v>
          </cell>
          <cell r="M223" t="str">
            <v>1F003</v>
          </cell>
          <cell r="N223" t="str">
            <v>62</v>
          </cell>
          <cell r="O223" t="str">
            <v>삭제</v>
          </cell>
          <cell r="P223">
            <v>20200630</v>
          </cell>
          <cell r="Q223"/>
        </row>
        <row r="224">
          <cell r="B224" t="str">
            <v>A3013</v>
          </cell>
          <cell r="C224" t="str">
            <v>String</v>
          </cell>
          <cell r="D224">
            <v>1</v>
          </cell>
          <cell r="E224" t="str">
            <v>개인회생 등록 유무</v>
          </cell>
          <cell r="F224" t="str">
            <v>제공항목</v>
          </cell>
          <cell r="G224"/>
          <cell r="H224" t="str">
            <v>NICE</v>
          </cell>
          <cell r="I224" t="str">
            <v>GEA_NICE신용요약정보상세전문</v>
          </cell>
          <cell r="J224" t="str">
            <v>NICE신용정보조회C &gt; GEA_NICE신용요약정보조회</v>
          </cell>
          <cell r="K224" t="str">
            <v>개인회생등록유무</v>
          </cell>
          <cell r="L224" t="str">
            <v>CRT000006</v>
          </cell>
          <cell r="M224" t="str">
            <v>1F003</v>
          </cell>
          <cell r="N224" t="str">
            <v>62</v>
          </cell>
          <cell r="O224" t="str">
            <v>삭제</v>
          </cell>
          <cell r="P224">
            <v>20200630</v>
          </cell>
          <cell r="Q224"/>
        </row>
        <row r="225">
          <cell r="B225"/>
          <cell r="C225" t="str">
            <v>String</v>
          </cell>
          <cell r="D225">
            <v>1</v>
          </cell>
          <cell r="E225" t="str">
            <v>금치산선고 유무</v>
          </cell>
          <cell r="F225" t="str">
            <v>제공항목</v>
          </cell>
          <cell r="G225"/>
          <cell r="H225"/>
          <cell r="I225" t="str">
            <v>GEA_NICE신용요약정보상세전문</v>
          </cell>
          <cell r="J225"/>
          <cell r="K225" t="str">
            <v>금치산자선고유무_V1</v>
          </cell>
          <cell r="L225" t="str">
            <v>CRT000013</v>
          </cell>
          <cell r="M225" t="str">
            <v>1F003</v>
          </cell>
          <cell r="N225" t="str">
            <v>62</v>
          </cell>
          <cell r="O225" t="str">
            <v>삭제</v>
          </cell>
          <cell r="P225">
            <v>20200630</v>
          </cell>
          <cell r="Q225"/>
        </row>
        <row r="226">
          <cell r="B226"/>
          <cell r="C226" t="str">
            <v>String</v>
          </cell>
          <cell r="D226">
            <v>1</v>
          </cell>
          <cell r="E226" t="str">
            <v>한정치산선고 유무</v>
          </cell>
          <cell r="F226" t="str">
            <v>제공항목</v>
          </cell>
          <cell r="G226"/>
          <cell r="H226"/>
          <cell r="I226" t="str">
            <v>GEA_NICE신용요약정보상세전문</v>
          </cell>
          <cell r="J226"/>
          <cell r="K226" t="str">
            <v>한정금치산자선고유무_V1</v>
          </cell>
          <cell r="L226" t="str">
            <v>CRT000015</v>
          </cell>
          <cell r="M226" t="str">
            <v>1F003</v>
          </cell>
          <cell r="N226" t="str">
            <v>62</v>
          </cell>
          <cell r="O226" t="str">
            <v>삭제</v>
          </cell>
          <cell r="P226">
            <v>20200630</v>
          </cell>
          <cell r="Q226"/>
        </row>
        <row r="227">
          <cell r="B227" t="str">
            <v>A3014</v>
          </cell>
          <cell r="C227" t="str">
            <v>Numeric</v>
          </cell>
          <cell r="D227">
            <v>5</v>
          </cell>
          <cell r="E227" t="str">
            <v>대부업계 30일이상 연체 미해제 총 건수</v>
          </cell>
          <cell r="F227" t="str">
            <v>제공항목</v>
          </cell>
          <cell r="G227"/>
          <cell r="H227" t="str">
            <v>NICE</v>
          </cell>
          <cell r="I227" t="str">
            <v>GEA_NICE신용요약정보상세전문</v>
          </cell>
          <cell r="J227" t="str">
            <v>NICE신용정보조회C &gt; GEA_NICE신용요약정보조회</v>
          </cell>
          <cell r="K227" t="str">
            <v>대부업권30일이상연체총건수_N5</v>
          </cell>
          <cell r="L227" t="str">
            <v>DQ0052001</v>
          </cell>
          <cell r="M227" t="str">
            <v>1F003</v>
          </cell>
          <cell r="N227" t="str">
            <v>62</v>
          </cell>
          <cell r="O227" t="str">
            <v>삭제</v>
          </cell>
          <cell r="P227">
            <v>20200630</v>
          </cell>
          <cell r="Q227"/>
        </row>
        <row r="228">
          <cell r="B228" t="str">
            <v>A3015</v>
          </cell>
          <cell r="C228" t="str">
            <v>Numeric</v>
          </cell>
          <cell r="D228">
            <v>5</v>
          </cell>
          <cell r="E228" t="str">
            <v>대부업계 30일이상 연체 6개월내 경험한 총 건수</v>
          </cell>
          <cell r="F228" t="str">
            <v>제공항목</v>
          </cell>
          <cell r="G228"/>
          <cell r="H228" t="str">
            <v>NICE</v>
          </cell>
          <cell r="I228" t="str">
            <v>GEA_NICE신용요약정보상세전문</v>
          </cell>
          <cell r="J228" t="str">
            <v>NICE신용정보조회C &gt; GEA_NICE신용요약정보조회</v>
          </cell>
          <cell r="K228" t="str">
            <v>대부업권30일연체6개월총건수_N5</v>
          </cell>
          <cell r="L228" t="str">
            <v>DQ0652001</v>
          </cell>
          <cell r="M228" t="str">
            <v>1F003</v>
          </cell>
          <cell r="N228" t="str">
            <v>62</v>
          </cell>
          <cell r="O228" t="str">
            <v>삭제</v>
          </cell>
          <cell r="P228">
            <v>20200630</v>
          </cell>
          <cell r="Q228"/>
        </row>
        <row r="229">
          <cell r="B229" t="str">
            <v>A3016</v>
          </cell>
          <cell r="C229" t="str">
            <v>Numeric</v>
          </cell>
          <cell r="D229">
            <v>5</v>
          </cell>
          <cell r="E229" t="str">
            <v>현 자택정보 최초등록일로부터의 경과일수</v>
          </cell>
          <cell r="F229" t="str">
            <v>제공항목</v>
          </cell>
          <cell r="G229"/>
          <cell r="H229" t="str">
            <v>NICE</v>
          </cell>
          <cell r="I229" t="str">
            <v>GEA_NICE신용요약정보상세전문</v>
          </cell>
          <cell r="J229" t="str">
            <v>NICE신용정보조회C &gt; GEA_NICE신용요약정보조회</v>
          </cell>
          <cell r="K229" t="str">
            <v>현거주지등록경과일수</v>
          </cell>
          <cell r="L229" t="str">
            <v>EH0001601</v>
          </cell>
          <cell r="M229" t="str">
            <v>1F003</v>
          </cell>
          <cell r="N229" t="str">
            <v>62</v>
          </cell>
          <cell r="O229" t="str">
            <v>수정</v>
          </cell>
          <cell r="P229" t="str">
            <v>20190325 문서정리작업전 기술되어있음.</v>
          </cell>
          <cell r="Q229"/>
        </row>
        <row r="230">
          <cell r="B230" t="str">
            <v>A3017</v>
          </cell>
          <cell r="C230" t="str">
            <v>String</v>
          </cell>
          <cell r="D230">
            <v>1</v>
          </cell>
          <cell r="E230" t="str">
            <v>현 거주지의 거주유형 상세</v>
          </cell>
          <cell r="F230" t="str">
            <v>제공항목</v>
          </cell>
          <cell r="G230"/>
          <cell r="H230" t="str">
            <v>NICE</v>
          </cell>
          <cell r="I230" t="str">
            <v>GEA_NICE신용요약정보상세전문</v>
          </cell>
          <cell r="J230" t="str">
            <v>NICE신용정보조회C &gt; GEA_NICE신용요약정보조회</v>
          </cell>
          <cell r="K230" t="str">
            <v>거주유형상세코드</v>
          </cell>
          <cell r="L230" t="str">
            <v>EH0001901</v>
          </cell>
          <cell r="M230" t="str">
            <v>1F003</v>
          </cell>
          <cell r="N230" t="str">
            <v>62</v>
          </cell>
          <cell r="O230" t="str">
            <v>수정</v>
          </cell>
          <cell r="P230" t="str">
            <v>20190325 문서정리작업전 기술되어있음.</v>
          </cell>
          <cell r="Q230"/>
        </row>
        <row r="231">
          <cell r="B231" t="str">
            <v>A3018</v>
          </cell>
          <cell r="C231" t="str">
            <v>Numeric</v>
          </cell>
          <cell r="D231">
            <v>15</v>
          </cell>
          <cell r="E231" t="str">
            <v>현 거주지의 매매평균가(천원)</v>
          </cell>
          <cell r="F231" t="str">
            <v>제공항목</v>
          </cell>
          <cell r="G231"/>
          <cell r="H231" t="str">
            <v>NICE</v>
          </cell>
          <cell r="I231" t="str">
            <v>GEA_NICE신용요약정보상세전문</v>
          </cell>
          <cell r="J231" t="str">
            <v>NICE신용정보조회C &gt; GEA_NICE신용요약정보조회</v>
          </cell>
          <cell r="K231" t="str">
            <v>현거주지매매평균가격</v>
          </cell>
          <cell r="L231" t="str">
            <v>EH0002904</v>
          </cell>
          <cell r="M231" t="str">
            <v>1F003</v>
          </cell>
          <cell r="N231" t="str">
            <v>62</v>
          </cell>
          <cell r="O231" t="str">
            <v>수정</v>
          </cell>
          <cell r="P231" t="str">
            <v>20190325 문서정리작업전 기술되어있음.</v>
          </cell>
          <cell r="Q231"/>
        </row>
        <row r="232">
          <cell r="B232" t="str">
            <v>A3019</v>
          </cell>
          <cell r="C232" t="str">
            <v>Numeric</v>
          </cell>
          <cell r="D232">
            <v>5</v>
          </cell>
          <cell r="E232" t="str">
            <v>현 직장정보 최초등록일로부터의 경과일수</v>
          </cell>
          <cell r="F232" t="str">
            <v>제공항목</v>
          </cell>
          <cell r="G232"/>
          <cell r="H232" t="str">
            <v>NICE</v>
          </cell>
          <cell r="I232" t="str">
            <v>GEA_NICE신용요약정보상세전문</v>
          </cell>
          <cell r="J232" t="str">
            <v>NICE신용정보조회C &gt; GEA_NICE신용요약정보조회</v>
          </cell>
          <cell r="K232" t="str">
            <v>현직장정보등록경과일수</v>
          </cell>
          <cell r="L232" t="str">
            <v>EW0001601</v>
          </cell>
          <cell r="M232" t="str">
            <v>1F003</v>
          </cell>
          <cell r="N232" t="str">
            <v>62</v>
          </cell>
          <cell r="O232" t="str">
            <v>수정</v>
          </cell>
          <cell r="P232" t="str">
            <v>20190325 문서정리작업전 기술되어있음.</v>
          </cell>
          <cell r="Q232"/>
        </row>
        <row r="233">
          <cell r="B233" t="str">
            <v>A3020</v>
          </cell>
          <cell r="C233" t="str">
            <v>String</v>
          </cell>
          <cell r="D233">
            <v>1</v>
          </cell>
          <cell r="E233" t="str">
            <v>상환여력정보 적중구분(0:매칭불가, 1:기업정보매칭, 2:KFB대상기업체정보매칭, 3:예외코드매칭)</v>
          </cell>
          <cell r="F233" t="str">
            <v>제공항목</v>
          </cell>
          <cell r="G233"/>
          <cell r="H233" t="str">
            <v>NICE</v>
          </cell>
          <cell r="I233" t="str">
            <v>GEA_NICE신용요약정보상세전문</v>
          </cell>
          <cell r="J233" t="str">
            <v>NICE신용정보조회C &gt; GEA_NICE신용요약정보조회</v>
          </cell>
          <cell r="K233" t="str">
            <v>상환여력정보매칭코드</v>
          </cell>
          <cell r="L233" t="str">
            <v>EW0001901</v>
          </cell>
          <cell r="M233" t="str">
            <v>1F003</v>
          </cell>
          <cell r="N233" t="str">
            <v>62</v>
          </cell>
          <cell r="O233" t="str">
            <v>수정</v>
          </cell>
          <cell r="P233" t="str">
            <v>20190325 문서정리작업전 기술되어있음.</v>
          </cell>
          <cell r="Q233"/>
        </row>
        <row r="234">
          <cell r="B234" t="str">
            <v>A3021</v>
          </cell>
          <cell r="C234" t="str">
            <v>String</v>
          </cell>
          <cell r="D234">
            <v>2</v>
          </cell>
          <cell r="E234" t="str">
            <v>상환여력정보 예외코드</v>
          </cell>
          <cell r="F234" t="str">
            <v>제공항목</v>
          </cell>
          <cell r="G234"/>
          <cell r="H234" t="str">
            <v>NICE</v>
          </cell>
          <cell r="I234" t="str">
            <v>GEA_NICE신용요약정보상세전문</v>
          </cell>
          <cell r="J234" t="str">
            <v>NICE신용정보조회C &gt; GEA_NICE신용요약정보조회</v>
          </cell>
          <cell r="K234" t="str">
            <v>상환여력정보예외코드</v>
          </cell>
          <cell r="L234" t="str">
            <v>EW0001902</v>
          </cell>
          <cell r="M234" t="str">
            <v>1F003</v>
          </cell>
          <cell r="N234" t="str">
            <v>62</v>
          </cell>
          <cell r="O234" t="str">
            <v>수정</v>
          </cell>
          <cell r="P234" t="str">
            <v>20190325 문서정리작업전 기술되어있음.</v>
          </cell>
          <cell r="Q234"/>
        </row>
        <row r="235">
          <cell r="B235" t="str">
            <v>A3022</v>
          </cell>
          <cell r="C235" t="str">
            <v>String</v>
          </cell>
          <cell r="D235">
            <v>1</v>
          </cell>
          <cell r="E235" t="str">
            <v>현 직장의 휴폐업여부</v>
          </cell>
          <cell r="F235" t="str">
            <v>제공항목</v>
          </cell>
          <cell r="G235"/>
          <cell r="H235" t="str">
            <v>NICE</v>
          </cell>
          <cell r="I235" t="str">
            <v>GEA_NICE신용요약정보상세전문</v>
          </cell>
          <cell r="J235" t="str">
            <v>NICE신용정보조회C &gt; GEA_NICE신용요약정보조회</v>
          </cell>
          <cell r="K235" t="str">
            <v>현직장휴폐업구분코드</v>
          </cell>
          <cell r="L235" t="str">
            <v>EW0002801</v>
          </cell>
          <cell r="M235" t="str">
            <v>1F003</v>
          </cell>
          <cell r="N235" t="str">
            <v>62</v>
          </cell>
          <cell r="O235" t="str">
            <v>수정</v>
          </cell>
          <cell r="P235" t="str">
            <v>20190325 문서정리작업전 기술되어있음.</v>
          </cell>
          <cell r="Q235"/>
        </row>
        <row r="236">
          <cell r="B236" t="str">
            <v>A3023</v>
          </cell>
          <cell r="C236" t="str">
            <v>String</v>
          </cell>
          <cell r="D236">
            <v>2</v>
          </cell>
          <cell r="E236" t="str">
            <v>현 직장의 기업공개</v>
          </cell>
          <cell r="F236" t="str">
            <v>제공항목</v>
          </cell>
          <cell r="G236"/>
          <cell r="H236" t="str">
            <v>NICE</v>
          </cell>
          <cell r="I236" t="str">
            <v>GEA_NICE신용요약정보상세전문</v>
          </cell>
          <cell r="J236" t="str">
            <v>NICE신용정보조회C &gt; GEA_NICE신용요약정보조회</v>
          </cell>
          <cell r="K236" t="str">
            <v>현직장기업공개구분코드</v>
          </cell>
          <cell r="L236" t="str">
            <v>EW0002902</v>
          </cell>
          <cell r="M236" t="str">
            <v>1F003</v>
          </cell>
          <cell r="N236" t="str">
            <v>62</v>
          </cell>
          <cell r="O236" t="str">
            <v>수정</v>
          </cell>
          <cell r="P236" t="str">
            <v>20190325 문서정리작업전 기술되어있음.</v>
          </cell>
          <cell r="Q236"/>
        </row>
        <row r="237">
          <cell r="B237" t="str">
            <v>A3024</v>
          </cell>
          <cell r="C237" t="str">
            <v>String</v>
          </cell>
          <cell r="D237">
            <v>2</v>
          </cell>
          <cell r="E237" t="str">
            <v>현 직장의 기업형태</v>
          </cell>
          <cell r="F237" t="str">
            <v>제공항목</v>
          </cell>
          <cell r="G237"/>
          <cell r="H237" t="str">
            <v>NICE</v>
          </cell>
          <cell r="I237" t="str">
            <v>GEA_NICE신용요약정보상세전문</v>
          </cell>
          <cell r="J237" t="str">
            <v>NICE신용정보조회C &gt; GEA_NICE신용요약정보조회</v>
          </cell>
          <cell r="K237" t="str">
            <v>현직장기업형태구분코드</v>
          </cell>
          <cell r="L237" t="str">
            <v>EW0002903</v>
          </cell>
          <cell r="M237" t="str">
            <v>1F003</v>
          </cell>
          <cell r="N237" t="str">
            <v>62</v>
          </cell>
          <cell r="O237" t="str">
            <v>수정</v>
          </cell>
          <cell r="P237" t="str">
            <v>20190325 문서정리작업전 기술되어있음.</v>
          </cell>
          <cell r="Q237"/>
        </row>
        <row r="238">
          <cell r="B238" t="str">
            <v>A3025</v>
          </cell>
          <cell r="C238" t="str">
            <v>Numeric</v>
          </cell>
          <cell r="D238">
            <v>5</v>
          </cell>
          <cell r="E238" t="str">
            <v>현 직장의 종업원수</v>
          </cell>
          <cell r="F238" t="str">
            <v>제공항목</v>
          </cell>
          <cell r="G238"/>
          <cell r="H238" t="str">
            <v>NICE</v>
          </cell>
          <cell r="I238" t="str">
            <v>GEA_NICE신용요약정보상세전문</v>
          </cell>
          <cell r="J238" t="str">
            <v>NICE신용정보조회C &gt; GEA_NICE신용요약정보조회</v>
          </cell>
          <cell r="K238" t="str">
            <v>현직장종업원수</v>
          </cell>
          <cell r="L238" t="str">
            <v>EW0002905</v>
          </cell>
          <cell r="M238" t="str">
            <v>1F003</v>
          </cell>
          <cell r="N238" t="str">
            <v>62</v>
          </cell>
          <cell r="O238" t="str">
            <v>수정</v>
          </cell>
          <cell r="P238" t="str">
            <v>20190325 문서정리작업전 기술되어있음.</v>
          </cell>
          <cell r="Q238"/>
        </row>
        <row r="239">
          <cell r="B239" t="str">
            <v>A3026</v>
          </cell>
          <cell r="C239" t="str">
            <v>Numeric</v>
          </cell>
          <cell r="D239">
            <v>15</v>
          </cell>
          <cell r="E239" t="str">
            <v>NICE등록연소득금액(IE0305_000)</v>
          </cell>
          <cell r="F239" t="str">
            <v>제공항목</v>
          </cell>
          <cell r="G239"/>
          <cell r="H239" t="str">
            <v>NICE</v>
          </cell>
          <cell r="I239" t="str">
            <v>GEA_NICE신용요약정보상세전문</v>
          </cell>
          <cell r="J239" t="str">
            <v>NICE신용정보조회C &gt; GEA_NICE신용요약정보조회</v>
          </cell>
          <cell r="K239" t="str">
            <v>NICE연소득금액</v>
          </cell>
          <cell r="L239" t="str">
            <v>IE0300002</v>
          </cell>
          <cell r="M239" t="str">
            <v>1F003</v>
          </cell>
          <cell r="N239" t="str">
            <v>62</v>
          </cell>
          <cell r="O239" t="str">
            <v>수정</v>
          </cell>
          <cell r="P239" t="str">
            <v>20190325 문서정리작업전 기술되어있음.</v>
          </cell>
          <cell r="Q239"/>
        </row>
        <row r="240">
          <cell r="B240" t="str">
            <v>A3027</v>
          </cell>
          <cell r="C240" t="str">
            <v>Numeric</v>
          </cell>
          <cell r="D240">
            <v>15</v>
          </cell>
          <cell r="E240" t="str">
            <v>NICE추정연소득금액(IE0305_000)</v>
          </cell>
          <cell r="F240" t="str">
            <v>제공항목</v>
          </cell>
          <cell r="G240"/>
          <cell r="H240" t="str">
            <v>NICE</v>
          </cell>
          <cell r="I240" t="str">
            <v>GEA_NICE신용요약정보상세전문</v>
          </cell>
          <cell r="J240" t="str">
            <v>NICE신용정보조회C &gt; GEA_NICE신용요약정보조회</v>
          </cell>
          <cell r="K240" t="str">
            <v>NICE추정연소득금액</v>
          </cell>
          <cell r="L240" t="str">
            <v>IE0300005</v>
          </cell>
          <cell r="M240" t="str">
            <v>1F003</v>
          </cell>
          <cell r="N240" t="str">
            <v>62</v>
          </cell>
          <cell r="O240" t="str">
            <v>수정</v>
          </cell>
          <cell r="P240" t="str">
            <v>20190325 문서정리작업전 기술되어있음.</v>
          </cell>
          <cell r="Q240"/>
        </row>
        <row r="241">
          <cell r="B241" t="str">
            <v>A3028</v>
          </cell>
          <cell r="C241" t="str">
            <v>Numeric</v>
          </cell>
          <cell r="D241">
            <v>15</v>
          </cell>
          <cell r="E241" t="str">
            <v>NICE최종연소득금액(IE0305_000)</v>
          </cell>
          <cell r="F241" t="str">
            <v>제공항목</v>
          </cell>
          <cell r="G241"/>
          <cell r="H241" t="str">
            <v>NICE</v>
          </cell>
          <cell r="I241" t="str">
            <v>GEA_NICE신용요약정보상세전문</v>
          </cell>
          <cell r="J241" t="str">
            <v>NICE신용정보조회C &gt; GEA_NICE신용요약정보조회</v>
          </cell>
          <cell r="K241" t="str">
            <v>최종연소득금액</v>
          </cell>
          <cell r="L241" t="str">
            <v>IE0300007</v>
          </cell>
          <cell r="M241" t="str">
            <v>1F003</v>
          </cell>
          <cell r="N241" t="str">
            <v>62</v>
          </cell>
          <cell r="O241" t="str">
            <v>수정</v>
          </cell>
          <cell r="P241" t="str">
            <v>20190325 문서정리작업전 기술되어있음.</v>
          </cell>
          <cell r="Q241" t="str">
            <v>필수(만원단위)</v>
          </cell>
        </row>
        <row r="242">
          <cell r="B242" t="str">
            <v>A3029</v>
          </cell>
          <cell r="C242" t="str">
            <v>Numeric</v>
          </cell>
          <cell r="D242">
            <v>15</v>
          </cell>
          <cell r="E242" t="str">
            <v>NICE직장기반추정소득값(IE0305_000)</v>
          </cell>
          <cell r="F242" t="str">
            <v>제공항목</v>
          </cell>
          <cell r="G242"/>
          <cell r="H242" t="str">
            <v>NICE</v>
          </cell>
          <cell r="I242" t="str">
            <v>GEA_NICE신용요약정보상세전문</v>
          </cell>
          <cell r="J242" t="str">
            <v>NICE신용정보조회C &gt; GEA_NICE신용요약정보조회</v>
          </cell>
          <cell r="K242" t="str">
            <v>직장기반추정소득금액_N15</v>
          </cell>
          <cell r="L242" t="str">
            <v>IE0300010</v>
          </cell>
          <cell r="M242" t="str">
            <v>1F003</v>
          </cell>
          <cell r="N242" t="str">
            <v>62</v>
          </cell>
          <cell r="O242" t="str">
            <v>수정</v>
          </cell>
          <cell r="P242" t="str">
            <v>20190325 문서정리작업전 기술되어있음.</v>
          </cell>
          <cell r="Q242"/>
        </row>
        <row r="243">
          <cell r="B243" t="str">
            <v>A3030</v>
          </cell>
          <cell r="C243" t="str">
            <v>Numeric</v>
          </cell>
          <cell r="D243">
            <v>15</v>
          </cell>
          <cell r="E243" t="str">
            <v>NICE부동산기반추정소득(IE0305_000)</v>
          </cell>
          <cell r="F243" t="str">
            <v>제공항목</v>
          </cell>
          <cell r="G243"/>
          <cell r="H243" t="str">
            <v>NICE</v>
          </cell>
          <cell r="I243" t="str">
            <v>GEA_NICE신용요약정보상세전문</v>
          </cell>
          <cell r="J243" t="str">
            <v>NICE신용정보조회C &gt; GEA_NICE신용요약정보조회</v>
          </cell>
          <cell r="K243" t="str">
            <v>부동산기반추정소득금액_N15</v>
          </cell>
          <cell r="L243" t="str">
            <v>IE0300011</v>
          </cell>
          <cell r="M243" t="str">
            <v>1F003</v>
          </cell>
          <cell r="N243" t="str">
            <v>62</v>
          </cell>
          <cell r="O243" t="str">
            <v>수정</v>
          </cell>
          <cell r="P243" t="str">
            <v>20190325 문서정리작업전 기술되어있음.</v>
          </cell>
          <cell r="Q243"/>
        </row>
        <row r="244">
          <cell r="B244" t="str">
            <v>A3031</v>
          </cell>
          <cell r="C244" t="str">
            <v>Numeric</v>
          </cell>
          <cell r="D244">
            <v>15</v>
          </cell>
          <cell r="E244" t="str">
            <v>NICE신용정보기반추정소득(IE0305_000)</v>
          </cell>
          <cell r="F244" t="str">
            <v>제공항목</v>
          </cell>
          <cell r="G244"/>
          <cell r="H244" t="str">
            <v>NICE</v>
          </cell>
          <cell r="I244" t="str">
            <v>GEA_NICE신용요약정보상세전문</v>
          </cell>
          <cell r="J244" t="str">
            <v>NICE신용정보조회C &gt; GEA_NICE신용요약정보조회</v>
          </cell>
          <cell r="K244" t="str">
            <v>신용정보기반추정소득금액_N15</v>
          </cell>
          <cell r="L244" t="str">
            <v>IE0300012</v>
          </cell>
          <cell r="M244" t="str">
            <v>1F003</v>
          </cell>
          <cell r="N244" t="str">
            <v>62</v>
          </cell>
          <cell r="O244" t="str">
            <v>수정</v>
          </cell>
          <cell r="P244" t="str">
            <v>20190325 문서정리작업전 기술되어있음.</v>
          </cell>
          <cell r="Q244"/>
        </row>
        <row r="245">
          <cell r="B245" t="str">
            <v>A3032</v>
          </cell>
          <cell r="C245" t="str">
            <v>Numeric</v>
          </cell>
          <cell r="D245">
            <v>5</v>
          </cell>
          <cell r="E245" t="str">
            <v>미상환 주택담보 대출총건수</v>
          </cell>
          <cell r="F245" t="str">
            <v>제공항목</v>
          </cell>
          <cell r="G245"/>
          <cell r="H245" t="str">
            <v>NICE</v>
          </cell>
          <cell r="I245" t="str">
            <v>GEA_NICE신용요약정보상세전문</v>
          </cell>
          <cell r="J245" t="str">
            <v>NICE신용정보조회C &gt; GEA_NICE신용요약정보조회</v>
          </cell>
          <cell r="K245" t="str">
            <v>미상환주택담보대출건수</v>
          </cell>
          <cell r="L245" t="str">
            <v>LE0000006</v>
          </cell>
          <cell r="M245" t="str">
            <v>1F003</v>
          </cell>
          <cell r="N245" t="str">
            <v>62</v>
          </cell>
          <cell r="O245" t="str">
            <v>수정</v>
          </cell>
          <cell r="P245" t="str">
            <v>20190325 문서정리작업전 기술되어있음.</v>
          </cell>
          <cell r="Q245"/>
        </row>
        <row r="246">
          <cell r="B246" t="str">
            <v>A3033</v>
          </cell>
          <cell r="C246" t="str">
            <v>String</v>
          </cell>
          <cell r="D246">
            <v>1</v>
          </cell>
          <cell r="E246" t="str">
            <v>기준일 현재 행안부 사망자 여부</v>
          </cell>
          <cell r="F246" t="str">
            <v>제공항목</v>
          </cell>
          <cell r="G246"/>
          <cell r="H246" t="str">
            <v>NICE</v>
          </cell>
          <cell r="I246" t="str">
            <v>GEA_NICE신용요약정보상세전문</v>
          </cell>
          <cell r="J246" t="str">
            <v>NICE신용정보조회C &gt; GEA_NICE신용요약정보조회</v>
          </cell>
          <cell r="K246" t="str">
            <v>사망자여부</v>
          </cell>
          <cell r="L246" t="str">
            <v>LIVESTAT2</v>
          </cell>
          <cell r="M246" t="str">
            <v>1F003</v>
          </cell>
          <cell r="N246" t="str">
            <v>62</v>
          </cell>
          <cell r="O246" t="str">
            <v>수정</v>
          </cell>
          <cell r="P246" t="str">
            <v>20190325 문서정리작업전 기술되어있음.</v>
          </cell>
          <cell r="Q246"/>
        </row>
        <row r="247">
          <cell r="B247" t="str">
            <v>A3034</v>
          </cell>
          <cell r="C247" t="str">
            <v>Numeric</v>
          </cell>
          <cell r="D247">
            <v>15</v>
          </cell>
          <cell r="E247" t="str">
            <v>전은연대출 연간원리금상환금액(기준2)</v>
          </cell>
          <cell r="F247" t="str">
            <v>제공항목</v>
          </cell>
          <cell r="G247"/>
          <cell r="H247" t="str">
            <v>NICE</v>
          </cell>
          <cell r="I247" t="str">
            <v>GEA_NICE신용요약정보상세전문</v>
          </cell>
          <cell r="J247" t="str">
            <v>NICE신용정보조회C &gt; GEA_NICE신용요약정보조회</v>
          </cell>
          <cell r="K247" t="str">
            <v>연간원리금상환금액</v>
          </cell>
          <cell r="L247" t="str">
            <v>LRZ000201</v>
          </cell>
          <cell r="M247" t="str">
            <v>1F003</v>
          </cell>
          <cell r="N247" t="str">
            <v>62</v>
          </cell>
          <cell r="O247" t="str">
            <v>수정</v>
          </cell>
          <cell r="P247" t="str">
            <v>20190325 문서정리작업전 기술되어있음.</v>
          </cell>
          <cell r="Q247"/>
        </row>
        <row r="248">
          <cell r="B248" t="str">
            <v>A3035</v>
          </cell>
          <cell r="C248" t="str">
            <v>Numeric</v>
          </cell>
          <cell r="D248">
            <v>15</v>
          </cell>
          <cell r="E248" t="str">
            <v>전은연대출 연간원리금상환금액(기준2)_주택/부동산담보대출제외</v>
          </cell>
          <cell r="F248" t="str">
            <v>제공항목</v>
          </cell>
          <cell r="G248"/>
          <cell r="H248" t="str">
            <v>NICE</v>
          </cell>
          <cell r="I248" t="str">
            <v>GEA_NICE신용요약정보상세전문</v>
          </cell>
          <cell r="J248" t="str">
            <v>NICE신용정보조회C &gt; GEA_NICE신용요약정보조회</v>
          </cell>
          <cell r="K248" t="str">
            <v>담보제외연간원리금상환금액_N15</v>
          </cell>
          <cell r="L248" t="str">
            <v>LRZ000203</v>
          </cell>
          <cell r="M248" t="str">
            <v>1F003</v>
          </cell>
          <cell r="N248" t="str">
            <v>62</v>
          </cell>
          <cell r="O248" t="str">
            <v>수정</v>
          </cell>
          <cell r="P248" t="str">
            <v>20190325 문서정리작업전 기술되어있음.</v>
          </cell>
          <cell r="Q248"/>
        </row>
        <row r="249">
          <cell r="B249" t="str">
            <v>A3036</v>
          </cell>
          <cell r="C249" t="str">
            <v>Numeric</v>
          </cell>
          <cell r="D249">
            <v>15</v>
          </cell>
          <cell r="E249" t="str">
            <v>최근1개월내 총 연체금액(최초연체발생일기준)</v>
          </cell>
          <cell r="F249" t="str">
            <v>제공항목</v>
          </cell>
          <cell r="G249"/>
          <cell r="H249" t="str">
            <v>NICE</v>
          </cell>
          <cell r="I249" t="str">
            <v>GEA_NICE신용요약정보상세전문</v>
          </cell>
          <cell r="J249" t="str">
            <v>NICE신용정보조회C &gt; GEA_NICE신용요약정보조회</v>
          </cell>
          <cell r="K249" t="str">
            <v>최근1개월총연체금액_N15</v>
          </cell>
          <cell r="L249" t="str">
            <v>P12001000</v>
          </cell>
          <cell r="M249" t="str">
            <v>1F003</v>
          </cell>
          <cell r="N249" t="str">
            <v>62</v>
          </cell>
          <cell r="O249" t="str">
            <v>삭제</v>
          </cell>
          <cell r="P249">
            <v>20200630</v>
          </cell>
          <cell r="Q249"/>
        </row>
        <row r="250">
          <cell r="B250" t="str">
            <v>A3037</v>
          </cell>
          <cell r="C250" t="str">
            <v>Numeric</v>
          </cell>
          <cell r="D250">
            <v>5</v>
          </cell>
          <cell r="E250" t="str">
            <v>미해제 연체 총 건수</v>
          </cell>
          <cell r="F250" t="str">
            <v>제공항목</v>
          </cell>
          <cell r="G250"/>
          <cell r="H250" t="str">
            <v>NICE</v>
          </cell>
          <cell r="I250" t="str">
            <v>GEA_NICE신용요약정보상세전문</v>
          </cell>
          <cell r="J250" t="str">
            <v>NICE신용정보조회C &gt; GEA_NICE신용요약정보조회</v>
          </cell>
          <cell r="K250" t="str">
            <v>NICE미해제연체총건수_N9</v>
          </cell>
          <cell r="L250" t="str">
            <v>P27000100</v>
          </cell>
          <cell r="M250" t="str">
            <v>1F003</v>
          </cell>
          <cell r="N250" t="str">
            <v>62</v>
          </cell>
          <cell r="O250" t="str">
            <v>삭제</v>
          </cell>
          <cell r="P250">
            <v>20200630</v>
          </cell>
          <cell r="Q250"/>
        </row>
        <row r="251">
          <cell r="B251" t="str">
            <v>A3038</v>
          </cell>
          <cell r="C251" t="str">
            <v>Numeric</v>
          </cell>
          <cell r="D251">
            <v>15</v>
          </cell>
          <cell r="E251" t="str">
            <v>미해제 총 연체 금액</v>
          </cell>
          <cell r="F251" t="str">
            <v>제공항목</v>
          </cell>
          <cell r="G251"/>
          <cell r="H251" t="str">
            <v>NICE</v>
          </cell>
          <cell r="I251" t="str">
            <v>GEA_NICE신용요약정보상세전문</v>
          </cell>
          <cell r="J251" t="str">
            <v>NICE신용정보조회C &gt; GEA_NICE신용요약정보조회</v>
          </cell>
          <cell r="K251" t="str">
            <v>NICE미해제연체총금액_N15</v>
          </cell>
          <cell r="L251" t="str">
            <v>P27000300</v>
          </cell>
          <cell r="M251" t="str">
            <v>1F003</v>
          </cell>
          <cell r="N251" t="str">
            <v>62</v>
          </cell>
          <cell r="O251" t="str">
            <v>삭제</v>
          </cell>
          <cell r="P251">
            <v>20200630</v>
          </cell>
          <cell r="Q251"/>
        </row>
        <row r="252">
          <cell r="B252" t="str">
            <v>A3039</v>
          </cell>
          <cell r="C252" t="str">
            <v>Numeric</v>
          </cell>
          <cell r="D252">
            <v>15</v>
          </cell>
          <cell r="E252" t="str">
            <v>연체 총 잔액(해제후1년경과건제외)</v>
          </cell>
          <cell r="F252" t="str">
            <v>제공항목</v>
          </cell>
          <cell r="G252"/>
          <cell r="H252" t="str">
            <v>NICE</v>
          </cell>
          <cell r="I252" t="str">
            <v>GEA_NICE신용요약정보상세전문</v>
          </cell>
          <cell r="J252" t="str">
            <v>NICE신용정보조회C &gt; GEA_NICE신용요약정보조회</v>
          </cell>
          <cell r="K252" t="str">
            <v>총연체잔액_N15</v>
          </cell>
          <cell r="L252" t="str">
            <v>P71010400</v>
          </cell>
          <cell r="M252" t="str">
            <v>1F003</v>
          </cell>
          <cell r="N252" t="str">
            <v>62</v>
          </cell>
          <cell r="O252" t="str">
            <v>수정</v>
          </cell>
          <cell r="P252" t="str">
            <v>20190325 문서정리작업전 기술되어있음.</v>
          </cell>
          <cell r="Q252"/>
        </row>
        <row r="253">
          <cell r="B253" t="str">
            <v>A3040</v>
          </cell>
          <cell r="C253" t="str">
            <v>Numeric</v>
          </cell>
          <cell r="D253">
            <v>5</v>
          </cell>
          <cell r="E253" t="str">
            <v>최근 해제 후 경과일수 (3년내해제건)</v>
          </cell>
          <cell r="F253" t="str">
            <v>제공항목</v>
          </cell>
          <cell r="G253"/>
          <cell r="H253" t="str">
            <v>NICE</v>
          </cell>
          <cell r="I253" t="str">
            <v>GEA_NICE신용요약정보상세전문</v>
          </cell>
          <cell r="J253" t="str">
            <v>NICE신용정보조회C &gt; GEA_NICE신용요약정보조회</v>
          </cell>
          <cell r="K253" t="str">
            <v>최근해제후경과일수_N5</v>
          </cell>
          <cell r="L253" t="str">
            <v>PE0000047</v>
          </cell>
          <cell r="M253" t="str">
            <v>1F003</v>
          </cell>
          <cell r="N253" t="str">
            <v>62</v>
          </cell>
          <cell r="O253" t="str">
            <v>삭제</v>
          </cell>
          <cell r="P253">
            <v>20200630</v>
          </cell>
          <cell r="Q253"/>
        </row>
        <row r="254">
          <cell r="B254" t="str">
            <v>A3041</v>
          </cell>
          <cell r="C254" t="str">
            <v>Numeric</v>
          </cell>
          <cell r="D254">
            <v>5</v>
          </cell>
          <cell r="E254" t="str">
            <v>최근3개월전체업권연체등록건수</v>
          </cell>
          <cell r="F254" t="str">
            <v>제공항목</v>
          </cell>
          <cell r="G254"/>
          <cell r="H254" t="str">
            <v>NICE</v>
          </cell>
          <cell r="I254" t="str">
            <v>GEA_NICE신용요약정보상세전문</v>
          </cell>
          <cell r="J254" t="str">
            <v>NICE신용정보조회C &gt; GEA_NICE신용요약정보조회</v>
          </cell>
          <cell r="K254" t="str">
            <v>최근3개월전체업권연체등록건수</v>
          </cell>
          <cell r="L254" t="str">
            <v>PS0000102</v>
          </cell>
          <cell r="M254" t="str">
            <v>1F003</v>
          </cell>
          <cell r="N254" t="str">
            <v>62</v>
          </cell>
          <cell r="O254" t="str">
            <v>삭제</v>
          </cell>
          <cell r="P254">
            <v>20200630</v>
          </cell>
          <cell r="Q254"/>
        </row>
        <row r="255">
          <cell r="B255" t="str">
            <v>A3042</v>
          </cell>
          <cell r="C255" t="str">
            <v>Numeric</v>
          </cell>
          <cell r="D255">
            <v>15</v>
          </cell>
          <cell r="E255" t="str">
            <v>최근3개월전체업권합계연체금액</v>
          </cell>
          <cell r="F255" t="str">
            <v>제공항목</v>
          </cell>
          <cell r="G255"/>
          <cell r="H255" t="str">
            <v>NICE</v>
          </cell>
          <cell r="I255" t="str">
            <v>GEA_NICE신용요약정보상세전문</v>
          </cell>
          <cell r="J255" t="str">
            <v>NICE신용정보조회C &gt; GEA_NICE신용요약정보조회</v>
          </cell>
          <cell r="K255" t="str">
            <v>최근3개월전체업권연체합계금액</v>
          </cell>
          <cell r="L255" t="str">
            <v>PS0000103</v>
          </cell>
          <cell r="M255" t="str">
            <v>1F003</v>
          </cell>
          <cell r="N255" t="str">
            <v>62</v>
          </cell>
          <cell r="O255" t="str">
            <v>삭제</v>
          </cell>
          <cell r="P255">
            <v>20200630</v>
          </cell>
          <cell r="Q255"/>
        </row>
        <row r="256">
          <cell r="B256" t="str">
            <v>A3043</v>
          </cell>
          <cell r="C256" t="str">
            <v>Numeric</v>
          </cell>
          <cell r="D256">
            <v>5</v>
          </cell>
          <cell r="E256" t="str">
            <v>최근3개월전체업권최장연체일수</v>
          </cell>
          <cell r="F256" t="str">
            <v>제공항목</v>
          </cell>
          <cell r="G256"/>
          <cell r="H256" t="str">
            <v>NICE</v>
          </cell>
          <cell r="I256" t="str">
            <v>GEA_NICE신용요약정보상세전문</v>
          </cell>
          <cell r="J256" t="str">
            <v>NICE신용정보조회C &gt; GEA_NICE신용요약정보조회</v>
          </cell>
          <cell r="K256" t="str">
            <v>최근3개월전체업권최장연체일수</v>
          </cell>
          <cell r="L256" t="str">
            <v>PS0000104</v>
          </cell>
          <cell r="M256" t="str">
            <v>1F003</v>
          </cell>
          <cell r="N256" t="str">
            <v>62</v>
          </cell>
          <cell r="O256" t="str">
            <v>삭제</v>
          </cell>
          <cell r="P256">
            <v>20200630</v>
          </cell>
          <cell r="Q256"/>
        </row>
        <row r="257">
          <cell r="B257" t="str">
            <v>A3044</v>
          </cell>
          <cell r="C257" t="str">
            <v>Numeric</v>
          </cell>
          <cell r="D257">
            <v>5</v>
          </cell>
          <cell r="E257" t="str">
            <v>현재전체업권연체등록건수</v>
          </cell>
          <cell r="F257" t="str">
            <v>제공항목</v>
          </cell>
          <cell r="G257"/>
          <cell r="H257" t="str">
            <v>NICE</v>
          </cell>
          <cell r="I257" t="str">
            <v>GEA_NICE신용요약정보상세전문</v>
          </cell>
          <cell r="J257" t="str">
            <v>NICE신용정보조회C &gt; GEA_NICE신용요약정보조회</v>
          </cell>
          <cell r="K257" t="str">
            <v>현재전체업권연체등록건수</v>
          </cell>
          <cell r="L257" t="str">
            <v>PS0000110</v>
          </cell>
          <cell r="M257" t="str">
            <v>1F003</v>
          </cell>
          <cell r="N257" t="str">
            <v>62</v>
          </cell>
          <cell r="O257" t="str">
            <v>삭제</v>
          </cell>
          <cell r="P257">
            <v>20200630</v>
          </cell>
          <cell r="Q257"/>
        </row>
        <row r="258">
          <cell r="B258" t="str">
            <v>A3045</v>
          </cell>
          <cell r="C258" t="str">
            <v>Numeric</v>
          </cell>
          <cell r="D258">
            <v>15</v>
          </cell>
          <cell r="E258" t="str">
            <v>현재전체업권합계연체금액</v>
          </cell>
          <cell r="F258" t="str">
            <v>제공항목</v>
          </cell>
          <cell r="G258"/>
          <cell r="H258" t="str">
            <v>NICE</v>
          </cell>
          <cell r="I258" t="str">
            <v>GEA_NICE신용요약정보상세전문</v>
          </cell>
          <cell r="J258" t="str">
            <v>NICE신용정보조회C &gt; GEA_NICE신용요약정보조회</v>
          </cell>
          <cell r="K258" t="str">
            <v>현재전체업권연체합계금액</v>
          </cell>
          <cell r="L258" t="str">
            <v>PS0000111</v>
          </cell>
          <cell r="M258" t="str">
            <v>1F003</v>
          </cell>
          <cell r="N258" t="str">
            <v>62</v>
          </cell>
          <cell r="O258" t="str">
            <v>삭제</v>
          </cell>
          <cell r="P258">
            <v>20200630</v>
          </cell>
          <cell r="Q258"/>
        </row>
        <row r="259">
          <cell r="B259" t="str">
            <v>A3046</v>
          </cell>
          <cell r="C259" t="str">
            <v>Numeric</v>
          </cell>
          <cell r="D259">
            <v>5</v>
          </cell>
          <cell r="E259" t="str">
            <v>현재전체업권최장연체일수</v>
          </cell>
          <cell r="F259" t="str">
            <v>제공항목</v>
          </cell>
          <cell r="G259"/>
          <cell r="H259" t="str">
            <v>NICE</v>
          </cell>
          <cell r="I259" t="str">
            <v>GEA_NICE신용요약정보상세전문</v>
          </cell>
          <cell r="J259" t="str">
            <v>NICE신용정보조회C &gt; GEA_NICE신용요약정보조회</v>
          </cell>
          <cell r="K259" t="str">
            <v>현재전체업권최장연체일수</v>
          </cell>
          <cell r="L259" t="str">
            <v>PS0000112</v>
          </cell>
          <cell r="M259" t="str">
            <v>1F003</v>
          </cell>
          <cell r="N259" t="str">
            <v>62</v>
          </cell>
          <cell r="O259" t="str">
            <v>삭제</v>
          </cell>
          <cell r="P259">
            <v>20200630</v>
          </cell>
          <cell r="Q259"/>
        </row>
        <row r="260">
          <cell r="B260" t="str">
            <v>A3047</v>
          </cell>
          <cell r="C260" t="str">
            <v>Numeric</v>
          </cell>
          <cell r="D260">
            <v>5</v>
          </cell>
          <cell r="E260" t="str">
            <v>최장 연체경험기간(해제후1년경과건제외)(최초또는연체금액10만원이상)</v>
          </cell>
          <cell r="F260" t="str">
            <v>제공항목</v>
          </cell>
          <cell r="G260"/>
          <cell r="H260" t="str">
            <v>NICE</v>
          </cell>
          <cell r="I260" t="str">
            <v>GEA_NICE신용요약정보상세전문</v>
          </cell>
          <cell r="J260" t="str">
            <v>NICE신용정보조회C &gt; GEA_NICE신용요약정보조회</v>
          </cell>
          <cell r="K260" t="str">
            <v>최장연체경험기간수</v>
          </cell>
          <cell r="L260" t="str">
            <v>PS0001725</v>
          </cell>
          <cell r="M260" t="str">
            <v>1F003</v>
          </cell>
          <cell r="N260" t="str">
            <v>62</v>
          </cell>
          <cell r="O260" t="str">
            <v>삭제</v>
          </cell>
          <cell r="P260">
            <v>20200630</v>
          </cell>
          <cell r="Q260"/>
        </row>
        <row r="261">
          <cell r="B261" t="str">
            <v>A3048</v>
          </cell>
          <cell r="C261" t="str">
            <v>Numeric</v>
          </cell>
          <cell r="D261">
            <v>15</v>
          </cell>
          <cell r="E261" t="str">
            <v>최근3개월내 총 연체금액(최초연체발생일기준)</v>
          </cell>
          <cell r="F261" t="str">
            <v>제공항목</v>
          </cell>
          <cell r="G261"/>
          <cell r="H261" t="str">
            <v>NICE</v>
          </cell>
          <cell r="I261" t="str">
            <v>GEA_NICE신용요약정보상세전문</v>
          </cell>
          <cell r="J261" t="str">
            <v>NICE신용정보조회C &gt; GEA_NICE신용요약정보조회</v>
          </cell>
          <cell r="K261" t="str">
            <v>최근3개월연체합계금액</v>
          </cell>
          <cell r="L261" t="str">
            <v>PS0001730</v>
          </cell>
          <cell r="M261" t="str">
            <v>1F003</v>
          </cell>
          <cell r="N261" t="str">
            <v>62</v>
          </cell>
          <cell r="O261" t="str">
            <v>삭제</v>
          </cell>
          <cell r="P261">
            <v>20200630</v>
          </cell>
          <cell r="Q261"/>
        </row>
        <row r="262">
          <cell r="B262" t="str">
            <v>A3049</v>
          </cell>
          <cell r="C262" t="str">
            <v>Numeric</v>
          </cell>
          <cell r="D262">
            <v>5</v>
          </cell>
          <cell r="E262" t="str">
            <v>최근6개월내 경험한 연체 총 건수(10만원미만제외)</v>
          </cell>
          <cell r="F262" t="str">
            <v>제공항목</v>
          </cell>
          <cell r="G262"/>
          <cell r="H262" t="str">
            <v>NICE</v>
          </cell>
          <cell r="I262" t="str">
            <v>GEA_NICE신용요약정보상세전문</v>
          </cell>
          <cell r="J262" t="str">
            <v>NICE신용정보조회C &gt; GEA_NICE신용요약정보조회</v>
          </cell>
          <cell r="K262" t="str">
            <v>최근6개월연체건수</v>
          </cell>
          <cell r="L262" t="str">
            <v>PS0001896</v>
          </cell>
          <cell r="M262" t="str">
            <v>1F003</v>
          </cell>
          <cell r="N262" t="str">
            <v>62</v>
          </cell>
          <cell r="O262" t="str">
            <v>삭제</v>
          </cell>
          <cell r="P262">
            <v>20200630</v>
          </cell>
          <cell r="Q262"/>
        </row>
        <row r="263">
          <cell r="B263" t="str">
            <v>A3050</v>
          </cell>
          <cell r="C263" t="str">
            <v>String</v>
          </cell>
          <cell r="D263">
            <v>4</v>
          </cell>
          <cell r="E263" t="str">
            <v>TIP스코어등급</v>
          </cell>
          <cell r="F263" t="str">
            <v>제공항목</v>
          </cell>
          <cell r="G263"/>
          <cell r="H263" t="str">
            <v>NICE</v>
          </cell>
          <cell r="I263" t="str">
            <v>GEA_NICE신용평점정보상세전문</v>
          </cell>
          <cell r="J263" t="str">
            <v>NICE신용정보조회C &gt; GEA_NICE신용평점정보조회</v>
          </cell>
          <cell r="K263" t="str">
            <v>신용정보부족스코어등급코드_V4</v>
          </cell>
          <cell r="L263" t="str">
            <v>ML0100_001</v>
          </cell>
          <cell r="M263" t="str">
            <v>1F003</v>
          </cell>
          <cell r="N263" t="str">
            <v>64</v>
          </cell>
          <cell r="O263" t="str">
            <v>수정</v>
          </cell>
          <cell r="P263" t="str">
            <v>20190325 문서정리작업전 기술되어있음.</v>
          </cell>
          <cell r="Q263"/>
        </row>
        <row r="264">
          <cell r="B264" t="str">
            <v>A3051</v>
          </cell>
          <cell r="C264" t="str">
            <v>String</v>
          </cell>
          <cell r="D264">
            <v>4</v>
          </cell>
          <cell r="E264" t="str">
            <v>개인파산정보내용</v>
          </cell>
          <cell r="F264" t="str">
            <v>제공항목</v>
          </cell>
          <cell r="G264"/>
          <cell r="H264" t="str">
            <v>NICE</v>
          </cell>
          <cell r="I264" t="str">
            <v>GEA_NICE신용평점정보상세전문</v>
          </cell>
          <cell r="J264" t="str">
            <v>NICE신용정보조회C &gt; GEA_NICE신용평점정보조회</v>
          </cell>
          <cell r="K264" t="str">
            <v>개인파산정보내용_V4</v>
          </cell>
          <cell r="L264" t="str">
            <v>NK0200_000</v>
          </cell>
          <cell r="M264" t="str">
            <v>1F003</v>
          </cell>
          <cell r="N264" t="str">
            <v>64</v>
          </cell>
          <cell r="O264" t="str">
            <v>수정</v>
          </cell>
          <cell r="P264" t="str">
            <v>20190325 문서정리작업전 기술되어있음.</v>
          </cell>
          <cell r="Q264"/>
        </row>
        <row r="265">
          <cell r="B265" t="str">
            <v>A3052</v>
          </cell>
          <cell r="C265" t="str">
            <v>String</v>
          </cell>
          <cell r="D265">
            <v>4</v>
          </cell>
          <cell r="E265" t="str">
            <v>NICE PI등급</v>
          </cell>
          <cell r="F265" t="str">
            <v>제공항목</v>
          </cell>
          <cell r="G265"/>
          <cell r="H265" t="str">
            <v>NICE</v>
          </cell>
          <cell r="I265" t="str">
            <v>GEA_NICE신용평점정보상세전문</v>
          </cell>
          <cell r="J265" t="str">
            <v>NICE신용정보조회C &gt; GEA_NICE신용평점정보조회</v>
          </cell>
          <cell r="K265" t="str">
            <v>NICE파산건전성등급코드</v>
          </cell>
          <cell r="L265" t="str">
            <v>NK0300_000</v>
          </cell>
          <cell r="M265" t="str">
            <v>1F003</v>
          </cell>
          <cell r="N265" t="str">
            <v>64</v>
          </cell>
          <cell r="O265" t="str">
            <v>수정</v>
          </cell>
          <cell r="P265" t="str">
            <v>20190325 문서정리작업전 기술되어있음.</v>
          </cell>
          <cell r="Q265"/>
        </row>
        <row r="266">
          <cell r="B266" t="str">
            <v>A3053</v>
          </cell>
          <cell r="C266" t="str">
            <v>String</v>
          </cell>
          <cell r="D266">
            <v>4</v>
          </cell>
          <cell r="E266" t="str">
            <v>NICE PI플러스등급</v>
          </cell>
          <cell r="F266" t="str">
            <v>제공항목</v>
          </cell>
          <cell r="G266"/>
          <cell r="H266" t="str">
            <v>NICE</v>
          </cell>
          <cell r="I266" t="str">
            <v>GEA_NICE신용평점정보상세전문</v>
          </cell>
          <cell r="J266" t="str">
            <v>NICE신용정보조회C &gt; GEA_NICE신용평점정보조회</v>
          </cell>
          <cell r="K266" t="str">
            <v>NICE파산건전성플러스등급코드</v>
          </cell>
          <cell r="L266" t="str">
            <v>PD1300_000</v>
          </cell>
          <cell r="M266" t="str">
            <v>1F003</v>
          </cell>
          <cell r="N266" t="str">
            <v>64</v>
          </cell>
          <cell r="O266" t="str">
            <v>수정</v>
          </cell>
          <cell r="P266" t="str">
            <v>20190325 문서정리작업전 기술되어있음.</v>
          </cell>
          <cell r="Q266"/>
        </row>
        <row r="267">
          <cell r="B267" t="str">
            <v>A3054</v>
          </cell>
          <cell r="C267" t="str">
            <v>String</v>
          </cell>
          <cell r="D267">
            <v>4</v>
          </cell>
          <cell r="E267" t="str">
            <v>거래패턴(CP)스코어등급</v>
          </cell>
          <cell r="F267" t="str">
            <v>제공항목</v>
          </cell>
          <cell r="G267"/>
          <cell r="H267" t="str">
            <v>NICE</v>
          </cell>
          <cell r="I267" t="str">
            <v>GEA_NICE신용평점정보상세전문</v>
          </cell>
          <cell r="J267" t="str">
            <v>NICE신용정보조회C &gt; GEA_NICE신용평점정보조회</v>
          </cell>
          <cell r="K267" t="str">
            <v>거래패턴스코어등급코드_V4</v>
          </cell>
          <cell r="L267" t="str">
            <v>PD2400_000</v>
          </cell>
          <cell r="M267" t="str">
            <v>1F003</v>
          </cell>
          <cell r="N267" t="str">
            <v>64</v>
          </cell>
          <cell r="O267" t="str">
            <v>수정</v>
          </cell>
          <cell r="P267" t="str">
            <v>20190325 문서정리작업전 기술되어있음.</v>
          </cell>
          <cell r="Q267"/>
        </row>
        <row r="268">
          <cell r="B268" t="str">
            <v>A3055</v>
          </cell>
          <cell r="C268" t="str">
            <v>String</v>
          </cell>
          <cell r="D268">
            <v>4</v>
          </cell>
          <cell r="E268" t="str">
            <v>NICE DeP등급</v>
          </cell>
          <cell r="F268" t="str">
            <v>제공항목</v>
          </cell>
          <cell r="G268"/>
          <cell r="H268" t="str">
            <v>NICE</v>
          </cell>
          <cell r="I268" t="str">
            <v>GEA_NICE신용평점정보상세전문</v>
          </cell>
          <cell r="J268" t="str">
            <v>NICE신용정보조회C &gt; GEA_NICE신용평점정보조회</v>
          </cell>
          <cell r="K268" t="str">
            <v>NICE채무건전성스코어등급코드</v>
          </cell>
          <cell r="L268" t="str">
            <v>RK0200_001</v>
          </cell>
          <cell r="M268" t="str">
            <v>1F003</v>
          </cell>
          <cell r="N268" t="str">
            <v>64</v>
          </cell>
          <cell r="O268" t="str">
            <v>수정</v>
          </cell>
          <cell r="P268" t="str">
            <v>20190325 문서정리작업전 기술되어있음.</v>
          </cell>
          <cell r="Q268"/>
        </row>
        <row r="269">
          <cell r="B269" t="str">
            <v>A3056</v>
          </cell>
          <cell r="C269" t="str">
            <v>String</v>
          </cell>
          <cell r="D269">
            <v>4</v>
          </cell>
          <cell r="E269" t="str">
            <v>NICE CB등급</v>
          </cell>
          <cell r="F269" t="str">
            <v>제공항목</v>
          </cell>
          <cell r="G269"/>
          <cell r="H269" t="str">
            <v>NICE</v>
          </cell>
          <cell r="I269" t="str">
            <v>GEA_NICE신용평점정보상세전문</v>
          </cell>
          <cell r="J269" t="str">
            <v>NICE신용정보조회C &gt; GEA_NICE신용평점정보조회</v>
          </cell>
          <cell r="K269" t="str">
            <v>NICE신용등급구분코드</v>
          </cell>
          <cell r="L269" t="str">
            <v>RK0400_000</v>
          </cell>
          <cell r="M269" t="str">
            <v>1F003</v>
          </cell>
          <cell r="N269" t="str">
            <v>64</v>
          </cell>
          <cell r="O269" t="str">
            <v>수정</v>
          </cell>
          <cell r="P269" t="str">
            <v>20190711 0003등급 이하이어야 한도금액(R0002) 나옴
20190325 문서정리작업전 기술되어있음.</v>
          </cell>
          <cell r="Q269"/>
        </row>
        <row r="270">
          <cell r="B270" t="str">
            <v>A3057</v>
          </cell>
          <cell r="C270" t="str">
            <v>String</v>
          </cell>
          <cell r="D270">
            <v>4</v>
          </cell>
          <cell r="E270" t="str">
            <v>NICE SP등급</v>
          </cell>
          <cell r="F270" t="str">
            <v>제공항목</v>
          </cell>
          <cell r="G270"/>
          <cell r="H270" t="str">
            <v>NICE</v>
          </cell>
          <cell r="I270" t="str">
            <v>GEA_NICE신용평점정보상세전문</v>
          </cell>
          <cell r="J270" t="str">
            <v>NICE신용정보조회C &gt; GEA_NICE신용평점정보조회</v>
          </cell>
          <cell r="K270" t="str">
            <v>NICE서브프라임부실등급코드_V4</v>
          </cell>
          <cell r="L270" t="str">
            <v>RK0400_700</v>
          </cell>
          <cell r="M270" t="str">
            <v>1F003</v>
          </cell>
          <cell r="N270" t="str">
            <v>64</v>
          </cell>
          <cell r="O270" t="str">
            <v>수정</v>
          </cell>
          <cell r="P270" t="str">
            <v>20190325 문서정리작업전 기술되어있음.</v>
          </cell>
          <cell r="Q270"/>
        </row>
        <row r="271">
          <cell r="B271" t="str">
            <v>A3058</v>
          </cell>
          <cell r="C271" t="str">
            <v>String</v>
          </cell>
          <cell r="D271">
            <v>4</v>
          </cell>
          <cell r="E271" t="str">
            <v>LGU+ Telco 등급</v>
          </cell>
          <cell r="F271" t="str">
            <v>제공항목</v>
          </cell>
          <cell r="G271"/>
          <cell r="H271" t="str">
            <v>NICE</v>
          </cell>
          <cell r="I271" t="str">
            <v>GEA_NICE신용평점정보상세전문</v>
          </cell>
          <cell r="J271" t="str">
            <v>NICE신용정보조회C &gt; GEA_NICE신용평점정보조회</v>
          </cell>
          <cell r="K271" t="str">
            <v>LGU고객신용등급코드</v>
          </cell>
          <cell r="L271" t="str">
            <v>TS0100_000</v>
          </cell>
          <cell r="M271" t="str">
            <v>1F003</v>
          </cell>
          <cell r="N271" t="str">
            <v>64</v>
          </cell>
          <cell r="O271" t="str">
            <v>수정</v>
          </cell>
          <cell r="P271" t="str">
            <v>20190325 문서정리작업전 기술되어있음.</v>
          </cell>
          <cell r="Q271"/>
        </row>
        <row r="272">
          <cell r="B272" t="str">
            <v>A3059</v>
          </cell>
          <cell r="C272" t="str">
            <v>String</v>
          </cell>
          <cell r="D272">
            <v>4</v>
          </cell>
          <cell r="E272" t="str">
            <v>과다채무지수</v>
          </cell>
          <cell r="F272" t="str">
            <v>제공항목</v>
          </cell>
          <cell r="G272"/>
          <cell r="H272" t="str">
            <v>NICE</v>
          </cell>
          <cell r="I272" t="str">
            <v>GEA_NICE신용평점정보상세전문</v>
          </cell>
          <cell r="J272" t="str">
            <v>NICE신용정보조회C &gt; GEA_NICE신용평점정보조회</v>
          </cell>
          <cell r="K272" t="str">
            <v>과다채무지수_V4</v>
          </cell>
          <cell r="L272" t="str">
            <v>PD0300_000</v>
          </cell>
          <cell r="M272" t="str">
            <v>1F003</v>
          </cell>
          <cell r="N272" t="str">
            <v>64</v>
          </cell>
          <cell r="O272" t="str">
            <v>수정</v>
          </cell>
          <cell r="P272" t="str">
            <v>20190325 문서정리작업전 기술되어있음.</v>
          </cell>
          <cell r="Q272"/>
        </row>
        <row r="273">
          <cell r="B273" t="str">
            <v>A3060</v>
          </cell>
          <cell r="C273" t="str">
            <v>String</v>
          </cell>
          <cell r="D273">
            <v>4</v>
          </cell>
          <cell r="E273" t="str">
            <v>론니즈등급구분</v>
          </cell>
          <cell r="F273" t="str">
            <v>제공항목</v>
          </cell>
          <cell r="G273"/>
          <cell r="H273" t="str">
            <v>NICE</v>
          </cell>
          <cell r="I273" t="str">
            <v>GEA_NICE신용평점정보상세전문</v>
          </cell>
          <cell r="J273" t="str">
            <v>NICE신용정보조회C &gt; GEA_NICE신용평점정보조회</v>
          </cell>
          <cell r="K273" t="str">
            <v>론니즈등급구분_V4</v>
          </cell>
          <cell r="L273" t="str">
            <v>ND0100_201</v>
          </cell>
          <cell r="M273" t="str">
            <v>1F003</v>
          </cell>
          <cell r="N273" t="str">
            <v>64</v>
          </cell>
          <cell r="O273" t="str">
            <v>수정</v>
          </cell>
          <cell r="P273" t="str">
            <v>20190325 문서정리작업전 기술되어있음.</v>
          </cell>
          <cell r="Q273"/>
        </row>
        <row r="274">
          <cell r="B274" t="str">
            <v>A3061</v>
          </cell>
          <cell r="C274" t="str">
            <v>String</v>
          </cell>
          <cell r="D274">
            <v>4</v>
          </cell>
          <cell r="E274" t="str">
            <v>론니즈등급구분2</v>
          </cell>
          <cell r="F274" t="str">
            <v>제공항목</v>
          </cell>
          <cell r="G274"/>
          <cell r="H274" t="str">
            <v>NICE</v>
          </cell>
          <cell r="I274" t="str">
            <v>GEA_NICE신용평점정보상세전문</v>
          </cell>
          <cell r="J274" t="str">
            <v>NICE신용정보조회C &gt; GEA_NICE신용평점정보조회</v>
          </cell>
          <cell r="K274" t="str">
            <v>론니즈등급구분2_V4</v>
          </cell>
          <cell r="L274" t="str">
            <v>ND0200_201</v>
          </cell>
          <cell r="M274"/>
          <cell r="N274">
            <v>64</v>
          </cell>
          <cell r="O274" t="str">
            <v>추가</v>
          </cell>
          <cell r="P274" t="str">
            <v>20190325 문서정리작업전 기술되어있음.</v>
          </cell>
          <cell r="Q274"/>
        </row>
        <row r="275">
          <cell r="B275" t="str">
            <v>A3062</v>
          </cell>
          <cell r="C275" t="str">
            <v>String</v>
          </cell>
          <cell r="D275">
            <v>1</v>
          </cell>
          <cell r="E275" t="str">
            <v>최근 3영업일(D-2~D-0) 內 2기관이상 취급</v>
          </cell>
          <cell r="F275" t="str">
            <v>제공항목</v>
          </cell>
          <cell r="G275"/>
          <cell r="H275" t="str">
            <v>NICE</v>
          </cell>
          <cell r="I275" t="str">
            <v>GEA_NICE동시대출전문
GEA_NICE동시대출상세전문</v>
          </cell>
          <cell r="J275" t="str">
            <v>NICE대출조회C &gt; GEA_NICE동시대출건수조회</v>
          </cell>
          <cell r="K275" t="str">
            <v>대상건수_N10</v>
          </cell>
          <cell r="L275"/>
          <cell r="M275" t="str">
            <v>13003</v>
          </cell>
          <cell r="N275"/>
          <cell r="O275" t="str">
            <v>수정</v>
          </cell>
          <cell r="P275" t="str">
            <v>20190325 문서정리작업전 기술되어있음.</v>
          </cell>
          <cell r="Q275"/>
        </row>
        <row r="276">
          <cell r="B276" t="str">
            <v>A3063</v>
          </cell>
          <cell r="C276" t="str">
            <v>String</v>
          </cell>
          <cell r="D276">
            <v>1</v>
          </cell>
          <cell r="E276" t="str">
            <v>NICE타사연체등재여부</v>
          </cell>
          <cell r="F276" t="str">
            <v>제공항목</v>
          </cell>
          <cell r="G276"/>
          <cell r="H276" t="str">
            <v>NICE</v>
          </cell>
          <cell r="I276" t="str">
            <v>GEA_NICE연체정보상세전문</v>
          </cell>
          <cell r="J276" t="str">
            <v>NICE신용정보조회C &gt; GEA_NICE연체정보조회</v>
          </cell>
          <cell r="K276" t="str">
            <v>NICE연체여부</v>
          </cell>
          <cell r="L276" t="str">
            <v>TBGEAA215건수</v>
          </cell>
          <cell r="M276"/>
          <cell r="N276">
            <v>18</v>
          </cell>
          <cell r="O276" t="str">
            <v>추가</v>
          </cell>
          <cell r="P276" t="str">
            <v>20190325 문서정리작업전 기술되어있음.</v>
          </cell>
          <cell r="Q276"/>
        </row>
        <row r="277">
          <cell r="B277" t="str">
            <v>A3064</v>
          </cell>
          <cell r="C277" t="str">
            <v>Numeric</v>
          </cell>
          <cell r="D277">
            <v>15</v>
          </cell>
          <cell r="E277" t="str">
            <v>최종연소득금액</v>
          </cell>
          <cell r="F277" t="str">
            <v>제공항목</v>
          </cell>
          <cell r="G277"/>
          <cell r="H277" t="str">
            <v>NICE</v>
          </cell>
          <cell r="I277" t="str">
            <v>GEA_NICE신용요약정보상세전문</v>
          </cell>
          <cell r="J277" t="str">
            <v>NICE신용정보조회C &gt; GEA_NICE신용요약정보조회</v>
          </cell>
          <cell r="K277" t="str">
            <v>최종연소득금액_N15</v>
          </cell>
          <cell r="L277" t="str">
            <v>IE0400007</v>
          </cell>
          <cell r="M277"/>
          <cell r="N277"/>
          <cell r="O277" t="str">
            <v>추가</v>
          </cell>
          <cell r="P277">
            <v>20200204</v>
          </cell>
          <cell r="Q277"/>
        </row>
        <row r="278">
          <cell r="B278" t="str">
            <v>A3065</v>
          </cell>
          <cell r="C278" t="str">
            <v>String</v>
          </cell>
          <cell r="D278">
            <v>1</v>
          </cell>
          <cell r="E278" t="str">
            <v>등록연소득정보보유여부</v>
          </cell>
          <cell r="F278" t="str">
            <v>제공항목</v>
          </cell>
          <cell r="G278"/>
          <cell r="H278" t="str">
            <v>NICE</v>
          </cell>
          <cell r="I278" t="str">
            <v>GEA_NICE신용요약정보상세전문</v>
          </cell>
          <cell r="J278" t="str">
            <v>NICE신용정보조회C &gt; GEA_NICE신용요약정보조회</v>
          </cell>
          <cell r="K278" t="str">
            <v>등록연소득정보보유여부_V1</v>
          </cell>
          <cell r="L278" t="str">
            <v>IE0400001</v>
          </cell>
          <cell r="M278"/>
          <cell r="N278"/>
          <cell r="O278" t="str">
            <v>추가</v>
          </cell>
          <cell r="P278">
            <v>20200204</v>
          </cell>
          <cell r="Q278"/>
        </row>
        <row r="279">
          <cell r="B279" t="str">
            <v>A3066</v>
          </cell>
          <cell r="C279" t="str">
            <v>Numeric</v>
          </cell>
          <cell r="D279">
            <v>15</v>
          </cell>
          <cell r="E279" t="str">
            <v>등록연소득금액</v>
          </cell>
          <cell r="F279" t="str">
            <v>제공항목</v>
          </cell>
          <cell r="G279"/>
          <cell r="H279" t="str">
            <v>NICE</v>
          </cell>
          <cell r="I279" t="str">
            <v>GEA_NICE신용요약정보상세전문</v>
          </cell>
          <cell r="J279" t="str">
            <v>NICE신용정보조회C &gt; GEA_NICE신용요약정보조회</v>
          </cell>
          <cell r="K279" t="str">
            <v>등록연소득금액_N15</v>
          </cell>
          <cell r="L279" t="str">
            <v>IE0400002</v>
          </cell>
          <cell r="M279"/>
          <cell r="N279"/>
          <cell r="O279" t="str">
            <v>추가</v>
          </cell>
          <cell r="P279">
            <v>20200204</v>
          </cell>
          <cell r="Q279"/>
        </row>
        <row r="280">
          <cell r="B280" t="str">
            <v>A3067</v>
          </cell>
          <cell r="C280" t="str">
            <v>String</v>
          </cell>
          <cell r="D280">
            <v>9</v>
          </cell>
          <cell r="E280" t="str">
            <v>등록연소득업계</v>
          </cell>
          <cell r="F280" t="str">
            <v>제공항목</v>
          </cell>
          <cell r="G280"/>
          <cell r="H280" t="str">
            <v>NICE</v>
          </cell>
          <cell r="I280" t="str">
            <v>GEA_NICE신용요약정보상세전문</v>
          </cell>
          <cell r="J280" t="str">
            <v>NICE신용정보조회C &gt; GEA_NICE신용요약정보조회</v>
          </cell>
          <cell r="K280" t="str">
            <v>등록연소득업계_V9</v>
          </cell>
          <cell r="L280" t="str">
            <v>IE0400003</v>
          </cell>
          <cell r="M280"/>
          <cell r="N280"/>
          <cell r="O280" t="str">
            <v>추가</v>
          </cell>
          <cell r="P280">
            <v>20200204</v>
          </cell>
          <cell r="Q280"/>
        </row>
        <row r="281">
          <cell r="B281" t="str">
            <v>A3068</v>
          </cell>
          <cell r="C281" t="str">
            <v>String</v>
          </cell>
          <cell r="D281">
            <v>8</v>
          </cell>
          <cell r="E281" t="str">
            <v>등록연소득입수일자</v>
          </cell>
          <cell r="F281" t="str">
            <v>제공항목</v>
          </cell>
          <cell r="G281"/>
          <cell r="H281" t="str">
            <v>NICE</v>
          </cell>
          <cell r="I281" t="str">
            <v>GEA_NICE신용요약정보상세전문</v>
          </cell>
          <cell r="J281" t="str">
            <v>NICE신용정보조회C &gt; GEA_NICE신용요약정보조회</v>
          </cell>
          <cell r="K281" t="str">
            <v>등록연소득입수일자_V8</v>
          </cell>
          <cell r="L281" t="str">
            <v>IE0400004</v>
          </cell>
          <cell r="M281"/>
          <cell r="N281"/>
          <cell r="O281" t="str">
            <v>추가</v>
          </cell>
          <cell r="P281">
            <v>20200204</v>
          </cell>
          <cell r="Q281"/>
        </row>
        <row r="282">
          <cell r="B282" t="str">
            <v>A3069</v>
          </cell>
          <cell r="C282" t="str">
            <v>Numeric</v>
          </cell>
          <cell r="D282">
            <v>15</v>
          </cell>
          <cell r="E282" t="str">
            <v>추정연소득금액</v>
          </cell>
          <cell r="F282" t="str">
            <v>제공항목</v>
          </cell>
          <cell r="G282"/>
          <cell r="H282" t="str">
            <v>NICE</v>
          </cell>
          <cell r="I282" t="str">
            <v>GEA_NICE신용요약정보상세전문</v>
          </cell>
          <cell r="J282" t="str">
            <v>NICE신용정보조회C &gt; GEA_NICE신용요약정보조회</v>
          </cell>
          <cell r="K282" t="str">
            <v>추정연소득금액_N15</v>
          </cell>
          <cell r="L282" t="str">
            <v>IE0400005</v>
          </cell>
          <cell r="M282"/>
          <cell r="N282"/>
          <cell r="O282" t="str">
            <v>추가</v>
          </cell>
          <cell r="P282">
            <v>20200204</v>
          </cell>
          <cell r="Q282"/>
        </row>
        <row r="283">
          <cell r="B283" t="str">
            <v>A3070</v>
          </cell>
          <cell r="C283" t="str">
            <v>String</v>
          </cell>
          <cell r="D283">
            <v>9</v>
          </cell>
          <cell r="E283" t="str">
            <v>추정연소득모형구분</v>
          </cell>
          <cell r="F283" t="str">
            <v>제공항목</v>
          </cell>
          <cell r="G283"/>
          <cell r="H283" t="str">
            <v>NICE</v>
          </cell>
          <cell r="I283" t="str">
            <v>GEA_NICE신용요약정보상세전문</v>
          </cell>
          <cell r="J283" t="str">
            <v>NICE신용정보조회C &gt; GEA_NICE신용요약정보조회</v>
          </cell>
          <cell r="K283" t="str">
            <v>추정연소득모형구분_V9</v>
          </cell>
          <cell r="L283" t="str">
            <v>IE0400006</v>
          </cell>
          <cell r="M283"/>
          <cell r="N283"/>
          <cell r="O283" t="str">
            <v>추가</v>
          </cell>
          <cell r="P283">
            <v>20200204</v>
          </cell>
          <cell r="Q283"/>
        </row>
        <row r="284">
          <cell r="B284" t="str">
            <v>A3071</v>
          </cell>
          <cell r="C284" t="str">
            <v>String</v>
          </cell>
          <cell r="D284">
            <v>9</v>
          </cell>
          <cell r="E284" t="str">
            <v>최종소득등급</v>
          </cell>
          <cell r="F284" t="str">
            <v>제공항목</v>
          </cell>
          <cell r="G284"/>
          <cell r="H284" t="str">
            <v>NICE</v>
          </cell>
          <cell r="I284" t="str">
            <v>GEA_NICE신용요약정보상세전문</v>
          </cell>
          <cell r="J284" t="str">
            <v>NICE신용정보조회C &gt; GEA_NICE신용요약정보조회</v>
          </cell>
          <cell r="K284" t="str">
            <v>최종소득등급_V9</v>
          </cell>
          <cell r="L284" t="str">
            <v>IE0400008</v>
          </cell>
          <cell r="M284"/>
          <cell r="N284"/>
          <cell r="O284" t="str">
            <v>추가</v>
          </cell>
          <cell r="P284">
            <v>20200204</v>
          </cell>
          <cell r="Q284"/>
        </row>
        <row r="285">
          <cell r="B285" t="str">
            <v>A3072</v>
          </cell>
          <cell r="C285" t="str">
            <v>String</v>
          </cell>
          <cell r="D285">
            <v>9</v>
          </cell>
          <cell r="E285" t="str">
            <v>소득등급적용배제사유</v>
          </cell>
          <cell r="F285" t="str">
            <v>제공항목</v>
          </cell>
          <cell r="G285"/>
          <cell r="H285" t="str">
            <v>NICE</v>
          </cell>
          <cell r="I285" t="str">
            <v>GEA_NICE신용요약정보상세전문</v>
          </cell>
          <cell r="J285" t="str">
            <v>NICE신용정보조회C &gt; GEA_NICE신용요약정보조회</v>
          </cell>
          <cell r="K285" t="str">
            <v>소득등급적용배제사유_V9</v>
          </cell>
          <cell r="L285" t="str">
            <v>IE0400009</v>
          </cell>
          <cell r="M285"/>
          <cell r="N285"/>
          <cell r="O285" t="str">
            <v>추가</v>
          </cell>
          <cell r="P285">
            <v>20200204</v>
          </cell>
          <cell r="Q285"/>
        </row>
        <row r="286">
          <cell r="B286" t="str">
            <v>A3073</v>
          </cell>
          <cell r="C286" t="str">
            <v>Numeric</v>
          </cell>
          <cell r="D286">
            <v>15</v>
          </cell>
          <cell r="E286" t="str">
            <v>최근1년내은행업계에서등록한최대실연소득금액</v>
          </cell>
          <cell r="F286" t="str">
            <v>제공항목</v>
          </cell>
          <cell r="G286"/>
          <cell r="H286" t="str">
            <v>NICE</v>
          </cell>
          <cell r="I286" t="str">
            <v>GEA_NICE신용요약정보상세전문</v>
          </cell>
          <cell r="J286" t="str">
            <v>NICE신용정보조회C &gt; GEA_NICE신용요약정보조회</v>
          </cell>
          <cell r="K286" t="str">
            <v>최근1년내은행업계에서등록한최대실연소득금액_N15</v>
          </cell>
          <cell r="L286" t="str">
            <v>IE0400021</v>
          </cell>
          <cell r="M286"/>
          <cell r="N286"/>
          <cell r="O286" t="str">
            <v>추가</v>
          </cell>
          <cell r="P286">
            <v>20200204</v>
          </cell>
          <cell r="Q286"/>
        </row>
        <row r="287">
          <cell r="B287" t="str">
            <v>A3074</v>
          </cell>
          <cell r="C287" t="str">
            <v>String</v>
          </cell>
          <cell r="D287">
            <v>5</v>
          </cell>
          <cell r="E287" t="str">
            <v>NICE스코어</v>
          </cell>
          <cell r="F287" t="str">
            <v>제공항목</v>
          </cell>
          <cell r="G287"/>
          <cell r="H287" t="str">
            <v>NICE</v>
          </cell>
          <cell r="I287" t="str">
            <v>GEA_NICE신용평점정보상세전문</v>
          </cell>
          <cell r="J287" t="str">
            <v>NICE신용정보조회C &gt; GEA_NICE신용평점정보조회</v>
          </cell>
          <cell r="K287" t="str">
            <v>NICE스코어_V5</v>
          </cell>
          <cell r="L287" t="str">
            <v>RK0600_000</v>
          </cell>
          <cell r="M287"/>
          <cell r="N287"/>
          <cell r="O287" t="str">
            <v>추가</v>
          </cell>
          <cell r="P287">
            <v>20200630</v>
          </cell>
          <cell r="Q287"/>
        </row>
        <row r="288">
          <cell r="B288" t="str">
            <v>A4001</v>
          </cell>
          <cell r="C288" t="str">
            <v>Numeric</v>
          </cell>
          <cell r="D288">
            <v>5</v>
          </cell>
          <cell r="E288" t="str">
            <v>1개월전(15일)신용카드단기카드대출(CA)이용기관수(해지포함)</v>
          </cell>
          <cell r="F288" t="str">
            <v>제공항목</v>
          </cell>
          <cell r="G288"/>
          <cell r="H288" t="str">
            <v>KCB</v>
          </cell>
          <cell r="I288" t="str">
            <v>GEA_KCB신용정보전문
GEA_KCB신용평점정보상세전문
GEA_KCB신용요약정보상세전문</v>
          </cell>
          <cell r="J288" t="str">
            <v>KCB신용정보조회C &gt; GEA_KCB신용요약정보조회</v>
          </cell>
          <cell r="K288" t="str">
            <v>1개월전신용카드이용기관수_N9</v>
          </cell>
          <cell r="L288" t="str">
            <v>C1Z001025</v>
          </cell>
          <cell r="M288" t="str">
            <v>0410/437</v>
          </cell>
          <cell r="N288"/>
          <cell r="O288" t="str">
            <v>삭제</v>
          </cell>
          <cell r="P288">
            <v>20200630</v>
          </cell>
          <cell r="Q288"/>
        </row>
        <row r="289">
          <cell r="B289" t="str">
            <v>A4002</v>
          </cell>
          <cell r="C289" t="str">
            <v>Numeric</v>
          </cell>
          <cell r="D289">
            <v>15</v>
          </cell>
          <cell r="E289" t="str">
            <v>1개월전(15일)카드단기카드대출(CA)총이용금액(해지포함)</v>
          </cell>
          <cell r="F289" t="str">
            <v>제공항목</v>
          </cell>
          <cell r="G289"/>
          <cell r="H289" t="str">
            <v>KCB</v>
          </cell>
          <cell r="I289" t="str">
            <v>GEA_KCB신용정보전문
GEA_KCB신용평점정보상세전문
GEA_KCB신용요약정보상세전문</v>
          </cell>
          <cell r="J289" t="str">
            <v>KCB신용정보조회C &gt; GEA_KCB신용요약정보조회</v>
          </cell>
          <cell r="K289" t="str">
            <v>1개월전신용카드총이용금액_N15</v>
          </cell>
          <cell r="L289" t="str">
            <v>C1N237W1P</v>
          </cell>
          <cell r="M289" t="str">
            <v>0410/437</v>
          </cell>
          <cell r="N289"/>
          <cell r="O289" t="str">
            <v>삭제</v>
          </cell>
          <cell r="P289">
            <v>20200630</v>
          </cell>
          <cell r="Q289"/>
        </row>
        <row r="290">
          <cell r="B290" t="str">
            <v>A4003</v>
          </cell>
          <cell r="C290" t="str">
            <v>Numeric</v>
          </cell>
          <cell r="D290">
            <v>15</v>
          </cell>
          <cell r="E290" t="str">
            <v>1개월전카드총리볼빙이용잔액(해지포함)</v>
          </cell>
          <cell r="F290" t="str">
            <v>제공항목</v>
          </cell>
          <cell r="G290"/>
          <cell r="H290" t="str">
            <v>KCB</v>
          </cell>
          <cell r="I290" t="str">
            <v>GEA_KCB신용정보전문
GEA_KCB신용평점정보상세전문
GEA_KCB신용요약정보상세전문</v>
          </cell>
          <cell r="J290" t="str">
            <v>KCB신용정보조회C &gt; GEA_KCB신용요약정보조회</v>
          </cell>
          <cell r="K290" t="str">
            <v>1개월이전카드총리볼빙이용잔액_N15</v>
          </cell>
          <cell r="L290" t="str">
            <v>C1N13U001</v>
          </cell>
          <cell r="M290" t="str">
            <v>0410/437</v>
          </cell>
          <cell r="N290"/>
          <cell r="O290" t="str">
            <v>삭제</v>
          </cell>
          <cell r="P290">
            <v>20200630</v>
          </cell>
          <cell r="Q290"/>
        </row>
        <row r="291">
          <cell r="B291" t="str">
            <v>A4004</v>
          </cell>
          <cell r="C291" t="str">
            <v>Numeric</v>
          </cell>
          <cell r="D291">
            <v>5</v>
          </cell>
          <cell r="E291" t="str">
            <v>CA이용잔액보유카드기관건수</v>
          </cell>
          <cell r="F291" t="str">
            <v>제공항목</v>
          </cell>
          <cell r="G291"/>
          <cell r="H291" t="str">
            <v>KCB</v>
          </cell>
          <cell r="I291" t="str">
            <v>GEA_KCB신용정보전문
GEA_KCB신용평점정보상세전문
GEA_KCB신용요약정보상세전문</v>
          </cell>
          <cell r="J291" t="str">
            <v>KCB신용정보조회C &gt; GEA_KCB신용요약정보조회</v>
          </cell>
          <cell r="K291" t="str">
            <v>CA이용잔액보유카드기관수</v>
          </cell>
          <cell r="L291" t="str">
            <v>C1N228000</v>
          </cell>
          <cell r="M291" t="str">
            <v>0410/437</v>
          </cell>
          <cell r="N291"/>
          <cell r="O291" t="str">
            <v>수정</v>
          </cell>
          <cell r="P291" t="str">
            <v>20190325 문서정리작업전 기술되어있음.</v>
          </cell>
          <cell r="Q291"/>
        </row>
        <row r="292">
          <cell r="B292" t="str">
            <v>A4005</v>
          </cell>
          <cell r="C292" t="str">
            <v>Numeric</v>
          </cell>
          <cell r="D292">
            <v>15</v>
          </cell>
          <cell r="E292" t="str">
            <v>3개월내(15일)카드신판이용개월수(해지포함)</v>
          </cell>
          <cell r="F292" t="str">
            <v>제공항목</v>
          </cell>
          <cell r="G292"/>
          <cell r="H292" t="str">
            <v>KCB</v>
          </cell>
          <cell r="I292" t="str">
            <v>GEA_KCB신용정보전문
GEA_KCB신용평점정보상세전문
GEA_KCB신용요약정보상세전문</v>
          </cell>
          <cell r="J292" t="str">
            <v>KCB신용정보조회C &gt; GEA_KCB신용요약정보조회</v>
          </cell>
          <cell r="K292" t="str">
            <v>3개월내카드신용판매이용개월수_N15</v>
          </cell>
          <cell r="L292" t="str">
            <v>C1Z001117</v>
          </cell>
          <cell r="M292" t="str">
            <v>0410/437</v>
          </cell>
          <cell r="N292"/>
          <cell r="O292" t="str">
            <v>삭제</v>
          </cell>
          <cell r="P292">
            <v>20200630</v>
          </cell>
          <cell r="Q292"/>
        </row>
        <row r="293">
          <cell r="B293" t="str">
            <v>A4006</v>
          </cell>
          <cell r="C293" t="str">
            <v>Numeric</v>
          </cell>
          <cell r="D293">
            <v>5</v>
          </cell>
          <cell r="E293" t="str">
            <v>3개월내(15일)카드단기카드대출(CA)이용개월수(해지포함)</v>
          </cell>
          <cell r="F293" t="str">
            <v>제공항목</v>
          </cell>
          <cell r="G293"/>
          <cell r="H293" t="str">
            <v>KCB</v>
          </cell>
          <cell r="I293" t="str">
            <v>GEA_KCB신용정보전문
GEA_KCB신용평점정보상세전문
GEA_KCB신용요약정보상세전문</v>
          </cell>
          <cell r="J293" t="str">
            <v>KCB신용정보조회C &gt; GEA_KCB신용요약정보조회</v>
          </cell>
          <cell r="K293" t="str">
            <v>3개월내CA이용개월수_N5</v>
          </cell>
          <cell r="L293" t="str">
            <v>C1Z000752</v>
          </cell>
          <cell r="M293" t="str">
            <v>0410/437</v>
          </cell>
          <cell r="N293"/>
          <cell r="O293" t="str">
            <v>삭제</v>
          </cell>
          <cell r="P293">
            <v>20200630</v>
          </cell>
          <cell r="Q293"/>
        </row>
        <row r="294">
          <cell r="B294" t="str">
            <v>A4007</v>
          </cell>
          <cell r="C294" t="str">
            <v>Numeric</v>
          </cell>
          <cell r="D294">
            <v>5</v>
          </cell>
          <cell r="E294" t="str">
            <v>3개월전(15일)카드단기카드대출(CA)이용기관수(해지포함)</v>
          </cell>
          <cell r="F294" t="str">
            <v>제공항목</v>
          </cell>
          <cell r="G294"/>
          <cell r="H294" t="str">
            <v>KCB</v>
          </cell>
          <cell r="I294" t="str">
            <v>GEA_KCB신용정보전문
GEA_KCB신용평점정보상세전문
GEA_KCB신용요약정보상세전문</v>
          </cell>
          <cell r="J294" t="str">
            <v>KCB신용정보조회C &gt; GEA_KCB신용요약정보조회</v>
          </cell>
          <cell r="K294" t="str">
            <v>3개월전CA이용기관수_N5</v>
          </cell>
          <cell r="L294" t="str">
            <v>C1N127W3P</v>
          </cell>
          <cell r="M294" t="str">
            <v>0410/437</v>
          </cell>
          <cell r="N294"/>
          <cell r="O294" t="str">
            <v>삭제</v>
          </cell>
          <cell r="P294">
            <v>20200630</v>
          </cell>
          <cell r="Q294"/>
        </row>
        <row r="295">
          <cell r="B295" t="str">
            <v>A4008</v>
          </cell>
          <cell r="C295" t="str">
            <v>Numeric</v>
          </cell>
          <cell r="D295">
            <v>15</v>
          </cell>
          <cell r="E295" t="str">
            <v>3개월전(15일)신용카드단기카드대출(CA)총이용금액(해지포함)</v>
          </cell>
          <cell r="F295" t="str">
            <v>제공항목</v>
          </cell>
          <cell r="G295"/>
          <cell r="H295" t="str">
            <v>KCB</v>
          </cell>
          <cell r="I295" t="str">
            <v>GEA_KCB신용정보전문
GEA_KCB신용평점정보상세전문
GEA_KCB신용요약정보상세전문</v>
          </cell>
          <cell r="J295" t="str">
            <v>KCB신용정보조회C &gt; GEA_KCB신용요약정보조회</v>
          </cell>
          <cell r="K295" t="str">
            <v>N3개월전CA이용금액</v>
          </cell>
          <cell r="L295" t="str">
            <v>C1M237W3P</v>
          </cell>
          <cell r="M295" t="str">
            <v>0410/437</v>
          </cell>
          <cell r="N295"/>
          <cell r="O295" t="str">
            <v>삭제</v>
          </cell>
          <cell r="P295">
            <v>20200630</v>
          </cell>
          <cell r="Q295"/>
        </row>
        <row r="296">
          <cell r="B296" t="str">
            <v>A4009</v>
          </cell>
          <cell r="C296" t="str">
            <v>Numeric</v>
          </cell>
          <cell r="D296">
            <v>5</v>
          </cell>
          <cell r="E296" t="str">
            <v>최근3개월연체건수(KB포함)</v>
          </cell>
          <cell r="F296" t="str">
            <v>제공항목</v>
          </cell>
          <cell r="G296"/>
          <cell r="H296" t="str">
            <v>KCB</v>
          </cell>
          <cell r="I296" t="str">
            <v>GEA_KCB신용정보전문
GEA_KCB신용평점정보상세전문
GEA_KCB신용요약정보상세전문</v>
          </cell>
          <cell r="J296" t="str">
            <v>KCB신용정보조회C &gt; GEA_KCB신용요약정보조회</v>
          </cell>
          <cell r="K296" t="str">
            <v>최근3개월연체건수</v>
          </cell>
          <cell r="L296" t="str">
            <v>D10110D0K</v>
          </cell>
          <cell r="M296" t="str">
            <v>0410/437</v>
          </cell>
          <cell r="N296"/>
          <cell r="O296" t="str">
            <v>삭제</v>
          </cell>
          <cell r="P296">
            <v>20200630</v>
          </cell>
          <cell r="Q296"/>
        </row>
        <row r="297">
          <cell r="B297" t="str">
            <v>A4010</v>
          </cell>
          <cell r="C297" t="str">
            <v>Numeric</v>
          </cell>
          <cell r="D297">
            <v>5</v>
          </cell>
          <cell r="E297" t="str">
            <v>최근6개월전체업권연체등록건수</v>
          </cell>
          <cell r="F297" t="str">
            <v>제공항목</v>
          </cell>
          <cell r="G297"/>
          <cell r="H297" t="str">
            <v>KCB</v>
          </cell>
          <cell r="I297" t="str">
            <v>GEA_KCB신용정보전문
GEA_KCB신용평점정보상세전문
GEA_KCB신용요약정보상세전문</v>
          </cell>
          <cell r="J297" t="str">
            <v>KCB신용정보조회C &gt; GEA_KCB신용요약정보조회</v>
          </cell>
          <cell r="K297" t="str">
            <v>최근6개월전체업권연체등록건수</v>
          </cell>
          <cell r="L297" t="str">
            <v>D10110D0N</v>
          </cell>
          <cell r="M297" t="str">
            <v>0410/437</v>
          </cell>
          <cell r="N297"/>
          <cell r="O297" t="str">
            <v>삭제</v>
          </cell>
          <cell r="P297">
            <v>20200630</v>
          </cell>
          <cell r="Q297"/>
        </row>
        <row r="298">
          <cell r="B298" t="str">
            <v>A4011</v>
          </cell>
          <cell r="C298" t="str">
            <v>Numeric</v>
          </cell>
          <cell r="D298">
            <v>5</v>
          </cell>
          <cell r="E298" t="str">
            <v>최근12개월전체업권연체등록건수</v>
          </cell>
          <cell r="F298" t="str">
            <v>제공항목</v>
          </cell>
          <cell r="G298"/>
          <cell r="H298" t="str">
            <v>KCB</v>
          </cell>
          <cell r="I298" t="str">
            <v>GEA_KCB신용정보전문
GEA_KCB신용평점정보상세전문
GEA_KCB신용요약정보상세전문</v>
          </cell>
          <cell r="J298" t="str">
            <v>KCB신용정보조회C &gt; GEA_KCB신용요약정보조회</v>
          </cell>
          <cell r="K298" t="str">
            <v>최근12개월업권연체등록건수_N5</v>
          </cell>
          <cell r="L298" t="str">
            <v>D10110D0T</v>
          </cell>
          <cell r="M298" t="str">
            <v>0410/437</v>
          </cell>
          <cell r="N298"/>
          <cell r="O298" t="str">
            <v>삭제</v>
          </cell>
          <cell r="P298">
            <v>20200630</v>
          </cell>
          <cell r="Q298"/>
        </row>
        <row r="299">
          <cell r="B299" t="str">
            <v>A4012</v>
          </cell>
          <cell r="C299" t="str">
            <v>Numeric</v>
          </cell>
          <cell r="D299">
            <v>15</v>
          </cell>
          <cell r="E299" t="str">
            <v>총최초연체금액(1개월내발생)(해제포함)</v>
          </cell>
          <cell r="F299" t="str">
            <v>제공항목</v>
          </cell>
          <cell r="G299"/>
          <cell r="H299" t="str">
            <v>KCB</v>
          </cell>
          <cell r="I299" t="str">
            <v>GEA_KCB신용정보전문
GEA_KCB신용평점정보상세전문
GEA_KCB신용요약정보상세전문</v>
          </cell>
          <cell r="J299" t="str">
            <v>KCB신용정보조회C &gt; GEA_KCB신용요약정보조회</v>
          </cell>
          <cell r="K299" t="str">
            <v>1개월내발생총최초연체금액_N15</v>
          </cell>
          <cell r="L299" t="str">
            <v>D10131001</v>
          </cell>
          <cell r="M299" t="str">
            <v>0410/437</v>
          </cell>
          <cell r="N299"/>
          <cell r="O299" t="str">
            <v>삭제</v>
          </cell>
          <cell r="P299">
            <v>20200630</v>
          </cell>
          <cell r="Q299"/>
        </row>
        <row r="300">
          <cell r="B300" t="str">
            <v>A4013</v>
          </cell>
          <cell r="C300" t="str">
            <v>Numeric</v>
          </cell>
          <cell r="D300">
            <v>15</v>
          </cell>
          <cell r="E300" t="str">
            <v>총최초연체금액(3개월내발생)(해제포함)</v>
          </cell>
          <cell r="F300" t="str">
            <v>제공항목</v>
          </cell>
          <cell r="G300"/>
          <cell r="H300" t="str">
            <v>KCB</v>
          </cell>
          <cell r="I300" t="str">
            <v>GEA_KCB신용정보전문
GEA_KCB신용평점정보상세전문
GEA_KCB신용요약정보상세전문</v>
          </cell>
          <cell r="J300" t="str">
            <v>KCB신용정보조회C &gt; GEA_KCB신용요약정보조회</v>
          </cell>
          <cell r="K300" t="str">
            <v>3개월내발생총최초연체금액_N15</v>
          </cell>
          <cell r="L300" t="str">
            <v>D10131003</v>
          </cell>
          <cell r="M300" t="str">
            <v>0410/437</v>
          </cell>
          <cell r="N300"/>
          <cell r="O300" t="str">
            <v>삭제</v>
          </cell>
          <cell r="P300">
            <v>20200630</v>
          </cell>
          <cell r="Q300"/>
        </row>
        <row r="301">
          <cell r="B301" t="str">
            <v>A4014</v>
          </cell>
          <cell r="C301" t="str">
            <v>Numeric</v>
          </cell>
          <cell r="D301">
            <v>15</v>
          </cell>
          <cell r="E301" t="str">
            <v>총최고(경험)연체금액(대지금포함)(6개월내유지)(해제포함)</v>
          </cell>
          <cell r="F301" t="str">
            <v>제공항목</v>
          </cell>
          <cell r="G301"/>
          <cell r="H301" t="str">
            <v>KCB</v>
          </cell>
          <cell r="I301" t="str">
            <v>GEA_KCB신용정보전문
GEA_KCB신용평점정보상세전문
GEA_KCB신용요약정보상세전문</v>
          </cell>
          <cell r="J301" t="str">
            <v>KCB신용정보조회C &gt; GEA_KCB신용요약정보조회</v>
          </cell>
          <cell r="K301" t="str">
            <v>총최고연체금액_N15</v>
          </cell>
          <cell r="L301" t="str">
            <v>D10132D0N</v>
          </cell>
          <cell r="M301" t="str">
            <v>0410/437</v>
          </cell>
          <cell r="N301"/>
          <cell r="O301" t="str">
            <v>삭제</v>
          </cell>
          <cell r="P301">
            <v>20200630</v>
          </cell>
          <cell r="Q301"/>
        </row>
        <row r="302">
          <cell r="B302" t="str">
            <v>A4015</v>
          </cell>
          <cell r="C302" t="str">
            <v>Numeric</v>
          </cell>
          <cell r="D302">
            <v>5</v>
          </cell>
          <cell r="E302" t="str">
            <v>최근1년합계연체일수</v>
          </cell>
          <cell r="F302" t="str">
            <v>제공항목</v>
          </cell>
          <cell r="G302"/>
          <cell r="H302" t="str">
            <v>KCB</v>
          </cell>
          <cell r="I302" t="str">
            <v>GEA_KCB신용정보전문
GEA_KCB신용평점정보상세전문
GEA_KCB신용요약정보상세전문</v>
          </cell>
          <cell r="J302" t="str">
            <v>KCB신용정보조회C &gt; GEA_KCB신용요약정보조회</v>
          </cell>
          <cell r="K302" t="str">
            <v>최근1년합계연체일수_N5</v>
          </cell>
          <cell r="L302" t="str">
            <v>D1013AD0T</v>
          </cell>
          <cell r="M302" t="str">
            <v>0410/437</v>
          </cell>
          <cell r="N302"/>
          <cell r="O302" t="str">
            <v>삭제</v>
          </cell>
          <cell r="P302">
            <v>20200630</v>
          </cell>
          <cell r="Q302"/>
        </row>
        <row r="303">
          <cell r="B303" t="str">
            <v>A4016</v>
          </cell>
          <cell r="C303" t="str">
            <v>Numeric</v>
          </cell>
          <cell r="D303">
            <v>5</v>
          </cell>
          <cell r="E303" t="str">
            <v>최장연체일수(해제포함)</v>
          </cell>
          <cell r="F303" t="str">
            <v>제공항목</v>
          </cell>
          <cell r="G303"/>
          <cell r="H303" t="str">
            <v>KCB</v>
          </cell>
          <cell r="I303" t="str">
            <v>GEA_KCB신용정보전문
GEA_KCB신용평점정보상세전문
GEA_KCB신용요약정보상세전문</v>
          </cell>
          <cell r="J303" t="str">
            <v>KCB신용정보조회C &gt; GEA_KCB신용요약정보조회</v>
          </cell>
          <cell r="K303" t="str">
            <v>최장연체일수</v>
          </cell>
          <cell r="L303" t="str">
            <v>D10175000</v>
          </cell>
          <cell r="M303" t="str">
            <v>0410/437</v>
          </cell>
          <cell r="N303"/>
          <cell r="O303" t="str">
            <v>수정</v>
          </cell>
          <cell r="P303" t="str">
            <v>20190325 문서정리작업전 기술되어있음.</v>
          </cell>
          <cell r="Q303"/>
        </row>
        <row r="304">
          <cell r="B304" t="str">
            <v>A4017</v>
          </cell>
          <cell r="C304" t="str">
            <v>Numeric</v>
          </cell>
          <cell r="D304">
            <v>5</v>
          </cell>
          <cell r="E304" t="str">
            <v>최근연체해제후경과일수(KB포함)</v>
          </cell>
          <cell r="F304" t="str">
            <v>제공항목</v>
          </cell>
          <cell r="G304"/>
          <cell r="H304" t="str">
            <v>KCB</v>
          </cell>
          <cell r="I304" t="str">
            <v>GEA_KCB신용정보전문
GEA_KCB신용평점정보상세전문
GEA_KCB신용요약정보상세전문</v>
          </cell>
          <cell r="J304" t="str">
            <v>KCB신용정보조회C &gt; GEA_KCB신용요약정보조회</v>
          </cell>
          <cell r="K304" t="str">
            <v>최근연체해제후경과일수_N5</v>
          </cell>
          <cell r="L304" t="str">
            <v>D10187D0F</v>
          </cell>
          <cell r="M304" t="str">
            <v>0410/437</v>
          </cell>
          <cell r="N304"/>
          <cell r="O304" t="str">
            <v>수정</v>
          </cell>
          <cell r="P304" t="str">
            <v>20190325 문서정리작업전 기술되어있음.</v>
          </cell>
          <cell r="Q304"/>
        </row>
        <row r="305">
          <cell r="B305" t="str">
            <v>A4018</v>
          </cell>
          <cell r="C305" t="str">
            <v>Numeric</v>
          </cell>
          <cell r="D305">
            <v>5</v>
          </cell>
          <cell r="E305" t="str">
            <v>연체건수(미해제)(대지급포함)</v>
          </cell>
          <cell r="F305" t="str">
            <v>제공항목</v>
          </cell>
          <cell r="G305"/>
          <cell r="H305" t="str">
            <v>KCB</v>
          </cell>
          <cell r="I305" t="str">
            <v>GEA_KCB신용정보전문
GEA_KCB신용평점정보상세전문
GEA_KCB신용요약정보상세전문</v>
          </cell>
          <cell r="J305" t="str">
            <v>KCB신용정보조회C &gt; GEA_KCB신용요약정보조회</v>
          </cell>
          <cell r="K305" t="str">
            <v>연체건수</v>
          </cell>
          <cell r="L305" t="str">
            <v>D10210D00</v>
          </cell>
          <cell r="M305" t="str">
            <v>0410/437</v>
          </cell>
          <cell r="N305"/>
          <cell r="O305" t="str">
            <v>수정</v>
          </cell>
          <cell r="P305" t="str">
            <v>20190325 문서정리작업전 기술되어있음.</v>
          </cell>
          <cell r="Q305"/>
        </row>
        <row r="306">
          <cell r="B306" t="str">
            <v>A4019</v>
          </cell>
          <cell r="C306" t="str">
            <v>Numeric</v>
          </cell>
          <cell r="D306">
            <v>15</v>
          </cell>
          <cell r="E306" t="str">
            <v>총연체금액(미해제)(대지급포함)</v>
          </cell>
          <cell r="F306" t="str">
            <v>제공항목</v>
          </cell>
          <cell r="G306"/>
          <cell r="H306" t="str">
            <v>KCB</v>
          </cell>
          <cell r="I306" t="str">
            <v>GEA_KCB신용정보전문
GEA_KCB신용평점정보상세전문
GEA_KCB신용요약정보상세전문</v>
          </cell>
          <cell r="J306" t="str">
            <v>KCB신용정보조회C &gt; GEA_KCB신용요약정보조회</v>
          </cell>
          <cell r="K306" t="str">
            <v>총연체금액_N15</v>
          </cell>
          <cell r="L306" t="str">
            <v>D10232D00</v>
          </cell>
          <cell r="M306" t="str">
            <v>0410/437</v>
          </cell>
          <cell r="N306"/>
          <cell r="O306" t="str">
            <v>수정</v>
          </cell>
          <cell r="P306" t="str">
            <v>20190325 문서정리작업전 기술되어있음.</v>
          </cell>
          <cell r="Q306"/>
        </row>
        <row r="307">
          <cell r="B307" t="str">
            <v>A4020</v>
          </cell>
          <cell r="C307" t="str">
            <v>Numeric</v>
          </cell>
          <cell r="D307">
            <v>5</v>
          </cell>
          <cell r="E307" t="str">
            <v>전근6월최장연체일수</v>
          </cell>
          <cell r="F307" t="str">
            <v>제공항목</v>
          </cell>
          <cell r="G307"/>
          <cell r="H307" t="str">
            <v>KCB</v>
          </cell>
          <cell r="I307" t="str">
            <v>GEA_KCB신용정보전문
GEA_KCB신용평점정보상세전문
GEA_KCB신용요약정보상세전문</v>
          </cell>
          <cell r="J307" t="str">
            <v>KCB신용정보조회C &gt; GEA_KCB신용요약정보조회</v>
          </cell>
          <cell r="K307" t="str">
            <v>전체최근6개월최장연체일수_N5</v>
          </cell>
          <cell r="L307" t="str">
            <v>D1Z001168</v>
          </cell>
          <cell r="M307" t="str">
            <v>0410/437</v>
          </cell>
          <cell r="N307"/>
          <cell r="O307" t="str">
            <v>수정</v>
          </cell>
          <cell r="P307" t="str">
            <v>20190325 문서정리작업전 기술되어있음.</v>
          </cell>
          <cell r="Q307"/>
        </row>
        <row r="308">
          <cell r="B308" t="str">
            <v>A4021</v>
          </cell>
          <cell r="C308" t="str">
            <v>Numeric</v>
          </cell>
          <cell r="D308">
            <v>5</v>
          </cell>
          <cell r="E308" t="str">
            <v>채무불이행(신용정보사)건수(미해제)</v>
          </cell>
          <cell r="F308" t="str">
            <v>제공항목</v>
          </cell>
          <cell r="G308"/>
          <cell r="H308" t="str">
            <v>KCB</v>
          </cell>
          <cell r="I308" t="str">
            <v>GEA_KCB신용정보전문
GEA_KCB신용평점정보상세전문
GEA_KCB신용요약정보상세전문</v>
          </cell>
          <cell r="J308" t="str">
            <v>KCB신용정보조회C &gt; GEA_KCB신용요약정보조회</v>
          </cell>
          <cell r="K308" t="str">
            <v>채무불이행미해제건수</v>
          </cell>
          <cell r="L308" t="str">
            <v>D30210000</v>
          </cell>
          <cell r="M308" t="str">
            <v>0410/437</v>
          </cell>
          <cell r="N308"/>
          <cell r="O308" t="str">
            <v>삭제</v>
          </cell>
          <cell r="P308">
            <v>20200630</v>
          </cell>
          <cell r="Q308"/>
        </row>
        <row r="309">
          <cell r="B309" t="str">
            <v>A4022</v>
          </cell>
          <cell r="C309" t="str">
            <v>Numeric</v>
          </cell>
          <cell r="D309">
            <v>5</v>
          </cell>
          <cell r="E309" t="str">
            <v>현재미상환신용대출건수(KB포함)</v>
          </cell>
          <cell r="F309" t="str">
            <v>제공항목</v>
          </cell>
          <cell r="G309"/>
          <cell r="H309" t="str">
            <v>KCB</v>
          </cell>
          <cell r="I309" t="str">
            <v>GEA_KCB신용정보전문
GEA_KCB신용평점정보상세전문
GEA_KCB신용요약정보상세전문</v>
          </cell>
          <cell r="J309" t="str">
            <v>KCB신용정보조회C &gt; GEA_KCB신용요약정보조회</v>
          </cell>
          <cell r="K309" t="str">
            <v>현재미상환신용대출건수</v>
          </cell>
          <cell r="L309" t="str">
            <v>L10216000</v>
          </cell>
          <cell r="M309" t="str">
            <v>0410/437</v>
          </cell>
          <cell r="N309"/>
          <cell r="O309" t="str">
            <v>삭제</v>
          </cell>
          <cell r="P309">
            <v>20200630</v>
          </cell>
          <cell r="Q309"/>
        </row>
        <row r="310">
          <cell r="B310" t="str">
            <v>A4023</v>
          </cell>
          <cell r="C310" t="str">
            <v>Numeric</v>
          </cell>
          <cell r="D310">
            <v>5</v>
          </cell>
          <cell r="E310" t="str">
            <v>장기카드대출(카드론)대출기관수(미해지)</v>
          </cell>
          <cell r="F310" t="str">
            <v>제공항목</v>
          </cell>
          <cell r="G310"/>
          <cell r="H310" t="str">
            <v>KCB</v>
          </cell>
          <cell r="I310" t="str">
            <v>GEA_KCB신용정보전문
GEA_KCB신용평점정보상세전문
GEA_KCB신용요약정보상세전문</v>
          </cell>
          <cell r="J310" t="str">
            <v>KCB신용정보조회C &gt; GEA_KCB신용요약정보조회</v>
          </cell>
          <cell r="K310" t="str">
            <v>장기카드대출미해지대출기관수_N5</v>
          </cell>
          <cell r="L310" t="str">
            <v>L1K220000</v>
          </cell>
          <cell r="M310" t="str">
            <v>0410/437</v>
          </cell>
          <cell r="N310"/>
          <cell r="O310" t="str">
            <v>삭제</v>
          </cell>
          <cell r="P310">
            <v>20200630</v>
          </cell>
          <cell r="Q310"/>
        </row>
        <row r="311">
          <cell r="B311" t="str">
            <v>A4024</v>
          </cell>
          <cell r="C311" t="str">
            <v>Numeric</v>
          </cell>
          <cell r="D311">
            <v>5</v>
          </cell>
          <cell r="E311" t="str">
            <v>은행업종순수신용대출기관수(미해지)</v>
          </cell>
          <cell r="F311" t="str">
            <v>제공항목</v>
          </cell>
          <cell r="G311"/>
          <cell r="H311" t="str">
            <v>KCB</v>
          </cell>
          <cell r="I311" t="str">
            <v>GEA_KCB신용정보전문
GEA_KCB신용평점정보상세전문
GEA_KCB신용요약정보상세전문</v>
          </cell>
          <cell r="J311" t="str">
            <v>KCB신용정보조회C &gt; GEA_KCB신용요약정보조회</v>
          </cell>
          <cell r="K311" t="str">
            <v>은행업종신용대출기관수_N5</v>
          </cell>
          <cell r="L311" t="str">
            <v>L1Z000707</v>
          </cell>
          <cell r="M311" t="str">
            <v>0410/437</v>
          </cell>
          <cell r="N311"/>
          <cell r="O311" t="str">
            <v>삭제</v>
          </cell>
          <cell r="P311">
            <v>20200630</v>
          </cell>
          <cell r="Q311"/>
        </row>
        <row r="312">
          <cell r="B312" t="str">
            <v>A4025</v>
          </cell>
          <cell r="C312" t="str">
            <v>Numeric</v>
          </cell>
          <cell r="D312">
            <v>5</v>
          </cell>
          <cell r="E312" t="str">
            <v>할부금융업종순수신용대출기관수(미해지)</v>
          </cell>
          <cell r="F312" t="str">
            <v>제공항목</v>
          </cell>
          <cell r="G312"/>
          <cell r="H312" t="str">
            <v>KCB</v>
          </cell>
          <cell r="I312" t="str">
            <v>GEA_KCB신용정보전문
GEA_KCB신용평점정보상세전문
GEA_KCB신용요약정보상세전문</v>
          </cell>
          <cell r="J312" t="str">
            <v>KCB신용정보조회C &gt; GEA_KCB신용요약정보조회</v>
          </cell>
          <cell r="K312" t="str">
            <v>할부금융업종신용대출기관수_N5</v>
          </cell>
          <cell r="L312" t="str">
            <v>L1Z000710</v>
          </cell>
          <cell r="M312" t="str">
            <v>0410/437</v>
          </cell>
          <cell r="N312"/>
          <cell r="O312" t="str">
            <v>삭제</v>
          </cell>
          <cell r="P312">
            <v>20200630</v>
          </cell>
          <cell r="Q312"/>
        </row>
        <row r="313">
          <cell r="B313" t="str">
            <v>A4026</v>
          </cell>
          <cell r="C313" t="str">
            <v>Numeric</v>
          </cell>
          <cell r="D313">
            <v>5</v>
          </cell>
          <cell r="E313" t="str">
            <v>저축은행업종순수신용대출기관수(미해지)</v>
          </cell>
          <cell r="F313" t="str">
            <v>제공항목</v>
          </cell>
          <cell r="G313"/>
          <cell r="H313" t="str">
            <v>KCB</v>
          </cell>
          <cell r="I313" t="str">
            <v>GEA_KCB신용정보전문
GEA_KCB신용평점정보상세전문
GEA_KCB신용요약정보상세전문</v>
          </cell>
          <cell r="J313" t="str">
            <v>KCB신용정보조회C &gt; GEA_KCB신용요약정보조회</v>
          </cell>
          <cell r="K313" t="str">
            <v>저축은행업권대출기관수_N5</v>
          </cell>
          <cell r="L313" t="str">
            <v>L1Z000711</v>
          </cell>
          <cell r="M313" t="str">
            <v>0410/437</v>
          </cell>
          <cell r="N313"/>
          <cell r="O313" t="str">
            <v>삭제</v>
          </cell>
          <cell r="P313">
            <v>20200630</v>
          </cell>
          <cell r="Q313"/>
        </row>
        <row r="314">
          <cell r="B314" t="str">
            <v>A4027</v>
          </cell>
          <cell r="C314" t="str">
            <v>Numeric</v>
          </cell>
          <cell r="D314">
            <v>5</v>
          </cell>
          <cell r="E314" t="str">
            <v>카드업종순수신용대출기관수(미해지)</v>
          </cell>
          <cell r="F314" t="str">
            <v>제공항목</v>
          </cell>
          <cell r="G314"/>
          <cell r="H314" t="str">
            <v>KCB</v>
          </cell>
          <cell r="I314" t="str">
            <v>GEA_KCB신용정보전문
GEA_KCB신용평점정보상세전문
GEA_KCB신용요약정보상세전문</v>
          </cell>
          <cell r="J314" t="str">
            <v>KCB신용정보조회C &gt; GEA_KCB신용요약정보조회</v>
          </cell>
          <cell r="K314" t="str">
            <v>카드업권신용대출기관수</v>
          </cell>
          <cell r="L314" t="str">
            <v>L1Z000714</v>
          </cell>
          <cell r="M314" t="str">
            <v>0410/437</v>
          </cell>
          <cell r="N314"/>
          <cell r="O314" t="str">
            <v>삭제</v>
          </cell>
          <cell r="P314">
            <v>20200630</v>
          </cell>
          <cell r="Q314"/>
        </row>
        <row r="315">
          <cell r="B315" t="str">
            <v>A4028</v>
          </cell>
          <cell r="C315" t="str">
            <v>Numeric</v>
          </cell>
          <cell r="D315">
            <v>5</v>
          </cell>
          <cell r="E315" t="str">
            <v>보험업종순수신용대출기관수(미해지)</v>
          </cell>
          <cell r="F315" t="str">
            <v>제공항목</v>
          </cell>
          <cell r="G315"/>
          <cell r="H315" t="str">
            <v>KCB</v>
          </cell>
          <cell r="I315" t="str">
            <v>GEA_KCB신용정보전문
GEA_KCB신용평점정보상세전문
GEA_KCB신용요약정보상세전문</v>
          </cell>
          <cell r="J315" t="str">
            <v>KCB신용정보조회C &gt; GEA_KCB신용요약정보조회</v>
          </cell>
          <cell r="K315" t="str">
            <v>보험업권신용대출기관수</v>
          </cell>
          <cell r="L315" t="str">
            <v>L1Z000715</v>
          </cell>
          <cell r="M315" t="str">
            <v>0410/437</v>
          </cell>
          <cell r="N315"/>
          <cell r="O315" t="str">
            <v>삭제</v>
          </cell>
          <cell r="P315">
            <v>20200630</v>
          </cell>
          <cell r="Q315"/>
        </row>
        <row r="316">
          <cell r="B316" t="str">
            <v>A4029</v>
          </cell>
          <cell r="C316" t="str">
            <v>Numeric</v>
          </cell>
          <cell r="D316">
            <v>5</v>
          </cell>
          <cell r="E316" t="str">
            <v>기타업종순수신용대출기관수(미해지)</v>
          </cell>
          <cell r="F316" t="str">
            <v>제공항목</v>
          </cell>
          <cell r="G316"/>
          <cell r="H316" t="str">
            <v>KCB</v>
          </cell>
          <cell r="I316" t="str">
            <v>GEA_KCB신용정보전문
GEA_KCB신용평점정보상세전문
GEA_KCB신용요약정보상세전문</v>
          </cell>
          <cell r="J316" t="str">
            <v>KCB신용정보조회C &gt; GEA_KCB신용요약정보조회</v>
          </cell>
          <cell r="K316" t="str">
            <v>기타업권신용대출기관수</v>
          </cell>
          <cell r="L316" t="str">
            <v>L1Z000718</v>
          </cell>
          <cell r="M316" t="str">
            <v>0410/437</v>
          </cell>
          <cell r="N316"/>
          <cell r="O316" t="str">
            <v>삭제</v>
          </cell>
          <cell r="P316">
            <v>20200630</v>
          </cell>
          <cell r="Q316"/>
        </row>
        <row r="317">
          <cell r="B317" t="str">
            <v>A4030</v>
          </cell>
          <cell r="C317" t="str">
            <v>Numeric</v>
          </cell>
          <cell r="D317">
            <v>5</v>
          </cell>
          <cell r="E317" t="str">
            <v>연체대환대출기관수(미해지)</v>
          </cell>
          <cell r="F317" t="str">
            <v>제공항목</v>
          </cell>
          <cell r="G317"/>
          <cell r="H317" t="str">
            <v>KCB</v>
          </cell>
          <cell r="I317" t="str">
            <v>GEA_KCB신용정보전문
GEA_KCB신용평점정보상세전문
GEA_KCB신용요약정보상세전문</v>
          </cell>
          <cell r="J317" t="str">
            <v>KCB신용정보조회C &gt; GEA_KCB신용요약정보조회</v>
          </cell>
          <cell r="K317" t="str">
            <v>연체대환대출기관수_N5</v>
          </cell>
          <cell r="L317" t="str">
            <v>L1022A000</v>
          </cell>
          <cell r="M317" t="str">
            <v>0410/437</v>
          </cell>
          <cell r="N317"/>
          <cell r="O317" t="str">
            <v>수정</v>
          </cell>
          <cell r="P317" t="str">
            <v>20190325 문서정리작업전 기술되어있음.</v>
          </cell>
          <cell r="Q317"/>
        </row>
        <row r="318">
          <cell r="B318" t="str">
            <v>A4031</v>
          </cell>
          <cell r="C318" t="str">
            <v>Numeric</v>
          </cell>
          <cell r="D318">
            <v>5</v>
          </cell>
          <cell r="E318" t="str">
            <v>신용대출기관수(CIS계좌단위)(미해지)</v>
          </cell>
          <cell r="F318" t="str">
            <v>제공항목</v>
          </cell>
          <cell r="G318"/>
          <cell r="H318" t="str">
            <v>KCB</v>
          </cell>
          <cell r="I318" t="str">
            <v>GEA_KCB신용정보전문
GEA_KCB신용평점정보상세전문
GEA_KCB신용요약정보상세전문</v>
          </cell>
          <cell r="J318" t="str">
            <v>KCB신용정보조회C &gt; GEA_KCB신용요약정보조회</v>
          </cell>
          <cell r="K318" t="str">
            <v>신용대출기관수_N5</v>
          </cell>
          <cell r="L318" t="str">
            <v>L2M000137</v>
          </cell>
          <cell r="M318" t="str">
            <v>0410/437</v>
          </cell>
          <cell r="N318"/>
          <cell r="O318" t="str">
            <v>삭제</v>
          </cell>
          <cell r="P318">
            <v>20200630</v>
          </cell>
          <cell r="Q318"/>
        </row>
        <row r="319">
          <cell r="B319" t="str">
            <v>A4032</v>
          </cell>
          <cell r="C319" t="str">
            <v>Numeric</v>
          </cell>
          <cell r="D319">
            <v>5</v>
          </cell>
          <cell r="E319" t="str">
            <v>주택담보대출기관수(CIS계좌단위)(미해지)</v>
          </cell>
          <cell r="F319" t="str">
            <v>제공항목</v>
          </cell>
          <cell r="G319"/>
          <cell r="H319" t="str">
            <v>KCB</v>
          </cell>
          <cell r="I319" t="str">
            <v>GEA_KCB신용정보전문
GEA_KCB신용평점정보상세전문
GEA_KCB신용요약정보상세전문</v>
          </cell>
          <cell r="J319" t="str">
            <v>KCB신용정보조회C &gt; GEA_KCB신용요약정보조회</v>
          </cell>
          <cell r="K319" t="str">
            <v>주택담보대출기관수_N5</v>
          </cell>
          <cell r="L319" t="str">
            <v>L2M000012</v>
          </cell>
          <cell r="M319" t="str">
            <v>0410/437</v>
          </cell>
          <cell r="N319"/>
          <cell r="O319" t="str">
            <v>삭제</v>
          </cell>
          <cell r="P319">
            <v>20200630</v>
          </cell>
          <cell r="Q319"/>
        </row>
        <row r="320">
          <cell r="B320" t="str">
            <v>A4033</v>
          </cell>
          <cell r="C320" t="str">
            <v>Numeric</v>
          </cell>
          <cell r="D320">
            <v>4</v>
          </cell>
          <cell r="E320" t="str">
            <v>K-Score Score</v>
          </cell>
          <cell r="F320" t="str">
            <v>제공항목</v>
          </cell>
          <cell r="G320"/>
          <cell r="H320" t="str">
            <v>KCB</v>
          </cell>
          <cell r="I320" t="str">
            <v>GEA_KCB신용정보전문
GEA_KCB신용평점정보상세전문
GEA_KCB신용요약정보상세전문</v>
          </cell>
          <cell r="J320" t="str">
            <v>KCB신용정보조회C &gt; GEA_KCB신용평점정보조회</v>
          </cell>
          <cell r="K320" t="str">
            <v>KCB신용평가점수내용</v>
          </cell>
          <cell r="L320" t="str">
            <v>100segment_no 8</v>
          </cell>
          <cell r="M320" t="str">
            <v>0410/437</v>
          </cell>
          <cell r="N320"/>
          <cell r="O320" t="str">
            <v>수정</v>
          </cell>
          <cell r="P320" t="str">
            <v>20190325 문서정리작업전 기술되어있음.</v>
          </cell>
          <cell r="Q320"/>
        </row>
        <row r="321">
          <cell r="B321" t="str">
            <v>A4034</v>
          </cell>
          <cell r="C321" t="str">
            <v>String</v>
          </cell>
          <cell r="D321">
            <v>2</v>
          </cell>
          <cell r="E321" t="str">
            <v>K-Score Score등급</v>
          </cell>
          <cell r="F321" t="str">
            <v>제공항목</v>
          </cell>
          <cell r="G321"/>
          <cell r="H321" t="str">
            <v>KCB</v>
          </cell>
          <cell r="I321" t="str">
            <v>GEA_KCB신용정보전문
GEA_KCB신용평점정보상세전문
GEA_KCB신용요약정보상세전문</v>
          </cell>
          <cell r="J321" t="str">
            <v>KCB신용정보조회C &gt; GEA_KCB신용평점정보조회</v>
          </cell>
          <cell r="K321" t="str">
            <v>KCB신용등급구분코드</v>
          </cell>
          <cell r="L321" t="str">
            <v>100segment_no 9</v>
          </cell>
          <cell r="M321" t="str">
            <v>0410/437</v>
          </cell>
          <cell r="N321"/>
          <cell r="O321" t="str">
            <v>수정</v>
          </cell>
          <cell r="P321" t="str">
            <v>20190325 문서정리작업전 기술되어있음.</v>
          </cell>
          <cell r="Q321"/>
        </row>
        <row r="322">
          <cell r="B322"/>
          <cell r="C322" t="str">
            <v>String</v>
          </cell>
          <cell r="D322">
            <v>2</v>
          </cell>
          <cell r="E322" t="str">
            <v>3개월전 K-Score 등급</v>
          </cell>
          <cell r="F322" t="str">
            <v>제공항목</v>
          </cell>
          <cell r="G322"/>
          <cell r="H322"/>
          <cell r="I322" t="str">
            <v>GEA_KCB신용정보전문
GEA_KCB신용평점정보상세전문
GEA_KCB신용요약정보상세전문</v>
          </cell>
          <cell r="J322"/>
          <cell r="K322" t="str">
            <v>3개월전K스코어신용등급코드_V2</v>
          </cell>
          <cell r="L322" t="str">
            <v>S60001030</v>
          </cell>
          <cell r="M322" t="str">
            <v>0410/437</v>
          </cell>
          <cell r="N322"/>
          <cell r="O322" t="str">
            <v>삭제</v>
          </cell>
          <cell r="P322" t="str">
            <v>20190325 문서정리작업전 기술되어있음.</v>
          </cell>
          <cell r="Q322"/>
        </row>
        <row r="323">
          <cell r="B323" t="str">
            <v>A4035</v>
          </cell>
          <cell r="C323" t="str">
            <v>Numeric</v>
          </cell>
          <cell r="D323">
            <v>4</v>
          </cell>
          <cell r="E323" t="str">
            <v>R-SCORE통합스코어</v>
          </cell>
          <cell r="F323" t="str">
            <v>제공항목</v>
          </cell>
          <cell r="G323"/>
          <cell r="H323" t="str">
            <v>KCB</v>
          </cell>
          <cell r="I323" t="str">
            <v>GEA_KCB신용정보전문
GEA_KCB신용평점정보상세전문
GEA_KCB신용요약정보상세전문</v>
          </cell>
          <cell r="J323" t="str">
            <v>KCB신용정보조회C &gt; GEA_KCB신용요약정보조회</v>
          </cell>
          <cell r="K323" t="str">
            <v>R스코어평점</v>
          </cell>
          <cell r="L323" t="str">
            <v>S80000000</v>
          </cell>
          <cell r="M323" t="str">
            <v>0410/437</v>
          </cell>
          <cell r="N323"/>
          <cell r="O323" t="str">
            <v>수정</v>
          </cell>
          <cell r="P323" t="str">
            <v>20190325 문서정리작업전 기술되어있음.</v>
          </cell>
          <cell r="Q323"/>
        </row>
        <row r="324">
          <cell r="B324" t="str">
            <v>A4036</v>
          </cell>
          <cell r="C324" t="str">
            <v>String</v>
          </cell>
          <cell r="D324">
            <v>2</v>
          </cell>
          <cell r="E324" t="str">
            <v>R-SCORE통합스코어 등급</v>
          </cell>
          <cell r="F324" t="str">
            <v>제공항목</v>
          </cell>
          <cell r="G324"/>
          <cell r="H324" t="str">
            <v>KCB</v>
          </cell>
          <cell r="I324" t="str">
            <v>GEA_KCB신용정보전문
GEA_KCB신용평점정보상세전문
GEA_KCB신용요약정보상세전문</v>
          </cell>
          <cell r="J324" t="str">
            <v>KCB신용정보조회C &gt; GEA_KCB신용요약정보조회</v>
          </cell>
          <cell r="K324" t="str">
            <v>R스코어등급코드_V9</v>
          </cell>
          <cell r="L324" t="str">
            <v>S80001000</v>
          </cell>
          <cell r="M324" t="str">
            <v>0410/437</v>
          </cell>
          <cell r="N324"/>
          <cell r="O324" t="str">
            <v>수정</v>
          </cell>
          <cell r="P324" t="str">
            <v>20190325 문서정리작업전 기술되어있음.</v>
          </cell>
          <cell r="Q324"/>
        </row>
        <row r="325">
          <cell r="B325" t="str">
            <v>A4037</v>
          </cell>
          <cell r="C325" t="str">
            <v>Numeric</v>
          </cell>
          <cell r="D325">
            <v>4</v>
          </cell>
          <cell r="E325" t="str">
            <v>R-Score 장기카드대출스코어</v>
          </cell>
          <cell r="F325" t="str">
            <v>제공항목</v>
          </cell>
          <cell r="G325"/>
          <cell r="H325" t="str">
            <v>KCB</v>
          </cell>
          <cell r="I325" t="str">
            <v>GEA_KCB신용정보전문
GEA_KCB신용평점정보상세전문
GEA_KCB신용요약정보상세전문</v>
          </cell>
          <cell r="J325" t="str">
            <v>KCB신용정보조회C &gt; GEA_KCB신용요약정보조회</v>
          </cell>
          <cell r="K325" t="str">
            <v>R스코어장기카드대출평점_N4</v>
          </cell>
          <cell r="L325" t="str">
            <v>S81000000</v>
          </cell>
          <cell r="M325" t="str">
            <v>0410/437</v>
          </cell>
          <cell r="N325"/>
          <cell r="O325" t="str">
            <v>수정</v>
          </cell>
          <cell r="P325" t="str">
            <v>20190325 문서정리작업전 기술되어있음.</v>
          </cell>
          <cell r="Q325"/>
        </row>
        <row r="326">
          <cell r="B326" t="str">
            <v>A4038</v>
          </cell>
          <cell r="C326" t="str">
            <v>String</v>
          </cell>
          <cell r="D326">
            <v>2</v>
          </cell>
          <cell r="E326" t="str">
            <v>R-Score 장기카드대출스코어 등급</v>
          </cell>
          <cell r="F326" t="str">
            <v>제공항목</v>
          </cell>
          <cell r="G326"/>
          <cell r="H326" t="str">
            <v>KCB</v>
          </cell>
          <cell r="I326" t="str">
            <v>GEA_KCB신용정보전문
GEA_KCB신용평점정보상세전문
GEA_KCB신용요약정보상세전문</v>
          </cell>
          <cell r="J326" t="str">
            <v>KCB신용정보조회C &gt; GEA_KCB신용요약정보조회</v>
          </cell>
          <cell r="K326" t="str">
            <v>R스코어장기카드대출등급코드_V2</v>
          </cell>
          <cell r="L326" t="str">
            <v>S81001000</v>
          </cell>
          <cell r="M326" t="str">
            <v>0410/437</v>
          </cell>
          <cell r="N326"/>
          <cell r="O326" t="str">
            <v>수정</v>
          </cell>
          <cell r="P326" t="str">
            <v>20190325 문서정리작업전 기술되어있음.</v>
          </cell>
          <cell r="Q326"/>
        </row>
        <row r="327">
          <cell r="B327" t="str">
            <v>A4039</v>
          </cell>
          <cell r="C327" t="str">
            <v>Numeric</v>
          </cell>
          <cell r="D327">
            <v>4</v>
          </cell>
          <cell r="E327" t="str">
            <v>I index 스코어</v>
          </cell>
          <cell r="F327" t="str">
            <v>제공항목</v>
          </cell>
          <cell r="G327"/>
          <cell r="H327" t="str">
            <v>KCB</v>
          </cell>
          <cell r="I327" t="str">
            <v>GEA_KCB신용정보전문
GEA_KCB신용평점정보상세전문
GEA_KCB신용요약정보상세전문</v>
          </cell>
          <cell r="J327" t="str">
            <v>KCB신용정보조회C &gt; GEA_KCB신용요약정보조회</v>
          </cell>
          <cell r="K327" t="str">
            <v>인덱스스코어_N4</v>
          </cell>
          <cell r="L327" t="str">
            <v>SI0000000</v>
          </cell>
          <cell r="M327" t="str">
            <v>0410/437</v>
          </cell>
          <cell r="N327"/>
          <cell r="O327" t="str">
            <v>수정</v>
          </cell>
          <cell r="P327" t="str">
            <v>20190325 문서정리작업전 기술되어있음.</v>
          </cell>
          <cell r="Q327"/>
        </row>
        <row r="328">
          <cell r="B328" t="str">
            <v>A4040</v>
          </cell>
          <cell r="C328" t="str">
            <v>String</v>
          </cell>
          <cell r="D328">
            <v>2</v>
          </cell>
          <cell r="E328" t="str">
            <v>I index 등급</v>
          </cell>
          <cell r="F328" t="str">
            <v>제공항목</v>
          </cell>
          <cell r="G328"/>
          <cell r="H328" t="str">
            <v>KCB</v>
          </cell>
          <cell r="I328" t="str">
            <v>GEA_KCB신용정보전문
GEA_KCB신용평점정보상세전문
GEA_KCB신용요약정보상세전문</v>
          </cell>
          <cell r="J328" t="str">
            <v>KCB신용정보조회C &gt; GEA_KCB신용요약정보조회</v>
          </cell>
          <cell r="K328" t="str">
            <v>인덱스등급_V2</v>
          </cell>
          <cell r="L328" t="str">
            <v>SI0001000</v>
          </cell>
          <cell r="M328" t="str">
            <v>0410/437</v>
          </cell>
          <cell r="N328"/>
          <cell r="O328" t="str">
            <v>수정</v>
          </cell>
          <cell r="P328" t="str">
            <v>20190325 문서정리작업전 기술되어있음.</v>
          </cell>
          <cell r="Q328"/>
        </row>
        <row r="329">
          <cell r="B329" t="str">
            <v>A4041</v>
          </cell>
          <cell r="C329" t="str">
            <v>String</v>
          </cell>
          <cell r="D329">
            <v>9</v>
          </cell>
          <cell r="E329" t="str">
            <v>최근KCB정보직업직위내용</v>
          </cell>
          <cell r="F329" t="str">
            <v>제공항목</v>
          </cell>
          <cell r="G329"/>
          <cell r="H329" t="str">
            <v>KCB</v>
          </cell>
          <cell r="I329" t="str">
            <v>GEA_KCB신용정보전문
GEA_KCB신용평점정보상세전문
GEA_KCB신용요약정보상세전문</v>
          </cell>
          <cell r="J329" t="str">
            <v>KCB신용정보조회C &gt; GEA_KCB신용요약정보조회</v>
          </cell>
          <cell r="K329" t="str">
            <v>최근KCB정보직업직위내용_V9</v>
          </cell>
          <cell r="L329" t="str">
            <v>U93070000</v>
          </cell>
          <cell r="M329" t="str">
            <v>0410/437</v>
          </cell>
          <cell r="N329"/>
          <cell r="O329" t="str">
            <v>수정</v>
          </cell>
          <cell r="P329" t="str">
            <v>20190325 문서정리작업전 기술되어있음.</v>
          </cell>
          <cell r="Q329"/>
        </row>
        <row r="330">
          <cell r="B330" t="str">
            <v>A4042</v>
          </cell>
          <cell r="C330" t="str">
            <v>Numeric</v>
          </cell>
          <cell r="D330">
            <v>15</v>
          </cell>
          <cell r="E330" t="str">
            <v>소득추정모형(결정연소득금액)(소득추정모형 VER 2.5)</v>
          </cell>
          <cell r="F330" t="str">
            <v>제공항목</v>
          </cell>
          <cell r="G330"/>
          <cell r="H330" t="str">
            <v>KCB</v>
          </cell>
          <cell r="I330" t="str">
            <v>GEA_KCB신용정보전문
GEA_KCB신용평점정보상세전문
GEA_KCB신용요약정보상세전문</v>
          </cell>
          <cell r="J330" t="str">
            <v>KCB신용정보조회C &gt; GEA_KCB신용요약정보조회</v>
          </cell>
          <cell r="K330" t="str">
            <v>소득추정모형결정연소득금액_N15</v>
          </cell>
          <cell r="L330" t="str">
            <v>U43002025</v>
          </cell>
          <cell r="M330" t="str">
            <v>0410/437</v>
          </cell>
          <cell r="N330"/>
          <cell r="O330" t="str">
            <v>수정</v>
          </cell>
          <cell r="P330" t="str">
            <v>20190325 문서정리작업전 기술되어있음.</v>
          </cell>
          <cell r="Q330" t="str">
            <v>필수(천원단위)</v>
          </cell>
        </row>
        <row r="331">
          <cell r="B331" t="str">
            <v>A4043</v>
          </cell>
          <cell r="C331" t="str">
            <v>Numeric</v>
          </cell>
          <cell r="D331">
            <v>15</v>
          </cell>
          <cell r="E331" t="str">
            <v>연간원리금상환추정금액(KCB기준)</v>
          </cell>
          <cell r="F331" t="str">
            <v>제공항목</v>
          </cell>
          <cell r="G331"/>
          <cell r="H331" t="str">
            <v>KCB</v>
          </cell>
          <cell r="I331" t="str">
            <v>GEA_KCB신용정보전문
GEA_KCB신용평점정보상세전문
GEA_KCB신용요약정보상세전문</v>
          </cell>
          <cell r="J331" t="str">
            <v>KCB신용정보조회C &gt; GEA_KCB신용요약정보조회</v>
          </cell>
          <cell r="K331" t="str">
            <v>연간원리금상환추정금액</v>
          </cell>
          <cell r="L331" t="str">
            <v>U5P000005</v>
          </cell>
          <cell r="M331" t="str">
            <v>0410/437</v>
          </cell>
          <cell r="N331"/>
          <cell r="O331" t="str">
            <v>수정</v>
          </cell>
          <cell r="P331" t="str">
            <v>20190325 문서정리작업전 기술되어있음.</v>
          </cell>
          <cell r="Q331" t="str">
            <v>필수(천원단위)</v>
          </cell>
        </row>
        <row r="332">
          <cell r="B332" t="str">
            <v>A4044</v>
          </cell>
          <cell r="C332" t="str">
            <v>Numeric</v>
          </cell>
          <cell r="D332">
            <v>9.1999999999999993</v>
          </cell>
          <cell r="E332" t="str">
            <v>DTI타입값3(추정소득모형3.0기준)</v>
          </cell>
          <cell r="F332" t="str">
            <v>제공항목</v>
          </cell>
          <cell r="G332"/>
          <cell r="H332" t="str">
            <v>KCB</v>
          </cell>
          <cell r="I332" t="str">
            <v>GEA_KCB신용정보전문
GEA_KCB신용평점정보상세전문
GEA_KCB신용요약정보상세전문</v>
          </cell>
          <cell r="J332" t="str">
            <v>KCB신용정보조회C &gt; GEA_KCB신용요약정보조회</v>
          </cell>
          <cell r="K332" t="str">
            <v>DTI타입3값</v>
          </cell>
          <cell r="L332" t="str">
            <v>U5Z20K007</v>
          </cell>
          <cell r="M332" t="str">
            <v>0410/437</v>
          </cell>
          <cell r="N332"/>
          <cell r="O332" t="str">
            <v>수정</v>
          </cell>
          <cell r="P332" t="str">
            <v>20190325 문서정리작업전 기술되어있음.</v>
          </cell>
          <cell r="Q332"/>
        </row>
        <row r="333">
          <cell r="B333" t="str">
            <v>A4045</v>
          </cell>
          <cell r="C333" t="str">
            <v>String</v>
          </cell>
          <cell r="D333">
            <v>2</v>
          </cell>
          <cell r="E333" t="str">
            <v>미래상환능력지수 1.0</v>
          </cell>
          <cell r="F333" t="str">
            <v>제공항목</v>
          </cell>
          <cell r="G333"/>
          <cell r="H333" t="str">
            <v>KCB</v>
          </cell>
          <cell r="I333" t="str">
            <v>GEA_KCB신용정보전문
GEA_KCB신용평점정보상세전문
GEA_KCB신용요약정보상세전문</v>
          </cell>
          <cell r="J333" t="str">
            <v>KCB신용정보조회C &gt; GEA_KCB신용요약정보조회</v>
          </cell>
          <cell r="K333" t="str">
            <v>미래상환능력지수_V2</v>
          </cell>
          <cell r="L333" t="str">
            <v>U6Z000000</v>
          </cell>
          <cell r="M333" t="str">
            <v>0410/437</v>
          </cell>
          <cell r="N333"/>
          <cell r="O333" t="str">
            <v>수정</v>
          </cell>
          <cell r="P333" t="str">
            <v>20190325 문서정리작업전 기술되어있음.</v>
          </cell>
          <cell r="Q333"/>
        </row>
        <row r="334">
          <cell r="B334" t="str">
            <v>A4046</v>
          </cell>
          <cell r="C334" t="str">
            <v>Numeric</v>
          </cell>
          <cell r="D334">
            <v>4</v>
          </cell>
          <cell r="E334" t="str">
            <v>다중채무위험지수스코어</v>
          </cell>
          <cell r="F334" t="str">
            <v>제공항목</v>
          </cell>
          <cell r="G334"/>
          <cell r="H334" t="str">
            <v>KCB</v>
          </cell>
          <cell r="I334" t="str">
            <v>GEA_KCB신용정보전문
GEA_KCB신용평점정보상세전문
GEA_KCB신용요약정보상세전문</v>
          </cell>
          <cell r="J334" t="str">
            <v>KCB신용정보조회C &gt; GEA_KCB신용요약정보조회</v>
          </cell>
          <cell r="K334" t="str">
            <v>다중채무위험지수스코어_N4</v>
          </cell>
          <cell r="L334" t="str">
            <v>SD0000000</v>
          </cell>
          <cell r="M334" t="str">
            <v>0410/437</v>
          </cell>
          <cell r="N334"/>
          <cell r="O334" t="str">
            <v>수정</v>
          </cell>
          <cell r="P334" t="str">
            <v>20190325 문서정리작업전 기술되어있음.</v>
          </cell>
          <cell r="Q334"/>
        </row>
        <row r="335">
          <cell r="B335" t="str">
            <v>A4047</v>
          </cell>
          <cell r="C335" t="str">
            <v>String</v>
          </cell>
          <cell r="D335">
            <v>2</v>
          </cell>
          <cell r="E335" t="str">
            <v>다중채무위험지수스코어 등급</v>
          </cell>
          <cell r="F335" t="str">
            <v>제공항목</v>
          </cell>
          <cell r="G335"/>
          <cell r="H335" t="str">
            <v>KCB</v>
          </cell>
          <cell r="I335" t="str">
            <v>GEA_KCB신용정보전문
GEA_KCB신용평점정보상세전문
GEA_KCB신용요약정보상세전문</v>
          </cell>
          <cell r="J335" t="str">
            <v>KCB신용정보조회C &gt; GEA_KCB신용요약정보조회</v>
          </cell>
          <cell r="K335" t="str">
            <v>다중채무위험지수스코어등급코드_V2</v>
          </cell>
          <cell r="L335" t="str">
            <v>SD0001000</v>
          </cell>
          <cell r="M335" t="str">
            <v>0410/437</v>
          </cell>
          <cell r="N335"/>
          <cell r="O335" t="str">
            <v>수정</v>
          </cell>
          <cell r="P335" t="str">
            <v>20190325 문서정리작업전 기술되어있음.</v>
          </cell>
          <cell r="Q335"/>
        </row>
        <row r="336">
          <cell r="B336" t="str">
            <v>A4048</v>
          </cell>
          <cell r="C336" t="str">
            <v>String</v>
          </cell>
          <cell r="D336">
            <v>1</v>
          </cell>
          <cell r="E336" t="str">
            <v>최근 3영업일(D-2~D-0) 內 2기관이상 취급</v>
          </cell>
          <cell r="F336" t="str">
            <v>제공항목</v>
          </cell>
          <cell r="G336"/>
          <cell r="H336" t="str">
            <v>KCB</v>
          </cell>
          <cell r="I336" t="str">
            <v>GEA_KCB동시대출전문
GEA_KCB동시대출상세전문</v>
          </cell>
          <cell r="J336" t="str">
            <v>KCB대출조회C &gt; GEA_KCB동시대출건수조회</v>
          </cell>
          <cell r="K336" t="str">
            <v>대상건수_N10</v>
          </cell>
          <cell r="L336"/>
          <cell r="M336" t="str">
            <v>0410/482</v>
          </cell>
          <cell r="N336"/>
          <cell r="O336" t="str">
            <v>수정</v>
          </cell>
          <cell r="P336" t="str">
            <v>20190325 문서정리작업전 기술되어있음.</v>
          </cell>
          <cell r="Q336"/>
        </row>
        <row r="337">
          <cell r="B337" t="str">
            <v>A4049</v>
          </cell>
          <cell r="C337" t="str">
            <v>Long</v>
          </cell>
          <cell r="D337">
            <v>4</v>
          </cell>
          <cell r="E337" t="str">
            <v>SOHO ML스코어 V1.0 평점</v>
          </cell>
          <cell r="F337" t="str">
            <v>제공항목</v>
          </cell>
          <cell r="G337"/>
          <cell r="H337" t="str">
            <v>KCB</v>
          </cell>
          <cell r="I337" t="str">
            <v>GEA_KCB신용정보전문
GEA_KCB신용평점정보상세전문
GEA_KCB신용요약정보상세전문</v>
          </cell>
          <cell r="J337" t="str">
            <v>KCB신용정보조회C &gt; GEA_KCB신용요약정보조회</v>
          </cell>
          <cell r="K337" t="str">
            <v>KCB소호스코어_N4</v>
          </cell>
          <cell r="L337" t="str">
            <v>SS1000000</v>
          </cell>
          <cell r="M337" t="str">
            <v>0410/437</v>
          </cell>
          <cell r="N337">
            <v>103</v>
          </cell>
          <cell r="O337" t="str">
            <v>추가</v>
          </cell>
          <cell r="P337" t="str">
            <v>20190425 R클립스속성변경(String-&gt;Long)
20190409 신규추가</v>
          </cell>
          <cell r="Q337"/>
        </row>
        <row r="338">
          <cell r="B338" t="str">
            <v>A4050</v>
          </cell>
          <cell r="C338" t="str">
            <v>String</v>
          </cell>
          <cell r="D338">
            <v>2</v>
          </cell>
          <cell r="E338" t="str">
            <v>SOHO ML스코어 V1.0 등급</v>
          </cell>
          <cell r="F338" t="str">
            <v>제공항목</v>
          </cell>
          <cell r="G338"/>
          <cell r="H338" t="str">
            <v>KCB</v>
          </cell>
          <cell r="I338" t="str">
            <v>GEA_KCB신용정보전문
GEA_KCB신용평점정보상세전문
GEA_KCB신용요약정보상세전문</v>
          </cell>
          <cell r="J338" t="str">
            <v>KCB신용정보조회C &gt; GEA_KCB신용요약정보조회</v>
          </cell>
          <cell r="K338" t="str">
            <v>KCB소호등급_V2</v>
          </cell>
          <cell r="L338" t="str">
            <v>SS1001000</v>
          </cell>
          <cell r="M338" t="str">
            <v>0410/437</v>
          </cell>
          <cell r="N338">
            <v>103</v>
          </cell>
          <cell r="O338" t="str">
            <v>추가</v>
          </cell>
          <cell r="P338" t="str">
            <v>20190701 데이터타입변경(long-&gt;string):이관용c요청
20190409 신규추가</v>
          </cell>
          <cell r="Q338"/>
        </row>
        <row r="339">
          <cell r="B339" t="str">
            <v>A4051</v>
          </cell>
          <cell r="C339" t="str">
            <v>String</v>
          </cell>
          <cell r="D339">
            <v>1</v>
          </cell>
          <cell r="E339" t="str">
            <v>SOHO ML스코어 V1.0 KCB SOHO 여부</v>
          </cell>
          <cell r="F339" t="str">
            <v>제공항목</v>
          </cell>
          <cell r="G339"/>
          <cell r="H339" t="str">
            <v>KCB</v>
          </cell>
          <cell r="I339" t="str">
            <v>GEA_KCB신용정보전문
GEA_KCB신용평점정보상세전문
GEA_KCB신용요약정보상세전문</v>
          </cell>
          <cell r="J339" t="str">
            <v>KCB신용정보조회C &gt; GEA_KCB신용요약정보조회</v>
          </cell>
          <cell r="K339" t="str">
            <v>KCB소호구분_V1</v>
          </cell>
          <cell r="L339" t="str">
            <v>SS1200000</v>
          </cell>
          <cell r="M339" t="str">
            <v>0410/437</v>
          </cell>
          <cell r="N339">
            <v>103</v>
          </cell>
          <cell r="O339" t="str">
            <v>추가</v>
          </cell>
          <cell r="P339" t="str">
            <v>20190409 신규추가</v>
          </cell>
          <cell r="Q339"/>
        </row>
        <row r="340">
          <cell r="B340" t="str">
            <v>A4052</v>
          </cell>
          <cell r="C340" t="str">
            <v>Long</v>
          </cell>
          <cell r="D340">
            <v>15</v>
          </cell>
          <cell r="E340" t="str">
            <v>1개월전총대출잔액(CIS기업신용)월말기준</v>
          </cell>
          <cell r="F340" t="str">
            <v>제공항목</v>
          </cell>
          <cell r="G340"/>
          <cell r="H340" t="str">
            <v>KCB</v>
          </cell>
          <cell r="I340" t="str">
            <v>GEA_KCB신용정보전문
GEA_KCB신용평점정보상세전문
GEA_KCB신용요약정보상세전문</v>
          </cell>
          <cell r="J340" t="str">
            <v>KCB신용정보조회C &gt; GEA_KCB신용요약정보조회</v>
          </cell>
          <cell r="K340" t="str">
            <v>KCB1개월전체대출잔액_N15</v>
          </cell>
          <cell r="L340" t="str">
            <v>LA0000146</v>
          </cell>
          <cell r="M340" t="str">
            <v>0410/437</v>
          </cell>
          <cell r="N340">
            <v>103</v>
          </cell>
          <cell r="O340" t="str">
            <v>추가</v>
          </cell>
          <cell r="P340" t="str">
            <v>20190418 신규추가</v>
          </cell>
          <cell r="Q340"/>
        </row>
        <row r="341">
          <cell r="B341" t="str">
            <v>A4053</v>
          </cell>
          <cell r="C341" t="str">
            <v>Long</v>
          </cell>
          <cell r="D341">
            <v>15</v>
          </cell>
          <cell r="E341" t="str">
            <v>소득추정모형(결정연소득금액)(소득추정모형 VER 3.0)</v>
          </cell>
          <cell r="F341" t="str">
            <v>제공항목</v>
          </cell>
          <cell r="G341"/>
          <cell r="H341" t="str">
            <v>KCB</v>
          </cell>
          <cell r="I341" t="str">
            <v>GEA_KCB신용정보전문
GEA_KCB신용평점정보상세전문
GEA_KCB신용요약정보상세전문</v>
          </cell>
          <cell r="J341" t="str">
            <v>KCB신용정보조회C &gt; GEA_KCB신용요약정보조회</v>
          </cell>
          <cell r="K341" t="str">
            <v>KCB결정연간소득금액_N15</v>
          </cell>
          <cell r="L341" t="str">
            <v>U43002020</v>
          </cell>
          <cell r="M341" t="str">
            <v>0410/437</v>
          </cell>
          <cell r="N341">
            <v>103</v>
          </cell>
          <cell r="O341" t="str">
            <v>추가</v>
          </cell>
          <cell r="P341" t="str">
            <v>20190418 신규추가</v>
          </cell>
          <cell r="Q341"/>
        </row>
        <row r="342">
          <cell r="B342" t="str">
            <v>A4054</v>
          </cell>
          <cell r="C342" t="str">
            <v>Numeric</v>
          </cell>
          <cell r="D342">
            <v>9</v>
          </cell>
          <cell r="E342" t="str">
            <v>은행업권주택담보대출건수(미해지)(KFB계좌단위)</v>
          </cell>
          <cell r="F342" t="str">
            <v>제공항목</v>
          </cell>
          <cell r="G342"/>
          <cell r="H342" t="str">
            <v>KCB</v>
          </cell>
          <cell r="I342" t="str">
            <v>GEA_KCB신용정보전문
GEA_KCB신용평점정보상세전문
GEA_KCB신용요약정보상세전문</v>
          </cell>
          <cell r="J342" t="str">
            <v>KCB신용정보조회C &gt; GEA_KCB신용요약정보조회</v>
          </cell>
          <cell r="K342" t="str">
            <v>은행업권주택담보대출건수_N9</v>
          </cell>
          <cell r="L342" t="str">
            <v>L2M000066</v>
          </cell>
          <cell r="M342"/>
          <cell r="N342"/>
          <cell r="O342"/>
          <cell r="P342"/>
          <cell r="Q342"/>
        </row>
        <row r="343">
          <cell r="B343" t="str">
            <v>A4055</v>
          </cell>
          <cell r="C343" t="str">
            <v>Numeric</v>
          </cell>
          <cell r="D343">
            <v>15</v>
          </cell>
          <cell r="E343" t="str">
            <v>KCB전월세지수</v>
          </cell>
          <cell r="F343" t="str">
            <v>제공항목</v>
          </cell>
          <cell r="G343"/>
          <cell r="H343" t="str">
            <v>KCB</v>
          </cell>
          <cell r="I343" t="str">
            <v>GEA_KCB신용정보전문
GEA_KCB신용평점정보상세전문
GEA_KCB신용요약정보상세전문</v>
          </cell>
          <cell r="J343" t="str">
            <v>KCB신용정보조회C &gt; GEA_KCB신용요약정보조회</v>
          </cell>
          <cell r="K343" t="str">
            <v>KCB전월세지수_N15</v>
          </cell>
          <cell r="L343" t="str">
            <v>UR1101100</v>
          </cell>
          <cell r="M343"/>
          <cell r="N343"/>
          <cell r="O343"/>
          <cell r="P343"/>
          <cell r="Q343"/>
        </row>
        <row r="344">
          <cell r="B344" t="str">
            <v>A4056</v>
          </cell>
          <cell r="C344" t="str">
            <v>Numeric</v>
          </cell>
          <cell r="D344">
            <v>15</v>
          </cell>
          <cell r="E344" t="str">
            <v>KCB거주지평균월세가</v>
          </cell>
          <cell r="F344" t="str">
            <v>제공항목</v>
          </cell>
          <cell r="G344"/>
          <cell r="H344" t="str">
            <v>KCB</v>
          </cell>
          <cell r="I344" t="str">
            <v>GEA_KCB신용정보전문
GEA_KCB신용평점정보상세전문
GEA_KCB신용요약정보상세전문</v>
          </cell>
          <cell r="J344" t="str">
            <v>KCB신용정보조회C &gt; GEA_KCB신용요약정보조회</v>
          </cell>
          <cell r="K344" t="str">
            <v>KCB거주지평균월세가_N15</v>
          </cell>
          <cell r="L344" t="str">
            <v>UR1102100</v>
          </cell>
          <cell r="M344"/>
          <cell r="N344"/>
          <cell r="O344"/>
          <cell r="P344"/>
          <cell r="Q344"/>
        </row>
        <row r="345">
          <cell r="B345" t="str">
            <v>A4057</v>
          </cell>
          <cell r="C345" t="str">
            <v>Numeric</v>
          </cell>
          <cell r="D345">
            <v>15</v>
          </cell>
          <cell r="E345" t="str">
            <v>결정연소득중최근1년은행등록연소득(3.0)</v>
          </cell>
          <cell r="F345" t="str">
            <v>제공항목</v>
          </cell>
          <cell r="G345"/>
          <cell r="H345" t="str">
            <v>KCB</v>
          </cell>
          <cell r="I345" t="str">
            <v>GEA_KCB신용정보전문
GEA_KCB신용평점정보상세전문
GEA_KCB신용요약정보상세전문</v>
          </cell>
          <cell r="J345" t="str">
            <v>KCB신용정보조회C &gt; GEA_KCB신용요약정보조회</v>
          </cell>
          <cell r="K345" t="str">
            <v>결정연소득중최근1년은행등록연소득_N15</v>
          </cell>
          <cell r="L345" t="str">
            <v>U43002230</v>
          </cell>
          <cell r="M345"/>
          <cell r="N345"/>
          <cell r="O345"/>
          <cell r="P345"/>
          <cell r="Q345"/>
        </row>
        <row r="346">
          <cell r="B346" t="str">
            <v>A5001</v>
          </cell>
          <cell r="C346" t="str">
            <v>String</v>
          </cell>
          <cell r="D346">
            <v>1</v>
          </cell>
          <cell r="E346" t="str">
            <v>유의거래 확정 신청인과 주민번호 일치</v>
          </cell>
          <cell r="F346" t="str">
            <v>제공항목</v>
          </cell>
          <cell r="G346"/>
          <cell r="H346" t="str">
            <v>NICE</v>
          </cell>
          <cell r="I346" t="str">
            <v>GEA_NICE허위대출전문
GEA_NICE허위대출스코어상세전문
GEA_NICE허위대출규칙정보상세전문</v>
          </cell>
          <cell r="J346" t="str">
            <v>NICE허위대출조회C &gt; GEA_NICE허위대출규칙정보상세전문조회</v>
          </cell>
          <cell r="K346" t="str">
            <v>유의거래확정여부</v>
          </cell>
          <cell r="L346" t="str">
            <v>FR16001001</v>
          </cell>
          <cell r="M346" t="str">
            <v>2A116</v>
          </cell>
          <cell r="N346"/>
          <cell r="O346" t="str">
            <v>수정</v>
          </cell>
          <cell r="P346" t="str">
            <v>20190325 문서정리작업전 기술되어있음.</v>
          </cell>
          <cell r="Q346"/>
        </row>
        <row r="347">
          <cell r="B347" t="str">
            <v>A5002</v>
          </cell>
          <cell r="C347" t="str">
            <v>String</v>
          </cell>
          <cell r="D347">
            <v>1</v>
          </cell>
          <cell r="E347" t="str">
            <v>30일 내 금융업권 대출 조회기관수(상담조회포함) 7건 이상</v>
          </cell>
          <cell r="F347" t="str">
            <v>제공항목</v>
          </cell>
          <cell r="G347"/>
          <cell r="H347" t="str">
            <v>NICE</v>
          </cell>
          <cell r="I347" t="str">
            <v>GEA_NICE허위대출전문
GEA_NICE허위대출스코어상세전문
GEA_NICE허위대출규칙정보상세전문</v>
          </cell>
          <cell r="J347" t="str">
            <v>NICE허위대출조회C &gt; GEA_NICE허위대출규칙정보상세전문조회</v>
          </cell>
          <cell r="K347" t="str">
            <v>금융업권대출조회기관7건이상_V1</v>
          </cell>
          <cell r="L347" t="str">
            <v>IR07102071</v>
          </cell>
          <cell r="M347" t="str">
            <v>2A116</v>
          </cell>
          <cell r="N347"/>
          <cell r="O347" t="str">
            <v>수정</v>
          </cell>
          <cell r="P347" t="str">
            <v>20190325 문서정리작업전 기술되어있음.</v>
          </cell>
          <cell r="Q347"/>
        </row>
        <row r="348">
          <cell r="B348" t="str">
            <v>A5003</v>
          </cell>
          <cell r="C348" t="str">
            <v>String</v>
          </cell>
          <cell r="D348">
            <v>1</v>
          </cell>
          <cell r="E348" t="str">
            <v>30일 내 카드개설 조회건수 3건 이상</v>
          </cell>
          <cell r="F348" t="str">
            <v>제공항목</v>
          </cell>
          <cell r="G348"/>
          <cell r="H348" t="str">
            <v>NICE</v>
          </cell>
          <cell r="I348" t="str">
            <v>GEA_NICE허위대출전문
GEA_NICE허위대출스코어상세전문
GEA_NICE허위대출규칙정보상세전문</v>
          </cell>
          <cell r="J348" t="str">
            <v>NICE허위대출조회C &gt; GEA_NICE허위대출규칙정보상세전문조회</v>
          </cell>
          <cell r="K348" t="str">
            <v>30일카드개설조회3건이상_V1</v>
          </cell>
          <cell r="L348" t="str">
            <v>IR07104031</v>
          </cell>
          <cell r="M348" t="str">
            <v>2A116</v>
          </cell>
          <cell r="N348"/>
          <cell r="O348" t="str">
            <v>수정</v>
          </cell>
          <cell r="P348" t="str">
            <v>20190325 문서정리작업전 기술되어있음.</v>
          </cell>
          <cell r="Q348"/>
        </row>
        <row r="349">
          <cell r="B349" t="str">
            <v>A5004</v>
          </cell>
          <cell r="C349" t="str">
            <v>String</v>
          </cell>
          <cell r="D349">
            <v>1</v>
          </cell>
          <cell r="E349" t="str">
            <v>183일 내 추심목적 조회기관수 2건 이상</v>
          </cell>
          <cell r="F349" t="str">
            <v>제공항목</v>
          </cell>
          <cell r="G349"/>
          <cell r="H349" t="str">
            <v>NICE</v>
          </cell>
          <cell r="I349" t="str">
            <v>GEA_NICE허위대출전문
GEA_NICE허위대출스코어상세전문
GEA_NICE허위대출규칙정보상세전문</v>
          </cell>
          <cell r="J349" t="str">
            <v>NICE허위대출조회C &gt; GEA_NICE허위대출규칙정보상세전문조회</v>
          </cell>
          <cell r="K349" t="str">
            <v>6개월추심목적조회2건이상_V1</v>
          </cell>
          <cell r="L349" t="str">
            <v>IR10108021</v>
          </cell>
          <cell r="M349" t="str">
            <v>2A116</v>
          </cell>
          <cell r="N349"/>
          <cell r="O349" t="str">
            <v>수정</v>
          </cell>
          <cell r="P349" t="str">
            <v>20190325 문서정리작업전 기술되어있음.</v>
          </cell>
          <cell r="Q349"/>
        </row>
        <row r="350">
          <cell r="B350" t="str">
            <v>A5005</v>
          </cell>
          <cell r="C350" t="str">
            <v>String</v>
          </cell>
          <cell r="D350">
            <v>1</v>
          </cell>
          <cell r="E350" t="str">
            <v>명의도용 유의 프로파일링 3-3</v>
          </cell>
          <cell r="F350" t="str">
            <v>제공항목</v>
          </cell>
          <cell r="G350"/>
          <cell r="H350" t="str">
            <v>NICE</v>
          </cell>
          <cell r="I350" t="str">
            <v>GEA_NICE허위대출전문
GEA_NICE허위대출스코어상세전문
GEA_NICE허위대출규칙정보상세전문</v>
          </cell>
          <cell r="J350" t="str">
            <v>NICE허위대출조회C &gt; GEA_NICE허위대출규칙정보상세전문조회</v>
          </cell>
          <cell r="K350" t="str">
            <v>명의도용유의여부3_V1</v>
          </cell>
          <cell r="L350" t="str">
            <v>MR05102003</v>
          </cell>
          <cell r="M350" t="str">
            <v>2A116</v>
          </cell>
          <cell r="N350"/>
          <cell r="O350" t="str">
            <v>수정</v>
          </cell>
          <cell r="P350" t="str">
            <v>20190325 문서정리작업전 기술되어있음.</v>
          </cell>
          <cell r="Q350"/>
        </row>
        <row r="351">
          <cell r="B351" t="str">
            <v>A5006</v>
          </cell>
          <cell r="C351" t="str">
            <v>String</v>
          </cell>
          <cell r="D351">
            <v>1</v>
          </cell>
          <cell r="E351" t="str">
            <v>명의도용 유의 프로파일링 3-4</v>
          </cell>
          <cell r="F351" t="str">
            <v>제공항목</v>
          </cell>
          <cell r="G351"/>
          <cell r="H351" t="str">
            <v>NICE</v>
          </cell>
          <cell r="I351" t="str">
            <v>GEA_NICE허위대출전문
GEA_NICE허위대출스코어상세전문
GEA_NICE허위대출규칙정보상세전문</v>
          </cell>
          <cell r="J351" t="str">
            <v>NICE허위대출조회C &gt; GEA_NICE허위대출규칙정보상세전문조회</v>
          </cell>
          <cell r="K351" t="str">
            <v>명의도용유의여부4_V1</v>
          </cell>
          <cell r="L351" t="str">
            <v>MR06102001</v>
          </cell>
          <cell r="M351" t="str">
            <v>2A116</v>
          </cell>
          <cell r="N351"/>
          <cell r="O351" t="str">
            <v>수정</v>
          </cell>
          <cell r="P351" t="str">
            <v>20190325 문서정리작업전 기술되어있음.</v>
          </cell>
          <cell r="Q351"/>
        </row>
        <row r="352">
          <cell r="B352" t="str">
            <v>A5007</v>
          </cell>
          <cell r="C352" t="str">
            <v>String</v>
          </cell>
          <cell r="D352">
            <v>1</v>
          </cell>
          <cell r="E352" t="str">
            <v>30일 내 유선전화 개통 조회건수 1건 이상 &amp; 30일 내 금융업권 대출 조회건수 3건 이상</v>
          </cell>
          <cell r="F352" t="str">
            <v>제공항목</v>
          </cell>
          <cell r="G352"/>
          <cell r="H352" t="str">
            <v>NICE</v>
          </cell>
          <cell r="I352" t="str">
            <v>GEA_NICE허위대출전문
GEA_NICE허위대출스코어상세전문
GEA_NICE허위대출규칙정보상세전문</v>
          </cell>
          <cell r="J352" t="str">
            <v>NICE허위대출조회C &gt; GEA_NICE허위대출규칙정보상세전문조회</v>
          </cell>
          <cell r="K352" t="str">
            <v>통신조회여부1_V1</v>
          </cell>
          <cell r="L352" t="str">
            <v>MR07102001</v>
          </cell>
          <cell r="M352" t="str">
            <v>2A116</v>
          </cell>
          <cell r="N352"/>
          <cell r="O352" t="str">
            <v>수정</v>
          </cell>
          <cell r="P352" t="str">
            <v>20190325 문서정리작업전 기술되어있음.</v>
          </cell>
          <cell r="Q352"/>
        </row>
        <row r="353">
          <cell r="B353" t="str">
            <v>A5008</v>
          </cell>
          <cell r="C353" t="str">
            <v>String</v>
          </cell>
          <cell r="D353">
            <v>1</v>
          </cell>
          <cell r="E353" t="str">
            <v>30일 내 이동통신 개통 조회건수 2건 이상 &amp; 30일 내 금융업권 대출 조회건수 3건 이상</v>
          </cell>
          <cell r="F353" t="str">
            <v>제공항목</v>
          </cell>
          <cell r="G353"/>
          <cell r="H353" t="str">
            <v>NICE</v>
          </cell>
          <cell r="I353" t="str">
            <v>GEA_NICE허위대출전문
GEA_NICE허위대출스코어상세전문
GEA_NICE허위대출규칙정보상세전문</v>
          </cell>
          <cell r="J353" t="str">
            <v>NICE허위대출조회C &gt; GEA_NICE허위대출규칙정보상세전문조회</v>
          </cell>
          <cell r="K353" t="str">
            <v>이동통신조회여부1_V1</v>
          </cell>
          <cell r="L353" t="str">
            <v>MR07102002</v>
          </cell>
          <cell r="M353" t="str">
            <v>2A116</v>
          </cell>
          <cell r="N353"/>
          <cell r="O353" t="str">
            <v>수정</v>
          </cell>
          <cell r="P353" t="str">
            <v>20190325 문서정리작업전 기술되어있음.</v>
          </cell>
          <cell r="Q353"/>
        </row>
        <row r="354">
          <cell r="B354" t="str">
            <v>A5009</v>
          </cell>
          <cell r="C354" t="str">
            <v>String</v>
          </cell>
          <cell r="D354">
            <v>1</v>
          </cell>
          <cell r="E354" t="str">
            <v>명의도용 유의 프로파일링 3-9</v>
          </cell>
          <cell r="F354" t="str">
            <v>제공항목</v>
          </cell>
          <cell r="G354"/>
          <cell r="H354" t="str">
            <v>NICE</v>
          </cell>
          <cell r="I354" t="str">
            <v>GEA_NICE허위대출전문
GEA_NICE허위대출스코어상세전문
GEA_NICE허위대출규칙정보상세전문</v>
          </cell>
          <cell r="J354" t="str">
            <v>NICE허위대출조회C &gt; GEA_NICE허위대출규칙정보상세전문조회</v>
          </cell>
          <cell r="K354" t="str">
            <v>명의도용유의여부9_V1</v>
          </cell>
          <cell r="L354" t="str">
            <v>MR10102018</v>
          </cell>
          <cell r="M354" t="str">
            <v>2A116</v>
          </cell>
          <cell r="N354"/>
          <cell r="O354" t="str">
            <v>수정</v>
          </cell>
          <cell r="P354" t="str">
            <v>20190325 문서정리작업전 기술되어있음.</v>
          </cell>
          <cell r="Q354"/>
        </row>
        <row r="355">
          <cell r="B355" t="str">
            <v>A5010</v>
          </cell>
          <cell r="C355" t="str">
            <v>String</v>
          </cell>
          <cell r="D355">
            <v>1</v>
          </cell>
          <cell r="E355" t="str">
            <v>183일 내 이동통신 개통 조회건수 2건 이상 &amp; 12개월 전 카드사용 없음</v>
          </cell>
          <cell r="F355" t="str">
            <v>제공항목</v>
          </cell>
          <cell r="G355"/>
          <cell r="H355" t="str">
            <v>NICE</v>
          </cell>
          <cell r="I355" t="str">
            <v>GEA_NICE허위대출전문
GEA_NICE허위대출스코어상세전문
GEA_NICE허위대출규칙정보상세전문</v>
          </cell>
          <cell r="J355" t="str">
            <v>NICE허위대출조회C &gt; GEA_NICE허위대출규칙정보상세전문조회</v>
          </cell>
          <cell r="K355" t="str">
            <v>이동통신조회여부2_V1</v>
          </cell>
          <cell r="L355" t="str">
            <v>MR12102003</v>
          </cell>
          <cell r="M355" t="str">
            <v>2A116</v>
          </cell>
          <cell r="N355"/>
          <cell r="O355" t="str">
            <v>수정</v>
          </cell>
          <cell r="P355" t="str">
            <v>20190325 문서정리작업전 기술되어있음.</v>
          </cell>
          <cell r="Q355"/>
        </row>
        <row r="356">
          <cell r="B356" t="str">
            <v>A5011</v>
          </cell>
          <cell r="C356" t="str">
            <v>String</v>
          </cell>
          <cell r="D356">
            <v>1</v>
          </cell>
          <cell r="E356" t="str">
            <v>관보등재여부 (한정치산, 금치산)</v>
          </cell>
          <cell r="F356" t="str">
            <v>제공항목</v>
          </cell>
          <cell r="G356"/>
          <cell r="H356" t="str">
            <v>NICE</v>
          </cell>
          <cell r="I356" t="str">
            <v>GEA_NICE허위대출전문
GEA_NICE허위대출스코어상세전문
GEA_NICE허위대출규칙정보상세전문</v>
          </cell>
          <cell r="J356" t="str">
            <v>NICE허위대출조회C &gt; GEA_NICE허위대출규칙정보상세전문조회</v>
          </cell>
          <cell r="K356" t="str">
            <v>관보등재여부</v>
          </cell>
          <cell r="L356" t="str">
            <v>NR00101001</v>
          </cell>
          <cell r="M356" t="str">
            <v>2A116</v>
          </cell>
          <cell r="N356"/>
          <cell r="O356" t="str">
            <v>수정</v>
          </cell>
          <cell r="P356" t="str">
            <v>20190325 문서정리작업전 기술되어있음.</v>
          </cell>
          <cell r="Q356"/>
        </row>
        <row r="357">
          <cell r="B357" t="str">
            <v>A5012</v>
          </cell>
          <cell r="C357" t="str">
            <v>String</v>
          </cell>
          <cell r="D357">
            <v>1</v>
          </cell>
          <cell r="E357" t="str">
            <v>전은연 금융질서 문란 등재</v>
          </cell>
          <cell r="F357" t="str">
            <v>제공항목</v>
          </cell>
          <cell r="G357"/>
          <cell r="H357" t="str">
            <v>NICE</v>
          </cell>
          <cell r="I357" t="str">
            <v>GEA_NICE허위대출전문
GEA_NICE허위대출스코어상세전문
GEA_NICE허위대출규칙정보상세전문</v>
          </cell>
          <cell r="J357" t="str">
            <v>NICE허위대출조회C &gt; GEA_NICE허위대출규칙정보상세전문조회</v>
          </cell>
          <cell r="K357" t="str">
            <v>금융질서문란등록여부</v>
          </cell>
          <cell r="L357" t="str">
            <v>NR00101003</v>
          </cell>
          <cell r="M357" t="str">
            <v>2A116</v>
          </cell>
          <cell r="N357"/>
          <cell r="O357" t="str">
            <v>수정</v>
          </cell>
          <cell r="P357" t="str">
            <v>20190325 문서정리작업전 기술되어있음.</v>
          </cell>
          <cell r="Q357"/>
        </row>
        <row r="358">
          <cell r="B358" t="str">
            <v>A5013</v>
          </cell>
          <cell r="C358" t="str">
            <v>String</v>
          </cell>
          <cell r="D358">
            <v>1</v>
          </cell>
          <cell r="E358" t="str">
            <v>[2개월 간 상승한 CB 스코어 120점 이상 or 2개월 간 상승한 SP 스코어 120점 이상] &amp; 30일 내 금융업권 대출 조회기관수(상담조회포함) 3건 이상</v>
          </cell>
          <cell r="F358" t="str">
            <v>제공항목</v>
          </cell>
          <cell r="G358"/>
          <cell r="H358" t="str">
            <v>NICE</v>
          </cell>
          <cell r="I358" t="str">
            <v>GEA_NICE허위대출전문
GEA_NICE허위대출스코어상세전문
GEA_NICE허위대출규칙정보상세전문</v>
          </cell>
          <cell r="J358" t="str">
            <v>NICE허위대출조회C &gt; GEA_NICE허위대출규칙정보상세전문조회</v>
          </cell>
          <cell r="K358" t="str">
            <v>스코어상승여부1_V1</v>
          </cell>
          <cell r="L358" t="str">
            <v>CL08103001</v>
          </cell>
          <cell r="M358" t="str">
            <v>2A116</v>
          </cell>
          <cell r="N358"/>
          <cell r="O358" t="str">
            <v>수정</v>
          </cell>
          <cell r="P358" t="str">
            <v>20190325 문서정리작업전 기술되어있음.</v>
          </cell>
          <cell r="Q358"/>
        </row>
        <row r="359">
          <cell r="B359" t="str">
            <v>A5014</v>
          </cell>
          <cell r="C359" t="str">
            <v>String</v>
          </cell>
          <cell r="D359">
            <v>1</v>
          </cell>
          <cell r="E359" t="str">
            <v>[2개월 간 상승한 CB 스코어 100점 이상 or 2개월 간 상승한 SP 스코어 100점 이상] &amp; 30일 내 금융업권 대출 조회기관수(상담조회포함) 3건 이상</v>
          </cell>
          <cell r="F359" t="str">
            <v>제공항목</v>
          </cell>
          <cell r="G359"/>
          <cell r="H359" t="str">
            <v>NICE</v>
          </cell>
          <cell r="I359" t="str">
            <v>GEA_NICE허위대출전문
GEA_NICE허위대출스코어상세전문
GEA_NICE허위대출규칙정보상세전문</v>
          </cell>
          <cell r="J359" t="str">
            <v>NICE허위대출조회C &gt; GEA_NICE허위대출규칙정보상세전문조회</v>
          </cell>
          <cell r="K359" t="str">
            <v>스코어상승여부2_V1</v>
          </cell>
          <cell r="L359" t="str">
            <v>CL08103005</v>
          </cell>
          <cell r="M359" t="str">
            <v>2A116</v>
          </cell>
          <cell r="N359"/>
          <cell r="O359" t="str">
            <v>수정</v>
          </cell>
          <cell r="P359" t="str">
            <v>20190325 문서정리작업전 기술되어있음.</v>
          </cell>
          <cell r="Q359"/>
        </row>
        <row r="360">
          <cell r="B360" t="str">
            <v>A5015</v>
          </cell>
          <cell r="C360" t="str">
            <v>String</v>
          </cell>
          <cell r="D360">
            <v>1</v>
          </cell>
          <cell r="E360" t="str">
            <v>5일 내 금융업권 대출 조회기관수(상담조회포함) 3건 이상</v>
          </cell>
          <cell r="F360" t="str">
            <v>제공항목</v>
          </cell>
          <cell r="G360"/>
          <cell r="H360" t="str">
            <v>NICE</v>
          </cell>
          <cell r="I360" t="str">
            <v>GEA_NICE허위대출전문
GEA_NICE허위대출스코어상세전문
GEA_NICE허위대출규칙정보상세전문</v>
          </cell>
          <cell r="J360" t="str">
            <v>NICE허위대출조회C &gt; GEA_NICE허위대출규칙정보상세전문조회</v>
          </cell>
          <cell r="K360" t="str">
            <v>5일대출조회여부_V1</v>
          </cell>
          <cell r="L360" t="str">
            <v>IR03102031</v>
          </cell>
          <cell r="M360" t="str">
            <v>2A116</v>
          </cell>
          <cell r="N360"/>
          <cell r="O360" t="str">
            <v>수정</v>
          </cell>
          <cell r="P360" t="str">
            <v>20190325 문서정리작업전 기술되어있음.</v>
          </cell>
          <cell r="Q360"/>
        </row>
        <row r="361">
          <cell r="B361" t="str">
            <v>A5016</v>
          </cell>
          <cell r="C361" t="str">
            <v>String</v>
          </cell>
          <cell r="D361">
            <v>1</v>
          </cell>
          <cell r="E361" t="str">
            <v>10일 내 금융업권 대출 조회기관수(상담조회포함) 4건 이상</v>
          </cell>
          <cell r="F361" t="str">
            <v>제공항목</v>
          </cell>
          <cell r="G361"/>
          <cell r="H361" t="str">
            <v>NICE</v>
          </cell>
          <cell r="I361" t="str">
            <v>GEA_NICE허위대출전문
GEA_NICE허위대출스코어상세전문
GEA_NICE허위대출규칙정보상세전문</v>
          </cell>
          <cell r="J361" t="str">
            <v>NICE허위대출조회C &gt; GEA_NICE허위대출규칙정보상세전문조회</v>
          </cell>
          <cell r="K361" t="str">
            <v>10일대출조회여부1_V1</v>
          </cell>
          <cell r="L361" t="str">
            <v>IR05102041</v>
          </cell>
          <cell r="M361" t="str">
            <v>2A116</v>
          </cell>
          <cell r="N361"/>
          <cell r="O361" t="str">
            <v>수정</v>
          </cell>
          <cell r="P361" t="str">
            <v>20190325 문서정리작업전 기술되어있음.</v>
          </cell>
          <cell r="Q361"/>
        </row>
        <row r="362">
          <cell r="B362" t="str">
            <v>A5017</v>
          </cell>
          <cell r="C362" t="str">
            <v>String</v>
          </cell>
          <cell r="D362">
            <v>1</v>
          </cell>
          <cell r="E362" t="str">
            <v>10일 내 금융업권 대출 조회기관수(상담조회포함) 5건 이상</v>
          </cell>
          <cell r="F362" t="str">
            <v>제공항목</v>
          </cell>
          <cell r="G362"/>
          <cell r="H362" t="str">
            <v>NICE</v>
          </cell>
          <cell r="I362" t="str">
            <v>GEA_NICE허위대출전문
GEA_NICE허위대출스코어상세전문
GEA_NICE허위대출규칙정보상세전문</v>
          </cell>
          <cell r="J362" t="str">
            <v>NICE허위대출조회C &gt; GEA_NICE허위대출규칙정보상세전문조회</v>
          </cell>
          <cell r="K362" t="str">
            <v>10일대출조회여부2_V1</v>
          </cell>
          <cell r="L362" t="str">
            <v>IR05102051</v>
          </cell>
          <cell r="M362" t="str">
            <v>2A116</v>
          </cell>
          <cell r="N362"/>
          <cell r="O362" t="str">
            <v>수정</v>
          </cell>
          <cell r="P362" t="str">
            <v>20190325 문서정리작업전 기술되어있음.</v>
          </cell>
          <cell r="Q362"/>
        </row>
        <row r="363">
          <cell r="B363" t="str">
            <v>A5018</v>
          </cell>
          <cell r="C363" t="str">
            <v>String</v>
          </cell>
          <cell r="D363">
            <v>1</v>
          </cell>
          <cell r="E363" t="str">
            <v>10일 내 금융업권 대출 조회기관수(상담조회포함) 6건 이상</v>
          </cell>
          <cell r="F363" t="str">
            <v>제공항목</v>
          </cell>
          <cell r="G363"/>
          <cell r="H363" t="str">
            <v>NICE</v>
          </cell>
          <cell r="I363" t="str">
            <v>GEA_NICE허위대출전문
GEA_NICE허위대출스코어상세전문
GEA_NICE허위대출규칙정보상세전문</v>
          </cell>
          <cell r="J363" t="str">
            <v>NICE허위대출조회C &gt; GEA_NICE허위대출규칙정보상세전문조회</v>
          </cell>
          <cell r="K363" t="str">
            <v>10일대출조회여부3_V1</v>
          </cell>
          <cell r="L363" t="str">
            <v>IR05102061</v>
          </cell>
          <cell r="M363" t="str">
            <v>2A116</v>
          </cell>
          <cell r="N363"/>
          <cell r="O363" t="str">
            <v>수정</v>
          </cell>
          <cell r="P363" t="str">
            <v>20190325 문서정리작업전 기술되어있음.</v>
          </cell>
          <cell r="Q363"/>
        </row>
        <row r="364">
          <cell r="B364" t="str">
            <v>A5019</v>
          </cell>
          <cell r="C364" t="str">
            <v>String</v>
          </cell>
          <cell r="D364">
            <v>1</v>
          </cell>
          <cell r="E364" t="str">
            <v>10일 내 금융업권 대출 조회기관수(상담조회포함) 7건 이상</v>
          </cell>
          <cell r="F364" t="str">
            <v>제공항목</v>
          </cell>
          <cell r="G364"/>
          <cell r="H364" t="str">
            <v>NICE</v>
          </cell>
          <cell r="I364" t="str">
            <v>GEA_NICE허위대출전문
GEA_NICE허위대출스코어상세전문
GEA_NICE허위대출규칙정보상세전문</v>
          </cell>
          <cell r="J364" t="str">
            <v>NICE허위대출조회C &gt; GEA_NICE허위대출규칙정보상세전문조회</v>
          </cell>
          <cell r="K364" t="str">
            <v>10일대출조회여부4_V1</v>
          </cell>
          <cell r="L364" t="str">
            <v>IR05102071</v>
          </cell>
          <cell r="M364" t="str">
            <v>2A116</v>
          </cell>
          <cell r="N364"/>
          <cell r="O364" t="str">
            <v>수정</v>
          </cell>
          <cell r="P364" t="str">
            <v>20190325 문서정리작업전 기술되어있음.</v>
          </cell>
          <cell r="Q364"/>
        </row>
        <row r="365">
          <cell r="B365" t="str">
            <v>A5020</v>
          </cell>
          <cell r="C365" t="str">
            <v>String</v>
          </cell>
          <cell r="D365">
            <v>1</v>
          </cell>
          <cell r="E365" t="str">
            <v>15일 내 금융업권 대출 조회기관수(상담조회포함) 5건 이상</v>
          </cell>
          <cell r="F365" t="str">
            <v>제공항목</v>
          </cell>
          <cell r="G365"/>
          <cell r="H365" t="str">
            <v>NICE</v>
          </cell>
          <cell r="I365" t="str">
            <v>GEA_NICE허위대출전문
GEA_NICE허위대출스코어상세전문
GEA_NICE허위대출규칙정보상세전문</v>
          </cell>
          <cell r="J365" t="str">
            <v>NICE허위대출조회C &gt; GEA_NICE허위대출규칙정보상세전문조회</v>
          </cell>
          <cell r="K365" t="str">
            <v>15일대출조회여부1_V1</v>
          </cell>
          <cell r="L365" t="str">
            <v>IR06102051</v>
          </cell>
          <cell r="M365" t="str">
            <v>2A116</v>
          </cell>
          <cell r="N365"/>
          <cell r="O365" t="str">
            <v>수정</v>
          </cell>
          <cell r="P365" t="str">
            <v>20190325 문서정리작업전 기술되어있음.</v>
          </cell>
          <cell r="Q365"/>
        </row>
        <row r="366">
          <cell r="B366" t="str">
            <v>A5021</v>
          </cell>
          <cell r="C366" t="str">
            <v>String</v>
          </cell>
          <cell r="D366">
            <v>1</v>
          </cell>
          <cell r="E366" t="str">
            <v>15일 내 금융업권 대출 조회기관수(상담조회포함) 6건 이상</v>
          </cell>
          <cell r="F366" t="str">
            <v>제공항목</v>
          </cell>
          <cell r="G366"/>
          <cell r="H366" t="str">
            <v>NICE</v>
          </cell>
          <cell r="I366" t="str">
            <v>GEA_NICE허위대출전문
GEA_NICE허위대출스코어상세전문
GEA_NICE허위대출규칙정보상세전문</v>
          </cell>
          <cell r="J366" t="str">
            <v>NICE허위대출조회C &gt; GEA_NICE허위대출규칙정보상세전문조회</v>
          </cell>
          <cell r="K366" t="str">
            <v>15일대출조회여부2_V1</v>
          </cell>
          <cell r="L366" t="str">
            <v>IR06102061</v>
          </cell>
          <cell r="M366" t="str">
            <v>2A116</v>
          </cell>
          <cell r="N366"/>
          <cell r="O366" t="str">
            <v>수정</v>
          </cell>
          <cell r="P366" t="str">
            <v>20190325 문서정리작업전 기술되어있음.</v>
          </cell>
          <cell r="Q366"/>
        </row>
        <row r="367">
          <cell r="B367" t="str">
            <v>A5022</v>
          </cell>
          <cell r="C367" t="str">
            <v>String</v>
          </cell>
          <cell r="D367">
            <v>1</v>
          </cell>
          <cell r="E367" t="str">
            <v>15일 내 금융업권 대출 조회기관수(상담조회포함) 7건 이상</v>
          </cell>
          <cell r="F367" t="str">
            <v>제공항목</v>
          </cell>
          <cell r="G367"/>
          <cell r="H367" t="str">
            <v>NICE</v>
          </cell>
          <cell r="I367" t="str">
            <v>GEA_NICE허위대출전문
GEA_NICE허위대출스코어상세전문
GEA_NICE허위대출규칙정보상세전문</v>
          </cell>
          <cell r="J367" t="str">
            <v>NICE허위대출조회C &gt; GEA_NICE허위대출규칙정보상세전문조회</v>
          </cell>
          <cell r="K367" t="str">
            <v>15일대출조회여부3_V1</v>
          </cell>
          <cell r="L367" t="str">
            <v>IR06102071</v>
          </cell>
          <cell r="M367" t="str">
            <v>2A116</v>
          </cell>
          <cell r="N367"/>
          <cell r="O367" t="str">
            <v>수정</v>
          </cell>
          <cell r="P367" t="str">
            <v>20190325 문서정리작업전 기술되어있음.</v>
          </cell>
          <cell r="Q367"/>
        </row>
        <row r="368">
          <cell r="B368" t="str">
            <v>A5023</v>
          </cell>
          <cell r="C368" t="str">
            <v>String</v>
          </cell>
          <cell r="D368">
            <v>1</v>
          </cell>
          <cell r="E368" t="str">
            <v>30일 내 금융업권 대출 조회기관수(상담조회포함) 5건 이상</v>
          </cell>
          <cell r="F368" t="str">
            <v>제공항목</v>
          </cell>
          <cell r="G368"/>
          <cell r="H368" t="str">
            <v>NICE</v>
          </cell>
          <cell r="I368" t="str">
            <v>GEA_NICE허위대출전문
GEA_NICE허위대출스코어상세전문
GEA_NICE허위대출규칙정보상세전문</v>
          </cell>
          <cell r="J368" t="str">
            <v>NICE허위대출조회C &gt; GEA_NICE허위대출규칙정보상세전문조회</v>
          </cell>
          <cell r="K368" t="str">
            <v>30일대출조회여부1_V1</v>
          </cell>
          <cell r="L368" t="str">
            <v>IR07102051</v>
          </cell>
          <cell r="M368" t="str">
            <v>2A116</v>
          </cell>
          <cell r="N368"/>
          <cell r="O368" t="str">
            <v>수정</v>
          </cell>
          <cell r="P368" t="str">
            <v>20190325 문서정리작업전 기술되어있음.</v>
          </cell>
          <cell r="Q368"/>
        </row>
        <row r="369">
          <cell r="B369" t="str">
            <v>A5024</v>
          </cell>
          <cell r="C369" t="str">
            <v>String</v>
          </cell>
          <cell r="D369">
            <v>1</v>
          </cell>
          <cell r="E369" t="str">
            <v>30일 내 금융업권 대출 조회기관수(상담조회포함) 6건 이상</v>
          </cell>
          <cell r="F369" t="str">
            <v>제공항목</v>
          </cell>
          <cell r="G369"/>
          <cell r="H369" t="str">
            <v>NICE</v>
          </cell>
          <cell r="I369" t="str">
            <v>GEA_NICE허위대출전문
GEA_NICE허위대출스코어상세전문
GEA_NICE허위대출규칙정보상세전문</v>
          </cell>
          <cell r="J369" t="str">
            <v>NICE허위대출조회C &gt; GEA_NICE허위대출규칙정보상세전문조회</v>
          </cell>
          <cell r="K369" t="str">
            <v>30일대출조회여부2_V1</v>
          </cell>
          <cell r="L369" t="str">
            <v>IR07102061</v>
          </cell>
          <cell r="M369" t="str">
            <v>2A116</v>
          </cell>
          <cell r="N369"/>
          <cell r="O369" t="str">
            <v>수정</v>
          </cell>
          <cell r="P369" t="str">
            <v>20190325 문서정리작업전 기술되어있음.</v>
          </cell>
          <cell r="Q369"/>
        </row>
        <row r="370">
          <cell r="B370" t="str">
            <v>A5025</v>
          </cell>
          <cell r="C370" t="str">
            <v>String</v>
          </cell>
          <cell r="D370">
            <v>1</v>
          </cell>
          <cell r="E370" t="str">
            <v>30일 내 카드개설 조회건수 4건 이상</v>
          </cell>
          <cell r="F370" t="str">
            <v>제공항목</v>
          </cell>
          <cell r="G370"/>
          <cell r="H370" t="str">
            <v>NICE</v>
          </cell>
          <cell r="I370" t="str">
            <v>GEA_NICE허위대출전문
GEA_NICE허위대출스코어상세전문
GEA_NICE허위대출규칙정보상세전문</v>
          </cell>
          <cell r="J370" t="str">
            <v>NICE허위대출조회C &gt; GEA_NICE허위대출규칙정보상세전문조회</v>
          </cell>
          <cell r="K370" t="str">
            <v>30일카드개설조회여부_V1</v>
          </cell>
          <cell r="L370" t="str">
            <v>IR07104041</v>
          </cell>
          <cell r="M370" t="str">
            <v>2A116</v>
          </cell>
          <cell r="N370"/>
          <cell r="O370" t="str">
            <v>수정</v>
          </cell>
          <cell r="P370" t="str">
            <v>20190325 문서정리작업전 기술되어있음.</v>
          </cell>
          <cell r="Q370"/>
        </row>
        <row r="371">
          <cell r="B371" t="str">
            <v>A5026</v>
          </cell>
          <cell r="C371" t="str">
            <v>String</v>
          </cell>
          <cell r="D371">
            <v>1</v>
          </cell>
          <cell r="E371" t="str">
            <v>30일 내 추심목적 조회기관수 1건 이상</v>
          </cell>
          <cell r="F371" t="str">
            <v>제공항목</v>
          </cell>
          <cell r="G371"/>
          <cell r="H371" t="str">
            <v>NICE</v>
          </cell>
          <cell r="I371" t="str">
            <v>GEA_NICE허위대출전문
GEA_NICE허위대출스코어상세전문
GEA_NICE허위대출규칙정보상세전문</v>
          </cell>
          <cell r="J371" t="str">
            <v>NICE허위대출조회C &gt; GEA_NICE허위대출규칙정보상세전문조회</v>
          </cell>
          <cell r="K371" t="str">
            <v>30일추심목적조회여부_V1</v>
          </cell>
          <cell r="L371" t="str">
            <v>IR07108011</v>
          </cell>
          <cell r="M371" t="str">
            <v>2A116</v>
          </cell>
          <cell r="N371"/>
          <cell r="O371" t="str">
            <v>수정</v>
          </cell>
          <cell r="P371" t="str">
            <v>20190325 문서정리작업전 기술되어있음.</v>
          </cell>
          <cell r="Q371"/>
        </row>
        <row r="372">
          <cell r="B372" t="str">
            <v>A5027</v>
          </cell>
          <cell r="C372" t="str">
            <v>String</v>
          </cell>
          <cell r="D372">
            <v>1</v>
          </cell>
          <cell r="E372" t="str">
            <v>60일 내 추심목적 조회기관수 1건 이상</v>
          </cell>
          <cell r="F372" t="str">
            <v>제공항목</v>
          </cell>
          <cell r="G372"/>
          <cell r="H372" t="str">
            <v>NICE</v>
          </cell>
          <cell r="I372" t="str">
            <v>GEA_NICE허위대출전문
GEA_NICE허위대출스코어상세전문
GEA_NICE허위대출규칙정보상세전문</v>
          </cell>
          <cell r="J372" t="str">
            <v>NICE허위대출조회C &gt; GEA_NICE허위대출규칙정보상세전문조회</v>
          </cell>
          <cell r="K372" t="str">
            <v>60일추심목적조회여부_V1</v>
          </cell>
          <cell r="L372" t="str">
            <v>IR08108011</v>
          </cell>
          <cell r="M372" t="str">
            <v>2A116</v>
          </cell>
          <cell r="N372"/>
          <cell r="O372" t="str">
            <v>수정</v>
          </cell>
          <cell r="P372" t="str">
            <v>20190325 문서정리작업전 기술되어있음.</v>
          </cell>
          <cell r="Q372"/>
        </row>
        <row r="373">
          <cell r="B373" t="str">
            <v>A5028</v>
          </cell>
          <cell r="C373" t="str">
            <v>String</v>
          </cell>
          <cell r="D373">
            <v>1</v>
          </cell>
          <cell r="E373" t="str">
            <v>91일 내 추심목적 조회기관수 1건 이상</v>
          </cell>
          <cell r="F373" t="str">
            <v>제공항목</v>
          </cell>
          <cell r="G373"/>
          <cell r="H373" t="str">
            <v>NICE</v>
          </cell>
          <cell r="I373" t="str">
            <v>GEA_NICE허위대출전문
GEA_NICE허위대출스코어상세전문
GEA_NICE허위대출규칙정보상세전문</v>
          </cell>
          <cell r="J373" t="str">
            <v>NICE허위대출조회C &gt; GEA_NICE허위대출규칙정보상세전문조회</v>
          </cell>
          <cell r="K373" t="str">
            <v>91일추심목적조회여부1_V1</v>
          </cell>
          <cell r="L373" t="str">
            <v>IR09108011</v>
          </cell>
          <cell r="M373" t="str">
            <v>2A116</v>
          </cell>
          <cell r="N373"/>
          <cell r="O373" t="str">
            <v>수정</v>
          </cell>
          <cell r="P373" t="str">
            <v>20190325 문서정리작업전 기술되어있음.</v>
          </cell>
          <cell r="Q373"/>
        </row>
        <row r="374">
          <cell r="B374" t="str">
            <v>A5029</v>
          </cell>
          <cell r="C374" t="str">
            <v>String</v>
          </cell>
          <cell r="D374">
            <v>1</v>
          </cell>
          <cell r="E374" t="str">
            <v>91일 내 추심목적 조회기관수 2건 이상</v>
          </cell>
          <cell r="F374" t="str">
            <v>제공항목</v>
          </cell>
          <cell r="G374"/>
          <cell r="H374" t="str">
            <v>NICE</v>
          </cell>
          <cell r="I374" t="str">
            <v>GEA_NICE허위대출전문
GEA_NICE허위대출스코어상세전문
GEA_NICE허위대출규칙정보상세전문</v>
          </cell>
          <cell r="J374" t="str">
            <v>NICE허위대출조회C &gt; GEA_NICE허위대출규칙정보상세전문조회</v>
          </cell>
          <cell r="K374" t="str">
            <v>91일추심목적조회여부2_V1</v>
          </cell>
          <cell r="L374" t="str">
            <v>IR09108021</v>
          </cell>
          <cell r="M374" t="str">
            <v>2A116</v>
          </cell>
          <cell r="N374"/>
          <cell r="O374" t="str">
            <v>수정</v>
          </cell>
          <cell r="P374" t="str">
            <v>20190325 문서정리작업전 기술되어있음.</v>
          </cell>
          <cell r="Q374"/>
        </row>
        <row r="375">
          <cell r="B375" t="str">
            <v>A5030</v>
          </cell>
          <cell r="C375" t="str">
            <v>String</v>
          </cell>
          <cell r="D375">
            <v>1</v>
          </cell>
          <cell r="E375" t="str">
            <v>183일 내 추심목적 조회기관수 1건 이상</v>
          </cell>
          <cell r="F375" t="str">
            <v>제공항목</v>
          </cell>
          <cell r="G375"/>
          <cell r="H375" t="str">
            <v>NICE</v>
          </cell>
          <cell r="I375" t="str">
            <v>GEA_NICE허위대출전문
GEA_NICE허위대출스코어상세전문
GEA_NICE허위대출규칙정보상세전문</v>
          </cell>
          <cell r="J375" t="str">
            <v>NICE허위대출조회C &gt; GEA_NICE허위대출규칙정보상세전문조회</v>
          </cell>
          <cell r="K375" t="str">
            <v>183일추심목적조회여부_V1</v>
          </cell>
          <cell r="L375" t="str">
            <v>IR10108011</v>
          </cell>
          <cell r="M375" t="str">
            <v>2A116</v>
          </cell>
          <cell r="N375"/>
          <cell r="O375" t="str">
            <v>수정</v>
          </cell>
          <cell r="P375" t="str">
            <v>20190325 문서정리작업전 기술되어있음.</v>
          </cell>
          <cell r="Q375"/>
        </row>
        <row r="376">
          <cell r="B376" t="str">
            <v>A5031</v>
          </cell>
          <cell r="C376" t="str">
            <v>String</v>
          </cell>
          <cell r="D376">
            <v>1</v>
          </cell>
          <cell r="E376" t="str">
            <v>1년 내 추심목적 조회기관수 2건 이상</v>
          </cell>
          <cell r="F376" t="str">
            <v>제공항목</v>
          </cell>
          <cell r="G376"/>
          <cell r="H376" t="str">
            <v>NICE</v>
          </cell>
          <cell r="I376" t="str">
            <v>GEA_NICE허위대출전문
GEA_NICE허위대출스코어상세전문
GEA_NICE허위대출규칙정보상세전문</v>
          </cell>
          <cell r="J376" t="str">
            <v>NICE허위대출조회C &gt; GEA_NICE허위대출규칙정보상세전문조회</v>
          </cell>
          <cell r="K376" t="str">
            <v>1년추심목적조회여부_V1</v>
          </cell>
          <cell r="L376" t="str">
            <v>IR12108021</v>
          </cell>
          <cell r="M376" t="str">
            <v>2A116</v>
          </cell>
          <cell r="N376"/>
          <cell r="O376" t="str">
            <v>수정</v>
          </cell>
          <cell r="P376" t="str">
            <v>20190325 문서정리작업전 기술되어있음.</v>
          </cell>
          <cell r="Q376"/>
        </row>
        <row r="377">
          <cell r="B377" t="str">
            <v>A5032</v>
          </cell>
          <cell r="C377" t="str">
            <v>String</v>
          </cell>
          <cell r="D377">
            <v>1</v>
          </cell>
          <cell r="E377" t="str">
            <v>30일 내 유선전화 개통 조회건수 1건 이상 &amp; 30일 내 금융업권 대출 조회기관수(상담조회포함) 3건 이상</v>
          </cell>
          <cell r="F377" t="str">
            <v>제공항목</v>
          </cell>
          <cell r="G377"/>
          <cell r="H377" t="str">
            <v>NICE</v>
          </cell>
          <cell r="I377" t="str">
            <v>GEA_NICE허위대출전문
GEA_NICE허위대출스코어상세전문
GEA_NICE허위대출규칙정보상세전문</v>
          </cell>
          <cell r="J377" t="str">
            <v>NICE허위대출조회C &gt; GEA_NICE허위대출규칙정보상세전문조회</v>
          </cell>
          <cell r="K377" t="str">
            <v>통신조회여부2_V1</v>
          </cell>
          <cell r="L377" t="str">
            <v>MR07102003</v>
          </cell>
          <cell r="M377" t="str">
            <v>2A116</v>
          </cell>
          <cell r="N377"/>
          <cell r="O377" t="str">
            <v>수정</v>
          </cell>
          <cell r="P377" t="str">
            <v>20190325 문서정리작업전 기술되어있음.</v>
          </cell>
          <cell r="Q377"/>
        </row>
        <row r="378">
          <cell r="B378" t="str">
            <v>A5033</v>
          </cell>
          <cell r="C378" t="str">
            <v>String</v>
          </cell>
          <cell r="D378">
            <v>1</v>
          </cell>
          <cell r="E378" t="str">
            <v>30일 내 이동통신 개통 조회건수 2건 이상 &amp; 30일 내 금융업권 대출 조회기관수(상담조회포함) 3건 이상</v>
          </cell>
          <cell r="F378" t="str">
            <v>제공항목</v>
          </cell>
          <cell r="G378"/>
          <cell r="H378" t="str">
            <v>NICE</v>
          </cell>
          <cell r="I378" t="str">
            <v>GEA_NICE허위대출전문
GEA_NICE허위대출스코어상세전문
GEA_NICE허위대출규칙정보상세전문</v>
          </cell>
          <cell r="J378" t="str">
            <v>NICE허위대출조회C &gt; GEA_NICE허위대출규칙정보상세전문조회</v>
          </cell>
          <cell r="K378" t="str">
            <v>이동통신조회여부1_V1</v>
          </cell>
          <cell r="L378" t="str">
            <v>MR07102004</v>
          </cell>
          <cell r="M378" t="str">
            <v>2A116</v>
          </cell>
          <cell r="N378"/>
          <cell r="O378" t="str">
            <v>수정</v>
          </cell>
          <cell r="P378" t="str">
            <v>20190325 문서정리작업전 기술되어있음.</v>
          </cell>
          <cell r="Q378"/>
        </row>
        <row r="379">
          <cell r="B379" t="str">
            <v>A5034</v>
          </cell>
          <cell r="C379" t="str">
            <v>String</v>
          </cell>
          <cell r="D379">
            <v>1</v>
          </cell>
          <cell r="E379" t="str">
            <v>실명인증 결과 상태확인 정보 존재</v>
          </cell>
          <cell r="F379" t="str">
            <v>제공항목</v>
          </cell>
          <cell r="G379"/>
          <cell r="H379" t="str">
            <v>NICE</v>
          </cell>
          <cell r="I379" t="str">
            <v>GEA_NICE허위대출전문
GEA_NICE허위대출스코어상세전문
GEA_NICE허위대출규칙정보상세전문</v>
          </cell>
          <cell r="J379" t="str">
            <v>NICE허위대출조회C &gt; GEA_NICE허위대출규칙정보상세전문조회</v>
          </cell>
          <cell r="K379" t="str">
            <v>실명인증여부</v>
          </cell>
          <cell r="L379" t="str">
            <v>NR00101002</v>
          </cell>
          <cell r="M379" t="str">
            <v>2A116</v>
          </cell>
          <cell r="N379"/>
          <cell r="O379" t="str">
            <v>수정</v>
          </cell>
          <cell r="P379" t="str">
            <v>20190325 문서정리작업전 기술되어있음.</v>
          </cell>
          <cell r="Q379"/>
        </row>
        <row r="380">
          <cell r="B380" t="str">
            <v>A5035</v>
          </cell>
          <cell r="C380" t="str">
            <v>String</v>
          </cell>
          <cell r="D380">
            <v>1</v>
          </cell>
          <cell r="E380" t="str">
            <v>신복위대상자</v>
          </cell>
          <cell r="F380" t="str">
            <v>제공항목</v>
          </cell>
          <cell r="G380"/>
          <cell r="H380" t="str">
            <v>NICE</v>
          </cell>
          <cell r="I380" t="str">
            <v>GEA_NICE허위대출전문
GEA_NICE허위대출스코어상세전문
GEA_NICE허위대출규칙정보상세전문</v>
          </cell>
          <cell r="J380" t="str">
            <v>NICE허위대출조회C &gt; GEA_NICE허위대출규칙정보상세전문조회</v>
          </cell>
          <cell r="K380" t="str">
            <v>신용회복위원회대상자여부</v>
          </cell>
          <cell r="L380" t="str">
            <v>NR00101006</v>
          </cell>
          <cell r="M380" t="str">
            <v>2A116</v>
          </cell>
          <cell r="N380"/>
          <cell r="O380" t="str">
            <v>수정</v>
          </cell>
          <cell r="P380" t="str">
            <v>20190325 문서정리작업전 기술되어있음.</v>
          </cell>
          <cell r="Q380"/>
        </row>
        <row r="381">
          <cell r="B381" t="str">
            <v>A5036</v>
          </cell>
          <cell r="C381" t="str">
            <v>String</v>
          </cell>
          <cell r="D381">
            <v>1</v>
          </cell>
          <cell r="E381" t="str">
            <v>신복위 변제후 잔존채무액 존재</v>
          </cell>
          <cell r="F381" t="str">
            <v>제공항목</v>
          </cell>
          <cell r="G381"/>
          <cell r="H381" t="str">
            <v>NICE</v>
          </cell>
          <cell r="I381" t="str">
            <v>GEA_NICE허위대출전문
GEA_NICE허위대출스코어상세전문
GEA_NICE허위대출규칙정보상세전문</v>
          </cell>
          <cell r="J381" t="str">
            <v>NICE허위대출조회C &gt; GEA_NICE허위대출규칙정보상세전문조회</v>
          </cell>
          <cell r="K381" t="str">
            <v>신용회복위원회채무존재여부</v>
          </cell>
          <cell r="L381" t="str">
            <v>NR00101007</v>
          </cell>
          <cell r="M381" t="str">
            <v>2A116</v>
          </cell>
          <cell r="N381"/>
          <cell r="O381" t="str">
            <v>수정</v>
          </cell>
          <cell r="P381" t="str">
            <v>20190325 문서정리작업전 기술되어있음.</v>
          </cell>
          <cell r="Q381"/>
        </row>
        <row r="382">
          <cell r="B382" t="str">
            <v>A5037</v>
          </cell>
          <cell r="C382" t="str">
            <v>String</v>
          </cell>
          <cell r="D382">
            <v>1</v>
          </cell>
          <cell r="E382" t="str">
            <v>희망모아대상자</v>
          </cell>
          <cell r="F382" t="str">
            <v>제공항목</v>
          </cell>
          <cell r="G382"/>
          <cell r="H382" t="str">
            <v>NICE</v>
          </cell>
          <cell r="I382" t="str">
            <v>GEA_NICE허위대출전문
GEA_NICE허위대출스코어상세전문
GEA_NICE허위대출규칙정보상세전문</v>
          </cell>
          <cell r="J382" t="str">
            <v>NICE허위대출조회C &gt; GEA_NICE허위대출규칙정보상세전문조회</v>
          </cell>
          <cell r="K382" t="str">
            <v>희망모아대상자여부</v>
          </cell>
          <cell r="L382" t="str">
            <v>NR00101010</v>
          </cell>
          <cell r="M382" t="str">
            <v>2A116</v>
          </cell>
          <cell r="N382"/>
          <cell r="O382" t="str">
            <v>수정</v>
          </cell>
          <cell r="P382" t="str">
            <v>20190325 문서정리작업전 기술되어있음.</v>
          </cell>
          <cell r="Q382"/>
        </row>
        <row r="383">
          <cell r="B383" t="str">
            <v>A5038</v>
          </cell>
          <cell r="C383" t="str">
            <v>String</v>
          </cell>
          <cell r="D383">
            <v>1</v>
          </cell>
          <cell r="E383" t="str">
            <v>희망모아 변제후 잔존채무액 존재</v>
          </cell>
          <cell r="F383" t="str">
            <v>제공항목</v>
          </cell>
          <cell r="G383"/>
          <cell r="H383" t="str">
            <v>NICE</v>
          </cell>
          <cell r="I383" t="str">
            <v>GEA_NICE허위대출전문
GEA_NICE허위대출스코어상세전문
GEA_NICE허위대출규칙정보상세전문</v>
          </cell>
          <cell r="J383" t="str">
            <v>NICE허위대출조회C &gt; GEA_NICE허위대출규칙정보상세전문조회</v>
          </cell>
          <cell r="K383" t="str">
            <v>희망모아채무존재여부</v>
          </cell>
          <cell r="L383" t="str">
            <v>NR00101011</v>
          </cell>
          <cell r="M383" t="str">
            <v>2A116</v>
          </cell>
          <cell r="N383"/>
          <cell r="O383" t="str">
            <v>수정</v>
          </cell>
          <cell r="P383" t="str">
            <v>20190325 문서정리작업전 기술되어있음.</v>
          </cell>
          <cell r="Q383"/>
        </row>
        <row r="384">
          <cell r="B384" t="str">
            <v>A5039</v>
          </cell>
          <cell r="C384" t="str">
            <v>String</v>
          </cell>
          <cell r="D384">
            <v>1</v>
          </cell>
          <cell r="E384" t="str">
            <v>부도정보보유</v>
          </cell>
          <cell r="F384" t="str">
            <v>제공항목</v>
          </cell>
          <cell r="G384"/>
          <cell r="H384" t="str">
            <v>NICE</v>
          </cell>
          <cell r="I384" t="str">
            <v>GEA_NICE허위대출전문
GEA_NICE허위대출스코어상세전문
GEA_NICE허위대출규칙정보상세전문</v>
          </cell>
          <cell r="J384" t="str">
            <v>NICE허위대출조회C &gt; GEA_NICE허위대출규칙정보상세전문조회</v>
          </cell>
          <cell r="K384" t="str">
            <v>부도정보보유여부</v>
          </cell>
          <cell r="L384" t="str">
            <v>NR00101012</v>
          </cell>
          <cell r="M384" t="str">
            <v>2A116</v>
          </cell>
          <cell r="N384"/>
          <cell r="O384" t="str">
            <v>수정</v>
          </cell>
          <cell r="P384" t="str">
            <v>20190325 문서정리작업전 기술되어있음.</v>
          </cell>
          <cell r="Q384"/>
        </row>
        <row r="385">
          <cell r="B385" t="str">
            <v>A5040</v>
          </cell>
          <cell r="C385" t="str">
            <v>String</v>
          </cell>
          <cell r="D385">
            <v>1</v>
          </cell>
          <cell r="E385" t="str">
            <v>미해제 신용회복/개인파산/개인회생 보유건수 1건 이상</v>
          </cell>
          <cell r="F385" t="str">
            <v>제공항목</v>
          </cell>
          <cell r="G385"/>
          <cell r="H385" t="str">
            <v>NICE</v>
          </cell>
          <cell r="I385" t="str">
            <v>GEA_NICE허위대출전문
GEA_NICE허위대출스코어상세전문
GEA_NICE허위대출규칙정보상세전문</v>
          </cell>
          <cell r="J385" t="str">
            <v>NICE허위대출조회C &gt; GEA_NICE허위대출규칙정보상세전문조회</v>
          </cell>
          <cell r="K385" t="str">
            <v>신용회복지원정보보유여부</v>
          </cell>
          <cell r="L385" t="str">
            <v>NR00101037</v>
          </cell>
          <cell r="M385" t="str">
            <v>2A116</v>
          </cell>
          <cell r="N385"/>
          <cell r="O385" t="str">
            <v>수정</v>
          </cell>
          <cell r="P385" t="str">
            <v>20190325 문서정리작업전 기술되어있음.</v>
          </cell>
          <cell r="Q385"/>
        </row>
        <row r="386">
          <cell r="B386" t="str">
            <v>A6001</v>
          </cell>
          <cell r="C386" t="str">
            <v>String</v>
          </cell>
          <cell r="D386">
            <v>1</v>
          </cell>
          <cell r="E386" t="str">
            <v>[허위정보DB매치] 주민등록번호 허위정보DB 존재</v>
          </cell>
          <cell r="F386" t="str">
            <v>제공항목</v>
          </cell>
          <cell r="G386"/>
          <cell r="H386" t="str">
            <v>KCB</v>
          </cell>
          <cell r="I386" t="str">
            <v>GEA_KCB허위대출전문
GEA_KCB허위대출결과상세전문</v>
          </cell>
          <cell r="J386" t="str">
            <v>KCB허위대출조회C &gt; GEA_KCB허위대출결과상세전문조회</v>
          </cell>
          <cell r="K386" t="str">
            <v>주민등록번호허위정보존재여부_V1</v>
          </cell>
          <cell r="L386" t="str">
            <v>A01</v>
          </cell>
          <cell r="M386" t="str">
            <v>0210/231</v>
          </cell>
          <cell r="N386"/>
          <cell r="O386" t="str">
            <v>수정</v>
          </cell>
          <cell r="P386" t="str">
            <v>20190325 문서정리작업전 기술되어있음.</v>
          </cell>
          <cell r="Q386"/>
        </row>
        <row r="387">
          <cell r="B387" t="str">
            <v>A6002</v>
          </cell>
          <cell r="C387" t="str">
            <v>String</v>
          </cell>
          <cell r="D387">
            <v>1</v>
          </cell>
          <cell r="E387" t="str">
            <v>[허위정보DB매치] 사업자등록번호 허위정보DB 존재</v>
          </cell>
          <cell r="F387" t="str">
            <v>제공항목</v>
          </cell>
          <cell r="G387"/>
          <cell r="H387" t="str">
            <v>KCB</v>
          </cell>
          <cell r="I387" t="str">
            <v>GEA_KCB허위대출전문
GEA_KCB허위대출결과상세전문</v>
          </cell>
          <cell r="J387" t="str">
            <v>KCB허위대출조회C &gt; GEA_KCB허위대출결과상세전문조회</v>
          </cell>
          <cell r="K387" t="str">
            <v>사업자등록번호허위정보존재여부_V1</v>
          </cell>
          <cell r="L387" t="str">
            <v>A02</v>
          </cell>
          <cell r="M387" t="str">
            <v>0210/231</v>
          </cell>
          <cell r="N387"/>
          <cell r="O387" t="str">
            <v>수정</v>
          </cell>
          <cell r="P387" t="str">
            <v>20190325 문서정리작업전 기술되어있음.</v>
          </cell>
          <cell r="Q387"/>
        </row>
        <row r="388">
          <cell r="B388" t="str">
            <v>A6003</v>
          </cell>
          <cell r="C388" t="str">
            <v>String</v>
          </cell>
          <cell r="D388">
            <v>1</v>
          </cell>
          <cell r="E388" t="str">
            <v>[허위정보DB매치] 법인등록번호 허위정보DB 존재</v>
          </cell>
          <cell r="F388" t="str">
            <v>제공항목</v>
          </cell>
          <cell r="G388"/>
          <cell r="H388" t="str">
            <v>KCB</v>
          </cell>
          <cell r="I388" t="str">
            <v>GEA_KCB허위대출전문
GEA_KCB허위대출결과상세전문</v>
          </cell>
          <cell r="J388" t="str">
            <v>KCB허위대출조회C &gt; GEA_KCB허위대출결과상세전문조회</v>
          </cell>
          <cell r="K388" t="str">
            <v>법인등록번호허위정보존재여부_V1</v>
          </cell>
          <cell r="L388" t="str">
            <v>A03</v>
          </cell>
          <cell r="M388" t="str">
            <v>0210/231</v>
          </cell>
          <cell r="N388"/>
          <cell r="O388" t="str">
            <v>수정</v>
          </cell>
          <cell r="P388" t="str">
            <v>20190325 문서정리작업전 기술되어있음.</v>
          </cell>
          <cell r="Q388"/>
        </row>
        <row r="389">
          <cell r="B389" t="str">
            <v>A6004</v>
          </cell>
          <cell r="C389" t="str">
            <v>String</v>
          </cell>
          <cell r="D389">
            <v>1</v>
          </cell>
          <cell r="E389" t="str">
            <v>[사망자DB매치] 주민등록번호 사망자DB 존재</v>
          </cell>
          <cell r="F389" t="str">
            <v>제공항목</v>
          </cell>
          <cell r="G389"/>
          <cell r="H389" t="str">
            <v>KCB</v>
          </cell>
          <cell r="I389" t="str">
            <v>GEA_KCB허위대출전문
GEA_KCB허위대출결과상세전문</v>
          </cell>
          <cell r="J389" t="str">
            <v>KCB허위대출조회C &gt; GEA_KCB허위대출결과상세전문조회</v>
          </cell>
          <cell r="K389" t="str">
            <v>주민등록번호사망자존재여부_V1</v>
          </cell>
          <cell r="L389" t="str">
            <v>A04</v>
          </cell>
          <cell r="M389" t="str">
            <v>0210/231</v>
          </cell>
          <cell r="N389"/>
          <cell r="O389" t="str">
            <v>수정</v>
          </cell>
          <cell r="P389" t="str">
            <v>20190325 문서정리작업전 기술되어있음.</v>
          </cell>
          <cell r="Q389"/>
        </row>
        <row r="390">
          <cell r="B390" t="str">
            <v>A6005</v>
          </cell>
          <cell r="C390" t="str">
            <v>String</v>
          </cell>
          <cell r="D390">
            <v>1</v>
          </cell>
          <cell r="E390" t="str">
            <v>[허위정보DB매치] 휴대폰번호 허위정보DB 존재</v>
          </cell>
          <cell r="F390" t="str">
            <v>제공항목</v>
          </cell>
          <cell r="G390"/>
          <cell r="H390" t="str">
            <v>KCB</v>
          </cell>
          <cell r="I390" t="str">
            <v>GEA_KCB허위대출전문
GEA_KCB허위대출결과상세전문</v>
          </cell>
          <cell r="J390" t="str">
            <v>KCB허위대출조회C &gt; GEA_KCB허위대출결과상세전문조회</v>
          </cell>
          <cell r="K390" t="str">
            <v>휴대폰번호허위정보존재여부_V1</v>
          </cell>
          <cell r="L390" t="str">
            <v>A05</v>
          </cell>
          <cell r="M390" t="str">
            <v>0210/231</v>
          </cell>
          <cell r="N390"/>
          <cell r="O390" t="str">
            <v>수정</v>
          </cell>
          <cell r="P390" t="str">
            <v>20190325 문서정리작업전 기술되어있음.</v>
          </cell>
          <cell r="Q390"/>
        </row>
        <row r="391">
          <cell r="B391" t="str">
            <v>A6006</v>
          </cell>
          <cell r="C391" t="str">
            <v>String</v>
          </cell>
          <cell r="D391">
            <v>1</v>
          </cell>
          <cell r="E391" t="str">
            <v>[허위정보DB매치] 직장주소 허위정보DB 존재</v>
          </cell>
          <cell r="F391" t="str">
            <v>제공항목</v>
          </cell>
          <cell r="G391"/>
          <cell r="H391" t="str">
            <v>KCB</v>
          </cell>
          <cell r="I391" t="str">
            <v>GEA_KCB허위대출전문
GEA_KCB허위대출결과상세전문</v>
          </cell>
          <cell r="J391" t="str">
            <v>KCB허위대출조회C &gt; GEA_KCB허위대출결과상세전문조회</v>
          </cell>
          <cell r="K391" t="str">
            <v>직장주소허위정보존재여부_V1</v>
          </cell>
          <cell r="L391" t="str">
            <v>A06</v>
          </cell>
          <cell r="M391" t="str">
            <v>0210/231</v>
          </cell>
          <cell r="N391"/>
          <cell r="O391" t="str">
            <v>수정</v>
          </cell>
          <cell r="P391" t="str">
            <v>20190325 문서정리작업전 기술되어있음.</v>
          </cell>
          <cell r="Q391"/>
        </row>
        <row r="392">
          <cell r="B392" t="str">
            <v>A6007</v>
          </cell>
          <cell r="C392" t="str">
            <v>String</v>
          </cell>
          <cell r="D392">
            <v>1</v>
          </cell>
          <cell r="E392" t="str">
            <v>[허위정보DB매치] 직장전화번호 허위정보DB 존재</v>
          </cell>
          <cell r="F392" t="str">
            <v>제공항목</v>
          </cell>
          <cell r="G392"/>
          <cell r="H392" t="str">
            <v>KCB</v>
          </cell>
          <cell r="I392" t="str">
            <v>GEA_KCB허위대출전문
GEA_KCB허위대출결과상세전문</v>
          </cell>
          <cell r="J392" t="str">
            <v>KCB허위대출조회C &gt; GEA_KCB허위대출결과상세전문조회</v>
          </cell>
          <cell r="K392" t="str">
            <v>직장전화번호허위정보존재여부_V1</v>
          </cell>
          <cell r="L392" t="str">
            <v>A07</v>
          </cell>
          <cell r="M392" t="str">
            <v>0210/231</v>
          </cell>
          <cell r="N392"/>
          <cell r="O392" t="str">
            <v>수정</v>
          </cell>
          <cell r="P392" t="str">
            <v>20190325 문서정리작업전 기술되어있음.</v>
          </cell>
          <cell r="Q392"/>
        </row>
        <row r="393">
          <cell r="B393" t="str">
            <v>A6008</v>
          </cell>
          <cell r="C393" t="str">
            <v>String</v>
          </cell>
          <cell r="D393">
            <v>1</v>
          </cell>
          <cell r="E393" t="str">
            <v>[허위정보DB매치] 직장명&amp;직장주소 허위정보DB 존재</v>
          </cell>
          <cell r="F393" t="str">
            <v>제공항목</v>
          </cell>
          <cell r="G393"/>
          <cell r="H393" t="str">
            <v>KCB</v>
          </cell>
          <cell r="I393" t="str">
            <v>GEA_KCB허위대출전문
GEA_KCB허위대출결과상세전문</v>
          </cell>
          <cell r="J393" t="str">
            <v>KCB허위대출조회C &gt; GEA_KCB허위대출결과상세전문조회</v>
          </cell>
          <cell r="K393" t="str">
            <v>직장명직장주소허위정보존재여부_V1</v>
          </cell>
          <cell r="L393" t="str">
            <v>A08</v>
          </cell>
          <cell r="M393" t="str">
            <v>0210/231</v>
          </cell>
          <cell r="N393"/>
          <cell r="O393" t="str">
            <v>수정</v>
          </cell>
          <cell r="P393" t="str">
            <v>20190325 문서정리작업전 기술되어있음.</v>
          </cell>
          <cell r="Q393"/>
        </row>
        <row r="394">
          <cell r="B394" t="str">
            <v>A6009</v>
          </cell>
          <cell r="C394" t="str">
            <v>String</v>
          </cell>
          <cell r="D394">
            <v>1</v>
          </cell>
          <cell r="E394" t="str">
            <v>[허위정보DB매치] 직장명&amp;직장전화번호 허위정보DB 존재</v>
          </cell>
          <cell r="F394" t="str">
            <v>제공항목</v>
          </cell>
          <cell r="G394"/>
          <cell r="H394" t="str">
            <v>KCB</v>
          </cell>
          <cell r="I394" t="str">
            <v>GEA_KCB허위대출전문
GEA_KCB허위대출결과상세전문</v>
          </cell>
          <cell r="J394" t="str">
            <v>KCB허위대출조회C &gt; GEA_KCB허위대출결과상세전문조회</v>
          </cell>
          <cell r="K394" t="str">
            <v>직장명직장전화번호허위정보_V1</v>
          </cell>
          <cell r="L394" t="str">
            <v>A09</v>
          </cell>
          <cell r="M394" t="str">
            <v>0210/231</v>
          </cell>
          <cell r="N394"/>
          <cell r="O394" t="str">
            <v>수정</v>
          </cell>
          <cell r="P394" t="str">
            <v>20190325 문서정리작업전 기술되어있음.</v>
          </cell>
          <cell r="Q394"/>
        </row>
        <row r="395">
          <cell r="B395" t="str">
            <v>A6010</v>
          </cell>
          <cell r="C395" t="str">
            <v>String</v>
          </cell>
          <cell r="D395">
            <v>1</v>
          </cell>
          <cell r="E395" t="str">
            <v>[허위정보DB매치] 직장전화번호&amp;직장주소 허위정보DB 존재</v>
          </cell>
          <cell r="F395" t="str">
            <v>제공항목</v>
          </cell>
          <cell r="G395"/>
          <cell r="H395" t="str">
            <v>KCB</v>
          </cell>
          <cell r="I395" t="str">
            <v>GEA_KCB허위대출전문
GEA_KCB허위대출결과상세전문</v>
          </cell>
          <cell r="J395" t="str">
            <v>KCB허위대출조회C &gt; GEA_KCB허위대출결과상세전문조회</v>
          </cell>
          <cell r="K395" t="str">
            <v>직장전화번호직장주소허위정보_V1</v>
          </cell>
          <cell r="L395" t="str">
            <v>A10</v>
          </cell>
          <cell r="M395" t="str">
            <v>0210/231</v>
          </cell>
          <cell r="N395"/>
          <cell r="O395" t="str">
            <v>수정</v>
          </cell>
          <cell r="P395" t="str">
            <v>20190325 문서정리작업전 기술되어있음.</v>
          </cell>
          <cell r="Q395"/>
        </row>
        <row r="396">
          <cell r="B396" t="str">
            <v>A6011</v>
          </cell>
          <cell r="C396" t="str">
            <v>String</v>
          </cell>
          <cell r="D396">
            <v>1</v>
          </cell>
          <cell r="E396" t="str">
            <v>[신청인정보변경] 30일이내 신청인 자택 상위주소 및 직장 상위주소 불일치 2건 이상</v>
          </cell>
          <cell r="F396" t="str">
            <v>제공항목</v>
          </cell>
          <cell r="G396"/>
          <cell r="H396" t="str">
            <v>KCB</v>
          </cell>
          <cell r="I396" t="str">
            <v>GEA_KCB허위대출전문
GEA_KCB허위대출결과상세전문</v>
          </cell>
          <cell r="J396" t="str">
            <v>KCB허위대출조회C &gt; GEA_KCB허위대출결과상세전문조회</v>
          </cell>
          <cell r="K396" t="str">
            <v>최근30일주소불일치여부_V1</v>
          </cell>
          <cell r="L396" t="str">
            <v>B54</v>
          </cell>
          <cell r="M396" t="str">
            <v>0210/231</v>
          </cell>
          <cell r="N396"/>
          <cell r="O396" t="str">
            <v>수정</v>
          </cell>
          <cell r="P396" t="str">
            <v>20190325 문서정리작업전 기술되어있음.</v>
          </cell>
          <cell r="Q396"/>
        </row>
        <row r="397">
          <cell r="B397" t="str">
            <v>A6012</v>
          </cell>
          <cell r="C397" t="str">
            <v>String</v>
          </cell>
          <cell r="D397">
            <v>1</v>
          </cell>
          <cell r="E397" t="str">
            <v>[신청인정보변경] 30일이내 과거 신청서와 휴대폰번호 및 자택 상위주소 불일치 2건이상</v>
          </cell>
          <cell r="F397" t="str">
            <v>제공항목</v>
          </cell>
          <cell r="G397"/>
          <cell r="H397" t="str">
            <v>KCB</v>
          </cell>
          <cell r="I397" t="str">
            <v>GEA_KCB허위대출전문
GEA_KCB허위대출결과상세전문</v>
          </cell>
          <cell r="J397" t="str">
            <v>KCB허위대출조회C &gt; GEA_KCB허위대출결과상세전문조회</v>
          </cell>
          <cell r="K397" t="str">
            <v>최근30일휴대폰번호주소불일치여부_V1</v>
          </cell>
          <cell r="L397" t="str">
            <v>C54</v>
          </cell>
          <cell r="M397" t="str">
            <v>0210/231</v>
          </cell>
          <cell r="N397"/>
          <cell r="O397" t="str">
            <v>수정</v>
          </cell>
          <cell r="P397" t="str">
            <v>20190325 문서정리작업전 기술되어있음.</v>
          </cell>
          <cell r="Q397"/>
        </row>
        <row r="398">
          <cell r="B398" t="str">
            <v>A6013</v>
          </cell>
          <cell r="C398" t="str">
            <v>String</v>
          </cell>
          <cell r="D398">
            <v>1</v>
          </cell>
          <cell r="E398" t="str">
            <v>[복수신청] 5일이내 동일한 신청인 3건 이상 신청</v>
          </cell>
          <cell r="F398" t="str">
            <v>제공항목</v>
          </cell>
          <cell r="G398"/>
          <cell r="H398" t="str">
            <v>KCB</v>
          </cell>
          <cell r="I398" t="str">
            <v>GEA_KCB허위대출전문
GEA_KCB허위대출결과상세전문</v>
          </cell>
          <cell r="J398" t="str">
            <v>KCB허위대출조회C &gt; GEA_KCB허위대출결과상세전문조회</v>
          </cell>
          <cell r="K398" t="str">
            <v>최근5일동일신청인존재여부_V1</v>
          </cell>
          <cell r="L398" t="str">
            <v>D01</v>
          </cell>
          <cell r="M398" t="str">
            <v>0210/231</v>
          </cell>
          <cell r="N398"/>
          <cell r="O398" t="str">
            <v>수정</v>
          </cell>
          <cell r="P398" t="str">
            <v>20190325 문서정리작업전 기술되어있음.</v>
          </cell>
          <cell r="Q398"/>
        </row>
        <row r="399">
          <cell r="B399" t="str">
            <v>A6014</v>
          </cell>
          <cell r="C399" t="str">
            <v>String</v>
          </cell>
          <cell r="D399">
            <v>1</v>
          </cell>
          <cell r="E399" t="str">
            <v>[수사기관DB매치] 개인 명의도용/차용 관련자</v>
          </cell>
          <cell r="F399" t="str">
            <v>제공항목</v>
          </cell>
          <cell r="G399"/>
          <cell r="H399" t="str">
            <v>KCB</v>
          </cell>
          <cell r="I399" t="str">
            <v>GEA_KCB허위대출전문
GEA_KCB허위대출결과상세전문</v>
          </cell>
          <cell r="J399" t="str">
            <v>KCB허위대출조회C &gt; GEA_KCB허위대출결과상세전문조회</v>
          </cell>
          <cell r="K399" t="str">
            <v>개인명의도용대상여부_V1</v>
          </cell>
          <cell r="L399" t="str">
            <v>E01</v>
          </cell>
          <cell r="M399" t="str">
            <v>0210/231</v>
          </cell>
          <cell r="N399"/>
          <cell r="O399" t="str">
            <v>수정</v>
          </cell>
          <cell r="P399" t="str">
            <v>20190325 문서정리작업전 기술되어있음.</v>
          </cell>
          <cell r="Q399"/>
        </row>
        <row r="400">
          <cell r="B400" t="str">
            <v>A6015</v>
          </cell>
          <cell r="C400" t="str">
            <v>String</v>
          </cell>
          <cell r="D400">
            <v>1</v>
          </cell>
          <cell r="E400" t="str">
            <v>[수사기관DB매치] 법인 명의도용/차용 관련자</v>
          </cell>
          <cell r="F400" t="str">
            <v>제공항목</v>
          </cell>
          <cell r="G400"/>
          <cell r="H400" t="str">
            <v>KCB</v>
          </cell>
          <cell r="I400" t="str">
            <v>GEA_KCB허위대출전문
GEA_KCB허위대출결과상세전문</v>
          </cell>
          <cell r="J400" t="str">
            <v>KCB허위대출조회C &gt; GEA_KCB허위대출결과상세전문조회</v>
          </cell>
          <cell r="K400" t="str">
            <v>법인명의도용대상여부_V1</v>
          </cell>
          <cell r="L400" t="str">
            <v>E02</v>
          </cell>
          <cell r="M400" t="str">
            <v>0210/231</v>
          </cell>
          <cell r="N400"/>
          <cell r="O400" t="str">
            <v>수정</v>
          </cell>
          <cell r="P400" t="str">
            <v>20190325 문서정리작업전 기술되어있음.</v>
          </cell>
          <cell r="Q400"/>
        </row>
        <row r="401">
          <cell r="B401" t="str">
            <v>A6016</v>
          </cell>
          <cell r="C401" t="str">
            <v>String</v>
          </cell>
          <cell r="D401">
            <v>1</v>
          </cell>
          <cell r="E401" t="str">
            <v>[수사기관DB매치] 금융 사기사건 관련자</v>
          </cell>
          <cell r="F401" t="str">
            <v>제공항목</v>
          </cell>
          <cell r="G401"/>
          <cell r="H401" t="str">
            <v>KCB</v>
          </cell>
          <cell r="I401" t="str">
            <v>GEA_KCB허위대출전문
GEA_KCB허위대출결과상세전문</v>
          </cell>
          <cell r="J401" t="str">
            <v>KCB허위대출조회C &gt; GEA_KCB허위대출결과상세전문조회</v>
          </cell>
          <cell r="K401" t="str">
            <v>금융사기대상여부_V1</v>
          </cell>
          <cell r="L401" t="str">
            <v>E03</v>
          </cell>
          <cell r="M401" t="str">
            <v>0210/231</v>
          </cell>
          <cell r="N401"/>
          <cell r="O401" t="str">
            <v>수정</v>
          </cell>
          <cell r="P401" t="str">
            <v>20190325 문서정리작업전 기술되어있음.</v>
          </cell>
          <cell r="Q401"/>
        </row>
        <row r="402">
          <cell r="B402" t="str">
            <v>A6017</v>
          </cell>
          <cell r="C402" t="str">
            <v>String</v>
          </cell>
          <cell r="D402">
            <v>1</v>
          </cell>
          <cell r="E402" t="str">
            <v>[유령법인DB] 유령법인 등재임원과 주민등록번호 매칭</v>
          </cell>
          <cell r="F402" t="str">
            <v>제공항목</v>
          </cell>
          <cell r="G402"/>
          <cell r="H402" t="str">
            <v>KCB</v>
          </cell>
          <cell r="I402" t="str">
            <v>GEA_KCB허위대출전문
GEA_KCB허위대출결과상세전문</v>
          </cell>
          <cell r="J402" t="str">
            <v>KCB허위대출조회C &gt; GEA_KCB허위대출결과상세전문조회</v>
          </cell>
          <cell r="K402" t="str">
            <v>허위법인임원주민등록번호존재여부_V1</v>
          </cell>
          <cell r="L402" t="str">
            <v>E12</v>
          </cell>
          <cell r="M402" t="str">
            <v>0210/231</v>
          </cell>
          <cell r="N402"/>
          <cell r="O402" t="str">
            <v>수정</v>
          </cell>
          <cell r="P402" t="str">
            <v>20190325 문서정리작업전 기술되어있음.</v>
          </cell>
          <cell r="Q402"/>
        </row>
        <row r="403">
          <cell r="B403" t="str">
            <v>A6018</v>
          </cell>
          <cell r="C403" t="str">
            <v>String</v>
          </cell>
          <cell r="D403">
            <v>1</v>
          </cell>
          <cell r="E403" t="str">
            <v>[유령법인DB] 유령법인 연관 건과 주민등록번호  매칭</v>
          </cell>
          <cell r="F403" t="str">
            <v>제공항목</v>
          </cell>
          <cell r="G403"/>
          <cell r="H403" t="str">
            <v>KCB</v>
          </cell>
          <cell r="I403" t="str">
            <v>GEA_KCB허위대출전문
GEA_KCB허위대출결과상세전문</v>
          </cell>
          <cell r="J403" t="str">
            <v>KCB허위대출조회C &gt; GEA_KCB허위대출결과상세전문조회</v>
          </cell>
          <cell r="K403" t="str">
            <v>허위법인연관주민등록번호존재여부_V1</v>
          </cell>
          <cell r="L403" t="str">
            <v>E13</v>
          </cell>
          <cell r="M403" t="str">
            <v>0210/231</v>
          </cell>
          <cell r="N403"/>
          <cell r="O403" t="str">
            <v>수정</v>
          </cell>
          <cell r="P403" t="str">
            <v>20190325 문서정리작업전 기술되어있음.</v>
          </cell>
          <cell r="Q403"/>
        </row>
        <row r="404">
          <cell r="B404" t="str">
            <v>A6019</v>
          </cell>
          <cell r="C404" t="str">
            <v>String</v>
          </cell>
          <cell r="D404">
            <v>1</v>
          </cell>
          <cell r="E404" t="str">
            <v>[유령법인DB] 유령법인 연관 건과 사업자등록번호 매칭</v>
          </cell>
          <cell r="F404" t="str">
            <v>제공항목</v>
          </cell>
          <cell r="G404"/>
          <cell r="H404" t="str">
            <v>KCB</v>
          </cell>
          <cell r="I404" t="str">
            <v>GEA_KCB허위대출전문
GEA_KCB허위대출결과상세전문</v>
          </cell>
          <cell r="J404" t="str">
            <v>KCB허위대출조회C &gt; GEA_KCB허위대출결과상세전문조회</v>
          </cell>
          <cell r="K404" t="str">
            <v>허위법인연관사업자등록번호존재여부_V1</v>
          </cell>
          <cell r="L404" t="str">
            <v>E14</v>
          </cell>
          <cell r="M404" t="str">
            <v>0210/231</v>
          </cell>
          <cell r="N404"/>
          <cell r="O404" t="str">
            <v>수정</v>
          </cell>
          <cell r="P404" t="str">
            <v>20190325 문서정리작업전 기술되어있음.</v>
          </cell>
          <cell r="Q404"/>
        </row>
        <row r="405">
          <cell r="B405" t="str">
            <v>A6020</v>
          </cell>
          <cell r="C405" t="str">
            <v>String</v>
          </cell>
          <cell r="D405">
            <v>1</v>
          </cell>
          <cell r="E405" t="str">
            <v>[유령법인DB] 유령법인 연관 건과 법인등록번호  매칭</v>
          </cell>
          <cell r="F405" t="str">
            <v>제공항목</v>
          </cell>
          <cell r="G405"/>
          <cell r="H405" t="str">
            <v>KCB</v>
          </cell>
          <cell r="I405" t="str">
            <v>GEA_KCB허위대출전문
GEA_KCB허위대출결과상세전문</v>
          </cell>
          <cell r="J405" t="str">
            <v>KCB허위대출조회C &gt; GEA_KCB허위대출결과상세전문조회</v>
          </cell>
          <cell r="K405" t="str">
            <v>허위법인연관법인번호존재여부_V1</v>
          </cell>
          <cell r="L405" t="str">
            <v>E15</v>
          </cell>
          <cell r="M405" t="str">
            <v>0210/231</v>
          </cell>
          <cell r="N405"/>
          <cell r="O405" t="str">
            <v>수정</v>
          </cell>
          <cell r="P405" t="str">
            <v>20190325 문서정리작업전 기술되어있음.</v>
          </cell>
          <cell r="Q405"/>
        </row>
        <row r="406">
          <cell r="B406" t="str">
            <v>A6021</v>
          </cell>
          <cell r="C406" t="str">
            <v>String</v>
          </cell>
          <cell r="D406">
            <v>1</v>
          </cell>
          <cell r="E406" t="str">
            <v>[유령법인DB] 유령법인 연관 건과 직장명&amp;직장주소 매칭</v>
          </cell>
          <cell r="F406" t="str">
            <v>제공항목</v>
          </cell>
          <cell r="G406"/>
          <cell r="H406" t="str">
            <v>KCB</v>
          </cell>
          <cell r="I406" t="str">
            <v>GEA_KCB허위대출전문
GEA_KCB허위대출결과상세전문</v>
          </cell>
          <cell r="J406" t="str">
            <v>KCB허위대출조회C &gt; GEA_KCB허위대출결과상세전문조회</v>
          </cell>
          <cell r="K406" t="str">
            <v>허위법인연관직장명직장주소_V1</v>
          </cell>
          <cell r="L406" t="str">
            <v>E16</v>
          </cell>
          <cell r="M406" t="str">
            <v>0210/231</v>
          </cell>
          <cell r="N406"/>
          <cell r="O406" t="str">
            <v>수정</v>
          </cell>
          <cell r="P406" t="str">
            <v>20190325 문서정리작업전 기술되어있음.</v>
          </cell>
          <cell r="Q406"/>
        </row>
        <row r="407">
          <cell r="B407" t="str">
            <v>A6022</v>
          </cell>
          <cell r="C407" t="str">
            <v>String</v>
          </cell>
          <cell r="D407">
            <v>1</v>
          </cell>
          <cell r="E407" t="str">
            <v>[유령법인DB] 유령법인 연관 건과 직장명&amp;직장전화번호 매칭</v>
          </cell>
          <cell r="F407" t="str">
            <v>제공항목</v>
          </cell>
          <cell r="G407"/>
          <cell r="H407" t="str">
            <v>KCB</v>
          </cell>
          <cell r="I407" t="str">
            <v>GEA_KCB허위대출전문
GEA_KCB허위대출결과상세전문</v>
          </cell>
          <cell r="J407" t="str">
            <v>KCB허위대출조회C &gt; GEA_KCB허위대출결과상세전문조회</v>
          </cell>
          <cell r="K407" t="str">
            <v>허위법인연관직장명직장전화번호_V1</v>
          </cell>
          <cell r="L407" t="str">
            <v>E17</v>
          </cell>
          <cell r="M407" t="str">
            <v>0210/231</v>
          </cell>
          <cell r="N407"/>
          <cell r="O407" t="str">
            <v>수정</v>
          </cell>
          <cell r="P407" t="str">
            <v>20190325 문서정리작업전 기술되어있음.</v>
          </cell>
          <cell r="Q407"/>
        </row>
        <row r="408">
          <cell r="B408" t="str">
            <v>A6023</v>
          </cell>
          <cell r="C408" t="str">
            <v>String</v>
          </cell>
          <cell r="D408">
            <v>1</v>
          </cell>
          <cell r="E408" t="str">
            <v>[유령법인DB] 유령법인 연관 건과 직장전화번호&amp;직장주소 매칭</v>
          </cell>
          <cell r="F408" t="str">
            <v>제공항목</v>
          </cell>
          <cell r="G408"/>
          <cell r="H408" t="str">
            <v>KCB</v>
          </cell>
          <cell r="I408" t="str">
            <v>GEA_KCB허위대출전문
GEA_KCB허위대출결과상세전문</v>
          </cell>
          <cell r="J408" t="str">
            <v>KCB허위대출조회C &gt; GEA_KCB허위대출결과상세전문조회</v>
          </cell>
          <cell r="K408" t="str">
            <v>허위법인연관직장전화번주소_V1</v>
          </cell>
          <cell r="L408" t="str">
            <v>E18</v>
          </cell>
          <cell r="M408" t="str">
            <v>0210/231</v>
          </cell>
          <cell r="N408"/>
          <cell r="O408" t="str">
            <v>수정</v>
          </cell>
          <cell r="P408" t="str">
            <v>20190325 문서정리작업전 기술되어있음.</v>
          </cell>
          <cell r="Q408"/>
        </row>
        <row r="409">
          <cell r="B409" t="str">
            <v>A6024</v>
          </cell>
          <cell r="C409" t="str">
            <v>String</v>
          </cell>
          <cell r="D409">
            <v>1</v>
          </cell>
          <cell r="E409" t="str">
            <v>[기타 Reference DB 매치] 사금융업체와 직장정보 매치</v>
          </cell>
          <cell r="F409" t="str">
            <v>제공항목</v>
          </cell>
          <cell r="G409"/>
          <cell r="H409" t="str">
            <v>KCB</v>
          </cell>
          <cell r="I409" t="str">
            <v>GEA_KCB허위대출전문
GEA_KCB허위대출결과상세전문</v>
          </cell>
          <cell r="J409" t="str">
            <v>KCB허위대출조회C &gt; GEA_KCB허위대출결과상세전문조회</v>
          </cell>
          <cell r="K409" t="str">
            <v>사기금융직장정보존재여부_V1</v>
          </cell>
          <cell r="L409" t="str">
            <v>E52</v>
          </cell>
          <cell r="M409" t="str">
            <v>0210/231</v>
          </cell>
          <cell r="N409"/>
          <cell r="O409" t="str">
            <v>수정</v>
          </cell>
          <cell r="P409" t="str">
            <v>20190325 문서정리작업전 기술되어있음.</v>
          </cell>
          <cell r="Q409"/>
        </row>
        <row r="410">
          <cell r="B410" t="str">
            <v>A6025</v>
          </cell>
          <cell r="C410" t="str">
            <v>String</v>
          </cell>
          <cell r="D410">
            <v>1</v>
          </cell>
          <cell r="E410" t="str">
            <v>[기타 Reference DB 매치] 당좌거래정지 업체와 직장정보 매치</v>
          </cell>
          <cell r="F410" t="str">
            <v>제공항목</v>
          </cell>
          <cell r="G410"/>
          <cell r="H410" t="str">
            <v>KCB</v>
          </cell>
          <cell r="I410" t="str">
            <v>GEA_KCB허위대출전문
GEA_KCB허위대출결과상세전문</v>
          </cell>
          <cell r="J410" t="str">
            <v>KCB허위대출조회C &gt; GEA_KCB허위대출결과상세전문조회</v>
          </cell>
          <cell r="K410" t="str">
            <v>당좌거래정지직장정보존재여부_V1</v>
          </cell>
          <cell r="L410" t="str">
            <v>E53</v>
          </cell>
          <cell r="M410" t="str">
            <v>0210/231</v>
          </cell>
          <cell r="N410"/>
          <cell r="O410" t="str">
            <v>수정</v>
          </cell>
          <cell r="P410" t="str">
            <v>20190325 문서정리작업전 기술되어있음.</v>
          </cell>
          <cell r="Q410"/>
        </row>
        <row r="411">
          <cell r="B411" t="str">
            <v>A6026</v>
          </cell>
          <cell r="C411" t="str">
            <v>String</v>
          </cell>
          <cell r="D411">
            <v>1</v>
          </cell>
          <cell r="E411" t="str">
            <v>[Profile] 직장, 재직 및 상환능력 유의(상)</v>
          </cell>
          <cell r="F411" t="str">
            <v>제공항목</v>
          </cell>
          <cell r="G411"/>
          <cell r="H411" t="str">
            <v>KCB</v>
          </cell>
          <cell r="I411" t="str">
            <v>GEA_KCB허위대출전문
GEA_KCB허위대출결과상세전문</v>
          </cell>
          <cell r="J411" t="str">
            <v>KCB허위대출조회C &gt; GEA_KCB허위대출결과상세전문조회</v>
          </cell>
          <cell r="K411" t="str">
            <v>상환능력유의여부_V1</v>
          </cell>
          <cell r="L411" t="str">
            <v>F01</v>
          </cell>
          <cell r="M411" t="str">
            <v>0210/231</v>
          </cell>
          <cell r="N411"/>
          <cell r="O411" t="str">
            <v>수정</v>
          </cell>
          <cell r="P411" t="str">
            <v>20190325 문서정리작업전 기술되어있음.</v>
          </cell>
          <cell r="Q411"/>
        </row>
        <row r="412">
          <cell r="B412" t="str">
            <v>A6027</v>
          </cell>
          <cell r="C412" t="str">
            <v>String</v>
          </cell>
          <cell r="D412">
            <v>1</v>
          </cell>
          <cell r="E412" t="str">
            <v>[Profile] 직장, 재직 및 신용도 유의(하)</v>
          </cell>
          <cell r="F412" t="str">
            <v>제공항목</v>
          </cell>
          <cell r="G412"/>
          <cell r="H412" t="str">
            <v>KCB</v>
          </cell>
          <cell r="I412" t="str">
            <v>GEA_KCB허위대출전문
GEA_KCB허위대출결과상세전문</v>
          </cell>
          <cell r="J412" t="str">
            <v>KCB허위대출조회C &gt; GEA_KCB허위대출결과상세전문조회</v>
          </cell>
          <cell r="K412" t="str">
            <v>신용도유의여부1_V1</v>
          </cell>
          <cell r="L412" t="str">
            <v>F02</v>
          </cell>
          <cell r="M412" t="str">
            <v>0210/231</v>
          </cell>
          <cell r="N412"/>
          <cell r="O412" t="str">
            <v>수정</v>
          </cell>
          <cell r="P412" t="str">
            <v>20190325 문서정리작업전 기술되어있음.</v>
          </cell>
          <cell r="Q412"/>
        </row>
        <row r="413">
          <cell r="B413" t="str">
            <v>A6028</v>
          </cell>
          <cell r="C413" t="str">
            <v>String</v>
          </cell>
          <cell r="D413">
            <v>1</v>
          </cell>
          <cell r="E413" t="str">
            <v>[Profile] 직장, 재직 및 동시대출 유의(하)</v>
          </cell>
          <cell r="F413" t="str">
            <v>제공항목</v>
          </cell>
          <cell r="G413"/>
          <cell r="H413" t="str">
            <v>KCB</v>
          </cell>
          <cell r="I413" t="str">
            <v>GEA_KCB허위대출전문
GEA_KCB허위대출결과상세전문</v>
          </cell>
          <cell r="J413" t="str">
            <v>KCB허위대출조회C &gt; GEA_KCB허위대출결과상세전문조회</v>
          </cell>
          <cell r="K413" t="str">
            <v>동시대출유의여부1_V1</v>
          </cell>
          <cell r="L413" t="str">
            <v>F03</v>
          </cell>
          <cell r="M413" t="str">
            <v>0210/231</v>
          </cell>
          <cell r="N413"/>
          <cell r="O413" t="str">
            <v>수정</v>
          </cell>
          <cell r="P413" t="str">
            <v>20190325 문서정리작업전 기술되어있음.</v>
          </cell>
          <cell r="Q413"/>
        </row>
        <row r="414">
          <cell r="B414" t="str">
            <v>A6029</v>
          </cell>
          <cell r="C414" t="str">
            <v>String</v>
          </cell>
          <cell r="D414">
            <v>1</v>
          </cell>
          <cell r="E414" t="str">
            <v>[Profile] 직장, 재직 및 신용도 유의(중)</v>
          </cell>
          <cell r="F414" t="str">
            <v>제공항목</v>
          </cell>
          <cell r="G414"/>
          <cell r="H414" t="str">
            <v>KCB</v>
          </cell>
          <cell r="I414" t="str">
            <v>GEA_KCB허위대출전문
GEA_KCB허위대출결과상세전문</v>
          </cell>
          <cell r="J414" t="str">
            <v>KCB허위대출조회C &gt; GEA_KCB허위대출결과상세전문조회</v>
          </cell>
          <cell r="K414" t="str">
            <v>신용도유의여부2_V1</v>
          </cell>
          <cell r="L414" t="str">
            <v>FA2</v>
          </cell>
          <cell r="M414" t="str">
            <v>0210/231</v>
          </cell>
          <cell r="N414"/>
          <cell r="O414" t="str">
            <v>수정</v>
          </cell>
          <cell r="P414" t="str">
            <v>20190325 문서정리작업전 기술되어있음.</v>
          </cell>
          <cell r="Q414"/>
        </row>
        <row r="415">
          <cell r="B415" t="str">
            <v>A6030</v>
          </cell>
          <cell r="C415" t="str">
            <v>String</v>
          </cell>
          <cell r="D415">
            <v>1</v>
          </cell>
          <cell r="E415" t="str">
            <v>[Profile] 직장, 재직 및 동시대출 유의(중)</v>
          </cell>
          <cell r="F415" t="str">
            <v>제공항목</v>
          </cell>
          <cell r="G415"/>
          <cell r="H415" t="str">
            <v>KCB</v>
          </cell>
          <cell r="I415" t="str">
            <v>GEA_KCB허위대출전문
GEA_KCB허위대출결과상세전문</v>
          </cell>
          <cell r="J415" t="str">
            <v>KCB허위대출조회C &gt; GEA_KCB허위대출결과상세전문조회</v>
          </cell>
          <cell r="K415" t="str">
            <v>동시대출유의여부2_V1</v>
          </cell>
          <cell r="L415" t="str">
            <v>FA3</v>
          </cell>
          <cell r="M415" t="str">
            <v>0210/231</v>
          </cell>
          <cell r="N415"/>
          <cell r="O415" t="str">
            <v>수정</v>
          </cell>
          <cell r="P415" t="str">
            <v>20190325 문서정리작업전 기술되어있음.</v>
          </cell>
          <cell r="Q415"/>
        </row>
        <row r="416">
          <cell r="B416" t="str">
            <v>A6031</v>
          </cell>
          <cell r="C416" t="str">
            <v>String</v>
          </cell>
          <cell r="D416">
            <v>1</v>
          </cell>
          <cell r="E416" t="str">
            <v>[GRAS+] 국적상실이탈정보보유(A등급)</v>
          </cell>
          <cell r="F416" t="str">
            <v>제공항목</v>
          </cell>
          <cell r="G416"/>
          <cell r="H416" t="str">
            <v>KCB</v>
          </cell>
          <cell r="I416" t="str">
            <v>GEA_KCB허위대출전문
GEA_KCB허위대출결과상세전문</v>
          </cell>
          <cell r="J416" t="str">
            <v>KCB허위대출조회C &gt; GEA_KCB허위대출결과상세전문조회</v>
          </cell>
          <cell r="K416" t="str">
            <v>국적상실이탈정보보유여부_V1</v>
          </cell>
          <cell r="L416" t="str">
            <v>X10</v>
          </cell>
          <cell r="M416" t="str">
            <v>0210/231</v>
          </cell>
          <cell r="N416"/>
          <cell r="O416" t="str">
            <v>수정</v>
          </cell>
          <cell r="P416" t="str">
            <v>20190325 문서정리작업전 기술되어있음.</v>
          </cell>
          <cell r="Q416"/>
        </row>
        <row r="417">
          <cell r="B417" t="str">
            <v>A6032</v>
          </cell>
          <cell r="C417" t="str">
            <v>String</v>
          </cell>
          <cell r="D417">
            <v>1</v>
          </cell>
          <cell r="E417" t="str">
            <v>[GRAS+] 실종정보보유(A~B등급)</v>
          </cell>
          <cell r="F417" t="str">
            <v>제공항목</v>
          </cell>
          <cell r="G417"/>
          <cell r="H417" t="str">
            <v>KCB</v>
          </cell>
          <cell r="I417" t="str">
            <v>GEA_KCB허위대출전문
GEA_KCB허위대출결과상세전문</v>
          </cell>
          <cell r="J417" t="str">
            <v>KCB허위대출조회C &gt; GEA_KCB허위대출결과상세전문조회</v>
          </cell>
          <cell r="K417" t="str">
            <v>실종정보보유여부_V1</v>
          </cell>
          <cell r="L417" t="str">
            <v>X21</v>
          </cell>
          <cell r="M417" t="str">
            <v>0210/231</v>
          </cell>
          <cell r="N417"/>
          <cell r="O417" t="str">
            <v>수정</v>
          </cell>
          <cell r="P417" t="str">
            <v>20190325 문서정리작업전 기술되어있음.</v>
          </cell>
          <cell r="Q417"/>
        </row>
        <row r="418">
          <cell r="B418" t="str">
            <v>A6033</v>
          </cell>
          <cell r="C418" t="str">
            <v>String</v>
          </cell>
          <cell r="D418">
            <v>1</v>
          </cell>
          <cell r="E418" t="str">
            <v>[GRAS+] 금치산정보보유(A~B등급)</v>
          </cell>
          <cell r="F418" t="str">
            <v>제공항목</v>
          </cell>
          <cell r="G418"/>
          <cell r="H418" t="str">
            <v>KCB</v>
          </cell>
          <cell r="I418" t="str">
            <v>GEA_KCB허위대출전문
GEA_KCB허위대출결과상세전문</v>
          </cell>
          <cell r="J418" t="str">
            <v>KCB허위대출조회C &gt; GEA_KCB허위대출결과상세전문조회</v>
          </cell>
          <cell r="K418" t="str">
            <v>금치산자정보보유여부_V1</v>
          </cell>
          <cell r="L418" t="str">
            <v>X31</v>
          </cell>
          <cell r="M418" t="str">
            <v>0210/231</v>
          </cell>
          <cell r="N418"/>
          <cell r="O418" t="str">
            <v>수정</v>
          </cell>
          <cell r="P418" t="str">
            <v>20190325 문서정리작업전 기술되어있음.</v>
          </cell>
          <cell r="Q418"/>
        </row>
        <row r="419">
          <cell r="B419" t="str">
            <v>A6034</v>
          </cell>
          <cell r="C419" t="str">
            <v>String</v>
          </cell>
          <cell r="D419">
            <v>1</v>
          </cell>
          <cell r="E419" t="str">
            <v>[GRAS+] 한정치산정보보유(A~B등급)</v>
          </cell>
          <cell r="F419" t="str">
            <v>제공항목</v>
          </cell>
          <cell r="G419"/>
          <cell r="H419" t="str">
            <v>KCB</v>
          </cell>
          <cell r="I419" t="str">
            <v>GEA_KCB허위대출전문
GEA_KCB허위대출결과상세전문</v>
          </cell>
          <cell r="J419" t="str">
            <v>KCB허위대출조회C &gt; GEA_KCB허위대출결과상세전문조회</v>
          </cell>
          <cell r="K419" t="str">
            <v>한정금치산자정보보유여부_V1</v>
          </cell>
          <cell r="L419" t="str">
            <v>X36</v>
          </cell>
          <cell r="M419" t="str">
            <v>0210/231</v>
          </cell>
          <cell r="N419"/>
          <cell r="O419" t="str">
            <v>수정</v>
          </cell>
          <cell r="P419" t="str">
            <v>20190325 문서정리작업전 기술되어있음.</v>
          </cell>
          <cell r="Q419"/>
        </row>
        <row r="420">
          <cell r="B420" t="str">
            <v>A6035</v>
          </cell>
          <cell r="C420" t="str">
            <v>String</v>
          </cell>
          <cell r="D420">
            <v>1</v>
          </cell>
          <cell r="E420" t="str">
            <v>[GRAS+] 개인파산면책정보보유여부(KFB포함)(A~B등급)</v>
          </cell>
          <cell r="F420" t="str">
            <v>제공항목</v>
          </cell>
          <cell r="G420"/>
          <cell r="H420" t="str">
            <v>KCB</v>
          </cell>
          <cell r="I420" t="str">
            <v>GEA_KCB허위대출전문
GEA_KCB허위대출결과상세전문</v>
          </cell>
          <cell r="J420" t="str">
            <v>KCB허위대출조회C &gt; GEA_KCB허위대출결과상세전문조회</v>
          </cell>
          <cell r="K420" t="str">
            <v>개인파산면책정보보유여부_V1</v>
          </cell>
          <cell r="L420" t="str">
            <v>X41</v>
          </cell>
          <cell r="M420" t="str">
            <v>0210/231</v>
          </cell>
          <cell r="N420"/>
          <cell r="O420" t="str">
            <v>수정</v>
          </cell>
          <cell r="P420" t="str">
            <v>20190325 문서정리작업전 기술되어있음.</v>
          </cell>
          <cell r="Q420"/>
        </row>
        <row r="421">
          <cell r="B421" t="str">
            <v>A6036</v>
          </cell>
          <cell r="C421" t="str">
            <v>String</v>
          </cell>
          <cell r="D421">
            <v>1</v>
          </cell>
          <cell r="E421" t="str">
            <v>[GRAS+] 개인회생정보보유여부(KFB포함)(A~B등급)</v>
          </cell>
          <cell r="F421" t="str">
            <v>제공항목</v>
          </cell>
          <cell r="G421"/>
          <cell r="H421" t="str">
            <v>KCB</v>
          </cell>
          <cell r="I421" t="str">
            <v>GEA_KCB허위대출전문
GEA_KCB허위대출결과상세전문</v>
          </cell>
          <cell r="J421" t="str">
            <v>KCB허위대출조회C &gt; GEA_KCB허위대출결과상세전문조회</v>
          </cell>
          <cell r="K421" t="str">
            <v>개인회생정보보유여부_V1</v>
          </cell>
          <cell r="L421" t="str">
            <v>X51</v>
          </cell>
          <cell r="M421" t="str">
            <v>0210/231</v>
          </cell>
          <cell r="N421"/>
          <cell r="O421" t="str">
            <v>수정</v>
          </cell>
          <cell r="P421" t="str">
            <v>20190325 문서정리작업전 기술되어있음.</v>
          </cell>
          <cell r="Q421"/>
        </row>
        <row r="422">
          <cell r="B422" t="str">
            <v>A6037</v>
          </cell>
          <cell r="C422" t="str">
            <v>String</v>
          </cell>
          <cell r="D422">
            <v>1</v>
          </cell>
          <cell r="E422" t="str">
            <v>[GRAS+] 당좌거래정지정보보유여부(KFB포함)</v>
          </cell>
          <cell r="F422" t="str">
            <v>제공항목</v>
          </cell>
          <cell r="G422"/>
          <cell r="H422" t="str">
            <v>KCB</v>
          </cell>
          <cell r="I422" t="str">
            <v>GEA_KCB허위대출전문
GEA_KCB허위대출결과상세전문</v>
          </cell>
          <cell r="J422" t="str">
            <v>KCB허위대출조회C &gt; GEA_KCB허위대출결과상세전문조회</v>
          </cell>
          <cell r="K422" t="str">
            <v>당좌거래정지정보보유여부_V1</v>
          </cell>
          <cell r="L422" t="str">
            <v>X60</v>
          </cell>
          <cell r="M422" t="str">
            <v>0210/231</v>
          </cell>
          <cell r="N422"/>
          <cell r="O422" t="str">
            <v>수정</v>
          </cell>
          <cell r="P422" t="str">
            <v>20190325 문서정리작업전 기술되어있음.</v>
          </cell>
          <cell r="Q422"/>
        </row>
        <row r="423">
          <cell r="B423" t="str">
            <v>A6038</v>
          </cell>
          <cell r="C423" t="str">
            <v>String</v>
          </cell>
          <cell r="D423">
            <v>1</v>
          </cell>
          <cell r="E423" t="str">
            <v>[GRAS+]  최근6개월이내법무상담이력존재</v>
          </cell>
          <cell r="F423" t="str">
            <v>제공항목</v>
          </cell>
          <cell r="G423"/>
          <cell r="H423" t="str">
            <v>KCB</v>
          </cell>
          <cell r="I423" t="str">
            <v>GEA_KCB허위대출전문
GEA_KCB허위대출결과상세전문</v>
          </cell>
          <cell r="J423" t="str">
            <v>KCB허위대출조회C &gt; GEA_KCB허위대출결과상세전문조회</v>
          </cell>
          <cell r="K423" t="str">
            <v>최근6개월법무상담이력존재여부_V1</v>
          </cell>
          <cell r="L423" t="str">
            <v>X70</v>
          </cell>
          <cell r="M423" t="str">
            <v>0210/231</v>
          </cell>
          <cell r="N423"/>
          <cell r="O423" t="str">
            <v>수정</v>
          </cell>
          <cell r="P423" t="str">
            <v>20190325 문서정리작업전 기술되어있음.</v>
          </cell>
          <cell r="Q423"/>
        </row>
        <row r="424">
          <cell r="B424" t="str">
            <v>A7001</v>
          </cell>
          <cell r="C424" t="str">
            <v>Numeric</v>
          </cell>
          <cell r="D424">
            <v>12</v>
          </cell>
          <cell r="E424" t="str">
            <v>신정원원리금상환금액</v>
          </cell>
          <cell r="F424" t="str">
            <v>제공항목</v>
          </cell>
          <cell r="G424"/>
          <cell r="H424" t="str">
            <v>KFOB</v>
          </cell>
          <cell r="I424" t="str">
            <v>GEA_신정원DSR전문</v>
          </cell>
          <cell r="J424" t="str">
            <v>한국신용정보대출현금서비스DSR정보조회C</v>
          </cell>
          <cell r="K424" t="str">
            <v>신DTI연간추정금액_N10</v>
          </cell>
          <cell r="L424"/>
          <cell r="M424"/>
          <cell r="N424"/>
          <cell r="O424" t="str">
            <v>추가</v>
          </cell>
          <cell r="P424" t="str">
            <v>20190325 문서정리작업전 기술되어있음.</v>
          </cell>
          <cell r="Q424"/>
        </row>
        <row r="425">
          <cell r="B425" t="str">
            <v>A7002</v>
          </cell>
          <cell r="C425" t="str">
            <v>String</v>
          </cell>
          <cell r="D425">
            <v>2</v>
          </cell>
          <cell r="E425" t="str">
            <v>DSR규제대상주담대구분</v>
          </cell>
          <cell r="F425" t="str">
            <v>제공항목</v>
          </cell>
          <cell r="G425"/>
          <cell r="H425" t="str">
            <v>KFOB</v>
          </cell>
          <cell r="I425" t="str">
            <v>GEA_신정원DSR전문</v>
          </cell>
          <cell r="J425" t="str">
            <v>한국신용정보대출현금서비스DSR정보조회C</v>
          </cell>
          <cell r="K425" t="str">
            <v>표준DSR업권코드</v>
          </cell>
          <cell r="L425"/>
          <cell r="M425"/>
          <cell r="N425"/>
          <cell r="O425" t="str">
            <v>추가</v>
          </cell>
          <cell r="P425" t="str">
            <v>20191220 추가</v>
          </cell>
          <cell r="Q425"/>
        </row>
        <row r="426">
          <cell r="B426" t="str">
            <v>A7003</v>
          </cell>
          <cell r="C426" t="str">
            <v>String</v>
          </cell>
          <cell r="D426">
            <v>15</v>
          </cell>
          <cell r="E426" t="str">
            <v>신용대출잔액_신정원</v>
          </cell>
          <cell r="F426" t="str">
            <v>제공항목</v>
          </cell>
          <cell r="G426"/>
          <cell r="H426" t="str">
            <v>KFOB</v>
          </cell>
          <cell r="I426" t="str">
            <v>GEA_신정원DSR전문</v>
          </cell>
          <cell r="J426" t="str">
            <v>한국신용정보대출현금서비스DSR정보조회C</v>
          </cell>
          <cell r="K426" t="str">
            <v>KCIS대출잔액+기대출금액</v>
          </cell>
          <cell r="L426"/>
          <cell r="M426"/>
          <cell r="N426"/>
          <cell r="O426" t="str">
            <v>추가</v>
          </cell>
          <cell r="P426" t="str">
            <v>대출구분코드100인 대출금액의 함(익일 당,타행 신용대출잔액) + 당일 당행 대출금액합산</v>
          </cell>
          <cell r="Q426"/>
        </row>
        <row r="427">
          <cell r="B427" t="str">
            <v>A7004</v>
          </cell>
          <cell r="C427" t="str">
            <v>Numeric</v>
          </cell>
          <cell r="D427">
            <v>15</v>
          </cell>
          <cell r="E427" t="str">
            <v>카드론대출잔액_신정원_당일포함</v>
          </cell>
          <cell r="F427" t="str">
            <v>제공항목</v>
          </cell>
          <cell r="G427"/>
          <cell r="H427" t="str">
            <v>KFOB</v>
          </cell>
          <cell r="I427" t="str">
            <v>GEA_신정원DSR전문</v>
          </cell>
          <cell r="J427" t="str">
            <v>한국신용정보대출현금서비스DSR정보조회C</v>
          </cell>
          <cell r="K427" t="str">
            <v>한신정카드론대출잔액_N15+기대출금액</v>
          </cell>
          <cell r="L427"/>
          <cell r="M427"/>
          <cell r="N427"/>
          <cell r="O427" t="str">
            <v>추가</v>
          </cell>
          <cell r="P427" t="str">
            <v>20210302 금소법추가</v>
          </cell>
          <cell r="Q427"/>
        </row>
        <row r="428">
          <cell r="B428" t="str">
            <v>A7005</v>
          </cell>
          <cell r="C428" t="str">
            <v>Numeric</v>
          </cell>
          <cell r="D428">
            <v>15</v>
          </cell>
          <cell r="E428" t="str">
            <v>비은행업권_대출총잔액_신정원</v>
          </cell>
          <cell r="F428" t="str">
            <v>제공항목</v>
          </cell>
          <cell r="G428"/>
          <cell r="H428" t="str">
            <v>KFOB</v>
          </cell>
          <cell r="I428" t="str">
            <v>GEA_신정원DSR전문</v>
          </cell>
          <cell r="J428" t="str">
            <v>한국신용정보대출현금서비스DSR정보조회C</v>
          </cell>
          <cell r="K428" t="str">
            <v>비은행업권대출금액_N15</v>
          </cell>
          <cell r="L428"/>
          <cell r="M428"/>
          <cell r="N428"/>
          <cell r="O428" t="str">
            <v>추가</v>
          </cell>
          <cell r="P428" t="str">
            <v>20210302 금소법추가</v>
          </cell>
          <cell r="Q428"/>
        </row>
        <row r="429">
          <cell r="B429" t="str">
            <v>A7006</v>
          </cell>
          <cell r="C429" t="str">
            <v>Numeric</v>
          </cell>
          <cell r="D429">
            <v>15</v>
          </cell>
          <cell r="E429" t="str">
            <v>은행업권_대출총잔액_신정원</v>
          </cell>
          <cell r="F429" t="str">
            <v>제공항목</v>
          </cell>
          <cell r="G429"/>
          <cell r="H429" t="str">
            <v>KFOB</v>
          </cell>
          <cell r="I429" t="str">
            <v>GEA_신정원DSR전문</v>
          </cell>
          <cell r="J429" t="str">
            <v>한국신용정보대출현금서비스DSR정보조회C</v>
          </cell>
          <cell r="K429" t="str">
            <v>은행업권대출금액</v>
          </cell>
          <cell r="L429"/>
          <cell r="M429"/>
          <cell r="N429"/>
          <cell r="O429" t="str">
            <v>추가</v>
          </cell>
          <cell r="P429" t="str">
            <v>20210302 금소법추가</v>
          </cell>
          <cell r="Q429"/>
        </row>
        <row r="430">
          <cell r="B430" t="str">
            <v>A7007</v>
          </cell>
          <cell r="C430" t="str">
            <v>Numeric</v>
          </cell>
          <cell r="D430">
            <v>15</v>
          </cell>
          <cell r="E430" t="str">
            <v>비은행업권_신용대출잔액</v>
          </cell>
          <cell r="F430" t="str">
            <v>제공항목</v>
          </cell>
          <cell r="G430"/>
          <cell r="H430" t="str">
            <v>KFOB</v>
          </cell>
          <cell r="I430" t="str">
            <v>GEA_신정원DSR전문</v>
          </cell>
          <cell r="J430" t="str">
            <v>한국신용정보대출현금서비스DSR정보조회C</v>
          </cell>
          <cell r="K430" t="str">
            <v>비은행업권신용대출금액</v>
          </cell>
          <cell r="L430"/>
          <cell r="M430"/>
          <cell r="N430"/>
          <cell r="O430" t="str">
            <v>추가</v>
          </cell>
          <cell r="P430" t="str">
            <v>20210302 금소법추가</v>
          </cell>
          <cell r="Q430"/>
        </row>
        <row r="431">
          <cell r="B431" t="str">
            <v>A7008</v>
          </cell>
          <cell r="C431" t="str">
            <v>Numeric</v>
          </cell>
          <cell r="D431">
            <v>15</v>
          </cell>
          <cell r="E431" t="str">
            <v>은행업권_신용대출잔액</v>
          </cell>
          <cell r="F431" t="str">
            <v>제공항목</v>
          </cell>
          <cell r="G431"/>
          <cell r="H431" t="str">
            <v>KFOB</v>
          </cell>
          <cell r="I431" t="str">
            <v>GEA_신정원DSR전문</v>
          </cell>
          <cell r="J431" t="str">
            <v>한국신용정보대출현금서비스DSR정보조회C</v>
          </cell>
          <cell r="K431" t="str">
            <v>은행업권신용대출금액</v>
          </cell>
          <cell r="L431"/>
          <cell r="M431"/>
          <cell r="N431"/>
          <cell r="O431" t="str">
            <v>추가</v>
          </cell>
          <cell r="P431" t="str">
            <v>20210302 금소법추가</v>
          </cell>
          <cell r="Q431"/>
        </row>
        <row r="432">
          <cell r="B432" t="str">
            <v>A7009</v>
          </cell>
          <cell r="C432" t="str">
            <v>Numeric</v>
          </cell>
          <cell r="D432">
            <v>15</v>
          </cell>
          <cell r="E432" t="str">
            <v>비은행업권_카드론잔액</v>
          </cell>
          <cell r="F432" t="str">
            <v>제공항목</v>
          </cell>
          <cell r="G432"/>
          <cell r="H432" t="str">
            <v>KFOB</v>
          </cell>
          <cell r="I432" t="str">
            <v>GEA_신정원DSR전문</v>
          </cell>
          <cell r="J432" t="str">
            <v>한국신용정보대출현금서비스DSR정보조회C</v>
          </cell>
          <cell r="K432" t="str">
            <v>비은행업권카드론대출금액_N15</v>
          </cell>
          <cell r="L432"/>
          <cell r="M432"/>
          <cell r="N432"/>
          <cell r="O432" t="str">
            <v>추가</v>
          </cell>
          <cell r="P432" t="str">
            <v>20210302 금소법추가</v>
          </cell>
          <cell r="Q432"/>
        </row>
        <row r="433">
          <cell r="B433" t="str">
            <v>A7010</v>
          </cell>
          <cell r="C433" t="str">
            <v>Numeric</v>
          </cell>
          <cell r="D433">
            <v>15</v>
          </cell>
          <cell r="E433" t="str">
            <v>은행업권_카드론잔액</v>
          </cell>
          <cell r="F433" t="str">
            <v>제공항목</v>
          </cell>
          <cell r="G433"/>
          <cell r="H433" t="str">
            <v>KFOB</v>
          </cell>
          <cell r="I433" t="str">
            <v>GEA_신정원DSR전문</v>
          </cell>
          <cell r="J433" t="str">
            <v>한국신용정보대출현금서비스DSR정보조회C</v>
          </cell>
          <cell r="K433" t="str">
            <v>은행업권카드론대출금액</v>
          </cell>
          <cell r="L433"/>
          <cell r="M433"/>
          <cell r="N433"/>
          <cell r="O433" t="str">
            <v>추가</v>
          </cell>
          <cell r="P433" t="str">
            <v>20210302 금소법추가</v>
          </cell>
          <cell r="Q433"/>
        </row>
        <row r="434">
          <cell r="B434" t="str">
            <v>A7011</v>
          </cell>
          <cell r="C434" t="str">
            <v>Numeric</v>
          </cell>
          <cell r="D434">
            <v>15</v>
          </cell>
          <cell r="E434" t="str">
            <v>비은행업권_CA잔액</v>
          </cell>
          <cell r="F434" t="str">
            <v>제공항목</v>
          </cell>
          <cell r="G434"/>
          <cell r="H434" t="str">
            <v>KFOB</v>
          </cell>
          <cell r="I434" t="str">
            <v>GEA_신정원DSR전문</v>
          </cell>
          <cell r="J434" t="str">
            <v>한국신용정보대출현금서비스DSR정보조회C</v>
          </cell>
          <cell r="K434" t="str">
            <v>비은행업권CA금액_N15</v>
          </cell>
          <cell r="L434"/>
          <cell r="M434"/>
          <cell r="N434"/>
          <cell r="O434" t="str">
            <v>추가</v>
          </cell>
          <cell r="P434" t="str">
            <v>20210302 금소법추가</v>
          </cell>
          <cell r="Q434"/>
        </row>
        <row r="435">
          <cell r="B435" t="str">
            <v>A7012</v>
          </cell>
          <cell r="C435" t="str">
            <v>Numeric</v>
          </cell>
          <cell r="D435">
            <v>15</v>
          </cell>
          <cell r="E435" t="str">
            <v>은행업권_CA잔액</v>
          </cell>
          <cell r="F435" t="str">
            <v>제공항목</v>
          </cell>
          <cell r="G435"/>
          <cell r="H435" t="str">
            <v>KFOB</v>
          </cell>
          <cell r="I435" t="str">
            <v>GEA_신정원DSR전문</v>
          </cell>
          <cell r="J435" t="str">
            <v>한국신용정보대출현금서비스DSR정보조회C</v>
          </cell>
          <cell r="K435" t="str">
            <v>은행업권CA금액_N15</v>
          </cell>
          <cell r="L435"/>
          <cell r="M435"/>
          <cell r="N435"/>
          <cell r="O435" t="str">
            <v>추가</v>
          </cell>
          <cell r="P435" t="str">
            <v>20210302 금소법추가</v>
          </cell>
          <cell r="Q435"/>
        </row>
        <row r="436">
          <cell r="B436" t="str">
            <v>A2158</v>
          </cell>
          <cell r="C436" t="str">
            <v>Number</v>
          </cell>
          <cell r="D436">
            <v>5</v>
          </cell>
          <cell r="E436" t="str">
            <v>KCB_RSCORE_통합_사전</v>
          </cell>
          <cell r="F436" t="str">
            <v>제공항목</v>
          </cell>
          <cell r="G436"/>
          <cell r="H436" t="str">
            <v>EDW(체크회원사전대상자)</v>
          </cell>
          <cell r="I436" t="str">
            <v>GEA체크회원사전대상자내역</v>
          </cell>
          <cell r="J436" t="str">
            <v>GEA체크회원사전대상자내역조회E</v>
          </cell>
          <cell r="K436" t="str">
            <v>R스코어평점</v>
          </cell>
          <cell r="L436"/>
          <cell r="M436"/>
          <cell r="N436"/>
          <cell r="O436"/>
          <cell r="P436"/>
          <cell r="Q436"/>
        </row>
        <row r="437">
          <cell r="B437" t="str">
            <v>A2159</v>
          </cell>
          <cell r="C437" t="str">
            <v>Number</v>
          </cell>
          <cell r="D437">
            <v>2</v>
          </cell>
          <cell r="E437" t="str">
            <v>KCB_RSCORE등급_통합_사전</v>
          </cell>
          <cell r="F437" t="str">
            <v>제공항목</v>
          </cell>
          <cell r="G437"/>
          <cell r="H437" t="str">
            <v>EDW(체크회원사전대상자)</v>
          </cell>
          <cell r="I437" t="str">
            <v>GEA체크회원사전대상자내역</v>
          </cell>
          <cell r="J437" t="str">
            <v>GEA체크회원사전대상자내역조회E</v>
          </cell>
          <cell r="K437" t="str">
            <v>KCBR스코어등급코드</v>
          </cell>
          <cell r="L437"/>
          <cell r="M437"/>
          <cell r="N437"/>
          <cell r="O437"/>
          <cell r="P437"/>
          <cell r="Q437"/>
        </row>
        <row r="438">
          <cell r="B438" t="str">
            <v>A2160</v>
          </cell>
          <cell r="C438" t="str">
            <v>Number</v>
          </cell>
          <cell r="D438">
            <v>5</v>
          </cell>
          <cell r="E438" t="str">
            <v>KCB_I_INDEX스코어_사전</v>
          </cell>
          <cell r="F438" t="str">
            <v>제공항목</v>
          </cell>
          <cell r="G438"/>
          <cell r="H438" t="str">
            <v>EDW(체크회원사전대상자)</v>
          </cell>
          <cell r="I438" t="str">
            <v>GEA체크회원사전대상자내역</v>
          </cell>
          <cell r="J438" t="str">
            <v>GEA체크회원사전대상자내역조회E</v>
          </cell>
          <cell r="K438" t="str">
            <v>KCB인덱스평가점수</v>
          </cell>
          <cell r="L438"/>
          <cell r="M438"/>
          <cell r="N438"/>
          <cell r="O438"/>
          <cell r="P438"/>
          <cell r="Q438"/>
        </row>
        <row r="439">
          <cell r="B439" t="str">
            <v>A2161</v>
          </cell>
          <cell r="C439" t="str">
            <v>Number</v>
          </cell>
          <cell r="D439">
            <v>2</v>
          </cell>
          <cell r="E439" t="str">
            <v>KCB_I_INDEX등급_사전</v>
          </cell>
          <cell r="F439" t="str">
            <v>제공항목</v>
          </cell>
          <cell r="G439"/>
          <cell r="H439" t="str">
            <v>EDW(체크회원사전대상자)</v>
          </cell>
          <cell r="I439" t="str">
            <v>GEA체크회원사전대상자내역</v>
          </cell>
          <cell r="J439" t="str">
            <v>GEA체크회원사전대상자내역조회E</v>
          </cell>
          <cell r="K439" t="str">
            <v>KCB인덱스등급구분코드</v>
          </cell>
          <cell r="L439"/>
          <cell r="M439"/>
          <cell r="N439"/>
          <cell r="O439"/>
          <cell r="P439"/>
          <cell r="Q439"/>
        </row>
        <row r="440">
          <cell r="B440" t="str">
            <v>A2162</v>
          </cell>
          <cell r="C440" t="str">
            <v>Number</v>
          </cell>
          <cell r="D440">
            <v>5</v>
          </cell>
          <cell r="E440" t="str">
            <v>TIP스코어_사전</v>
          </cell>
          <cell r="F440" t="str">
            <v>제공항목</v>
          </cell>
          <cell r="G440"/>
          <cell r="H440" t="str">
            <v>EDW(체크회원사전대상자)</v>
          </cell>
          <cell r="I440" t="str">
            <v>GEA체크회원사전대상자내역</v>
          </cell>
          <cell r="J440" t="str">
            <v>GEA체크회원사전대상자내역조회E</v>
          </cell>
          <cell r="K440" t="str">
            <v>팁신용평점</v>
          </cell>
          <cell r="L440"/>
          <cell r="M440"/>
          <cell r="N440"/>
          <cell r="O440"/>
          <cell r="P440"/>
          <cell r="Q440"/>
        </row>
        <row r="441">
          <cell r="B441" t="str">
            <v>A2163</v>
          </cell>
          <cell r="C441" t="str">
            <v>String</v>
          </cell>
          <cell r="D441">
            <v>2</v>
          </cell>
          <cell r="E441" t="str">
            <v>TIP스코어등급_사전</v>
          </cell>
          <cell r="F441" t="str">
            <v>제공항목</v>
          </cell>
          <cell r="G441"/>
          <cell r="H441" t="str">
            <v>EDW(체크회원사전대상자)</v>
          </cell>
          <cell r="I441" t="str">
            <v>GEA체크회원사전대상자내역</v>
          </cell>
          <cell r="J441" t="str">
            <v>GEA체크회원사전대상자내역조회E</v>
          </cell>
          <cell r="K441" t="str">
            <v>팁관련결과값</v>
          </cell>
          <cell r="L441"/>
          <cell r="M441"/>
          <cell r="N441"/>
          <cell r="O441"/>
          <cell r="P441"/>
          <cell r="Q441"/>
        </row>
        <row r="442">
          <cell r="B442" t="str">
            <v>B3001</v>
          </cell>
          <cell r="C442" t="str">
            <v>Number</v>
          </cell>
          <cell r="D442">
            <v>5</v>
          </cell>
          <cell r="E442" t="str">
            <v>N1년미해지CB거래건수</v>
          </cell>
          <cell r="F442" t="str">
            <v>제공항목</v>
          </cell>
          <cell r="G442"/>
          <cell r="H442" t="str">
            <v>nice</v>
          </cell>
          <cell r="I442" t="str">
            <v>GEA_NICE신용요약정보상세전문</v>
          </cell>
          <cell r="J442" t="str">
            <v>NICE비회원신용정보조회C &gt; GEA_NICE신용요약정보조회</v>
          </cell>
          <cell r="K442" t="str">
            <v>N1년미해지CB거래건수_N5</v>
          </cell>
          <cell r="L442" t="str">
            <v>AE0000016</v>
          </cell>
          <cell r="M442"/>
          <cell r="N442"/>
          <cell r="O442"/>
          <cell r="P442"/>
          <cell r="Q442"/>
        </row>
        <row r="443">
          <cell r="B443" t="str">
            <v>B3002</v>
          </cell>
          <cell r="C443" t="str">
            <v>Number</v>
          </cell>
          <cell r="D443">
            <v>15</v>
          </cell>
          <cell r="E443" t="str">
            <v>동일일신용대출발생2건이상합계</v>
          </cell>
          <cell r="F443" t="str">
            <v>제공항목</v>
          </cell>
          <cell r="G443"/>
          <cell r="H443" t="str">
            <v>nice</v>
          </cell>
          <cell r="I443" t="str">
            <v>GEA_NICE신용요약정보상세전문</v>
          </cell>
          <cell r="J443" t="str">
            <v>NICE비회원신용정보조회C &gt; GEA_NICE신용요약정보조회</v>
          </cell>
          <cell r="K443" t="str">
            <v>동일일신용대출발생2건이상합계_N15</v>
          </cell>
          <cell r="L443" t="str">
            <v>LC0600004</v>
          </cell>
          <cell r="M443"/>
          <cell r="N443"/>
          <cell r="O443"/>
          <cell r="P443"/>
          <cell r="Q443"/>
        </row>
        <row r="444">
          <cell r="B444" t="str">
            <v>B3003</v>
          </cell>
          <cell r="C444" t="str">
            <v>Number</v>
          </cell>
          <cell r="D444">
            <v>9</v>
          </cell>
          <cell r="E444" t="str">
            <v>최초대출개설경과일수</v>
          </cell>
          <cell r="F444" t="str">
            <v>제공항목</v>
          </cell>
          <cell r="G444"/>
          <cell r="H444" t="str">
            <v>nice</v>
          </cell>
          <cell r="I444" t="str">
            <v>GEA_NICE신용요약정보상세전문</v>
          </cell>
          <cell r="J444" t="str">
            <v>NICE비회원신용정보조회C &gt; GEA_NICE신용요약정보조회</v>
          </cell>
          <cell r="K444" t="str">
            <v>최초대출개설경과일수</v>
          </cell>
          <cell r="L444" t="str">
            <v>LH0000001</v>
          </cell>
          <cell r="M444"/>
          <cell r="N444"/>
          <cell r="O444"/>
          <cell r="P444"/>
          <cell r="Q444"/>
        </row>
        <row r="445">
          <cell r="B445" t="str">
            <v>B3004</v>
          </cell>
          <cell r="C445" t="str">
            <v>Number</v>
          </cell>
          <cell r="D445">
            <v>9</v>
          </cell>
          <cell r="E445" t="str">
            <v>최근대출개설경과일수</v>
          </cell>
          <cell r="F445" t="str">
            <v>제공항목</v>
          </cell>
          <cell r="G445"/>
          <cell r="H445" t="str">
            <v>nice</v>
          </cell>
          <cell r="I445" t="str">
            <v>GEA_NICE신용요약정보상세전문</v>
          </cell>
          <cell r="J445" t="str">
            <v>NICE비회원신용정보조회C &gt; GEA_NICE신용요약정보조회</v>
          </cell>
          <cell r="K445" t="str">
            <v>최근대출개설경과일수</v>
          </cell>
          <cell r="L445" t="str">
            <v>LH0000008</v>
          </cell>
          <cell r="M445"/>
          <cell r="N445"/>
          <cell r="O445"/>
          <cell r="P445"/>
          <cell r="Q445"/>
        </row>
        <row r="446">
          <cell r="B446" t="str">
            <v>B3005</v>
          </cell>
          <cell r="C446" t="str">
            <v>Number</v>
          </cell>
          <cell r="D446">
            <v>5</v>
          </cell>
          <cell r="E446" t="str">
            <v>N6월캐피탈대출건수</v>
          </cell>
          <cell r="F446" t="str">
            <v>제공항목</v>
          </cell>
          <cell r="G446"/>
          <cell r="H446" t="str">
            <v>nice</v>
          </cell>
          <cell r="I446" t="str">
            <v>GEA_NICE신용요약정보상세전문</v>
          </cell>
          <cell r="J446" t="str">
            <v>NICE비회원신용정보조회C &gt; GEA_NICE신용요약정보조회</v>
          </cell>
          <cell r="K446" t="str">
            <v>N6월캐피탈대출건수_N5</v>
          </cell>
          <cell r="L446" t="str">
            <v>LH0000150</v>
          </cell>
          <cell r="M446"/>
          <cell r="N446"/>
          <cell r="O446"/>
          <cell r="P446"/>
          <cell r="Q446"/>
        </row>
        <row r="447">
          <cell r="B447" t="str">
            <v>B3006</v>
          </cell>
          <cell r="C447" t="str">
            <v>Number</v>
          </cell>
          <cell r="D447">
            <v>5</v>
          </cell>
          <cell r="E447" t="str">
            <v>N6월미해지캐피탈주담외대출건수</v>
          </cell>
          <cell r="F447" t="str">
            <v>제공항목</v>
          </cell>
          <cell r="G447"/>
          <cell r="H447" t="str">
            <v>nice</v>
          </cell>
          <cell r="I447" t="str">
            <v>GEA_NICE신용요약정보상세전문</v>
          </cell>
          <cell r="J447" t="str">
            <v>NICE비회원신용정보조회C &gt; GEA_NICE신용요약정보조회</v>
          </cell>
          <cell r="K447" t="str">
            <v>N6월미해지캐피탈주담외대출건수_N5</v>
          </cell>
          <cell r="L447" t="str">
            <v>LS0000499</v>
          </cell>
          <cell r="M447"/>
          <cell r="N447"/>
          <cell r="O447"/>
          <cell r="P447"/>
          <cell r="Q447"/>
        </row>
        <row r="448">
          <cell r="B448" t="str">
            <v>B3007</v>
          </cell>
          <cell r="C448" t="str">
            <v>Number</v>
          </cell>
          <cell r="D448">
            <v>5</v>
          </cell>
          <cell r="E448" t="str">
            <v>N3년최장연체일수</v>
          </cell>
          <cell r="F448" t="str">
            <v>제공항목</v>
          </cell>
          <cell r="G448"/>
          <cell r="H448" t="str">
            <v>nice</v>
          </cell>
          <cell r="I448" t="str">
            <v>GEA_NICE신용요약정보상세전문</v>
          </cell>
          <cell r="J448" t="str">
            <v>NICE비회원신용정보조회C &gt; GEA_NICE신용요약정보조회</v>
          </cell>
          <cell r="K448" t="str">
            <v>N3년최장연체일수_N5</v>
          </cell>
          <cell r="L448" t="str">
            <v>PS0001973</v>
          </cell>
          <cell r="M448"/>
          <cell r="N448"/>
          <cell r="O448"/>
          <cell r="P448"/>
          <cell r="Q448"/>
        </row>
        <row r="449">
          <cell r="B449" t="str">
            <v>B3008</v>
          </cell>
          <cell r="C449" t="str">
            <v>Number</v>
          </cell>
          <cell r="D449">
            <v>5</v>
          </cell>
          <cell r="E449" t="str">
            <v>미해제한도대출건수</v>
          </cell>
          <cell r="F449" t="str">
            <v>제공항목</v>
          </cell>
          <cell r="G449"/>
          <cell r="H449" t="str">
            <v>nice</v>
          </cell>
          <cell r="I449" t="str">
            <v>GEA_NICE신용요약정보상세전문</v>
          </cell>
          <cell r="J449" t="str">
            <v>NICE비회원신용정보조회C &gt; GEA_NICE신용요약정보조회</v>
          </cell>
          <cell r="K449" t="str">
            <v>미해제한도대출건수</v>
          </cell>
          <cell r="L449" t="str">
            <v>LA0000005</v>
          </cell>
          <cell r="M449"/>
          <cell r="N449"/>
          <cell r="O449"/>
          <cell r="P449"/>
          <cell r="Q449"/>
        </row>
        <row r="450">
          <cell r="B450" t="str">
            <v>B3009</v>
          </cell>
          <cell r="C450" t="str">
            <v>Number</v>
          </cell>
          <cell r="D450">
            <v>15</v>
          </cell>
          <cell r="E450" t="str">
            <v>현거주지국토부실거래최근전세가</v>
          </cell>
          <cell r="F450" t="str">
            <v>제공항목</v>
          </cell>
          <cell r="G450"/>
          <cell r="H450" t="str">
            <v>nice</v>
          </cell>
          <cell r="I450" t="str">
            <v>GEA_NICE신용요약정보상세전문</v>
          </cell>
          <cell r="J450" t="str">
            <v>NICE비회원신용정보조회C &gt; GEA_NICE신용요약정보조회</v>
          </cell>
          <cell r="K450" t="str">
            <v>현거주지국토부실거래최근전세가_N15</v>
          </cell>
          <cell r="L450" t="str">
            <v>EHL103302</v>
          </cell>
          <cell r="M450"/>
          <cell r="N450"/>
          <cell r="O450"/>
          <cell r="P450"/>
          <cell r="Q450"/>
        </row>
        <row r="451">
          <cell r="B451" t="str">
            <v>B3010</v>
          </cell>
          <cell r="C451" t="str">
            <v>Number</v>
          </cell>
          <cell r="D451">
            <v>15</v>
          </cell>
          <cell r="E451" t="str">
            <v>현직장매출금액</v>
          </cell>
          <cell r="F451" t="str">
            <v>제공항목</v>
          </cell>
          <cell r="G451"/>
          <cell r="H451" t="str">
            <v>nice</v>
          </cell>
          <cell r="I451" t="str">
            <v>GEA_NICE신용요약정보상세전문</v>
          </cell>
          <cell r="J451" t="str">
            <v>NICE비회원신용정보조회C &gt; GEA_NICE신용요약정보조회</v>
          </cell>
          <cell r="K451" t="str">
            <v>현직장매출금액</v>
          </cell>
          <cell r="L451" t="str">
            <v>EW0003901</v>
          </cell>
          <cell r="M451"/>
          <cell r="N451"/>
          <cell r="O451"/>
          <cell r="P451"/>
          <cell r="Q451"/>
        </row>
        <row r="452">
          <cell r="B452" t="str">
            <v>B3011</v>
          </cell>
          <cell r="C452" t="str">
            <v>Number</v>
          </cell>
          <cell r="D452">
            <v>5</v>
          </cell>
          <cell r="E452" t="str">
            <v>미해지최초카드개설경과일수</v>
          </cell>
          <cell r="F452" t="str">
            <v>제공항목</v>
          </cell>
          <cell r="G452"/>
          <cell r="H452" t="str">
            <v>nice</v>
          </cell>
          <cell r="I452" t="str">
            <v>GEA_NICE신용요약정보상세전문</v>
          </cell>
          <cell r="J452" t="str">
            <v>NICE비회원신용정보조회C &gt; GEA_NICE신용요약정보조회</v>
          </cell>
          <cell r="K452" t="str">
            <v>미해지최초카드개설경과일수_N5</v>
          </cell>
          <cell r="L452" t="str">
            <v>C11061001</v>
          </cell>
          <cell r="M452"/>
          <cell r="N452"/>
          <cell r="O452"/>
          <cell r="P452"/>
          <cell r="Q452"/>
        </row>
        <row r="453">
          <cell r="B453" t="str">
            <v>B3012</v>
          </cell>
          <cell r="C453" t="str">
            <v>Number</v>
          </cell>
          <cell r="D453">
            <v>5</v>
          </cell>
          <cell r="E453" t="str">
            <v>N1월미해지신용개설건수</v>
          </cell>
          <cell r="F453" t="str">
            <v>제공항목</v>
          </cell>
          <cell r="G453"/>
          <cell r="H453" t="str">
            <v>nice</v>
          </cell>
          <cell r="I453" t="str">
            <v>GEA_NICE신용요약정보상세전문</v>
          </cell>
          <cell r="J453" t="str">
            <v>NICE비회원신용정보조회C &gt; GEA_NICE신용요약정보조회</v>
          </cell>
          <cell r="K453" t="str">
            <v>N1월미해지신용개설건수_N5</v>
          </cell>
          <cell r="L453" t="str">
            <v>C12000401</v>
          </cell>
          <cell r="M453"/>
          <cell r="N453"/>
          <cell r="O453"/>
          <cell r="P453"/>
          <cell r="Q453"/>
        </row>
        <row r="454">
          <cell r="B454" t="str">
            <v>B3013</v>
          </cell>
          <cell r="C454" t="str">
            <v>Number</v>
          </cell>
          <cell r="D454">
            <v>15</v>
          </cell>
          <cell r="E454" t="str">
            <v>현거주지국토부실거래최근매매가</v>
          </cell>
          <cell r="F454" t="str">
            <v>제공항목</v>
          </cell>
          <cell r="G454"/>
          <cell r="H454" t="str">
            <v>nice</v>
          </cell>
          <cell r="I454" t="str">
            <v>GEA_NICE신용요약정보상세전문</v>
          </cell>
          <cell r="J454" t="str">
            <v>NICE비회원신용정보조회C &gt; GEA_NICE신용요약정보조회</v>
          </cell>
          <cell r="K454" t="str">
            <v>현거주지국토부실거래최근매매가_N15</v>
          </cell>
          <cell r="L454" t="str">
            <v>EHL103301</v>
          </cell>
          <cell r="M454"/>
          <cell r="N454"/>
          <cell r="O454"/>
          <cell r="P454"/>
          <cell r="Q454"/>
        </row>
        <row r="455">
          <cell r="B455" t="str">
            <v>B3014</v>
          </cell>
          <cell r="C455" t="str">
            <v>Number</v>
          </cell>
          <cell r="D455">
            <v>5</v>
          </cell>
          <cell r="E455" t="str">
            <v>KB포함최근연체해제경과일수</v>
          </cell>
          <cell r="F455" t="str">
            <v>제공항목</v>
          </cell>
          <cell r="G455"/>
          <cell r="H455" t="str">
            <v>nice</v>
          </cell>
          <cell r="I455" t="str">
            <v>GEA_NICE신용요약정보상세전문</v>
          </cell>
          <cell r="J455" t="str">
            <v>NICE비회원신용정보조회C &gt; GEA_NICE신용요약정보조회</v>
          </cell>
          <cell r="K455" t="str">
            <v>KB포함최근연체해제경과일수_N5</v>
          </cell>
          <cell r="L455" t="str">
            <v>PH0000225</v>
          </cell>
          <cell r="M455"/>
          <cell r="N455"/>
          <cell r="O455"/>
          <cell r="P455"/>
          <cell r="Q455"/>
        </row>
        <row r="456">
          <cell r="B456" t="str">
            <v>B3015</v>
          </cell>
          <cell r="C456" t="str">
            <v>Number</v>
          </cell>
          <cell r="D456">
            <v>15</v>
          </cell>
          <cell r="E456" t="str">
            <v>건축물총실거래가격</v>
          </cell>
          <cell r="F456" t="str">
            <v>제공항목</v>
          </cell>
          <cell r="G456"/>
          <cell r="H456" t="str">
            <v>nice</v>
          </cell>
          <cell r="I456" t="str">
            <v>GEA_NICE신용요약정보상세전문</v>
          </cell>
          <cell r="J456" t="str">
            <v>NICE비회원신용정보조회C &gt; GEA_NICE신용요약정보조회</v>
          </cell>
          <cell r="K456" t="str">
            <v>건축물실거래합계금액</v>
          </cell>
          <cell r="L456" t="str">
            <v>RABAC0058</v>
          </cell>
          <cell r="M456"/>
          <cell r="N456"/>
          <cell r="O456"/>
          <cell r="P456"/>
          <cell r="Q456"/>
        </row>
        <row r="457">
          <cell r="B457" t="str">
            <v>B4001</v>
          </cell>
          <cell r="C457" t="str">
            <v>Number</v>
          </cell>
          <cell r="D457">
            <v>5</v>
          </cell>
          <cell r="E457" t="str">
            <v>미해제신용도판단공공정보건수</v>
          </cell>
          <cell r="F457" t="str">
            <v>제공항목</v>
          </cell>
          <cell r="G457"/>
          <cell r="H457" t="str">
            <v>KCB</v>
          </cell>
          <cell r="I457" t="str">
            <v>GEA_KCB신용정보전문
GEA_KCB신용평점정보상세전문
GEA_KCB신용요약정보상세전문</v>
          </cell>
          <cell r="J457"/>
          <cell r="K457" t="str">
            <v>미해제신용도판단공공정보건수_N5</v>
          </cell>
          <cell r="L457" t="str">
            <v>D20210000</v>
          </cell>
          <cell r="M457"/>
          <cell r="N457"/>
          <cell r="O457"/>
          <cell r="P457"/>
          <cell r="Q457"/>
        </row>
        <row r="458">
          <cell r="B458" t="str">
            <v>B4002</v>
          </cell>
          <cell r="C458" t="str">
            <v>Number</v>
          </cell>
          <cell r="D458">
            <v>15</v>
          </cell>
          <cell r="E458" t="str">
            <v>N1년신판이용금액</v>
          </cell>
          <cell r="F458" t="str">
            <v>제공항목</v>
          </cell>
          <cell r="G458"/>
          <cell r="H458" t="str">
            <v>KCB</v>
          </cell>
          <cell r="I458" t="str">
            <v>GEA_KCB신용정보전문
GEA_KCB신용평점정보상세전문
GEA_KCB신용요약정보상세전문</v>
          </cell>
          <cell r="J458"/>
          <cell r="K458" t="str">
            <v>N1년신판이용금액_N15</v>
          </cell>
          <cell r="L458" t="str">
            <v>C1Z000762</v>
          </cell>
          <cell r="M458"/>
          <cell r="N458"/>
          <cell r="O458"/>
          <cell r="P458"/>
          <cell r="Q458"/>
        </row>
        <row r="459">
          <cell r="B459" t="str">
            <v>B4003</v>
          </cell>
          <cell r="C459" t="str">
            <v>Number</v>
          </cell>
          <cell r="D459">
            <v>15</v>
          </cell>
          <cell r="E459" t="str">
            <v>N3월신판이용금액</v>
          </cell>
          <cell r="F459" t="str">
            <v>제공항목</v>
          </cell>
          <cell r="G459"/>
          <cell r="H459" t="str">
            <v>KCB</v>
          </cell>
          <cell r="I459" t="str">
            <v>GEA_KCB신용정보전문
GEA_KCB신용평점정보상세전문
GEA_KCB신용요약정보상세전문</v>
          </cell>
          <cell r="J459"/>
          <cell r="K459" t="str">
            <v>N3월신판이용금액_N15</v>
          </cell>
          <cell r="L459" t="str">
            <v>C1Z000397</v>
          </cell>
          <cell r="M459"/>
          <cell r="N459"/>
          <cell r="O459"/>
          <cell r="P459"/>
          <cell r="Q459"/>
        </row>
        <row r="460">
          <cell r="B460" t="str">
            <v>B4004</v>
          </cell>
          <cell r="C460" t="str">
            <v>Number</v>
          </cell>
          <cell r="D460">
            <v>15</v>
          </cell>
          <cell r="E460" t="str">
            <v>미해지LV1234제외대출금액</v>
          </cell>
          <cell r="F460" t="str">
            <v>제공항목</v>
          </cell>
          <cell r="G460"/>
          <cell r="H460" t="str">
            <v>KCB</v>
          </cell>
          <cell r="I460" t="str">
            <v>GEA_KCB신용정보전문
GEA_KCB신용평점정보상세전문
GEA_KCB신용요약정보상세전문</v>
          </cell>
          <cell r="J460"/>
          <cell r="K460" t="str">
            <v>미해지LV1234제외대출금액_N15</v>
          </cell>
          <cell r="L460" t="str">
            <v>L2Z001247</v>
          </cell>
          <cell r="M460"/>
          <cell r="N460"/>
          <cell r="O460"/>
          <cell r="P460"/>
          <cell r="Q460"/>
        </row>
        <row r="461">
          <cell r="B461" t="str">
            <v>B4005</v>
          </cell>
          <cell r="C461" t="str">
            <v>Number</v>
          </cell>
          <cell r="D461">
            <v>5</v>
          </cell>
          <cell r="E461" t="str">
            <v>신용도판단공공정보해제경과일수</v>
          </cell>
          <cell r="F461" t="str">
            <v>제공항목</v>
          </cell>
          <cell r="G461"/>
          <cell r="H461" t="str">
            <v>KCB</v>
          </cell>
          <cell r="I461" t="str">
            <v>GEA_KCB신용정보전문
GEA_KCB신용평점정보상세전문
GEA_KCB신용요약정보상세전문</v>
          </cell>
          <cell r="J461"/>
          <cell r="K461" t="str">
            <v>신용도판단공공정보해제경과일수_N5</v>
          </cell>
          <cell r="L461" t="str">
            <v>D2Z000078</v>
          </cell>
          <cell r="M461"/>
          <cell r="N461"/>
          <cell r="O461"/>
          <cell r="P461"/>
          <cell r="Q461"/>
        </row>
        <row r="462">
          <cell r="B462" t="str">
            <v>B4006</v>
          </cell>
          <cell r="C462" t="str">
            <v>Number</v>
          </cell>
          <cell r="D462">
            <v>15</v>
          </cell>
          <cell r="E462" t="str">
            <v>보유부동산실거래가합계금액</v>
          </cell>
          <cell r="F462" t="str">
            <v>제공항목</v>
          </cell>
          <cell r="G462"/>
          <cell r="H462" t="str">
            <v>KCB</v>
          </cell>
          <cell r="I462" t="str">
            <v>GEA_KCB신용정보전문
GEA_KCB신용평점정보상세전문
GEA_KCB신용요약정보상세전문</v>
          </cell>
          <cell r="J462"/>
          <cell r="K462" t="str">
            <v>보유부동산실거래가합계금액</v>
          </cell>
          <cell r="L462" t="str">
            <v>AS3C30110</v>
          </cell>
          <cell r="M462"/>
          <cell r="N462"/>
          <cell r="O462"/>
          <cell r="P462"/>
          <cell r="Q462"/>
        </row>
        <row r="463">
          <cell r="B463" t="str">
            <v>B4007</v>
          </cell>
          <cell r="C463" t="str">
            <v>Number</v>
          </cell>
          <cell r="D463">
            <v>9.1999999999999993</v>
          </cell>
          <cell r="E463" t="str">
            <v>N6월카드유효한도소진율</v>
          </cell>
          <cell r="F463" t="str">
            <v>제공항목</v>
          </cell>
          <cell r="G463"/>
          <cell r="H463" t="str">
            <v>KCB</v>
          </cell>
          <cell r="I463" t="str">
            <v>GEA_KCB신용정보전문
GEA_KCB신용평점정보상세전문
GEA_KCB신용요약정보상세전문</v>
          </cell>
          <cell r="J463"/>
          <cell r="K463" t="str">
            <v>N6월카드유효한도소진율_N9_2</v>
          </cell>
          <cell r="L463" t="str">
            <v>C1Z200122</v>
          </cell>
          <cell r="M463"/>
          <cell r="N463"/>
          <cell r="O463"/>
          <cell r="P463"/>
          <cell r="Q463"/>
        </row>
        <row r="464">
          <cell r="B464" t="str">
            <v>B4008</v>
          </cell>
          <cell r="C464" t="str">
            <v>Number</v>
          </cell>
          <cell r="D464">
            <v>5</v>
          </cell>
          <cell r="E464" t="str">
            <v>N5년휴대폰번호이력건수</v>
          </cell>
          <cell r="F464" t="str">
            <v>제공항목</v>
          </cell>
          <cell r="G464"/>
          <cell r="H464" t="str">
            <v>KCB</v>
          </cell>
          <cell r="I464" t="str">
            <v>GEA_KCB신용정보전문
GEA_KCB신용평점정보상세전문
GEA_KCB신용요약정보상세전문</v>
          </cell>
          <cell r="J464"/>
          <cell r="K464" t="str">
            <v>N5년휴대폰번호이력건수_N5</v>
          </cell>
          <cell r="L464" t="str">
            <v>AL012G020</v>
          </cell>
          <cell r="M464"/>
          <cell r="N464"/>
          <cell r="O464"/>
          <cell r="P464"/>
          <cell r="Q464"/>
        </row>
        <row r="465">
          <cell r="B465" t="str">
            <v>B4009</v>
          </cell>
          <cell r="C465" t="str">
            <v>Number</v>
          </cell>
          <cell r="D465">
            <v>9.1999999999999993</v>
          </cell>
          <cell r="E465" t="str">
            <v>N3월카드유효한도소진율</v>
          </cell>
          <cell r="F465" t="str">
            <v>제공항목</v>
          </cell>
          <cell r="G465"/>
          <cell r="H465" t="str">
            <v>KCB</v>
          </cell>
          <cell r="I465" t="str">
            <v>GEA_KCB신용정보전문
GEA_KCB신용평점정보상세전문
GEA_KCB신용요약정보상세전문</v>
          </cell>
          <cell r="J465"/>
          <cell r="K465" t="str">
            <v>N3월카드유효한도소진율_N9_2</v>
          </cell>
          <cell r="L465" t="str">
            <v>C1Z200113</v>
          </cell>
          <cell r="M465"/>
          <cell r="N465"/>
          <cell r="O465"/>
          <cell r="P465"/>
          <cell r="Q465"/>
        </row>
        <row r="466">
          <cell r="B466" t="str">
            <v>B4010</v>
          </cell>
          <cell r="C466" t="str">
            <v>Number</v>
          </cell>
          <cell r="D466">
            <v>9</v>
          </cell>
          <cell r="E466" t="str">
            <v>소유부동산주택건수</v>
          </cell>
          <cell r="F466" t="str">
            <v>제공항목</v>
          </cell>
          <cell r="G466"/>
          <cell r="H466" t="str">
            <v>KCB</v>
          </cell>
          <cell r="I466" t="str">
            <v>GEA_KCB신용정보전문
GEA_KCB신용평점정보상세전문
GEA_KCB신용요약정보상세전문</v>
          </cell>
          <cell r="J466"/>
          <cell r="K466" t="str">
            <v>소유부동산주택건수</v>
          </cell>
          <cell r="L466" t="str">
            <v>AS1C20126</v>
          </cell>
          <cell r="M466"/>
          <cell r="N466"/>
          <cell r="O466"/>
          <cell r="P466"/>
          <cell r="Q466"/>
        </row>
        <row r="467">
          <cell r="B467" t="str">
            <v>B4011</v>
          </cell>
          <cell r="C467" t="str">
            <v>Number</v>
          </cell>
          <cell r="D467">
            <v>9</v>
          </cell>
          <cell r="E467" t="str">
            <v>최근자택전화번호변경경과일수</v>
          </cell>
          <cell r="F467" t="str">
            <v>제공항목</v>
          </cell>
          <cell r="G467"/>
          <cell r="H467" t="str">
            <v>KCB</v>
          </cell>
          <cell r="I467" t="str">
            <v>GEA_KCB신용정보전문
GEA_KCB신용평점정보상세전문
GEA_KCB신용요약정보상세전문</v>
          </cell>
          <cell r="J467"/>
          <cell r="K467" t="str">
            <v>최근자택전화번호변경경과일수_V9</v>
          </cell>
          <cell r="L467" t="str">
            <v>AL018G002</v>
          </cell>
          <cell r="M467"/>
          <cell r="N467"/>
          <cell r="O467"/>
          <cell r="P467"/>
          <cell r="Q467"/>
        </row>
        <row r="468">
          <cell r="B468" t="str">
            <v>B4012</v>
          </cell>
          <cell r="C468" t="str">
            <v>Number</v>
          </cell>
          <cell r="D468">
            <v>9.1999999999999993</v>
          </cell>
          <cell r="E468" t="str">
            <v>N6월CA활성한도소진율</v>
          </cell>
          <cell r="F468" t="str">
            <v>제공항목</v>
          </cell>
          <cell r="G468"/>
          <cell r="H468" t="str">
            <v>KCB</v>
          </cell>
          <cell r="I468" t="str">
            <v>GEA_KCB신용정보전문
GEA_KCB신용평점정보상세전문
GEA_KCB신용요약정보상세전문</v>
          </cell>
          <cell r="J468"/>
          <cell r="K468" t="str">
            <v>N6월CA활성한도소진율_N9_2</v>
          </cell>
          <cell r="L468" t="str">
            <v>C1L120357</v>
          </cell>
          <cell r="M468"/>
          <cell r="N468"/>
          <cell r="O468"/>
          <cell r="P468"/>
          <cell r="Q468"/>
        </row>
        <row r="469">
          <cell r="B469" t="str">
            <v>B4013</v>
          </cell>
          <cell r="C469" t="str">
            <v>Number</v>
          </cell>
          <cell r="D469">
            <v>5</v>
          </cell>
          <cell r="E469" t="str">
            <v>최초대출신용카드개설경과일수</v>
          </cell>
          <cell r="F469" t="str">
            <v>제공항목</v>
          </cell>
          <cell r="G469"/>
          <cell r="H469" t="str">
            <v>KCB</v>
          </cell>
          <cell r="I469" t="str">
            <v>GEA_KCB신용정보전문
GEA_KCB신용평점정보상세전문
GEA_KCB신용요약정보상세전문</v>
          </cell>
          <cell r="J469"/>
          <cell r="K469" t="str">
            <v>최초대출신용카드개설경과일수_N5</v>
          </cell>
          <cell r="L469" t="str">
            <v>L2Z000142</v>
          </cell>
          <cell r="M469"/>
          <cell r="N469"/>
          <cell r="O469"/>
          <cell r="P469"/>
          <cell r="Q469"/>
        </row>
        <row r="470">
          <cell r="B470" t="str">
            <v>B4014</v>
          </cell>
          <cell r="C470" t="str">
            <v>Number</v>
          </cell>
          <cell r="D470">
            <v>9</v>
          </cell>
          <cell r="E470" t="str">
            <v>N3년폐업사업체수</v>
          </cell>
          <cell r="F470" t="str">
            <v>제공항목</v>
          </cell>
          <cell r="G470"/>
          <cell r="H470" t="str">
            <v>KCB</v>
          </cell>
          <cell r="I470" t="str">
            <v>GEA_KCB신용정보전문
GEA_KCB신용평점정보상세전문
GEA_KCB신용요약정보상세전문</v>
          </cell>
          <cell r="J470"/>
          <cell r="K470" t="str">
            <v>N3년폐업사업체수</v>
          </cell>
          <cell r="L470" t="str">
            <v>AH1020023</v>
          </cell>
          <cell r="M470"/>
          <cell r="N470"/>
          <cell r="O470"/>
          <cell r="P470"/>
          <cell r="Q470"/>
        </row>
        <row r="471">
          <cell r="B471" t="str">
            <v>B4015</v>
          </cell>
          <cell r="C471" t="str">
            <v>Number</v>
          </cell>
          <cell r="D471">
            <v>5</v>
          </cell>
          <cell r="E471" t="str">
            <v>N2년휴대폰번호이력건수</v>
          </cell>
          <cell r="F471" t="str">
            <v>제공항목</v>
          </cell>
          <cell r="G471"/>
          <cell r="H471" t="str">
            <v>KCB</v>
          </cell>
          <cell r="I471" t="str">
            <v>GEA_KCB신용정보전문
GEA_KCB신용평점정보상세전문
GEA_KCB신용요약정보상세전문</v>
          </cell>
          <cell r="J471"/>
          <cell r="K471" t="str">
            <v>N2년휴대폰번호이력건수</v>
          </cell>
          <cell r="L471" t="str">
            <v>AL012G018</v>
          </cell>
          <cell r="M471"/>
          <cell r="N471"/>
          <cell r="O471"/>
          <cell r="P471"/>
          <cell r="Q471"/>
        </row>
        <row r="472">
          <cell r="B472" t="str">
            <v>B4016</v>
          </cell>
          <cell r="C472" t="str">
            <v>Number</v>
          </cell>
          <cell r="D472">
            <v>9</v>
          </cell>
          <cell r="E472" t="str">
            <v>최근자택주소변경경과일수</v>
          </cell>
          <cell r="F472" t="str">
            <v>제공항목</v>
          </cell>
          <cell r="G472"/>
          <cell r="H472" t="str">
            <v>KCB</v>
          </cell>
          <cell r="I472" t="str">
            <v>GEA_KCB신용정보전문
GEA_KCB신용평점정보상세전문
GEA_KCB신용요약정보상세전문</v>
          </cell>
          <cell r="J472"/>
          <cell r="K472" t="str">
            <v>최근자택주소변경경과일수</v>
          </cell>
          <cell r="L472" t="str">
            <v>AL018G001</v>
          </cell>
          <cell r="M472"/>
          <cell r="N472"/>
          <cell r="O472"/>
          <cell r="P472"/>
          <cell r="Q472"/>
        </row>
        <row r="473">
          <cell r="B473" t="str">
            <v>B4017</v>
          </cell>
          <cell r="C473" t="str">
            <v>Number</v>
          </cell>
          <cell r="D473">
            <v>15</v>
          </cell>
          <cell r="E473" t="str">
            <v>N1월현거주지동연령카드이용금액</v>
          </cell>
          <cell r="F473" t="str">
            <v>제공항목</v>
          </cell>
          <cell r="G473"/>
          <cell r="H473" t="str">
            <v>KCB</v>
          </cell>
          <cell r="I473" t="str">
            <v>GEA_KCB신용정보전문
GEA_KCB신용평점정보상세전문
GEA_KCB신용요약정보상세전문</v>
          </cell>
          <cell r="J473"/>
          <cell r="K473" t="str">
            <v>N1월현거주지동연령카드이용금액_N15</v>
          </cell>
          <cell r="L473" t="str">
            <v>AT46A0007</v>
          </cell>
          <cell r="M473"/>
          <cell r="N473"/>
          <cell r="O473"/>
          <cell r="P473"/>
          <cell r="Q473"/>
        </row>
        <row r="474">
          <cell r="B474" t="str">
            <v>B4018</v>
          </cell>
          <cell r="C474" t="str">
            <v>Number</v>
          </cell>
          <cell r="D474">
            <v>9.1999999999999993</v>
          </cell>
          <cell r="E474" t="str">
            <v>N1년월평균신판이용기관수</v>
          </cell>
          <cell r="F474" t="str">
            <v>제공항목</v>
          </cell>
          <cell r="G474"/>
          <cell r="H474" t="str">
            <v>KCB</v>
          </cell>
          <cell r="I474" t="str">
            <v>GEA_KCB신용정보전문
GEA_KCB신용평점정보상세전문
GEA_KCB신용요약정보상세전문</v>
          </cell>
          <cell r="J474"/>
          <cell r="K474" t="str">
            <v>N1년월평균신판이용기관수_N9_2</v>
          </cell>
          <cell r="L474" t="str">
            <v>C1Z001471</v>
          </cell>
          <cell r="M474"/>
          <cell r="N474"/>
          <cell r="O474"/>
          <cell r="P474"/>
          <cell r="Q474"/>
        </row>
        <row r="475">
          <cell r="B475" t="str">
            <v>B4019</v>
          </cell>
          <cell r="C475" t="str">
            <v>Number</v>
          </cell>
          <cell r="D475">
            <v>9.1999999999999993</v>
          </cell>
          <cell r="E475" t="str">
            <v>N6월카드활성한도소진율</v>
          </cell>
          <cell r="F475" t="str">
            <v>제공항목</v>
          </cell>
          <cell r="G475"/>
          <cell r="H475" t="str">
            <v>KCB</v>
          </cell>
          <cell r="I475" t="str">
            <v>GEA_KCB신용정보전문
GEA_KCB신용평점정보상세전문
GEA_KCB신용요약정보상세전문</v>
          </cell>
          <cell r="J475"/>
          <cell r="K475" t="str">
            <v>N6월카드활성한도소진율_N9_2</v>
          </cell>
          <cell r="L475" t="str">
            <v>C1L120238</v>
          </cell>
          <cell r="M475"/>
          <cell r="N475"/>
          <cell r="O475"/>
          <cell r="P475"/>
          <cell r="Q475"/>
        </row>
        <row r="476">
          <cell r="B476" t="str">
            <v>B4020</v>
          </cell>
          <cell r="C476" t="str">
            <v>Number</v>
          </cell>
          <cell r="D476">
            <v>9.1999999999999993</v>
          </cell>
          <cell r="E476" t="str">
            <v>N3월CA유효활성한도소진율</v>
          </cell>
          <cell r="F476" t="str">
            <v>제공항목</v>
          </cell>
          <cell r="G476"/>
          <cell r="H476" t="str">
            <v>KCB</v>
          </cell>
          <cell r="I476" t="str">
            <v>GEA_KCB신용정보전문
GEA_KCB신용평점정보상세전문
GEA_KCB신용요약정보상세전문</v>
          </cell>
          <cell r="J476"/>
          <cell r="K476" t="str">
            <v>N3월CA유효활성한도소진율_N9_2</v>
          </cell>
          <cell r="L476" t="str">
            <v>C1L120255</v>
          </cell>
          <cell r="M476"/>
          <cell r="N476"/>
          <cell r="O476"/>
          <cell r="P476"/>
          <cell r="Q476"/>
        </row>
        <row r="477">
          <cell r="B477" t="str">
            <v>B4021</v>
          </cell>
          <cell r="C477" t="str">
            <v>Number</v>
          </cell>
          <cell r="D477">
            <v>5</v>
          </cell>
          <cell r="E477" t="str">
            <v>미해지CA이용잔액보유카드건수</v>
          </cell>
          <cell r="F477" t="str">
            <v>제공항목</v>
          </cell>
          <cell r="G477"/>
          <cell r="H477" t="str">
            <v>KCB</v>
          </cell>
          <cell r="I477" t="str">
            <v>GEA_KCB신용정보전문
GEA_KCB신용평점정보상세전문
GEA_KCB신용요약정보상세전문</v>
          </cell>
          <cell r="J477"/>
          <cell r="K477" t="str">
            <v>미해지CA이용잔액보유카드건수_N5</v>
          </cell>
          <cell r="L477" t="str">
            <v>C1N218000</v>
          </cell>
          <cell r="M477"/>
          <cell r="N477"/>
          <cell r="O477"/>
          <cell r="P477"/>
          <cell r="Q477"/>
        </row>
        <row r="478">
          <cell r="B478" t="str">
            <v>B4022</v>
          </cell>
          <cell r="C478" t="str">
            <v>Number</v>
          </cell>
          <cell r="D478">
            <v>9.1999999999999993</v>
          </cell>
          <cell r="E478" t="str">
            <v>N1년월평균일시불이용기관수</v>
          </cell>
          <cell r="F478" t="str">
            <v>제공항목</v>
          </cell>
          <cell r="G478"/>
          <cell r="H478" t="str">
            <v>KCB</v>
          </cell>
          <cell r="I478" t="str">
            <v>GEA_KCB신용정보전문
GEA_KCB신용평점정보상세전문
GEA_KCB신용요약정보상세전문</v>
          </cell>
          <cell r="J478"/>
          <cell r="K478" t="str">
            <v>N1년월평균일시불이용기관수_N9_2</v>
          </cell>
          <cell r="L478" t="str">
            <v>C1N2D4W0C</v>
          </cell>
          <cell r="M478"/>
          <cell r="N478"/>
          <cell r="O478"/>
          <cell r="P478"/>
          <cell r="Q478"/>
        </row>
        <row r="479">
          <cell r="B479" t="str">
            <v>B4023</v>
          </cell>
          <cell r="C479" t="str">
            <v>Number</v>
          </cell>
          <cell r="D479">
            <v>15</v>
          </cell>
          <cell r="E479" t="str">
            <v>N1년월평균신판총이용금액</v>
          </cell>
          <cell r="F479" t="str">
            <v>제공항목</v>
          </cell>
          <cell r="G479"/>
          <cell r="H479" t="str">
            <v>KCB</v>
          </cell>
          <cell r="I479" t="str">
            <v>GEA_KCB신용정보전문
GEA_KCB신용평점정보상세전문
GEA_KCB신용요약정보상세전문</v>
          </cell>
          <cell r="J479"/>
          <cell r="K479" t="str">
            <v>N1년월평균신판총이용금액_N15</v>
          </cell>
          <cell r="L479" t="str">
            <v>C1Z000824</v>
          </cell>
          <cell r="M479"/>
          <cell r="N479"/>
          <cell r="O479"/>
          <cell r="P479"/>
          <cell r="Q479"/>
        </row>
        <row r="480">
          <cell r="B480" t="str">
            <v>B4024</v>
          </cell>
          <cell r="C480" t="str">
            <v>Number</v>
          </cell>
          <cell r="D480">
            <v>9.1999999999999993</v>
          </cell>
          <cell r="E480" t="str">
            <v>N6월평균이용기관수</v>
          </cell>
          <cell r="F480" t="str">
            <v>제공항목</v>
          </cell>
          <cell r="G480"/>
          <cell r="H480" t="str">
            <v>KCB</v>
          </cell>
          <cell r="I480" t="str">
            <v>GEA_KCB신용정보전문
GEA_KCB신용평점정보상세전문
GEA_KCB신용요약정보상세전문</v>
          </cell>
          <cell r="J480"/>
          <cell r="K480" t="str">
            <v>N6월평균이용기관수_N9_2</v>
          </cell>
          <cell r="L480" t="str">
            <v>C1Z001043</v>
          </cell>
          <cell r="M480"/>
          <cell r="N480"/>
          <cell r="O480"/>
          <cell r="P480"/>
          <cell r="Q480"/>
        </row>
        <row r="481">
          <cell r="B481" t="str">
            <v>B4025</v>
          </cell>
          <cell r="C481" t="str">
            <v>Number</v>
          </cell>
          <cell r="D481">
            <v>9</v>
          </cell>
          <cell r="E481" t="str">
            <v>최초신용거래개설경과일수</v>
          </cell>
          <cell r="F481" t="str">
            <v>제공항목</v>
          </cell>
          <cell r="G481"/>
          <cell r="H481" t="str">
            <v>KCB</v>
          </cell>
          <cell r="I481" t="str">
            <v>GEA_KCB신용정보전문
GEA_KCB신용평점정보상세전문
GEA_KCB신용요약정보상세전문</v>
          </cell>
          <cell r="J481"/>
          <cell r="K481" t="str">
            <v>최초신용거래개설경과일수</v>
          </cell>
          <cell r="L481" t="str">
            <v>C20272000</v>
          </cell>
          <cell r="M481"/>
          <cell r="N481"/>
          <cell r="O481"/>
          <cell r="P481"/>
          <cell r="Q481"/>
        </row>
        <row r="482">
          <cell r="B482" t="str">
            <v>B4026</v>
          </cell>
          <cell r="C482" t="str">
            <v>Number</v>
          </cell>
          <cell r="D482">
            <v>9</v>
          </cell>
          <cell r="E482" t="str">
            <v>최근신용거래개설경과일수</v>
          </cell>
          <cell r="F482" t="str">
            <v>제공항목</v>
          </cell>
          <cell r="G482"/>
          <cell r="H482" t="str">
            <v>KCB</v>
          </cell>
          <cell r="I482" t="str">
            <v>GEA_KCB신용정보전문
GEA_KCB신용평점정보상세전문
GEA_KCB신용요약정보상세전문</v>
          </cell>
          <cell r="J482"/>
          <cell r="K482" t="str">
            <v>최근신용거래개설경과일수</v>
          </cell>
          <cell r="L482" t="str">
            <v>C20282000</v>
          </cell>
          <cell r="M482"/>
          <cell r="N482"/>
          <cell r="O482"/>
          <cell r="P482"/>
          <cell r="Q482"/>
        </row>
        <row r="483">
          <cell r="B483" t="str">
            <v>B4027</v>
          </cell>
          <cell r="C483" t="str">
            <v>Number</v>
          </cell>
          <cell r="D483">
            <v>15</v>
          </cell>
          <cell r="E483" t="str">
            <v>N1년해지포함총상환원금</v>
          </cell>
          <cell r="F483" t="str">
            <v>제공항목</v>
          </cell>
          <cell r="G483"/>
          <cell r="H483" t="str">
            <v>KCB</v>
          </cell>
          <cell r="I483" t="str">
            <v>GEA_KCB신용정보전문
GEA_KCB신용평점정보상세전문
GEA_KCB신용요약정보상세전문</v>
          </cell>
          <cell r="J483"/>
          <cell r="K483" t="str">
            <v>N1년해지포함총상환원금_N15</v>
          </cell>
          <cell r="L483" t="str">
            <v>L1013HW0C</v>
          </cell>
          <cell r="M483"/>
          <cell r="N483"/>
          <cell r="O483"/>
          <cell r="P483"/>
          <cell r="Q483"/>
        </row>
        <row r="484">
          <cell r="B484" t="str">
            <v>B4028</v>
          </cell>
          <cell r="C484" t="str">
            <v>Number</v>
          </cell>
          <cell r="D484">
            <v>9</v>
          </cell>
          <cell r="E484" t="str">
            <v>당사제외신용대출건수</v>
          </cell>
          <cell r="F484" t="str">
            <v>제공항목</v>
          </cell>
          <cell r="G484"/>
          <cell r="H484" t="str">
            <v>KCB</v>
          </cell>
          <cell r="I484" t="str">
            <v>GEA_KCB신용정보전문
GEA_KCB신용평점정보상세전문
GEA_KCB신용요약정보상세전문</v>
          </cell>
          <cell r="J484"/>
          <cell r="K484" t="str">
            <v>당사제외신용대출건수</v>
          </cell>
          <cell r="L484" t="str">
            <v>L1Z000967</v>
          </cell>
          <cell r="M484"/>
          <cell r="N484"/>
          <cell r="O484"/>
          <cell r="P484"/>
          <cell r="Q484"/>
        </row>
        <row r="485">
          <cell r="B485" t="str">
            <v>B4029</v>
          </cell>
          <cell r="C485" t="str">
            <v>Number</v>
          </cell>
          <cell r="D485">
            <v>5</v>
          </cell>
          <cell r="E485" t="str">
            <v>미해지LV123제외대출기관수</v>
          </cell>
          <cell r="F485" t="str">
            <v>제공항목</v>
          </cell>
          <cell r="G485"/>
          <cell r="H485" t="str">
            <v>KCB</v>
          </cell>
          <cell r="I485" t="str">
            <v>GEA_KCB신용정보전문
GEA_KCB신용평점정보상세전문
GEA_KCB신용요약정보상세전문</v>
          </cell>
          <cell r="J485"/>
          <cell r="K485" t="str">
            <v>미해지LV123제외대출기관수_N5</v>
          </cell>
          <cell r="L485" t="str">
            <v>L2Z001266</v>
          </cell>
          <cell r="M485"/>
          <cell r="N485"/>
          <cell r="O485"/>
          <cell r="P485"/>
          <cell r="Q485"/>
        </row>
        <row r="486">
          <cell r="B486" t="str">
            <v>B4030</v>
          </cell>
          <cell r="C486" t="str">
            <v>Number</v>
          </cell>
          <cell r="D486">
            <v>5</v>
          </cell>
          <cell r="E486" t="str">
            <v>미해지LV123456제외대출기관수</v>
          </cell>
          <cell r="F486" t="str">
            <v>제공항목</v>
          </cell>
          <cell r="G486"/>
          <cell r="H486" t="str">
            <v>KCB</v>
          </cell>
          <cell r="I486" t="str">
            <v>GEA_KCB신용정보전문
GEA_KCB신용평점정보상세전문
GEA_KCB신용요약정보상세전문</v>
          </cell>
          <cell r="J486"/>
          <cell r="K486" t="str">
            <v>미해지LV123456제외대출기관수_N5</v>
          </cell>
          <cell r="L486" t="str">
            <v>L2Z001243</v>
          </cell>
          <cell r="M486"/>
          <cell r="N486"/>
          <cell r="O486"/>
          <cell r="P486"/>
          <cell r="Q486"/>
        </row>
        <row r="487">
          <cell r="B487" t="str">
            <v>B4031</v>
          </cell>
          <cell r="C487" t="str">
            <v>Number</v>
          </cell>
          <cell r="D487">
            <v>15</v>
          </cell>
          <cell r="E487" t="str">
            <v>미해지LV123456제외대출금액</v>
          </cell>
          <cell r="F487" t="str">
            <v>제공항목</v>
          </cell>
          <cell r="G487"/>
          <cell r="H487" t="str">
            <v>KCB</v>
          </cell>
          <cell r="I487" t="str">
            <v>GEA_KCB신용정보전문
GEA_KCB신용평점정보상세전문
GEA_KCB신용요약정보상세전문</v>
          </cell>
          <cell r="J487"/>
          <cell r="K487" t="str">
            <v>미해지LV123456제외대출금액_N15</v>
          </cell>
          <cell r="L487" t="str">
            <v>L2Z001248</v>
          </cell>
          <cell r="M487"/>
          <cell r="N487"/>
          <cell r="O487"/>
          <cell r="P487"/>
          <cell r="Q487"/>
        </row>
        <row r="488">
          <cell r="B488" t="str">
            <v>B4032</v>
          </cell>
          <cell r="C488" t="str">
            <v>Number</v>
          </cell>
          <cell r="D488">
            <v>5</v>
          </cell>
          <cell r="E488" t="str">
            <v>N6월LV1신규대출기관수</v>
          </cell>
          <cell r="F488" t="str">
            <v>제공항목</v>
          </cell>
          <cell r="G488"/>
          <cell r="H488" t="str">
            <v>KCB</v>
          </cell>
          <cell r="I488" t="str">
            <v>GEA_KCB신용정보전문
GEA_KCB신용평점정보상세전문
GEA_KCB신용요약정보상세전문</v>
          </cell>
          <cell r="J488"/>
          <cell r="K488" t="str">
            <v>N6월LV1신규대출기관수_N5</v>
          </cell>
          <cell r="L488" t="str">
            <v>L2Z001267</v>
          </cell>
          <cell r="M488"/>
          <cell r="N488"/>
          <cell r="O488"/>
          <cell r="P488"/>
          <cell r="Q488"/>
        </row>
        <row r="489">
          <cell r="B489" t="str">
            <v>B4033</v>
          </cell>
          <cell r="C489" t="str">
            <v>Number</v>
          </cell>
          <cell r="D489">
            <v>5</v>
          </cell>
          <cell r="E489" t="str">
            <v>N6월LV1제외신규대출기관수</v>
          </cell>
          <cell r="F489" t="str">
            <v>제공항목</v>
          </cell>
          <cell r="G489"/>
          <cell r="H489" t="str">
            <v>KCB</v>
          </cell>
          <cell r="I489" t="str">
            <v>GEA_KCB신용정보전문
GEA_KCB신용평점정보상세전문
GEA_KCB신용요약정보상세전문</v>
          </cell>
          <cell r="J489"/>
          <cell r="K489" t="str">
            <v>N6월LV1제외신규대출기관수_N5</v>
          </cell>
          <cell r="L489" t="str">
            <v>L2Z001268</v>
          </cell>
          <cell r="M489"/>
          <cell r="N489"/>
          <cell r="O489"/>
          <cell r="P489"/>
          <cell r="Q489"/>
        </row>
        <row r="490">
          <cell r="B490" t="str">
            <v>B4034</v>
          </cell>
          <cell r="C490" t="str">
            <v>Number</v>
          </cell>
          <cell r="D490">
            <v>15</v>
          </cell>
          <cell r="E490" t="str">
            <v>미해지담보대출총금액</v>
          </cell>
          <cell r="F490" t="str">
            <v>제공항목</v>
          </cell>
          <cell r="G490"/>
          <cell r="H490" t="str">
            <v>KCB</v>
          </cell>
          <cell r="I490" t="str">
            <v>GEA_KCB신용정보전문
GEA_KCB신용평점정보상세전문
GEA_KCB신용요약정보상세전문</v>
          </cell>
          <cell r="J490"/>
          <cell r="K490" t="str">
            <v>미해지담보대출총금액_N15</v>
          </cell>
          <cell r="L490" t="str">
            <v>L2M000028</v>
          </cell>
          <cell r="M490"/>
          <cell r="N490"/>
          <cell r="O490"/>
          <cell r="P490"/>
          <cell r="Q490"/>
        </row>
        <row r="491">
          <cell r="B491" t="str">
            <v>B4035</v>
          </cell>
          <cell r="C491" t="str">
            <v>Number</v>
          </cell>
          <cell r="D491">
            <v>15</v>
          </cell>
          <cell r="E491" t="str">
            <v>미해지할부금융신용대출총금액</v>
          </cell>
          <cell r="F491" t="str">
            <v>제공항목</v>
          </cell>
          <cell r="G491"/>
          <cell r="H491" t="str">
            <v>KCB</v>
          </cell>
          <cell r="I491" t="str">
            <v>GEA_KCB신용정보전문
GEA_KCB신용평점정보상세전문
GEA_KCB신용요약정보상세전문</v>
          </cell>
          <cell r="J491"/>
          <cell r="K491" t="str">
            <v>미해지할부금융신용대출총금액_N15</v>
          </cell>
          <cell r="L491" t="str">
            <v>L2M000045</v>
          </cell>
          <cell r="M491"/>
          <cell r="N491"/>
          <cell r="O491"/>
          <cell r="P491"/>
          <cell r="Q491"/>
        </row>
        <row r="492">
          <cell r="B492" t="str">
            <v>B4036</v>
          </cell>
          <cell r="C492" t="str">
            <v>Number</v>
          </cell>
          <cell r="D492">
            <v>15</v>
          </cell>
          <cell r="E492" t="str">
            <v>미해지신용대출총대출금액</v>
          </cell>
          <cell r="F492" t="str">
            <v>제공항목</v>
          </cell>
          <cell r="G492"/>
          <cell r="H492" t="str">
            <v>KCB</v>
          </cell>
          <cell r="I492" t="str">
            <v>GEA_KCB신용정보전문
GEA_KCB신용평점정보상세전문
GEA_KCB신용요약정보상세전문</v>
          </cell>
          <cell r="J492"/>
          <cell r="K492" t="str">
            <v>미해지신용대출총대출금액_N15</v>
          </cell>
          <cell r="L492" t="str">
            <v>L2M000098</v>
          </cell>
          <cell r="M492"/>
          <cell r="N492"/>
          <cell r="O492"/>
          <cell r="P492"/>
          <cell r="Q492"/>
        </row>
        <row r="493">
          <cell r="B493" t="str">
            <v>B4037</v>
          </cell>
          <cell r="C493" t="str">
            <v>Number</v>
          </cell>
          <cell r="D493">
            <v>5</v>
          </cell>
          <cell r="E493" t="str">
            <v>N3월은행제외신규대출기관수</v>
          </cell>
          <cell r="F493" t="str">
            <v>제공항목</v>
          </cell>
          <cell r="G493"/>
          <cell r="H493" t="str">
            <v>KCB</v>
          </cell>
          <cell r="I493" t="str">
            <v>GEA_KCB신용정보전문
GEA_KCB신용평점정보상세전문
GEA_KCB신용요약정보상세전문</v>
          </cell>
          <cell r="J493"/>
          <cell r="K493" t="str">
            <v>N3월은행제외신규대출기관수_N5</v>
          </cell>
          <cell r="L493" t="str">
            <v>L2M000140</v>
          </cell>
          <cell r="M493"/>
          <cell r="N493"/>
          <cell r="O493"/>
          <cell r="P493"/>
          <cell r="Q493"/>
        </row>
        <row r="494">
          <cell r="B494" t="str">
            <v>B4038</v>
          </cell>
          <cell r="C494" t="str">
            <v>Number</v>
          </cell>
          <cell r="D494">
            <v>9</v>
          </cell>
          <cell r="E494" t="str">
            <v>N1년해지포함대출금액증가율</v>
          </cell>
          <cell r="F494" t="str">
            <v>제공항목</v>
          </cell>
          <cell r="G494"/>
          <cell r="H494" t="str">
            <v>KCB</v>
          </cell>
          <cell r="I494" t="str">
            <v>GEA_KCB신용정보전문
GEA_KCB신용평점정보상세전문
GEA_KCB신용요약정보상세전문</v>
          </cell>
          <cell r="J494"/>
          <cell r="K494" t="str">
            <v>N1년해지포함대출금액증가율</v>
          </cell>
          <cell r="L494" t="str">
            <v>L2Z000194</v>
          </cell>
          <cell r="M494"/>
          <cell r="N494"/>
          <cell r="O494"/>
          <cell r="P494"/>
          <cell r="Q494"/>
        </row>
        <row r="495">
          <cell r="B495" t="str">
            <v>B4039</v>
          </cell>
          <cell r="C495" t="str">
            <v>Number</v>
          </cell>
          <cell r="D495">
            <v>9.1999999999999993</v>
          </cell>
          <cell r="E495" t="str">
            <v>N1년해지포함담보제외대출증가율</v>
          </cell>
          <cell r="F495" t="str">
            <v>제공항목</v>
          </cell>
          <cell r="G495"/>
          <cell r="H495" t="str">
            <v>KCB</v>
          </cell>
          <cell r="I495" t="str">
            <v>GEA_KCB신용정보전문
GEA_KCB신용평점정보상세전문
GEA_KCB신용요약정보상세전문</v>
          </cell>
          <cell r="J495"/>
          <cell r="K495" t="str">
            <v>N1년해지포함담보제외대출증가율_N9_2</v>
          </cell>
          <cell r="L495" t="str">
            <v>L2Z000217</v>
          </cell>
          <cell r="M495"/>
          <cell r="N495"/>
          <cell r="O495"/>
          <cell r="P495"/>
          <cell r="Q495"/>
        </row>
        <row r="496">
          <cell r="B496" t="str">
            <v>B4040</v>
          </cell>
          <cell r="C496" t="str">
            <v>Number</v>
          </cell>
          <cell r="D496">
            <v>9</v>
          </cell>
          <cell r="E496" t="str">
            <v>은행신차제외대출개설경과일수</v>
          </cell>
          <cell r="F496" t="str">
            <v>제공항목</v>
          </cell>
          <cell r="G496"/>
          <cell r="H496" t="str">
            <v>KCB</v>
          </cell>
          <cell r="I496" t="str">
            <v>GEA_KCB신용정보전문
GEA_KCB신용평점정보상세전문
GEA_KCB신용요약정보상세전문</v>
          </cell>
          <cell r="J496"/>
          <cell r="K496" t="str">
            <v>은행신차제외대출개설경과일수</v>
          </cell>
          <cell r="L496" t="str">
            <v>L2Z001063</v>
          </cell>
          <cell r="M496"/>
          <cell r="N496"/>
          <cell r="O496"/>
          <cell r="P496"/>
          <cell r="Q496"/>
        </row>
        <row r="497">
          <cell r="B497" t="str">
            <v>B4041</v>
          </cell>
          <cell r="C497" t="str">
            <v>Number</v>
          </cell>
          <cell r="D497">
            <v>5</v>
          </cell>
          <cell r="E497" t="str">
            <v>N1월전비은행기업신용공여기관수</v>
          </cell>
          <cell r="F497" t="str">
            <v>제공항목</v>
          </cell>
          <cell r="G497"/>
          <cell r="H497" t="str">
            <v>KCB</v>
          </cell>
          <cell r="I497" t="str">
            <v>GEA_KCB신용정보전문
GEA_KCB신용평점정보상세전문
GEA_KCB신용요약정보상세전문</v>
          </cell>
          <cell r="J497"/>
          <cell r="K497" t="str">
            <v>N1월전비은행기업신용공여기관수_N5</v>
          </cell>
          <cell r="L497" t="str">
            <v>LA0000056</v>
          </cell>
          <cell r="M497"/>
          <cell r="N497"/>
          <cell r="O497"/>
          <cell r="P497"/>
          <cell r="Q497"/>
        </row>
        <row r="498">
          <cell r="B498" t="str">
            <v>B4042</v>
          </cell>
          <cell r="C498" t="str">
            <v>Number</v>
          </cell>
          <cell r="D498">
            <v>15</v>
          </cell>
          <cell r="E498" t="str">
            <v>KCBDSR연간상환원리금5</v>
          </cell>
          <cell r="F498" t="str">
            <v>제공항목</v>
          </cell>
          <cell r="G498"/>
          <cell r="H498" t="str">
            <v>KCB</v>
          </cell>
          <cell r="I498" t="str">
            <v>GEA_KCB신용정보전문
GEA_KCB신용평점정보상세전문
GEA_KCB신용요약정보상세전문</v>
          </cell>
          <cell r="J498"/>
          <cell r="K498" t="str">
            <v>KCBDSR연간상환원리금</v>
          </cell>
          <cell r="L498" t="str">
            <v>U5D002011</v>
          </cell>
          <cell r="M498"/>
          <cell r="N498"/>
          <cell r="O498"/>
          <cell r="P498"/>
          <cell r="Q498"/>
        </row>
        <row r="499">
          <cell r="B499" t="str">
            <v>B4043</v>
          </cell>
          <cell r="C499" t="str">
            <v>Number</v>
          </cell>
          <cell r="D499">
            <v>10</v>
          </cell>
          <cell r="E499" t="str">
            <v>주부특화자산평가지수구분코드</v>
          </cell>
          <cell r="F499" t="str">
            <v>제공항목</v>
          </cell>
          <cell r="G499"/>
          <cell r="H499" t="str">
            <v>KCB</v>
          </cell>
          <cell r="I499" t="str">
            <v>GEA_KCB신용정보전문
GEA_KCB신용평점정보상세전문
GEA_KCB신용요약정보상세전문</v>
          </cell>
          <cell r="J499"/>
          <cell r="K499" t="str">
            <v>주부특화자산평가지수구분코드_V10</v>
          </cell>
          <cell r="L499" t="str">
            <v>U81501010</v>
          </cell>
          <cell r="M499"/>
          <cell r="N499"/>
          <cell r="O499"/>
          <cell r="P499"/>
          <cell r="Q499"/>
        </row>
        <row r="500">
          <cell r="B500" t="str">
            <v>B4044</v>
          </cell>
          <cell r="C500" t="str">
            <v>Number</v>
          </cell>
          <cell r="D500">
            <v>15</v>
          </cell>
          <cell r="E500" t="str">
            <v>대부업권대출금액</v>
          </cell>
          <cell r="F500" t="str">
            <v>제공항목</v>
          </cell>
          <cell r="G500"/>
          <cell r="H500" t="str">
            <v>KCB</v>
          </cell>
          <cell r="I500" t="str">
            <v>GEA_KCB신용정보전문
GEA_KCB신용평점정보상세전문
GEA_KCB신용요약정보상세전문</v>
          </cell>
          <cell r="J500"/>
          <cell r="K500" t="str">
            <v>대부업권대출금액</v>
          </cell>
          <cell r="L500" t="str">
            <v>L20231O00</v>
          </cell>
          <cell r="M500"/>
          <cell r="N500"/>
          <cell r="O500"/>
          <cell r="P500"/>
          <cell r="Q500"/>
        </row>
        <row r="501">
          <cell r="B501" t="str">
            <v>B4045</v>
          </cell>
          <cell r="C501" t="str">
            <v>Number</v>
          </cell>
          <cell r="D501">
            <v>15</v>
          </cell>
          <cell r="E501" t="str">
            <v>CA이용합계잔액</v>
          </cell>
          <cell r="F501" t="str">
            <v>제공항목</v>
          </cell>
          <cell r="G501"/>
          <cell r="H501" t="str">
            <v>KCB</v>
          </cell>
          <cell r="I501" t="str">
            <v>GEA_KCB신용정보전문
GEA_KCB신용평점정보상세전문
GEA_KCB신용요약정보상세전문</v>
          </cell>
          <cell r="J501"/>
          <cell r="K501" t="str">
            <v>CA이용합계잔액</v>
          </cell>
          <cell r="L501" t="str">
            <v>C1N238000</v>
          </cell>
          <cell r="M501"/>
          <cell r="N501"/>
          <cell r="O501"/>
          <cell r="P501"/>
          <cell r="Q501"/>
        </row>
        <row r="502">
          <cell r="B502" t="str">
            <v>B4046</v>
          </cell>
          <cell r="C502" t="str">
            <v>Number</v>
          </cell>
          <cell r="D502">
            <v>15</v>
          </cell>
          <cell r="E502" t="str">
            <v>N1년월평균CA총이용금액</v>
          </cell>
          <cell r="F502" t="str">
            <v>제공항목</v>
          </cell>
          <cell r="G502"/>
          <cell r="H502" t="str">
            <v>KCB</v>
          </cell>
          <cell r="I502" t="str">
            <v>GEA_KCB신용정보전문
GEA_KCB신용평점정보상세전문
GEA_KCB신용요약정보상세전문</v>
          </cell>
          <cell r="J502"/>
          <cell r="K502" t="str">
            <v>N1년월평균CA총이용금액_N15</v>
          </cell>
          <cell r="L502" t="str">
            <v>C1Z000963</v>
          </cell>
          <cell r="M502"/>
          <cell r="N502"/>
          <cell r="O502"/>
          <cell r="P502"/>
          <cell r="Q502"/>
        </row>
        <row r="503">
          <cell r="B503" t="str">
            <v>B4047</v>
          </cell>
          <cell r="C503" t="str">
            <v>Number</v>
          </cell>
          <cell r="D503">
            <v>15</v>
          </cell>
          <cell r="E503" t="str">
            <v>미해지당사제외CA이용잔액</v>
          </cell>
          <cell r="F503" t="str">
            <v>제공항목</v>
          </cell>
          <cell r="G503"/>
          <cell r="H503" t="str">
            <v>KCB</v>
          </cell>
          <cell r="I503" t="str">
            <v>GEA_KCB신용정보전문
GEA_KCB신용평점정보상세전문
GEA_KCB신용요약정보상세전문</v>
          </cell>
          <cell r="J503"/>
          <cell r="K503" t="str">
            <v>미해지당사제외CA이용잔액_N15</v>
          </cell>
          <cell r="L503" t="str">
            <v>C1Z001432</v>
          </cell>
          <cell r="M503"/>
          <cell r="N503"/>
          <cell r="O503"/>
          <cell r="P503"/>
          <cell r="Q503"/>
        </row>
        <row r="504">
          <cell r="B504" t="str">
            <v>B4048</v>
          </cell>
          <cell r="C504" t="str">
            <v>Number</v>
          </cell>
          <cell r="D504">
            <v>15</v>
          </cell>
          <cell r="E504" t="str">
            <v>N1년당사제외월평균CA총이용금액</v>
          </cell>
          <cell r="F504" t="str">
            <v>제공항목</v>
          </cell>
          <cell r="G504"/>
          <cell r="H504" t="str">
            <v>KCB</v>
          </cell>
          <cell r="I504" t="str">
            <v>GEA_KCB신용정보전문
GEA_KCB신용평점정보상세전문
GEA_KCB신용요약정보상세전문</v>
          </cell>
          <cell r="J504"/>
          <cell r="K504" t="str">
            <v>N1년당사제외월평균CA총이용금액_N15</v>
          </cell>
          <cell r="L504" t="str">
            <v>C1Z001436</v>
          </cell>
          <cell r="M504"/>
          <cell r="N504"/>
          <cell r="O504"/>
          <cell r="P504"/>
          <cell r="Q504"/>
        </row>
        <row r="505">
          <cell r="B505" t="str">
            <v>B4049</v>
          </cell>
          <cell r="C505" t="str">
            <v>Number</v>
          </cell>
          <cell r="D505">
            <v>15</v>
          </cell>
          <cell r="E505" t="str">
            <v>N1월전당사제외카드이용잔액</v>
          </cell>
          <cell r="F505" t="str">
            <v>제공항목</v>
          </cell>
          <cell r="G505"/>
          <cell r="H505" t="str">
            <v>KCB</v>
          </cell>
          <cell r="I505" t="str">
            <v>GEA_KCB신용정보전문
GEA_KCB신용평점정보상세전문
GEA_KCB신용요약정보상세전문</v>
          </cell>
          <cell r="J505"/>
          <cell r="K505" t="str">
            <v>N1월전당사제외카드이용잔액_N15</v>
          </cell>
          <cell r="L505" t="str">
            <v>C1Z001430</v>
          </cell>
          <cell r="M505"/>
          <cell r="N505"/>
          <cell r="O505"/>
          <cell r="P505"/>
          <cell r="Q505"/>
        </row>
        <row r="506">
          <cell r="B506" t="str">
            <v>B4050</v>
          </cell>
          <cell r="C506" t="str">
            <v>Number</v>
          </cell>
          <cell r="D506">
            <v>15</v>
          </cell>
          <cell r="E506" t="str">
            <v>N1년당사제외월평균카드이용잔액</v>
          </cell>
          <cell r="F506" t="str">
            <v>제공항목</v>
          </cell>
          <cell r="G506"/>
          <cell r="H506" t="str">
            <v>KCB</v>
          </cell>
          <cell r="I506" t="str">
            <v>GEA_KCB신용정보전문
GEA_KCB신용평점정보상세전문
GEA_KCB신용요약정보상세전문</v>
          </cell>
          <cell r="J506"/>
          <cell r="K506" t="str">
            <v>N1년당사제외월평균카드이용잔액_N15</v>
          </cell>
          <cell r="L506" t="str">
            <v>C1Z001472</v>
          </cell>
          <cell r="M506"/>
          <cell r="N506"/>
          <cell r="O506"/>
          <cell r="P506"/>
          <cell r="Q506"/>
        </row>
        <row r="507">
          <cell r="B507" t="str">
            <v>B4051</v>
          </cell>
          <cell r="C507" t="str">
            <v>Number</v>
          </cell>
          <cell r="D507">
            <v>15</v>
          </cell>
          <cell r="E507" t="str">
            <v>N6월신판이용금액</v>
          </cell>
          <cell r="F507" t="str">
            <v>제공항목</v>
          </cell>
          <cell r="G507"/>
          <cell r="H507" t="str">
            <v>KCB</v>
          </cell>
          <cell r="I507" t="str">
            <v>GEA_KCB신용정보전문
GEA_KCB신용평점정보상세전문
GEA_KCB신용요약정보상세전문</v>
          </cell>
          <cell r="J507"/>
          <cell r="K507" t="str">
            <v>N6월신판이용금액_N15</v>
          </cell>
          <cell r="L507" t="str">
            <v>C1Z001046</v>
          </cell>
          <cell r="M507"/>
          <cell r="N507"/>
          <cell r="O507"/>
          <cell r="P507"/>
          <cell r="Q507"/>
        </row>
        <row r="508">
          <cell r="B508" t="str">
            <v>B4052</v>
          </cell>
          <cell r="C508" t="str">
            <v>Number</v>
          </cell>
          <cell r="D508">
            <v>15</v>
          </cell>
          <cell r="E508" t="str">
            <v>N6월CA월평균총이용금액</v>
          </cell>
          <cell r="F508" t="str">
            <v>제공항목</v>
          </cell>
          <cell r="G508"/>
          <cell r="H508" t="str">
            <v>KCB</v>
          </cell>
          <cell r="I508" t="str">
            <v>GEA_KCB신용정보전문
GEA_KCB신용평점정보상세전문
GEA_KCB신용요약정보상세전문</v>
          </cell>
          <cell r="J508"/>
          <cell r="K508" t="str">
            <v>N6월CA월평균총이용금액_N15</v>
          </cell>
          <cell r="L508" t="str">
            <v>C1N2A6W06</v>
          </cell>
          <cell r="M508"/>
          <cell r="N508"/>
          <cell r="O508"/>
          <cell r="P508"/>
          <cell r="Q508"/>
        </row>
        <row r="509">
          <cell r="B509" t="str">
            <v>B4053</v>
          </cell>
          <cell r="C509" t="str">
            <v>Number</v>
          </cell>
          <cell r="D509">
            <v>15</v>
          </cell>
          <cell r="E509" t="str">
            <v>N6월당사제외CA월평균총이용금액</v>
          </cell>
          <cell r="F509" t="str">
            <v>제공항목</v>
          </cell>
          <cell r="G509"/>
          <cell r="H509" t="str">
            <v>KCB</v>
          </cell>
          <cell r="I509" t="str">
            <v>GEA_KCB신용정보전문
GEA_KCB신용평점정보상세전문
GEA_KCB신용요약정보상세전문</v>
          </cell>
          <cell r="J509"/>
          <cell r="K509" t="str">
            <v>N6월당사제외CA월평균총이용금액_N15</v>
          </cell>
          <cell r="L509" t="str">
            <v xml:space="preserve">C1N2A6W07 </v>
          </cell>
          <cell r="M509"/>
          <cell r="N509"/>
          <cell r="O509"/>
          <cell r="P509"/>
          <cell r="Q509"/>
        </row>
        <row r="510">
          <cell r="B510" t="str">
            <v>A4058</v>
          </cell>
          <cell r="C510" t="str">
            <v>Number</v>
          </cell>
          <cell r="D510">
            <v>5</v>
          </cell>
          <cell r="E510" t="str">
            <v>미해지LV15제외대출기관수</v>
          </cell>
          <cell r="F510" t="str">
            <v>제공항목</v>
          </cell>
          <cell r="G510"/>
          <cell r="H510" t="str">
            <v>KCB</v>
          </cell>
          <cell r="I510" t="str">
            <v>GEA_KCB신용정보전문
GEA_KCB신용평점정보상세전문
GEA_KCB신용요약정보상세전문</v>
          </cell>
          <cell r="J510"/>
          <cell r="K510" t="str">
            <v>최근연체해제후경과일수_N5</v>
          </cell>
          <cell r="L510" t="str">
            <v>L2Z001242</v>
          </cell>
          <cell r="M510"/>
          <cell r="N510"/>
          <cell r="O510"/>
          <cell r="P510"/>
          <cell r="Q510"/>
        </row>
        <row r="511">
          <cell r="B511" t="str">
            <v>A4059</v>
          </cell>
          <cell r="C511" t="str">
            <v>Number</v>
          </cell>
          <cell r="D511">
            <v>9</v>
          </cell>
          <cell r="E511" t="str">
            <v>KCB표준DSR비율</v>
          </cell>
          <cell r="F511" t="str">
            <v>제공항목</v>
          </cell>
          <cell r="G511"/>
          <cell r="H511" t="str">
            <v>KCB</v>
          </cell>
          <cell r="I511" t="str">
            <v>GEA_KCB신용정보전문
GEA_KCB신용평점정보상세전문
GEA_KCB신용요약정보상세전문</v>
          </cell>
          <cell r="J511"/>
          <cell r="K511" t="str">
            <v>최장연체일수</v>
          </cell>
          <cell r="L511" t="str">
            <v>U5D001002</v>
          </cell>
          <cell r="M511"/>
          <cell r="N511"/>
          <cell r="O511"/>
          <cell r="P511"/>
          <cell r="Q511"/>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별심사처리기준"/>
      <sheetName val="심사테이블"/>
      <sheetName val="DW수보테이블"/>
      <sheetName val="RCLIPS송신(이지론)_최종"/>
      <sheetName val="RCLIPS송신(개사)"/>
      <sheetName val="RCLIPS수신(개사)"/>
      <sheetName val="RCLIPS송신(대환)"/>
      <sheetName val="WORK"/>
      <sheetName val="RCLIPS수신(이지론)_최종"/>
      <sheetName val="RCLIPS송신(이지론플러스)_최종"/>
      <sheetName val="RCLIPS수신(이지론플러스)_최종"/>
      <sheetName val="RCLIPS송신(일사천리론)_최종"/>
      <sheetName val="RCLIPS수신(일사천리론)_최종"/>
      <sheetName val="참고_AsIs_RCLIPS송신"/>
      <sheetName val="참고_AsIs_RCLIPS수신"/>
      <sheetName val="용어신청대상"/>
      <sheetName val="질의 및 확인 사항"/>
      <sheetName val="Sheet1"/>
    </sheetNames>
    <sheetDataSet>
      <sheetData sheetId="0"/>
      <sheetData sheetId="1"/>
      <sheetData sheetId="2"/>
      <sheetData sheetId="3"/>
      <sheetData sheetId="4">
        <row r="1">
          <cell r="B1" t="str">
            <v>RCLIPS코드</v>
          </cell>
        </row>
      </sheetData>
      <sheetData sheetId="5">
        <row r="1">
          <cell r="C1" t="str">
            <v>R-Clips 코드</v>
          </cell>
        </row>
      </sheetData>
      <sheetData sheetId="6"/>
      <sheetData sheetId="7"/>
      <sheetData sheetId="8"/>
      <sheetData sheetId="9"/>
      <sheetData sheetId="10">
        <row r="3">
          <cell r="C3" t="str">
            <v>R-Clips 코드</v>
          </cell>
          <cell r="D3" t="str">
            <v>항목명</v>
          </cell>
          <cell r="E3" t="str">
            <v>형식</v>
          </cell>
          <cell r="F3" t="str">
            <v>길이</v>
          </cell>
        </row>
        <row r="4">
          <cell r="C4" t="str">
            <v>결과코드</v>
          </cell>
          <cell r="D4"/>
          <cell r="E4" t="str">
            <v>String</v>
          </cell>
          <cell r="F4">
            <v>4</v>
          </cell>
        </row>
        <row r="5">
          <cell r="C5" t="str">
            <v>결과건수</v>
          </cell>
          <cell r="D5" t="str">
            <v>결과항목(코드5+값15) 건수</v>
          </cell>
          <cell r="E5" t="str">
            <v>Numeric</v>
          </cell>
          <cell r="F5">
            <v>3</v>
          </cell>
        </row>
        <row r="6">
          <cell r="C6"/>
          <cell r="D6" t="str">
            <v>기준년월</v>
          </cell>
          <cell r="E6" t="str">
            <v>String</v>
          </cell>
          <cell r="F6">
            <v>6</v>
          </cell>
        </row>
        <row r="7">
          <cell r="C7"/>
          <cell r="D7" t="str">
            <v>접수번호</v>
          </cell>
          <cell r="E7" t="str">
            <v>String</v>
          </cell>
          <cell r="F7">
            <v>14</v>
          </cell>
        </row>
        <row r="8">
          <cell r="C8"/>
          <cell r="D8" t="str">
            <v>고객식별자</v>
          </cell>
          <cell r="E8" t="str">
            <v>String</v>
          </cell>
          <cell r="F8">
            <v>10</v>
          </cell>
        </row>
        <row r="9">
          <cell r="C9"/>
          <cell r="D9" t="str">
            <v>회원일련번호</v>
          </cell>
          <cell r="E9" t="str">
            <v>String</v>
          </cell>
          <cell r="F9">
            <v>8</v>
          </cell>
        </row>
        <row r="10">
          <cell r="C10" t="str">
            <v>R0001</v>
          </cell>
          <cell r="D10" t="str">
            <v>상품코드</v>
          </cell>
          <cell r="E10" t="str">
            <v>String</v>
          </cell>
          <cell r="F10">
            <v>2</v>
          </cell>
        </row>
        <row r="11">
          <cell r="C11" t="str">
            <v>R1002</v>
          </cell>
          <cell r="D11" t="str">
            <v>최종대출가능금액_사전</v>
          </cell>
          <cell r="E11" t="str">
            <v>Numeric</v>
          </cell>
          <cell r="F11">
            <v>15</v>
          </cell>
        </row>
        <row r="12">
          <cell r="C12" t="str">
            <v>R0002</v>
          </cell>
          <cell r="D12" t="str">
            <v>최종대출가능금액_실시간</v>
          </cell>
          <cell r="E12" t="str">
            <v>Numeric</v>
          </cell>
          <cell r="F12">
            <v>15</v>
          </cell>
        </row>
        <row r="13">
          <cell r="C13" t="str">
            <v>R1003</v>
          </cell>
          <cell r="D13" t="str">
            <v>대출이율_사전</v>
          </cell>
          <cell r="E13" t="str">
            <v>Numeric</v>
          </cell>
          <cell r="F13">
            <v>9</v>
          </cell>
        </row>
        <row r="14">
          <cell r="C14" t="str">
            <v>R0003</v>
          </cell>
          <cell r="D14" t="str">
            <v>대출이율_실시간</v>
          </cell>
          <cell r="E14" t="str">
            <v>Numeric</v>
          </cell>
          <cell r="F14">
            <v>9</v>
          </cell>
        </row>
        <row r="15">
          <cell r="C15" t="str">
            <v>R1004</v>
          </cell>
          <cell r="D15" t="str">
            <v>금리등급_사전</v>
          </cell>
          <cell r="E15" t="str">
            <v>String</v>
          </cell>
          <cell r="F15">
            <v>2</v>
          </cell>
        </row>
        <row r="16">
          <cell r="C16" t="str">
            <v>R0004</v>
          </cell>
          <cell r="D16" t="str">
            <v>금리등급_실시간</v>
          </cell>
          <cell r="E16" t="str">
            <v>String</v>
          </cell>
          <cell r="F16">
            <v>2</v>
          </cell>
        </row>
        <row r="17">
          <cell r="C17" t="str">
            <v>R1005</v>
          </cell>
          <cell r="D17" t="str">
            <v>최장대출가능개월수_사전</v>
          </cell>
          <cell r="E17" t="str">
            <v>Numeric</v>
          </cell>
          <cell r="F17">
            <v>5</v>
          </cell>
        </row>
        <row r="18">
          <cell r="C18" t="str">
            <v>R0005</v>
          </cell>
          <cell r="D18" t="str">
            <v>최장대출가능개월수_실시간</v>
          </cell>
          <cell r="E18" t="str">
            <v>Numeric</v>
          </cell>
          <cell r="F18">
            <v>5</v>
          </cell>
        </row>
        <row r="19">
          <cell r="C19" t="str">
            <v>R1006</v>
          </cell>
          <cell r="D19" t="str">
            <v>최장거치가능개월수_사전</v>
          </cell>
          <cell r="E19" t="str">
            <v>Numeric</v>
          </cell>
          <cell r="F19">
            <v>5</v>
          </cell>
        </row>
        <row r="20">
          <cell r="C20" t="str">
            <v>R0006</v>
          </cell>
          <cell r="D20" t="str">
            <v>최장거치가능개월수_실시간</v>
          </cell>
          <cell r="E20" t="str">
            <v>Numeric</v>
          </cell>
          <cell r="F20">
            <v>5</v>
          </cell>
        </row>
        <row r="21">
          <cell r="C21" t="str">
            <v>R1007</v>
          </cell>
          <cell r="D21" t="str">
            <v>대출탈락사유내용_사전</v>
          </cell>
          <cell r="E21" t="str">
            <v>String</v>
          </cell>
          <cell r="F21">
            <v>60</v>
          </cell>
        </row>
        <row r="22">
          <cell r="C22" t="str">
            <v>R0007</v>
          </cell>
          <cell r="D22" t="str">
            <v>대출탈락사유내용_실시간</v>
          </cell>
          <cell r="E22" t="str">
            <v>String</v>
          </cell>
          <cell r="F22">
            <v>60</v>
          </cell>
        </row>
        <row r="23">
          <cell r="C23" t="str">
            <v>R0008</v>
          </cell>
          <cell r="D23" t="str">
            <v>정밀심사사유내용</v>
          </cell>
          <cell r="E23" t="str">
            <v>String</v>
          </cell>
          <cell r="F23">
            <v>60</v>
          </cell>
        </row>
        <row r="24">
          <cell r="C24" t="str">
            <v>R0009</v>
          </cell>
          <cell r="D24" t="str">
            <v>실시간KO사유내용</v>
          </cell>
          <cell r="E24" t="str">
            <v>String</v>
          </cell>
          <cell r="F24">
            <v>60</v>
          </cell>
        </row>
        <row r="25">
          <cell r="C25" t="str">
            <v>R1010</v>
          </cell>
          <cell r="D25" t="str">
            <v>KCB추정소득_사전</v>
          </cell>
          <cell r="E25" t="str">
            <v>Numeric</v>
          </cell>
          <cell r="F25">
            <v>15</v>
          </cell>
        </row>
        <row r="26">
          <cell r="C26" t="str">
            <v>R0010</v>
          </cell>
          <cell r="D26" t="str">
            <v>KCB추정소득_실시간</v>
          </cell>
          <cell r="E26" t="str">
            <v>Numeric</v>
          </cell>
          <cell r="F26">
            <v>15</v>
          </cell>
        </row>
        <row r="27">
          <cell r="C27" t="str">
            <v>R1011</v>
          </cell>
          <cell r="D27" t="str">
            <v>NICE추정소득_사전</v>
          </cell>
          <cell r="E27" t="str">
            <v>Numeric</v>
          </cell>
          <cell r="F27">
            <v>15</v>
          </cell>
        </row>
        <row r="28">
          <cell r="C28" t="str">
            <v>R0011</v>
          </cell>
          <cell r="D28" t="str">
            <v>NICE추정소득_실시간</v>
          </cell>
          <cell r="E28" t="str">
            <v>Numeric</v>
          </cell>
          <cell r="F28">
            <v>15</v>
          </cell>
        </row>
        <row r="29">
          <cell r="C29" t="str">
            <v>R1012</v>
          </cell>
          <cell r="D29" t="str">
            <v>평균추정소득_사전</v>
          </cell>
          <cell r="E29" t="str">
            <v>Numeric</v>
          </cell>
          <cell r="F29">
            <v>15</v>
          </cell>
        </row>
        <row r="30">
          <cell r="C30" t="str">
            <v>R0012</v>
          </cell>
          <cell r="D30" t="str">
            <v>평균추정소득_실시간</v>
          </cell>
          <cell r="E30" t="str">
            <v>Numeric</v>
          </cell>
          <cell r="F30">
            <v>15</v>
          </cell>
        </row>
        <row r="31">
          <cell r="C31" t="str">
            <v>R1013</v>
          </cell>
          <cell r="D31" t="str">
            <v>KCB연간원리금_사전</v>
          </cell>
          <cell r="E31" t="str">
            <v>Numeric</v>
          </cell>
          <cell r="F31">
            <v>15</v>
          </cell>
        </row>
        <row r="32">
          <cell r="C32" t="str">
            <v>R0013</v>
          </cell>
          <cell r="D32" t="str">
            <v>KCB연간원리금_실시간</v>
          </cell>
          <cell r="E32" t="str">
            <v>Numeric</v>
          </cell>
          <cell r="F32">
            <v>15</v>
          </cell>
        </row>
        <row r="33">
          <cell r="C33" t="str">
            <v>R1014</v>
          </cell>
          <cell r="D33" t="str">
            <v>NICE연간원리금_사전</v>
          </cell>
          <cell r="E33" t="str">
            <v>Numeric</v>
          </cell>
          <cell r="F33">
            <v>15</v>
          </cell>
        </row>
        <row r="34">
          <cell r="C34" t="str">
            <v>R0014</v>
          </cell>
          <cell r="D34" t="str">
            <v>NICE연간원리금_실시간</v>
          </cell>
          <cell r="E34" t="str">
            <v>Numeric</v>
          </cell>
          <cell r="F34">
            <v>15</v>
          </cell>
        </row>
        <row r="35">
          <cell r="C35" t="str">
            <v>R1015</v>
          </cell>
          <cell r="D35" t="str">
            <v>월가처분소득_사전</v>
          </cell>
          <cell r="E35" t="str">
            <v>Numeric</v>
          </cell>
          <cell r="F35">
            <v>15</v>
          </cell>
        </row>
        <row r="36">
          <cell r="C36" t="str">
            <v>R0015</v>
          </cell>
          <cell r="D36" t="str">
            <v>월가처분소득금액_실시간</v>
          </cell>
          <cell r="E36" t="str">
            <v>Numeric</v>
          </cell>
          <cell r="F36">
            <v>15</v>
          </cell>
        </row>
        <row r="37">
          <cell r="C37" t="str">
            <v>R1016</v>
          </cell>
          <cell r="D37" t="str">
            <v>반영월가처분소득금액_사전</v>
          </cell>
          <cell r="E37" t="str">
            <v>Numeric</v>
          </cell>
          <cell r="F37">
            <v>15</v>
          </cell>
        </row>
        <row r="38">
          <cell r="C38" t="str">
            <v>R0016</v>
          </cell>
          <cell r="D38" t="str">
            <v>반영월가처분소득금액_실시간</v>
          </cell>
          <cell r="E38" t="str">
            <v>Numeric</v>
          </cell>
          <cell r="F38">
            <v>15</v>
          </cell>
        </row>
        <row r="39">
          <cell r="C39" t="str">
            <v>R1017</v>
          </cell>
          <cell r="D39" t="str">
            <v>전략DTI율_사전</v>
          </cell>
          <cell r="E39" t="str">
            <v>Numeric</v>
          </cell>
          <cell r="F39">
            <v>5</v>
          </cell>
        </row>
        <row r="40">
          <cell r="C40" t="str">
            <v>R0017</v>
          </cell>
          <cell r="D40" t="str">
            <v>전략DTI율_실시간</v>
          </cell>
          <cell r="E40" t="str">
            <v>Numeric</v>
          </cell>
          <cell r="F40">
            <v>5</v>
          </cell>
        </row>
        <row r="41">
          <cell r="C41" t="str">
            <v>R1018</v>
          </cell>
          <cell r="D41" t="str">
            <v>기초한도금액_사전</v>
          </cell>
          <cell r="E41" t="str">
            <v>Numeric</v>
          </cell>
          <cell r="F41">
            <v>15</v>
          </cell>
        </row>
        <row r="42">
          <cell r="C42" t="str">
            <v>R0018</v>
          </cell>
          <cell r="D42" t="str">
            <v>기초한도금액_실시간</v>
          </cell>
          <cell r="E42" t="str">
            <v>Numeric</v>
          </cell>
          <cell r="F42">
            <v>15</v>
          </cell>
        </row>
        <row r="43">
          <cell r="C43" t="str">
            <v>R1019</v>
          </cell>
          <cell r="D43" t="str">
            <v>연령최고대출가능금액_사전</v>
          </cell>
          <cell r="E43" t="str">
            <v>Numeric</v>
          </cell>
          <cell r="F43">
            <v>15</v>
          </cell>
        </row>
        <row r="44">
          <cell r="C44" t="str">
            <v>R0019</v>
          </cell>
          <cell r="D44" t="str">
            <v>연령최고대출가능금액_실시간</v>
          </cell>
          <cell r="E44" t="str">
            <v>Numeric</v>
          </cell>
          <cell r="F44">
            <v>15</v>
          </cell>
        </row>
        <row r="45">
          <cell r="C45" t="str">
            <v>R1020</v>
          </cell>
          <cell r="D45" t="str">
            <v>KCB등급_사전</v>
          </cell>
          <cell r="E45" t="str">
            <v>String</v>
          </cell>
          <cell r="F45">
            <v>2</v>
          </cell>
        </row>
        <row r="46">
          <cell r="C46" t="str">
            <v>R0020</v>
          </cell>
          <cell r="D46" t="str">
            <v>KCB등급_실시간</v>
          </cell>
          <cell r="E46" t="str">
            <v>String</v>
          </cell>
          <cell r="F46">
            <v>2</v>
          </cell>
        </row>
        <row r="47">
          <cell r="C47" t="str">
            <v>R1021</v>
          </cell>
          <cell r="D47" t="str">
            <v>NICE등급_사전</v>
          </cell>
          <cell r="E47" t="str">
            <v>String</v>
          </cell>
          <cell r="F47">
            <v>4</v>
          </cell>
        </row>
        <row r="48">
          <cell r="C48" t="str">
            <v>R0021</v>
          </cell>
          <cell r="D48" t="str">
            <v>NICE등급_실시간</v>
          </cell>
          <cell r="E48" t="str">
            <v>String</v>
          </cell>
          <cell r="F48">
            <v>2</v>
          </cell>
        </row>
        <row r="49">
          <cell r="C49" t="str">
            <v>R1022</v>
          </cell>
          <cell r="D49" t="str">
            <v>플러스론결합등급_사전</v>
          </cell>
          <cell r="E49" t="str">
            <v>String</v>
          </cell>
          <cell r="F49">
            <v>2</v>
          </cell>
        </row>
        <row r="50">
          <cell r="C50" t="str">
            <v>R0022</v>
          </cell>
          <cell r="D50" t="str">
            <v>플러스론결합등급_실시간</v>
          </cell>
          <cell r="E50" t="str">
            <v>String</v>
          </cell>
          <cell r="F50">
            <v>2</v>
          </cell>
        </row>
        <row r="51">
          <cell r="C51" t="str">
            <v>R1023</v>
          </cell>
          <cell r="D51" t="str">
            <v>플러스론전략등급_사전</v>
          </cell>
          <cell r="E51" t="str">
            <v>String</v>
          </cell>
          <cell r="F51">
            <v>2</v>
          </cell>
        </row>
        <row r="52">
          <cell r="C52" t="str">
            <v>R0023</v>
          </cell>
          <cell r="D52" t="str">
            <v>플러스론전략등급_실시간</v>
          </cell>
          <cell r="E52" t="str">
            <v>String</v>
          </cell>
          <cell r="F52">
            <v>2</v>
          </cell>
        </row>
        <row r="53">
          <cell r="C53" t="str">
            <v>R1024</v>
          </cell>
          <cell r="D53" t="str">
            <v>NICESP등급_사전</v>
          </cell>
          <cell r="E53" t="str">
            <v>String</v>
          </cell>
          <cell r="F53">
            <v>4</v>
          </cell>
        </row>
        <row r="54">
          <cell r="C54" t="str">
            <v>R0024</v>
          </cell>
          <cell r="D54" t="str">
            <v>NICESP등급_실시간</v>
          </cell>
          <cell r="E54" t="str">
            <v>String</v>
          </cell>
          <cell r="F54">
            <v>4</v>
          </cell>
        </row>
        <row r="55">
          <cell r="C55" t="str">
            <v>R1025</v>
          </cell>
          <cell r="D55" t="str">
            <v>그룹통합모형평점_사전</v>
          </cell>
          <cell r="E55" t="str">
            <v>Numeric</v>
          </cell>
          <cell r="F55">
            <v>5</v>
          </cell>
        </row>
        <row r="56">
          <cell r="C56" t="str">
            <v>R0025</v>
          </cell>
          <cell r="D56" t="str">
            <v>그룹통합모형평점_실시간</v>
          </cell>
          <cell r="E56" t="str">
            <v>Numeric</v>
          </cell>
          <cell r="F56">
            <v>5</v>
          </cell>
        </row>
        <row r="57">
          <cell r="C57" t="str">
            <v>R1026</v>
          </cell>
          <cell r="D57" t="str">
            <v>그룹통합모형등급_사전</v>
          </cell>
          <cell r="E57" t="str">
            <v>String</v>
          </cell>
          <cell r="F57">
            <v>2</v>
          </cell>
        </row>
        <row r="58">
          <cell r="C58" t="str">
            <v>R0026</v>
          </cell>
          <cell r="D58" t="str">
            <v>그룹통합모형등급_실시간</v>
          </cell>
          <cell r="E58" t="str">
            <v>String</v>
          </cell>
          <cell r="F58">
            <v>2</v>
          </cell>
        </row>
        <row r="59">
          <cell r="C59" t="str">
            <v>R1027</v>
          </cell>
          <cell r="D59" t="str">
            <v>그룹통합모형카드등급_사전</v>
          </cell>
          <cell r="E59" t="str">
            <v>String</v>
          </cell>
          <cell r="F59">
            <v>2</v>
          </cell>
        </row>
        <row r="60">
          <cell r="C60" t="str">
            <v>R0027</v>
          </cell>
          <cell r="D60" t="str">
            <v>그룹통합모형카드등급_실시간</v>
          </cell>
          <cell r="E60" t="str">
            <v>String</v>
          </cell>
          <cell r="F60">
            <v>2</v>
          </cell>
        </row>
        <row r="61">
          <cell r="C61" t="str">
            <v>R1028</v>
          </cell>
          <cell r="D61" t="str">
            <v>그룹통합모형은행등급_사전</v>
          </cell>
          <cell r="E61" t="str">
            <v>String</v>
          </cell>
          <cell r="F61">
            <v>2</v>
          </cell>
        </row>
        <row r="62">
          <cell r="C62" t="str">
            <v>R0028</v>
          </cell>
          <cell r="D62" t="str">
            <v>그룹통합모형은행등급_실시간</v>
          </cell>
          <cell r="E62" t="str">
            <v>String</v>
          </cell>
          <cell r="F62">
            <v>2</v>
          </cell>
        </row>
        <row r="63">
          <cell r="C63" t="str">
            <v>R1029</v>
          </cell>
          <cell r="D63" t="str">
            <v>미래능력상환지수_사전</v>
          </cell>
          <cell r="E63" t="str">
            <v>String</v>
          </cell>
          <cell r="F63">
            <v>2</v>
          </cell>
        </row>
        <row r="64">
          <cell r="C64" t="str">
            <v>R0029</v>
          </cell>
          <cell r="D64" t="str">
            <v>미래능력상환지수_실시간</v>
          </cell>
          <cell r="E64" t="str">
            <v>String</v>
          </cell>
          <cell r="F64">
            <v>2</v>
          </cell>
        </row>
        <row r="65">
          <cell r="C65" t="str">
            <v>R1030</v>
          </cell>
          <cell r="D65" t="str">
            <v>CB등급최고대출가능금액_사전</v>
          </cell>
          <cell r="E65" t="str">
            <v>Numeric</v>
          </cell>
          <cell r="F65">
            <v>15</v>
          </cell>
        </row>
        <row r="66">
          <cell r="C66" t="str">
            <v>R0030</v>
          </cell>
          <cell r="D66" t="str">
            <v>CB등급최고대출가능금액_실시간</v>
          </cell>
          <cell r="E66" t="str">
            <v>Numeric</v>
          </cell>
          <cell r="F66">
            <v>15</v>
          </cell>
        </row>
        <row r="67">
          <cell r="C67" t="str">
            <v>R1031</v>
          </cell>
          <cell r="D67" t="str">
            <v>한도조정금액_사전</v>
          </cell>
          <cell r="E67" t="str">
            <v>Numeric</v>
          </cell>
          <cell r="F67">
            <v>15</v>
          </cell>
        </row>
        <row r="68">
          <cell r="C68" t="str">
            <v>R0031</v>
          </cell>
          <cell r="D68" t="str">
            <v>한도조정금액_실시간</v>
          </cell>
          <cell r="E68" t="str">
            <v>Numeric</v>
          </cell>
          <cell r="F68">
            <v>15</v>
          </cell>
        </row>
        <row r="69">
          <cell r="C69" t="str">
            <v>R1032</v>
          </cell>
          <cell r="D69" t="str">
            <v>고위험군여부_사전</v>
          </cell>
          <cell r="E69" t="str">
            <v>String</v>
          </cell>
          <cell r="F69">
            <v>1</v>
          </cell>
        </row>
        <row r="70">
          <cell r="C70" t="str">
            <v>R0032</v>
          </cell>
          <cell r="D70" t="str">
            <v>고위험군여부_실시간</v>
          </cell>
          <cell r="E70" t="str">
            <v>String</v>
          </cell>
          <cell r="F70">
            <v>1</v>
          </cell>
        </row>
        <row r="71">
          <cell r="C71" t="str">
            <v>R1033</v>
          </cell>
          <cell r="D71" t="str">
            <v>신용등급세그먼트구분_사전</v>
          </cell>
          <cell r="E71" t="str">
            <v>String</v>
          </cell>
          <cell r="F71">
            <v>2</v>
          </cell>
        </row>
        <row r="72">
          <cell r="C72" t="str">
            <v>R0033</v>
          </cell>
          <cell r="D72" t="str">
            <v>신용등급세그먼트구분_실시간</v>
          </cell>
          <cell r="E72" t="str">
            <v>String</v>
          </cell>
          <cell r="F72">
            <v>2</v>
          </cell>
        </row>
        <row r="73">
          <cell r="C73" t="str">
            <v>R1034</v>
          </cell>
          <cell r="D73" t="str">
            <v>최종신용등급세그먼트구분_사전</v>
          </cell>
          <cell r="E73" t="str">
            <v>String</v>
          </cell>
          <cell r="F73">
            <v>2</v>
          </cell>
        </row>
        <row r="74">
          <cell r="C74" t="str">
            <v>R0034</v>
          </cell>
          <cell r="D74" t="str">
            <v>최종신용등급세그먼트구분_실시간</v>
          </cell>
          <cell r="E74" t="str">
            <v>String</v>
          </cell>
          <cell r="F74">
            <v>2</v>
          </cell>
        </row>
        <row r="75">
          <cell r="C75" t="str">
            <v>R1035</v>
          </cell>
          <cell r="D75" t="str">
            <v>최고대출가능금액세그먼트구분_사전</v>
          </cell>
          <cell r="E75" t="str">
            <v>String</v>
          </cell>
          <cell r="F75">
            <v>2</v>
          </cell>
        </row>
        <row r="76">
          <cell r="C76" t="str">
            <v>R0035</v>
          </cell>
          <cell r="D76" t="str">
            <v>최고대출가능금액세그먼트구분_실시간</v>
          </cell>
          <cell r="E76" t="str">
            <v>String</v>
          </cell>
          <cell r="F76">
            <v>2</v>
          </cell>
        </row>
        <row r="77">
          <cell r="C77" t="str">
            <v>R1036</v>
          </cell>
          <cell r="D77" t="str">
            <v>세그먼트최고대출가능금액_사전</v>
          </cell>
          <cell r="E77" t="str">
            <v>Numeric</v>
          </cell>
          <cell r="F77">
            <v>15</v>
          </cell>
        </row>
        <row r="78">
          <cell r="C78" t="str">
            <v>R0036</v>
          </cell>
          <cell r="D78" t="str">
            <v>세그먼트최고대출가능금액_실시간</v>
          </cell>
          <cell r="E78" t="str">
            <v>Numeric</v>
          </cell>
          <cell r="F78">
            <v>15</v>
          </cell>
        </row>
        <row r="79">
          <cell r="C79" t="str">
            <v>R1037</v>
          </cell>
          <cell r="D79" t="str">
            <v>DTI율가이드적용금액_사전</v>
          </cell>
          <cell r="E79" t="str">
            <v>Numeric</v>
          </cell>
          <cell r="F79">
            <v>15</v>
          </cell>
        </row>
        <row r="80">
          <cell r="C80" t="str">
            <v>R0037</v>
          </cell>
          <cell r="D80" t="str">
            <v>DTI율가이드적용금액_실시간</v>
          </cell>
          <cell r="E80" t="str">
            <v>Numeric</v>
          </cell>
          <cell r="F80">
            <v>15</v>
          </cell>
        </row>
        <row r="81">
          <cell r="C81" t="str">
            <v>R1038</v>
          </cell>
          <cell r="D81" t="str">
            <v>예비대출가능금액_사전</v>
          </cell>
          <cell r="E81" t="str">
            <v>Numeric</v>
          </cell>
          <cell r="F81">
            <v>15</v>
          </cell>
        </row>
        <row r="82">
          <cell r="C82" t="str">
            <v>R0038</v>
          </cell>
          <cell r="D82" t="str">
            <v>예비대출가능금액_실시간</v>
          </cell>
          <cell r="E82" t="str">
            <v>Numeric</v>
          </cell>
          <cell r="F82">
            <v>15</v>
          </cell>
        </row>
        <row r="83">
          <cell r="C83" t="str">
            <v>R1039</v>
          </cell>
          <cell r="D83" t="str">
            <v>우대전최종대출가능금액_사전</v>
          </cell>
          <cell r="E83" t="str">
            <v>Numeric</v>
          </cell>
          <cell r="F83">
            <v>15</v>
          </cell>
        </row>
        <row r="84">
          <cell r="C84" t="str">
            <v>R0039</v>
          </cell>
          <cell r="D84" t="str">
            <v>우대전최종대출가능금액_실시간</v>
          </cell>
          <cell r="E84" t="str">
            <v>Numeric</v>
          </cell>
          <cell r="F84">
            <v>15</v>
          </cell>
        </row>
        <row r="85">
          <cell r="C85" t="str">
            <v>R1040</v>
          </cell>
          <cell r="D85" t="str">
            <v>소액한도대상여부_사전</v>
          </cell>
          <cell r="E85" t="str">
            <v>String</v>
          </cell>
          <cell r="F85">
            <v>1</v>
          </cell>
        </row>
        <row r="86">
          <cell r="C86" t="str">
            <v>R0040</v>
          </cell>
          <cell r="D86" t="str">
            <v>소액한도대상여부_실시간</v>
          </cell>
          <cell r="E86" t="str">
            <v>String</v>
          </cell>
          <cell r="F86">
            <v>1</v>
          </cell>
        </row>
        <row r="87">
          <cell r="C87" t="str">
            <v>R1041</v>
          </cell>
          <cell r="D87" t="str">
            <v>우대대출가능금액_사전</v>
          </cell>
          <cell r="E87" t="str">
            <v>Numeric</v>
          </cell>
          <cell r="F87">
            <v>15</v>
          </cell>
        </row>
        <row r="88">
          <cell r="C88" t="str">
            <v>R0041</v>
          </cell>
          <cell r="D88" t="str">
            <v>우대대출가능금액_실시간</v>
          </cell>
          <cell r="E88" t="str">
            <v>Numeric</v>
          </cell>
          <cell r="F88">
            <v>15</v>
          </cell>
        </row>
        <row r="89">
          <cell r="C89" t="str">
            <v>R1042</v>
          </cell>
          <cell r="D89" t="str">
            <v>소개영업대상여부_사전</v>
          </cell>
          <cell r="E89" t="str">
            <v>String</v>
          </cell>
          <cell r="F89">
            <v>1</v>
          </cell>
        </row>
        <row r="90">
          <cell r="C90" t="str">
            <v>R0042</v>
          </cell>
          <cell r="D90" t="str">
            <v>소개영업대상여부_실시간</v>
          </cell>
          <cell r="E90" t="str">
            <v>String</v>
          </cell>
          <cell r="F90">
            <v>1</v>
          </cell>
        </row>
        <row r="91">
          <cell r="C91" t="str">
            <v>R1043</v>
          </cell>
          <cell r="D91" t="str">
            <v>부동산사유코드1_사전</v>
          </cell>
          <cell r="E91" t="str">
            <v>String</v>
          </cell>
          <cell r="F91">
            <v>4</v>
          </cell>
        </row>
        <row r="92">
          <cell r="C92" t="str">
            <v>R0043</v>
          </cell>
          <cell r="D92" t="str">
            <v>부동산사유코드1_실시간</v>
          </cell>
          <cell r="E92" t="str">
            <v>String</v>
          </cell>
          <cell r="F92">
            <v>4</v>
          </cell>
        </row>
        <row r="93">
          <cell r="C93" t="str">
            <v>R1044</v>
          </cell>
          <cell r="D93" t="str">
            <v>부동산사유코드2_사전</v>
          </cell>
          <cell r="E93" t="str">
            <v>String</v>
          </cell>
          <cell r="F93">
            <v>4</v>
          </cell>
        </row>
        <row r="94">
          <cell r="C94" t="str">
            <v>R0044</v>
          </cell>
          <cell r="D94" t="str">
            <v>부동산사유코드2_실시간</v>
          </cell>
          <cell r="E94" t="str">
            <v>String</v>
          </cell>
          <cell r="F94">
            <v>4</v>
          </cell>
        </row>
        <row r="95">
          <cell r="C95" t="str">
            <v>R1045</v>
          </cell>
          <cell r="D95" t="str">
            <v>부동산사유코드3_사전</v>
          </cell>
          <cell r="E95" t="str">
            <v>String</v>
          </cell>
          <cell r="F95">
            <v>4</v>
          </cell>
        </row>
        <row r="96">
          <cell r="C96" t="str">
            <v>R0045</v>
          </cell>
          <cell r="D96" t="str">
            <v>부동산사유코드3_실시간</v>
          </cell>
          <cell r="E96" t="str">
            <v>String</v>
          </cell>
          <cell r="F96">
            <v>4</v>
          </cell>
        </row>
        <row r="97">
          <cell r="C97" t="str">
            <v>R1046</v>
          </cell>
          <cell r="D97" t="str">
            <v>부동산사유코드4_사전</v>
          </cell>
          <cell r="E97" t="str">
            <v>String</v>
          </cell>
          <cell r="F97">
            <v>4</v>
          </cell>
        </row>
        <row r="98">
          <cell r="C98" t="str">
            <v>R0046</v>
          </cell>
          <cell r="D98" t="str">
            <v>부동산사유코드4_실시간</v>
          </cell>
          <cell r="E98" t="str">
            <v>String</v>
          </cell>
          <cell r="F98">
            <v>4</v>
          </cell>
        </row>
        <row r="99">
          <cell r="C99" t="str">
            <v>R1047</v>
          </cell>
          <cell r="D99" t="str">
            <v>부동산우대여부_사전</v>
          </cell>
          <cell r="E99" t="str">
            <v>String</v>
          </cell>
          <cell r="F99">
            <v>1</v>
          </cell>
        </row>
        <row r="100">
          <cell r="C100" t="str">
            <v>R0047</v>
          </cell>
          <cell r="D100" t="str">
            <v>부동산우대여부_실시간</v>
          </cell>
          <cell r="E100" t="str">
            <v>String</v>
          </cell>
          <cell r="F100">
            <v>1</v>
          </cell>
        </row>
        <row r="101">
          <cell r="C101" t="str">
            <v>R1048</v>
          </cell>
          <cell r="D101" t="str">
            <v>은행신용대출금액_사전</v>
          </cell>
          <cell r="E101" t="str">
            <v>Numeric</v>
          </cell>
          <cell r="F101">
            <v>15</v>
          </cell>
        </row>
        <row r="102">
          <cell r="C102" t="str">
            <v>R0048</v>
          </cell>
          <cell r="D102" t="str">
            <v>은행신용대출금액_실시간</v>
          </cell>
          <cell r="E102" t="str">
            <v>Numeric</v>
          </cell>
          <cell r="F102">
            <v>15</v>
          </cell>
        </row>
        <row r="103">
          <cell r="C103" t="str">
            <v>R1049</v>
          </cell>
          <cell r="D103" t="str">
            <v>비은행권신용대출금액_사전</v>
          </cell>
          <cell r="E103" t="str">
            <v>Numeric</v>
          </cell>
          <cell r="F103">
            <v>15</v>
          </cell>
        </row>
        <row r="104">
          <cell r="C104" t="str">
            <v>R0049</v>
          </cell>
          <cell r="D104" t="str">
            <v>비은행권신용대출금액_실시간</v>
          </cell>
          <cell r="E104" t="str">
            <v>Numeric</v>
          </cell>
          <cell r="F104">
            <v>15</v>
          </cell>
        </row>
        <row r="105">
          <cell r="C105" t="str">
            <v>R0055</v>
          </cell>
          <cell r="D105" t="str">
            <v>기존카드론잔액</v>
          </cell>
          <cell r="E105" t="str">
            <v>Numeric</v>
          </cell>
          <cell r="F105">
            <v>15</v>
          </cell>
        </row>
        <row r="106">
          <cell r="C106" t="str">
            <v>R0056</v>
          </cell>
          <cell r="D106" t="str">
            <v>기존일반대출잔액</v>
          </cell>
          <cell r="E106" t="str">
            <v>Numeric</v>
          </cell>
          <cell r="F106">
            <v>15</v>
          </cell>
        </row>
        <row r="107">
          <cell r="C107" t="str">
            <v>R0057</v>
          </cell>
          <cell r="D107" t="str">
            <v>취급불가여부</v>
          </cell>
          <cell r="E107" t="str">
            <v>Numeric</v>
          </cell>
          <cell r="F107">
            <v>15</v>
          </cell>
        </row>
        <row r="108">
          <cell r="C108" t="str">
            <v>R0050</v>
          </cell>
          <cell r="D108" t="str">
            <v>인정소득</v>
          </cell>
          <cell r="E108" t="str">
            <v>Numeric</v>
          </cell>
          <cell r="F108">
            <v>15</v>
          </cell>
        </row>
        <row r="109">
          <cell r="C109" t="str">
            <v>R0051</v>
          </cell>
          <cell r="D109" t="str">
            <v>신정원원리금상환금액</v>
          </cell>
          <cell r="E109" t="str">
            <v>Numeric</v>
          </cell>
          <cell r="F109">
            <v>15</v>
          </cell>
        </row>
        <row r="110">
          <cell r="C110" t="str">
            <v>R0052</v>
          </cell>
          <cell r="D110" t="str">
            <v>금감원DSR제한한도분할</v>
          </cell>
          <cell r="E110" t="str">
            <v>Numeric</v>
          </cell>
          <cell r="F110">
            <v>15</v>
          </cell>
        </row>
        <row r="111">
          <cell r="C111" t="str">
            <v>R0053</v>
          </cell>
          <cell r="D111" t="str">
            <v>그룹다중채무세그먼트등급_실시간</v>
          </cell>
          <cell r="E111" t="str">
            <v>String</v>
          </cell>
          <cell r="F111">
            <v>20</v>
          </cell>
        </row>
        <row r="112">
          <cell r="C112" t="str">
            <v>R0054</v>
          </cell>
          <cell r="D112" t="str">
            <v>저연령자최고대출가능금액_실시간</v>
          </cell>
          <cell r="E112" t="str">
            <v>Numeric</v>
          </cell>
          <cell r="F112">
            <v>15</v>
          </cell>
        </row>
        <row r="113">
          <cell r="C113" t="str">
            <v>KO건수</v>
          </cell>
          <cell r="D113" t="str">
            <v>KO항목 반복 건수</v>
          </cell>
          <cell r="E113" t="str">
            <v>Numeric</v>
          </cell>
          <cell r="F113">
            <v>3</v>
          </cell>
        </row>
        <row r="114">
          <cell r="C114" t="str">
            <v>KO항목 반복부</v>
          </cell>
          <cell r="D114" t="str">
            <v>"KO항목코드5+사유코드4" 형식 반복</v>
          </cell>
          <cell r="E114" t="str">
            <v>String</v>
          </cell>
          <cell r="F114"/>
        </row>
      </sheetData>
      <sheetData sheetId="11">
        <row r="1">
          <cell r="B1" t="str">
            <v>RCLIPS코드</v>
          </cell>
        </row>
      </sheetData>
      <sheetData sheetId="12">
        <row r="1">
          <cell r="C1"/>
        </row>
      </sheetData>
      <sheetData sheetId="13"/>
      <sheetData sheetId="14"/>
      <sheetData sheetId="15"/>
      <sheetData sheetId="16"/>
      <sheetData sheetId="1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2"/>
  <sheetViews>
    <sheetView zoomScale="90" zoomScaleNormal="90" workbookViewId="0">
      <selection activeCell="D18" sqref="D18:J18"/>
    </sheetView>
  </sheetViews>
  <sheetFormatPr defaultRowHeight="13.5"/>
  <cols>
    <col min="1" max="1" width="9" style="10" customWidth="1"/>
    <col min="2" max="2" width="17.375" style="10" customWidth="1"/>
    <col min="3" max="3" width="20.75" style="10" customWidth="1"/>
    <col min="4" max="4" width="19.75" style="10" customWidth="1"/>
    <col min="5" max="5" width="30.125" style="10" customWidth="1"/>
    <col min="6" max="8" width="10.125" style="10" customWidth="1"/>
    <col min="9" max="9" width="29" style="10" customWidth="1"/>
    <col min="10" max="10" width="42.25" style="10" customWidth="1"/>
    <col min="11" max="16384" width="9" style="10"/>
  </cols>
  <sheetData>
    <row r="1" spans="1:10">
      <c r="A1" s="756" t="s">
        <v>1548</v>
      </c>
      <c r="B1" s="756"/>
      <c r="C1" s="762" t="s">
        <v>1547</v>
      </c>
      <c r="D1" s="756" t="s">
        <v>472</v>
      </c>
      <c r="E1" s="756" t="s">
        <v>28</v>
      </c>
      <c r="F1" s="756" t="s">
        <v>37</v>
      </c>
      <c r="G1" s="756"/>
      <c r="H1" s="756"/>
      <c r="I1" s="756" t="s">
        <v>474</v>
      </c>
      <c r="J1" s="756" t="s">
        <v>743</v>
      </c>
    </row>
    <row r="2" spans="1:10" ht="27">
      <c r="A2" s="756"/>
      <c r="B2" s="756"/>
      <c r="C2" s="763"/>
      <c r="D2" s="756"/>
      <c r="E2" s="756"/>
      <c r="F2" s="11" t="s">
        <v>473</v>
      </c>
      <c r="G2" s="11" t="s">
        <v>38</v>
      </c>
      <c r="H2" s="11" t="s">
        <v>39</v>
      </c>
      <c r="I2" s="756"/>
      <c r="J2" s="756"/>
    </row>
    <row r="3" spans="1:10" ht="27">
      <c r="A3" s="749" t="s">
        <v>475</v>
      </c>
      <c r="B3" s="103" t="s">
        <v>485</v>
      </c>
      <c r="C3" s="12" t="s">
        <v>490</v>
      </c>
      <c r="D3" s="54" t="s">
        <v>479</v>
      </c>
      <c r="E3" s="13" t="s">
        <v>41</v>
      </c>
      <c r="F3" s="755" t="s">
        <v>31</v>
      </c>
      <c r="G3" s="755"/>
      <c r="H3" s="14" t="s">
        <v>33</v>
      </c>
      <c r="I3" s="15" t="s">
        <v>671</v>
      </c>
      <c r="J3" s="15" t="s">
        <v>745</v>
      </c>
    </row>
    <row r="4" spans="1:10" ht="27">
      <c r="A4" s="750"/>
      <c r="B4" s="103" t="s">
        <v>483</v>
      </c>
      <c r="C4" s="12" t="s">
        <v>489</v>
      </c>
      <c r="D4" s="54" t="s">
        <v>479</v>
      </c>
      <c r="E4" s="13" t="s">
        <v>40</v>
      </c>
      <c r="F4" s="755" t="s">
        <v>31</v>
      </c>
      <c r="G4" s="755"/>
      <c r="H4" s="755"/>
      <c r="I4" s="15" t="s">
        <v>670</v>
      </c>
      <c r="J4" s="15" t="s">
        <v>746</v>
      </c>
    </row>
    <row r="5" spans="1:10" ht="54">
      <c r="A5" s="749" t="s">
        <v>476</v>
      </c>
      <c r="B5" s="752" t="s">
        <v>1539</v>
      </c>
      <c r="C5" s="1" t="s">
        <v>469</v>
      </c>
      <c r="D5" s="54" t="s">
        <v>29</v>
      </c>
      <c r="E5" s="13" t="s">
        <v>481</v>
      </c>
      <c r="F5" s="760" t="s">
        <v>2802</v>
      </c>
      <c r="G5" s="761"/>
      <c r="H5" s="162" t="s">
        <v>30</v>
      </c>
      <c r="I5" s="15" t="s">
        <v>1570</v>
      </c>
      <c r="J5" s="757" t="s">
        <v>744</v>
      </c>
    </row>
    <row r="6" spans="1:10" ht="27">
      <c r="A6" s="751"/>
      <c r="B6" s="753"/>
      <c r="C6" s="12" t="s">
        <v>477</v>
      </c>
      <c r="D6" s="54">
        <v>13003</v>
      </c>
      <c r="E6" s="13" t="s">
        <v>470</v>
      </c>
      <c r="F6" s="755" t="s">
        <v>31</v>
      </c>
      <c r="G6" s="755"/>
      <c r="H6" s="755"/>
      <c r="I6" s="15" t="s">
        <v>1572</v>
      </c>
      <c r="J6" s="758"/>
    </row>
    <row r="7" spans="1:10" ht="40.5">
      <c r="A7" s="751"/>
      <c r="B7" s="754"/>
      <c r="C7" s="12" t="s">
        <v>480</v>
      </c>
      <c r="D7" s="54" t="s">
        <v>32</v>
      </c>
      <c r="E7" s="13" t="s">
        <v>1561</v>
      </c>
      <c r="F7" s="755" t="s">
        <v>31</v>
      </c>
      <c r="G7" s="755"/>
      <c r="H7" s="14" t="s">
        <v>33</v>
      </c>
      <c r="I7" s="15" t="s">
        <v>1574</v>
      </c>
      <c r="J7" s="758"/>
    </row>
    <row r="8" spans="1:10" ht="40.5">
      <c r="A8" s="751"/>
      <c r="B8" s="752" t="s">
        <v>1541</v>
      </c>
      <c r="C8" s="12" t="s">
        <v>478</v>
      </c>
      <c r="D8" s="54" t="s">
        <v>34</v>
      </c>
      <c r="E8" s="13" t="s">
        <v>482</v>
      </c>
      <c r="F8" s="760" t="s">
        <v>2802</v>
      </c>
      <c r="G8" s="761"/>
      <c r="H8" s="162" t="s">
        <v>30</v>
      </c>
      <c r="I8" s="15" t="s">
        <v>1571</v>
      </c>
      <c r="J8" s="758"/>
    </row>
    <row r="9" spans="1:10" ht="27">
      <c r="A9" s="751"/>
      <c r="B9" s="753"/>
      <c r="C9" s="12" t="s">
        <v>477</v>
      </c>
      <c r="D9" s="54" t="s">
        <v>35</v>
      </c>
      <c r="E9" s="13" t="s">
        <v>470</v>
      </c>
      <c r="F9" s="755" t="s">
        <v>31</v>
      </c>
      <c r="G9" s="755"/>
      <c r="H9" s="755"/>
      <c r="I9" s="15" t="s">
        <v>1573</v>
      </c>
      <c r="J9" s="758"/>
    </row>
    <row r="10" spans="1:10" ht="27">
      <c r="A10" s="750"/>
      <c r="B10" s="754"/>
      <c r="C10" s="12" t="s">
        <v>480</v>
      </c>
      <c r="D10" s="54" t="s">
        <v>36</v>
      </c>
      <c r="E10" s="13" t="s">
        <v>471</v>
      </c>
      <c r="F10" s="755" t="s">
        <v>31</v>
      </c>
      <c r="G10" s="755"/>
      <c r="H10" s="14" t="s">
        <v>33</v>
      </c>
      <c r="I10" s="15" t="s">
        <v>1569</v>
      </c>
      <c r="J10" s="759"/>
    </row>
    <row r="12" spans="1:10">
      <c r="A12" s="68" t="s">
        <v>1517</v>
      </c>
    </row>
    <row r="13" spans="1:10" ht="17.25" customHeight="1">
      <c r="A13" s="748" t="s">
        <v>1535</v>
      </c>
      <c r="B13" s="748"/>
      <c r="C13" s="748"/>
      <c r="D13" s="748" t="s">
        <v>1526</v>
      </c>
      <c r="E13" s="748"/>
      <c r="F13" s="748"/>
      <c r="G13" s="748"/>
      <c r="H13" s="748"/>
      <c r="I13" s="748"/>
      <c r="J13" s="748"/>
    </row>
    <row r="14" spans="1:10" ht="17.25" customHeight="1">
      <c r="A14" s="747" t="s">
        <v>1518</v>
      </c>
      <c r="B14" s="747"/>
      <c r="C14" s="747"/>
      <c r="D14" s="747" t="s">
        <v>1529</v>
      </c>
      <c r="E14" s="747"/>
      <c r="F14" s="747"/>
      <c r="G14" s="747"/>
      <c r="H14" s="747"/>
      <c r="I14" s="747"/>
      <c r="J14" s="747"/>
    </row>
    <row r="15" spans="1:10" ht="17.25" customHeight="1">
      <c r="A15" s="747" t="s">
        <v>1519</v>
      </c>
      <c r="B15" s="747"/>
      <c r="C15" s="747"/>
      <c r="D15" s="747" t="s">
        <v>1530</v>
      </c>
      <c r="E15" s="747"/>
      <c r="F15" s="747"/>
      <c r="G15" s="747"/>
      <c r="H15" s="747"/>
      <c r="I15" s="747"/>
      <c r="J15" s="747"/>
    </row>
    <row r="16" spans="1:10" ht="17.25" customHeight="1">
      <c r="A16" s="747" t="s">
        <v>1520</v>
      </c>
      <c r="B16" s="747"/>
      <c r="C16" s="747"/>
      <c r="D16" s="747" t="s">
        <v>1527</v>
      </c>
      <c r="E16" s="747"/>
      <c r="F16" s="747"/>
      <c r="G16" s="747"/>
      <c r="H16" s="747"/>
      <c r="I16" s="747"/>
      <c r="J16" s="747"/>
    </row>
    <row r="17" spans="1:10" ht="17.25" customHeight="1">
      <c r="A17" s="747" t="s">
        <v>1521</v>
      </c>
      <c r="B17" s="747"/>
      <c r="C17" s="747"/>
      <c r="D17" s="747" t="s">
        <v>1531</v>
      </c>
      <c r="E17" s="747"/>
      <c r="F17" s="747"/>
      <c r="G17" s="747"/>
      <c r="H17" s="747"/>
      <c r="I17" s="747"/>
      <c r="J17" s="747"/>
    </row>
    <row r="18" spans="1:10" ht="17.25" customHeight="1">
      <c r="A18" s="747" t="s">
        <v>1522</v>
      </c>
      <c r="B18" s="747"/>
      <c r="C18" s="747"/>
      <c r="D18" s="747" t="s">
        <v>1532</v>
      </c>
      <c r="E18" s="747"/>
      <c r="F18" s="747"/>
      <c r="G18" s="747"/>
      <c r="H18" s="747"/>
      <c r="I18" s="747"/>
      <c r="J18" s="747"/>
    </row>
    <row r="19" spans="1:10" ht="17.25" customHeight="1">
      <c r="A19" s="747" t="s">
        <v>1523</v>
      </c>
      <c r="B19" s="747"/>
      <c r="C19" s="747"/>
      <c r="D19" s="747" t="s">
        <v>1533</v>
      </c>
      <c r="E19" s="747"/>
      <c r="F19" s="747"/>
      <c r="G19" s="747"/>
      <c r="H19" s="747"/>
      <c r="I19" s="747"/>
      <c r="J19" s="747"/>
    </row>
    <row r="20" spans="1:10" ht="17.25" customHeight="1">
      <c r="A20" s="747" t="s">
        <v>1524</v>
      </c>
      <c r="B20" s="747"/>
      <c r="C20" s="747"/>
      <c r="D20" s="747" t="s">
        <v>1528</v>
      </c>
      <c r="E20" s="747"/>
      <c r="F20" s="747"/>
      <c r="G20" s="747"/>
      <c r="H20" s="747"/>
      <c r="I20" s="747"/>
      <c r="J20" s="747"/>
    </row>
    <row r="21" spans="1:10" ht="17.25" customHeight="1">
      <c r="A21" s="747" t="s">
        <v>1525</v>
      </c>
      <c r="B21" s="747"/>
      <c r="C21" s="747"/>
      <c r="D21" s="747" t="s">
        <v>1534</v>
      </c>
      <c r="E21" s="747"/>
      <c r="F21" s="747"/>
      <c r="G21" s="747"/>
      <c r="H21" s="747"/>
      <c r="I21" s="747"/>
      <c r="J21" s="747"/>
    </row>
    <row r="23" spans="1:10">
      <c r="A23" s="68" t="s">
        <v>1536</v>
      </c>
    </row>
    <row r="24" spans="1:10" ht="17.25" customHeight="1">
      <c r="A24" s="767" t="s">
        <v>1549</v>
      </c>
      <c r="B24" s="769"/>
      <c r="C24" s="102" t="s">
        <v>27</v>
      </c>
      <c r="D24" s="102" t="s">
        <v>1546</v>
      </c>
      <c r="E24" s="767" t="s">
        <v>1559</v>
      </c>
      <c r="F24" s="768"/>
      <c r="G24" s="768"/>
      <c r="H24" s="768"/>
      <c r="I24" s="768"/>
      <c r="J24" s="769"/>
    </row>
    <row r="25" spans="1:10" ht="17.25" customHeight="1">
      <c r="A25" s="764" t="s">
        <v>1550</v>
      </c>
      <c r="B25" s="766"/>
      <c r="C25" s="101" t="s">
        <v>1537</v>
      </c>
      <c r="D25" s="101"/>
      <c r="E25" s="764" t="s">
        <v>1558</v>
      </c>
      <c r="F25" s="765"/>
      <c r="G25" s="765"/>
      <c r="H25" s="765"/>
      <c r="I25" s="765"/>
      <c r="J25" s="766"/>
    </row>
    <row r="26" spans="1:10" ht="17.25" customHeight="1">
      <c r="A26" s="764" t="s">
        <v>1551</v>
      </c>
      <c r="B26" s="766"/>
      <c r="C26" s="101" t="s">
        <v>1538</v>
      </c>
      <c r="D26" s="101"/>
      <c r="E26" s="764" t="s">
        <v>1562</v>
      </c>
      <c r="F26" s="765"/>
      <c r="G26" s="765"/>
      <c r="H26" s="765"/>
      <c r="I26" s="765"/>
      <c r="J26" s="766"/>
    </row>
    <row r="27" spans="1:10" ht="17.25" customHeight="1">
      <c r="A27" s="764" t="s">
        <v>1552</v>
      </c>
      <c r="B27" s="766"/>
      <c r="C27" s="101" t="s">
        <v>1540</v>
      </c>
      <c r="D27" s="101" t="s">
        <v>1543</v>
      </c>
      <c r="E27" s="764" t="s">
        <v>1560</v>
      </c>
      <c r="F27" s="765"/>
      <c r="G27" s="765"/>
      <c r="H27" s="765"/>
      <c r="I27" s="765"/>
      <c r="J27" s="766"/>
    </row>
    <row r="28" spans="1:10" ht="17.25" customHeight="1">
      <c r="A28" s="764" t="s">
        <v>1553</v>
      </c>
      <c r="B28" s="766"/>
      <c r="C28" s="101" t="s">
        <v>1542</v>
      </c>
      <c r="D28" s="101" t="s">
        <v>1543</v>
      </c>
      <c r="E28" s="764" t="s">
        <v>1563</v>
      </c>
      <c r="F28" s="765"/>
      <c r="G28" s="765"/>
      <c r="H28" s="765"/>
      <c r="I28" s="765"/>
      <c r="J28" s="766"/>
    </row>
    <row r="29" spans="1:10" ht="17.25" customHeight="1">
      <c r="A29" s="764" t="s">
        <v>1554</v>
      </c>
      <c r="B29" s="766"/>
      <c r="C29" s="101" t="s">
        <v>1540</v>
      </c>
      <c r="D29" s="101" t="s">
        <v>1544</v>
      </c>
      <c r="E29" s="764" t="s">
        <v>1564</v>
      </c>
      <c r="F29" s="765"/>
      <c r="G29" s="765"/>
      <c r="H29" s="765"/>
      <c r="I29" s="765"/>
      <c r="J29" s="766"/>
    </row>
    <row r="30" spans="1:10" ht="17.25" customHeight="1">
      <c r="A30" s="764" t="s">
        <v>1555</v>
      </c>
      <c r="B30" s="766"/>
      <c r="C30" s="101" t="s">
        <v>1542</v>
      </c>
      <c r="D30" s="101" t="s">
        <v>1544</v>
      </c>
      <c r="E30" s="764" t="s">
        <v>1565</v>
      </c>
      <c r="F30" s="765"/>
      <c r="G30" s="765"/>
      <c r="H30" s="765"/>
      <c r="I30" s="765"/>
      <c r="J30" s="766"/>
    </row>
    <row r="31" spans="1:10" ht="17.25" customHeight="1">
      <c r="A31" s="764" t="s">
        <v>1556</v>
      </c>
      <c r="B31" s="766"/>
      <c r="C31" s="101" t="s">
        <v>1540</v>
      </c>
      <c r="D31" s="101" t="s">
        <v>1545</v>
      </c>
      <c r="E31" s="764" t="s">
        <v>1566</v>
      </c>
      <c r="F31" s="765"/>
      <c r="G31" s="765"/>
      <c r="H31" s="765"/>
      <c r="I31" s="765"/>
      <c r="J31" s="766"/>
    </row>
    <row r="32" spans="1:10" ht="17.25" customHeight="1">
      <c r="A32" s="764" t="s">
        <v>1557</v>
      </c>
      <c r="B32" s="766"/>
      <c r="C32" s="101" t="s">
        <v>1542</v>
      </c>
      <c r="D32" s="101" t="s">
        <v>1545</v>
      </c>
      <c r="E32" s="764" t="s">
        <v>1567</v>
      </c>
      <c r="F32" s="765"/>
      <c r="G32" s="765"/>
      <c r="H32" s="765"/>
      <c r="I32" s="765"/>
      <c r="J32" s="766"/>
    </row>
  </sheetData>
  <mergeCells count="56">
    <mergeCell ref="A21:C21"/>
    <mergeCell ref="A24:B24"/>
    <mergeCell ref="A25:B25"/>
    <mergeCell ref="A30:B30"/>
    <mergeCell ref="A27:B27"/>
    <mergeCell ref="A28:B28"/>
    <mergeCell ref="A29:B29"/>
    <mergeCell ref="A31:B31"/>
    <mergeCell ref="A32:B32"/>
    <mergeCell ref="E30:J30"/>
    <mergeCell ref="E31:J31"/>
    <mergeCell ref="E32:J32"/>
    <mergeCell ref="E27:J27"/>
    <mergeCell ref="E28:J28"/>
    <mergeCell ref="E29:J29"/>
    <mergeCell ref="A26:B26"/>
    <mergeCell ref="E24:J24"/>
    <mergeCell ref="E25:J25"/>
    <mergeCell ref="E26:J26"/>
    <mergeCell ref="A1:B2"/>
    <mergeCell ref="C1:C2"/>
    <mergeCell ref="D1:D2"/>
    <mergeCell ref="E1:E2"/>
    <mergeCell ref="F1:H1"/>
    <mergeCell ref="J1:J2"/>
    <mergeCell ref="F3:G3"/>
    <mergeCell ref="F4:H4"/>
    <mergeCell ref="F6:H6"/>
    <mergeCell ref="I1:I2"/>
    <mergeCell ref="J5:J10"/>
    <mergeCell ref="F9:H9"/>
    <mergeCell ref="F10:G10"/>
    <mergeCell ref="F8:G8"/>
    <mergeCell ref="F5:G5"/>
    <mergeCell ref="A3:A4"/>
    <mergeCell ref="A5:A10"/>
    <mergeCell ref="B8:B10"/>
    <mergeCell ref="B5:B7"/>
    <mergeCell ref="D19:J19"/>
    <mergeCell ref="F7:G7"/>
    <mergeCell ref="D20:J20"/>
    <mergeCell ref="D21:J21"/>
    <mergeCell ref="A18:C18"/>
    <mergeCell ref="D13:J13"/>
    <mergeCell ref="D14:J14"/>
    <mergeCell ref="D15:J15"/>
    <mergeCell ref="D16:J16"/>
    <mergeCell ref="D17:J17"/>
    <mergeCell ref="D18:J18"/>
    <mergeCell ref="A13:C13"/>
    <mergeCell ref="A14:C14"/>
    <mergeCell ref="A15:C15"/>
    <mergeCell ref="A16:C16"/>
    <mergeCell ref="A17:C17"/>
    <mergeCell ref="A19:C19"/>
    <mergeCell ref="A20:C20"/>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tabColor rgb="FFFF0000"/>
  </sheetPr>
  <dimension ref="A1:XEP602"/>
  <sheetViews>
    <sheetView zoomScale="88" zoomScaleNormal="88" workbookViewId="0">
      <pane xSplit="11" ySplit="2" topLeftCell="L63" activePane="bottomRight" state="frozen"/>
      <selection activeCell="C10" sqref="C10"/>
      <selection pane="topRight" activeCell="C10" sqref="C10"/>
      <selection pane="bottomLeft" activeCell="C10" sqref="C10"/>
      <selection pane="bottomRight" activeCell="F24" sqref="F24"/>
    </sheetView>
  </sheetViews>
  <sheetFormatPr defaultRowHeight="13.5"/>
  <cols>
    <col min="1" max="1" width="4.625" style="96" bestFit="1" customWidth="1"/>
    <col min="2" max="2" width="19.625" style="96" customWidth="1"/>
    <col min="3" max="3" width="10.75" style="96" customWidth="1"/>
    <col min="4" max="4" width="27.75" style="96" customWidth="1"/>
    <col min="5" max="5" width="22.375" style="97" customWidth="1"/>
    <col min="6" max="6" width="25.5" style="98" customWidth="1"/>
    <col min="7" max="8" width="3.625" style="96" customWidth="1"/>
    <col min="9" max="9" width="11.5" style="96" customWidth="1"/>
    <col min="10" max="11" width="6" style="96" customWidth="1"/>
    <col min="12" max="12" width="5.125" style="99" customWidth="1"/>
    <col min="13" max="13" width="4.875" style="100" customWidth="1"/>
    <col min="14" max="14" width="7.5" style="96" customWidth="1"/>
    <col min="15" max="15" width="12.5" style="96" bestFit="1" customWidth="1"/>
    <col min="16" max="16" width="7.125" style="96" customWidth="1"/>
    <col min="17" max="17" width="5.625" style="96" customWidth="1"/>
    <col min="18" max="18" width="29.75" style="96" customWidth="1"/>
    <col min="19" max="21" width="6.125" style="99" customWidth="1"/>
    <col min="22" max="25" width="9" style="96"/>
    <col min="26" max="26" width="24.875" style="96" customWidth="1"/>
    <col min="27" max="16384" width="9" style="96"/>
  </cols>
  <sheetData>
    <row r="1" spans="1:21" s="70" customFormat="1" ht="16.5" hidden="1" customHeight="1">
      <c r="A1" s="39" t="s">
        <v>338</v>
      </c>
      <c r="B1" s="39"/>
      <c r="C1" s="39"/>
      <c r="D1" s="39"/>
      <c r="E1" s="39"/>
      <c r="F1" s="40"/>
      <c r="G1" s="39"/>
      <c r="H1" s="39"/>
      <c r="I1" s="39"/>
      <c r="J1" s="39"/>
      <c r="K1" s="39"/>
      <c r="L1" s="39"/>
      <c r="M1" s="39"/>
      <c r="N1" s="39"/>
      <c r="O1" s="748" t="s">
        <v>337</v>
      </c>
      <c r="P1" s="748"/>
      <c r="Q1" s="748"/>
      <c r="R1" s="748"/>
      <c r="S1" s="41"/>
      <c r="T1" s="41"/>
      <c r="U1" s="41"/>
    </row>
    <row r="2" spans="1:21" s="70" customFormat="1" ht="54">
      <c r="A2" s="18" t="s">
        <v>106</v>
      </c>
      <c r="B2" s="18"/>
      <c r="C2" s="18" t="s">
        <v>42</v>
      </c>
      <c r="D2" s="18" t="s">
        <v>43</v>
      </c>
      <c r="E2" s="18" t="s">
        <v>44</v>
      </c>
      <c r="F2" s="9" t="s">
        <v>492</v>
      </c>
      <c r="G2" s="7" t="s">
        <v>45</v>
      </c>
      <c r="H2" s="7" t="s">
        <v>46</v>
      </c>
      <c r="I2" s="18" t="s">
        <v>47</v>
      </c>
      <c r="J2" s="8" t="s">
        <v>0</v>
      </c>
      <c r="K2" s="8" t="s">
        <v>48</v>
      </c>
      <c r="L2" s="24" t="s">
        <v>502</v>
      </c>
      <c r="M2" s="24" t="s">
        <v>500</v>
      </c>
      <c r="N2" s="18" t="s">
        <v>357</v>
      </c>
      <c r="O2" s="71" t="s">
        <v>271</v>
      </c>
      <c r="P2" s="71" t="s">
        <v>272</v>
      </c>
      <c r="Q2" s="71" t="s">
        <v>0</v>
      </c>
      <c r="R2" s="71" t="s">
        <v>273</v>
      </c>
      <c r="S2" s="42" t="s">
        <v>339</v>
      </c>
      <c r="T2" s="43" t="s">
        <v>340</v>
      </c>
      <c r="U2" s="43" t="s">
        <v>677</v>
      </c>
    </row>
    <row r="3" spans="1:21" s="72" customFormat="1">
      <c r="A3" s="2">
        <v>1</v>
      </c>
      <c r="B3" s="3" t="s">
        <v>491</v>
      </c>
      <c r="C3" s="17" t="s">
        <v>1696</v>
      </c>
      <c r="D3" s="17" t="s">
        <v>681</v>
      </c>
      <c r="E3" s="3" t="s">
        <v>493</v>
      </c>
      <c r="F3" s="6" t="s">
        <v>494</v>
      </c>
      <c r="G3" s="4" t="s">
        <v>256</v>
      </c>
      <c r="H3" s="4" t="s">
        <v>257</v>
      </c>
      <c r="I3" s="3" t="s">
        <v>258</v>
      </c>
      <c r="J3" s="5">
        <v>8</v>
      </c>
      <c r="K3" s="5"/>
      <c r="L3" s="5" t="s">
        <v>669</v>
      </c>
      <c r="M3" s="25"/>
      <c r="N3" s="17"/>
      <c r="O3" s="16"/>
      <c r="P3" s="16"/>
      <c r="Q3" s="16"/>
      <c r="R3" s="16"/>
      <c r="S3" s="2" t="s">
        <v>341</v>
      </c>
      <c r="T3" s="2"/>
      <c r="U3" s="2"/>
    </row>
    <row r="4" spans="1:21" s="72" customFormat="1">
      <c r="A4" s="2">
        <f>IF(D3=D4,A3+1,1)</f>
        <v>2</v>
      </c>
      <c r="B4" s="3" t="s">
        <v>491</v>
      </c>
      <c r="C4" s="17" t="s">
        <v>1696</v>
      </c>
      <c r="D4" s="17" t="s">
        <v>681</v>
      </c>
      <c r="E4" s="20" t="s">
        <v>260</v>
      </c>
      <c r="F4" s="46" t="s">
        <v>260</v>
      </c>
      <c r="G4" s="4" t="s">
        <v>51</v>
      </c>
      <c r="H4" s="4" t="s">
        <v>52</v>
      </c>
      <c r="I4" s="20" t="s">
        <v>53</v>
      </c>
      <c r="J4" s="21">
        <v>10</v>
      </c>
      <c r="K4" s="21" t="s">
        <v>54</v>
      </c>
      <c r="L4" s="5" t="s">
        <v>669</v>
      </c>
      <c r="M4" s="25"/>
      <c r="N4" s="20"/>
      <c r="O4" s="16"/>
      <c r="P4" s="16"/>
      <c r="Q4" s="16"/>
      <c r="R4" s="16"/>
      <c r="S4" s="2" t="s">
        <v>341</v>
      </c>
      <c r="T4" s="2"/>
      <c r="U4" s="2"/>
    </row>
    <row r="5" spans="1:21" s="72" customFormat="1">
      <c r="A5" s="2">
        <f t="shared" ref="A5:A120" si="0">IF(D4=D5,A4+1,1)</f>
        <v>3</v>
      </c>
      <c r="B5" s="3" t="s">
        <v>491</v>
      </c>
      <c r="C5" s="17" t="s">
        <v>1696</v>
      </c>
      <c r="D5" s="17" t="s">
        <v>681</v>
      </c>
      <c r="E5" s="20" t="s">
        <v>261</v>
      </c>
      <c r="F5" s="46" t="s">
        <v>261</v>
      </c>
      <c r="G5" s="4" t="s">
        <v>51</v>
      </c>
      <c r="H5" s="4" t="s">
        <v>52</v>
      </c>
      <c r="I5" s="20" t="s">
        <v>53</v>
      </c>
      <c r="J5" s="21">
        <v>5</v>
      </c>
      <c r="K5" s="21" t="s">
        <v>54</v>
      </c>
      <c r="L5" s="5" t="s">
        <v>669</v>
      </c>
      <c r="M5" s="25"/>
      <c r="N5" s="20"/>
      <c r="O5" s="16"/>
      <c r="P5" s="16"/>
      <c r="Q5" s="16"/>
      <c r="R5" s="16"/>
      <c r="S5" s="2" t="s">
        <v>341</v>
      </c>
      <c r="T5" s="2"/>
      <c r="U5" s="2"/>
    </row>
    <row r="6" spans="1:21" s="72" customFormat="1">
      <c r="A6" s="2">
        <f t="shared" si="0"/>
        <v>4</v>
      </c>
      <c r="B6" s="3" t="s">
        <v>491</v>
      </c>
      <c r="C6" s="17" t="s">
        <v>1696</v>
      </c>
      <c r="D6" s="17" t="s">
        <v>681</v>
      </c>
      <c r="E6" s="3" t="s">
        <v>270</v>
      </c>
      <c r="F6" s="6" t="s">
        <v>495</v>
      </c>
      <c r="G6" s="4"/>
      <c r="H6" s="4"/>
      <c r="I6" s="3" t="s">
        <v>258</v>
      </c>
      <c r="J6" s="5">
        <v>8</v>
      </c>
      <c r="K6" s="5"/>
      <c r="L6" s="5" t="s">
        <v>669</v>
      </c>
      <c r="M6" s="25"/>
      <c r="N6" s="17"/>
      <c r="O6" s="16"/>
      <c r="P6" s="16"/>
      <c r="Q6" s="16"/>
      <c r="R6" s="16"/>
      <c r="S6" s="2" t="s">
        <v>341</v>
      </c>
      <c r="T6" s="2"/>
      <c r="U6" s="2"/>
    </row>
    <row r="7" spans="1:21" s="72" customFormat="1">
      <c r="A7" s="2">
        <f t="shared" si="0"/>
        <v>5</v>
      </c>
      <c r="B7" s="3" t="s">
        <v>491</v>
      </c>
      <c r="C7" s="17" t="s">
        <v>1696</v>
      </c>
      <c r="D7" s="17" t="s">
        <v>681</v>
      </c>
      <c r="E7" s="3" t="s">
        <v>186</v>
      </c>
      <c r="F7" s="6" t="s">
        <v>186</v>
      </c>
      <c r="G7" s="16"/>
      <c r="H7" s="16"/>
      <c r="I7" s="3" t="s">
        <v>53</v>
      </c>
      <c r="J7" s="5">
        <v>60</v>
      </c>
      <c r="K7" s="5"/>
      <c r="L7" s="5" t="s">
        <v>669</v>
      </c>
      <c r="M7" s="25"/>
      <c r="N7" s="16"/>
      <c r="O7" s="16" t="s">
        <v>274</v>
      </c>
      <c r="P7" s="16" t="s">
        <v>275</v>
      </c>
      <c r="Q7" s="16">
        <v>60</v>
      </c>
      <c r="R7" s="20" t="s">
        <v>276</v>
      </c>
      <c r="S7" s="2" t="s">
        <v>341</v>
      </c>
      <c r="T7" s="2"/>
      <c r="U7" s="2"/>
    </row>
    <row r="8" spans="1:21" s="72" customFormat="1">
      <c r="A8" s="2">
        <f t="shared" si="0"/>
        <v>6</v>
      </c>
      <c r="B8" s="3" t="s">
        <v>491</v>
      </c>
      <c r="C8" s="17" t="s">
        <v>1696</v>
      </c>
      <c r="D8" s="17" t="s">
        <v>681</v>
      </c>
      <c r="E8" s="3" t="s">
        <v>8</v>
      </c>
      <c r="F8" s="6" t="s">
        <v>1598</v>
      </c>
      <c r="G8" s="16"/>
      <c r="H8" s="16"/>
      <c r="I8" s="3" t="s">
        <v>258</v>
      </c>
      <c r="J8" s="5">
        <v>60</v>
      </c>
      <c r="K8" s="5"/>
      <c r="L8" s="5" t="s">
        <v>669</v>
      </c>
      <c r="M8" s="25"/>
      <c r="N8" s="16"/>
      <c r="O8" s="16" t="s">
        <v>274</v>
      </c>
      <c r="P8" s="16" t="s">
        <v>275</v>
      </c>
      <c r="Q8" s="16">
        <v>60</v>
      </c>
      <c r="R8" s="20" t="s">
        <v>8</v>
      </c>
      <c r="S8" s="2" t="s">
        <v>341</v>
      </c>
      <c r="T8" s="2"/>
      <c r="U8" s="2"/>
    </row>
    <row r="9" spans="1:21" s="72" customFormat="1">
      <c r="A9" s="2">
        <f t="shared" si="0"/>
        <v>7</v>
      </c>
      <c r="B9" s="3" t="s">
        <v>491</v>
      </c>
      <c r="C9" s="17" t="s">
        <v>1696</v>
      </c>
      <c r="D9" s="17" t="s">
        <v>681</v>
      </c>
      <c r="E9" s="3" t="s">
        <v>187</v>
      </c>
      <c r="F9" s="6" t="s">
        <v>187</v>
      </c>
      <c r="G9" s="16"/>
      <c r="H9" s="16"/>
      <c r="I9" s="3" t="s">
        <v>258</v>
      </c>
      <c r="J9" s="2">
        <v>8</v>
      </c>
      <c r="K9" s="16"/>
      <c r="L9" s="5" t="s">
        <v>669</v>
      </c>
      <c r="M9" s="25"/>
      <c r="N9" s="16"/>
      <c r="O9" s="16" t="s">
        <v>274</v>
      </c>
      <c r="P9" s="16" t="s">
        <v>275</v>
      </c>
      <c r="Q9" s="16">
        <v>8</v>
      </c>
      <c r="R9" s="20" t="s">
        <v>277</v>
      </c>
      <c r="S9" s="2" t="s">
        <v>341</v>
      </c>
      <c r="T9" s="2"/>
      <c r="U9" s="2"/>
    </row>
    <row r="10" spans="1:21" s="72" customFormat="1">
      <c r="A10" s="2">
        <f t="shared" si="0"/>
        <v>8</v>
      </c>
      <c r="B10" s="3" t="s">
        <v>491</v>
      </c>
      <c r="C10" s="17" t="s">
        <v>1696</v>
      </c>
      <c r="D10" s="17" t="s">
        <v>681</v>
      </c>
      <c r="E10" s="3" t="s">
        <v>9</v>
      </c>
      <c r="F10" s="6" t="s">
        <v>9</v>
      </c>
      <c r="G10" s="16"/>
      <c r="H10" s="16"/>
      <c r="I10" s="3" t="s">
        <v>53</v>
      </c>
      <c r="J10" s="2">
        <v>4</v>
      </c>
      <c r="K10" s="16"/>
      <c r="L10" s="5" t="s">
        <v>669</v>
      </c>
      <c r="M10" s="25"/>
      <c r="N10" s="16"/>
      <c r="O10" s="16" t="s">
        <v>274</v>
      </c>
      <c r="P10" s="16" t="s">
        <v>275</v>
      </c>
      <c r="Q10" s="16">
        <v>4</v>
      </c>
      <c r="R10" s="20" t="s">
        <v>9</v>
      </c>
      <c r="S10" s="2" t="s">
        <v>341</v>
      </c>
      <c r="T10" s="2"/>
      <c r="U10" s="2"/>
    </row>
    <row r="11" spans="1:21" s="72" customFormat="1">
      <c r="A11" s="2">
        <f t="shared" si="0"/>
        <v>9</v>
      </c>
      <c r="B11" s="3" t="s">
        <v>491</v>
      </c>
      <c r="C11" s="17" t="s">
        <v>1696</v>
      </c>
      <c r="D11" s="17" t="s">
        <v>681</v>
      </c>
      <c r="E11" s="3" t="s">
        <v>188</v>
      </c>
      <c r="F11" s="6" t="s">
        <v>188</v>
      </c>
      <c r="G11" s="16"/>
      <c r="H11" s="16"/>
      <c r="I11" s="3" t="s">
        <v>53</v>
      </c>
      <c r="J11" s="2">
        <v>5</v>
      </c>
      <c r="K11" s="16"/>
      <c r="L11" s="5" t="s">
        <v>669</v>
      </c>
      <c r="M11" s="25"/>
      <c r="N11" s="16"/>
      <c r="O11" s="16" t="s">
        <v>274</v>
      </c>
      <c r="P11" s="16" t="s">
        <v>275</v>
      </c>
      <c r="Q11" s="16">
        <v>5</v>
      </c>
      <c r="R11" s="20" t="s">
        <v>278</v>
      </c>
      <c r="S11" s="2" t="s">
        <v>341</v>
      </c>
      <c r="T11" s="2"/>
      <c r="U11" s="2"/>
    </row>
    <row r="12" spans="1:21" s="72" customFormat="1">
      <c r="A12" s="2">
        <f t="shared" si="0"/>
        <v>10</v>
      </c>
      <c r="B12" s="3" t="s">
        <v>491</v>
      </c>
      <c r="C12" s="17" t="s">
        <v>1696</v>
      </c>
      <c r="D12" s="17" t="s">
        <v>681</v>
      </c>
      <c r="E12" s="3" t="s">
        <v>189</v>
      </c>
      <c r="F12" s="6" t="s">
        <v>189</v>
      </c>
      <c r="G12" s="16"/>
      <c r="H12" s="4" t="s">
        <v>257</v>
      </c>
      <c r="I12" s="3" t="s">
        <v>68</v>
      </c>
      <c r="J12" s="2">
        <v>15</v>
      </c>
      <c r="K12" s="16"/>
      <c r="L12" s="5" t="s">
        <v>669</v>
      </c>
      <c r="M12" s="25"/>
      <c r="N12" s="16"/>
      <c r="O12" s="16" t="s">
        <v>274</v>
      </c>
      <c r="P12" s="16" t="s">
        <v>279</v>
      </c>
      <c r="Q12" s="16">
        <v>15</v>
      </c>
      <c r="R12" s="20" t="s">
        <v>280</v>
      </c>
      <c r="S12" s="2" t="s">
        <v>341</v>
      </c>
      <c r="T12" s="2"/>
      <c r="U12" s="2"/>
    </row>
    <row r="13" spans="1:21" s="72" customFormat="1">
      <c r="A13" s="2">
        <f t="shared" si="0"/>
        <v>11</v>
      </c>
      <c r="B13" s="3" t="s">
        <v>491</v>
      </c>
      <c r="C13" s="17" t="s">
        <v>1696</v>
      </c>
      <c r="D13" s="17" t="s">
        <v>681</v>
      </c>
      <c r="E13" s="3" t="s">
        <v>190</v>
      </c>
      <c r="F13" s="6" t="s">
        <v>190</v>
      </c>
      <c r="G13" s="16"/>
      <c r="H13" s="4" t="s">
        <v>257</v>
      </c>
      <c r="I13" s="3" t="s">
        <v>68</v>
      </c>
      <c r="J13" s="2">
        <v>9</v>
      </c>
      <c r="K13" s="2">
        <v>5</v>
      </c>
      <c r="L13" s="5" t="s">
        <v>669</v>
      </c>
      <c r="M13" s="25"/>
      <c r="N13" s="16"/>
      <c r="O13" s="16" t="s">
        <v>274</v>
      </c>
      <c r="P13" s="16" t="s">
        <v>279</v>
      </c>
      <c r="Q13" s="16">
        <v>9.5</v>
      </c>
      <c r="R13" s="20" t="s">
        <v>281</v>
      </c>
      <c r="S13" s="2" t="s">
        <v>341</v>
      </c>
      <c r="T13" s="2"/>
      <c r="U13" s="2"/>
    </row>
    <row r="14" spans="1:21" s="72" customFormat="1">
      <c r="A14" s="2">
        <f t="shared" si="0"/>
        <v>12</v>
      </c>
      <c r="B14" s="3" t="s">
        <v>491</v>
      </c>
      <c r="C14" s="17" t="s">
        <v>1696</v>
      </c>
      <c r="D14" s="17" t="s">
        <v>681</v>
      </c>
      <c r="E14" s="3" t="s">
        <v>191</v>
      </c>
      <c r="F14" s="6" t="s">
        <v>191</v>
      </c>
      <c r="G14" s="16"/>
      <c r="H14" s="4" t="s">
        <v>257</v>
      </c>
      <c r="I14" s="3" t="s">
        <v>68</v>
      </c>
      <c r="J14" s="2">
        <v>15</v>
      </c>
      <c r="K14" s="16"/>
      <c r="L14" s="5" t="s">
        <v>669</v>
      </c>
      <c r="M14" s="25"/>
      <c r="N14" s="16"/>
      <c r="O14" s="16" t="s">
        <v>274</v>
      </c>
      <c r="P14" s="16" t="s">
        <v>279</v>
      </c>
      <c r="Q14" s="16">
        <v>15</v>
      </c>
      <c r="R14" s="20" t="s">
        <v>282</v>
      </c>
      <c r="S14" s="2" t="s">
        <v>341</v>
      </c>
      <c r="T14" s="2"/>
      <c r="U14" s="2"/>
    </row>
    <row r="15" spans="1:21" s="72" customFormat="1">
      <c r="A15" s="2">
        <f t="shared" si="0"/>
        <v>13</v>
      </c>
      <c r="B15" s="3" t="s">
        <v>491</v>
      </c>
      <c r="C15" s="17" t="s">
        <v>1696</v>
      </c>
      <c r="D15" s="17" t="s">
        <v>681</v>
      </c>
      <c r="E15" s="3" t="s">
        <v>10</v>
      </c>
      <c r="F15" s="6" t="s">
        <v>10</v>
      </c>
      <c r="G15" s="16"/>
      <c r="H15" s="16"/>
      <c r="I15" s="3" t="s">
        <v>53</v>
      </c>
      <c r="J15" s="2">
        <v>1</v>
      </c>
      <c r="K15" s="16"/>
      <c r="L15" s="5" t="s">
        <v>669</v>
      </c>
      <c r="M15" s="25"/>
      <c r="N15" s="16"/>
      <c r="O15" s="16" t="s">
        <v>283</v>
      </c>
      <c r="P15" s="16" t="s">
        <v>275</v>
      </c>
      <c r="Q15" s="16">
        <v>1</v>
      </c>
      <c r="R15" s="20" t="s">
        <v>10</v>
      </c>
      <c r="S15" s="2" t="s">
        <v>341</v>
      </c>
      <c r="T15" s="2"/>
      <c r="U15" s="2"/>
    </row>
    <row r="16" spans="1:21" s="72" customFormat="1">
      <c r="A16" s="2">
        <f t="shared" si="0"/>
        <v>14</v>
      </c>
      <c r="B16" s="3" t="s">
        <v>491</v>
      </c>
      <c r="C16" s="17" t="s">
        <v>1696</v>
      </c>
      <c r="D16" s="17" t="s">
        <v>681</v>
      </c>
      <c r="E16" s="3" t="s">
        <v>11</v>
      </c>
      <c r="F16" s="6" t="s">
        <v>11</v>
      </c>
      <c r="G16" s="16"/>
      <c r="H16" s="16"/>
      <c r="I16" s="3" t="s">
        <v>53</v>
      </c>
      <c r="J16" s="2">
        <v>1</v>
      </c>
      <c r="K16" s="16"/>
      <c r="L16" s="5" t="s">
        <v>669</v>
      </c>
      <c r="M16" s="25"/>
      <c r="N16" s="16"/>
      <c r="O16" s="16" t="s">
        <v>283</v>
      </c>
      <c r="P16" s="16" t="s">
        <v>275</v>
      </c>
      <c r="Q16" s="16">
        <v>1</v>
      </c>
      <c r="R16" s="20" t="s">
        <v>11</v>
      </c>
      <c r="S16" s="2" t="s">
        <v>341</v>
      </c>
      <c r="T16" s="2"/>
      <c r="U16" s="2"/>
    </row>
    <row r="17" spans="1:21" s="72" customFormat="1">
      <c r="A17" s="2">
        <f t="shared" si="0"/>
        <v>15</v>
      </c>
      <c r="B17" s="3" t="s">
        <v>491</v>
      </c>
      <c r="C17" s="17" t="s">
        <v>1696</v>
      </c>
      <c r="D17" s="17" t="s">
        <v>681</v>
      </c>
      <c r="E17" s="3" t="s">
        <v>192</v>
      </c>
      <c r="F17" s="6" t="s">
        <v>1599</v>
      </c>
      <c r="G17" s="16"/>
      <c r="H17" s="16"/>
      <c r="I17" s="3" t="s">
        <v>53</v>
      </c>
      <c r="J17" s="2">
        <v>2</v>
      </c>
      <c r="K17" s="16"/>
      <c r="L17" s="5" t="s">
        <v>669</v>
      </c>
      <c r="M17" s="25"/>
      <c r="N17" s="16"/>
      <c r="O17" s="16" t="s">
        <v>274</v>
      </c>
      <c r="P17" s="16" t="s">
        <v>275</v>
      </c>
      <c r="Q17" s="16">
        <v>2</v>
      </c>
      <c r="R17" s="20" t="s">
        <v>284</v>
      </c>
      <c r="S17" s="2" t="s">
        <v>341</v>
      </c>
      <c r="T17" s="2"/>
      <c r="U17" s="2"/>
    </row>
    <row r="18" spans="1:21" s="72" customFormat="1">
      <c r="A18" s="2">
        <f t="shared" si="0"/>
        <v>16</v>
      </c>
      <c r="B18" s="3" t="s">
        <v>491</v>
      </c>
      <c r="C18" s="17" t="s">
        <v>1696</v>
      </c>
      <c r="D18" s="17" t="s">
        <v>681</v>
      </c>
      <c r="E18" s="3" t="s">
        <v>12</v>
      </c>
      <c r="F18" s="6" t="s">
        <v>12</v>
      </c>
      <c r="G18" s="16"/>
      <c r="H18" s="16"/>
      <c r="I18" s="3" t="s">
        <v>53</v>
      </c>
      <c r="J18" s="2">
        <v>4</v>
      </c>
      <c r="K18" s="16"/>
      <c r="L18" s="5" t="s">
        <v>669</v>
      </c>
      <c r="M18" s="25"/>
      <c r="N18" s="16"/>
      <c r="O18" s="16" t="s">
        <v>274</v>
      </c>
      <c r="P18" s="16" t="s">
        <v>275</v>
      </c>
      <c r="Q18" s="16">
        <v>4</v>
      </c>
      <c r="R18" s="20" t="s">
        <v>12</v>
      </c>
      <c r="S18" s="2" t="s">
        <v>341</v>
      </c>
      <c r="T18" s="2"/>
      <c r="U18" s="2"/>
    </row>
    <row r="19" spans="1:21" s="72" customFormat="1">
      <c r="A19" s="2">
        <f t="shared" si="0"/>
        <v>17</v>
      </c>
      <c r="B19" s="3" t="s">
        <v>491</v>
      </c>
      <c r="C19" s="17" t="s">
        <v>1696</v>
      </c>
      <c r="D19" s="17" t="s">
        <v>681</v>
      </c>
      <c r="E19" s="3" t="s">
        <v>104</v>
      </c>
      <c r="F19" s="6" t="s">
        <v>104</v>
      </c>
      <c r="G19" s="16"/>
      <c r="H19" s="4" t="s">
        <v>257</v>
      </c>
      <c r="I19" s="3" t="s">
        <v>68</v>
      </c>
      <c r="J19" s="2">
        <v>4</v>
      </c>
      <c r="K19" s="16"/>
      <c r="L19" s="5" t="s">
        <v>669</v>
      </c>
      <c r="M19" s="25"/>
      <c r="N19" s="16"/>
      <c r="O19" s="16" t="s">
        <v>274</v>
      </c>
      <c r="P19" s="16" t="s">
        <v>279</v>
      </c>
      <c r="Q19" s="16">
        <v>4</v>
      </c>
      <c r="R19" s="20" t="s">
        <v>285</v>
      </c>
      <c r="S19" s="2" t="s">
        <v>341</v>
      </c>
      <c r="T19" s="2"/>
      <c r="U19" s="2"/>
    </row>
    <row r="20" spans="1:21" s="72" customFormat="1">
      <c r="A20" s="2">
        <f t="shared" si="0"/>
        <v>18</v>
      </c>
      <c r="B20" s="3" t="s">
        <v>491</v>
      </c>
      <c r="C20" s="17" t="s">
        <v>1696</v>
      </c>
      <c r="D20" s="17" t="s">
        <v>681</v>
      </c>
      <c r="E20" s="3" t="s">
        <v>193</v>
      </c>
      <c r="F20" s="104" t="s">
        <v>1695</v>
      </c>
      <c r="G20" s="16"/>
      <c r="H20" s="4" t="s">
        <v>257</v>
      </c>
      <c r="I20" s="3" t="s">
        <v>68</v>
      </c>
      <c r="J20" s="2">
        <v>15</v>
      </c>
      <c r="K20" s="16"/>
      <c r="L20" s="5" t="s">
        <v>669</v>
      </c>
      <c r="M20" s="25"/>
      <c r="N20" s="16"/>
      <c r="O20" s="16" t="s">
        <v>274</v>
      </c>
      <c r="P20" s="16" t="s">
        <v>279</v>
      </c>
      <c r="Q20" s="16">
        <v>15</v>
      </c>
      <c r="R20" s="20" t="s">
        <v>286</v>
      </c>
      <c r="S20" s="2" t="s">
        <v>341</v>
      </c>
      <c r="T20" s="2"/>
      <c r="U20" s="2"/>
    </row>
    <row r="21" spans="1:21" s="72" customFormat="1">
      <c r="A21" s="2">
        <f t="shared" si="0"/>
        <v>19</v>
      </c>
      <c r="B21" s="3" t="s">
        <v>491</v>
      </c>
      <c r="C21" s="17" t="s">
        <v>1696</v>
      </c>
      <c r="D21" s="17" t="s">
        <v>681</v>
      </c>
      <c r="E21" s="3" t="s">
        <v>194</v>
      </c>
      <c r="F21" s="6" t="s">
        <v>1600</v>
      </c>
      <c r="G21" s="16"/>
      <c r="H21" s="16"/>
      <c r="I21" s="3" t="s">
        <v>53</v>
      </c>
      <c r="J21" s="2">
        <v>1</v>
      </c>
      <c r="K21" s="16"/>
      <c r="L21" s="5" t="s">
        <v>669</v>
      </c>
      <c r="M21" s="25"/>
      <c r="N21" s="16"/>
      <c r="O21" s="16" t="s">
        <v>274</v>
      </c>
      <c r="P21" s="16" t="s">
        <v>275</v>
      </c>
      <c r="Q21" s="16">
        <v>1</v>
      </c>
      <c r="R21" s="20" t="s">
        <v>287</v>
      </c>
      <c r="S21" s="2" t="s">
        <v>341</v>
      </c>
      <c r="T21" s="2"/>
      <c r="U21" s="2"/>
    </row>
    <row r="22" spans="1:21" s="72" customFormat="1">
      <c r="A22" s="2">
        <f t="shared" si="0"/>
        <v>20</v>
      </c>
      <c r="B22" s="3" t="s">
        <v>491</v>
      </c>
      <c r="C22" s="17" t="s">
        <v>1696</v>
      </c>
      <c r="D22" s="17" t="s">
        <v>681</v>
      </c>
      <c r="E22" s="3" t="s">
        <v>13</v>
      </c>
      <c r="F22" s="6" t="s">
        <v>13</v>
      </c>
      <c r="G22" s="16"/>
      <c r="H22" s="4" t="s">
        <v>257</v>
      </c>
      <c r="I22" s="3" t="s">
        <v>68</v>
      </c>
      <c r="J22" s="2">
        <v>15</v>
      </c>
      <c r="K22" s="16"/>
      <c r="L22" s="5" t="s">
        <v>669</v>
      </c>
      <c r="M22" s="25"/>
      <c r="N22" s="16"/>
      <c r="O22" s="16" t="s">
        <v>274</v>
      </c>
      <c r="P22" s="16" t="s">
        <v>279</v>
      </c>
      <c r="Q22" s="16">
        <v>15</v>
      </c>
      <c r="R22" s="20" t="s">
        <v>13</v>
      </c>
      <c r="S22" s="2" t="s">
        <v>341</v>
      </c>
      <c r="T22" s="2"/>
      <c r="U22" s="2"/>
    </row>
    <row r="23" spans="1:21" s="72" customFormat="1">
      <c r="A23" s="2">
        <f t="shared" si="0"/>
        <v>21</v>
      </c>
      <c r="B23" s="3" t="s">
        <v>491</v>
      </c>
      <c r="C23" s="17" t="s">
        <v>1696</v>
      </c>
      <c r="D23" s="17" t="s">
        <v>681</v>
      </c>
      <c r="E23" s="3" t="s">
        <v>14</v>
      </c>
      <c r="F23" s="6" t="s">
        <v>14</v>
      </c>
      <c r="G23" s="16"/>
      <c r="H23" s="4" t="s">
        <v>257</v>
      </c>
      <c r="I23" s="3" t="s">
        <v>68</v>
      </c>
      <c r="J23" s="2">
        <v>15</v>
      </c>
      <c r="K23" s="16"/>
      <c r="L23" s="5" t="s">
        <v>669</v>
      </c>
      <c r="M23" s="25"/>
      <c r="N23" s="16"/>
      <c r="O23" s="16" t="s">
        <v>274</v>
      </c>
      <c r="P23" s="16" t="s">
        <v>279</v>
      </c>
      <c r="Q23" s="16">
        <v>15</v>
      </c>
      <c r="R23" s="20" t="s">
        <v>14</v>
      </c>
      <c r="S23" s="2" t="s">
        <v>341</v>
      </c>
      <c r="T23" s="2"/>
      <c r="U23" s="2"/>
    </row>
    <row r="24" spans="1:21" s="72" customFormat="1">
      <c r="A24" s="2">
        <f t="shared" si="0"/>
        <v>22</v>
      </c>
      <c r="B24" s="3" t="s">
        <v>491</v>
      </c>
      <c r="C24" s="17" t="s">
        <v>1696</v>
      </c>
      <c r="D24" s="17" t="s">
        <v>681</v>
      </c>
      <c r="E24" s="3" t="s">
        <v>195</v>
      </c>
      <c r="F24" s="6" t="s">
        <v>1601</v>
      </c>
      <c r="G24" s="16"/>
      <c r="H24" s="4" t="s">
        <v>257</v>
      </c>
      <c r="I24" s="3" t="s">
        <v>68</v>
      </c>
      <c r="J24" s="2">
        <v>15</v>
      </c>
      <c r="K24" s="16"/>
      <c r="L24" s="5" t="s">
        <v>669</v>
      </c>
      <c r="M24" s="25"/>
      <c r="N24" s="16"/>
      <c r="O24" s="16" t="s">
        <v>274</v>
      </c>
      <c r="P24" s="16" t="s">
        <v>279</v>
      </c>
      <c r="Q24" s="16">
        <v>15</v>
      </c>
      <c r="R24" s="20" t="s">
        <v>288</v>
      </c>
      <c r="S24" s="2" t="s">
        <v>341</v>
      </c>
      <c r="T24" s="2"/>
      <c r="U24" s="2"/>
    </row>
    <row r="25" spans="1:21" s="72" customFormat="1">
      <c r="A25" s="2">
        <f t="shared" si="0"/>
        <v>23</v>
      </c>
      <c r="B25" s="3" t="s">
        <v>491</v>
      </c>
      <c r="C25" s="17" t="s">
        <v>1696</v>
      </c>
      <c r="D25" s="17" t="s">
        <v>681</v>
      </c>
      <c r="E25" s="3" t="s">
        <v>196</v>
      </c>
      <c r="F25" s="6" t="s">
        <v>196</v>
      </c>
      <c r="G25" s="16"/>
      <c r="H25" s="4" t="s">
        <v>257</v>
      </c>
      <c r="I25" s="3" t="s">
        <v>68</v>
      </c>
      <c r="J25" s="2">
        <v>15</v>
      </c>
      <c r="K25" s="16"/>
      <c r="L25" s="5" t="s">
        <v>669</v>
      </c>
      <c r="M25" s="25"/>
      <c r="N25" s="16"/>
      <c r="O25" s="16" t="s">
        <v>274</v>
      </c>
      <c r="P25" s="16" t="s">
        <v>279</v>
      </c>
      <c r="Q25" s="16">
        <v>15</v>
      </c>
      <c r="R25" s="20" t="s">
        <v>289</v>
      </c>
      <c r="S25" s="2" t="s">
        <v>341</v>
      </c>
      <c r="T25" s="2"/>
      <c r="U25" s="2"/>
    </row>
    <row r="26" spans="1:21" s="72" customFormat="1">
      <c r="A26" s="2">
        <f t="shared" si="0"/>
        <v>24</v>
      </c>
      <c r="B26" s="3" t="s">
        <v>491</v>
      </c>
      <c r="C26" s="17" t="s">
        <v>1696</v>
      </c>
      <c r="D26" s="17" t="s">
        <v>681</v>
      </c>
      <c r="E26" s="3" t="s">
        <v>15</v>
      </c>
      <c r="F26" s="6" t="s">
        <v>1602</v>
      </c>
      <c r="G26" s="16"/>
      <c r="H26" s="4" t="s">
        <v>257</v>
      </c>
      <c r="I26" s="3" t="s">
        <v>68</v>
      </c>
      <c r="J26" s="2">
        <v>15</v>
      </c>
      <c r="K26" s="16"/>
      <c r="L26" s="5" t="s">
        <v>669</v>
      </c>
      <c r="M26" s="25"/>
      <c r="N26" s="16"/>
      <c r="O26" s="16" t="s">
        <v>274</v>
      </c>
      <c r="P26" s="16" t="s">
        <v>279</v>
      </c>
      <c r="Q26" s="16">
        <v>15</v>
      </c>
      <c r="R26" s="20" t="s">
        <v>15</v>
      </c>
      <c r="S26" s="2" t="s">
        <v>341</v>
      </c>
      <c r="T26" s="2"/>
      <c r="U26" s="2"/>
    </row>
    <row r="27" spans="1:21" s="72" customFormat="1">
      <c r="A27" s="2">
        <f t="shared" si="0"/>
        <v>25</v>
      </c>
      <c r="B27" s="3" t="s">
        <v>491</v>
      </c>
      <c r="C27" s="17" t="s">
        <v>1696</v>
      </c>
      <c r="D27" s="17" t="s">
        <v>681</v>
      </c>
      <c r="E27" s="3" t="s">
        <v>16</v>
      </c>
      <c r="F27" s="6" t="s">
        <v>16</v>
      </c>
      <c r="G27" s="16"/>
      <c r="H27" s="4" t="s">
        <v>257</v>
      </c>
      <c r="I27" s="3" t="s">
        <v>68</v>
      </c>
      <c r="J27" s="2">
        <v>15</v>
      </c>
      <c r="K27" s="16"/>
      <c r="L27" s="5" t="s">
        <v>669</v>
      </c>
      <c r="M27" s="25"/>
      <c r="N27" s="16"/>
      <c r="O27" s="16" t="s">
        <v>274</v>
      </c>
      <c r="P27" s="16" t="s">
        <v>279</v>
      </c>
      <c r="Q27" s="16">
        <v>15</v>
      </c>
      <c r="R27" s="20" t="s">
        <v>16</v>
      </c>
      <c r="S27" s="2" t="s">
        <v>341</v>
      </c>
      <c r="T27" s="2"/>
      <c r="U27" s="2"/>
    </row>
    <row r="28" spans="1:21" s="72" customFormat="1">
      <c r="A28" s="2">
        <f t="shared" si="0"/>
        <v>26</v>
      </c>
      <c r="B28" s="3" t="s">
        <v>491</v>
      </c>
      <c r="C28" s="17" t="s">
        <v>1696</v>
      </c>
      <c r="D28" s="17" t="s">
        <v>681</v>
      </c>
      <c r="E28" s="3" t="s">
        <v>197</v>
      </c>
      <c r="F28" s="6" t="s">
        <v>1603</v>
      </c>
      <c r="G28" s="16"/>
      <c r="H28" s="4" t="s">
        <v>257</v>
      </c>
      <c r="I28" s="3" t="s">
        <v>68</v>
      </c>
      <c r="J28" s="2">
        <v>15</v>
      </c>
      <c r="K28" s="16"/>
      <c r="L28" s="5" t="s">
        <v>669</v>
      </c>
      <c r="M28" s="25"/>
      <c r="N28" s="16"/>
      <c r="O28" s="16" t="s">
        <v>274</v>
      </c>
      <c r="P28" s="16" t="s">
        <v>279</v>
      </c>
      <c r="Q28" s="16">
        <v>15</v>
      </c>
      <c r="R28" s="20" t="s">
        <v>290</v>
      </c>
      <c r="S28" s="2" t="s">
        <v>341</v>
      </c>
      <c r="T28" s="2"/>
      <c r="U28" s="2"/>
    </row>
    <row r="29" spans="1:21" s="72" customFormat="1">
      <c r="A29" s="2">
        <f t="shared" si="0"/>
        <v>27</v>
      </c>
      <c r="B29" s="3" t="s">
        <v>491</v>
      </c>
      <c r="C29" s="17" t="s">
        <v>1696</v>
      </c>
      <c r="D29" s="17" t="s">
        <v>681</v>
      </c>
      <c r="E29" s="3" t="s">
        <v>198</v>
      </c>
      <c r="F29" s="6" t="s">
        <v>1604</v>
      </c>
      <c r="G29" s="16"/>
      <c r="H29" s="16"/>
      <c r="I29" s="3" t="s">
        <v>53</v>
      </c>
      <c r="J29" s="2">
        <v>1</v>
      </c>
      <c r="K29" s="16"/>
      <c r="L29" s="5" t="s">
        <v>669</v>
      </c>
      <c r="M29" s="25"/>
      <c r="N29" s="16"/>
      <c r="O29" s="16" t="s">
        <v>274</v>
      </c>
      <c r="P29" s="16" t="s">
        <v>275</v>
      </c>
      <c r="Q29" s="16">
        <v>1</v>
      </c>
      <c r="R29" s="20" t="s">
        <v>291</v>
      </c>
      <c r="S29" s="2" t="s">
        <v>341</v>
      </c>
      <c r="T29" s="2"/>
      <c r="U29" s="2"/>
    </row>
    <row r="30" spans="1:21" s="72" customFormat="1">
      <c r="A30" s="2">
        <f t="shared" si="0"/>
        <v>28</v>
      </c>
      <c r="B30" s="3" t="s">
        <v>491</v>
      </c>
      <c r="C30" s="17" t="s">
        <v>1696</v>
      </c>
      <c r="D30" s="17" t="s">
        <v>681</v>
      </c>
      <c r="E30" s="3" t="s">
        <v>199</v>
      </c>
      <c r="F30" s="6" t="s">
        <v>1605</v>
      </c>
      <c r="G30" s="16"/>
      <c r="H30" s="16"/>
      <c r="I30" s="3" t="s">
        <v>53</v>
      </c>
      <c r="J30" s="2">
        <v>1</v>
      </c>
      <c r="K30" s="16"/>
      <c r="L30" s="5" t="s">
        <v>669</v>
      </c>
      <c r="M30" s="25"/>
      <c r="N30" s="16"/>
      <c r="O30" s="16" t="s">
        <v>274</v>
      </c>
      <c r="P30" s="16" t="s">
        <v>275</v>
      </c>
      <c r="Q30" s="16">
        <v>1</v>
      </c>
      <c r="R30" s="20" t="s">
        <v>3</v>
      </c>
      <c r="S30" s="2" t="s">
        <v>341</v>
      </c>
      <c r="T30" s="2"/>
      <c r="U30" s="2"/>
    </row>
    <row r="31" spans="1:21" s="72" customFormat="1">
      <c r="A31" s="2">
        <f t="shared" si="0"/>
        <v>29</v>
      </c>
      <c r="B31" s="3" t="s">
        <v>491</v>
      </c>
      <c r="C31" s="17" t="s">
        <v>1696</v>
      </c>
      <c r="D31" s="17" t="s">
        <v>681</v>
      </c>
      <c r="E31" s="3" t="s">
        <v>200</v>
      </c>
      <c r="F31" s="6" t="s">
        <v>1606</v>
      </c>
      <c r="G31" s="16"/>
      <c r="H31" s="4" t="s">
        <v>257</v>
      </c>
      <c r="I31" s="3" t="s">
        <v>68</v>
      </c>
      <c r="J31" s="2">
        <v>5</v>
      </c>
      <c r="K31" s="16"/>
      <c r="L31" s="5" t="s">
        <v>669</v>
      </c>
      <c r="M31" s="25"/>
      <c r="N31" s="16"/>
      <c r="O31" s="16" t="s">
        <v>274</v>
      </c>
      <c r="P31" s="16" t="s">
        <v>279</v>
      </c>
      <c r="Q31" s="16">
        <v>5</v>
      </c>
      <c r="R31" s="20" t="s">
        <v>292</v>
      </c>
      <c r="S31" s="2" t="s">
        <v>341</v>
      </c>
      <c r="T31" s="2"/>
      <c r="U31" s="2"/>
    </row>
    <row r="32" spans="1:21" s="72" customFormat="1">
      <c r="A32" s="2">
        <f t="shared" si="0"/>
        <v>30</v>
      </c>
      <c r="B32" s="3" t="s">
        <v>491</v>
      </c>
      <c r="C32" s="17" t="s">
        <v>1696</v>
      </c>
      <c r="D32" s="17" t="s">
        <v>681</v>
      </c>
      <c r="E32" s="3" t="s">
        <v>201</v>
      </c>
      <c r="F32" s="6" t="s">
        <v>1607</v>
      </c>
      <c r="G32" s="16"/>
      <c r="H32" s="4" t="s">
        <v>257</v>
      </c>
      <c r="I32" s="3" t="s">
        <v>68</v>
      </c>
      <c r="J32" s="2">
        <v>5</v>
      </c>
      <c r="K32" s="16"/>
      <c r="L32" s="5" t="s">
        <v>669</v>
      </c>
      <c r="M32" s="25"/>
      <c r="N32" s="16"/>
      <c r="O32" s="16" t="s">
        <v>274</v>
      </c>
      <c r="P32" s="16" t="s">
        <v>279</v>
      </c>
      <c r="Q32" s="16">
        <v>5</v>
      </c>
      <c r="R32" s="20" t="s">
        <v>293</v>
      </c>
      <c r="S32" s="2" t="s">
        <v>341</v>
      </c>
      <c r="T32" s="2"/>
      <c r="U32" s="2"/>
    </row>
    <row r="33" spans="1:21" s="72" customFormat="1">
      <c r="A33" s="2">
        <f t="shared" si="0"/>
        <v>31</v>
      </c>
      <c r="B33" s="3" t="s">
        <v>491</v>
      </c>
      <c r="C33" s="17" t="s">
        <v>1696</v>
      </c>
      <c r="D33" s="17" t="s">
        <v>681</v>
      </c>
      <c r="E33" s="3" t="s">
        <v>17</v>
      </c>
      <c r="F33" s="6" t="s">
        <v>1608</v>
      </c>
      <c r="G33" s="16"/>
      <c r="H33" s="16"/>
      <c r="I33" s="3" t="s">
        <v>53</v>
      </c>
      <c r="J33" s="2">
        <v>6</v>
      </c>
      <c r="K33" s="16"/>
      <c r="L33" s="5" t="s">
        <v>669</v>
      </c>
      <c r="M33" s="25"/>
      <c r="N33" s="16"/>
      <c r="O33" s="16" t="s">
        <v>274</v>
      </c>
      <c r="P33" s="16" t="s">
        <v>275</v>
      </c>
      <c r="Q33" s="16">
        <v>6</v>
      </c>
      <c r="R33" s="20" t="s">
        <v>17</v>
      </c>
      <c r="S33" s="2" t="s">
        <v>341</v>
      </c>
      <c r="T33" s="2"/>
      <c r="U33" s="2"/>
    </row>
    <row r="34" spans="1:21" s="72" customFormat="1">
      <c r="A34" s="2">
        <f t="shared" si="0"/>
        <v>32</v>
      </c>
      <c r="B34" s="3" t="s">
        <v>491</v>
      </c>
      <c r="C34" s="17" t="s">
        <v>1696</v>
      </c>
      <c r="D34" s="17" t="s">
        <v>681</v>
      </c>
      <c r="E34" s="3" t="s">
        <v>18</v>
      </c>
      <c r="F34" s="6" t="s">
        <v>1609</v>
      </c>
      <c r="G34" s="16"/>
      <c r="H34" s="4" t="s">
        <v>257</v>
      </c>
      <c r="I34" s="3" t="s">
        <v>68</v>
      </c>
      <c r="J34" s="2">
        <v>15</v>
      </c>
      <c r="K34" s="16"/>
      <c r="L34" s="5" t="s">
        <v>669</v>
      </c>
      <c r="M34" s="25"/>
      <c r="N34" s="16"/>
      <c r="O34" s="16" t="s">
        <v>274</v>
      </c>
      <c r="P34" s="16" t="s">
        <v>279</v>
      </c>
      <c r="Q34" s="16">
        <v>15</v>
      </c>
      <c r="R34" s="20" t="s">
        <v>18</v>
      </c>
      <c r="S34" s="2" t="s">
        <v>341</v>
      </c>
      <c r="T34" s="2"/>
      <c r="U34" s="2"/>
    </row>
    <row r="35" spans="1:21" s="72" customFormat="1">
      <c r="A35" s="2">
        <f t="shared" si="0"/>
        <v>33</v>
      </c>
      <c r="B35" s="3" t="s">
        <v>491</v>
      </c>
      <c r="C35" s="17" t="s">
        <v>1696</v>
      </c>
      <c r="D35" s="17" t="s">
        <v>681</v>
      </c>
      <c r="E35" s="3" t="s">
        <v>202</v>
      </c>
      <c r="F35" s="6" t="s">
        <v>1610</v>
      </c>
      <c r="G35" s="16"/>
      <c r="H35" s="4" t="s">
        <v>257</v>
      </c>
      <c r="I35" s="3" t="s">
        <v>68</v>
      </c>
      <c r="J35" s="2">
        <v>15</v>
      </c>
      <c r="K35" s="16"/>
      <c r="L35" s="5" t="s">
        <v>669</v>
      </c>
      <c r="M35" s="25"/>
      <c r="N35" s="16"/>
      <c r="O35" s="16" t="s">
        <v>274</v>
      </c>
      <c r="P35" s="16" t="s">
        <v>279</v>
      </c>
      <c r="Q35" s="16">
        <v>15</v>
      </c>
      <c r="R35" s="20" t="s">
        <v>294</v>
      </c>
      <c r="S35" s="2" t="s">
        <v>341</v>
      </c>
      <c r="T35" s="2"/>
      <c r="U35" s="2"/>
    </row>
    <row r="36" spans="1:21" s="72" customFormat="1">
      <c r="A36" s="2">
        <f t="shared" si="0"/>
        <v>34</v>
      </c>
      <c r="B36" s="3" t="s">
        <v>491</v>
      </c>
      <c r="C36" s="17" t="s">
        <v>1696</v>
      </c>
      <c r="D36" s="17" t="s">
        <v>681</v>
      </c>
      <c r="E36" s="3" t="s">
        <v>203</v>
      </c>
      <c r="F36" s="6" t="s">
        <v>203</v>
      </c>
      <c r="G36" s="16"/>
      <c r="H36" s="16"/>
      <c r="I36" s="3" t="s">
        <v>53</v>
      </c>
      <c r="J36" s="2">
        <v>3</v>
      </c>
      <c r="K36" s="16"/>
      <c r="L36" s="5" t="s">
        <v>669</v>
      </c>
      <c r="M36" s="25"/>
      <c r="N36" s="16"/>
      <c r="O36" s="16" t="s">
        <v>274</v>
      </c>
      <c r="P36" s="16" t="s">
        <v>275</v>
      </c>
      <c r="Q36" s="16">
        <v>3</v>
      </c>
      <c r="R36" s="20" t="s">
        <v>295</v>
      </c>
      <c r="S36" s="2" t="s">
        <v>341</v>
      </c>
      <c r="T36" s="2"/>
      <c r="U36" s="2"/>
    </row>
    <row r="37" spans="1:21" s="72" customFormat="1">
      <c r="A37" s="2">
        <f t="shared" si="0"/>
        <v>35</v>
      </c>
      <c r="B37" s="3" t="s">
        <v>491</v>
      </c>
      <c r="C37" s="17" t="s">
        <v>1696</v>
      </c>
      <c r="D37" s="17" t="s">
        <v>681</v>
      </c>
      <c r="E37" s="3" t="s">
        <v>204</v>
      </c>
      <c r="F37" s="6" t="s">
        <v>204</v>
      </c>
      <c r="G37" s="16"/>
      <c r="H37" s="16"/>
      <c r="I37" s="3" t="s">
        <v>53</v>
      </c>
      <c r="J37" s="2">
        <v>2</v>
      </c>
      <c r="K37" s="16"/>
      <c r="L37" s="5" t="s">
        <v>669</v>
      </c>
      <c r="M37" s="25"/>
      <c r="N37" s="16"/>
      <c r="O37" s="16" t="s">
        <v>274</v>
      </c>
      <c r="P37" s="16" t="s">
        <v>275</v>
      </c>
      <c r="Q37" s="16">
        <v>2</v>
      </c>
      <c r="R37" s="20" t="s">
        <v>296</v>
      </c>
      <c r="S37" s="2" t="s">
        <v>341</v>
      </c>
      <c r="T37" s="2"/>
      <c r="U37" s="2"/>
    </row>
    <row r="38" spans="1:21" s="72" customFormat="1">
      <c r="A38" s="2">
        <f t="shared" si="0"/>
        <v>36</v>
      </c>
      <c r="B38" s="3" t="s">
        <v>491</v>
      </c>
      <c r="C38" s="17" t="s">
        <v>1696</v>
      </c>
      <c r="D38" s="17" t="s">
        <v>681</v>
      </c>
      <c r="E38" s="3" t="s">
        <v>205</v>
      </c>
      <c r="F38" s="6" t="s">
        <v>205</v>
      </c>
      <c r="G38" s="16"/>
      <c r="H38" s="4" t="s">
        <v>257</v>
      </c>
      <c r="I38" s="3" t="s">
        <v>68</v>
      </c>
      <c r="J38" s="2">
        <v>5</v>
      </c>
      <c r="K38" s="16"/>
      <c r="L38" s="5" t="s">
        <v>669</v>
      </c>
      <c r="M38" s="25"/>
      <c r="N38" s="16"/>
      <c r="O38" s="16" t="s">
        <v>274</v>
      </c>
      <c r="P38" s="16" t="s">
        <v>279</v>
      </c>
      <c r="Q38" s="16">
        <v>5</v>
      </c>
      <c r="R38" s="20" t="s">
        <v>297</v>
      </c>
      <c r="S38" s="2" t="s">
        <v>341</v>
      </c>
      <c r="T38" s="2"/>
      <c r="U38" s="2"/>
    </row>
    <row r="39" spans="1:21" s="72" customFormat="1">
      <c r="A39" s="2">
        <f t="shared" si="0"/>
        <v>37</v>
      </c>
      <c r="B39" s="3" t="s">
        <v>491</v>
      </c>
      <c r="C39" s="17" t="s">
        <v>1696</v>
      </c>
      <c r="D39" s="17" t="s">
        <v>681</v>
      </c>
      <c r="E39" s="3" t="s">
        <v>206</v>
      </c>
      <c r="F39" s="6" t="s">
        <v>206</v>
      </c>
      <c r="G39" s="16"/>
      <c r="H39" s="16"/>
      <c r="I39" s="3" t="s">
        <v>53</v>
      </c>
      <c r="J39" s="2">
        <v>2</v>
      </c>
      <c r="K39" s="16"/>
      <c r="L39" s="5" t="s">
        <v>669</v>
      </c>
      <c r="M39" s="25"/>
      <c r="N39" s="16"/>
      <c r="O39" s="16" t="s">
        <v>274</v>
      </c>
      <c r="P39" s="16" t="s">
        <v>275</v>
      </c>
      <c r="Q39" s="16">
        <v>2</v>
      </c>
      <c r="R39" s="20" t="s">
        <v>298</v>
      </c>
      <c r="S39" s="2" t="s">
        <v>341</v>
      </c>
      <c r="T39" s="2"/>
      <c r="U39" s="2"/>
    </row>
    <row r="40" spans="1:21" s="72" customFormat="1">
      <c r="A40" s="2">
        <f t="shared" si="0"/>
        <v>38</v>
      </c>
      <c r="B40" s="3" t="s">
        <v>491</v>
      </c>
      <c r="C40" s="17" t="s">
        <v>1696</v>
      </c>
      <c r="D40" s="17" t="s">
        <v>681</v>
      </c>
      <c r="E40" s="3" t="s">
        <v>207</v>
      </c>
      <c r="F40" s="6" t="s">
        <v>207</v>
      </c>
      <c r="G40" s="16"/>
      <c r="H40" s="16"/>
      <c r="I40" s="3" t="s">
        <v>53</v>
      </c>
      <c r="J40" s="2">
        <v>2</v>
      </c>
      <c r="K40" s="16"/>
      <c r="L40" s="5" t="s">
        <v>669</v>
      </c>
      <c r="M40" s="25"/>
      <c r="N40" s="16"/>
      <c r="O40" s="16" t="s">
        <v>274</v>
      </c>
      <c r="P40" s="16" t="s">
        <v>275</v>
      </c>
      <c r="Q40" s="16">
        <v>2</v>
      </c>
      <c r="R40" s="20" t="s">
        <v>299</v>
      </c>
      <c r="S40" s="2" t="s">
        <v>341</v>
      </c>
      <c r="T40" s="2"/>
      <c r="U40" s="2"/>
    </row>
    <row r="41" spans="1:21" s="72" customFormat="1">
      <c r="A41" s="2">
        <f t="shared" si="0"/>
        <v>39</v>
      </c>
      <c r="B41" s="3" t="s">
        <v>491</v>
      </c>
      <c r="C41" s="17" t="s">
        <v>1696</v>
      </c>
      <c r="D41" s="17" t="s">
        <v>681</v>
      </c>
      <c r="E41" s="3" t="s">
        <v>208</v>
      </c>
      <c r="F41" s="6" t="s">
        <v>208</v>
      </c>
      <c r="G41" s="16"/>
      <c r="H41" s="16"/>
      <c r="I41" s="3" t="s">
        <v>53</v>
      </c>
      <c r="J41" s="2">
        <v>2</v>
      </c>
      <c r="K41" s="16"/>
      <c r="L41" s="5" t="s">
        <v>669</v>
      </c>
      <c r="M41" s="25"/>
      <c r="N41" s="16"/>
      <c r="O41" s="16" t="s">
        <v>274</v>
      </c>
      <c r="P41" s="16" t="s">
        <v>275</v>
      </c>
      <c r="Q41" s="16">
        <v>2</v>
      </c>
      <c r="R41" s="20" t="s">
        <v>300</v>
      </c>
      <c r="S41" s="2" t="s">
        <v>341</v>
      </c>
      <c r="T41" s="2"/>
      <c r="U41" s="2"/>
    </row>
    <row r="42" spans="1:21" s="72" customFormat="1">
      <c r="A42" s="2">
        <f t="shared" si="0"/>
        <v>40</v>
      </c>
      <c r="B42" s="3" t="s">
        <v>491</v>
      </c>
      <c r="C42" s="17" t="s">
        <v>1696</v>
      </c>
      <c r="D42" s="17" t="s">
        <v>681</v>
      </c>
      <c r="E42" s="3" t="s">
        <v>209</v>
      </c>
      <c r="F42" s="6" t="s">
        <v>209</v>
      </c>
      <c r="G42" s="16"/>
      <c r="H42" s="16"/>
      <c r="I42" s="3" t="s">
        <v>53</v>
      </c>
      <c r="J42" s="2">
        <v>2</v>
      </c>
      <c r="K42" s="16"/>
      <c r="L42" s="5" t="s">
        <v>669</v>
      </c>
      <c r="M42" s="25"/>
      <c r="N42" s="16"/>
      <c r="O42" s="16" t="s">
        <v>274</v>
      </c>
      <c r="P42" s="16" t="s">
        <v>275</v>
      </c>
      <c r="Q42" s="16">
        <v>2</v>
      </c>
      <c r="R42" s="20" t="s">
        <v>301</v>
      </c>
      <c r="S42" s="2" t="s">
        <v>341</v>
      </c>
      <c r="T42" s="2"/>
      <c r="U42" s="2"/>
    </row>
    <row r="43" spans="1:21" s="72" customFormat="1">
      <c r="A43" s="2">
        <f t="shared" si="0"/>
        <v>41</v>
      </c>
      <c r="B43" s="3" t="s">
        <v>491</v>
      </c>
      <c r="C43" s="17" t="s">
        <v>1696</v>
      </c>
      <c r="D43" s="17" t="s">
        <v>681</v>
      </c>
      <c r="E43" s="3" t="s">
        <v>19</v>
      </c>
      <c r="F43" s="104" t="s">
        <v>19</v>
      </c>
      <c r="G43" s="16"/>
      <c r="H43" s="4" t="s">
        <v>257</v>
      </c>
      <c r="I43" s="3" t="s">
        <v>68</v>
      </c>
      <c r="J43" s="2">
        <v>15</v>
      </c>
      <c r="K43" s="16"/>
      <c r="L43" s="5" t="s">
        <v>669</v>
      </c>
      <c r="M43" s="25"/>
      <c r="N43" s="16"/>
      <c r="O43" s="16" t="s">
        <v>274</v>
      </c>
      <c r="P43" s="16" t="s">
        <v>279</v>
      </c>
      <c r="Q43" s="16">
        <v>15</v>
      </c>
      <c r="R43" s="20" t="s">
        <v>19</v>
      </c>
      <c r="S43" s="2" t="s">
        <v>341</v>
      </c>
      <c r="T43" s="2"/>
      <c r="U43" s="2"/>
    </row>
    <row r="44" spans="1:21" s="72" customFormat="1">
      <c r="A44" s="2">
        <f t="shared" si="0"/>
        <v>42</v>
      </c>
      <c r="B44" s="3" t="s">
        <v>491</v>
      </c>
      <c r="C44" s="17" t="s">
        <v>1696</v>
      </c>
      <c r="D44" s="17" t="s">
        <v>681</v>
      </c>
      <c r="E44" s="3" t="s">
        <v>20</v>
      </c>
      <c r="F44" s="6" t="s">
        <v>1687</v>
      </c>
      <c r="G44" s="16"/>
      <c r="H44" s="4" t="s">
        <v>257</v>
      </c>
      <c r="I44" s="3" t="s">
        <v>68</v>
      </c>
      <c r="J44" s="2">
        <v>15</v>
      </c>
      <c r="K44" s="16"/>
      <c r="L44" s="5" t="s">
        <v>669</v>
      </c>
      <c r="M44" s="25"/>
      <c r="N44" s="16"/>
      <c r="O44" s="16" t="s">
        <v>274</v>
      </c>
      <c r="P44" s="16" t="s">
        <v>279</v>
      </c>
      <c r="Q44" s="16">
        <v>15</v>
      </c>
      <c r="R44" s="20" t="s">
        <v>20</v>
      </c>
      <c r="S44" s="2" t="s">
        <v>341</v>
      </c>
      <c r="T44" s="2"/>
      <c r="U44" s="2"/>
    </row>
    <row r="45" spans="1:21" s="72" customFormat="1">
      <c r="A45" s="2">
        <f t="shared" si="0"/>
        <v>43</v>
      </c>
      <c r="B45" s="3" t="s">
        <v>491</v>
      </c>
      <c r="C45" s="17" t="s">
        <v>1696</v>
      </c>
      <c r="D45" s="17" t="s">
        <v>681</v>
      </c>
      <c r="E45" s="3" t="s">
        <v>210</v>
      </c>
      <c r="F45" s="6" t="s">
        <v>1611</v>
      </c>
      <c r="G45" s="16"/>
      <c r="H45" s="4" t="s">
        <v>257</v>
      </c>
      <c r="I45" s="3" t="s">
        <v>68</v>
      </c>
      <c r="J45" s="2">
        <v>15</v>
      </c>
      <c r="K45" s="16"/>
      <c r="L45" s="5" t="s">
        <v>669</v>
      </c>
      <c r="M45" s="25"/>
      <c r="N45" s="16"/>
      <c r="O45" s="16" t="s">
        <v>274</v>
      </c>
      <c r="P45" s="16" t="s">
        <v>279</v>
      </c>
      <c r="Q45" s="16">
        <v>15</v>
      </c>
      <c r="R45" s="20" t="s">
        <v>302</v>
      </c>
      <c r="S45" s="2" t="s">
        <v>341</v>
      </c>
      <c r="T45" s="2"/>
      <c r="U45" s="2"/>
    </row>
    <row r="46" spans="1:21" s="72" customFormat="1">
      <c r="A46" s="2">
        <f t="shared" si="0"/>
        <v>44</v>
      </c>
      <c r="B46" s="3" t="s">
        <v>491</v>
      </c>
      <c r="C46" s="17" t="s">
        <v>1696</v>
      </c>
      <c r="D46" s="17" t="s">
        <v>681</v>
      </c>
      <c r="E46" s="3" t="s">
        <v>211</v>
      </c>
      <c r="F46" s="6" t="s">
        <v>1612</v>
      </c>
      <c r="G46" s="16"/>
      <c r="H46" s="4" t="s">
        <v>257</v>
      </c>
      <c r="I46" s="3" t="s">
        <v>68</v>
      </c>
      <c r="J46" s="2">
        <v>15</v>
      </c>
      <c r="K46" s="16"/>
      <c r="L46" s="5" t="s">
        <v>669</v>
      </c>
      <c r="M46" s="25"/>
      <c r="N46" s="16"/>
      <c r="O46" s="16" t="s">
        <v>274</v>
      </c>
      <c r="P46" s="16" t="s">
        <v>279</v>
      </c>
      <c r="Q46" s="16">
        <v>15</v>
      </c>
      <c r="R46" s="20" t="s">
        <v>303</v>
      </c>
      <c r="S46" s="2" t="s">
        <v>341</v>
      </c>
      <c r="T46" s="2"/>
      <c r="U46" s="2"/>
    </row>
    <row r="47" spans="1:21" s="72" customFormat="1">
      <c r="A47" s="2">
        <f t="shared" si="0"/>
        <v>45</v>
      </c>
      <c r="B47" s="3" t="s">
        <v>491</v>
      </c>
      <c r="C47" s="17" t="s">
        <v>1696</v>
      </c>
      <c r="D47" s="17" t="s">
        <v>681</v>
      </c>
      <c r="E47" s="3" t="s">
        <v>21</v>
      </c>
      <c r="F47" s="6" t="s">
        <v>21</v>
      </c>
      <c r="G47" s="16"/>
      <c r="H47" s="4" t="s">
        <v>257</v>
      </c>
      <c r="I47" s="3" t="s">
        <v>68</v>
      </c>
      <c r="J47" s="2">
        <v>15</v>
      </c>
      <c r="K47" s="16"/>
      <c r="L47" s="5" t="s">
        <v>669</v>
      </c>
      <c r="M47" s="25"/>
      <c r="N47" s="16"/>
      <c r="O47" s="16" t="s">
        <v>274</v>
      </c>
      <c r="P47" s="16" t="s">
        <v>279</v>
      </c>
      <c r="Q47" s="16">
        <v>15</v>
      </c>
      <c r="R47" s="20" t="s">
        <v>21</v>
      </c>
      <c r="S47" s="2" t="s">
        <v>341</v>
      </c>
      <c r="T47" s="2"/>
      <c r="U47" s="2"/>
    </row>
    <row r="48" spans="1:21" s="72" customFormat="1">
      <c r="A48" s="2">
        <f t="shared" si="0"/>
        <v>46</v>
      </c>
      <c r="B48" s="3" t="s">
        <v>491</v>
      </c>
      <c r="C48" s="17" t="s">
        <v>1696</v>
      </c>
      <c r="D48" s="17" t="s">
        <v>681</v>
      </c>
      <c r="E48" s="3" t="s">
        <v>212</v>
      </c>
      <c r="F48" s="6" t="s">
        <v>212</v>
      </c>
      <c r="G48" s="16"/>
      <c r="H48" s="16"/>
      <c r="I48" s="3" t="s">
        <v>53</v>
      </c>
      <c r="J48" s="2">
        <v>2</v>
      </c>
      <c r="K48" s="16"/>
      <c r="L48" s="5" t="s">
        <v>669</v>
      </c>
      <c r="M48" s="25"/>
      <c r="N48" s="16"/>
      <c r="O48" s="16" t="s">
        <v>274</v>
      </c>
      <c r="P48" s="16" t="s">
        <v>275</v>
      </c>
      <c r="Q48" s="16">
        <v>2</v>
      </c>
      <c r="R48" s="20" t="s">
        <v>304</v>
      </c>
      <c r="S48" s="2" t="s">
        <v>341</v>
      </c>
      <c r="T48" s="2"/>
      <c r="U48" s="2"/>
    </row>
    <row r="49" spans="1:21" s="72" customFormat="1">
      <c r="A49" s="2">
        <f t="shared" si="0"/>
        <v>47</v>
      </c>
      <c r="B49" s="3" t="s">
        <v>491</v>
      </c>
      <c r="C49" s="17" t="s">
        <v>1696</v>
      </c>
      <c r="D49" s="17" t="s">
        <v>681</v>
      </c>
      <c r="E49" s="3" t="s">
        <v>213</v>
      </c>
      <c r="F49" s="6" t="s">
        <v>213</v>
      </c>
      <c r="G49" s="16"/>
      <c r="H49" s="16"/>
      <c r="I49" s="3" t="s">
        <v>53</v>
      </c>
      <c r="J49" s="2">
        <v>1</v>
      </c>
      <c r="K49" s="16"/>
      <c r="L49" s="5" t="s">
        <v>669</v>
      </c>
      <c r="M49" s="25"/>
      <c r="N49" s="16"/>
      <c r="O49" s="16" t="s">
        <v>274</v>
      </c>
      <c r="P49" s="16" t="s">
        <v>275</v>
      </c>
      <c r="Q49" s="16">
        <v>1</v>
      </c>
      <c r="R49" s="20" t="s">
        <v>305</v>
      </c>
      <c r="S49" s="2" t="s">
        <v>341</v>
      </c>
      <c r="T49" s="2"/>
      <c r="U49" s="2"/>
    </row>
    <row r="50" spans="1:21" s="72" customFormat="1">
      <c r="A50" s="2">
        <f t="shared" si="0"/>
        <v>48</v>
      </c>
      <c r="B50" s="3" t="s">
        <v>491</v>
      </c>
      <c r="C50" s="17" t="s">
        <v>1696</v>
      </c>
      <c r="D50" s="17" t="s">
        <v>681</v>
      </c>
      <c r="E50" s="3" t="s">
        <v>214</v>
      </c>
      <c r="F50" s="6" t="s">
        <v>214</v>
      </c>
      <c r="G50" s="16"/>
      <c r="H50" s="16"/>
      <c r="I50" s="3" t="s">
        <v>53</v>
      </c>
      <c r="J50" s="2">
        <v>2</v>
      </c>
      <c r="K50" s="16"/>
      <c r="L50" s="5" t="s">
        <v>669</v>
      </c>
      <c r="M50" s="25"/>
      <c r="N50" s="16"/>
      <c r="O50" s="16" t="s">
        <v>274</v>
      </c>
      <c r="P50" s="16" t="s">
        <v>275</v>
      </c>
      <c r="Q50" s="16">
        <v>2</v>
      </c>
      <c r="R50" s="20" t="s">
        <v>306</v>
      </c>
      <c r="S50" s="2" t="s">
        <v>341</v>
      </c>
      <c r="T50" s="2"/>
      <c r="U50" s="2"/>
    </row>
    <row r="51" spans="1:21" s="72" customFormat="1">
      <c r="A51" s="2">
        <f t="shared" si="0"/>
        <v>49</v>
      </c>
      <c r="B51" s="3" t="s">
        <v>491</v>
      </c>
      <c r="C51" s="17" t="s">
        <v>1696</v>
      </c>
      <c r="D51" s="17" t="s">
        <v>681</v>
      </c>
      <c r="E51" s="3" t="s">
        <v>215</v>
      </c>
      <c r="F51" s="6" t="s">
        <v>1597</v>
      </c>
      <c r="G51" s="16"/>
      <c r="H51" s="16"/>
      <c r="I51" s="3" t="s">
        <v>53</v>
      </c>
      <c r="J51" s="2">
        <v>1</v>
      </c>
      <c r="K51" s="16"/>
      <c r="L51" s="5" t="s">
        <v>669</v>
      </c>
      <c r="M51" s="25"/>
      <c r="N51" s="16"/>
      <c r="O51" s="16" t="s">
        <v>274</v>
      </c>
      <c r="P51" s="16" t="s">
        <v>275</v>
      </c>
      <c r="Q51" s="16">
        <v>1</v>
      </c>
      <c r="R51" s="20" t="s">
        <v>307</v>
      </c>
      <c r="S51" s="2" t="s">
        <v>341</v>
      </c>
      <c r="T51" s="2"/>
      <c r="U51" s="2"/>
    </row>
    <row r="52" spans="1:21" s="72" customFormat="1">
      <c r="A52" s="2">
        <f t="shared" si="0"/>
        <v>50</v>
      </c>
      <c r="B52" s="3" t="s">
        <v>491</v>
      </c>
      <c r="C52" s="17" t="s">
        <v>1696</v>
      </c>
      <c r="D52" s="17" t="s">
        <v>681</v>
      </c>
      <c r="E52" s="3" t="s">
        <v>216</v>
      </c>
      <c r="F52" s="104" t="s">
        <v>216</v>
      </c>
      <c r="G52" s="16"/>
      <c r="H52" s="16"/>
      <c r="I52" s="3" t="s">
        <v>53</v>
      </c>
      <c r="J52" s="2">
        <v>2</v>
      </c>
      <c r="K52" s="16"/>
      <c r="L52" s="5" t="s">
        <v>669</v>
      </c>
      <c r="M52" s="25"/>
      <c r="N52" s="16"/>
      <c r="O52" s="16" t="s">
        <v>274</v>
      </c>
      <c r="P52" s="16" t="s">
        <v>275</v>
      </c>
      <c r="Q52" s="16">
        <v>2</v>
      </c>
      <c r="R52" s="20" t="s">
        <v>308</v>
      </c>
      <c r="S52" s="2" t="s">
        <v>341</v>
      </c>
      <c r="T52" s="2"/>
      <c r="U52" s="2"/>
    </row>
    <row r="53" spans="1:21" s="72" customFormat="1">
      <c r="A53" s="2">
        <f t="shared" si="0"/>
        <v>51</v>
      </c>
      <c r="B53" s="3" t="s">
        <v>491</v>
      </c>
      <c r="C53" s="17" t="s">
        <v>1696</v>
      </c>
      <c r="D53" s="17" t="s">
        <v>681</v>
      </c>
      <c r="E53" s="3" t="s">
        <v>22</v>
      </c>
      <c r="F53" s="6" t="s">
        <v>22</v>
      </c>
      <c r="G53" s="16"/>
      <c r="H53" s="4" t="s">
        <v>257</v>
      </c>
      <c r="I53" s="3" t="s">
        <v>68</v>
      </c>
      <c r="J53" s="2">
        <v>15</v>
      </c>
      <c r="K53" s="16"/>
      <c r="L53" s="5" t="s">
        <v>669</v>
      </c>
      <c r="M53" s="25"/>
      <c r="N53" s="16"/>
      <c r="O53" s="16" t="s">
        <v>274</v>
      </c>
      <c r="P53" s="16" t="s">
        <v>279</v>
      </c>
      <c r="Q53" s="16">
        <v>15</v>
      </c>
      <c r="R53" s="20" t="s">
        <v>22</v>
      </c>
      <c r="S53" s="2" t="s">
        <v>341</v>
      </c>
      <c r="T53" s="2"/>
      <c r="U53" s="2"/>
    </row>
    <row r="54" spans="1:21" s="72" customFormat="1">
      <c r="A54" s="140" t="s">
        <v>2329</v>
      </c>
      <c r="B54" s="161" t="s">
        <v>491</v>
      </c>
      <c r="C54" s="165" t="s">
        <v>1696</v>
      </c>
      <c r="D54" s="165" t="s">
        <v>681</v>
      </c>
      <c r="E54" s="164" t="s">
        <v>2521</v>
      </c>
      <c r="F54" s="164" t="s">
        <v>2926</v>
      </c>
      <c r="G54" s="127"/>
      <c r="H54" s="166"/>
      <c r="I54" s="161" t="s">
        <v>53</v>
      </c>
      <c r="J54" s="157">
        <v>4</v>
      </c>
      <c r="K54" s="127"/>
      <c r="L54" s="154"/>
      <c r="M54" s="158"/>
      <c r="N54" s="127"/>
      <c r="O54" s="172" t="s">
        <v>274</v>
      </c>
      <c r="P54" s="136" t="s">
        <v>275</v>
      </c>
      <c r="Q54" s="157">
        <v>4</v>
      </c>
      <c r="R54" s="164" t="s">
        <v>2521</v>
      </c>
      <c r="S54" s="162" t="s">
        <v>341</v>
      </c>
      <c r="T54" s="168"/>
      <c r="U54" s="168"/>
    </row>
    <row r="55" spans="1:21" s="72" customFormat="1">
      <c r="A55" s="140" t="s">
        <v>2329</v>
      </c>
      <c r="B55" s="161" t="s">
        <v>491</v>
      </c>
      <c r="C55" s="165" t="s">
        <v>1696</v>
      </c>
      <c r="D55" s="165" t="s">
        <v>681</v>
      </c>
      <c r="E55" s="164" t="s">
        <v>2522</v>
      </c>
      <c r="F55" s="164" t="s">
        <v>2927</v>
      </c>
      <c r="G55" s="127"/>
      <c r="H55" s="166"/>
      <c r="I55" s="161" t="s">
        <v>53</v>
      </c>
      <c r="J55" s="157">
        <v>2</v>
      </c>
      <c r="K55" s="127"/>
      <c r="L55" s="154"/>
      <c r="M55" s="158"/>
      <c r="N55" s="127"/>
      <c r="O55" s="172" t="s">
        <v>274</v>
      </c>
      <c r="P55" s="136" t="s">
        <v>275</v>
      </c>
      <c r="Q55" s="157">
        <v>2</v>
      </c>
      <c r="R55" s="164" t="s">
        <v>2522</v>
      </c>
      <c r="S55" s="162" t="s">
        <v>341</v>
      </c>
      <c r="T55" s="168"/>
      <c r="U55" s="168"/>
    </row>
    <row r="56" spans="1:21" s="72" customFormat="1">
      <c r="A56" s="140" t="s">
        <v>2329</v>
      </c>
      <c r="B56" s="161" t="s">
        <v>491</v>
      </c>
      <c r="C56" s="165" t="s">
        <v>1696</v>
      </c>
      <c r="D56" s="165" t="s">
        <v>681</v>
      </c>
      <c r="E56" s="164" t="s">
        <v>2523</v>
      </c>
      <c r="F56" s="164" t="s">
        <v>2892</v>
      </c>
      <c r="G56" s="127"/>
      <c r="H56" s="166"/>
      <c r="I56" s="161" t="s">
        <v>53</v>
      </c>
      <c r="J56" s="157">
        <v>1</v>
      </c>
      <c r="K56" s="127"/>
      <c r="L56" s="154"/>
      <c r="M56" s="158"/>
      <c r="N56" s="127"/>
      <c r="O56" s="172" t="s">
        <v>274</v>
      </c>
      <c r="P56" s="136" t="s">
        <v>275</v>
      </c>
      <c r="Q56" s="157">
        <v>1</v>
      </c>
      <c r="R56" s="164" t="s">
        <v>2523</v>
      </c>
      <c r="S56" s="162" t="s">
        <v>341</v>
      </c>
      <c r="T56" s="168"/>
      <c r="U56" s="168"/>
    </row>
    <row r="57" spans="1:21" s="72" customFormat="1">
      <c r="A57" s="140" t="s">
        <v>2329</v>
      </c>
      <c r="B57" s="161" t="s">
        <v>491</v>
      </c>
      <c r="C57" s="165" t="s">
        <v>1696</v>
      </c>
      <c r="D57" s="165" t="s">
        <v>681</v>
      </c>
      <c r="E57" s="164" t="s">
        <v>2524</v>
      </c>
      <c r="F57" s="164" t="s">
        <v>2894</v>
      </c>
      <c r="G57" s="127"/>
      <c r="H57" s="166"/>
      <c r="I57" s="161" t="s">
        <v>68</v>
      </c>
      <c r="J57" s="157">
        <v>15</v>
      </c>
      <c r="K57" s="127"/>
      <c r="L57" s="154"/>
      <c r="M57" s="158"/>
      <c r="N57" s="127"/>
      <c r="O57" s="172" t="s">
        <v>274</v>
      </c>
      <c r="P57" s="137" t="s">
        <v>279</v>
      </c>
      <c r="Q57" s="157">
        <v>15</v>
      </c>
      <c r="R57" s="164" t="s">
        <v>2524</v>
      </c>
      <c r="S57" s="162" t="s">
        <v>341</v>
      </c>
      <c r="T57" s="168"/>
      <c r="U57" s="168"/>
    </row>
    <row r="58" spans="1:21" s="72" customFormat="1">
      <c r="A58" s="140" t="s">
        <v>2329</v>
      </c>
      <c r="B58" s="161" t="s">
        <v>491</v>
      </c>
      <c r="C58" s="165" t="s">
        <v>1696</v>
      </c>
      <c r="D58" s="165" t="s">
        <v>681</v>
      </c>
      <c r="E58" s="164" t="s">
        <v>2525</v>
      </c>
      <c r="F58" s="164" t="s">
        <v>2895</v>
      </c>
      <c r="G58" s="127"/>
      <c r="H58" s="166"/>
      <c r="I58" s="161" t="s">
        <v>53</v>
      </c>
      <c r="J58" s="157">
        <v>5</v>
      </c>
      <c r="K58" s="127"/>
      <c r="L58" s="154"/>
      <c r="M58" s="158"/>
      <c r="N58" s="127"/>
      <c r="O58" s="172" t="s">
        <v>274</v>
      </c>
      <c r="P58" s="136" t="s">
        <v>275</v>
      </c>
      <c r="Q58" s="157">
        <v>5</v>
      </c>
      <c r="R58" s="164" t="s">
        <v>2525</v>
      </c>
      <c r="S58" s="162" t="s">
        <v>341</v>
      </c>
      <c r="T58" s="168"/>
      <c r="U58" s="168"/>
    </row>
    <row r="59" spans="1:21" s="72" customFormat="1">
      <c r="A59" s="140" t="s">
        <v>2329</v>
      </c>
      <c r="B59" s="161" t="s">
        <v>491</v>
      </c>
      <c r="C59" s="165" t="s">
        <v>1696</v>
      </c>
      <c r="D59" s="165" t="s">
        <v>681</v>
      </c>
      <c r="E59" s="164" t="s">
        <v>2526</v>
      </c>
      <c r="F59" s="164" t="s">
        <v>2896</v>
      </c>
      <c r="G59" s="127"/>
      <c r="H59" s="166"/>
      <c r="I59" s="161" t="s">
        <v>53</v>
      </c>
      <c r="J59" s="157">
        <v>5</v>
      </c>
      <c r="K59" s="127"/>
      <c r="L59" s="154"/>
      <c r="M59" s="158"/>
      <c r="N59" s="127"/>
      <c r="O59" s="172" t="s">
        <v>274</v>
      </c>
      <c r="P59" s="136" t="s">
        <v>275</v>
      </c>
      <c r="Q59" s="157">
        <v>5</v>
      </c>
      <c r="R59" s="164" t="s">
        <v>2526</v>
      </c>
      <c r="S59" s="162" t="s">
        <v>341</v>
      </c>
      <c r="T59" s="168"/>
      <c r="U59" s="168"/>
    </row>
    <row r="60" spans="1:21" s="72" customFormat="1">
      <c r="A60" s="140" t="s">
        <v>2329</v>
      </c>
      <c r="B60" s="161" t="s">
        <v>491</v>
      </c>
      <c r="C60" s="165" t="s">
        <v>1696</v>
      </c>
      <c r="D60" s="165" t="s">
        <v>681</v>
      </c>
      <c r="E60" s="164" t="s">
        <v>2527</v>
      </c>
      <c r="F60" s="164" t="s">
        <v>2897</v>
      </c>
      <c r="G60" s="127"/>
      <c r="H60" s="166"/>
      <c r="I60" s="161" t="s">
        <v>53</v>
      </c>
      <c r="J60" s="157">
        <v>5</v>
      </c>
      <c r="K60" s="127"/>
      <c r="L60" s="154"/>
      <c r="M60" s="158"/>
      <c r="N60" s="127"/>
      <c r="O60" s="172" t="s">
        <v>274</v>
      </c>
      <c r="P60" s="136" t="s">
        <v>275</v>
      </c>
      <c r="Q60" s="157">
        <v>5</v>
      </c>
      <c r="R60" s="164" t="s">
        <v>2527</v>
      </c>
      <c r="S60" s="162" t="s">
        <v>341</v>
      </c>
      <c r="T60" s="168"/>
      <c r="U60" s="168"/>
    </row>
    <row r="61" spans="1:21" s="72" customFormat="1" ht="15" customHeight="1">
      <c r="A61" s="140" t="s">
        <v>2329</v>
      </c>
      <c r="B61" s="161" t="s">
        <v>491</v>
      </c>
      <c r="C61" s="165" t="s">
        <v>1696</v>
      </c>
      <c r="D61" s="165" t="s">
        <v>681</v>
      </c>
      <c r="E61" s="164" t="s">
        <v>2528</v>
      </c>
      <c r="F61" s="164" t="s">
        <v>2898</v>
      </c>
      <c r="G61" s="127"/>
      <c r="H61" s="166"/>
      <c r="I61" s="161" t="s">
        <v>53</v>
      </c>
      <c r="J61" s="157">
        <v>5</v>
      </c>
      <c r="K61" s="127"/>
      <c r="L61" s="154"/>
      <c r="M61" s="158"/>
      <c r="N61" s="127"/>
      <c r="O61" s="172" t="s">
        <v>274</v>
      </c>
      <c r="P61" s="136" t="s">
        <v>275</v>
      </c>
      <c r="Q61" s="157">
        <v>5</v>
      </c>
      <c r="R61" s="164" t="s">
        <v>2528</v>
      </c>
      <c r="S61" s="162" t="s">
        <v>341</v>
      </c>
      <c r="T61" s="168"/>
      <c r="U61" s="168"/>
    </row>
    <row r="62" spans="1:21" s="72" customFormat="1">
      <c r="A62" s="140" t="s">
        <v>2329</v>
      </c>
      <c r="B62" s="161" t="s">
        <v>491</v>
      </c>
      <c r="C62" s="165" t="s">
        <v>1696</v>
      </c>
      <c r="D62" s="165" t="s">
        <v>681</v>
      </c>
      <c r="E62" s="164" t="s">
        <v>2529</v>
      </c>
      <c r="F62" s="164" t="s">
        <v>2899</v>
      </c>
      <c r="G62" s="127"/>
      <c r="H62" s="166"/>
      <c r="I62" s="161" t="s">
        <v>53</v>
      </c>
      <c r="J62" s="157">
        <v>5</v>
      </c>
      <c r="K62" s="127"/>
      <c r="L62" s="154"/>
      <c r="M62" s="158"/>
      <c r="N62" s="127"/>
      <c r="O62" s="172" t="s">
        <v>274</v>
      </c>
      <c r="P62" s="136" t="s">
        <v>275</v>
      </c>
      <c r="Q62" s="157">
        <v>5</v>
      </c>
      <c r="R62" s="164" t="s">
        <v>2529</v>
      </c>
      <c r="S62" s="162" t="s">
        <v>341</v>
      </c>
      <c r="T62" s="168"/>
      <c r="U62" s="168"/>
    </row>
    <row r="63" spans="1:21" s="72" customFormat="1">
      <c r="A63" s="140" t="s">
        <v>2329</v>
      </c>
      <c r="B63" s="161" t="s">
        <v>491</v>
      </c>
      <c r="C63" s="165" t="s">
        <v>1696</v>
      </c>
      <c r="D63" s="165" t="s">
        <v>681</v>
      </c>
      <c r="E63" s="164" t="s">
        <v>2530</v>
      </c>
      <c r="F63" s="164" t="s">
        <v>2900</v>
      </c>
      <c r="G63" s="127"/>
      <c r="H63" s="166"/>
      <c r="I63" s="161" t="s">
        <v>53</v>
      </c>
      <c r="J63" s="157">
        <v>5</v>
      </c>
      <c r="K63" s="127"/>
      <c r="L63" s="154"/>
      <c r="M63" s="158"/>
      <c r="N63" s="127"/>
      <c r="O63" s="172" t="s">
        <v>274</v>
      </c>
      <c r="P63" s="136" t="s">
        <v>275</v>
      </c>
      <c r="Q63" s="157">
        <v>5</v>
      </c>
      <c r="R63" s="164" t="s">
        <v>2530</v>
      </c>
      <c r="S63" s="162" t="s">
        <v>341</v>
      </c>
      <c r="T63" s="168"/>
      <c r="U63" s="168"/>
    </row>
    <row r="64" spans="1:21" s="72" customFormat="1">
      <c r="A64" s="140" t="s">
        <v>2329</v>
      </c>
      <c r="B64" s="161" t="s">
        <v>491</v>
      </c>
      <c r="C64" s="165" t="s">
        <v>1696</v>
      </c>
      <c r="D64" s="165" t="s">
        <v>681</v>
      </c>
      <c r="E64" s="164" t="s">
        <v>2531</v>
      </c>
      <c r="F64" s="164" t="s">
        <v>2901</v>
      </c>
      <c r="G64" s="127"/>
      <c r="H64" s="166"/>
      <c r="I64" s="161" t="s">
        <v>53</v>
      </c>
      <c r="J64" s="157">
        <v>5</v>
      </c>
      <c r="K64" s="127"/>
      <c r="L64" s="154"/>
      <c r="M64" s="158"/>
      <c r="N64" s="127"/>
      <c r="O64" s="172" t="s">
        <v>274</v>
      </c>
      <c r="P64" s="136" t="s">
        <v>275</v>
      </c>
      <c r="Q64" s="157">
        <v>5</v>
      </c>
      <c r="R64" s="164" t="s">
        <v>2531</v>
      </c>
      <c r="S64" s="162" t="s">
        <v>341</v>
      </c>
      <c r="T64" s="168"/>
      <c r="U64" s="168"/>
    </row>
    <row r="65" spans="1:21" s="72" customFormat="1">
      <c r="A65" s="140" t="s">
        <v>2329</v>
      </c>
      <c r="B65" s="161" t="s">
        <v>491</v>
      </c>
      <c r="C65" s="165" t="s">
        <v>1696</v>
      </c>
      <c r="D65" s="165" t="s">
        <v>681</v>
      </c>
      <c r="E65" s="164" t="s">
        <v>2532</v>
      </c>
      <c r="F65" s="164" t="s">
        <v>2902</v>
      </c>
      <c r="G65" s="127"/>
      <c r="H65" s="166"/>
      <c r="I65" s="161" t="s">
        <v>53</v>
      </c>
      <c r="J65" s="157">
        <v>1</v>
      </c>
      <c r="K65" s="127"/>
      <c r="L65" s="154"/>
      <c r="M65" s="158"/>
      <c r="N65" s="127"/>
      <c r="O65" s="172" t="s">
        <v>274</v>
      </c>
      <c r="P65" s="136" t="s">
        <v>275</v>
      </c>
      <c r="Q65" s="157">
        <v>1</v>
      </c>
      <c r="R65" s="164" t="s">
        <v>2532</v>
      </c>
      <c r="S65" s="162" t="s">
        <v>341</v>
      </c>
      <c r="T65" s="168"/>
      <c r="U65" s="168"/>
    </row>
    <row r="66" spans="1:21" s="72" customFormat="1">
      <c r="A66" s="140" t="s">
        <v>2329</v>
      </c>
      <c r="B66" s="161" t="s">
        <v>491</v>
      </c>
      <c r="C66" s="165" t="s">
        <v>1696</v>
      </c>
      <c r="D66" s="165" t="s">
        <v>681</v>
      </c>
      <c r="E66" s="164" t="s">
        <v>2533</v>
      </c>
      <c r="F66" s="164" t="s">
        <v>2903</v>
      </c>
      <c r="G66" s="127"/>
      <c r="H66" s="166"/>
      <c r="I66" s="161" t="s">
        <v>53</v>
      </c>
      <c r="J66" s="157">
        <v>1</v>
      </c>
      <c r="K66" s="127"/>
      <c r="L66" s="154"/>
      <c r="M66" s="158"/>
      <c r="N66" s="127"/>
      <c r="O66" s="172" t="s">
        <v>274</v>
      </c>
      <c r="P66" s="136" t="s">
        <v>275</v>
      </c>
      <c r="Q66" s="157">
        <v>1</v>
      </c>
      <c r="R66" s="164" t="s">
        <v>2533</v>
      </c>
      <c r="S66" s="162" t="s">
        <v>341</v>
      </c>
      <c r="T66" s="168"/>
      <c r="U66" s="168"/>
    </row>
    <row r="67" spans="1:21" s="72" customFormat="1">
      <c r="A67" s="140" t="s">
        <v>2329</v>
      </c>
      <c r="B67" s="161" t="s">
        <v>491</v>
      </c>
      <c r="C67" s="165" t="s">
        <v>1696</v>
      </c>
      <c r="D67" s="165" t="s">
        <v>681</v>
      </c>
      <c r="E67" s="164" t="s">
        <v>2534</v>
      </c>
      <c r="F67" s="164" t="s">
        <v>2534</v>
      </c>
      <c r="G67" s="127"/>
      <c r="H67" s="166"/>
      <c r="I67" s="161" t="s">
        <v>53</v>
      </c>
      <c r="J67" s="157">
        <v>4</v>
      </c>
      <c r="K67" s="127"/>
      <c r="L67" s="154"/>
      <c r="M67" s="158"/>
      <c r="N67" s="127"/>
      <c r="O67" s="172" t="s">
        <v>274</v>
      </c>
      <c r="P67" s="136" t="s">
        <v>275</v>
      </c>
      <c r="Q67" s="157">
        <v>4</v>
      </c>
      <c r="R67" s="164" t="s">
        <v>2534</v>
      </c>
      <c r="S67" s="162" t="s">
        <v>341</v>
      </c>
      <c r="T67" s="168"/>
      <c r="U67" s="168"/>
    </row>
    <row r="68" spans="1:21" s="72" customFormat="1">
      <c r="A68" s="140" t="s">
        <v>2329</v>
      </c>
      <c r="B68" s="161" t="s">
        <v>491</v>
      </c>
      <c r="C68" s="165" t="s">
        <v>1696</v>
      </c>
      <c r="D68" s="165" t="s">
        <v>681</v>
      </c>
      <c r="E68" s="164" t="s">
        <v>2535</v>
      </c>
      <c r="F68" s="164" t="s">
        <v>2928</v>
      </c>
      <c r="G68" s="127"/>
      <c r="H68" s="166"/>
      <c r="I68" s="161" t="s">
        <v>68</v>
      </c>
      <c r="J68" s="157">
        <v>15</v>
      </c>
      <c r="K68" s="127"/>
      <c r="L68" s="154"/>
      <c r="M68" s="158"/>
      <c r="N68" s="127"/>
      <c r="O68" s="172" t="s">
        <v>274</v>
      </c>
      <c r="P68" s="137" t="s">
        <v>279</v>
      </c>
      <c r="Q68" s="157">
        <v>15</v>
      </c>
      <c r="R68" s="164" t="s">
        <v>2535</v>
      </c>
      <c r="S68" s="162" t="s">
        <v>341</v>
      </c>
      <c r="T68" s="168"/>
      <c r="U68" s="168"/>
    </row>
    <row r="69" spans="1:21" s="72" customFormat="1">
      <c r="A69" s="140" t="s">
        <v>2329</v>
      </c>
      <c r="B69" s="161" t="s">
        <v>491</v>
      </c>
      <c r="C69" s="165" t="s">
        <v>1696</v>
      </c>
      <c r="D69" s="165" t="s">
        <v>681</v>
      </c>
      <c r="E69" s="135" t="s">
        <v>2222</v>
      </c>
      <c r="F69" s="164" t="s">
        <v>2929</v>
      </c>
      <c r="G69" s="127"/>
      <c r="H69" s="166"/>
      <c r="I69" s="161" t="s">
        <v>53</v>
      </c>
      <c r="J69" s="172">
        <v>1</v>
      </c>
      <c r="K69" s="127"/>
      <c r="L69" s="154"/>
      <c r="M69" s="158"/>
      <c r="N69" s="127"/>
      <c r="O69" s="172" t="s">
        <v>274</v>
      </c>
      <c r="P69" s="136" t="s">
        <v>275</v>
      </c>
      <c r="Q69" s="172">
        <v>1</v>
      </c>
      <c r="R69" s="135" t="s">
        <v>2222</v>
      </c>
      <c r="S69" s="162" t="s">
        <v>341</v>
      </c>
      <c r="T69" s="168"/>
      <c r="U69" s="168"/>
    </row>
    <row r="70" spans="1:21" s="72" customFormat="1">
      <c r="A70" s="140" t="s">
        <v>2329</v>
      </c>
      <c r="B70" s="161" t="s">
        <v>491</v>
      </c>
      <c r="C70" s="165" t="s">
        <v>1696</v>
      </c>
      <c r="D70" s="165" t="s">
        <v>681</v>
      </c>
      <c r="E70" s="135" t="s">
        <v>2224</v>
      </c>
      <c r="F70" s="164" t="s">
        <v>2930</v>
      </c>
      <c r="G70" s="127"/>
      <c r="H70" s="166"/>
      <c r="I70" s="161" t="s">
        <v>53</v>
      </c>
      <c r="J70" s="172">
        <v>3</v>
      </c>
      <c r="K70" s="127"/>
      <c r="L70" s="154"/>
      <c r="M70" s="158"/>
      <c r="N70" s="127"/>
      <c r="O70" s="172" t="s">
        <v>274</v>
      </c>
      <c r="P70" s="136" t="s">
        <v>275</v>
      </c>
      <c r="Q70" s="172">
        <v>3</v>
      </c>
      <c r="R70" s="135" t="s">
        <v>2224</v>
      </c>
      <c r="S70" s="162" t="s">
        <v>341</v>
      </c>
      <c r="T70" s="168"/>
      <c r="U70" s="168"/>
    </row>
    <row r="71" spans="1:21" s="72" customFormat="1">
      <c r="A71" s="140" t="s">
        <v>2329</v>
      </c>
      <c r="B71" s="161" t="s">
        <v>491</v>
      </c>
      <c r="C71" s="165" t="s">
        <v>1696</v>
      </c>
      <c r="D71" s="165" t="s">
        <v>681</v>
      </c>
      <c r="E71" s="135" t="s">
        <v>2226</v>
      </c>
      <c r="F71" s="164" t="s">
        <v>2931</v>
      </c>
      <c r="G71" s="127"/>
      <c r="H71" s="166"/>
      <c r="I71" s="161" t="s">
        <v>68</v>
      </c>
      <c r="J71" s="157">
        <v>15</v>
      </c>
      <c r="K71" s="127"/>
      <c r="L71" s="154"/>
      <c r="M71" s="158"/>
      <c r="N71" s="127"/>
      <c r="O71" s="172" t="s">
        <v>274</v>
      </c>
      <c r="P71" s="137" t="s">
        <v>279</v>
      </c>
      <c r="Q71" s="157">
        <v>15</v>
      </c>
      <c r="R71" s="135" t="s">
        <v>2226</v>
      </c>
      <c r="S71" s="162" t="s">
        <v>341</v>
      </c>
      <c r="T71" s="168"/>
      <c r="U71" s="168"/>
    </row>
    <row r="72" spans="1:21" s="72" customFormat="1">
      <c r="A72" s="140" t="s">
        <v>2329</v>
      </c>
      <c r="B72" s="161" t="s">
        <v>491</v>
      </c>
      <c r="C72" s="165" t="s">
        <v>1696</v>
      </c>
      <c r="D72" s="165" t="s">
        <v>681</v>
      </c>
      <c r="E72" s="135" t="s">
        <v>2228</v>
      </c>
      <c r="F72" s="164" t="s">
        <v>2923</v>
      </c>
      <c r="G72" s="127"/>
      <c r="H72" s="166"/>
      <c r="I72" s="161" t="s">
        <v>53</v>
      </c>
      <c r="J72" s="172">
        <v>1</v>
      </c>
      <c r="K72" s="127"/>
      <c r="L72" s="154"/>
      <c r="M72" s="158"/>
      <c r="N72" s="127"/>
      <c r="O72" s="172" t="s">
        <v>274</v>
      </c>
      <c r="P72" s="136" t="s">
        <v>275</v>
      </c>
      <c r="Q72" s="172">
        <v>1</v>
      </c>
      <c r="R72" s="135" t="s">
        <v>2228</v>
      </c>
      <c r="S72" s="162" t="s">
        <v>341</v>
      </c>
      <c r="T72" s="168"/>
      <c r="U72" s="168"/>
    </row>
    <row r="73" spans="1:21" s="72" customFormat="1">
      <c r="A73" s="140" t="s">
        <v>2329</v>
      </c>
      <c r="B73" s="161" t="s">
        <v>491</v>
      </c>
      <c r="C73" s="165" t="s">
        <v>1696</v>
      </c>
      <c r="D73" s="165" t="s">
        <v>681</v>
      </c>
      <c r="E73" s="135" t="s">
        <v>2230</v>
      </c>
      <c r="F73" s="164" t="s">
        <v>2932</v>
      </c>
      <c r="G73" s="127"/>
      <c r="H73" s="166"/>
      <c r="I73" s="161" t="s">
        <v>53</v>
      </c>
      <c r="J73" s="172">
        <v>9</v>
      </c>
      <c r="K73" s="127"/>
      <c r="L73" s="154"/>
      <c r="M73" s="158"/>
      <c r="N73" s="127"/>
      <c r="O73" s="172" t="s">
        <v>274</v>
      </c>
      <c r="P73" s="137" t="s">
        <v>279</v>
      </c>
      <c r="Q73" s="172">
        <v>9</v>
      </c>
      <c r="R73" s="135" t="s">
        <v>2230</v>
      </c>
      <c r="S73" s="162" t="s">
        <v>341</v>
      </c>
      <c r="T73" s="168"/>
      <c r="U73" s="168"/>
    </row>
    <row r="74" spans="1:21" s="72" customFormat="1">
      <c r="A74" s="140" t="s">
        <v>2329</v>
      </c>
      <c r="B74" s="161" t="s">
        <v>491</v>
      </c>
      <c r="C74" s="165" t="s">
        <v>1696</v>
      </c>
      <c r="D74" s="165" t="s">
        <v>681</v>
      </c>
      <c r="E74" s="135" t="s">
        <v>2232</v>
      </c>
      <c r="F74" s="164" t="s">
        <v>2933</v>
      </c>
      <c r="G74" s="127"/>
      <c r="H74" s="166"/>
      <c r="I74" s="161" t="s">
        <v>53</v>
      </c>
      <c r="J74" s="172">
        <v>1</v>
      </c>
      <c r="K74" s="127"/>
      <c r="L74" s="154"/>
      <c r="M74" s="158"/>
      <c r="N74" s="127"/>
      <c r="O74" s="172" t="s">
        <v>274</v>
      </c>
      <c r="P74" s="136" t="s">
        <v>275</v>
      </c>
      <c r="Q74" s="172">
        <v>1</v>
      </c>
      <c r="R74" s="135" t="s">
        <v>2232</v>
      </c>
      <c r="S74" s="162" t="s">
        <v>341</v>
      </c>
      <c r="T74" s="168"/>
      <c r="U74" s="168"/>
    </row>
    <row r="75" spans="1:21" s="72" customFormat="1">
      <c r="A75" s="140" t="s">
        <v>2329</v>
      </c>
      <c r="B75" s="161" t="s">
        <v>491</v>
      </c>
      <c r="C75" s="165" t="s">
        <v>1696</v>
      </c>
      <c r="D75" s="165" t="s">
        <v>681</v>
      </c>
      <c r="E75" s="135" t="s">
        <v>2234</v>
      </c>
      <c r="F75" s="164" t="s">
        <v>2934</v>
      </c>
      <c r="G75" s="127"/>
      <c r="H75" s="166"/>
      <c r="I75" s="161" t="s">
        <v>53</v>
      </c>
      <c r="J75" s="172">
        <v>1</v>
      </c>
      <c r="K75" s="127"/>
      <c r="L75" s="154"/>
      <c r="M75" s="158"/>
      <c r="N75" s="127"/>
      <c r="O75" s="172" t="s">
        <v>274</v>
      </c>
      <c r="P75" s="136" t="s">
        <v>275</v>
      </c>
      <c r="Q75" s="172">
        <v>1</v>
      </c>
      <c r="R75" s="135" t="s">
        <v>2234</v>
      </c>
      <c r="S75" s="162" t="s">
        <v>341</v>
      </c>
      <c r="T75" s="168"/>
      <c r="U75" s="168"/>
    </row>
    <row r="76" spans="1:21" s="72" customFormat="1">
      <c r="A76" s="140" t="s">
        <v>2329</v>
      </c>
      <c r="B76" s="161" t="s">
        <v>491</v>
      </c>
      <c r="C76" s="165" t="s">
        <v>1696</v>
      </c>
      <c r="D76" s="165" t="s">
        <v>681</v>
      </c>
      <c r="E76" s="147" t="s">
        <v>2236</v>
      </c>
      <c r="F76" s="164" t="s">
        <v>2935</v>
      </c>
      <c r="G76" s="127"/>
      <c r="H76" s="166"/>
      <c r="I76" s="161" t="s">
        <v>53</v>
      </c>
      <c r="J76" s="172">
        <v>1</v>
      </c>
      <c r="K76" s="127"/>
      <c r="L76" s="154"/>
      <c r="M76" s="158"/>
      <c r="N76" s="127"/>
      <c r="O76" s="172" t="s">
        <v>274</v>
      </c>
      <c r="P76" s="136" t="s">
        <v>275</v>
      </c>
      <c r="Q76" s="172">
        <v>1</v>
      </c>
      <c r="R76" s="147" t="s">
        <v>2236</v>
      </c>
      <c r="S76" s="162" t="s">
        <v>341</v>
      </c>
      <c r="T76" s="168"/>
      <c r="U76" s="168"/>
    </row>
    <row r="77" spans="1:21" s="72" customFormat="1">
      <c r="A77" s="140" t="s">
        <v>2329</v>
      </c>
      <c r="B77" s="161" t="s">
        <v>491</v>
      </c>
      <c r="C77" s="165" t="s">
        <v>1696</v>
      </c>
      <c r="D77" s="165" t="s">
        <v>681</v>
      </c>
      <c r="E77" s="147" t="s">
        <v>1297</v>
      </c>
      <c r="F77" s="164" t="s">
        <v>1298</v>
      </c>
      <c r="G77" s="127"/>
      <c r="H77" s="166"/>
      <c r="I77" s="161" t="s">
        <v>68</v>
      </c>
      <c r="J77" s="172">
        <v>3</v>
      </c>
      <c r="K77" s="127"/>
      <c r="L77" s="154"/>
      <c r="M77" s="158"/>
      <c r="N77" s="127"/>
      <c r="O77" s="172" t="s">
        <v>274</v>
      </c>
      <c r="P77" s="137" t="s">
        <v>279</v>
      </c>
      <c r="Q77" s="172">
        <v>3</v>
      </c>
      <c r="R77" s="147" t="s">
        <v>1297</v>
      </c>
      <c r="S77" s="162" t="s">
        <v>341</v>
      </c>
      <c r="T77" s="168"/>
      <c r="U77" s="168"/>
    </row>
    <row r="78" spans="1:21" s="72" customFormat="1">
      <c r="A78" s="140" t="s">
        <v>2329</v>
      </c>
      <c r="B78" s="161" t="s">
        <v>491</v>
      </c>
      <c r="C78" s="165" t="s">
        <v>1696</v>
      </c>
      <c r="D78" s="165" t="s">
        <v>681</v>
      </c>
      <c r="E78" s="147" t="s">
        <v>2239</v>
      </c>
      <c r="F78" s="164" t="s">
        <v>2239</v>
      </c>
      <c r="G78" s="127"/>
      <c r="H78" s="166"/>
      <c r="I78" s="161" t="s">
        <v>53</v>
      </c>
      <c r="J78" s="172">
        <v>6</v>
      </c>
      <c r="K78" s="127"/>
      <c r="L78" s="154"/>
      <c r="M78" s="158"/>
      <c r="N78" s="127"/>
      <c r="O78" s="172" t="s">
        <v>274</v>
      </c>
      <c r="P78" s="136" t="s">
        <v>275</v>
      </c>
      <c r="Q78" s="172">
        <v>6</v>
      </c>
      <c r="R78" s="147" t="s">
        <v>2239</v>
      </c>
      <c r="S78" s="162" t="s">
        <v>341</v>
      </c>
      <c r="T78" s="168"/>
      <c r="U78" s="168"/>
    </row>
    <row r="79" spans="1:21" s="72" customFormat="1">
      <c r="A79" s="140" t="s">
        <v>2329</v>
      </c>
      <c r="B79" s="161" t="s">
        <v>491</v>
      </c>
      <c r="C79" s="165" t="s">
        <v>1696</v>
      </c>
      <c r="D79" s="165" t="s">
        <v>681</v>
      </c>
      <c r="E79" s="147" t="s">
        <v>2241</v>
      </c>
      <c r="F79" s="164" t="s">
        <v>2785</v>
      </c>
      <c r="G79" s="127"/>
      <c r="H79" s="166"/>
      <c r="I79" s="161" t="s">
        <v>68</v>
      </c>
      <c r="J79" s="157">
        <v>15</v>
      </c>
      <c r="K79" s="127"/>
      <c r="L79" s="154"/>
      <c r="M79" s="158"/>
      <c r="N79" s="127"/>
      <c r="O79" s="172" t="s">
        <v>274</v>
      </c>
      <c r="P79" s="137" t="s">
        <v>279</v>
      </c>
      <c r="Q79" s="157">
        <v>15</v>
      </c>
      <c r="R79" s="147" t="s">
        <v>2241</v>
      </c>
      <c r="S79" s="162" t="s">
        <v>341</v>
      </c>
      <c r="T79" s="168"/>
      <c r="U79" s="168"/>
    </row>
    <row r="80" spans="1:21" s="72" customFormat="1">
      <c r="A80" s="140" t="s">
        <v>2329</v>
      </c>
      <c r="B80" s="161" t="s">
        <v>491</v>
      </c>
      <c r="C80" s="165" t="s">
        <v>1696</v>
      </c>
      <c r="D80" s="165" t="s">
        <v>681</v>
      </c>
      <c r="E80" s="147" t="s">
        <v>2243</v>
      </c>
      <c r="F80" s="164" t="s">
        <v>2936</v>
      </c>
      <c r="G80" s="127"/>
      <c r="H80" s="166"/>
      <c r="I80" s="161" t="s">
        <v>68</v>
      </c>
      <c r="J80" s="172">
        <v>9</v>
      </c>
      <c r="K80" s="170">
        <v>5</v>
      </c>
      <c r="L80" s="154"/>
      <c r="M80" s="158"/>
      <c r="N80" s="127"/>
      <c r="O80" s="172" t="s">
        <v>274</v>
      </c>
      <c r="P80" s="137" t="s">
        <v>279</v>
      </c>
      <c r="Q80" s="172">
        <v>9.5</v>
      </c>
      <c r="R80" s="147" t="s">
        <v>2243</v>
      </c>
      <c r="S80" s="162" t="s">
        <v>341</v>
      </c>
      <c r="T80" s="168"/>
      <c r="U80" s="168"/>
    </row>
    <row r="81" spans="1:21" s="72" customFormat="1">
      <c r="A81" s="140" t="s">
        <v>2329</v>
      </c>
      <c r="B81" s="161" t="s">
        <v>491</v>
      </c>
      <c r="C81" s="165" t="s">
        <v>1696</v>
      </c>
      <c r="D81" s="165" t="s">
        <v>681</v>
      </c>
      <c r="E81" s="147" t="s">
        <v>2245</v>
      </c>
      <c r="F81" s="164" t="s">
        <v>2937</v>
      </c>
      <c r="G81" s="127"/>
      <c r="H81" s="166"/>
      <c r="I81" s="161" t="s">
        <v>53</v>
      </c>
      <c r="J81" s="172">
        <v>1</v>
      </c>
      <c r="K81" s="127"/>
      <c r="L81" s="154"/>
      <c r="M81" s="158"/>
      <c r="N81" s="127"/>
      <c r="O81" s="172" t="s">
        <v>274</v>
      </c>
      <c r="P81" s="136" t="s">
        <v>275</v>
      </c>
      <c r="Q81" s="172">
        <v>1</v>
      </c>
      <c r="R81" s="147" t="s">
        <v>2245</v>
      </c>
      <c r="S81" s="162" t="s">
        <v>341</v>
      </c>
      <c r="T81" s="168"/>
      <c r="U81" s="168"/>
    </row>
    <row r="82" spans="1:21" s="72" customFormat="1">
      <c r="A82" s="140" t="s">
        <v>2329</v>
      </c>
      <c r="B82" s="161" t="s">
        <v>491</v>
      </c>
      <c r="C82" s="165" t="s">
        <v>1696</v>
      </c>
      <c r="D82" s="165" t="s">
        <v>681</v>
      </c>
      <c r="E82" s="147" t="s">
        <v>2247</v>
      </c>
      <c r="F82" s="164" t="s">
        <v>2850</v>
      </c>
      <c r="G82" s="127"/>
      <c r="H82" s="166"/>
      <c r="I82" s="161" t="s">
        <v>53</v>
      </c>
      <c r="J82" s="172">
        <v>2</v>
      </c>
      <c r="K82" s="127"/>
      <c r="L82" s="154"/>
      <c r="M82" s="158"/>
      <c r="N82" s="127"/>
      <c r="O82" s="172" t="s">
        <v>274</v>
      </c>
      <c r="P82" s="136" t="s">
        <v>275</v>
      </c>
      <c r="Q82" s="172">
        <v>2</v>
      </c>
      <c r="R82" s="147" t="s">
        <v>2247</v>
      </c>
      <c r="S82" s="162" t="s">
        <v>341</v>
      </c>
      <c r="T82" s="168"/>
      <c r="U82" s="168"/>
    </row>
    <row r="83" spans="1:21" s="72" customFormat="1">
      <c r="A83" s="140" t="s">
        <v>2329</v>
      </c>
      <c r="B83" s="161" t="s">
        <v>491</v>
      </c>
      <c r="C83" s="165" t="s">
        <v>1696</v>
      </c>
      <c r="D83" s="165" t="s">
        <v>681</v>
      </c>
      <c r="E83" s="147" t="s">
        <v>2249</v>
      </c>
      <c r="F83" s="164" t="s">
        <v>2249</v>
      </c>
      <c r="G83" s="127"/>
      <c r="H83" s="166"/>
      <c r="I83" s="161" t="s">
        <v>68</v>
      </c>
      <c r="J83" s="157">
        <v>15</v>
      </c>
      <c r="K83" s="127"/>
      <c r="L83" s="154"/>
      <c r="M83" s="158"/>
      <c r="N83" s="127"/>
      <c r="O83" s="172" t="s">
        <v>274</v>
      </c>
      <c r="P83" s="137" t="s">
        <v>279</v>
      </c>
      <c r="Q83" s="157">
        <v>15</v>
      </c>
      <c r="R83" s="147" t="s">
        <v>2249</v>
      </c>
      <c r="S83" s="162" t="s">
        <v>341</v>
      </c>
      <c r="T83" s="168"/>
      <c r="U83" s="168"/>
    </row>
    <row r="84" spans="1:21" s="72" customFormat="1">
      <c r="A84" s="140" t="s">
        <v>2329</v>
      </c>
      <c r="B84" s="161" t="s">
        <v>491</v>
      </c>
      <c r="C84" s="165" t="s">
        <v>1696</v>
      </c>
      <c r="D84" s="165" t="s">
        <v>681</v>
      </c>
      <c r="E84" s="147" t="s">
        <v>2251</v>
      </c>
      <c r="F84" s="164" t="s">
        <v>2938</v>
      </c>
      <c r="G84" s="127"/>
      <c r="H84" s="166"/>
      <c r="I84" s="161" t="s">
        <v>53</v>
      </c>
      <c r="J84" s="172">
        <v>1</v>
      </c>
      <c r="K84" s="127"/>
      <c r="L84" s="154"/>
      <c r="M84" s="158"/>
      <c r="N84" s="127"/>
      <c r="O84" s="172" t="s">
        <v>274</v>
      </c>
      <c r="P84" s="136" t="s">
        <v>275</v>
      </c>
      <c r="Q84" s="172">
        <v>1</v>
      </c>
      <c r="R84" s="147" t="s">
        <v>2251</v>
      </c>
      <c r="S84" s="162" t="s">
        <v>341</v>
      </c>
      <c r="T84" s="168"/>
      <c r="U84" s="168"/>
    </row>
    <row r="85" spans="1:21" s="72" customFormat="1">
      <c r="A85" s="140" t="s">
        <v>2329</v>
      </c>
      <c r="B85" s="161" t="s">
        <v>491</v>
      </c>
      <c r="C85" s="165" t="s">
        <v>1696</v>
      </c>
      <c r="D85" s="165" t="s">
        <v>681</v>
      </c>
      <c r="E85" s="147" t="s">
        <v>2253</v>
      </c>
      <c r="F85" s="164" t="s">
        <v>2939</v>
      </c>
      <c r="G85" s="127"/>
      <c r="H85" s="166"/>
      <c r="I85" s="161" t="s">
        <v>68</v>
      </c>
      <c r="J85" s="172">
        <v>15</v>
      </c>
      <c r="K85" s="127"/>
      <c r="L85" s="154"/>
      <c r="M85" s="158"/>
      <c r="N85" s="127"/>
      <c r="O85" s="172" t="s">
        <v>274</v>
      </c>
      <c r="P85" s="137" t="s">
        <v>279</v>
      </c>
      <c r="Q85" s="172">
        <v>15</v>
      </c>
      <c r="R85" s="147" t="s">
        <v>2253</v>
      </c>
      <c r="S85" s="162" t="s">
        <v>341</v>
      </c>
      <c r="T85" s="168"/>
      <c r="U85" s="168"/>
    </row>
    <row r="86" spans="1:21" s="72" customFormat="1">
      <c r="A86" s="140" t="s">
        <v>2329</v>
      </c>
      <c r="B86" s="161" t="s">
        <v>491</v>
      </c>
      <c r="C86" s="165" t="s">
        <v>1696</v>
      </c>
      <c r="D86" s="165" t="s">
        <v>681</v>
      </c>
      <c r="E86" s="147" t="s">
        <v>2255</v>
      </c>
      <c r="F86" s="164" t="s">
        <v>2940</v>
      </c>
      <c r="G86" s="127"/>
      <c r="H86" s="166"/>
      <c r="I86" s="161" t="s">
        <v>53</v>
      </c>
      <c r="J86" s="172">
        <v>1</v>
      </c>
      <c r="K86" s="127"/>
      <c r="L86" s="154"/>
      <c r="M86" s="158"/>
      <c r="N86" s="127"/>
      <c r="O86" s="172" t="s">
        <v>274</v>
      </c>
      <c r="P86" s="136" t="s">
        <v>275</v>
      </c>
      <c r="Q86" s="172">
        <v>1</v>
      </c>
      <c r="R86" s="147" t="s">
        <v>2255</v>
      </c>
      <c r="S86" s="162" t="s">
        <v>341</v>
      </c>
      <c r="T86" s="168"/>
      <c r="U86" s="168"/>
    </row>
    <row r="87" spans="1:21" s="72" customFormat="1">
      <c r="A87" s="140" t="s">
        <v>2329</v>
      </c>
      <c r="B87" s="161" t="s">
        <v>491</v>
      </c>
      <c r="C87" s="165" t="s">
        <v>1696</v>
      </c>
      <c r="D87" s="165" t="s">
        <v>681</v>
      </c>
      <c r="E87" s="147" t="s">
        <v>2257</v>
      </c>
      <c r="F87" s="164" t="s">
        <v>2941</v>
      </c>
      <c r="G87" s="127"/>
      <c r="H87" s="166"/>
      <c r="I87" s="161" t="s">
        <v>68</v>
      </c>
      <c r="J87" s="172">
        <v>15</v>
      </c>
      <c r="K87" s="127"/>
      <c r="L87" s="154"/>
      <c r="M87" s="158"/>
      <c r="N87" s="127"/>
      <c r="O87" s="172" t="s">
        <v>274</v>
      </c>
      <c r="P87" s="137" t="s">
        <v>279</v>
      </c>
      <c r="Q87" s="172">
        <v>15</v>
      </c>
      <c r="R87" s="147" t="s">
        <v>2257</v>
      </c>
      <c r="S87" s="162" t="s">
        <v>341</v>
      </c>
      <c r="T87" s="168"/>
      <c r="U87" s="168"/>
    </row>
    <row r="88" spans="1:21" s="72" customFormat="1">
      <c r="A88" s="140" t="s">
        <v>2329</v>
      </c>
      <c r="B88" s="161" t="s">
        <v>491</v>
      </c>
      <c r="C88" s="165" t="s">
        <v>1696</v>
      </c>
      <c r="D88" s="165" t="s">
        <v>681</v>
      </c>
      <c r="E88" s="147" t="s">
        <v>2259</v>
      </c>
      <c r="F88" s="164" t="s">
        <v>2942</v>
      </c>
      <c r="G88" s="127"/>
      <c r="H88" s="166"/>
      <c r="I88" s="161" t="s">
        <v>53</v>
      </c>
      <c r="J88" s="172">
        <v>1</v>
      </c>
      <c r="K88" s="127"/>
      <c r="L88" s="154"/>
      <c r="M88" s="158"/>
      <c r="N88" s="127"/>
      <c r="O88" s="172" t="s">
        <v>274</v>
      </c>
      <c r="P88" s="136" t="s">
        <v>275</v>
      </c>
      <c r="Q88" s="172">
        <v>1</v>
      </c>
      <c r="R88" s="147" t="s">
        <v>2259</v>
      </c>
      <c r="S88" s="162" t="s">
        <v>341</v>
      </c>
      <c r="T88" s="168"/>
      <c r="U88" s="168"/>
    </row>
    <row r="89" spans="1:21" s="72" customFormat="1">
      <c r="A89" s="140" t="s">
        <v>2329</v>
      </c>
      <c r="B89" s="161" t="s">
        <v>491</v>
      </c>
      <c r="C89" s="165" t="s">
        <v>1696</v>
      </c>
      <c r="D89" s="165" t="s">
        <v>681</v>
      </c>
      <c r="E89" s="147" t="s">
        <v>2261</v>
      </c>
      <c r="F89" s="164" t="s">
        <v>7</v>
      </c>
      <c r="G89" s="127"/>
      <c r="H89" s="166"/>
      <c r="I89" s="161" t="s">
        <v>53</v>
      </c>
      <c r="J89" s="172">
        <v>1</v>
      </c>
      <c r="K89" s="127"/>
      <c r="L89" s="154"/>
      <c r="M89" s="158"/>
      <c r="N89" s="127"/>
      <c r="O89" s="172" t="s">
        <v>274</v>
      </c>
      <c r="P89" s="136" t="s">
        <v>275</v>
      </c>
      <c r="Q89" s="172">
        <v>1</v>
      </c>
      <c r="R89" s="147" t="s">
        <v>2261</v>
      </c>
      <c r="S89" s="162" t="s">
        <v>341</v>
      </c>
      <c r="T89" s="168"/>
      <c r="U89" s="168"/>
    </row>
    <row r="90" spans="1:21" s="72" customFormat="1">
      <c r="A90" s="140" t="s">
        <v>2329</v>
      </c>
      <c r="B90" s="161" t="s">
        <v>491</v>
      </c>
      <c r="C90" s="165" t="s">
        <v>1696</v>
      </c>
      <c r="D90" s="165" t="s">
        <v>681</v>
      </c>
      <c r="E90" s="147" t="s">
        <v>2263</v>
      </c>
      <c r="F90" s="164" t="s">
        <v>735</v>
      </c>
      <c r="G90" s="127"/>
      <c r="H90" s="166"/>
      <c r="I90" s="161" t="s">
        <v>68</v>
      </c>
      <c r="J90" s="172">
        <v>15</v>
      </c>
      <c r="K90" s="127"/>
      <c r="L90" s="154"/>
      <c r="M90" s="158"/>
      <c r="N90" s="127"/>
      <c r="O90" s="172" t="s">
        <v>274</v>
      </c>
      <c r="P90" s="137" t="s">
        <v>279</v>
      </c>
      <c r="Q90" s="172">
        <v>15</v>
      </c>
      <c r="R90" s="147" t="s">
        <v>2263</v>
      </c>
      <c r="S90" s="162" t="s">
        <v>341</v>
      </c>
      <c r="T90" s="168"/>
      <c r="U90" s="168"/>
    </row>
    <row r="91" spans="1:21" s="72" customFormat="1">
      <c r="A91" s="140" t="s">
        <v>2329</v>
      </c>
      <c r="B91" s="161" t="s">
        <v>491</v>
      </c>
      <c r="C91" s="165" t="s">
        <v>1696</v>
      </c>
      <c r="D91" s="165" t="s">
        <v>681</v>
      </c>
      <c r="E91" s="147" t="s">
        <v>2265</v>
      </c>
      <c r="F91" s="164" t="s">
        <v>2943</v>
      </c>
      <c r="G91" s="127"/>
      <c r="H91" s="166"/>
      <c r="I91" s="161" t="s">
        <v>68</v>
      </c>
      <c r="J91" s="172">
        <v>15</v>
      </c>
      <c r="K91" s="127"/>
      <c r="L91" s="154"/>
      <c r="M91" s="158"/>
      <c r="N91" s="127"/>
      <c r="O91" s="172" t="s">
        <v>274</v>
      </c>
      <c r="P91" s="137" t="s">
        <v>279</v>
      </c>
      <c r="Q91" s="172">
        <v>15</v>
      </c>
      <c r="R91" s="147" t="s">
        <v>2265</v>
      </c>
      <c r="S91" s="162" t="s">
        <v>341</v>
      </c>
      <c r="T91" s="168"/>
      <c r="U91" s="168"/>
    </row>
    <row r="92" spans="1:21" s="72" customFormat="1">
      <c r="A92" s="140" t="s">
        <v>2329</v>
      </c>
      <c r="B92" s="161" t="s">
        <v>491</v>
      </c>
      <c r="C92" s="165" t="s">
        <v>1696</v>
      </c>
      <c r="D92" s="165" t="s">
        <v>681</v>
      </c>
      <c r="E92" s="145" t="s">
        <v>2536</v>
      </c>
      <c r="F92" s="164" t="s">
        <v>2905</v>
      </c>
      <c r="G92" s="127"/>
      <c r="H92" s="166"/>
      <c r="I92" s="161" t="s">
        <v>53</v>
      </c>
      <c r="J92" s="172">
        <v>3</v>
      </c>
      <c r="K92" s="127"/>
      <c r="L92" s="154"/>
      <c r="M92" s="158"/>
      <c r="N92" s="127"/>
      <c r="O92" s="172" t="s">
        <v>274</v>
      </c>
      <c r="P92" s="136" t="s">
        <v>275</v>
      </c>
      <c r="Q92" s="172">
        <v>3</v>
      </c>
      <c r="R92" s="145" t="s">
        <v>2536</v>
      </c>
      <c r="S92" s="162" t="s">
        <v>341</v>
      </c>
      <c r="T92" s="168"/>
      <c r="U92" s="168"/>
    </row>
    <row r="93" spans="1:21" s="72" customFormat="1">
      <c r="A93" s="140" t="s">
        <v>2329</v>
      </c>
      <c r="B93" s="161" t="s">
        <v>491</v>
      </c>
      <c r="C93" s="165" t="s">
        <v>1696</v>
      </c>
      <c r="D93" s="165" t="s">
        <v>681</v>
      </c>
      <c r="E93" s="145" t="s">
        <v>2537</v>
      </c>
      <c r="F93" s="164" t="s">
        <v>2944</v>
      </c>
      <c r="G93" s="127"/>
      <c r="H93" s="166"/>
      <c r="I93" s="161" t="s">
        <v>68</v>
      </c>
      <c r="J93" s="172">
        <v>5</v>
      </c>
      <c r="K93" s="127"/>
      <c r="L93" s="154"/>
      <c r="M93" s="158"/>
      <c r="N93" s="127"/>
      <c r="O93" s="172" t="s">
        <v>274</v>
      </c>
      <c r="P93" s="137" t="s">
        <v>279</v>
      </c>
      <c r="Q93" s="172">
        <v>5</v>
      </c>
      <c r="R93" s="145" t="s">
        <v>2537</v>
      </c>
      <c r="S93" s="162" t="s">
        <v>341</v>
      </c>
      <c r="T93" s="168"/>
      <c r="U93" s="168"/>
    </row>
    <row r="94" spans="1:21" s="72" customFormat="1">
      <c r="A94" s="140" t="s">
        <v>2329</v>
      </c>
      <c r="B94" s="161" t="s">
        <v>491</v>
      </c>
      <c r="C94" s="165" t="s">
        <v>1696</v>
      </c>
      <c r="D94" s="165" t="s">
        <v>681</v>
      </c>
      <c r="E94" s="145" t="s">
        <v>2538</v>
      </c>
      <c r="F94" s="164" t="s">
        <v>2945</v>
      </c>
      <c r="G94" s="127"/>
      <c r="H94" s="166"/>
      <c r="I94" s="161" t="s">
        <v>68</v>
      </c>
      <c r="J94" s="172">
        <v>15</v>
      </c>
      <c r="K94" s="127"/>
      <c r="L94" s="154"/>
      <c r="M94" s="158"/>
      <c r="N94" s="127"/>
      <c r="O94" s="172" t="s">
        <v>274</v>
      </c>
      <c r="P94" s="137" t="s">
        <v>279</v>
      </c>
      <c r="Q94" s="172">
        <v>15</v>
      </c>
      <c r="R94" s="145" t="s">
        <v>2538</v>
      </c>
      <c r="S94" s="162" t="s">
        <v>341</v>
      </c>
      <c r="T94" s="168"/>
      <c r="U94" s="168"/>
    </row>
    <row r="95" spans="1:21" s="72" customFormat="1">
      <c r="A95" s="140" t="s">
        <v>2329</v>
      </c>
      <c r="B95" s="161" t="s">
        <v>491</v>
      </c>
      <c r="C95" s="165" t="s">
        <v>1696</v>
      </c>
      <c r="D95" s="165" t="s">
        <v>681</v>
      </c>
      <c r="E95" s="145" t="s">
        <v>2539</v>
      </c>
      <c r="F95" s="164" t="s">
        <v>2946</v>
      </c>
      <c r="G95" s="127"/>
      <c r="H95" s="166"/>
      <c r="I95" s="161" t="s">
        <v>53</v>
      </c>
      <c r="J95" s="172">
        <v>1</v>
      </c>
      <c r="K95" s="127"/>
      <c r="L95" s="154"/>
      <c r="M95" s="158"/>
      <c r="N95" s="127"/>
      <c r="O95" s="172" t="s">
        <v>274</v>
      </c>
      <c r="P95" s="136" t="s">
        <v>275</v>
      </c>
      <c r="Q95" s="172">
        <v>1</v>
      </c>
      <c r="R95" s="145" t="s">
        <v>2539</v>
      </c>
      <c r="S95" s="162" t="s">
        <v>341</v>
      </c>
      <c r="T95" s="168"/>
      <c r="U95" s="168"/>
    </row>
    <row r="96" spans="1:21" s="72" customFormat="1">
      <c r="A96" s="140" t="s">
        <v>2329</v>
      </c>
      <c r="B96" s="161" t="s">
        <v>491</v>
      </c>
      <c r="C96" s="165" t="s">
        <v>1696</v>
      </c>
      <c r="D96" s="165" t="s">
        <v>681</v>
      </c>
      <c r="E96" s="145" t="s">
        <v>734</v>
      </c>
      <c r="F96" s="164" t="s">
        <v>734</v>
      </c>
      <c r="G96" s="127"/>
      <c r="H96" s="166"/>
      <c r="I96" s="161" t="s">
        <v>68</v>
      </c>
      <c r="J96" s="172">
        <v>15</v>
      </c>
      <c r="K96" s="127"/>
      <c r="L96" s="154"/>
      <c r="M96" s="158"/>
      <c r="N96" s="127"/>
      <c r="O96" s="172" t="s">
        <v>274</v>
      </c>
      <c r="P96" s="137" t="s">
        <v>279</v>
      </c>
      <c r="Q96" s="172">
        <v>15</v>
      </c>
      <c r="R96" s="145" t="s">
        <v>734</v>
      </c>
      <c r="S96" s="162" t="s">
        <v>341</v>
      </c>
      <c r="T96" s="168"/>
      <c r="U96" s="168"/>
    </row>
    <row r="97" spans="1:21" s="72" customFormat="1">
      <c r="A97" s="140" t="s">
        <v>2329</v>
      </c>
      <c r="B97" s="161" t="s">
        <v>491</v>
      </c>
      <c r="C97" s="165" t="s">
        <v>1696</v>
      </c>
      <c r="D97" s="165" t="s">
        <v>681</v>
      </c>
      <c r="E97" s="164" t="s">
        <v>2540</v>
      </c>
      <c r="F97" s="164" t="s">
        <v>2947</v>
      </c>
      <c r="G97" s="127"/>
      <c r="H97" s="166"/>
      <c r="I97" s="161" t="s">
        <v>53</v>
      </c>
      <c r="J97" s="172">
        <v>2</v>
      </c>
      <c r="K97" s="127"/>
      <c r="L97" s="154"/>
      <c r="M97" s="158"/>
      <c r="N97" s="127"/>
      <c r="O97" s="172" t="s">
        <v>274</v>
      </c>
      <c r="P97" s="136" t="s">
        <v>275</v>
      </c>
      <c r="Q97" s="172">
        <v>2</v>
      </c>
      <c r="R97" s="164" t="s">
        <v>2540</v>
      </c>
      <c r="S97" s="162" t="s">
        <v>341</v>
      </c>
      <c r="T97" s="168"/>
      <c r="U97" s="168"/>
    </row>
    <row r="98" spans="1:21" s="72" customFormat="1" ht="16.5">
      <c r="A98" s="140" t="s">
        <v>2329</v>
      </c>
      <c r="B98" s="161" t="s">
        <v>491</v>
      </c>
      <c r="C98" s="165" t="s">
        <v>1696</v>
      </c>
      <c r="D98" s="165" t="s">
        <v>681</v>
      </c>
      <c r="E98" s="145" t="s">
        <v>2541</v>
      </c>
      <c r="F98" s="164" t="s">
        <v>2948</v>
      </c>
      <c r="G98" s="127"/>
      <c r="H98" s="166"/>
      <c r="I98" s="161" t="s">
        <v>53</v>
      </c>
      <c r="J98" s="172">
        <v>2</v>
      </c>
      <c r="K98" s="127"/>
      <c r="L98" s="154"/>
      <c r="M98" s="158"/>
      <c r="N98" s="127"/>
      <c r="O98" s="172" t="s">
        <v>274</v>
      </c>
      <c r="P98" s="136" t="s">
        <v>275</v>
      </c>
      <c r="Q98" s="172">
        <v>2</v>
      </c>
      <c r="R98" s="145" t="s">
        <v>2541</v>
      </c>
      <c r="S98" s="162" t="s">
        <v>341</v>
      </c>
      <c r="T98" s="168"/>
      <c r="U98" s="168"/>
    </row>
    <row r="99" spans="1:21" s="72" customFormat="1" ht="16.5">
      <c r="A99" s="140" t="s">
        <v>2329</v>
      </c>
      <c r="B99" s="161" t="s">
        <v>491</v>
      </c>
      <c r="C99" s="165" t="s">
        <v>1696</v>
      </c>
      <c r="D99" s="165" t="s">
        <v>681</v>
      </c>
      <c r="E99" s="145" t="s">
        <v>2542</v>
      </c>
      <c r="F99" s="164" t="s">
        <v>2949</v>
      </c>
      <c r="G99" s="127"/>
      <c r="H99" s="166"/>
      <c r="I99" s="161" t="s">
        <v>53</v>
      </c>
      <c r="J99" s="172">
        <v>2</v>
      </c>
      <c r="K99" s="127"/>
      <c r="L99" s="154"/>
      <c r="M99" s="158"/>
      <c r="N99" s="127"/>
      <c r="O99" s="172" t="s">
        <v>274</v>
      </c>
      <c r="P99" s="136" t="s">
        <v>275</v>
      </c>
      <c r="Q99" s="172">
        <v>2</v>
      </c>
      <c r="R99" s="145" t="s">
        <v>2542</v>
      </c>
      <c r="S99" s="162" t="s">
        <v>341</v>
      </c>
      <c r="T99" s="168"/>
      <c r="U99" s="168"/>
    </row>
    <row r="100" spans="1:21" s="72" customFormat="1">
      <c r="A100" s="140" t="s">
        <v>2329</v>
      </c>
      <c r="B100" s="161" t="s">
        <v>491</v>
      </c>
      <c r="C100" s="165" t="s">
        <v>1696</v>
      </c>
      <c r="D100" s="165" t="s">
        <v>681</v>
      </c>
      <c r="E100" s="164" t="s">
        <v>2817</v>
      </c>
      <c r="F100" s="164" t="s">
        <v>2950</v>
      </c>
      <c r="G100" s="127"/>
      <c r="H100" s="166"/>
      <c r="I100" s="161" t="s">
        <v>53</v>
      </c>
      <c r="J100" s="172">
        <v>2</v>
      </c>
      <c r="K100" s="127"/>
      <c r="L100" s="154"/>
      <c r="M100" s="158"/>
      <c r="N100" s="127"/>
      <c r="O100" s="172" t="s">
        <v>274</v>
      </c>
      <c r="P100" s="136" t="s">
        <v>275</v>
      </c>
      <c r="Q100" s="172">
        <v>2</v>
      </c>
      <c r="R100" s="164" t="s">
        <v>2543</v>
      </c>
      <c r="S100" s="162" t="s">
        <v>341</v>
      </c>
      <c r="T100" s="168"/>
      <c r="U100" s="168"/>
    </row>
    <row r="101" spans="1:21" s="72" customFormat="1">
      <c r="A101" s="140" t="s">
        <v>2329</v>
      </c>
      <c r="B101" s="161" t="s">
        <v>491</v>
      </c>
      <c r="C101" s="165" t="s">
        <v>1696</v>
      </c>
      <c r="D101" s="165" t="s">
        <v>681</v>
      </c>
      <c r="E101" s="164" t="s">
        <v>2544</v>
      </c>
      <c r="F101" s="164" t="s">
        <v>2951</v>
      </c>
      <c r="G101" s="127"/>
      <c r="H101" s="166"/>
      <c r="I101" s="161" t="s">
        <v>53</v>
      </c>
      <c r="J101" s="172">
        <v>2</v>
      </c>
      <c r="K101" s="127"/>
      <c r="L101" s="154"/>
      <c r="M101" s="158"/>
      <c r="N101" s="127"/>
      <c r="O101" s="172" t="s">
        <v>274</v>
      </c>
      <c r="P101" s="136" t="s">
        <v>275</v>
      </c>
      <c r="Q101" s="172">
        <v>2</v>
      </c>
      <c r="R101" s="164" t="s">
        <v>2544</v>
      </c>
      <c r="S101" s="162" t="s">
        <v>341</v>
      </c>
      <c r="T101" s="168"/>
      <c r="U101" s="168"/>
    </row>
    <row r="102" spans="1:21" s="72" customFormat="1">
      <c r="A102" s="140" t="s">
        <v>2329</v>
      </c>
      <c r="B102" s="161" t="s">
        <v>491</v>
      </c>
      <c r="C102" s="165" t="s">
        <v>1696</v>
      </c>
      <c r="D102" s="165" t="s">
        <v>681</v>
      </c>
      <c r="E102" s="164" t="s">
        <v>2545</v>
      </c>
      <c r="F102" s="164" t="s">
        <v>2952</v>
      </c>
      <c r="G102" s="127"/>
      <c r="H102" s="166"/>
      <c r="I102" s="161" t="s">
        <v>53</v>
      </c>
      <c r="J102" s="172">
        <v>2</v>
      </c>
      <c r="K102" s="127"/>
      <c r="L102" s="154"/>
      <c r="M102" s="158"/>
      <c r="N102" s="127"/>
      <c r="O102" s="172" t="s">
        <v>274</v>
      </c>
      <c r="P102" s="136" t="s">
        <v>275</v>
      </c>
      <c r="Q102" s="172">
        <v>2</v>
      </c>
      <c r="R102" s="164" t="s">
        <v>2545</v>
      </c>
      <c r="S102" s="162" t="s">
        <v>341</v>
      </c>
      <c r="T102" s="168"/>
      <c r="U102" s="168"/>
    </row>
    <row r="103" spans="1:21" s="72" customFormat="1">
      <c r="A103" s="140" t="s">
        <v>2329</v>
      </c>
      <c r="B103" s="161" t="s">
        <v>491</v>
      </c>
      <c r="C103" s="165" t="s">
        <v>1696</v>
      </c>
      <c r="D103" s="165" t="s">
        <v>681</v>
      </c>
      <c r="E103" s="164" t="s">
        <v>2546</v>
      </c>
      <c r="F103" s="164" t="s">
        <v>2953</v>
      </c>
      <c r="G103" s="127"/>
      <c r="H103" s="166"/>
      <c r="I103" s="161" t="s">
        <v>53</v>
      </c>
      <c r="J103" s="172">
        <v>1</v>
      </c>
      <c r="K103" s="127"/>
      <c r="L103" s="154"/>
      <c r="M103" s="158"/>
      <c r="N103" s="127"/>
      <c r="O103" s="172" t="s">
        <v>274</v>
      </c>
      <c r="P103" s="136" t="s">
        <v>275</v>
      </c>
      <c r="Q103" s="172">
        <v>1</v>
      </c>
      <c r="R103" s="164" t="s">
        <v>2546</v>
      </c>
      <c r="S103" s="162" t="s">
        <v>341</v>
      </c>
      <c r="T103" s="168"/>
      <c r="U103" s="168"/>
    </row>
    <row r="104" spans="1:21" s="72" customFormat="1">
      <c r="A104" s="140" t="s">
        <v>2329</v>
      </c>
      <c r="B104" s="161" t="s">
        <v>491</v>
      </c>
      <c r="C104" s="165" t="s">
        <v>1696</v>
      </c>
      <c r="D104" s="165" t="s">
        <v>681</v>
      </c>
      <c r="E104" s="164" t="s">
        <v>2547</v>
      </c>
      <c r="F104" s="164" t="s">
        <v>2954</v>
      </c>
      <c r="G104" s="127"/>
      <c r="H104" s="166"/>
      <c r="I104" s="161" t="s">
        <v>68</v>
      </c>
      <c r="J104" s="172">
        <v>15</v>
      </c>
      <c r="K104" s="127"/>
      <c r="L104" s="154"/>
      <c r="M104" s="158"/>
      <c r="N104" s="127"/>
      <c r="O104" s="172" t="s">
        <v>274</v>
      </c>
      <c r="P104" s="137" t="s">
        <v>279</v>
      </c>
      <c r="Q104" s="172">
        <v>15</v>
      </c>
      <c r="R104" s="164" t="s">
        <v>2547</v>
      </c>
      <c r="S104" s="162" t="s">
        <v>341</v>
      </c>
      <c r="T104" s="168"/>
      <c r="U104" s="168"/>
    </row>
    <row r="105" spans="1:21" s="72" customFormat="1">
      <c r="A105" s="140" t="s">
        <v>2329</v>
      </c>
      <c r="B105" s="161" t="s">
        <v>491</v>
      </c>
      <c r="C105" s="165" t="s">
        <v>1696</v>
      </c>
      <c r="D105" s="165" t="s">
        <v>681</v>
      </c>
      <c r="E105" s="164" t="s">
        <v>2548</v>
      </c>
      <c r="F105" s="164" t="s">
        <v>2548</v>
      </c>
      <c r="G105" s="127"/>
      <c r="H105" s="166"/>
      <c r="I105" s="161" t="s">
        <v>68</v>
      </c>
      <c r="J105" s="172">
        <v>15</v>
      </c>
      <c r="K105" s="127"/>
      <c r="L105" s="154"/>
      <c r="M105" s="158"/>
      <c r="N105" s="127"/>
      <c r="O105" s="172" t="s">
        <v>274</v>
      </c>
      <c r="P105" s="137" t="s">
        <v>279</v>
      </c>
      <c r="Q105" s="172">
        <v>15</v>
      </c>
      <c r="R105" s="164" t="s">
        <v>2548</v>
      </c>
      <c r="S105" s="162" t="s">
        <v>341</v>
      </c>
      <c r="T105" s="168"/>
      <c r="U105" s="168"/>
    </row>
    <row r="106" spans="1:21" s="72" customFormat="1">
      <c r="A106" s="2">
        <f>IF(D53=D106,A53+1,1)</f>
        <v>52</v>
      </c>
      <c r="B106" s="3" t="s">
        <v>491</v>
      </c>
      <c r="C106" s="17" t="s">
        <v>1696</v>
      </c>
      <c r="D106" s="17" t="s">
        <v>681</v>
      </c>
      <c r="E106" s="3" t="s">
        <v>217</v>
      </c>
      <c r="F106" s="6" t="s">
        <v>217</v>
      </c>
      <c r="G106" s="16"/>
      <c r="H106" s="4" t="s">
        <v>257</v>
      </c>
      <c r="I106" s="3" t="s">
        <v>68</v>
      </c>
      <c r="J106" s="2">
        <v>9</v>
      </c>
      <c r="K106" s="2">
        <v>5</v>
      </c>
      <c r="L106" s="5" t="s">
        <v>669</v>
      </c>
      <c r="M106" s="25"/>
      <c r="N106" s="16"/>
      <c r="O106" s="16" t="s">
        <v>309</v>
      </c>
      <c r="P106" s="16" t="s">
        <v>279</v>
      </c>
      <c r="Q106" s="16">
        <v>9.5</v>
      </c>
      <c r="R106" s="20" t="s">
        <v>281</v>
      </c>
      <c r="S106" s="2" t="s">
        <v>341</v>
      </c>
      <c r="T106" s="2"/>
      <c r="U106" s="2"/>
    </row>
    <row r="107" spans="1:21" s="72" customFormat="1">
      <c r="A107" s="2">
        <f t="shared" si="0"/>
        <v>53</v>
      </c>
      <c r="B107" s="3" t="s">
        <v>491</v>
      </c>
      <c r="C107" s="17" t="s">
        <v>1696</v>
      </c>
      <c r="D107" s="17" t="s">
        <v>681</v>
      </c>
      <c r="E107" s="3" t="s">
        <v>218</v>
      </c>
      <c r="F107" s="6" t="s">
        <v>218</v>
      </c>
      <c r="G107" s="16"/>
      <c r="H107" s="16"/>
      <c r="I107" s="3" t="s">
        <v>53</v>
      </c>
      <c r="J107" s="2">
        <v>1</v>
      </c>
      <c r="K107" s="16"/>
      <c r="L107" s="5" t="s">
        <v>669</v>
      </c>
      <c r="M107" s="25"/>
      <c r="N107" s="16"/>
      <c r="O107" s="16" t="s">
        <v>309</v>
      </c>
      <c r="P107" s="16" t="s">
        <v>275</v>
      </c>
      <c r="Q107" s="16">
        <v>1</v>
      </c>
      <c r="R107" s="20" t="s">
        <v>310</v>
      </c>
      <c r="S107" s="2" t="s">
        <v>341</v>
      </c>
      <c r="T107" s="2"/>
      <c r="U107" s="2"/>
    </row>
    <row r="108" spans="1:21" s="72" customFormat="1">
      <c r="A108" s="2">
        <f t="shared" si="0"/>
        <v>54</v>
      </c>
      <c r="B108" s="3" t="s">
        <v>491</v>
      </c>
      <c r="C108" s="17" t="s">
        <v>1696</v>
      </c>
      <c r="D108" s="17" t="s">
        <v>681</v>
      </c>
      <c r="E108" s="3" t="s">
        <v>23</v>
      </c>
      <c r="F108" s="6" t="s">
        <v>1613</v>
      </c>
      <c r="G108" s="16"/>
      <c r="H108" s="16"/>
      <c r="I108" s="3" t="s">
        <v>53</v>
      </c>
      <c r="J108" s="2">
        <v>1</v>
      </c>
      <c r="K108" s="16"/>
      <c r="L108" s="5" t="s">
        <v>669</v>
      </c>
      <c r="M108" s="25"/>
      <c r="N108" s="16"/>
      <c r="O108" s="16" t="s">
        <v>309</v>
      </c>
      <c r="P108" s="16" t="s">
        <v>275</v>
      </c>
      <c r="Q108" s="16">
        <v>1</v>
      </c>
      <c r="R108" s="20" t="s">
        <v>23</v>
      </c>
      <c r="S108" s="2" t="s">
        <v>341</v>
      </c>
      <c r="T108" s="2"/>
      <c r="U108" s="2"/>
    </row>
    <row r="109" spans="1:21" s="72" customFormat="1">
      <c r="A109" s="2">
        <f t="shared" si="0"/>
        <v>55</v>
      </c>
      <c r="B109" s="3" t="s">
        <v>491</v>
      </c>
      <c r="C109" s="17" t="s">
        <v>1696</v>
      </c>
      <c r="D109" s="17" t="s">
        <v>681</v>
      </c>
      <c r="E109" s="3" t="s">
        <v>219</v>
      </c>
      <c r="F109" s="6" t="s">
        <v>1614</v>
      </c>
      <c r="G109" s="16"/>
      <c r="H109" s="4" t="s">
        <v>257</v>
      </c>
      <c r="I109" s="3" t="s">
        <v>68</v>
      </c>
      <c r="J109" s="2">
        <v>15</v>
      </c>
      <c r="K109" s="16"/>
      <c r="L109" s="5" t="s">
        <v>669</v>
      </c>
      <c r="M109" s="25"/>
      <c r="N109" s="16"/>
      <c r="O109" s="16" t="s">
        <v>309</v>
      </c>
      <c r="P109" s="16" t="s">
        <v>279</v>
      </c>
      <c r="Q109" s="16">
        <v>15</v>
      </c>
      <c r="R109" s="20" t="s">
        <v>311</v>
      </c>
      <c r="S109" s="2" t="s">
        <v>341</v>
      </c>
      <c r="T109" s="2"/>
      <c r="U109" s="2"/>
    </row>
    <row r="110" spans="1:21" s="72" customFormat="1">
      <c r="A110" s="2">
        <f t="shared" si="0"/>
        <v>56</v>
      </c>
      <c r="B110" s="3" t="s">
        <v>491</v>
      </c>
      <c r="C110" s="17" t="s">
        <v>1696</v>
      </c>
      <c r="D110" s="17" t="s">
        <v>681</v>
      </c>
      <c r="E110" s="3" t="s">
        <v>220</v>
      </c>
      <c r="F110" s="6" t="s">
        <v>1615</v>
      </c>
      <c r="G110" s="16"/>
      <c r="H110" s="4" t="s">
        <v>257</v>
      </c>
      <c r="I110" s="3" t="s">
        <v>68</v>
      </c>
      <c r="J110" s="2">
        <v>15</v>
      </c>
      <c r="K110" s="16"/>
      <c r="L110" s="5" t="s">
        <v>669</v>
      </c>
      <c r="M110" s="25"/>
      <c r="N110" s="16"/>
      <c r="O110" s="16" t="s">
        <v>309</v>
      </c>
      <c r="P110" s="16" t="s">
        <v>279</v>
      </c>
      <c r="Q110" s="16">
        <v>15</v>
      </c>
      <c r="R110" s="20" t="s">
        <v>312</v>
      </c>
      <c r="S110" s="2" t="s">
        <v>341</v>
      </c>
      <c r="T110" s="2"/>
      <c r="U110" s="2"/>
    </row>
    <row r="111" spans="1:21" s="72" customFormat="1">
      <c r="A111" s="2">
        <f t="shared" si="0"/>
        <v>57</v>
      </c>
      <c r="B111" s="3" t="s">
        <v>491</v>
      </c>
      <c r="C111" s="17" t="s">
        <v>1696</v>
      </c>
      <c r="D111" s="17" t="s">
        <v>681</v>
      </c>
      <c r="E111" s="3" t="s">
        <v>221</v>
      </c>
      <c r="F111" s="104" t="s">
        <v>1616</v>
      </c>
      <c r="G111" s="16"/>
      <c r="H111" s="16"/>
      <c r="I111" s="3" t="s">
        <v>53</v>
      </c>
      <c r="J111" s="2">
        <v>2</v>
      </c>
      <c r="K111" s="16"/>
      <c r="L111" s="5" t="s">
        <v>669</v>
      </c>
      <c r="M111" s="25"/>
      <c r="N111" s="16"/>
      <c r="O111" s="16" t="s">
        <v>309</v>
      </c>
      <c r="P111" s="16" t="s">
        <v>275</v>
      </c>
      <c r="Q111" s="16">
        <v>2</v>
      </c>
      <c r="R111" s="20" t="s">
        <v>313</v>
      </c>
      <c r="S111" s="2" t="s">
        <v>341</v>
      </c>
      <c r="T111" s="2"/>
      <c r="U111" s="2"/>
    </row>
    <row r="112" spans="1:21" s="72" customFormat="1">
      <c r="A112" s="2">
        <f t="shared" si="0"/>
        <v>58</v>
      </c>
      <c r="B112" s="3" t="s">
        <v>491</v>
      </c>
      <c r="C112" s="17" t="s">
        <v>1696</v>
      </c>
      <c r="D112" s="17" t="s">
        <v>681</v>
      </c>
      <c r="E112" s="3" t="s">
        <v>222</v>
      </c>
      <c r="F112" s="6" t="s">
        <v>1688</v>
      </c>
      <c r="G112" s="16"/>
      <c r="H112" s="4" t="s">
        <v>257</v>
      </c>
      <c r="I112" s="3" t="s">
        <v>68</v>
      </c>
      <c r="J112" s="2">
        <v>5</v>
      </c>
      <c r="K112" s="16"/>
      <c r="L112" s="5" t="s">
        <v>669</v>
      </c>
      <c r="M112" s="25"/>
      <c r="N112" s="16"/>
      <c r="O112" s="16" t="s">
        <v>309</v>
      </c>
      <c r="P112" s="16" t="s">
        <v>279</v>
      </c>
      <c r="Q112" s="16">
        <v>5</v>
      </c>
      <c r="R112" s="20" t="s">
        <v>293</v>
      </c>
      <c r="S112" s="2" t="s">
        <v>341</v>
      </c>
      <c r="T112" s="2"/>
      <c r="U112" s="2"/>
    </row>
    <row r="113" spans="1:21" s="72" customFormat="1">
      <c r="A113" s="2">
        <f t="shared" si="0"/>
        <v>59</v>
      </c>
      <c r="B113" s="3" t="s">
        <v>491</v>
      </c>
      <c r="C113" s="17" t="s">
        <v>1696</v>
      </c>
      <c r="D113" s="17" t="s">
        <v>681</v>
      </c>
      <c r="E113" s="3" t="s">
        <v>223</v>
      </c>
      <c r="F113" s="6" t="s">
        <v>1617</v>
      </c>
      <c r="G113" s="16"/>
      <c r="H113" s="16"/>
      <c r="I113" s="3" t="s">
        <v>53</v>
      </c>
      <c r="J113" s="2">
        <v>2</v>
      </c>
      <c r="K113" s="16"/>
      <c r="L113" s="5" t="s">
        <v>669</v>
      </c>
      <c r="M113" s="25"/>
      <c r="N113" s="16"/>
      <c r="O113" s="16" t="s">
        <v>309</v>
      </c>
      <c r="P113" s="16" t="s">
        <v>275</v>
      </c>
      <c r="Q113" s="16">
        <v>2</v>
      </c>
      <c r="R113" s="20" t="s">
        <v>314</v>
      </c>
      <c r="S113" s="2" t="s">
        <v>341</v>
      </c>
      <c r="T113" s="2"/>
      <c r="U113" s="2"/>
    </row>
    <row r="114" spans="1:21" s="72" customFormat="1">
      <c r="A114" s="2">
        <f t="shared" si="0"/>
        <v>60</v>
      </c>
      <c r="B114" s="3" t="s">
        <v>491</v>
      </c>
      <c r="C114" s="17" t="s">
        <v>1696</v>
      </c>
      <c r="D114" s="17" t="s">
        <v>681</v>
      </c>
      <c r="E114" s="3" t="s">
        <v>24</v>
      </c>
      <c r="F114" s="6" t="s">
        <v>1618</v>
      </c>
      <c r="G114" s="16"/>
      <c r="H114" s="16"/>
      <c r="I114" s="3" t="s">
        <v>53</v>
      </c>
      <c r="J114" s="2">
        <v>1</v>
      </c>
      <c r="K114" s="16"/>
      <c r="L114" s="5" t="s">
        <v>669</v>
      </c>
      <c r="M114" s="25"/>
      <c r="N114" s="16"/>
      <c r="O114" s="16" t="s">
        <v>283</v>
      </c>
      <c r="P114" s="16" t="s">
        <v>275</v>
      </c>
      <c r="Q114" s="16">
        <v>1</v>
      </c>
      <c r="R114" s="20" t="s">
        <v>24</v>
      </c>
      <c r="S114" s="2" t="s">
        <v>341</v>
      </c>
      <c r="T114" s="2"/>
      <c r="U114" s="2"/>
    </row>
    <row r="115" spans="1:21" s="72" customFormat="1">
      <c r="A115" s="2">
        <f t="shared" si="0"/>
        <v>61</v>
      </c>
      <c r="B115" s="3" t="s">
        <v>491</v>
      </c>
      <c r="C115" s="17" t="s">
        <v>1696</v>
      </c>
      <c r="D115" s="17" t="s">
        <v>681</v>
      </c>
      <c r="E115" s="3" t="s">
        <v>25</v>
      </c>
      <c r="F115" s="6" t="s">
        <v>1619</v>
      </c>
      <c r="G115" s="16"/>
      <c r="H115" s="16"/>
      <c r="I115" s="3" t="s">
        <v>53</v>
      </c>
      <c r="J115" s="2">
        <v>1</v>
      </c>
      <c r="K115" s="16"/>
      <c r="L115" s="5" t="s">
        <v>669</v>
      </c>
      <c r="M115" s="25"/>
      <c r="N115" s="16"/>
      <c r="O115" s="16" t="s">
        <v>283</v>
      </c>
      <c r="P115" s="16" t="s">
        <v>275</v>
      </c>
      <c r="Q115" s="16">
        <v>1</v>
      </c>
      <c r="R115" s="20" t="s">
        <v>25</v>
      </c>
      <c r="S115" s="2" t="s">
        <v>341</v>
      </c>
      <c r="T115" s="2"/>
      <c r="U115" s="2"/>
    </row>
    <row r="116" spans="1:21" s="72" customFormat="1">
      <c r="A116" s="2">
        <f t="shared" si="0"/>
        <v>62</v>
      </c>
      <c r="B116" s="3" t="s">
        <v>491</v>
      </c>
      <c r="C116" s="17" t="s">
        <v>1696</v>
      </c>
      <c r="D116" s="17" t="s">
        <v>681</v>
      </c>
      <c r="E116" s="3" t="s">
        <v>224</v>
      </c>
      <c r="F116" s="6" t="s">
        <v>1620</v>
      </c>
      <c r="G116" s="16"/>
      <c r="H116" s="4" t="s">
        <v>257</v>
      </c>
      <c r="I116" s="3" t="s">
        <v>68</v>
      </c>
      <c r="J116" s="2">
        <v>15</v>
      </c>
      <c r="K116" s="16"/>
      <c r="L116" s="5" t="s">
        <v>669</v>
      </c>
      <c r="M116" s="25"/>
      <c r="N116" s="16"/>
      <c r="O116" s="16" t="s">
        <v>283</v>
      </c>
      <c r="P116" s="16" t="s">
        <v>279</v>
      </c>
      <c r="Q116" s="16">
        <v>15</v>
      </c>
      <c r="R116" s="20" t="s">
        <v>315</v>
      </c>
      <c r="S116" s="2" t="s">
        <v>341</v>
      </c>
      <c r="T116" s="2"/>
      <c r="U116" s="2"/>
    </row>
    <row r="117" spans="1:21" s="72" customFormat="1">
      <c r="A117" s="2">
        <f t="shared" si="0"/>
        <v>63</v>
      </c>
      <c r="B117" s="3" t="s">
        <v>491</v>
      </c>
      <c r="C117" s="17" t="s">
        <v>1696</v>
      </c>
      <c r="D117" s="17" t="s">
        <v>681</v>
      </c>
      <c r="E117" s="3" t="s">
        <v>225</v>
      </c>
      <c r="F117" s="6" t="s">
        <v>1621</v>
      </c>
      <c r="G117" s="16"/>
      <c r="H117" s="4" t="s">
        <v>257</v>
      </c>
      <c r="I117" s="3" t="s">
        <v>68</v>
      </c>
      <c r="J117" s="2">
        <v>15</v>
      </c>
      <c r="K117" s="16"/>
      <c r="L117" s="5" t="s">
        <v>669</v>
      </c>
      <c r="M117" s="25"/>
      <c r="N117" s="16"/>
      <c r="O117" s="16" t="s">
        <v>283</v>
      </c>
      <c r="P117" s="16" t="s">
        <v>279</v>
      </c>
      <c r="Q117" s="16">
        <v>15</v>
      </c>
      <c r="R117" s="20" t="s">
        <v>316</v>
      </c>
      <c r="S117" s="2" t="s">
        <v>341</v>
      </c>
      <c r="T117" s="2"/>
      <c r="U117" s="2"/>
    </row>
    <row r="118" spans="1:21" s="72" customFormat="1">
      <c r="A118" s="2">
        <f t="shared" si="0"/>
        <v>64</v>
      </c>
      <c r="B118" s="3" t="s">
        <v>491</v>
      </c>
      <c r="C118" s="17" t="s">
        <v>1696</v>
      </c>
      <c r="D118" s="17" t="s">
        <v>681</v>
      </c>
      <c r="E118" s="3" t="s">
        <v>226</v>
      </c>
      <c r="F118" s="6" t="s">
        <v>1622</v>
      </c>
      <c r="G118" s="16"/>
      <c r="H118" s="16"/>
      <c r="I118" s="3" t="s">
        <v>53</v>
      </c>
      <c r="J118" s="2">
        <v>2</v>
      </c>
      <c r="K118" s="16"/>
      <c r="L118" s="5" t="s">
        <v>669</v>
      </c>
      <c r="M118" s="25"/>
      <c r="N118" s="16"/>
      <c r="O118" s="16" t="s">
        <v>283</v>
      </c>
      <c r="P118" s="16" t="s">
        <v>275</v>
      </c>
      <c r="Q118" s="16">
        <v>2</v>
      </c>
      <c r="R118" s="20" t="s">
        <v>317</v>
      </c>
      <c r="S118" s="2" t="s">
        <v>341</v>
      </c>
      <c r="T118" s="2"/>
      <c r="U118" s="2"/>
    </row>
    <row r="119" spans="1:21" s="72" customFormat="1">
      <c r="A119" s="2">
        <f t="shared" si="0"/>
        <v>65</v>
      </c>
      <c r="B119" s="3" t="s">
        <v>491</v>
      </c>
      <c r="C119" s="17" t="s">
        <v>1696</v>
      </c>
      <c r="D119" s="17" t="s">
        <v>681</v>
      </c>
      <c r="E119" s="3" t="s">
        <v>227</v>
      </c>
      <c r="F119" s="6" t="s">
        <v>1623</v>
      </c>
      <c r="G119" s="16"/>
      <c r="H119" s="4" t="s">
        <v>257</v>
      </c>
      <c r="I119" s="3" t="s">
        <v>68</v>
      </c>
      <c r="J119" s="2">
        <v>5</v>
      </c>
      <c r="K119" s="16"/>
      <c r="L119" s="5" t="s">
        <v>669</v>
      </c>
      <c r="M119" s="25"/>
      <c r="N119" s="16"/>
      <c r="O119" s="16" t="s">
        <v>283</v>
      </c>
      <c r="P119" s="16" t="s">
        <v>279</v>
      </c>
      <c r="Q119" s="16">
        <v>5</v>
      </c>
      <c r="R119" s="20" t="s">
        <v>293</v>
      </c>
      <c r="S119" s="2" t="s">
        <v>341</v>
      </c>
      <c r="T119" s="2"/>
      <c r="U119" s="2"/>
    </row>
    <row r="120" spans="1:21" s="72" customFormat="1">
      <c r="A120" s="2">
        <f t="shared" si="0"/>
        <v>66</v>
      </c>
      <c r="B120" s="3" t="s">
        <v>491</v>
      </c>
      <c r="C120" s="17" t="s">
        <v>1696</v>
      </c>
      <c r="D120" s="17" t="s">
        <v>681</v>
      </c>
      <c r="E120" s="3" t="s">
        <v>228</v>
      </c>
      <c r="F120" s="6" t="s">
        <v>228</v>
      </c>
      <c r="G120" s="16"/>
      <c r="H120" s="4" t="s">
        <v>257</v>
      </c>
      <c r="I120" s="3" t="s">
        <v>68</v>
      </c>
      <c r="J120" s="2">
        <v>9</v>
      </c>
      <c r="K120" s="2">
        <v>5</v>
      </c>
      <c r="L120" s="5" t="s">
        <v>669</v>
      </c>
      <c r="M120" s="25"/>
      <c r="N120" s="16"/>
      <c r="O120" s="16" t="s">
        <v>283</v>
      </c>
      <c r="P120" s="16" t="s">
        <v>279</v>
      </c>
      <c r="Q120" s="16">
        <v>9.5</v>
      </c>
      <c r="R120" s="20" t="s">
        <v>281</v>
      </c>
      <c r="S120" s="2" t="s">
        <v>341</v>
      </c>
      <c r="T120" s="2"/>
      <c r="U120" s="2"/>
    </row>
    <row r="121" spans="1:21" s="72" customFormat="1">
      <c r="A121" s="140" t="s">
        <v>2329</v>
      </c>
      <c r="B121" s="161" t="s">
        <v>491</v>
      </c>
      <c r="C121" s="165" t="s">
        <v>1696</v>
      </c>
      <c r="D121" s="165" t="s">
        <v>681</v>
      </c>
      <c r="E121" s="145" t="s">
        <v>2549</v>
      </c>
      <c r="F121" s="164" t="s">
        <v>2921</v>
      </c>
      <c r="G121" s="127"/>
      <c r="H121" s="166"/>
      <c r="I121" s="161" t="s">
        <v>53</v>
      </c>
      <c r="J121" s="172">
        <v>1</v>
      </c>
      <c r="K121" s="168"/>
      <c r="L121" s="154"/>
      <c r="M121" s="158"/>
      <c r="N121" s="127"/>
      <c r="O121" s="172" t="s">
        <v>283</v>
      </c>
      <c r="P121" s="136" t="s">
        <v>275</v>
      </c>
      <c r="Q121" s="172">
        <v>1</v>
      </c>
      <c r="R121" s="145" t="s">
        <v>2549</v>
      </c>
      <c r="S121" s="130" t="s">
        <v>341</v>
      </c>
      <c r="T121" s="168"/>
      <c r="U121" s="168"/>
    </row>
    <row r="122" spans="1:21" s="72" customFormat="1">
      <c r="A122" s="140" t="s">
        <v>2329</v>
      </c>
      <c r="B122" s="161" t="s">
        <v>491</v>
      </c>
      <c r="C122" s="165" t="s">
        <v>1696</v>
      </c>
      <c r="D122" s="165" t="s">
        <v>681</v>
      </c>
      <c r="E122" s="145" t="s">
        <v>2550</v>
      </c>
      <c r="F122" s="164" t="s">
        <v>2922</v>
      </c>
      <c r="G122" s="127"/>
      <c r="H122" s="166"/>
      <c r="I122" s="161" t="s">
        <v>53</v>
      </c>
      <c r="J122" s="172">
        <v>8</v>
      </c>
      <c r="K122" s="168"/>
      <c r="L122" s="154"/>
      <c r="M122" s="158"/>
      <c r="N122" s="127"/>
      <c r="O122" s="172" t="s">
        <v>283</v>
      </c>
      <c r="P122" s="136" t="s">
        <v>275</v>
      </c>
      <c r="Q122" s="172">
        <v>8</v>
      </c>
      <c r="R122" s="145" t="s">
        <v>2550</v>
      </c>
      <c r="S122" s="130" t="s">
        <v>341</v>
      </c>
      <c r="T122" s="168"/>
      <c r="U122" s="168"/>
    </row>
    <row r="123" spans="1:21" s="72" customFormat="1">
      <c r="A123" s="140" t="s">
        <v>2329</v>
      </c>
      <c r="B123" s="161" t="s">
        <v>491</v>
      </c>
      <c r="C123" s="165" t="s">
        <v>1696</v>
      </c>
      <c r="D123" s="165" t="s">
        <v>681</v>
      </c>
      <c r="E123" s="145" t="s">
        <v>2561</v>
      </c>
      <c r="F123" s="164" t="s">
        <v>2551</v>
      </c>
      <c r="G123" s="127"/>
      <c r="H123" s="166"/>
      <c r="I123" s="161" t="s">
        <v>53</v>
      </c>
      <c r="J123" s="157">
        <v>8</v>
      </c>
      <c r="K123" s="168"/>
      <c r="L123" s="154"/>
      <c r="M123" s="158"/>
      <c r="N123" s="127"/>
      <c r="O123" s="172" t="s">
        <v>283</v>
      </c>
      <c r="P123" s="136" t="s">
        <v>275</v>
      </c>
      <c r="Q123" s="157">
        <v>8</v>
      </c>
      <c r="R123" s="145" t="s">
        <v>2551</v>
      </c>
      <c r="S123" s="130" t="s">
        <v>341</v>
      </c>
      <c r="T123" s="168"/>
      <c r="U123" s="168"/>
    </row>
    <row r="124" spans="1:21" s="72" customFormat="1">
      <c r="A124" s="140" t="s">
        <v>2329</v>
      </c>
      <c r="B124" s="161" t="s">
        <v>491</v>
      </c>
      <c r="C124" s="165" t="s">
        <v>1696</v>
      </c>
      <c r="D124" s="165" t="s">
        <v>681</v>
      </c>
      <c r="E124" s="145" t="s">
        <v>2228</v>
      </c>
      <c r="F124" s="164" t="s">
        <v>2923</v>
      </c>
      <c r="G124" s="127"/>
      <c r="H124" s="166"/>
      <c r="I124" s="161" t="s">
        <v>53</v>
      </c>
      <c r="J124" s="157">
        <v>1</v>
      </c>
      <c r="K124" s="168"/>
      <c r="L124" s="154"/>
      <c r="M124" s="158"/>
      <c r="N124" s="127"/>
      <c r="O124" s="172" t="s">
        <v>283</v>
      </c>
      <c r="P124" s="136" t="s">
        <v>275</v>
      </c>
      <c r="Q124" s="157">
        <v>1</v>
      </c>
      <c r="R124" s="145" t="s">
        <v>2228</v>
      </c>
      <c r="S124" s="130" t="s">
        <v>341</v>
      </c>
      <c r="T124" s="168"/>
      <c r="U124" s="168"/>
    </row>
    <row r="125" spans="1:21" s="72" customFormat="1">
      <c r="A125" s="140" t="s">
        <v>2329</v>
      </c>
      <c r="B125" s="161" t="s">
        <v>491</v>
      </c>
      <c r="C125" s="165" t="s">
        <v>1696</v>
      </c>
      <c r="D125" s="165" t="s">
        <v>681</v>
      </c>
      <c r="E125" s="145" t="s">
        <v>2552</v>
      </c>
      <c r="F125" s="164" t="s">
        <v>2924</v>
      </c>
      <c r="G125" s="127"/>
      <c r="H125" s="166"/>
      <c r="I125" s="161" t="s">
        <v>68</v>
      </c>
      <c r="J125" s="157">
        <v>15</v>
      </c>
      <c r="K125" s="168"/>
      <c r="L125" s="154"/>
      <c r="M125" s="158"/>
      <c r="N125" s="127"/>
      <c r="O125" s="172" t="s">
        <v>283</v>
      </c>
      <c r="P125" s="137" t="s">
        <v>279</v>
      </c>
      <c r="Q125" s="157">
        <v>15</v>
      </c>
      <c r="R125" s="145" t="s">
        <v>2552</v>
      </c>
      <c r="S125" s="130" t="s">
        <v>341</v>
      </c>
      <c r="T125" s="168"/>
      <c r="U125" s="168"/>
    </row>
    <row r="126" spans="1:21" s="72" customFormat="1">
      <c r="A126" s="140" t="s">
        <v>2329</v>
      </c>
      <c r="B126" s="161" t="s">
        <v>491</v>
      </c>
      <c r="C126" s="165" t="s">
        <v>1696</v>
      </c>
      <c r="D126" s="165" t="s">
        <v>681</v>
      </c>
      <c r="E126" s="145" t="s">
        <v>2553</v>
      </c>
      <c r="F126" s="164" t="s">
        <v>2925</v>
      </c>
      <c r="G126" s="127"/>
      <c r="H126" s="166"/>
      <c r="I126" s="161" t="s">
        <v>53</v>
      </c>
      <c r="J126" s="157">
        <v>2</v>
      </c>
      <c r="K126" s="168"/>
      <c r="L126" s="154"/>
      <c r="M126" s="158"/>
      <c r="N126" s="127"/>
      <c r="O126" s="172" t="s">
        <v>283</v>
      </c>
      <c r="P126" s="136" t="s">
        <v>275</v>
      </c>
      <c r="Q126" s="157">
        <v>2</v>
      </c>
      <c r="R126" s="145" t="s">
        <v>2553</v>
      </c>
      <c r="S126" s="130" t="s">
        <v>341</v>
      </c>
      <c r="T126" s="168"/>
      <c r="U126" s="168"/>
    </row>
    <row r="127" spans="1:21" s="72" customFormat="1">
      <c r="A127" s="2">
        <f>IF(D120=D127,A120+1,1)</f>
        <v>67</v>
      </c>
      <c r="B127" s="3" t="s">
        <v>491</v>
      </c>
      <c r="C127" s="17" t="s">
        <v>1696</v>
      </c>
      <c r="D127" s="17" t="s">
        <v>681</v>
      </c>
      <c r="E127" s="3" t="s">
        <v>229</v>
      </c>
      <c r="F127" s="6" t="s">
        <v>1624</v>
      </c>
      <c r="G127" s="16"/>
      <c r="H127" s="4" t="s">
        <v>257</v>
      </c>
      <c r="I127" s="3" t="s">
        <v>68</v>
      </c>
      <c r="J127" s="2">
        <v>15</v>
      </c>
      <c r="K127" s="16"/>
      <c r="L127" s="5" t="s">
        <v>669</v>
      </c>
      <c r="M127" s="25"/>
      <c r="N127" s="16"/>
      <c r="O127" s="16" t="s">
        <v>318</v>
      </c>
      <c r="P127" s="16" t="s">
        <v>279</v>
      </c>
      <c r="Q127" s="16">
        <v>15</v>
      </c>
      <c r="R127" s="20" t="s">
        <v>319</v>
      </c>
      <c r="S127" s="2" t="s">
        <v>341</v>
      </c>
      <c r="T127" s="2"/>
      <c r="U127" s="2"/>
    </row>
    <row r="128" spans="1:21" s="72" customFormat="1">
      <c r="A128" s="2">
        <f t="shared" ref="A128:A339" si="1">IF(D127=D128,A127+1,1)</f>
        <v>68</v>
      </c>
      <c r="B128" s="3" t="s">
        <v>491</v>
      </c>
      <c r="C128" s="17" t="s">
        <v>1696</v>
      </c>
      <c r="D128" s="17" t="s">
        <v>681</v>
      </c>
      <c r="E128" s="3" t="s">
        <v>230</v>
      </c>
      <c r="F128" s="6" t="s">
        <v>1689</v>
      </c>
      <c r="G128" s="16"/>
      <c r="H128" s="4" t="s">
        <v>257</v>
      </c>
      <c r="I128" s="3" t="s">
        <v>68</v>
      </c>
      <c r="J128" s="2">
        <v>5</v>
      </c>
      <c r="K128" s="16"/>
      <c r="L128" s="5" t="s">
        <v>669</v>
      </c>
      <c r="M128" s="25"/>
      <c r="N128" s="16"/>
      <c r="O128" s="16" t="s">
        <v>318</v>
      </c>
      <c r="P128" s="16" t="s">
        <v>279</v>
      </c>
      <c r="Q128" s="16">
        <v>5</v>
      </c>
      <c r="R128" s="20" t="s">
        <v>292</v>
      </c>
      <c r="S128" s="2" t="s">
        <v>341</v>
      </c>
      <c r="T128" s="2"/>
      <c r="U128" s="2"/>
    </row>
    <row r="129" spans="1:21" s="72" customFormat="1">
      <c r="A129" s="2">
        <f t="shared" si="1"/>
        <v>69</v>
      </c>
      <c r="B129" s="3" t="s">
        <v>491</v>
      </c>
      <c r="C129" s="17" t="s">
        <v>1696</v>
      </c>
      <c r="D129" s="17" t="s">
        <v>681</v>
      </c>
      <c r="E129" s="3" t="s">
        <v>231</v>
      </c>
      <c r="F129" s="6" t="s">
        <v>1690</v>
      </c>
      <c r="G129" s="16"/>
      <c r="H129" s="4" t="s">
        <v>257</v>
      </c>
      <c r="I129" s="3" t="s">
        <v>68</v>
      </c>
      <c r="J129" s="2">
        <v>5</v>
      </c>
      <c r="K129" s="16"/>
      <c r="L129" s="5" t="s">
        <v>669</v>
      </c>
      <c r="M129" s="25"/>
      <c r="N129" s="16"/>
      <c r="O129" s="16" t="s">
        <v>318</v>
      </c>
      <c r="P129" s="16" t="s">
        <v>279</v>
      </c>
      <c r="Q129" s="16">
        <v>5</v>
      </c>
      <c r="R129" s="20" t="s">
        <v>293</v>
      </c>
      <c r="S129" s="2" t="s">
        <v>341</v>
      </c>
      <c r="T129" s="2"/>
      <c r="U129" s="2"/>
    </row>
    <row r="130" spans="1:21" s="72" customFormat="1">
      <c r="A130" s="2">
        <f t="shared" si="1"/>
        <v>70</v>
      </c>
      <c r="B130" s="3" t="s">
        <v>491</v>
      </c>
      <c r="C130" s="17" t="s">
        <v>1696</v>
      </c>
      <c r="D130" s="17" t="s">
        <v>681</v>
      </c>
      <c r="E130" s="3" t="s">
        <v>232</v>
      </c>
      <c r="F130" s="6" t="s">
        <v>1625</v>
      </c>
      <c r="G130" s="16"/>
      <c r="H130" s="16"/>
      <c r="I130" s="3" t="s">
        <v>53</v>
      </c>
      <c r="J130" s="2">
        <v>2</v>
      </c>
      <c r="K130" s="16"/>
      <c r="L130" s="5" t="s">
        <v>669</v>
      </c>
      <c r="M130" s="25"/>
      <c r="N130" s="16"/>
      <c r="O130" s="16" t="s">
        <v>318</v>
      </c>
      <c r="P130" s="16" t="s">
        <v>275</v>
      </c>
      <c r="Q130" s="16">
        <v>2</v>
      </c>
      <c r="R130" s="20" t="s">
        <v>320</v>
      </c>
      <c r="S130" s="2" t="s">
        <v>341</v>
      </c>
      <c r="T130" s="2"/>
      <c r="U130" s="2"/>
    </row>
    <row r="131" spans="1:21" s="72" customFormat="1">
      <c r="A131" s="2">
        <f t="shared" si="1"/>
        <v>71</v>
      </c>
      <c r="B131" s="3" t="s">
        <v>491</v>
      </c>
      <c r="C131" s="17" t="s">
        <v>1696</v>
      </c>
      <c r="D131" s="17" t="s">
        <v>681</v>
      </c>
      <c r="E131" s="3" t="s">
        <v>233</v>
      </c>
      <c r="F131" s="6" t="s">
        <v>1626</v>
      </c>
      <c r="G131" s="16"/>
      <c r="H131" s="4" t="s">
        <v>257</v>
      </c>
      <c r="I131" s="3" t="s">
        <v>68</v>
      </c>
      <c r="J131" s="2">
        <v>9</v>
      </c>
      <c r="K131" s="2">
        <v>5</v>
      </c>
      <c r="L131" s="5" t="s">
        <v>669</v>
      </c>
      <c r="M131" s="25"/>
      <c r="N131" s="16"/>
      <c r="O131" s="16" t="s">
        <v>318</v>
      </c>
      <c r="P131" s="16" t="s">
        <v>279</v>
      </c>
      <c r="Q131" s="16">
        <v>9.5</v>
      </c>
      <c r="R131" s="20" t="s">
        <v>281</v>
      </c>
      <c r="S131" s="2" t="s">
        <v>341</v>
      </c>
      <c r="T131" s="2"/>
      <c r="U131" s="2"/>
    </row>
    <row r="132" spans="1:21" s="72" customFormat="1">
      <c r="A132" s="2">
        <f t="shared" si="1"/>
        <v>72</v>
      </c>
      <c r="B132" s="3" t="s">
        <v>491</v>
      </c>
      <c r="C132" s="17" t="s">
        <v>1696</v>
      </c>
      <c r="D132" s="17" t="s">
        <v>681</v>
      </c>
      <c r="E132" s="3" t="s">
        <v>234</v>
      </c>
      <c r="F132" s="6" t="s">
        <v>1627</v>
      </c>
      <c r="G132" s="16"/>
      <c r="H132" s="4" t="s">
        <v>257</v>
      </c>
      <c r="I132" s="3" t="s">
        <v>68</v>
      </c>
      <c r="J132" s="2">
        <v>15</v>
      </c>
      <c r="K132" s="16"/>
      <c r="L132" s="5" t="s">
        <v>669</v>
      </c>
      <c r="M132" s="25"/>
      <c r="N132" s="16"/>
      <c r="O132" s="16" t="s">
        <v>321</v>
      </c>
      <c r="P132" s="16" t="s">
        <v>279</v>
      </c>
      <c r="Q132" s="16">
        <v>15</v>
      </c>
      <c r="R132" s="20" t="s">
        <v>322</v>
      </c>
      <c r="S132" s="2" t="s">
        <v>341</v>
      </c>
      <c r="T132" s="2"/>
      <c r="U132" s="2"/>
    </row>
    <row r="133" spans="1:21" s="72" customFormat="1">
      <c r="A133" s="2">
        <f t="shared" si="1"/>
        <v>73</v>
      </c>
      <c r="B133" s="3" t="s">
        <v>491</v>
      </c>
      <c r="C133" s="17" t="s">
        <v>1696</v>
      </c>
      <c r="D133" s="17" t="s">
        <v>681</v>
      </c>
      <c r="E133" s="3" t="s">
        <v>235</v>
      </c>
      <c r="F133" s="6" t="s">
        <v>1628</v>
      </c>
      <c r="G133" s="16"/>
      <c r="H133" s="16"/>
      <c r="I133" s="3" t="s">
        <v>53</v>
      </c>
      <c r="J133" s="2">
        <v>2</v>
      </c>
      <c r="K133" s="16"/>
      <c r="L133" s="5" t="s">
        <v>669</v>
      </c>
      <c r="M133" s="25"/>
      <c r="N133" s="16"/>
      <c r="O133" s="16" t="s">
        <v>321</v>
      </c>
      <c r="P133" s="16" t="s">
        <v>275</v>
      </c>
      <c r="Q133" s="16">
        <v>2</v>
      </c>
      <c r="R133" s="20" t="s">
        <v>323</v>
      </c>
      <c r="S133" s="2" t="s">
        <v>341</v>
      </c>
      <c r="T133" s="2"/>
      <c r="U133" s="2"/>
    </row>
    <row r="134" spans="1:21" s="72" customFormat="1">
      <c r="A134" s="2">
        <f t="shared" si="1"/>
        <v>74</v>
      </c>
      <c r="B134" s="3" t="s">
        <v>491</v>
      </c>
      <c r="C134" s="17" t="s">
        <v>1696</v>
      </c>
      <c r="D134" s="17" t="s">
        <v>681</v>
      </c>
      <c r="E134" s="3" t="s">
        <v>236</v>
      </c>
      <c r="F134" s="6" t="s">
        <v>1691</v>
      </c>
      <c r="G134" s="16"/>
      <c r="H134" s="4" t="s">
        <v>257</v>
      </c>
      <c r="I134" s="3" t="s">
        <v>68</v>
      </c>
      <c r="J134" s="2">
        <v>5</v>
      </c>
      <c r="K134" s="16"/>
      <c r="L134" s="5" t="s">
        <v>669</v>
      </c>
      <c r="M134" s="25"/>
      <c r="N134" s="16"/>
      <c r="O134" s="16" t="s">
        <v>321</v>
      </c>
      <c r="P134" s="16" t="s">
        <v>279</v>
      </c>
      <c r="Q134" s="16">
        <v>5</v>
      </c>
      <c r="R134" s="20" t="s">
        <v>292</v>
      </c>
      <c r="S134" s="2" t="s">
        <v>341</v>
      </c>
      <c r="T134" s="2"/>
      <c r="U134" s="2"/>
    </row>
    <row r="135" spans="1:21" s="72" customFormat="1">
      <c r="A135" s="2">
        <f t="shared" si="1"/>
        <v>75</v>
      </c>
      <c r="B135" s="3" t="s">
        <v>491</v>
      </c>
      <c r="C135" s="17" t="s">
        <v>1696</v>
      </c>
      <c r="D135" s="17" t="s">
        <v>681</v>
      </c>
      <c r="E135" s="3" t="s">
        <v>237</v>
      </c>
      <c r="F135" s="6" t="s">
        <v>1692</v>
      </c>
      <c r="G135" s="16"/>
      <c r="H135" s="4" t="s">
        <v>257</v>
      </c>
      <c r="I135" s="3" t="s">
        <v>68</v>
      </c>
      <c r="J135" s="2">
        <v>5</v>
      </c>
      <c r="K135" s="16"/>
      <c r="L135" s="5" t="s">
        <v>669</v>
      </c>
      <c r="M135" s="25"/>
      <c r="N135" s="16"/>
      <c r="O135" s="16" t="s">
        <v>321</v>
      </c>
      <c r="P135" s="16" t="s">
        <v>279</v>
      </c>
      <c r="Q135" s="16">
        <v>5</v>
      </c>
      <c r="R135" s="20" t="s">
        <v>293</v>
      </c>
      <c r="S135" s="2" t="s">
        <v>341</v>
      </c>
      <c r="T135" s="2"/>
      <c r="U135" s="2"/>
    </row>
    <row r="136" spans="1:21" s="72" customFormat="1">
      <c r="A136" s="2">
        <f t="shared" si="1"/>
        <v>76</v>
      </c>
      <c r="B136" s="3" t="s">
        <v>491</v>
      </c>
      <c r="C136" s="17" t="s">
        <v>1696</v>
      </c>
      <c r="D136" s="17" t="s">
        <v>681</v>
      </c>
      <c r="E136" s="3" t="s">
        <v>238</v>
      </c>
      <c r="F136" s="6" t="s">
        <v>1629</v>
      </c>
      <c r="G136" s="16"/>
      <c r="H136" s="4" t="s">
        <v>257</v>
      </c>
      <c r="I136" s="3" t="s">
        <v>68</v>
      </c>
      <c r="J136" s="2">
        <v>9</v>
      </c>
      <c r="K136" s="2">
        <v>5</v>
      </c>
      <c r="L136" s="5" t="s">
        <v>669</v>
      </c>
      <c r="M136" s="25"/>
      <c r="N136" s="16"/>
      <c r="O136" s="16" t="s">
        <v>321</v>
      </c>
      <c r="P136" s="16" t="s">
        <v>279</v>
      </c>
      <c r="Q136" s="16">
        <v>9.5</v>
      </c>
      <c r="R136" s="20" t="s">
        <v>281</v>
      </c>
      <c r="S136" s="2" t="s">
        <v>341</v>
      </c>
      <c r="T136" s="2"/>
      <c r="U136" s="2"/>
    </row>
    <row r="137" spans="1:21" s="72" customFormat="1">
      <c r="A137" s="2">
        <f t="shared" si="1"/>
        <v>77</v>
      </c>
      <c r="B137" s="3" t="s">
        <v>491</v>
      </c>
      <c r="C137" s="17" t="s">
        <v>1696</v>
      </c>
      <c r="D137" s="17" t="s">
        <v>681</v>
      </c>
      <c r="E137" s="3" t="s">
        <v>239</v>
      </c>
      <c r="F137" s="6" t="s">
        <v>1630</v>
      </c>
      <c r="G137" s="16"/>
      <c r="H137" s="4" t="s">
        <v>257</v>
      </c>
      <c r="I137" s="3" t="s">
        <v>68</v>
      </c>
      <c r="J137" s="2">
        <v>15</v>
      </c>
      <c r="K137" s="16"/>
      <c r="L137" s="5" t="s">
        <v>669</v>
      </c>
      <c r="M137" s="25"/>
      <c r="N137" s="16"/>
      <c r="O137" s="16" t="s">
        <v>324</v>
      </c>
      <c r="P137" s="16" t="s">
        <v>279</v>
      </c>
      <c r="Q137" s="16">
        <v>15</v>
      </c>
      <c r="R137" s="20" t="s">
        <v>325</v>
      </c>
      <c r="S137" s="2" t="s">
        <v>341</v>
      </c>
      <c r="T137" s="2"/>
      <c r="U137" s="2"/>
    </row>
    <row r="138" spans="1:21" s="72" customFormat="1">
      <c r="A138" s="2">
        <f t="shared" si="1"/>
        <v>78</v>
      </c>
      <c r="B138" s="3" t="s">
        <v>491</v>
      </c>
      <c r="C138" s="17" t="s">
        <v>1696</v>
      </c>
      <c r="D138" s="17" t="s">
        <v>681</v>
      </c>
      <c r="E138" s="3" t="s">
        <v>240</v>
      </c>
      <c r="F138" s="6" t="s">
        <v>1631</v>
      </c>
      <c r="G138" s="16"/>
      <c r="H138" s="4" t="s">
        <v>257</v>
      </c>
      <c r="I138" s="3" t="s">
        <v>68</v>
      </c>
      <c r="J138" s="2">
        <v>5</v>
      </c>
      <c r="K138" s="16"/>
      <c r="L138" s="5" t="s">
        <v>669</v>
      </c>
      <c r="M138" s="25"/>
      <c r="N138" s="16"/>
      <c r="O138" s="16" t="s">
        <v>324</v>
      </c>
      <c r="P138" s="16" t="s">
        <v>279</v>
      </c>
      <c r="Q138" s="16">
        <v>5</v>
      </c>
      <c r="R138" s="20" t="s">
        <v>292</v>
      </c>
      <c r="S138" s="2" t="s">
        <v>341</v>
      </c>
      <c r="T138" s="2"/>
      <c r="U138" s="2"/>
    </row>
    <row r="139" spans="1:21" s="72" customFormat="1">
      <c r="A139" s="2">
        <f t="shared" si="1"/>
        <v>79</v>
      </c>
      <c r="B139" s="3" t="s">
        <v>491</v>
      </c>
      <c r="C139" s="17" t="s">
        <v>1696</v>
      </c>
      <c r="D139" s="17" t="s">
        <v>681</v>
      </c>
      <c r="E139" s="3" t="s">
        <v>241</v>
      </c>
      <c r="F139" s="6" t="s">
        <v>1632</v>
      </c>
      <c r="G139" s="16"/>
      <c r="H139" s="4" t="s">
        <v>257</v>
      </c>
      <c r="I139" s="3" t="s">
        <v>68</v>
      </c>
      <c r="J139" s="2">
        <v>5</v>
      </c>
      <c r="K139" s="16"/>
      <c r="L139" s="5" t="s">
        <v>669</v>
      </c>
      <c r="M139" s="25"/>
      <c r="N139" s="16"/>
      <c r="O139" s="16" t="s">
        <v>324</v>
      </c>
      <c r="P139" s="16" t="s">
        <v>279</v>
      </c>
      <c r="Q139" s="16">
        <v>5</v>
      </c>
      <c r="R139" s="20" t="s">
        <v>293</v>
      </c>
      <c r="S139" s="2" t="s">
        <v>341</v>
      </c>
      <c r="T139" s="2"/>
      <c r="U139" s="2"/>
    </row>
    <row r="140" spans="1:21" s="72" customFormat="1">
      <c r="A140" s="2">
        <f t="shared" si="1"/>
        <v>80</v>
      </c>
      <c r="B140" s="3" t="s">
        <v>491</v>
      </c>
      <c r="C140" s="17" t="s">
        <v>1696</v>
      </c>
      <c r="D140" s="17" t="s">
        <v>681</v>
      </c>
      <c r="E140" s="3" t="s">
        <v>26</v>
      </c>
      <c r="F140" s="6" t="s">
        <v>1633</v>
      </c>
      <c r="G140" s="16"/>
      <c r="H140" s="16"/>
      <c r="I140" s="3" t="s">
        <v>53</v>
      </c>
      <c r="J140" s="2">
        <v>2</v>
      </c>
      <c r="K140" s="16"/>
      <c r="L140" s="5" t="s">
        <v>669</v>
      </c>
      <c r="M140" s="25"/>
      <c r="N140" s="16"/>
      <c r="O140" s="16" t="s">
        <v>324</v>
      </c>
      <c r="P140" s="16" t="s">
        <v>275</v>
      </c>
      <c r="Q140" s="16">
        <v>2</v>
      </c>
      <c r="R140" s="20" t="s">
        <v>26</v>
      </c>
      <c r="S140" s="2" t="s">
        <v>341</v>
      </c>
      <c r="T140" s="2"/>
      <c r="U140" s="2"/>
    </row>
    <row r="141" spans="1:21" s="72" customFormat="1">
      <c r="A141" s="2">
        <f t="shared" si="1"/>
        <v>81</v>
      </c>
      <c r="B141" s="3" t="s">
        <v>491</v>
      </c>
      <c r="C141" s="17" t="s">
        <v>1696</v>
      </c>
      <c r="D141" s="17" t="s">
        <v>681</v>
      </c>
      <c r="E141" s="3" t="s">
        <v>242</v>
      </c>
      <c r="F141" s="104" t="s">
        <v>1693</v>
      </c>
      <c r="G141" s="16"/>
      <c r="H141" s="16"/>
      <c r="I141" s="3" t="s">
        <v>53</v>
      </c>
      <c r="J141" s="2">
        <v>1</v>
      </c>
      <c r="K141" s="16"/>
      <c r="L141" s="5" t="s">
        <v>669</v>
      </c>
      <c r="M141" s="25"/>
      <c r="N141" s="16"/>
      <c r="O141" s="16" t="s">
        <v>324</v>
      </c>
      <c r="P141" s="16" t="s">
        <v>275</v>
      </c>
      <c r="Q141" s="16">
        <v>1</v>
      </c>
      <c r="R141" s="20" t="s">
        <v>326</v>
      </c>
      <c r="S141" s="2" t="s">
        <v>341</v>
      </c>
      <c r="T141" s="2"/>
      <c r="U141" s="2"/>
    </row>
    <row r="142" spans="1:21" s="72" customFormat="1">
      <c r="A142" s="2">
        <f t="shared" si="1"/>
        <v>82</v>
      </c>
      <c r="B142" s="3" t="s">
        <v>491</v>
      </c>
      <c r="C142" s="17" t="s">
        <v>1696</v>
      </c>
      <c r="D142" s="17" t="s">
        <v>681</v>
      </c>
      <c r="E142" s="3" t="s">
        <v>243</v>
      </c>
      <c r="F142" s="6" t="s">
        <v>1634</v>
      </c>
      <c r="G142" s="16"/>
      <c r="H142" s="4" t="s">
        <v>257</v>
      </c>
      <c r="I142" s="3" t="s">
        <v>68</v>
      </c>
      <c r="J142" s="2">
        <v>9</v>
      </c>
      <c r="K142" s="2">
        <v>5</v>
      </c>
      <c r="L142" s="5" t="s">
        <v>669</v>
      </c>
      <c r="M142" s="25"/>
      <c r="N142" s="16"/>
      <c r="O142" s="16" t="s">
        <v>324</v>
      </c>
      <c r="P142" s="16" t="s">
        <v>279</v>
      </c>
      <c r="Q142" s="16">
        <v>9.5</v>
      </c>
      <c r="R142" s="20" t="s">
        <v>281</v>
      </c>
      <c r="S142" s="2" t="s">
        <v>341</v>
      </c>
      <c r="T142" s="2"/>
      <c r="U142" s="2"/>
    </row>
    <row r="143" spans="1:21" s="72" customFormat="1">
      <c r="A143" s="140" t="s">
        <v>2329</v>
      </c>
      <c r="B143" s="161" t="s">
        <v>491</v>
      </c>
      <c r="C143" s="165" t="s">
        <v>1696</v>
      </c>
      <c r="D143" s="165" t="s">
        <v>681</v>
      </c>
      <c r="E143" s="145" t="s">
        <v>2803</v>
      </c>
      <c r="F143" s="164" t="s">
        <v>2911</v>
      </c>
      <c r="G143" s="127"/>
      <c r="H143" s="166"/>
      <c r="I143" s="161" t="s">
        <v>68</v>
      </c>
      <c r="J143" s="172">
        <v>15</v>
      </c>
      <c r="K143" s="168"/>
      <c r="L143" s="154"/>
      <c r="M143" s="158"/>
      <c r="N143" s="127"/>
      <c r="O143" s="172" t="s">
        <v>324</v>
      </c>
      <c r="P143" s="149" t="s">
        <v>279</v>
      </c>
      <c r="Q143" s="172">
        <v>15</v>
      </c>
      <c r="R143" s="145" t="s">
        <v>2554</v>
      </c>
      <c r="S143" s="130" t="s">
        <v>341</v>
      </c>
      <c r="T143" s="168"/>
      <c r="U143" s="168"/>
    </row>
    <row r="144" spans="1:21" s="72" customFormat="1">
      <c r="A144" s="140" t="s">
        <v>2329</v>
      </c>
      <c r="B144" s="161" t="s">
        <v>491</v>
      </c>
      <c r="C144" s="165" t="s">
        <v>1696</v>
      </c>
      <c r="D144" s="165" t="s">
        <v>681</v>
      </c>
      <c r="E144" s="145" t="s">
        <v>2804</v>
      </c>
      <c r="F144" s="164" t="s">
        <v>2912</v>
      </c>
      <c r="G144" s="127"/>
      <c r="H144" s="166"/>
      <c r="I144" s="161" t="s">
        <v>68</v>
      </c>
      <c r="J144" s="172">
        <v>15</v>
      </c>
      <c r="K144" s="168"/>
      <c r="L144" s="154"/>
      <c r="M144" s="158"/>
      <c r="N144" s="127"/>
      <c r="O144" s="172" t="s">
        <v>324</v>
      </c>
      <c r="P144" s="149" t="s">
        <v>279</v>
      </c>
      <c r="Q144" s="172">
        <v>15</v>
      </c>
      <c r="R144" s="145" t="s">
        <v>2555</v>
      </c>
      <c r="S144" s="130" t="s">
        <v>341</v>
      </c>
      <c r="T144" s="168"/>
      <c r="U144" s="168"/>
    </row>
    <row r="145" spans="1:26" s="72" customFormat="1">
      <c r="A145" s="140" t="s">
        <v>2329</v>
      </c>
      <c r="B145" s="161" t="s">
        <v>491</v>
      </c>
      <c r="C145" s="165" t="s">
        <v>1696</v>
      </c>
      <c r="D145" s="165" t="s">
        <v>681</v>
      </c>
      <c r="E145" s="145" t="s">
        <v>2805</v>
      </c>
      <c r="F145" s="164" t="s">
        <v>2913</v>
      </c>
      <c r="G145" s="127"/>
      <c r="H145" s="166"/>
      <c r="I145" s="161" t="s">
        <v>68</v>
      </c>
      <c r="J145" s="172">
        <v>15</v>
      </c>
      <c r="K145" s="168"/>
      <c r="L145" s="154"/>
      <c r="M145" s="158"/>
      <c r="N145" s="127"/>
      <c r="O145" s="172" t="s">
        <v>324</v>
      </c>
      <c r="P145" s="149" t="s">
        <v>279</v>
      </c>
      <c r="Q145" s="172">
        <v>15</v>
      </c>
      <c r="R145" s="145" t="s">
        <v>2556</v>
      </c>
      <c r="S145" s="130" t="s">
        <v>341</v>
      </c>
      <c r="T145" s="168"/>
      <c r="U145" s="168"/>
    </row>
    <row r="146" spans="1:26" s="72" customFormat="1">
      <c r="A146" s="140" t="s">
        <v>2329</v>
      </c>
      <c r="B146" s="161" t="s">
        <v>491</v>
      </c>
      <c r="C146" s="165" t="s">
        <v>1696</v>
      </c>
      <c r="D146" s="165" t="s">
        <v>681</v>
      </c>
      <c r="E146" s="145" t="s">
        <v>2562</v>
      </c>
      <c r="F146" s="164" t="s">
        <v>2914</v>
      </c>
      <c r="G146" s="127"/>
      <c r="H146" s="166"/>
      <c r="I146" s="161" t="s">
        <v>53</v>
      </c>
      <c r="J146" s="172">
        <v>1</v>
      </c>
      <c r="K146" s="168"/>
      <c r="L146" s="154"/>
      <c r="M146" s="158"/>
      <c r="N146" s="127"/>
      <c r="O146" s="172" t="s">
        <v>324</v>
      </c>
      <c r="P146" s="146" t="s">
        <v>275</v>
      </c>
      <c r="Q146" s="172">
        <v>1</v>
      </c>
      <c r="R146" s="145" t="s">
        <v>2557</v>
      </c>
      <c r="S146" s="130" t="s">
        <v>341</v>
      </c>
      <c r="T146" s="168"/>
      <c r="U146" s="168"/>
    </row>
    <row r="147" spans="1:26" s="72" customFormat="1">
      <c r="A147" s="140" t="s">
        <v>2329</v>
      </c>
      <c r="B147" s="161" t="s">
        <v>491</v>
      </c>
      <c r="C147" s="165" t="s">
        <v>1696</v>
      </c>
      <c r="D147" s="165" t="s">
        <v>681</v>
      </c>
      <c r="E147" s="145" t="s">
        <v>2563</v>
      </c>
      <c r="F147" s="164" t="s">
        <v>2915</v>
      </c>
      <c r="G147" s="127"/>
      <c r="H147" s="166"/>
      <c r="I147" s="161" t="s">
        <v>53</v>
      </c>
      <c r="J147" s="172">
        <v>1</v>
      </c>
      <c r="K147" s="168"/>
      <c r="L147" s="154"/>
      <c r="M147" s="158"/>
      <c r="N147" s="127"/>
      <c r="O147" s="172" t="s">
        <v>324</v>
      </c>
      <c r="P147" s="146" t="s">
        <v>275</v>
      </c>
      <c r="Q147" s="172">
        <v>1</v>
      </c>
      <c r="R147" s="145" t="s">
        <v>2558</v>
      </c>
      <c r="S147" s="130" t="s">
        <v>341</v>
      </c>
      <c r="T147" s="168"/>
      <c r="U147" s="168"/>
    </row>
    <row r="148" spans="1:26" s="72" customFormat="1">
      <c r="A148" s="140" t="s">
        <v>2329</v>
      </c>
      <c r="B148" s="161" t="s">
        <v>491</v>
      </c>
      <c r="C148" s="165" t="s">
        <v>1696</v>
      </c>
      <c r="D148" s="165" t="s">
        <v>681</v>
      </c>
      <c r="E148" s="145" t="s">
        <v>2564</v>
      </c>
      <c r="F148" s="164" t="s">
        <v>2916</v>
      </c>
      <c r="G148" s="127"/>
      <c r="H148" s="166"/>
      <c r="I148" s="161" t="s">
        <v>53</v>
      </c>
      <c r="J148" s="172">
        <v>1</v>
      </c>
      <c r="K148" s="168"/>
      <c r="L148" s="154"/>
      <c r="M148" s="158"/>
      <c r="N148" s="127"/>
      <c r="O148" s="172" t="s">
        <v>324</v>
      </c>
      <c r="P148" s="146" t="s">
        <v>275</v>
      </c>
      <c r="Q148" s="172">
        <v>1</v>
      </c>
      <c r="R148" s="145" t="s">
        <v>2559</v>
      </c>
      <c r="S148" s="130" t="s">
        <v>341</v>
      </c>
      <c r="T148" s="168"/>
      <c r="U148" s="168"/>
    </row>
    <row r="149" spans="1:26" s="72" customFormat="1">
      <c r="A149" s="140" t="s">
        <v>2329</v>
      </c>
      <c r="B149" s="161" t="s">
        <v>491</v>
      </c>
      <c r="C149" s="165" t="s">
        <v>1696</v>
      </c>
      <c r="D149" s="165" t="s">
        <v>681</v>
      </c>
      <c r="E149" s="164" t="s">
        <v>2806</v>
      </c>
      <c r="F149" s="164" t="s">
        <v>2917</v>
      </c>
      <c r="G149" s="127"/>
      <c r="H149" s="166"/>
      <c r="I149" s="161" t="s">
        <v>68</v>
      </c>
      <c r="J149" s="157">
        <v>15</v>
      </c>
      <c r="K149" s="168"/>
      <c r="L149" s="154"/>
      <c r="M149" s="158"/>
      <c r="N149" s="127"/>
      <c r="O149" s="157" t="s">
        <v>2324</v>
      </c>
      <c r="P149" s="133" t="s">
        <v>279</v>
      </c>
      <c r="Q149" s="157">
        <v>15</v>
      </c>
      <c r="R149" s="164" t="s">
        <v>2560</v>
      </c>
      <c r="S149" s="130" t="s">
        <v>341</v>
      </c>
      <c r="T149" s="168"/>
      <c r="U149" s="168"/>
    </row>
    <row r="150" spans="1:26" s="72" customFormat="1">
      <c r="A150" s="140" t="s">
        <v>2329</v>
      </c>
      <c r="B150" s="161" t="s">
        <v>491</v>
      </c>
      <c r="C150" s="165" t="s">
        <v>1696</v>
      </c>
      <c r="D150" s="165" t="s">
        <v>681</v>
      </c>
      <c r="E150" s="164" t="s">
        <v>2565</v>
      </c>
      <c r="F150" s="164" t="s">
        <v>2918</v>
      </c>
      <c r="G150" s="127"/>
      <c r="H150" s="166"/>
      <c r="I150" s="161" t="s">
        <v>68</v>
      </c>
      <c r="J150" s="157">
        <v>5</v>
      </c>
      <c r="K150" s="168"/>
      <c r="L150" s="154"/>
      <c r="M150" s="158"/>
      <c r="N150" s="127"/>
      <c r="O150" s="157" t="s">
        <v>2324</v>
      </c>
      <c r="P150" s="133" t="s">
        <v>279</v>
      </c>
      <c r="Q150" s="157">
        <v>5</v>
      </c>
      <c r="R150" s="164" t="s">
        <v>293</v>
      </c>
      <c r="S150" s="130" t="s">
        <v>341</v>
      </c>
      <c r="T150" s="168"/>
      <c r="U150" s="168"/>
    </row>
    <row r="151" spans="1:26" s="72" customFormat="1">
      <c r="A151" s="140" t="s">
        <v>2329</v>
      </c>
      <c r="B151" s="161" t="s">
        <v>491</v>
      </c>
      <c r="C151" s="165" t="s">
        <v>1696</v>
      </c>
      <c r="D151" s="165" t="s">
        <v>681</v>
      </c>
      <c r="E151" s="164" t="s">
        <v>2566</v>
      </c>
      <c r="F151" s="164" t="s">
        <v>2919</v>
      </c>
      <c r="G151" s="127"/>
      <c r="H151" s="166"/>
      <c r="I151" s="161" t="s">
        <v>68</v>
      </c>
      <c r="J151" s="157">
        <v>5</v>
      </c>
      <c r="K151" s="168"/>
      <c r="L151" s="154"/>
      <c r="M151" s="158"/>
      <c r="N151" s="127"/>
      <c r="O151" s="157" t="s">
        <v>2324</v>
      </c>
      <c r="P151" s="133" t="s">
        <v>279</v>
      </c>
      <c r="Q151" s="157">
        <v>5</v>
      </c>
      <c r="R151" s="164" t="s">
        <v>292</v>
      </c>
      <c r="S151" s="130" t="s">
        <v>341</v>
      </c>
      <c r="T151" s="168"/>
      <c r="U151" s="168"/>
    </row>
    <row r="152" spans="1:26" s="72" customFormat="1">
      <c r="A152" s="140" t="s">
        <v>2329</v>
      </c>
      <c r="B152" s="161" t="s">
        <v>491</v>
      </c>
      <c r="C152" s="165" t="s">
        <v>1696</v>
      </c>
      <c r="D152" s="165" t="s">
        <v>681</v>
      </c>
      <c r="E152" s="164" t="s">
        <v>2807</v>
      </c>
      <c r="F152" s="164" t="s">
        <v>2920</v>
      </c>
      <c r="G152" s="127"/>
      <c r="H152" s="166"/>
      <c r="I152" s="161" t="s">
        <v>68</v>
      </c>
      <c r="J152" s="157">
        <v>9</v>
      </c>
      <c r="K152" s="157">
        <v>5</v>
      </c>
      <c r="L152" s="154"/>
      <c r="M152" s="158"/>
      <c r="N152" s="127"/>
      <c r="O152" s="157" t="s">
        <v>2324</v>
      </c>
      <c r="P152" s="133" t="s">
        <v>279</v>
      </c>
      <c r="Q152" s="157">
        <v>9.5</v>
      </c>
      <c r="R152" s="164" t="s">
        <v>281</v>
      </c>
      <c r="S152" s="130" t="s">
        <v>341</v>
      </c>
      <c r="T152" s="168"/>
      <c r="U152" s="168"/>
    </row>
    <row r="153" spans="1:26" s="72" customFormat="1">
      <c r="A153" s="2">
        <f>IF(D142=D153,A142+1,1)</f>
        <v>83</v>
      </c>
      <c r="B153" s="3" t="s">
        <v>491</v>
      </c>
      <c r="C153" s="17" t="s">
        <v>1696</v>
      </c>
      <c r="D153" s="17" t="s">
        <v>681</v>
      </c>
      <c r="E153" s="20" t="s">
        <v>72</v>
      </c>
      <c r="F153" s="46" t="s">
        <v>678</v>
      </c>
      <c r="G153" s="4" t="s">
        <v>54</v>
      </c>
      <c r="H153" s="4" t="s">
        <v>52</v>
      </c>
      <c r="I153" s="20" t="s">
        <v>73</v>
      </c>
      <c r="J153" s="21" t="s">
        <v>54</v>
      </c>
      <c r="K153" s="21" t="s">
        <v>54</v>
      </c>
      <c r="L153" s="5" t="s">
        <v>669</v>
      </c>
      <c r="M153" s="25"/>
      <c r="N153" s="20"/>
      <c r="O153" s="16"/>
      <c r="P153" s="16"/>
      <c r="Q153" s="16"/>
      <c r="R153" s="16" t="s">
        <v>680</v>
      </c>
      <c r="S153" s="2" t="s">
        <v>341</v>
      </c>
      <c r="T153" s="2"/>
      <c r="U153" s="2"/>
    </row>
    <row r="154" spans="1:26" s="72" customFormat="1">
      <c r="A154" s="2">
        <f t="shared" si="1"/>
        <v>84</v>
      </c>
      <c r="B154" s="3" t="s">
        <v>491</v>
      </c>
      <c r="C154" s="17" t="s">
        <v>1696</v>
      </c>
      <c r="D154" s="17" t="s">
        <v>681</v>
      </c>
      <c r="E154" s="20" t="s">
        <v>74</v>
      </c>
      <c r="F154" s="46" t="s">
        <v>74</v>
      </c>
      <c r="G154" s="4" t="s">
        <v>54</v>
      </c>
      <c r="H154" s="4" t="s">
        <v>52</v>
      </c>
      <c r="I154" s="20" t="s">
        <v>53</v>
      </c>
      <c r="J154" s="21">
        <v>12</v>
      </c>
      <c r="K154" s="21" t="s">
        <v>54</v>
      </c>
      <c r="L154" s="5" t="s">
        <v>669</v>
      </c>
      <c r="M154" s="25"/>
      <c r="N154" s="20"/>
      <c r="O154" s="16"/>
      <c r="P154" s="16"/>
      <c r="Q154" s="16"/>
      <c r="R154" s="16" t="s">
        <v>680</v>
      </c>
      <c r="S154" s="2" t="s">
        <v>341</v>
      </c>
      <c r="T154" s="2"/>
      <c r="U154" s="2"/>
    </row>
    <row r="155" spans="1:26" s="72" customFormat="1">
      <c r="A155" s="2">
        <f t="shared" si="1"/>
        <v>85</v>
      </c>
      <c r="B155" s="3" t="s">
        <v>491</v>
      </c>
      <c r="C155" s="17" t="s">
        <v>1696</v>
      </c>
      <c r="D155" s="17" t="s">
        <v>681</v>
      </c>
      <c r="E155" s="20" t="s">
        <v>75</v>
      </c>
      <c r="F155" s="46" t="s">
        <v>75</v>
      </c>
      <c r="G155" s="4" t="s">
        <v>54</v>
      </c>
      <c r="H155" s="4" t="s">
        <v>52</v>
      </c>
      <c r="I155" s="20" t="s">
        <v>53</v>
      </c>
      <c r="J155" s="21">
        <v>20</v>
      </c>
      <c r="K155" s="21" t="s">
        <v>54</v>
      </c>
      <c r="L155" s="5" t="s">
        <v>669</v>
      </c>
      <c r="M155" s="25"/>
      <c r="N155" s="20"/>
      <c r="O155" s="16"/>
      <c r="P155" s="16"/>
      <c r="Q155" s="16"/>
      <c r="R155" s="16" t="s">
        <v>680</v>
      </c>
      <c r="S155" s="2" t="s">
        <v>341</v>
      </c>
      <c r="T155" s="2"/>
      <c r="U155" s="2"/>
    </row>
    <row r="156" spans="1:26" s="72" customFormat="1">
      <c r="A156" s="2">
        <f t="shared" si="1"/>
        <v>1</v>
      </c>
      <c r="B156" s="3" t="s">
        <v>491</v>
      </c>
      <c r="C156" s="17" t="s">
        <v>1697</v>
      </c>
      <c r="D156" s="3" t="s">
        <v>682</v>
      </c>
      <c r="E156" s="3" t="s">
        <v>269</v>
      </c>
      <c r="F156" s="6" t="s">
        <v>494</v>
      </c>
      <c r="G156" s="4" t="s">
        <v>256</v>
      </c>
      <c r="H156" s="4" t="s">
        <v>257</v>
      </c>
      <c r="I156" s="3" t="s">
        <v>258</v>
      </c>
      <c r="J156" s="5">
        <v>12</v>
      </c>
      <c r="K156" s="5"/>
      <c r="L156" s="5" t="s">
        <v>669</v>
      </c>
      <c r="M156" s="25"/>
      <c r="N156" s="17"/>
      <c r="O156" s="16"/>
      <c r="P156" s="16"/>
      <c r="Q156" s="16"/>
      <c r="R156" s="16"/>
      <c r="S156" s="2"/>
      <c r="T156" s="2" t="s">
        <v>341</v>
      </c>
      <c r="U156" s="2"/>
    </row>
    <row r="157" spans="1:26" s="72" customFormat="1">
      <c r="A157" s="2">
        <f t="shared" si="1"/>
        <v>2</v>
      </c>
      <c r="B157" s="3" t="s">
        <v>491</v>
      </c>
      <c r="C157" s="17" t="s">
        <v>1697</v>
      </c>
      <c r="D157" s="3" t="s">
        <v>682</v>
      </c>
      <c r="E157" s="20" t="s">
        <v>260</v>
      </c>
      <c r="F157" s="46" t="s">
        <v>260</v>
      </c>
      <c r="G157" s="4" t="s">
        <v>51</v>
      </c>
      <c r="H157" s="4" t="s">
        <v>52</v>
      </c>
      <c r="I157" s="20" t="s">
        <v>53</v>
      </c>
      <c r="J157" s="21">
        <v>10</v>
      </c>
      <c r="K157" s="21" t="s">
        <v>54</v>
      </c>
      <c r="L157" s="5" t="s">
        <v>669</v>
      </c>
      <c r="M157" s="25"/>
      <c r="N157" s="20"/>
      <c r="O157" s="16"/>
      <c r="P157" s="16"/>
      <c r="Q157" s="16"/>
      <c r="R157" s="16"/>
      <c r="S157" s="2"/>
      <c r="T157" s="2" t="s">
        <v>341</v>
      </c>
      <c r="U157" s="2"/>
    </row>
    <row r="158" spans="1:26" s="72" customFormat="1">
      <c r="A158" s="2">
        <f t="shared" si="1"/>
        <v>3</v>
      </c>
      <c r="B158" s="3" t="s">
        <v>491</v>
      </c>
      <c r="C158" s="17" t="s">
        <v>1697</v>
      </c>
      <c r="D158" s="3" t="s">
        <v>682</v>
      </c>
      <c r="E158" s="20" t="s">
        <v>261</v>
      </c>
      <c r="F158" s="46" t="s">
        <v>261</v>
      </c>
      <c r="G158" s="4" t="s">
        <v>51</v>
      </c>
      <c r="H158" s="4" t="s">
        <v>52</v>
      </c>
      <c r="I158" s="20" t="s">
        <v>53</v>
      </c>
      <c r="J158" s="21">
        <v>5</v>
      </c>
      <c r="K158" s="21" t="s">
        <v>54</v>
      </c>
      <c r="L158" s="5" t="s">
        <v>669</v>
      </c>
      <c r="M158" s="25"/>
      <c r="N158" s="20"/>
      <c r="O158" s="16"/>
      <c r="P158" s="16"/>
      <c r="Q158" s="16"/>
      <c r="R158" s="16"/>
      <c r="S158" s="2"/>
      <c r="T158" s="2" t="s">
        <v>341</v>
      </c>
      <c r="U158" s="2"/>
    </row>
    <row r="159" spans="1:26" s="72" customFormat="1">
      <c r="A159" s="2">
        <f t="shared" si="1"/>
        <v>4</v>
      </c>
      <c r="B159" s="3" t="s">
        <v>491</v>
      </c>
      <c r="C159" s="17" t="s">
        <v>1697</v>
      </c>
      <c r="D159" s="3" t="s">
        <v>682</v>
      </c>
      <c r="E159" s="3" t="s">
        <v>270</v>
      </c>
      <c r="F159" s="6" t="s">
        <v>495</v>
      </c>
      <c r="G159" s="4"/>
      <c r="H159" s="4"/>
      <c r="I159" s="3" t="s">
        <v>258</v>
      </c>
      <c r="J159" s="5">
        <v>8</v>
      </c>
      <c r="K159" s="5"/>
      <c r="L159" s="5" t="s">
        <v>669</v>
      </c>
      <c r="M159" s="25"/>
      <c r="N159" s="17"/>
      <c r="O159" s="16"/>
      <c r="P159" s="16"/>
      <c r="Q159" s="16"/>
      <c r="R159" s="16"/>
      <c r="S159" s="2"/>
      <c r="T159" s="2" t="s">
        <v>341</v>
      </c>
      <c r="U159" s="2"/>
    </row>
    <row r="160" spans="1:26" s="72" customFormat="1">
      <c r="A160" s="2">
        <f t="shared" si="1"/>
        <v>5</v>
      </c>
      <c r="B160" s="3" t="s">
        <v>491</v>
      </c>
      <c r="C160" s="17" t="s">
        <v>1697</v>
      </c>
      <c r="D160" s="3" t="s">
        <v>682</v>
      </c>
      <c r="E160" s="3" t="s">
        <v>1</v>
      </c>
      <c r="F160" s="6" t="s">
        <v>1685</v>
      </c>
      <c r="G160" s="16"/>
      <c r="H160" s="16"/>
      <c r="I160" s="3" t="s">
        <v>53</v>
      </c>
      <c r="J160" s="2">
        <v>60</v>
      </c>
      <c r="K160" s="16"/>
      <c r="L160" s="5" t="s">
        <v>669</v>
      </c>
      <c r="M160" s="25"/>
      <c r="N160" s="16"/>
      <c r="O160" s="16" t="s">
        <v>327</v>
      </c>
      <c r="P160" s="16" t="s">
        <v>275</v>
      </c>
      <c r="Q160" s="16">
        <v>60</v>
      </c>
      <c r="R160" s="16" t="s">
        <v>1</v>
      </c>
      <c r="S160" s="2"/>
      <c r="T160" s="2" t="s">
        <v>341</v>
      </c>
      <c r="U160" s="2"/>
      <c r="W160" s="148"/>
      <c r="X160" s="153"/>
      <c r="Y160" s="148"/>
      <c r="Z160" s="174"/>
    </row>
    <row r="161" spans="1:22 16363:16370" s="72" customFormat="1">
      <c r="A161" s="2">
        <f t="shared" si="1"/>
        <v>6</v>
      </c>
      <c r="B161" s="3" t="s">
        <v>491</v>
      </c>
      <c r="C161" s="17" t="s">
        <v>1697</v>
      </c>
      <c r="D161" s="3" t="s">
        <v>682</v>
      </c>
      <c r="E161" s="3" t="s">
        <v>2</v>
      </c>
      <c r="F161" s="6" t="s">
        <v>1635</v>
      </c>
      <c r="G161" s="16"/>
      <c r="H161" s="4" t="s">
        <v>257</v>
      </c>
      <c r="I161" s="3" t="s">
        <v>68</v>
      </c>
      <c r="J161" s="2">
        <v>15</v>
      </c>
      <c r="K161" s="16"/>
      <c r="L161" s="5" t="s">
        <v>669</v>
      </c>
      <c r="M161" s="25"/>
      <c r="N161" s="16"/>
      <c r="O161" s="16" t="s">
        <v>327</v>
      </c>
      <c r="P161" s="16" t="s">
        <v>279</v>
      </c>
      <c r="Q161" s="16">
        <v>15</v>
      </c>
      <c r="R161" s="16" t="s">
        <v>2</v>
      </c>
      <c r="S161" s="2"/>
      <c r="T161" s="2" t="s">
        <v>341</v>
      </c>
      <c r="U161" s="2"/>
    </row>
    <row r="162" spans="1:22 16363:16370" s="72" customFormat="1">
      <c r="A162" s="2">
        <f t="shared" si="1"/>
        <v>7</v>
      </c>
      <c r="B162" s="3" t="s">
        <v>491</v>
      </c>
      <c r="C162" s="17" t="s">
        <v>1697</v>
      </c>
      <c r="D162" s="3" t="s">
        <v>682</v>
      </c>
      <c r="E162" s="3" t="s">
        <v>3</v>
      </c>
      <c r="F162" s="6" t="s">
        <v>1636</v>
      </c>
      <c r="G162" s="16"/>
      <c r="H162" s="16"/>
      <c r="I162" s="3" t="s">
        <v>53</v>
      </c>
      <c r="J162" s="2">
        <v>1</v>
      </c>
      <c r="K162" s="16"/>
      <c r="L162" s="5" t="s">
        <v>669</v>
      </c>
      <c r="M162" s="25"/>
      <c r="N162" s="16"/>
      <c r="O162" s="16" t="s">
        <v>327</v>
      </c>
      <c r="P162" s="16" t="s">
        <v>275</v>
      </c>
      <c r="Q162" s="16">
        <v>1</v>
      </c>
      <c r="R162" s="16" t="s">
        <v>3</v>
      </c>
      <c r="S162" s="2"/>
      <c r="T162" s="2" t="s">
        <v>341</v>
      </c>
      <c r="U162" s="2"/>
    </row>
    <row r="163" spans="1:22 16363:16370" s="72" customFormat="1">
      <c r="A163" s="2">
        <f t="shared" si="1"/>
        <v>8</v>
      </c>
      <c r="B163" s="3" t="s">
        <v>491</v>
      </c>
      <c r="C163" s="17" t="s">
        <v>1697</v>
      </c>
      <c r="D163" s="3" t="s">
        <v>682</v>
      </c>
      <c r="E163" s="3" t="s">
        <v>244</v>
      </c>
      <c r="F163" s="6" t="s">
        <v>1637</v>
      </c>
      <c r="G163" s="16"/>
      <c r="H163" s="16"/>
      <c r="I163" s="3" t="s">
        <v>53</v>
      </c>
      <c r="J163" s="2">
        <v>2</v>
      </c>
      <c r="K163" s="16"/>
      <c r="L163" s="5" t="s">
        <v>669</v>
      </c>
      <c r="M163" s="25"/>
      <c r="N163" s="16"/>
      <c r="O163" s="16" t="s">
        <v>327</v>
      </c>
      <c r="P163" s="16" t="s">
        <v>275</v>
      </c>
      <c r="Q163" s="16">
        <v>2</v>
      </c>
      <c r="R163" s="16" t="s">
        <v>328</v>
      </c>
      <c r="S163" s="2"/>
      <c r="T163" s="2" t="s">
        <v>341</v>
      </c>
      <c r="U163" s="2"/>
    </row>
    <row r="164" spans="1:22 16363:16370" s="72" customFormat="1">
      <c r="A164" s="2">
        <f t="shared" si="1"/>
        <v>9</v>
      </c>
      <c r="B164" s="3" t="s">
        <v>491</v>
      </c>
      <c r="C164" s="17" t="s">
        <v>1697</v>
      </c>
      <c r="D164" s="3" t="s">
        <v>682</v>
      </c>
      <c r="E164" s="3" t="s">
        <v>245</v>
      </c>
      <c r="F164" s="6" t="s">
        <v>1638</v>
      </c>
      <c r="G164" s="16"/>
      <c r="H164" s="16"/>
      <c r="I164" s="3" t="s">
        <v>53</v>
      </c>
      <c r="J164" s="2">
        <v>1</v>
      </c>
      <c r="K164" s="16"/>
      <c r="L164" s="5" t="s">
        <v>669</v>
      </c>
      <c r="M164" s="25"/>
      <c r="N164" s="16"/>
      <c r="O164" s="16" t="s">
        <v>327</v>
      </c>
      <c r="P164" s="16" t="s">
        <v>275</v>
      </c>
      <c r="Q164" s="16">
        <v>1</v>
      </c>
      <c r="R164" s="16" t="s">
        <v>329</v>
      </c>
      <c r="S164" s="2"/>
      <c r="T164" s="2" t="s">
        <v>341</v>
      </c>
      <c r="U164" s="2"/>
    </row>
    <row r="165" spans="1:22 16363:16370" s="72" customFormat="1">
      <c r="A165" s="2">
        <f t="shared" si="1"/>
        <v>10</v>
      </c>
      <c r="B165" s="3" t="s">
        <v>491</v>
      </c>
      <c r="C165" s="17" t="s">
        <v>1697</v>
      </c>
      <c r="D165" s="3" t="s">
        <v>682</v>
      </c>
      <c r="E165" s="3" t="s">
        <v>246</v>
      </c>
      <c r="F165" s="6" t="s">
        <v>1639</v>
      </c>
      <c r="G165" s="16"/>
      <c r="H165" s="4" t="s">
        <v>257</v>
      </c>
      <c r="I165" s="3" t="s">
        <v>68</v>
      </c>
      <c r="J165" s="2">
        <v>15</v>
      </c>
      <c r="K165" s="16"/>
      <c r="L165" s="5" t="s">
        <v>669</v>
      </c>
      <c r="M165" s="25"/>
      <c r="N165" s="16"/>
      <c r="O165" s="16" t="s">
        <v>327</v>
      </c>
      <c r="P165" s="16" t="s">
        <v>279</v>
      </c>
      <c r="Q165" s="16">
        <v>15</v>
      </c>
      <c r="R165" s="16" t="s">
        <v>330</v>
      </c>
      <c r="S165" s="2"/>
      <c r="T165" s="2" t="s">
        <v>341</v>
      </c>
      <c r="U165" s="2"/>
    </row>
    <row r="166" spans="1:22 16363:16370" s="72" customFormat="1">
      <c r="A166" s="2">
        <f t="shared" si="1"/>
        <v>11</v>
      </c>
      <c r="B166" s="3" t="s">
        <v>491</v>
      </c>
      <c r="C166" s="17" t="s">
        <v>1697</v>
      </c>
      <c r="D166" s="3" t="s">
        <v>682</v>
      </c>
      <c r="E166" s="3" t="s">
        <v>247</v>
      </c>
      <c r="F166" s="6" t="s">
        <v>1640</v>
      </c>
      <c r="G166" s="16"/>
      <c r="H166" s="4" t="s">
        <v>257</v>
      </c>
      <c r="I166" s="3" t="s">
        <v>68</v>
      </c>
      <c r="J166" s="2">
        <v>5</v>
      </c>
      <c r="K166" s="16"/>
      <c r="L166" s="5" t="s">
        <v>669</v>
      </c>
      <c r="M166" s="25"/>
      <c r="N166" s="16"/>
      <c r="O166" s="16" t="s">
        <v>327</v>
      </c>
      <c r="P166" s="16" t="s">
        <v>279</v>
      </c>
      <c r="Q166" s="16">
        <v>5</v>
      </c>
      <c r="R166" s="16" t="s">
        <v>293</v>
      </c>
      <c r="S166" s="2"/>
      <c r="T166" s="2" t="s">
        <v>341</v>
      </c>
      <c r="U166" s="2"/>
    </row>
    <row r="167" spans="1:22 16363:16370" s="72" customFormat="1">
      <c r="A167" s="2">
        <f t="shared" si="1"/>
        <v>12</v>
      </c>
      <c r="B167" s="3" t="s">
        <v>491</v>
      </c>
      <c r="C167" s="17" t="s">
        <v>1697</v>
      </c>
      <c r="D167" s="3" t="s">
        <v>682</v>
      </c>
      <c r="E167" s="3" t="s">
        <v>248</v>
      </c>
      <c r="F167" s="6" t="s">
        <v>1641</v>
      </c>
      <c r="G167" s="16"/>
      <c r="H167" s="4" t="s">
        <v>257</v>
      </c>
      <c r="I167" s="3" t="s">
        <v>68</v>
      </c>
      <c r="J167" s="2">
        <v>5</v>
      </c>
      <c r="K167" s="16"/>
      <c r="L167" s="5" t="s">
        <v>669</v>
      </c>
      <c r="M167" s="25"/>
      <c r="N167" s="16"/>
      <c r="O167" s="16" t="s">
        <v>327</v>
      </c>
      <c r="P167" s="16" t="s">
        <v>279</v>
      </c>
      <c r="Q167" s="16">
        <v>5</v>
      </c>
      <c r="R167" s="16" t="s">
        <v>292</v>
      </c>
      <c r="S167" s="2"/>
      <c r="T167" s="2" t="s">
        <v>341</v>
      </c>
      <c r="U167" s="2"/>
    </row>
    <row r="168" spans="1:22 16363:16370" s="72" customFormat="1">
      <c r="A168" s="2">
        <f t="shared" si="1"/>
        <v>13</v>
      </c>
      <c r="B168" s="3" t="s">
        <v>491</v>
      </c>
      <c r="C168" s="17" t="s">
        <v>1697</v>
      </c>
      <c r="D168" s="3" t="s">
        <v>682</v>
      </c>
      <c r="E168" s="3" t="s">
        <v>4</v>
      </c>
      <c r="F168" s="6" t="s">
        <v>1686</v>
      </c>
      <c r="G168" s="16"/>
      <c r="H168" s="4" t="s">
        <v>257</v>
      </c>
      <c r="I168" s="3" t="s">
        <v>68</v>
      </c>
      <c r="J168" s="2">
        <v>15</v>
      </c>
      <c r="K168" s="16"/>
      <c r="L168" s="5" t="s">
        <v>669</v>
      </c>
      <c r="M168" s="25"/>
      <c r="N168" s="16"/>
      <c r="O168" s="16" t="s">
        <v>327</v>
      </c>
      <c r="P168" s="16" t="s">
        <v>279</v>
      </c>
      <c r="Q168" s="16">
        <v>15</v>
      </c>
      <c r="R168" s="16" t="s">
        <v>4</v>
      </c>
      <c r="S168" s="2"/>
      <c r="T168" s="2" t="s">
        <v>341</v>
      </c>
      <c r="U168" s="2"/>
    </row>
    <row r="169" spans="1:22 16363:16370" s="72" customFormat="1">
      <c r="A169" s="2">
        <f t="shared" si="1"/>
        <v>14</v>
      </c>
      <c r="B169" s="3" t="s">
        <v>491</v>
      </c>
      <c r="C169" s="17" t="s">
        <v>1697</v>
      </c>
      <c r="D169" s="3" t="s">
        <v>682</v>
      </c>
      <c r="E169" s="3" t="s">
        <v>249</v>
      </c>
      <c r="F169" s="6" t="s">
        <v>249</v>
      </c>
      <c r="G169" s="16"/>
      <c r="H169" s="16"/>
      <c r="I169" s="3" t="s">
        <v>53</v>
      </c>
      <c r="J169" s="2">
        <v>2</v>
      </c>
      <c r="K169" s="16"/>
      <c r="L169" s="5" t="s">
        <v>669</v>
      </c>
      <c r="M169" s="25"/>
      <c r="N169" s="16"/>
      <c r="O169" s="16" t="s">
        <v>327</v>
      </c>
      <c r="P169" s="16" t="s">
        <v>275</v>
      </c>
      <c r="Q169" s="16">
        <v>2</v>
      </c>
      <c r="R169" s="16" t="s">
        <v>331</v>
      </c>
      <c r="S169" s="2"/>
      <c r="T169" s="2" t="s">
        <v>341</v>
      </c>
      <c r="U169" s="2"/>
    </row>
    <row r="170" spans="1:22 16363:16370" s="72" customFormat="1">
      <c r="A170" s="2">
        <f t="shared" si="1"/>
        <v>15</v>
      </c>
      <c r="B170" s="3" t="s">
        <v>491</v>
      </c>
      <c r="C170" s="17" t="s">
        <v>1697</v>
      </c>
      <c r="D170" s="3" t="s">
        <v>682</v>
      </c>
      <c r="E170" s="3" t="s">
        <v>5</v>
      </c>
      <c r="F170" s="6" t="s">
        <v>1642</v>
      </c>
      <c r="G170" s="16"/>
      <c r="H170" s="16"/>
      <c r="I170" s="3" t="s">
        <v>53</v>
      </c>
      <c r="J170" s="2">
        <v>1</v>
      </c>
      <c r="K170" s="16"/>
      <c r="L170" s="5" t="s">
        <v>669</v>
      </c>
      <c r="M170" s="25"/>
      <c r="N170" s="16"/>
      <c r="O170" s="16" t="s">
        <v>327</v>
      </c>
      <c r="P170" s="16" t="s">
        <v>275</v>
      </c>
      <c r="Q170" s="16">
        <v>1</v>
      </c>
      <c r="R170" s="16" t="s">
        <v>5</v>
      </c>
      <c r="S170" s="2"/>
      <c r="T170" s="2" t="s">
        <v>341</v>
      </c>
      <c r="U170" s="2"/>
    </row>
    <row r="171" spans="1:22 16363:16370" s="72" customFormat="1">
      <c r="A171" s="2">
        <f t="shared" si="1"/>
        <v>16</v>
      </c>
      <c r="B171" s="3" t="s">
        <v>491</v>
      </c>
      <c r="C171" s="17" t="s">
        <v>1697</v>
      </c>
      <c r="D171" s="3" t="s">
        <v>682</v>
      </c>
      <c r="E171" s="3" t="s">
        <v>6</v>
      </c>
      <c r="F171" s="6" t="s">
        <v>6</v>
      </c>
      <c r="G171" s="16"/>
      <c r="H171" s="16"/>
      <c r="I171" s="3" t="s">
        <v>53</v>
      </c>
      <c r="J171" s="2">
        <v>1</v>
      </c>
      <c r="K171" s="16"/>
      <c r="L171" s="5" t="s">
        <v>669</v>
      </c>
      <c r="M171" s="25"/>
      <c r="N171" s="16"/>
      <c r="O171" s="16" t="s">
        <v>327</v>
      </c>
      <c r="P171" s="16" t="s">
        <v>275</v>
      </c>
      <c r="Q171" s="16">
        <v>1</v>
      </c>
      <c r="R171" s="16" t="s">
        <v>6</v>
      </c>
      <c r="S171" s="2"/>
      <c r="T171" s="2" t="s">
        <v>341</v>
      </c>
      <c r="U171" s="2"/>
    </row>
    <row r="172" spans="1:22 16363:16370" s="72" customFormat="1">
      <c r="A172" s="2">
        <f t="shared" si="1"/>
        <v>17</v>
      </c>
      <c r="B172" s="3" t="s">
        <v>491</v>
      </c>
      <c r="C172" s="17" t="s">
        <v>1697</v>
      </c>
      <c r="D172" s="3" t="s">
        <v>682</v>
      </c>
      <c r="E172" s="3" t="s">
        <v>7</v>
      </c>
      <c r="F172" s="6" t="s">
        <v>7</v>
      </c>
      <c r="G172" s="16"/>
      <c r="H172" s="16"/>
      <c r="I172" s="16" t="s">
        <v>53</v>
      </c>
      <c r="J172" s="2">
        <v>1</v>
      </c>
      <c r="K172" s="16"/>
      <c r="L172" s="5" t="s">
        <v>669</v>
      </c>
      <c r="M172" s="25"/>
      <c r="N172" s="16"/>
      <c r="O172" s="16" t="s">
        <v>327</v>
      </c>
      <c r="P172" s="16" t="s">
        <v>275</v>
      </c>
      <c r="Q172" s="16">
        <v>1</v>
      </c>
      <c r="R172" s="16" t="s">
        <v>7</v>
      </c>
      <c r="S172" s="2"/>
      <c r="T172" s="2" t="s">
        <v>341</v>
      </c>
      <c r="U172" s="2"/>
    </row>
    <row r="173" spans="1:22 16363:16370" s="72" customFormat="1">
      <c r="A173" s="2">
        <f t="shared" si="1"/>
        <v>18</v>
      </c>
      <c r="B173" s="3" t="s">
        <v>491</v>
      </c>
      <c r="C173" s="17" t="s">
        <v>1697</v>
      </c>
      <c r="D173" s="3" t="s">
        <v>682</v>
      </c>
      <c r="E173" s="3" t="s">
        <v>250</v>
      </c>
      <c r="F173" s="6" t="s">
        <v>1643</v>
      </c>
      <c r="G173" s="16"/>
      <c r="H173" s="4" t="s">
        <v>257</v>
      </c>
      <c r="I173" s="16" t="s">
        <v>68</v>
      </c>
      <c r="J173" s="2">
        <v>15</v>
      </c>
      <c r="K173" s="16"/>
      <c r="L173" s="5" t="s">
        <v>669</v>
      </c>
      <c r="M173" s="25"/>
      <c r="N173" s="16"/>
      <c r="O173" s="16" t="s">
        <v>327</v>
      </c>
      <c r="P173" s="16" t="s">
        <v>279</v>
      </c>
      <c r="Q173" s="16">
        <v>15</v>
      </c>
      <c r="R173" s="16" t="s">
        <v>332</v>
      </c>
      <c r="S173" s="2"/>
      <c r="T173" s="2" t="s">
        <v>341</v>
      </c>
      <c r="U173" s="2"/>
    </row>
    <row r="174" spans="1:22 16363:16370" s="72" customFormat="1">
      <c r="A174" s="2">
        <f t="shared" si="1"/>
        <v>19</v>
      </c>
      <c r="B174" s="3" t="s">
        <v>491</v>
      </c>
      <c r="C174" s="17" t="s">
        <v>1697</v>
      </c>
      <c r="D174" s="3" t="s">
        <v>682</v>
      </c>
      <c r="E174" s="3" t="s">
        <v>251</v>
      </c>
      <c r="F174" s="6" t="s">
        <v>251</v>
      </c>
      <c r="G174" s="16"/>
      <c r="H174" s="4" t="s">
        <v>257</v>
      </c>
      <c r="I174" s="16" t="s">
        <v>68</v>
      </c>
      <c r="J174" s="2">
        <v>9</v>
      </c>
      <c r="K174" s="2">
        <v>5</v>
      </c>
      <c r="L174" s="5" t="s">
        <v>669</v>
      </c>
      <c r="M174" s="25"/>
      <c r="N174" s="16"/>
      <c r="O174" s="16" t="s">
        <v>327</v>
      </c>
      <c r="P174" s="16" t="s">
        <v>279</v>
      </c>
      <c r="Q174" s="16">
        <v>9.5</v>
      </c>
      <c r="R174" s="16" t="s">
        <v>281</v>
      </c>
      <c r="S174" s="2"/>
      <c r="T174" s="2" t="s">
        <v>341</v>
      </c>
      <c r="U174" s="2"/>
      <c r="XEO174" s="2"/>
      <c r="XEP174" s="3"/>
    </row>
    <row r="175" spans="1:22 16363:16370" s="72" customFormat="1">
      <c r="A175" s="2">
        <f t="shared" si="1"/>
        <v>20</v>
      </c>
      <c r="B175" s="3" t="s">
        <v>491</v>
      </c>
      <c r="C175" s="17" t="s">
        <v>1697</v>
      </c>
      <c r="D175" s="3" t="s">
        <v>682</v>
      </c>
      <c r="E175" s="3" t="s">
        <v>252</v>
      </c>
      <c r="F175" s="104" t="s">
        <v>1694</v>
      </c>
      <c r="G175" s="16"/>
      <c r="H175" s="16"/>
      <c r="I175" s="16" t="s">
        <v>53</v>
      </c>
      <c r="J175" s="2">
        <v>2</v>
      </c>
      <c r="K175" s="16"/>
      <c r="L175" s="5" t="s">
        <v>669</v>
      </c>
      <c r="M175" s="25"/>
      <c r="N175" s="16"/>
      <c r="O175" s="16" t="s">
        <v>327</v>
      </c>
      <c r="P175" s="16" t="s">
        <v>275</v>
      </c>
      <c r="Q175" s="16">
        <v>2</v>
      </c>
      <c r="R175" s="16" t="s">
        <v>333</v>
      </c>
      <c r="S175" s="2"/>
      <c r="T175" s="2" t="s">
        <v>341</v>
      </c>
      <c r="U175" s="2"/>
      <c r="XEI175" s="2"/>
      <c r="XEJ175" s="3"/>
      <c r="XEO175" s="2"/>
      <c r="XEP175" s="3"/>
    </row>
    <row r="176" spans="1:22 16363:16370" s="74" customFormat="1">
      <c r="A176" s="2">
        <f t="shared" si="1"/>
        <v>21</v>
      </c>
      <c r="B176" s="3" t="s">
        <v>491</v>
      </c>
      <c r="C176" s="17" t="s">
        <v>1697</v>
      </c>
      <c r="D176" s="3" t="s">
        <v>682</v>
      </c>
      <c r="E176" s="3" t="s">
        <v>253</v>
      </c>
      <c r="F176" s="6" t="s">
        <v>253</v>
      </c>
      <c r="G176" s="16"/>
      <c r="H176" s="4" t="s">
        <v>257</v>
      </c>
      <c r="I176" s="16" t="s">
        <v>68</v>
      </c>
      <c r="J176" s="2">
        <v>15</v>
      </c>
      <c r="K176" s="16"/>
      <c r="L176" s="5" t="s">
        <v>669</v>
      </c>
      <c r="M176" s="25"/>
      <c r="N176" s="16"/>
      <c r="O176" s="16" t="s">
        <v>327</v>
      </c>
      <c r="P176" s="16" t="s">
        <v>279</v>
      </c>
      <c r="Q176" s="16">
        <v>15</v>
      </c>
      <c r="R176" s="16" t="s">
        <v>334</v>
      </c>
      <c r="S176" s="2"/>
      <c r="T176" s="2" t="s">
        <v>341</v>
      </c>
      <c r="U176" s="2"/>
      <c r="V176" s="72"/>
    </row>
    <row r="177" spans="1:21" s="72" customFormat="1">
      <c r="A177" s="2">
        <f t="shared" si="1"/>
        <v>22</v>
      </c>
      <c r="B177" s="3" t="s">
        <v>491</v>
      </c>
      <c r="C177" s="17" t="s">
        <v>1697</v>
      </c>
      <c r="D177" s="3" t="s">
        <v>682</v>
      </c>
      <c r="E177" s="3" t="s">
        <v>254</v>
      </c>
      <c r="F177" s="6" t="s">
        <v>254</v>
      </c>
      <c r="G177" s="16"/>
      <c r="H177" s="4" t="s">
        <v>257</v>
      </c>
      <c r="I177" s="16" t="s">
        <v>68</v>
      </c>
      <c r="J177" s="2">
        <v>15</v>
      </c>
      <c r="K177" s="16"/>
      <c r="L177" s="5" t="s">
        <v>669</v>
      </c>
      <c r="M177" s="25"/>
      <c r="N177" s="16"/>
      <c r="O177" s="16" t="s">
        <v>327</v>
      </c>
      <c r="P177" s="16" t="s">
        <v>279</v>
      </c>
      <c r="Q177" s="16">
        <v>15</v>
      </c>
      <c r="R177" s="16" t="s">
        <v>335</v>
      </c>
      <c r="S177" s="2"/>
      <c r="T177" s="2" t="s">
        <v>341</v>
      </c>
      <c r="U177" s="2"/>
    </row>
    <row r="178" spans="1:21" s="72" customFormat="1">
      <c r="A178" s="2">
        <f t="shared" si="1"/>
        <v>23</v>
      </c>
      <c r="B178" s="3" t="s">
        <v>491</v>
      </c>
      <c r="C178" s="17" t="s">
        <v>1697</v>
      </c>
      <c r="D178" s="3" t="s">
        <v>682</v>
      </c>
      <c r="E178" s="3" t="s">
        <v>255</v>
      </c>
      <c r="F178" s="6" t="s">
        <v>255</v>
      </c>
      <c r="G178" s="16"/>
      <c r="H178" s="16"/>
      <c r="I178" s="16" t="s">
        <v>53</v>
      </c>
      <c r="J178" s="2">
        <v>2</v>
      </c>
      <c r="K178" s="16"/>
      <c r="L178" s="5" t="s">
        <v>669</v>
      </c>
      <c r="M178" s="25"/>
      <c r="N178" s="16"/>
      <c r="O178" s="16" t="s">
        <v>327</v>
      </c>
      <c r="P178" s="16" t="s">
        <v>275</v>
      </c>
      <c r="Q178" s="16">
        <v>2</v>
      </c>
      <c r="R178" s="16" t="s">
        <v>336</v>
      </c>
      <c r="S178" s="2"/>
      <c r="T178" s="2" t="s">
        <v>341</v>
      </c>
      <c r="U178" s="2"/>
    </row>
    <row r="179" spans="1:21" s="72" customFormat="1">
      <c r="A179" s="131" t="s">
        <v>2329</v>
      </c>
      <c r="B179" s="161" t="s">
        <v>491</v>
      </c>
      <c r="C179" s="165" t="s">
        <v>1697</v>
      </c>
      <c r="D179" s="161" t="s">
        <v>682</v>
      </c>
      <c r="E179" s="144" t="s">
        <v>2705</v>
      </c>
      <c r="F179" s="164" t="s">
        <v>2818</v>
      </c>
      <c r="G179" s="155"/>
      <c r="H179" s="155"/>
      <c r="I179" s="160" t="s">
        <v>53</v>
      </c>
      <c r="J179" s="134">
        <v>1</v>
      </c>
      <c r="K179" s="155"/>
      <c r="L179" s="138"/>
      <c r="M179" s="139"/>
      <c r="N179" s="155"/>
      <c r="O179" s="134" t="s">
        <v>327</v>
      </c>
      <c r="P179" s="169" t="s">
        <v>275</v>
      </c>
      <c r="Q179" s="134">
        <v>1</v>
      </c>
      <c r="R179" s="144" t="s">
        <v>2705</v>
      </c>
      <c r="S179" s="156"/>
      <c r="T179" s="130" t="s">
        <v>341</v>
      </c>
      <c r="U179" s="156"/>
    </row>
    <row r="180" spans="1:21" s="72" customFormat="1">
      <c r="A180" s="131" t="s">
        <v>2329</v>
      </c>
      <c r="B180" s="161" t="s">
        <v>491</v>
      </c>
      <c r="C180" s="165" t="s">
        <v>1697</v>
      </c>
      <c r="D180" s="161" t="s">
        <v>682</v>
      </c>
      <c r="E180" s="144" t="s">
        <v>2706</v>
      </c>
      <c r="F180" s="164" t="s">
        <v>2706</v>
      </c>
      <c r="G180" s="155"/>
      <c r="H180" s="155"/>
      <c r="I180" s="160" t="s">
        <v>53</v>
      </c>
      <c r="J180" s="134">
        <v>1</v>
      </c>
      <c r="K180" s="155"/>
      <c r="L180" s="138"/>
      <c r="M180" s="139"/>
      <c r="N180" s="155"/>
      <c r="O180" s="134" t="s">
        <v>327</v>
      </c>
      <c r="P180" s="169" t="s">
        <v>275</v>
      </c>
      <c r="Q180" s="134">
        <v>1</v>
      </c>
      <c r="R180" s="144" t="s">
        <v>2706</v>
      </c>
      <c r="S180" s="156"/>
      <c r="T180" s="130" t="s">
        <v>341</v>
      </c>
      <c r="U180" s="156"/>
    </row>
    <row r="181" spans="1:21" s="72" customFormat="1">
      <c r="A181" s="131" t="s">
        <v>2329</v>
      </c>
      <c r="B181" s="161" t="s">
        <v>491</v>
      </c>
      <c r="C181" s="165" t="s">
        <v>1697</v>
      </c>
      <c r="D181" s="161" t="s">
        <v>682</v>
      </c>
      <c r="E181" s="144" t="s">
        <v>2707</v>
      </c>
      <c r="F181" s="164" t="s">
        <v>2819</v>
      </c>
      <c r="G181" s="155"/>
      <c r="H181" s="155"/>
      <c r="I181" s="160" t="s">
        <v>53</v>
      </c>
      <c r="J181" s="134">
        <v>1</v>
      </c>
      <c r="K181" s="155"/>
      <c r="L181" s="138"/>
      <c r="M181" s="139"/>
      <c r="N181" s="155"/>
      <c r="O181" s="134" t="s">
        <v>327</v>
      </c>
      <c r="P181" s="134" t="s">
        <v>275</v>
      </c>
      <c r="Q181" s="134">
        <v>1</v>
      </c>
      <c r="R181" s="144" t="s">
        <v>2707</v>
      </c>
      <c r="S181" s="156"/>
      <c r="T181" s="130" t="s">
        <v>341</v>
      </c>
      <c r="U181" s="156"/>
    </row>
    <row r="182" spans="1:21" s="72" customFormat="1">
      <c r="A182" s="131" t="s">
        <v>2329</v>
      </c>
      <c r="B182" s="161" t="s">
        <v>491</v>
      </c>
      <c r="C182" s="165" t="s">
        <v>1697</v>
      </c>
      <c r="D182" s="161" t="s">
        <v>682</v>
      </c>
      <c r="E182" s="144" t="s">
        <v>2708</v>
      </c>
      <c r="F182" s="164" t="s">
        <v>2708</v>
      </c>
      <c r="G182" s="155"/>
      <c r="H182" s="155"/>
      <c r="I182" s="160" t="s">
        <v>53</v>
      </c>
      <c r="J182" s="134">
        <v>1</v>
      </c>
      <c r="K182" s="155"/>
      <c r="L182" s="138"/>
      <c r="M182" s="139"/>
      <c r="N182" s="155"/>
      <c r="O182" s="134" t="s">
        <v>327</v>
      </c>
      <c r="P182" s="134" t="s">
        <v>275</v>
      </c>
      <c r="Q182" s="134">
        <v>1</v>
      </c>
      <c r="R182" s="144" t="s">
        <v>2708</v>
      </c>
      <c r="S182" s="156"/>
      <c r="T182" s="130" t="s">
        <v>341</v>
      </c>
      <c r="U182" s="156"/>
    </row>
    <row r="183" spans="1:21" s="72" customFormat="1">
      <c r="A183" s="131" t="s">
        <v>2329</v>
      </c>
      <c r="B183" s="161" t="s">
        <v>491</v>
      </c>
      <c r="C183" s="165" t="s">
        <v>1697</v>
      </c>
      <c r="D183" s="161" t="s">
        <v>682</v>
      </c>
      <c r="E183" s="144" t="s">
        <v>2709</v>
      </c>
      <c r="F183" s="164" t="s">
        <v>2820</v>
      </c>
      <c r="G183" s="155"/>
      <c r="H183" s="155"/>
      <c r="I183" s="160" t="s">
        <v>68</v>
      </c>
      <c r="J183" s="134">
        <v>15</v>
      </c>
      <c r="K183" s="155"/>
      <c r="L183" s="138"/>
      <c r="M183" s="139"/>
      <c r="N183" s="155"/>
      <c r="O183" s="134" t="s">
        <v>327</v>
      </c>
      <c r="P183" s="134" t="s">
        <v>279</v>
      </c>
      <c r="Q183" s="134">
        <v>15</v>
      </c>
      <c r="R183" s="144" t="s">
        <v>2709</v>
      </c>
      <c r="S183" s="156"/>
      <c r="T183" s="130" t="s">
        <v>341</v>
      </c>
      <c r="U183" s="156"/>
    </row>
    <row r="184" spans="1:21" s="72" customFormat="1">
      <c r="A184" s="131" t="s">
        <v>2329</v>
      </c>
      <c r="B184" s="161" t="s">
        <v>491</v>
      </c>
      <c r="C184" s="165" t="s">
        <v>1697</v>
      </c>
      <c r="D184" s="161" t="s">
        <v>682</v>
      </c>
      <c r="E184" s="144" t="s">
        <v>2710</v>
      </c>
      <c r="F184" s="164" t="s">
        <v>2821</v>
      </c>
      <c r="G184" s="155"/>
      <c r="H184" s="155"/>
      <c r="I184" s="160" t="s">
        <v>68</v>
      </c>
      <c r="J184" s="134">
        <v>15</v>
      </c>
      <c r="K184" s="155"/>
      <c r="L184" s="138"/>
      <c r="M184" s="139"/>
      <c r="N184" s="155"/>
      <c r="O184" s="134" t="s">
        <v>327</v>
      </c>
      <c r="P184" s="134" t="s">
        <v>279</v>
      </c>
      <c r="Q184" s="134">
        <v>15</v>
      </c>
      <c r="R184" s="144" t="s">
        <v>2710</v>
      </c>
      <c r="S184" s="156"/>
      <c r="T184" s="130" t="s">
        <v>341</v>
      </c>
      <c r="U184" s="156"/>
    </row>
    <row r="185" spans="1:21" s="72" customFormat="1">
      <c r="A185" s="131" t="s">
        <v>2329</v>
      </c>
      <c r="B185" s="161" t="s">
        <v>491</v>
      </c>
      <c r="C185" s="165" t="s">
        <v>1697</v>
      </c>
      <c r="D185" s="161" t="s">
        <v>682</v>
      </c>
      <c r="E185" s="144" t="s">
        <v>1975</v>
      </c>
      <c r="F185" s="164" t="s">
        <v>2822</v>
      </c>
      <c r="G185" s="155"/>
      <c r="H185" s="155"/>
      <c r="I185" s="160" t="s">
        <v>68</v>
      </c>
      <c r="J185" s="134">
        <v>15</v>
      </c>
      <c r="K185" s="155"/>
      <c r="L185" s="138"/>
      <c r="M185" s="139"/>
      <c r="N185" s="155"/>
      <c r="O185" s="134" t="s">
        <v>327</v>
      </c>
      <c r="P185" s="134" t="s">
        <v>279</v>
      </c>
      <c r="Q185" s="134">
        <v>15</v>
      </c>
      <c r="R185" s="144" t="s">
        <v>1975</v>
      </c>
      <c r="S185" s="156"/>
      <c r="T185" s="130" t="s">
        <v>341</v>
      </c>
      <c r="U185" s="156"/>
    </row>
    <row r="186" spans="1:21" s="72" customFormat="1">
      <c r="A186" s="131" t="s">
        <v>2329</v>
      </c>
      <c r="B186" s="161" t="s">
        <v>491</v>
      </c>
      <c r="C186" s="165" t="s">
        <v>1697</v>
      </c>
      <c r="D186" s="161" t="s">
        <v>682</v>
      </c>
      <c r="E186" s="144" t="s">
        <v>1977</v>
      </c>
      <c r="F186" s="164" t="s">
        <v>2823</v>
      </c>
      <c r="G186" s="173"/>
      <c r="H186" s="173"/>
      <c r="I186" s="160" t="s">
        <v>68</v>
      </c>
      <c r="J186" s="134">
        <v>15</v>
      </c>
      <c r="K186" s="173"/>
      <c r="L186" s="151"/>
      <c r="M186" s="159"/>
      <c r="N186" s="173"/>
      <c r="O186" s="134" t="s">
        <v>327</v>
      </c>
      <c r="P186" s="134" t="s">
        <v>279</v>
      </c>
      <c r="Q186" s="134">
        <v>15</v>
      </c>
      <c r="R186" s="144" t="s">
        <v>1977</v>
      </c>
      <c r="S186" s="141"/>
      <c r="T186" s="130" t="s">
        <v>341</v>
      </c>
      <c r="U186" s="141"/>
    </row>
    <row r="187" spans="1:21" s="72" customFormat="1">
      <c r="A187" s="131" t="s">
        <v>2329</v>
      </c>
      <c r="B187" s="161" t="s">
        <v>491</v>
      </c>
      <c r="C187" s="165" t="s">
        <v>1697</v>
      </c>
      <c r="D187" s="161" t="s">
        <v>682</v>
      </c>
      <c r="E187" s="144" t="s">
        <v>2711</v>
      </c>
      <c r="F187" s="164" t="s">
        <v>2824</v>
      </c>
      <c r="G187" s="173"/>
      <c r="H187" s="173"/>
      <c r="I187" s="160" t="s">
        <v>68</v>
      </c>
      <c r="J187" s="134">
        <v>15</v>
      </c>
      <c r="K187" s="173"/>
      <c r="L187" s="151"/>
      <c r="M187" s="159"/>
      <c r="N187" s="173"/>
      <c r="O187" s="134" t="s">
        <v>327</v>
      </c>
      <c r="P187" s="134" t="s">
        <v>279</v>
      </c>
      <c r="Q187" s="134">
        <v>15</v>
      </c>
      <c r="R187" s="144" t="s">
        <v>2711</v>
      </c>
      <c r="S187" s="141"/>
      <c r="T187" s="130" t="s">
        <v>341</v>
      </c>
      <c r="U187" s="141"/>
    </row>
    <row r="188" spans="1:21" s="72" customFormat="1">
      <c r="A188" s="131" t="s">
        <v>2329</v>
      </c>
      <c r="B188" s="161" t="s">
        <v>491</v>
      </c>
      <c r="C188" s="165" t="s">
        <v>1697</v>
      </c>
      <c r="D188" s="161" t="s">
        <v>682</v>
      </c>
      <c r="E188" s="144" t="s">
        <v>2712</v>
      </c>
      <c r="F188" s="164" t="s">
        <v>2825</v>
      </c>
      <c r="G188" s="173"/>
      <c r="H188" s="173"/>
      <c r="I188" s="160" t="s">
        <v>68</v>
      </c>
      <c r="J188" s="134">
        <v>15</v>
      </c>
      <c r="K188" s="173"/>
      <c r="L188" s="151"/>
      <c r="M188" s="159"/>
      <c r="N188" s="173"/>
      <c r="O188" s="134" t="s">
        <v>327</v>
      </c>
      <c r="P188" s="134" t="s">
        <v>279</v>
      </c>
      <c r="Q188" s="134">
        <v>15</v>
      </c>
      <c r="R188" s="144" t="s">
        <v>2712</v>
      </c>
      <c r="S188" s="141"/>
      <c r="T188" s="130" t="s">
        <v>341</v>
      </c>
      <c r="U188" s="141"/>
    </row>
    <row r="189" spans="1:21" s="72" customFormat="1">
      <c r="A189" s="131" t="s">
        <v>2329</v>
      </c>
      <c r="B189" s="161" t="s">
        <v>491</v>
      </c>
      <c r="C189" s="165" t="s">
        <v>1697</v>
      </c>
      <c r="D189" s="161" t="s">
        <v>682</v>
      </c>
      <c r="E189" s="144" t="s">
        <v>2713</v>
      </c>
      <c r="F189" s="164" t="s">
        <v>2826</v>
      </c>
      <c r="G189" s="173"/>
      <c r="H189" s="173"/>
      <c r="I189" s="160" t="s">
        <v>68</v>
      </c>
      <c r="J189" s="134">
        <v>15</v>
      </c>
      <c r="K189" s="173"/>
      <c r="L189" s="151"/>
      <c r="M189" s="159"/>
      <c r="N189" s="173"/>
      <c r="O189" s="134" t="s">
        <v>327</v>
      </c>
      <c r="P189" s="134" t="s">
        <v>279</v>
      </c>
      <c r="Q189" s="134">
        <v>15</v>
      </c>
      <c r="R189" s="144" t="s">
        <v>2713</v>
      </c>
      <c r="S189" s="141"/>
      <c r="T189" s="130" t="s">
        <v>341</v>
      </c>
      <c r="U189" s="141"/>
    </row>
    <row r="190" spans="1:21" s="72" customFormat="1">
      <c r="A190" s="131" t="s">
        <v>2329</v>
      </c>
      <c r="B190" s="161" t="s">
        <v>491</v>
      </c>
      <c r="C190" s="165" t="s">
        <v>1697</v>
      </c>
      <c r="D190" s="161" t="s">
        <v>682</v>
      </c>
      <c r="E190" s="144" t="s">
        <v>1931</v>
      </c>
      <c r="F190" s="164" t="s">
        <v>2827</v>
      </c>
      <c r="G190" s="173"/>
      <c r="H190" s="173"/>
      <c r="I190" s="160" t="s">
        <v>68</v>
      </c>
      <c r="J190" s="134">
        <v>15</v>
      </c>
      <c r="K190" s="173"/>
      <c r="L190" s="151"/>
      <c r="M190" s="159"/>
      <c r="N190" s="173"/>
      <c r="O190" s="134" t="s">
        <v>327</v>
      </c>
      <c r="P190" s="134" t="s">
        <v>279</v>
      </c>
      <c r="Q190" s="134">
        <v>15</v>
      </c>
      <c r="R190" s="144" t="s">
        <v>1931</v>
      </c>
      <c r="S190" s="141"/>
      <c r="T190" s="130" t="s">
        <v>341</v>
      </c>
      <c r="U190" s="141"/>
    </row>
    <row r="191" spans="1:21" s="72" customFormat="1">
      <c r="A191" s="131" t="s">
        <v>2329</v>
      </c>
      <c r="B191" s="161" t="s">
        <v>491</v>
      </c>
      <c r="C191" s="165" t="s">
        <v>1697</v>
      </c>
      <c r="D191" s="161" t="s">
        <v>682</v>
      </c>
      <c r="E191" s="144" t="s">
        <v>2714</v>
      </c>
      <c r="F191" s="164" t="s">
        <v>2828</v>
      </c>
      <c r="G191" s="173"/>
      <c r="H191" s="173"/>
      <c r="I191" s="160" t="s">
        <v>68</v>
      </c>
      <c r="J191" s="134">
        <v>15</v>
      </c>
      <c r="K191" s="173"/>
      <c r="L191" s="151"/>
      <c r="M191" s="159"/>
      <c r="N191" s="173"/>
      <c r="O191" s="134" t="s">
        <v>327</v>
      </c>
      <c r="P191" s="134" t="s">
        <v>279</v>
      </c>
      <c r="Q191" s="134">
        <v>15</v>
      </c>
      <c r="R191" s="144" t="s">
        <v>2714</v>
      </c>
      <c r="S191" s="141"/>
      <c r="T191" s="130" t="s">
        <v>341</v>
      </c>
      <c r="U191" s="141"/>
    </row>
    <row r="192" spans="1:21" s="72" customFormat="1">
      <c r="A192" s="131" t="s">
        <v>2329</v>
      </c>
      <c r="B192" s="161" t="s">
        <v>491</v>
      </c>
      <c r="C192" s="165" t="s">
        <v>1697</v>
      </c>
      <c r="D192" s="161" t="s">
        <v>682</v>
      </c>
      <c r="E192" s="163" t="s">
        <v>2715</v>
      </c>
      <c r="F192" s="164" t="s">
        <v>2829</v>
      </c>
      <c r="G192" s="173"/>
      <c r="H192" s="173"/>
      <c r="I192" s="160" t="s">
        <v>68</v>
      </c>
      <c r="J192" s="167">
        <v>5</v>
      </c>
      <c r="K192" s="150">
        <v>2</v>
      </c>
      <c r="L192" s="151"/>
      <c r="M192" s="159"/>
      <c r="N192" s="173"/>
      <c r="O192" s="134" t="s">
        <v>327</v>
      </c>
      <c r="P192" s="167" t="s">
        <v>279</v>
      </c>
      <c r="Q192" s="167">
        <v>5.2</v>
      </c>
      <c r="R192" s="163" t="s">
        <v>2715</v>
      </c>
      <c r="S192" s="141"/>
      <c r="T192" s="130" t="s">
        <v>341</v>
      </c>
      <c r="U192" s="141"/>
    </row>
    <row r="193" spans="1:21" s="72" customFormat="1">
      <c r="A193" s="131" t="s">
        <v>2329</v>
      </c>
      <c r="B193" s="161" t="s">
        <v>491</v>
      </c>
      <c r="C193" s="165" t="s">
        <v>1697</v>
      </c>
      <c r="D193" s="161" t="s">
        <v>682</v>
      </c>
      <c r="E193" s="163" t="s">
        <v>2568</v>
      </c>
      <c r="F193" s="164" t="s">
        <v>2830</v>
      </c>
      <c r="G193" s="173"/>
      <c r="H193" s="173"/>
      <c r="I193" s="160" t="s">
        <v>53</v>
      </c>
      <c r="J193" s="167">
        <v>2</v>
      </c>
      <c r="K193" s="173"/>
      <c r="L193" s="151"/>
      <c r="M193" s="159"/>
      <c r="N193" s="173"/>
      <c r="O193" s="134" t="s">
        <v>327</v>
      </c>
      <c r="P193" s="167" t="s">
        <v>275</v>
      </c>
      <c r="Q193" s="167">
        <v>2</v>
      </c>
      <c r="R193" s="163" t="s">
        <v>1331</v>
      </c>
      <c r="S193" s="141"/>
      <c r="T193" s="130" t="s">
        <v>341</v>
      </c>
      <c r="U193" s="141"/>
    </row>
    <row r="194" spans="1:21" s="72" customFormat="1">
      <c r="A194" s="131" t="s">
        <v>2329</v>
      </c>
      <c r="B194" s="161" t="s">
        <v>491</v>
      </c>
      <c r="C194" s="165" t="s">
        <v>1697</v>
      </c>
      <c r="D194" s="161" t="s">
        <v>682</v>
      </c>
      <c r="E194" s="163" t="s">
        <v>2567</v>
      </c>
      <c r="F194" s="164" t="s">
        <v>1298</v>
      </c>
      <c r="G194" s="173"/>
      <c r="H194" s="173"/>
      <c r="I194" s="160" t="s">
        <v>68</v>
      </c>
      <c r="J194" s="167">
        <v>3</v>
      </c>
      <c r="K194" s="173"/>
      <c r="L194" s="151"/>
      <c r="M194" s="159"/>
      <c r="N194" s="173"/>
      <c r="O194" s="134" t="s">
        <v>327</v>
      </c>
      <c r="P194" s="167" t="s">
        <v>279</v>
      </c>
      <c r="Q194" s="167">
        <v>3</v>
      </c>
      <c r="R194" s="163" t="s">
        <v>1297</v>
      </c>
      <c r="S194" s="141"/>
      <c r="T194" s="130" t="s">
        <v>341</v>
      </c>
      <c r="U194" s="141"/>
    </row>
    <row r="195" spans="1:21" s="72" customFormat="1">
      <c r="A195" s="131" t="s">
        <v>2329</v>
      </c>
      <c r="B195" s="161" t="s">
        <v>491</v>
      </c>
      <c r="C195" s="165" t="s">
        <v>1697</v>
      </c>
      <c r="D195" s="161" t="s">
        <v>682</v>
      </c>
      <c r="E195" s="163" t="s">
        <v>687</v>
      </c>
      <c r="F195" s="164" t="s">
        <v>687</v>
      </c>
      <c r="G195" s="173"/>
      <c r="H195" s="173"/>
      <c r="I195" s="160" t="s">
        <v>53</v>
      </c>
      <c r="J195" s="167">
        <v>1</v>
      </c>
      <c r="K195" s="173"/>
      <c r="L195" s="151"/>
      <c r="M195" s="159"/>
      <c r="N195" s="173"/>
      <c r="O195" s="134" t="s">
        <v>327</v>
      </c>
      <c r="P195" s="167" t="s">
        <v>275</v>
      </c>
      <c r="Q195" s="167">
        <v>1</v>
      </c>
      <c r="R195" s="163" t="s">
        <v>687</v>
      </c>
      <c r="S195" s="141"/>
      <c r="T195" s="130" t="s">
        <v>341</v>
      </c>
      <c r="U195" s="141"/>
    </row>
    <row r="196" spans="1:21" s="72" customFormat="1">
      <c r="A196" s="131" t="s">
        <v>2329</v>
      </c>
      <c r="B196" s="161" t="s">
        <v>491</v>
      </c>
      <c r="C196" s="165" t="s">
        <v>1697</v>
      </c>
      <c r="D196" s="161" t="s">
        <v>682</v>
      </c>
      <c r="E196" s="163" t="s">
        <v>2716</v>
      </c>
      <c r="F196" s="164" t="s">
        <v>2831</v>
      </c>
      <c r="G196" s="173"/>
      <c r="H196" s="173"/>
      <c r="I196" s="160" t="s">
        <v>53</v>
      </c>
      <c r="J196" s="167">
        <v>1</v>
      </c>
      <c r="K196" s="173"/>
      <c r="L196" s="151"/>
      <c r="M196" s="159"/>
      <c r="N196" s="173"/>
      <c r="O196" s="134" t="s">
        <v>327</v>
      </c>
      <c r="P196" s="167" t="s">
        <v>275</v>
      </c>
      <c r="Q196" s="167">
        <v>1</v>
      </c>
      <c r="R196" s="163" t="s">
        <v>2716</v>
      </c>
      <c r="S196" s="141"/>
      <c r="T196" s="130" t="s">
        <v>341</v>
      </c>
      <c r="U196" s="141"/>
    </row>
    <row r="197" spans="1:21" s="72" customFormat="1">
      <c r="A197" s="131" t="s">
        <v>2329</v>
      </c>
      <c r="B197" s="161" t="s">
        <v>491</v>
      </c>
      <c r="C197" s="165" t="s">
        <v>1697</v>
      </c>
      <c r="D197" s="161" t="s">
        <v>682</v>
      </c>
      <c r="E197" s="163" t="s">
        <v>2717</v>
      </c>
      <c r="F197" s="164" t="s">
        <v>2832</v>
      </c>
      <c r="G197" s="173"/>
      <c r="H197" s="173"/>
      <c r="I197" s="160" t="s">
        <v>53</v>
      </c>
      <c r="J197" s="167">
        <v>1</v>
      </c>
      <c r="K197" s="173"/>
      <c r="L197" s="151"/>
      <c r="M197" s="159"/>
      <c r="N197" s="173"/>
      <c r="O197" s="134" t="s">
        <v>327</v>
      </c>
      <c r="P197" s="167" t="s">
        <v>275</v>
      </c>
      <c r="Q197" s="167">
        <v>1</v>
      </c>
      <c r="R197" s="163" t="s">
        <v>2717</v>
      </c>
      <c r="S197" s="141"/>
      <c r="T197" s="130" t="s">
        <v>341</v>
      </c>
      <c r="U197" s="141"/>
    </row>
    <row r="198" spans="1:21" s="72" customFormat="1">
      <c r="A198" s="131" t="s">
        <v>2329</v>
      </c>
      <c r="B198" s="161" t="s">
        <v>491</v>
      </c>
      <c r="C198" s="165" t="s">
        <v>1697</v>
      </c>
      <c r="D198" s="161" t="s">
        <v>682</v>
      </c>
      <c r="E198" s="163" t="s">
        <v>2718</v>
      </c>
      <c r="F198" s="164" t="s">
        <v>2833</v>
      </c>
      <c r="G198" s="173"/>
      <c r="H198" s="173"/>
      <c r="I198" s="160" t="s">
        <v>53</v>
      </c>
      <c r="J198" s="167">
        <v>1</v>
      </c>
      <c r="K198" s="173"/>
      <c r="L198" s="151"/>
      <c r="M198" s="159"/>
      <c r="N198" s="173"/>
      <c r="O198" s="134" t="s">
        <v>327</v>
      </c>
      <c r="P198" s="167" t="s">
        <v>275</v>
      </c>
      <c r="Q198" s="167">
        <v>1</v>
      </c>
      <c r="R198" s="163" t="s">
        <v>2718</v>
      </c>
      <c r="S198" s="141"/>
      <c r="T198" s="130" t="s">
        <v>341</v>
      </c>
      <c r="U198" s="141"/>
    </row>
    <row r="199" spans="1:21" s="72" customFormat="1">
      <c r="A199" s="131" t="s">
        <v>2329</v>
      </c>
      <c r="B199" s="161" t="s">
        <v>491</v>
      </c>
      <c r="C199" s="165" t="s">
        <v>1697</v>
      </c>
      <c r="D199" s="161" t="s">
        <v>682</v>
      </c>
      <c r="E199" s="163" t="s">
        <v>2719</v>
      </c>
      <c r="F199" s="164" t="s">
        <v>2834</v>
      </c>
      <c r="G199" s="173"/>
      <c r="H199" s="173"/>
      <c r="I199" s="160" t="s">
        <v>53</v>
      </c>
      <c r="J199" s="167">
        <v>1</v>
      </c>
      <c r="K199" s="173"/>
      <c r="L199" s="151"/>
      <c r="M199" s="159"/>
      <c r="N199" s="173"/>
      <c r="O199" s="134" t="s">
        <v>327</v>
      </c>
      <c r="P199" s="167" t="s">
        <v>275</v>
      </c>
      <c r="Q199" s="167">
        <v>1</v>
      </c>
      <c r="R199" s="163" t="s">
        <v>2719</v>
      </c>
      <c r="S199" s="141"/>
      <c r="T199" s="130" t="s">
        <v>341</v>
      </c>
      <c r="U199" s="141"/>
    </row>
    <row r="200" spans="1:21" s="72" customFormat="1">
      <c r="A200" s="131" t="s">
        <v>2329</v>
      </c>
      <c r="B200" s="161" t="s">
        <v>491</v>
      </c>
      <c r="C200" s="165" t="s">
        <v>1697</v>
      </c>
      <c r="D200" s="161" t="s">
        <v>682</v>
      </c>
      <c r="E200" s="163" t="s">
        <v>2720</v>
      </c>
      <c r="F200" s="164" t="s">
        <v>2835</v>
      </c>
      <c r="G200" s="173"/>
      <c r="H200" s="173"/>
      <c r="I200" s="160" t="s">
        <v>53</v>
      </c>
      <c r="J200" s="167">
        <v>1</v>
      </c>
      <c r="K200" s="173"/>
      <c r="L200" s="151"/>
      <c r="M200" s="159"/>
      <c r="N200" s="173"/>
      <c r="O200" s="134" t="s">
        <v>327</v>
      </c>
      <c r="P200" s="167" t="s">
        <v>275</v>
      </c>
      <c r="Q200" s="167">
        <v>1</v>
      </c>
      <c r="R200" s="163" t="s">
        <v>2720</v>
      </c>
      <c r="S200" s="141"/>
      <c r="T200" s="130" t="s">
        <v>341</v>
      </c>
      <c r="U200" s="141"/>
    </row>
    <row r="201" spans="1:21" s="72" customFormat="1">
      <c r="A201" s="131" t="s">
        <v>2329</v>
      </c>
      <c r="B201" s="161" t="s">
        <v>491</v>
      </c>
      <c r="C201" s="165" t="s">
        <v>1697</v>
      </c>
      <c r="D201" s="161" t="s">
        <v>682</v>
      </c>
      <c r="E201" s="163" t="s">
        <v>2721</v>
      </c>
      <c r="F201" s="164" t="s">
        <v>2836</v>
      </c>
      <c r="G201" s="173"/>
      <c r="H201" s="173"/>
      <c r="I201" s="160" t="s">
        <v>53</v>
      </c>
      <c r="J201" s="167">
        <v>1</v>
      </c>
      <c r="K201" s="173"/>
      <c r="L201" s="151"/>
      <c r="M201" s="159"/>
      <c r="N201" s="173"/>
      <c r="O201" s="134" t="s">
        <v>327</v>
      </c>
      <c r="P201" s="167" t="s">
        <v>275</v>
      </c>
      <c r="Q201" s="167">
        <v>1</v>
      </c>
      <c r="R201" s="163" t="s">
        <v>2721</v>
      </c>
      <c r="S201" s="141"/>
      <c r="T201" s="130" t="s">
        <v>341</v>
      </c>
      <c r="U201" s="141"/>
    </row>
    <row r="202" spans="1:21" s="72" customFormat="1">
      <c r="A202" s="131" t="s">
        <v>2329</v>
      </c>
      <c r="B202" s="161" t="s">
        <v>491</v>
      </c>
      <c r="C202" s="165" t="s">
        <v>1697</v>
      </c>
      <c r="D202" s="161" t="s">
        <v>682</v>
      </c>
      <c r="E202" s="163" t="s">
        <v>2722</v>
      </c>
      <c r="F202" s="164" t="s">
        <v>2837</v>
      </c>
      <c r="G202" s="173"/>
      <c r="H202" s="173"/>
      <c r="I202" s="160" t="s">
        <v>53</v>
      </c>
      <c r="J202" s="167">
        <v>1</v>
      </c>
      <c r="K202" s="173"/>
      <c r="L202" s="151"/>
      <c r="M202" s="159"/>
      <c r="N202" s="173"/>
      <c r="O202" s="134" t="s">
        <v>327</v>
      </c>
      <c r="P202" s="167" t="s">
        <v>275</v>
      </c>
      <c r="Q202" s="167">
        <v>1</v>
      </c>
      <c r="R202" s="163" t="s">
        <v>2722</v>
      </c>
      <c r="S202" s="141"/>
      <c r="T202" s="130" t="s">
        <v>341</v>
      </c>
      <c r="U202" s="141"/>
    </row>
    <row r="203" spans="1:21" s="72" customFormat="1">
      <c r="A203" s="131" t="s">
        <v>2329</v>
      </c>
      <c r="B203" s="161" t="s">
        <v>491</v>
      </c>
      <c r="C203" s="165" t="s">
        <v>1697</v>
      </c>
      <c r="D203" s="161" t="s">
        <v>682</v>
      </c>
      <c r="E203" s="163" t="s">
        <v>2723</v>
      </c>
      <c r="F203" s="164" t="s">
        <v>2838</v>
      </c>
      <c r="G203" s="173"/>
      <c r="H203" s="173"/>
      <c r="I203" s="160" t="s">
        <v>68</v>
      </c>
      <c r="J203" s="167">
        <v>9</v>
      </c>
      <c r="K203" s="173"/>
      <c r="L203" s="151"/>
      <c r="M203" s="159"/>
      <c r="N203" s="173"/>
      <c r="O203" s="134" t="s">
        <v>327</v>
      </c>
      <c r="P203" s="167" t="s">
        <v>279</v>
      </c>
      <c r="Q203" s="167">
        <v>9</v>
      </c>
      <c r="R203" s="163" t="s">
        <v>2723</v>
      </c>
      <c r="S203" s="141"/>
      <c r="T203" s="130" t="s">
        <v>341</v>
      </c>
      <c r="U203" s="141"/>
    </row>
    <row r="204" spans="1:21" s="72" customFormat="1">
      <c r="A204" s="131" t="s">
        <v>2329</v>
      </c>
      <c r="B204" s="161" t="s">
        <v>491</v>
      </c>
      <c r="C204" s="165" t="s">
        <v>1697</v>
      </c>
      <c r="D204" s="161" t="s">
        <v>682</v>
      </c>
      <c r="E204" s="163" t="s">
        <v>2724</v>
      </c>
      <c r="F204" s="164" t="s">
        <v>2839</v>
      </c>
      <c r="G204" s="173"/>
      <c r="H204" s="173"/>
      <c r="I204" s="160" t="s">
        <v>68</v>
      </c>
      <c r="J204" s="167">
        <v>5</v>
      </c>
      <c r="K204" s="173"/>
      <c r="L204" s="151"/>
      <c r="M204" s="159"/>
      <c r="N204" s="173"/>
      <c r="O204" s="134" t="s">
        <v>327</v>
      </c>
      <c r="P204" s="167" t="s">
        <v>279</v>
      </c>
      <c r="Q204" s="167">
        <v>5</v>
      </c>
      <c r="R204" s="163" t="s">
        <v>2724</v>
      </c>
      <c r="S204" s="141"/>
      <c r="T204" s="130" t="s">
        <v>341</v>
      </c>
      <c r="U204" s="141"/>
    </row>
    <row r="205" spans="1:21" s="72" customFormat="1">
      <c r="A205" s="131" t="s">
        <v>2329</v>
      </c>
      <c r="B205" s="161" t="s">
        <v>491</v>
      </c>
      <c r="C205" s="165" t="s">
        <v>1697</v>
      </c>
      <c r="D205" s="161" t="s">
        <v>682</v>
      </c>
      <c r="E205" s="163" t="s">
        <v>2725</v>
      </c>
      <c r="F205" s="164" t="s">
        <v>2840</v>
      </c>
      <c r="G205" s="173"/>
      <c r="H205" s="173"/>
      <c r="I205" s="160" t="s">
        <v>68</v>
      </c>
      <c r="J205" s="167">
        <v>9</v>
      </c>
      <c r="K205" s="173"/>
      <c r="L205" s="151"/>
      <c r="M205" s="159"/>
      <c r="N205" s="173"/>
      <c r="O205" s="134" t="s">
        <v>327</v>
      </c>
      <c r="P205" s="167" t="s">
        <v>279</v>
      </c>
      <c r="Q205" s="167">
        <v>9</v>
      </c>
      <c r="R205" s="163" t="s">
        <v>2725</v>
      </c>
      <c r="S205" s="141"/>
      <c r="T205" s="130" t="s">
        <v>341</v>
      </c>
      <c r="U205" s="141"/>
    </row>
    <row r="206" spans="1:21" s="72" customFormat="1">
      <c r="A206" s="131" t="s">
        <v>2329</v>
      </c>
      <c r="B206" s="161" t="s">
        <v>491</v>
      </c>
      <c r="C206" s="165" t="s">
        <v>1697</v>
      </c>
      <c r="D206" s="161" t="s">
        <v>682</v>
      </c>
      <c r="E206" s="163" t="s">
        <v>2726</v>
      </c>
      <c r="F206" s="164" t="s">
        <v>2841</v>
      </c>
      <c r="G206" s="173"/>
      <c r="H206" s="173"/>
      <c r="I206" s="160" t="s">
        <v>53</v>
      </c>
      <c r="J206" s="167">
        <v>2</v>
      </c>
      <c r="K206" s="173"/>
      <c r="L206" s="151"/>
      <c r="M206" s="159"/>
      <c r="N206" s="173"/>
      <c r="O206" s="134" t="s">
        <v>327</v>
      </c>
      <c r="P206" s="167" t="s">
        <v>275</v>
      </c>
      <c r="Q206" s="167">
        <v>2</v>
      </c>
      <c r="R206" s="163" t="s">
        <v>2726</v>
      </c>
      <c r="S206" s="141"/>
      <c r="T206" s="130" t="s">
        <v>341</v>
      </c>
      <c r="U206" s="141"/>
    </row>
    <row r="207" spans="1:21" s="72" customFormat="1">
      <c r="A207" s="131" t="s">
        <v>2329</v>
      </c>
      <c r="B207" s="161" t="s">
        <v>491</v>
      </c>
      <c r="C207" s="165" t="s">
        <v>1697</v>
      </c>
      <c r="D207" s="161" t="s">
        <v>682</v>
      </c>
      <c r="E207" s="163" t="s">
        <v>2727</v>
      </c>
      <c r="F207" s="164" t="s">
        <v>2842</v>
      </c>
      <c r="G207" s="173"/>
      <c r="H207" s="173"/>
      <c r="I207" s="160" t="s">
        <v>53</v>
      </c>
      <c r="J207" s="167">
        <v>2</v>
      </c>
      <c r="K207" s="173"/>
      <c r="L207" s="151"/>
      <c r="M207" s="159"/>
      <c r="N207" s="173"/>
      <c r="O207" s="134" t="s">
        <v>327</v>
      </c>
      <c r="P207" s="167" t="s">
        <v>275</v>
      </c>
      <c r="Q207" s="167">
        <v>2</v>
      </c>
      <c r="R207" s="163" t="s">
        <v>2727</v>
      </c>
      <c r="S207" s="141"/>
      <c r="T207" s="130" t="s">
        <v>341</v>
      </c>
      <c r="U207" s="141"/>
    </row>
    <row r="208" spans="1:21" s="72" customFormat="1">
      <c r="A208" s="131" t="s">
        <v>2329</v>
      </c>
      <c r="B208" s="161" t="s">
        <v>491</v>
      </c>
      <c r="C208" s="165" t="s">
        <v>1697</v>
      </c>
      <c r="D208" s="161" t="s">
        <v>682</v>
      </c>
      <c r="E208" s="163" t="s">
        <v>2728</v>
      </c>
      <c r="F208" s="164" t="s">
        <v>2728</v>
      </c>
      <c r="G208" s="173"/>
      <c r="H208" s="173"/>
      <c r="I208" s="160" t="s">
        <v>53</v>
      </c>
      <c r="J208" s="167">
        <v>4</v>
      </c>
      <c r="K208" s="173"/>
      <c r="L208" s="151"/>
      <c r="M208" s="159"/>
      <c r="N208" s="173"/>
      <c r="O208" s="134" t="s">
        <v>327</v>
      </c>
      <c r="P208" s="167" t="s">
        <v>275</v>
      </c>
      <c r="Q208" s="167">
        <v>4</v>
      </c>
      <c r="R208" s="163" t="s">
        <v>2728</v>
      </c>
      <c r="S208" s="141"/>
      <c r="T208" s="130" t="s">
        <v>341</v>
      </c>
      <c r="U208" s="141"/>
    </row>
    <row r="209" spans="1:21" s="72" customFormat="1" ht="16.5" customHeight="1">
      <c r="A209" s="131" t="s">
        <v>2329</v>
      </c>
      <c r="B209" s="161" t="s">
        <v>491</v>
      </c>
      <c r="C209" s="165" t="s">
        <v>1697</v>
      </c>
      <c r="D209" s="161" t="s">
        <v>682</v>
      </c>
      <c r="E209" s="163" t="s">
        <v>2729</v>
      </c>
      <c r="F209" s="164" t="s">
        <v>2843</v>
      </c>
      <c r="G209" s="173"/>
      <c r="H209" s="173"/>
      <c r="I209" s="160" t="s">
        <v>53</v>
      </c>
      <c r="J209" s="167">
        <v>1</v>
      </c>
      <c r="K209" s="173"/>
      <c r="L209" s="151"/>
      <c r="M209" s="159"/>
      <c r="N209" s="173"/>
      <c r="O209" s="134" t="s">
        <v>327</v>
      </c>
      <c r="P209" s="167" t="s">
        <v>275</v>
      </c>
      <c r="Q209" s="167">
        <v>1</v>
      </c>
      <c r="R209" s="163" t="s">
        <v>2729</v>
      </c>
      <c r="S209" s="141"/>
      <c r="T209" s="130" t="s">
        <v>341</v>
      </c>
      <c r="U209" s="141"/>
    </row>
    <row r="210" spans="1:21" s="72" customFormat="1">
      <c r="A210" s="131" t="s">
        <v>2329</v>
      </c>
      <c r="B210" s="161" t="s">
        <v>491</v>
      </c>
      <c r="C210" s="165" t="s">
        <v>1697</v>
      </c>
      <c r="D210" s="161" t="s">
        <v>682</v>
      </c>
      <c r="E210" s="163" t="s">
        <v>2730</v>
      </c>
      <c r="F210" s="164" t="s">
        <v>2844</v>
      </c>
      <c r="G210" s="173"/>
      <c r="H210" s="173"/>
      <c r="I210" s="160" t="s">
        <v>53</v>
      </c>
      <c r="J210" s="167">
        <v>1</v>
      </c>
      <c r="K210" s="173"/>
      <c r="L210" s="151"/>
      <c r="M210" s="159"/>
      <c r="N210" s="173"/>
      <c r="O210" s="134" t="s">
        <v>327</v>
      </c>
      <c r="P210" s="167" t="s">
        <v>275</v>
      </c>
      <c r="Q210" s="167">
        <v>1</v>
      </c>
      <c r="R210" s="163" t="s">
        <v>2730</v>
      </c>
      <c r="S210" s="141"/>
      <c r="T210" s="130" t="s">
        <v>341</v>
      </c>
      <c r="U210" s="141"/>
    </row>
    <row r="211" spans="1:21" s="72" customFormat="1">
      <c r="A211" s="131" t="s">
        <v>2329</v>
      </c>
      <c r="B211" s="161" t="s">
        <v>491</v>
      </c>
      <c r="C211" s="165" t="s">
        <v>1697</v>
      </c>
      <c r="D211" s="161" t="s">
        <v>682</v>
      </c>
      <c r="E211" s="163" t="s">
        <v>2731</v>
      </c>
      <c r="F211" s="164" t="s">
        <v>2845</v>
      </c>
      <c r="G211" s="173"/>
      <c r="H211" s="173"/>
      <c r="I211" s="160" t="s">
        <v>53</v>
      </c>
      <c r="J211" s="167">
        <v>1</v>
      </c>
      <c r="K211" s="173"/>
      <c r="L211" s="151"/>
      <c r="M211" s="159"/>
      <c r="N211" s="173"/>
      <c r="O211" s="134" t="s">
        <v>327</v>
      </c>
      <c r="P211" s="167" t="s">
        <v>275</v>
      </c>
      <c r="Q211" s="167">
        <v>1</v>
      </c>
      <c r="R211" s="163" t="s">
        <v>2731</v>
      </c>
      <c r="S211" s="141"/>
      <c r="T211" s="130" t="s">
        <v>341</v>
      </c>
      <c r="U211" s="141"/>
    </row>
    <row r="212" spans="1:21" s="72" customFormat="1">
      <c r="A212" s="131" t="s">
        <v>2329</v>
      </c>
      <c r="B212" s="161" t="s">
        <v>491</v>
      </c>
      <c r="C212" s="165" t="s">
        <v>1697</v>
      </c>
      <c r="D212" s="161" t="s">
        <v>682</v>
      </c>
      <c r="E212" s="163" t="s">
        <v>2732</v>
      </c>
      <c r="F212" s="164" t="s">
        <v>2846</v>
      </c>
      <c r="G212" s="173"/>
      <c r="H212" s="173"/>
      <c r="I212" s="160" t="s">
        <v>53</v>
      </c>
      <c r="J212" s="167">
        <v>1</v>
      </c>
      <c r="K212" s="173"/>
      <c r="L212" s="151"/>
      <c r="M212" s="159"/>
      <c r="N212" s="173"/>
      <c r="O212" s="134" t="s">
        <v>327</v>
      </c>
      <c r="P212" s="167" t="s">
        <v>275</v>
      </c>
      <c r="Q212" s="167">
        <v>1</v>
      </c>
      <c r="R212" s="163" t="s">
        <v>2732</v>
      </c>
      <c r="S212" s="141"/>
      <c r="T212" s="130" t="s">
        <v>341</v>
      </c>
      <c r="U212" s="141"/>
    </row>
    <row r="213" spans="1:21" s="72" customFormat="1">
      <c r="A213" s="131" t="s">
        <v>2329</v>
      </c>
      <c r="B213" s="161" t="s">
        <v>491</v>
      </c>
      <c r="C213" s="165" t="s">
        <v>1697</v>
      </c>
      <c r="D213" s="161" t="s">
        <v>682</v>
      </c>
      <c r="E213" s="163" t="s">
        <v>2733</v>
      </c>
      <c r="F213" s="164" t="s">
        <v>2847</v>
      </c>
      <c r="G213" s="173"/>
      <c r="H213" s="173"/>
      <c r="I213" s="160" t="s">
        <v>53</v>
      </c>
      <c r="J213" s="167">
        <v>1</v>
      </c>
      <c r="K213" s="173"/>
      <c r="L213" s="151"/>
      <c r="M213" s="159"/>
      <c r="N213" s="173"/>
      <c r="O213" s="134" t="s">
        <v>327</v>
      </c>
      <c r="P213" s="167" t="s">
        <v>275</v>
      </c>
      <c r="Q213" s="167">
        <v>1</v>
      </c>
      <c r="R213" s="163" t="s">
        <v>2733</v>
      </c>
      <c r="S213" s="141"/>
      <c r="T213" s="130" t="s">
        <v>341</v>
      </c>
      <c r="U213" s="141"/>
    </row>
    <row r="214" spans="1:21" s="72" customFormat="1">
      <c r="A214" s="131" t="s">
        <v>2329</v>
      </c>
      <c r="B214" s="161" t="s">
        <v>491</v>
      </c>
      <c r="C214" s="165" t="s">
        <v>1697</v>
      </c>
      <c r="D214" s="161" t="s">
        <v>682</v>
      </c>
      <c r="E214" s="163" t="s">
        <v>2734</v>
      </c>
      <c r="F214" s="164" t="s">
        <v>2848</v>
      </c>
      <c r="G214" s="173"/>
      <c r="H214" s="173"/>
      <c r="I214" s="160" t="s">
        <v>53</v>
      </c>
      <c r="J214" s="167">
        <v>1</v>
      </c>
      <c r="K214" s="173"/>
      <c r="L214" s="151"/>
      <c r="M214" s="159"/>
      <c r="N214" s="173"/>
      <c r="O214" s="134" t="s">
        <v>327</v>
      </c>
      <c r="P214" s="167" t="s">
        <v>275</v>
      </c>
      <c r="Q214" s="167">
        <v>1</v>
      </c>
      <c r="R214" s="163" t="s">
        <v>2734</v>
      </c>
      <c r="S214" s="141"/>
      <c r="T214" s="130" t="s">
        <v>341</v>
      </c>
      <c r="U214" s="141"/>
    </row>
    <row r="215" spans="1:21" s="72" customFormat="1">
      <c r="A215" s="131" t="s">
        <v>2329</v>
      </c>
      <c r="B215" s="161" t="s">
        <v>491</v>
      </c>
      <c r="C215" s="165" t="s">
        <v>1697</v>
      </c>
      <c r="D215" s="161" t="s">
        <v>682</v>
      </c>
      <c r="E215" s="163" t="s">
        <v>2735</v>
      </c>
      <c r="F215" s="164" t="s">
        <v>2849</v>
      </c>
      <c r="G215" s="173"/>
      <c r="H215" s="173"/>
      <c r="I215" s="160" t="s">
        <v>53</v>
      </c>
      <c r="J215" s="167">
        <v>1</v>
      </c>
      <c r="K215" s="173"/>
      <c r="L215" s="151"/>
      <c r="M215" s="159"/>
      <c r="N215" s="173"/>
      <c r="O215" s="134" t="s">
        <v>327</v>
      </c>
      <c r="P215" s="167" t="s">
        <v>275</v>
      </c>
      <c r="Q215" s="167">
        <v>1</v>
      </c>
      <c r="R215" s="163" t="s">
        <v>2735</v>
      </c>
      <c r="S215" s="141"/>
      <c r="T215" s="130" t="s">
        <v>341</v>
      </c>
      <c r="U215" s="141"/>
    </row>
    <row r="216" spans="1:21" s="72" customFormat="1">
      <c r="A216" s="131" t="s">
        <v>2329</v>
      </c>
      <c r="B216" s="161" t="s">
        <v>491</v>
      </c>
      <c r="C216" s="165" t="s">
        <v>1697</v>
      </c>
      <c r="D216" s="161" t="s">
        <v>682</v>
      </c>
      <c r="E216" s="163" t="s">
        <v>2736</v>
      </c>
      <c r="F216" s="164" t="s">
        <v>2736</v>
      </c>
      <c r="G216" s="173"/>
      <c r="H216" s="173"/>
      <c r="I216" s="160" t="s">
        <v>53</v>
      </c>
      <c r="J216" s="167">
        <v>4</v>
      </c>
      <c r="K216" s="173"/>
      <c r="L216" s="151"/>
      <c r="M216" s="159"/>
      <c r="N216" s="173"/>
      <c r="O216" s="134" t="s">
        <v>327</v>
      </c>
      <c r="P216" s="167" t="s">
        <v>275</v>
      </c>
      <c r="Q216" s="167">
        <v>4</v>
      </c>
      <c r="R216" s="163" t="s">
        <v>2736</v>
      </c>
      <c r="S216" s="141"/>
      <c r="T216" s="130" t="s">
        <v>341</v>
      </c>
      <c r="U216" s="141"/>
    </row>
    <row r="217" spans="1:21" s="72" customFormat="1">
      <c r="A217" s="131" t="s">
        <v>2329</v>
      </c>
      <c r="B217" s="161" t="s">
        <v>491</v>
      </c>
      <c r="C217" s="165" t="s">
        <v>1697</v>
      </c>
      <c r="D217" s="161" t="s">
        <v>682</v>
      </c>
      <c r="E217" s="163" t="s">
        <v>2737</v>
      </c>
      <c r="F217" s="164" t="s">
        <v>2850</v>
      </c>
      <c r="G217" s="173"/>
      <c r="H217" s="173"/>
      <c r="I217" s="160" t="s">
        <v>53</v>
      </c>
      <c r="J217" s="167">
        <v>2</v>
      </c>
      <c r="K217" s="173"/>
      <c r="L217" s="151"/>
      <c r="M217" s="159"/>
      <c r="N217" s="173"/>
      <c r="O217" s="134" t="s">
        <v>327</v>
      </c>
      <c r="P217" s="167" t="s">
        <v>275</v>
      </c>
      <c r="Q217" s="167">
        <v>2</v>
      </c>
      <c r="R217" s="163" t="s">
        <v>2737</v>
      </c>
      <c r="S217" s="141"/>
      <c r="T217" s="130" t="s">
        <v>341</v>
      </c>
      <c r="U217" s="141"/>
    </row>
    <row r="218" spans="1:21" s="72" customFormat="1">
      <c r="A218" s="131" t="s">
        <v>2329</v>
      </c>
      <c r="B218" s="161" t="s">
        <v>491</v>
      </c>
      <c r="C218" s="165" t="s">
        <v>1697</v>
      </c>
      <c r="D218" s="161" t="s">
        <v>682</v>
      </c>
      <c r="E218" s="163" t="s">
        <v>2738</v>
      </c>
      <c r="F218" s="164" t="s">
        <v>2851</v>
      </c>
      <c r="G218" s="173"/>
      <c r="H218" s="173"/>
      <c r="I218" s="160" t="s">
        <v>68</v>
      </c>
      <c r="J218" s="167">
        <v>5</v>
      </c>
      <c r="K218" s="173"/>
      <c r="L218" s="151"/>
      <c r="M218" s="159"/>
      <c r="N218" s="173"/>
      <c r="O218" s="134" t="s">
        <v>327</v>
      </c>
      <c r="P218" s="167" t="s">
        <v>279</v>
      </c>
      <c r="Q218" s="167">
        <v>5</v>
      </c>
      <c r="R218" s="163" t="s">
        <v>2738</v>
      </c>
      <c r="S218" s="141"/>
      <c r="T218" s="130" t="s">
        <v>341</v>
      </c>
      <c r="U218" s="141"/>
    </row>
    <row r="219" spans="1:21" s="72" customFormat="1">
      <c r="A219" s="131" t="s">
        <v>2329</v>
      </c>
      <c r="B219" s="161" t="s">
        <v>491</v>
      </c>
      <c r="C219" s="165" t="s">
        <v>1697</v>
      </c>
      <c r="D219" s="161" t="s">
        <v>682</v>
      </c>
      <c r="E219" s="163" t="s">
        <v>2739</v>
      </c>
      <c r="F219" s="164" t="s">
        <v>255</v>
      </c>
      <c r="G219" s="173"/>
      <c r="H219" s="173"/>
      <c r="I219" s="160" t="s">
        <v>53</v>
      </c>
      <c r="J219" s="167">
        <v>2</v>
      </c>
      <c r="K219" s="173"/>
      <c r="L219" s="151"/>
      <c r="M219" s="159"/>
      <c r="N219" s="173"/>
      <c r="O219" s="134" t="s">
        <v>327</v>
      </c>
      <c r="P219" s="167" t="s">
        <v>275</v>
      </c>
      <c r="Q219" s="167">
        <v>2</v>
      </c>
      <c r="R219" s="163" t="s">
        <v>2739</v>
      </c>
      <c r="S219" s="141"/>
      <c r="T219" s="130" t="s">
        <v>341</v>
      </c>
      <c r="U219" s="141"/>
    </row>
    <row r="220" spans="1:21" s="72" customFormat="1">
      <c r="A220" s="131" t="s">
        <v>2329</v>
      </c>
      <c r="B220" s="161" t="s">
        <v>491</v>
      </c>
      <c r="C220" s="165" t="s">
        <v>1697</v>
      </c>
      <c r="D220" s="161" t="s">
        <v>682</v>
      </c>
      <c r="E220" s="163" t="s">
        <v>2740</v>
      </c>
      <c r="F220" s="164" t="s">
        <v>2740</v>
      </c>
      <c r="G220" s="173"/>
      <c r="H220" s="173"/>
      <c r="I220" s="160" t="s">
        <v>68</v>
      </c>
      <c r="J220" s="167">
        <v>5</v>
      </c>
      <c r="K220" s="173"/>
      <c r="L220" s="151"/>
      <c r="M220" s="159"/>
      <c r="N220" s="173"/>
      <c r="O220" s="134" t="s">
        <v>327</v>
      </c>
      <c r="P220" s="167" t="s">
        <v>279</v>
      </c>
      <c r="Q220" s="167">
        <v>5</v>
      </c>
      <c r="R220" s="163" t="s">
        <v>2740</v>
      </c>
      <c r="S220" s="141"/>
      <c r="T220" s="130" t="s">
        <v>341</v>
      </c>
      <c r="U220" s="141"/>
    </row>
    <row r="221" spans="1:21" s="72" customFormat="1">
      <c r="A221" s="131" t="s">
        <v>2329</v>
      </c>
      <c r="B221" s="161" t="s">
        <v>491</v>
      </c>
      <c r="C221" s="165" t="s">
        <v>1697</v>
      </c>
      <c r="D221" s="161" t="s">
        <v>682</v>
      </c>
      <c r="E221" s="163" t="s">
        <v>2741</v>
      </c>
      <c r="F221" s="164" t="s">
        <v>2741</v>
      </c>
      <c r="G221" s="173"/>
      <c r="H221" s="173"/>
      <c r="I221" s="160" t="s">
        <v>53</v>
      </c>
      <c r="J221" s="167">
        <v>4</v>
      </c>
      <c r="K221" s="173"/>
      <c r="L221" s="151"/>
      <c r="M221" s="159"/>
      <c r="N221" s="173"/>
      <c r="O221" s="134" t="s">
        <v>327</v>
      </c>
      <c r="P221" s="167" t="s">
        <v>275</v>
      </c>
      <c r="Q221" s="167">
        <v>4</v>
      </c>
      <c r="R221" s="163" t="s">
        <v>2741</v>
      </c>
      <c r="S221" s="141"/>
      <c r="T221" s="130" t="s">
        <v>341</v>
      </c>
      <c r="U221" s="141"/>
    </row>
    <row r="222" spans="1:21" s="72" customFormat="1">
      <c r="A222" s="131" t="s">
        <v>2329</v>
      </c>
      <c r="B222" s="161" t="s">
        <v>491</v>
      </c>
      <c r="C222" s="165" t="s">
        <v>1697</v>
      </c>
      <c r="D222" s="161" t="s">
        <v>682</v>
      </c>
      <c r="E222" s="163" t="s">
        <v>2742</v>
      </c>
      <c r="F222" s="164" t="s">
        <v>2742</v>
      </c>
      <c r="G222" s="173"/>
      <c r="H222" s="173"/>
      <c r="I222" s="160" t="s">
        <v>68</v>
      </c>
      <c r="J222" s="167">
        <v>5</v>
      </c>
      <c r="K222" s="173"/>
      <c r="L222" s="151"/>
      <c r="M222" s="159"/>
      <c r="N222" s="173"/>
      <c r="O222" s="134" t="s">
        <v>327</v>
      </c>
      <c r="P222" s="167" t="s">
        <v>279</v>
      </c>
      <c r="Q222" s="167">
        <v>5</v>
      </c>
      <c r="R222" s="163" t="s">
        <v>2742</v>
      </c>
      <c r="S222" s="141"/>
      <c r="T222" s="130" t="s">
        <v>341</v>
      </c>
      <c r="U222" s="141"/>
    </row>
    <row r="223" spans="1:21" s="72" customFormat="1">
      <c r="A223" s="131" t="s">
        <v>2329</v>
      </c>
      <c r="B223" s="161" t="s">
        <v>491</v>
      </c>
      <c r="C223" s="165" t="s">
        <v>1697</v>
      </c>
      <c r="D223" s="161" t="s">
        <v>682</v>
      </c>
      <c r="E223" s="163" t="s">
        <v>2743</v>
      </c>
      <c r="F223" s="164" t="s">
        <v>92</v>
      </c>
      <c r="G223" s="173"/>
      <c r="H223" s="173"/>
      <c r="I223" s="160" t="s">
        <v>53</v>
      </c>
      <c r="J223" s="167">
        <v>4</v>
      </c>
      <c r="K223" s="173"/>
      <c r="L223" s="151"/>
      <c r="M223" s="159"/>
      <c r="N223" s="173"/>
      <c r="O223" s="134" t="s">
        <v>327</v>
      </c>
      <c r="P223" s="167" t="s">
        <v>275</v>
      </c>
      <c r="Q223" s="167">
        <v>4</v>
      </c>
      <c r="R223" s="163" t="s">
        <v>2743</v>
      </c>
      <c r="S223" s="141"/>
      <c r="T223" s="130" t="s">
        <v>341</v>
      </c>
      <c r="U223" s="141"/>
    </row>
    <row r="224" spans="1:21" s="72" customFormat="1">
      <c r="A224" s="131" t="s">
        <v>2329</v>
      </c>
      <c r="B224" s="161" t="s">
        <v>491</v>
      </c>
      <c r="C224" s="165" t="s">
        <v>1697</v>
      </c>
      <c r="D224" s="161" t="s">
        <v>682</v>
      </c>
      <c r="E224" s="163" t="s">
        <v>2744</v>
      </c>
      <c r="F224" s="164" t="s">
        <v>2852</v>
      </c>
      <c r="G224" s="173"/>
      <c r="H224" s="173"/>
      <c r="I224" s="160" t="s">
        <v>53</v>
      </c>
      <c r="J224" s="167">
        <v>2</v>
      </c>
      <c r="K224" s="173"/>
      <c r="L224" s="151"/>
      <c r="M224" s="159"/>
      <c r="N224" s="173"/>
      <c r="O224" s="134" t="s">
        <v>327</v>
      </c>
      <c r="P224" s="167" t="s">
        <v>275</v>
      </c>
      <c r="Q224" s="167">
        <v>2</v>
      </c>
      <c r="R224" s="163" t="s">
        <v>2744</v>
      </c>
      <c r="S224" s="141"/>
      <c r="T224" s="130" t="s">
        <v>341</v>
      </c>
      <c r="U224" s="141"/>
    </row>
    <row r="225" spans="1:22" s="72" customFormat="1">
      <c r="A225" s="131" t="s">
        <v>2329</v>
      </c>
      <c r="B225" s="161" t="s">
        <v>491</v>
      </c>
      <c r="C225" s="165" t="s">
        <v>1697</v>
      </c>
      <c r="D225" s="161" t="s">
        <v>682</v>
      </c>
      <c r="E225" s="163" t="s">
        <v>2745</v>
      </c>
      <c r="F225" s="164" t="s">
        <v>2853</v>
      </c>
      <c r="G225" s="173"/>
      <c r="H225" s="173"/>
      <c r="I225" s="160" t="s">
        <v>53</v>
      </c>
      <c r="J225" s="167">
        <v>2</v>
      </c>
      <c r="K225" s="173"/>
      <c r="L225" s="151"/>
      <c r="M225" s="159"/>
      <c r="N225" s="173"/>
      <c r="O225" s="134" t="s">
        <v>327</v>
      </c>
      <c r="P225" s="167" t="s">
        <v>275</v>
      </c>
      <c r="Q225" s="167">
        <v>2</v>
      </c>
      <c r="R225" s="163" t="s">
        <v>2745</v>
      </c>
      <c r="S225" s="141"/>
      <c r="T225" s="130" t="s">
        <v>341</v>
      </c>
      <c r="U225" s="141"/>
    </row>
    <row r="226" spans="1:22" s="72" customFormat="1">
      <c r="A226" s="131" t="s">
        <v>2329</v>
      </c>
      <c r="B226" s="161" t="s">
        <v>491</v>
      </c>
      <c r="C226" s="165" t="s">
        <v>1697</v>
      </c>
      <c r="D226" s="161" t="s">
        <v>682</v>
      </c>
      <c r="E226" s="163" t="s">
        <v>2746</v>
      </c>
      <c r="F226" s="164" t="s">
        <v>2746</v>
      </c>
      <c r="G226" s="173"/>
      <c r="H226" s="173"/>
      <c r="I226" s="160" t="s">
        <v>68</v>
      </c>
      <c r="J226" s="167">
        <v>5</v>
      </c>
      <c r="K226" s="173"/>
      <c r="L226" s="151"/>
      <c r="M226" s="159"/>
      <c r="N226" s="173"/>
      <c r="O226" s="134" t="s">
        <v>327</v>
      </c>
      <c r="P226" s="167" t="s">
        <v>279</v>
      </c>
      <c r="Q226" s="167">
        <v>5</v>
      </c>
      <c r="R226" s="163" t="s">
        <v>2746</v>
      </c>
      <c r="S226" s="141"/>
      <c r="T226" s="130" t="s">
        <v>341</v>
      </c>
      <c r="U226" s="141"/>
    </row>
    <row r="227" spans="1:22" s="72" customFormat="1">
      <c r="A227" s="131" t="s">
        <v>2329</v>
      </c>
      <c r="B227" s="161" t="s">
        <v>491</v>
      </c>
      <c r="C227" s="165" t="s">
        <v>1697</v>
      </c>
      <c r="D227" s="161" t="s">
        <v>682</v>
      </c>
      <c r="E227" s="163" t="s">
        <v>2747</v>
      </c>
      <c r="F227" s="164" t="s">
        <v>2854</v>
      </c>
      <c r="G227" s="173"/>
      <c r="H227" s="173"/>
      <c r="I227" s="160" t="s">
        <v>53</v>
      </c>
      <c r="J227" s="167">
        <v>9</v>
      </c>
      <c r="K227" s="173"/>
      <c r="L227" s="151"/>
      <c r="M227" s="159"/>
      <c r="N227" s="173"/>
      <c r="O227" s="134" t="s">
        <v>327</v>
      </c>
      <c r="P227" s="167" t="s">
        <v>275</v>
      </c>
      <c r="Q227" s="167">
        <v>9</v>
      </c>
      <c r="R227" s="163" t="s">
        <v>2747</v>
      </c>
      <c r="S227" s="141"/>
      <c r="T227" s="130" t="s">
        <v>341</v>
      </c>
      <c r="U227" s="141"/>
    </row>
    <row r="228" spans="1:22" s="72" customFormat="1">
      <c r="A228" s="131" t="s">
        <v>2329</v>
      </c>
      <c r="B228" s="161" t="s">
        <v>491</v>
      </c>
      <c r="C228" s="165" t="s">
        <v>1697</v>
      </c>
      <c r="D228" s="161" t="s">
        <v>682</v>
      </c>
      <c r="E228" s="163" t="s">
        <v>2748</v>
      </c>
      <c r="F228" s="164" t="s">
        <v>2748</v>
      </c>
      <c r="G228" s="173"/>
      <c r="H228" s="173"/>
      <c r="I228" s="160" t="s">
        <v>53</v>
      </c>
      <c r="J228" s="167">
        <v>1</v>
      </c>
      <c r="K228" s="173"/>
      <c r="L228" s="151"/>
      <c r="M228" s="159"/>
      <c r="N228" s="173"/>
      <c r="O228" s="134" t="s">
        <v>327</v>
      </c>
      <c r="P228" s="167" t="s">
        <v>275</v>
      </c>
      <c r="Q228" s="167">
        <v>1</v>
      </c>
      <c r="R228" s="163" t="s">
        <v>2748</v>
      </c>
      <c r="S228" s="141"/>
      <c r="T228" s="130" t="s">
        <v>341</v>
      </c>
      <c r="U228" s="141"/>
    </row>
    <row r="229" spans="1:22" s="72" customFormat="1">
      <c r="A229" s="131" t="s">
        <v>2329</v>
      </c>
      <c r="B229" s="161" t="s">
        <v>491</v>
      </c>
      <c r="C229" s="165" t="s">
        <v>1697</v>
      </c>
      <c r="D229" s="161" t="s">
        <v>682</v>
      </c>
      <c r="E229" s="163" t="s">
        <v>2749</v>
      </c>
      <c r="F229" s="164" t="s">
        <v>2749</v>
      </c>
      <c r="G229" s="173"/>
      <c r="H229" s="173"/>
      <c r="I229" s="160" t="s">
        <v>53</v>
      </c>
      <c r="J229" s="167">
        <v>1</v>
      </c>
      <c r="K229" s="173"/>
      <c r="L229" s="151"/>
      <c r="M229" s="159"/>
      <c r="N229" s="173"/>
      <c r="O229" s="134" t="s">
        <v>327</v>
      </c>
      <c r="P229" s="167" t="s">
        <v>275</v>
      </c>
      <c r="Q229" s="167">
        <v>1</v>
      </c>
      <c r="R229" s="163" t="s">
        <v>2749</v>
      </c>
      <c r="S229" s="141"/>
      <c r="T229" s="130" t="s">
        <v>341</v>
      </c>
      <c r="U229" s="141"/>
    </row>
    <row r="230" spans="1:22" s="72" customFormat="1">
      <c r="A230" s="131" t="s">
        <v>2329</v>
      </c>
      <c r="B230" s="161" t="s">
        <v>491</v>
      </c>
      <c r="C230" s="165" t="s">
        <v>1697</v>
      </c>
      <c r="D230" s="161" t="s">
        <v>682</v>
      </c>
      <c r="E230" s="163" t="s">
        <v>2750</v>
      </c>
      <c r="F230" s="164" t="s">
        <v>2855</v>
      </c>
      <c r="G230" s="173"/>
      <c r="H230" s="173"/>
      <c r="I230" s="160" t="s">
        <v>68</v>
      </c>
      <c r="J230" s="167">
        <v>15</v>
      </c>
      <c r="K230" s="173"/>
      <c r="L230" s="151"/>
      <c r="M230" s="159"/>
      <c r="N230" s="173"/>
      <c r="O230" s="134" t="s">
        <v>327</v>
      </c>
      <c r="P230" s="167" t="s">
        <v>279</v>
      </c>
      <c r="Q230" s="167">
        <v>15</v>
      </c>
      <c r="R230" s="163" t="s">
        <v>2750</v>
      </c>
      <c r="S230" s="141"/>
      <c r="T230" s="130" t="s">
        <v>341</v>
      </c>
      <c r="U230" s="141"/>
    </row>
    <row r="231" spans="1:22" s="72" customFormat="1">
      <c r="A231" s="131" t="s">
        <v>2329</v>
      </c>
      <c r="B231" s="161" t="s">
        <v>491</v>
      </c>
      <c r="C231" s="165" t="s">
        <v>1697</v>
      </c>
      <c r="D231" s="161" t="s">
        <v>682</v>
      </c>
      <c r="E231" s="163" t="s">
        <v>2751</v>
      </c>
      <c r="F231" s="164" t="s">
        <v>2856</v>
      </c>
      <c r="G231" s="173"/>
      <c r="H231" s="173"/>
      <c r="I231" s="160" t="s">
        <v>68</v>
      </c>
      <c r="J231" s="167">
        <v>15</v>
      </c>
      <c r="K231" s="173"/>
      <c r="L231" s="151"/>
      <c r="M231" s="159"/>
      <c r="N231" s="173"/>
      <c r="O231" s="134" t="s">
        <v>327</v>
      </c>
      <c r="P231" s="167" t="s">
        <v>279</v>
      </c>
      <c r="Q231" s="167">
        <v>15</v>
      </c>
      <c r="R231" s="163" t="s">
        <v>2751</v>
      </c>
      <c r="S231" s="141"/>
      <c r="T231" s="130" t="s">
        <v>341</v>
      </c>
      <c r="U231" s="141"/>
    </row>
    <row r="232" spans="1:22" s="72" customFormat="1">
      <c r="A232" s="131" t="s">
        <v>2329</v>
      </c>
      <c r="B232" s="161" t="s">
        <v>491</v>
      </c>
      <c r="C232" s="165" t="s">
        <v>1697</v>
      </c>
      <c r="D232" s="161" t="s">
        <v>682</v>
      </c>
      <c r="E232" s="163" t="s">
        <v>1434</v>
      </c>
      <c r="F232" s="164" t="s">
        <v>2857</v>
      </c>
      <c r="G232" s="173"/>
      <c r="H232" s="173"/>
      <c r="I232" s="160" t="s">
        <v>68</v>
      </c>
      <c r="J232" s="167">
        <v>15</v>
      </c>
      <c r="K232" s="173"/>
      <c r="L232" s="151"/>
      <c r="M232" s="159"/>
      <c r="N232" s="173"/>
      <c r="O232" s="134" t="s">
        <v>327</v>
      </c>
      <c r="P232" s="167" t="s">
        <v>279</v>
      </c>
      <c r="Q232" s="167">
        <v>15</v>
      </c>
      <c r="R232" s="163" t="s">
        <v>1434</v>
      </c>
      <c r="S232" s="141"/>
      <c r="T232" s="130" t="s">
        <v>341</v>
      </c>
      <c r="U232" s="141"/>
    </row>
    <row r="233" spans="1:22" s="72" customFormat="1">
      <c r="A233" s="131" t="s">
        <v>2329</v>
      </c>
      <c r="B233" s="161" t="s">
        <v>491</v>
      </c>
      <c r="C233" s="165" t="s">
        <v>1697</v>
      </c>
      <c r="D233" s="161" t="s">
        <v>682</v>
      </c>
      <c r="E233" s="163" t="s">
        <v>2752</v>
      </c>
      <c r="F233" s="164" t="s">
        <v>2858</v>
      </c>
      <c r="G233" s="173"/>
      <c r="H233" s="173"/>
      <c r="I233" s="160" t="s">
        <v>68</v>
      </c>
      <c r="J233" s="167">
        <v>15</v>
      </c>
      <c r="K233" s="173"/>
      <c r="L233" s="151"/>
      <c r="M233" s="159"/>
      <c r="N233" s="173"/>
      <c r="O233" s="134" t="s">
        <v>327</v>
      </c>
      <c r="P233" s="167" t="s">
        <v>279</v>
      </c>
      <c r="Q233" s="167">
        <v>15</v>
      </c>
      <c r="R233" s="163" t="s">
        <v>2752</v>
      </c>
      <c r="S233" s="141"/>
      <c r="T233" s="130" t="s">
        <v>341</v>
      </c>
      <c r="U233" s="141"/>
    </row>
    <row r="234" spans="1:22" s="72" customFormat="1">
      <c r="A234" s="131" t="s">
        <v>2329</v>
      </c>
      <c r="B234" s="161" t="s">
        <v>491</v>
      </c>
      <c r="C234" s="165" t="s">
        <v>1697</v>
      </c>
      <c r="D234" s="161" t="s">
        <v>682</v>
      </c>
      <c r="E234" s="163" t="s">
        <v>182</v>
      </c>
      <c r="F234" s="164" t="s">
        <v>182</v>
      </c>
      <c r="G234" s="173"/>
      <c r="H234" s="173"/>
      <c r="I234" s="160" t="s">
        <v>68</v>
      </c>
      <c r="J234" s="167">
        <v>15</v>
      </c>
      <c r="K234" s="173"/>
      <c r="L234" s="151"/>
      <c r="M234" s="159"/>
      <c r="N234" s="173"/>
      <c r="O234" s="134" t="s">
        <v>327</v>
      </c>
      <c r="P234" s="167" t="s">
        <v>279</v>
      </c>
      <c r="Q234" s="167">
        <v>15</v>
      </c>
      <c r="R234" s="163" t="s">
        <v>182</v>
      </c>
      <c r="S234" s="141"/>
      <c r="T234" s="130" t="s">
        <v>341</v>
      </c>
      <c r="U234" s="141"/>
      <c r="V234" s="74"/>
    </row>
    <row r="235" spans="1:22" s="72" customFormat="1">
      <c r="A235" s="131" t="s">
        <v>2329</v>
      </c>
      <c r="B235" s="161" t="s">
        <v>491</v>
      </c>
      <c r="C235" s="165" t="s">
        <v>1697</v>
      </c>
      <c r="D235" s="161" t="s">
        <v>682</v>
      </c>
      <c r="E235" s="163" t="s">
        <v>2753</v>
      </c>
      <c r="F235" s="164" t="s">
        <v>2753</v>
      </c>
      <c r="G235" s="173"/>
      <c r="H235" s="173"/>
      <c r="I235" s="160" t="s">
        <v>53</v>
      </c>
      <c r="J235" s="167">
        <v>1</v>
      </c>
      <c r="K235" s="173"/>
      <c r="L235" s="151"/>
      <c r="M235" s="159"/>
      <c r="N235" s="173"/>
      <c r="O235" s="134" t="s">
        <v>327</v>
      </c>
      <c r="P235" s="167" t="s">
        <v>275</v>
      </c>
      <c r="Q235" s="167">
        <v>1</v>
      </c>
      <c r="R235" s="163" t="s">
        <v>2753</v>
      </c>
      <c r="S235" s="141"/>
      <c r="T235" s="130" t="s">
        <v>341</v>
      </c>
      <c r="U235" s="141"/>
    </row>
    <row r="236" spans="1:22" s="72" customFormat="1">
      <c r="A236" s="131" t="s">
        <v>2329</v>
      </c>
      <c r="B236" s="161" t="s">
        <v>491</v>
      </c>
      <c r="C236" s="165" t="s">
        <v>1697</v>
      </c>
      <c r="D236" s="161" t="s">
        <v>682</v>
      </c>
      <c r="E236" s="163" t="s">
        <v>2754</v>
      </c>
      <c r="F236" s="164" t="s">
        <v>2859</v>
      </c>
      <c r="G236" s="173"/>
      <c r="H236" s="173"/>
      <c r="I236" s="160" t="s">
        <v>53</v>
      </c>
      <c r="J236" s="167">
        <v>2</v>
      </c>
      <c r="K236" s="173"/>
      <c r="L236" s="151"/>
      <c r="M236" s="159"/>
      <c r="N236" s="173"/>
      <c r="O236" s="134" t="s">
        <v>327</v>
      </c>
      <c r="P236" s="167" t="s">
        <v>275</v>
      </c>
      <c r="Q236" s="167">
        <v>2</v>
      </c>
      <c r="R236" s="163" t="s">
        <v>2754</v>
      </c>
      <c r="S236" s="141"/>
      <c r="T236" s="130" t="s">
        <v>341</v>
      </c>
      <c r="U236" s="141"/>
    </row>
    <row r="237" spans="1:22" s="72" customFormat="1">
      <c r="A237" s="131" t="s">
        <v>2329</v>
      </c>
      <c r="B237" s="161" t="s">
        <v>491</v>
      </c>
      <c r="C237" s="165" t="s">
        <v>1697</v>
      </c>
      <c r="D237" s="161" t="s">
        <v>682</v>
      </c>
      <c r="E237" s="163" t="s">
        <v>2755</v>
      </c>
      <c r="F237" s="164" t="s">
        <v>2860</v>
      </c>
      <c r="G237" s="173"/>
      <c r="H237" s="173"/>
      <c r="I237" s="160" t="s">
        <v>53</v>
      </c>
      <c r="J237" s="167">
        <v>1</v>
      </c>
      <c r="K237" s="173"/>
      <c r="L237" s="151"/>
      <c r="M237" s="159"/>
      <c r="N237" s="173"/>
      <c r="O237" s="134" t="s">
        <v>327</v>
      </c>
      <c r="P237" s="167" t="s">
        <v>275</v>
      </c>
      <c r="Q237" s="167">
        <v>1</v>
      </c>
      <c r="R237" s="163" t="s">
        <v>2755</v>
      </c>
      <c r="S237" s="141"/>
      <c r="T237" s="130" t="s">
        <v>341</v>
      </c>
      <c r="U237" s="141"/>
    </row>
    <row r="238" spans="1:22" s="72" customFormat="1">
      <c r="A238" s="131" t="s">
        <v>2329</v>
      </c>
      <c r="B238" s="161" t="s">
        <v>491</v>
      </c>
      <c r="C238" s="165" t="s">
        <v>1697</v>
      </c>
      <c r="D238" s="161" t="s">
        <v>682</v>
      </c>
      <c r="E238" s="163" t="s">
        <v>2756</v>
      </c>
      <c r="F238" s="164" t="s">
        <v>2861</v>
      </c>
      <c r="G238" s="173"/>
      <c r="H238" s="173"/>
      <c r="I238" s="160" t="s">
        <v>53</v>
      </c>
      <c r="J238" s="167">
        <v>10</v>
      </c>
      <c r="K238" s="173"/>
      <c r="L238" s="151"/>
      <c r="M238" s="159"/>
      <c r="N238" s="173"/>
      <c r="O238" s="134" t="s">
        <v>327</v>
      </c>
      <c r="P238" s="167" t="s">
        <v>275</v>
      </c>
      <c r="Q238" s="167">
        <v>10</v>
      </c>
      <c r="R238" s="163" t="s">
        <v>2756</v>
      </c>
      <c r="S238" s="141"/>
      <c r="T238" s="130" t="s">
        <v>341</v>
      </c>
      <c r="U238" s="141"/>
    </row>
    <row r="239" spans="1:22" s="72" customFormat="1">
      <c r="A239" s="131" t="s">
        <v>2329</v>
      </c>
      <c r="B239" s="161" t="s">
        <v>491</v>
      </c>
      <c r="C239" s="165" t="s">
        <v>1697</v>
      </c>
      <c r="D239" s="161" t="s">
        <v>682</v>
      </c>
      <c r="E239" s="163" t="s">
        <v>2757</v>
      </c>
      <c r="F239" s="164" t="s">
        <v>2862</v>
      </c>
      <c r="G239" s="173"/>
      <c r="H239" s="173"/>
      <c r="I239" s="160" t="s">
        <v>53</v>
      </c>
      <c r="J239" s="167">
        <v>1</v>
      </c>
      <c r="K239" s="173"/>
      <c r="L239" s="151"/>
      <c r="M239" s="159"/>
      <c r="N239" s="173"/>
      <c r="O239" s="134" t="s">
        <v>327</v>
      </c>
      <c r="P239" s="167" t="s">
        <v>275</v>
      </c>
      <c r="Q239" s="167">
        <v>1</v>
      </c>
      <c r="R239" s="163" t="s">
        <v>2757</v>
      </c>
      <c r="S239" s="141"/>
      <c r="T239" s="130" t="s">
        <v>341</v>
      </c>
      <c r="U239" s="141"/>
    </row>
    <row r="240" spans="1:22" s="72" customFormat="1">
      <c r="A240" s="131" t="s">
        <v>2329</v>
      </c>
      <c r="B240" s="161" t="s">
        <v>491</v>
      </c>
      <c r="C240" s="165" t="s">
        <v>1697</v>
      </c>
      <c r="D240" s="161" t="s">
        <v>682</v>
      </c>
      <c r="E240" s="163" t="s">
        <v>2758</v>
      </c>
      <c r="F240" s="164" t="s">
        <v>2758</v>
      </c>
      <c r="G240" s="173"/>
      <c r="H240" s="173"/>
      <c r="I240" s="160" t="s">
        <v>53</v>
      </c>
      <c r="J240" s="167">
        <v>8</v>
      </c>
      <c r="K240" s="173"/>
      <c r="L240" s="151"/>
      <c r="M240" s="159"/>
      <c r="N240" s="173"/>
      <c r="O240" s="134" t="s">
        <v>327</v>
      </c>
      <c r="P240" s="167" t="s">
        <v>275</v>
      </c>
      <c r="Q240" s="167">
        <v>8</v>
      </c>
      <c r="R240" s="163" t="s">
        <v>2758</v>
      </c>
      <c r="S240" s="141"/>
      <c r="T240" s="130" t="s">
        <v>341</v>
      </c>
      <c r="U240" s="141"/>
    </row>
    <row r="241" spans="1:21" s="72" customFormat="1">
      <c r="A241" s="131" t="s">
        <v>2329</v>
      </c>
      <c r="B241" s="161" t="s">
        <v>491</v>
      </c>
      <c r="C241" s="165" t="s">
        <v>1697</v>
      </c>
      <c r="D241" s="161" t="s">
        <v>682</v>
      </c>
      <c r="E241" s="163" t="s">
        <v>2759</v>
      </c>
      <c r="F241" s="164" t="s">
        <v>2863</v>
      </c>
      <c r="G241" s="173"/>
      <c r="H241" s="173"/>
      <c r="I241" s="160" t="s">
        <v>68</v>
      </c>
      <c r="J241" s="167">
        <v>15</v>
      </c>
      <c r="K241" s="173"/>
      <c r="L241" s="151"/>
      <c r="M241" s="159"/>
      <c r="N241" s="173"/>
      <c r="O241" s="134" t="s">
        <v>327</v>
      </c>
      <c r="P241" s="167" t="s">
        <v>279</v>
      </c>
      <c r="Q241" s="167">
        <v>15</v>
      </c>
      <c r="R241" s="163" t="s">
        <v>2759</v>
      </c>
      <c r="S241" s="141"/>
      <c r="T241" s="130" t="s">
        <v>341</v>
      </c>
      <c r="U241" s="141"/>
    </row>
    <row r="242" spans="1:21" s="72" customFormat="1">
      <c r="A242" s="131" t="s">
        <v>2329</v>
      </c>
      <c r="B242" s="161" t="s">
        <v>491</v>
      </c>
      <c r="C242" s="165" t="s">
        <v>1697</v>
      </c>
      <c r="D242" s="161" t="s">
        <v>682</v>
      </c>
      <c r="E242" s="163" t="s">
        <v>2760</v>
      </c>
      <c r="F242" s="164" t="s">
        <v>2864</v>
      </c>
      <c r="G242" s="173"/>
      <c r="H242" s="173"/>
      <c r="I242" s="160" t="s">
        <v>68</v>
      </c>
      <c r="J242" s="167">
        <v>15</v>
      </c>
      <c r="K242" s="173"/>
      <c r="L242" s="151"/>
      <c r="M242" s="159"/>
      <c r="N242" s="173"/>
      <c r="O242" s="134" t="s">
        <v>327</v>
      </c>
      <c r="P242" s="167" t="s">
        <v>279</v>
      </c>
      <c r="Q242" s="167">
        <v>15</v>
      </c>
      <c r="R242" s="163" t="s">
        <v>2760</v>
      </c>
      <c r="S242" s="141"/>
      <c r="T242" s="130" t="s">
        <v>341</v>
      </c>
      <c r="U242" s="141"/>
    </row>
    <row r="243" spans="1:21" s="72" customFormat="1">
      <c r="A243" s="131" t="s">
        <v>2329</v>
      </c>
      <c r="B243" s="161" t="s">
        <v>491</v>
      </c>
      <c r="C243" s="165" t="s">
        <v>1697</v>
      </c>
      <c r="D243" s="161" t="s">
        <v>682</v>
      </c>
      <c r="E243" s="163" t="s">
        <v>2761</v>
      </c>
      <c r="F243" s="164" t="s">
        <v>2865</v>
      </c>
      <c r="G243" s="173"/>
      <c r="H243" s="173"/>
      <c r="I243" s="160" t="s">
        <v>53</v>
      </c>
      <c r="J243" s="167">
        <v>2</v>
      </c>
      <c r="K243" s="173"/>
      <c r="L243" s="151"/>
      <c r="M243" s="159"/>
      <c r="N243" s="173"/>
      <c r="O243" s="134" t="s">
        <v>327</v>
      </c>
      <c r="P243" s="167" t="s">
        <v>275</v>
      </c>
      <c r="Q243" s="167">
        <v>2</v>
      </c>
      <c r="R243" s="163" t="s">
        <v>2761</v>
      </c>
      <c r="S243" s="141"/>
      <c r="T243" s="130" t="s">
        <v>341</v>
      </c>
      <c r="U243" s="141"/>
    </row>
    <row r="244" spans="1:21" s="72" customFormat="1">
      <c r="A244" s="131" t="s">
        <v>2329</v>
      </c>
      <c r="B244" s="161" t="s">
        <v>491</v>
      </c>
      <c r="C244" s="165" t="s">
        <v>1697</v>
      </c>
      <c r="D244" s="161" t="s">
        <v>682</v>
      </c>
      <c r="E244" s="163" t="s">
        <v>2762</v>
      </c>
      <c r="F244" s="164" t="s">
        <v>2866</v>
      </c>
      <c r="G244" s="173"/>
      <c r="H244" s="173"/>
      <c r="I244" s="160" t="s">
        <v>53</v>
      </c>
      <c r="J244" s="167">
        <v>2</v>
      </c>
      <c r="K244" s="173"/>
      <c r="L244" s="151"/>
      <c r="M244" s="159"/>
      <c r="N244" s="173"/>
      <c r="O244" s="134" t="s">
        <v>327</v>
      </c>
      <c r="P244" s="167" t="s">
        <v>275</v>
      </c>
      <c r="Q244" s="167">
        <v>2</v>
      </c>
      <c r="R244" s="163" t="s">
        <v>2762</v>
      </c>
      <c r="S244" s="141"/>
      <c r="T244" s="130" t="s">
        <v>341</v>
      </c>
      <c r="U244" s="141"/>
    </row>
    <row r="245" spans="1:21" s="72" customFormat="1">
      <c r="A245" s="131" t="s">
        <v>2329</v>
      </c>
      <c r="B245" s="161" t="s">
        <v>491</v>
      </c>
      <c r="C245" s="165" t="s">
        <v>1697</v>
      </c>
      <c r="D245" s="161" t="s">
        <v>682</v>
      </c>
      <c r="E245" s="163" t="s">
        <v>2763</v>
      </c>
      <c r="F245" s="164" t="s">
        <v>96</v>
      </c>
      <c r="G245" s="173"/>
      <c r="H245" s="173"/>
      <c r="I245" s="160" t="s">
        <v>53</v>
      </c>
      <c r="J245" s="167">
        <v>3</v>
      </c>
      <c r="K245" s="173"/>
      <c r="L245" s="151"/>
      <c r="M245" s="159"/>
      <c r="N245" s="173"/>
      <c r="O245" s="134" t="s">
        <v>327</v>
      </c>
      <c r="P245" s="167" t="s">
        <v>275</v>
      </c>
      <c r="Q245" s="167">
        <v>3</v>
      </c>
      <c r="R245" s="163" t="s">
        <v>2763</v>
      </c>
      <c r="S245" s="141"/>
      <c r="T245" s="130" t="s">
        <v>341</v>
      </c>
      <c r="U245" s="141"/>
    </row>
    <row r="246" spans="1:21" s="72" customFormat="1">
      <c r="A246" s="131" t="s">
        <v>2329</v>
      </c>
      <c r="B246" s="161" t="s">
        <v>491</v>
      </c>
      <c r="C246" s="165" t="s">
        <v>1697</v>
      </c>
      <c r="D246" s="161" t="s">
        <v>682</v>
      </c>
      <c r="E246" s="163" t="s">
        <v>2764</v>
      </c>
      <c r="F246" s="164" t="s">
        <v>97</v>
      </c>
      <c r="G246" s="173"/>
      <c r="H246" s="173"/>
      <c r="I246" s="160" t="s">
        <v>53</v>
      </c>
      <c r="J246" s="167">
        <v>3</v>
      </c>
      <c r="K246" s="173"/>
      <c r="L246" s="151"/>
      <c r="M246" s="159"/>
      <c r="N246" s="173"/>
      <c r="O246" s="134" t="s">
        <v>327</v>
      </c>
      <c r="P246" s="167" t="s">
        <v>275</v>
      </c>
      <c r="Q246" s="167">
        <v>3</v>
      </c>
      <c r="R246" s="163" t="s">
        <v>2764</v>
      </c>
      <c r="S246" s="141"/>
      <c r="T246" s="130" t="s">
        <v>341</v>
      </c>
      <c r="U246" s="141"/>
    </row>
    <row r="247" spans="1:21" s="72" customFormat="1">
      <c r="A247" s="131" t="s">
        <v>2329</v>
      </c>
      <c r="B247" s="161" t="s">
        <v>491</v>
      </c>
      <c r="C247" s="165" t="s">
        <v>1697</v>
      </c>
      <c r="D247" s="161" t="s">
        <v>682</v>
      </c>
      <c r="E247" s="163" t="s">
        <v>2765</v>
      </c>
      <c r="F247" s="164" t="s">
        <v>98</v>
      </c>
      <c r="G247" s="173"/>
      <c r="H247" s="173"/>
      <c r="I247" s="160" t="s">
        <v>53</v>
      </c>
      <c r="J247" s="167">
        <v>3</v>
      </c>
      <c r="K247" s="173"/>
      <c r="L247" s="151"/>
      <c r="M247" s="159"/>
      <c r="N247" s="173"/>
      <c r="O247" s="134" t="s">
        <v>327</v>
      </c>
      <c r="P247" s="167" t="s">
        <v>275</v>
      </c>
      <c r="Q247" s="167">
        <v>3</v>
      </c>
      <c r="R247" s="163" t="s">
        <v>2765</v>
      </c>
      <c r="S247" s="141"/>
      <c r="T247" s="130" t="s">
        <v>341</v>
      </c>
      <c r="U247" s="141"/>
    </row>
    <row r="248" spans="1:21" s="72" customFormat="1">
      <c r="A248" s="131" t="s">
        <v>2329</v>
      </c>
      <c r="B248" s="161" t="s">
        <v>491</v>
      </c>
      <c r="C248" s="165" t="s">
        <v>1697</v>
      </c>
      <c r="D248" s="161" t="s">
        <v>682</v>
      </c>
      <c r="E248" s="163" t="s">
        <v>2766</v>
      </c>
      <c r="F248" s="164" t="s">
        <v>2766</v>
      </c>
      <c r="G248" s="173"/>
      <c r="H248" s="173"/>
      <c r="I248" s="160" t="s">
        <v>53</v>
      </c>
      <c r="J248" s="167">
        <v>4</v>
      </c>
      <c r="K248" s="173"/>
      <c r="L248" s="151"/>
      <c r="M248" s="159"/>
      <c r="N248" s="173"/>
      <c r="O248" s="134" t="s">
        <v>327</v>
      </c>
      <c r="P248" s="167" t="s">
        <v>275</v>
      </c>
      <c r="Q248" s="167">
        <v>4</v>
      </c>
      <c r="R248" s="163" t="s">
        <v>2766</v>
      </c>
      <c r="S248" s="141"/>
      <c r="T248" s="130" t="s">
        <v>341</v>
      </c>
      <c r="U248" s="141"/>
    </row>
    <row r="249" spans="1:21" s="72" customFormat="1">
      <c r="A249" s="131" t="s">
        <v>2329</v>
      </c>
      <c r="B249" s="161" t="s">
        <v>491</v>
      </c>
      <c r="C249" s="165" t="s">
        <v>1697</v>
      </c>
      <c r="D249" s="161" t="s">
        <v>682</v>
      </c>
      <c r="E249" s="163" t="s">
        <v>2767</v>
      </c>
      <c r="F249" s="164" t="s">
        <v>2867</v>
      </c>
      <c r="G249" s="173"/>
      <c r="H249" s="173"/>
      <c r="I249" s="160" t="s">
        <v>53</v>
      </c>
      <c r="J249" s="167">
        <v>4</v>
      </c>
      <c r="K249" s="173"/>
      <c r="L249" s="151"/>
      <c r="M249" s="159"/>
      <c r="N249" s="173"/>
      <c r="O249" s="134" t="s">
        <v>327</v>
      </c>
      <c r="P249" s="167" t="s">
        <v>275</v>
      </c>
      <c r="Q249" s="167">
        <v>4</v>
      </c>
      <c r="R249" s="163" t="s">
        <v>2767</v>
      </c>
      <c r="S249" s="141"/>
      <c r="T249" s="130" t="s">
        <v>341</v>
      </c>
      <c r="U249" s="141"/>
    </row>
    <row r="250" spans="1:21" s="72" customFormat="1">
      <c r="A250" s="131" t="s">
        <v>2329</v>
      </c>
      <c r="B250" s="161" t="s">
        <v>491</v>
      </c>
      <c r="C250" s="165" t="s">
        <v>1697</v>
      </c>
      <c r="D250" s="161" t="s">
        <v>682</v>
      </c>
      <c r="E250" s="163" t="s">
        <v>2768</v>
      </c>
      <c r="F250" s="164" t="s">
        <v>2868</v>
      </c>
      <c r="G250" s="173"/>
      <c r="H250" s="173"/>
      <c r="I250" s="160" t="s">
        <v>53</v>
      </c>
      <c r="J250" s="167">
        <v>4</v>
      </c>
      <c r="K250" s="173"/>
      <c r="L250" s="151"/>
      <c r="M250" s="159"/>
      <c r="N250" s="173"/>
      <c r="O250" s="134" t="s">
        <v>327</v>
      </c>
      <c r="P250" s="167" t="s">
        <v>275</v>
      </c>
      <c r="Q250" s="167">
        <v>4</v>
      </c>
      <c r="R250" s="163" t="s">
        <v>2768</v>
      </c>
      <c r="S250" s="141"/>
      <c r="T250" s="130" t="s">
        <v>341</v>
      </c>
      <c r="U250" s="141"/>
    </row>
    <row r="251" spans="1:21" s="72" customFormat="1">
      <c r="A251" s="131" t="s">
        <v>2329</v>
      </c>
      <c r="B251" s="161" t="s">
        <v>491</v>
      </c>
      <c r="C251" s="165" t="s">
        <v>1697</v>
      </c>
      <c r="D251" s="161" t="s">
        <v>682</v>
      </c>
      <c r="E251" s="163" t="s">
        <v>2769</v>
      </c>
      <c r="F251" s="164" t="s">
        <v>2869</v>
      </c>
      <c r="G251" s="173"/>
      <c r="H251" s="173"/>
      <c r="I251" s="160" t="s">
        <v>68</v>
      </c>
      <c r="J251" s="167">
        <v>5</v>
      </c>
      <c r="K251" s="173"/>
      <c r="L251" s="151"/>
      <c r="M251" s="159"/>
      <c r="N251" s="173"/>
      <c r="O251" s="134" t="s">
        <v>327</v>
      </c>
      <c r="P251" s="167" t="s">
        <v>279</v>
      </c>
      <c r="Q251" s="167">
        <v>5</v>
      </c>
      <c r="R251" s="163" t="s">
        <v>2769</v>
      </c>
      <c r="S251" s="141"/>
      <c r="T251" s="130" t="s">
        <v>341</v>
      </c>
      <c r="U251" s="141"/>
    </row>
    <row r="252" spans="1:21" s="72" customFormat="1">
      <c r="A252" s="131" t="s">
        <v>2329</v>
      </c>
      <c r="B252" s="161" t="s">
        <v>491</v>
      </c>
      <c r="C252" s="165" t="s">
        <v>1697</v>
      </c>
      <c r="D252" s="161" t="s">
        <v>682</v>
      </c>
      <c r="E252" s="163" t="s">
        <v>2770</v>
      </c>
      <c r="F252" s="164" t="s">
        <v>2870</v>
      </c>
      <c r="G252" s="173"/>
      <c r="H252" s="173"/>
      <c r="I252" s="160" t="s">
        <v>68</v>
      </c>
      <c r="J252" s="167">
        <v>3</v>
      </c>
      <c r="K252" s="173"/>
      <c r="L252" s="151"/>
      <c r="M252" s="159"/>
      <c r="N252" s="173"/>
      <c r="O252" s="134" t="s">
        <v>327</v>
      </c>
      <c r="P252" s="167" t="s">
        <v>279</v>
      </c>
      <c r="Q252" s="167">
        <v>3</v>
      </c>
      <c r="R252" s="163" t="s">
        <v>2770</v>
      </c>
      <c r="S252" s="141"/>
      <c r="T252" s="130" t="s">
        <v>341</v>
      </c>
      <c r="U252" s="141"/>
    </row>
    <row r="253" spans="1:21" s="72" customFormat="1">
      <c r="A253" s="131" t="s">
        <v>2329</v>
      </c>
      <c r="B253" s="161" t="s">
        <v>491</v>
      </c>
      <c r="C253" s="165" t="s">
        <v>1697</v>
      </c>
      <c r="D253" s="161" t="s">
        <v>682</v>
      </c>
      <c r="E253" s="163" t="s">
        <v>2771</v>
      </c>
      <c r="F253" s="164" t="s">
        <v>2871</v>
      </c>
      <c r="G253" s="173"/>
      <c r="H253" s="173"/>
      <c r="I253" s="160" t="s">
        <v>68</v>
      </c>
      <c r="J253" s="167">
        <v>15</v>
      </c>
      <c r="K253" s="173"/>
      <c r="L253" s="151"/>
      <c r="M253" s="159"/>
      <c r="N253" s="173"/>
      <c r="O253" s="134" t="s">
        <v>327</v>
      </c>
      <c r="P253" s="167" t="s">
        <v>279</v>
      </c>
      <c r="Q253" s="167">
        <v>15</v>
      </c>
      <c r="R253" s="163" t="s">
        <v>2771</v>
      </c>
      <c r="S253" s="141"/>
      <c r="T253" s="130" t="s">
        <v>341</v>
      </c>
      <c r="U253" s="141"/>
    </row>
    <row r="254" spans="1:21" s="72" customFormat="1">
      <c r="A254" s="131" t="s">
        <v>2329</v>
      </c>
      <c r="B254" s="161" t="s">
        <v>491</v>
      </c>
      <c r="C254" s="165" t="s">
        <v>1697</v>
      </c>
      <c r="D254" s="161" t="s">
        <v>682</v>
      </c>
      <c r="E254" s="163" t="s">
        <v>2772</v>
      </c>
      <c r="F254" s="164" t="s">
        <v>2872</v>
      </c>
      <c r="G254" s="173"/>
      <c r="H254" s="173"/>
      <c r="I254" s="160" t="s">
        <v>68</v>
      </c>
      <c r="J254" s="167">
        <v>5</v>
      </c>
      <c r="K254" s="173"/>
      <c r="L254" s="151"/>
      <c r="M254" s="159"/>
      <c r="N254" s="173"/>
      <c r="O254" s="134" t="s">
        <v>327</v>
      </c>
      <c r="P254" s="167" t="s">
        <v>279</v>
      </c>
      <c r="Q254" s="167">
        <v>5</v>
      </c>
      <c r="R254" s="163" t="s">
        <v>2772</v>
      </c>
      <c r="S254" s="141"/>
      <c r="T254" s="130" t="s">
        <v>341</v>
      </c>
      <c r="U254" s="141"/>
    </row>
    <row r="255" spans="1:21" s="72" customFormat="1">
      <c r="A255" s="131" t="s">
        <v>2329</v>
      </c>
      <c r="B255" s="161" t="s">
        <v>491</v>
      </c>
      <c r="C255" s="165" t="s">
        <v>1697</v>
      </c>
      <c r="D255" s="161" t="s">
        <v>682</v>
      </c>
      <c r="E255" s="163" t="s">
        <v>2773</v>
      </c>
      <c r="F255" s="164" t="s">
        <v>2873</v>
      </c>
      <c r="G255" s="173"/>
      <c r="H255" s="173"/>
      <c r="I255" s="160" t="s">
        <v>68</v>
      </c>
      <c r="J255" s="167">
        <v>5</v>
      </c>
      <c r="K255" s="173"/>
      <c r="L255" s="151"/>
      <c r="M255" s="159"/>
      <c r="N255" s="173"/>
      <c r="O255" s="134" t="s">
        <v>327</v>
      </c>
      <c r="P255" s="167" t="s">
        <v>279</v>
      </c>
      <c r="Q255" s="167">
        <v>5</v>
      </c>
      <c r="R255" s="163" t="s">
        <v>2773</v>
      </c>
      <c r="S255" s="141"/>
      <c r="T255" s="130" t="s">
        <v>341</v>
      </c>
      <c r="U255" s="141"/>
    </row>
    <row r="256" spans="1:21" s="72" customFormat="1">
      <c r="A256" s="131" t="s">
        <v>2329</v>
      </c>
      <c r="B256" s="161" t="s">
        <v>491</v>
      </c>
      <c r="C256" s="165" t="s">
        <v>1697</v>
      </c>
      <c r="D256" s="161" t="s">
        <v>682</v>
      </c>
      <c r="E256" s="163" t="s">
        <v>2774</v>
      </c>
      <c r="F256" s="164" t="s">
        <v>2874</v>
      </c>
      <c r="G256" s="173"/>
      <c r="H256" s="173"/>
      <c r="I256" s="160" t="s">
        <v>68</v>
      </c>
      <c r="J256" s="167">
        <v>5</v>
      </c>
      <c r="K256" s="173"/>
      <c r="L256" s="151"/>
      <c r="M256" s="159"/>
      <c r="N256" s="173"/>
      <c r="O256" s="134" t="s">
        <v>327</v>
      </c>
      <c r="P256" s="167" t="s">
        <v>279</v>
      </c>
      <c r="Q256" s="167">
        <v>5</v>
      </c>
      <c r="R256" s="163" t="s">
        <v>2774</v>
      </c>
      <c r="S256" s="141"/>
      <c r="T256" s="130" t="s">
        <v>341</v>
      </c>
      <c r="U256" s="141"/>
    </row>
    <row r="257" spans="1:21" s="72" customFormat="1">
      <c r="A257" s="131" t="s">
        <v>2329</v>
      </c>
      <c r="B257" s="161" t="s">
        <v>491</v>
      </c>
      <c r="C257" s="165" t="s">
        <v>1697</v>
      </c>
      <c r="D257" s="161" t="s">
        <v>682</v>
      </c>
      <c r="E257" s="163" t="s">
        <v>2775</v>
      </c>
      <c r="F257" s="164" t="s">
        <v>2875</v>
      </c>
      <c r="G257" s="173"/>
      <c r="H257" s="173"/>
      <c r="I257" s="160" t="s">
        <v>68</v>
      </c>
      <c r="J257" s="167">
        <v>15</v>
      </c>
      <c r="K257" s="173"/>
      <c r="L257" s="151"/>
      <c r="M257" s="159"/>
      <c r="N257" s="173"/>
      <c r="O257" s="134" t="s">
        <v>327</v>
      </c>
      <c r="P257" s="167" t="s">
        <v>279</v>
      </c>
      <c r="Q257" s="167">
        <v>15</v>
      </c>
      <c r="R257" s="163" t="s">
        <v>2775</v>
      </c>
      <c r="S257" s="141"/>
      <c r="T257" s="130" t="s">
        <v>341</v>
      </c>
      <c r="U257" s="141"/>
    </row>
    <row r="258" spans="1:21" s="72" customFormat="1">
      <c r="A258" s="131" t="s">
        <v>2329</v>
      </c>
      <c r="B258" s="161" t="s">
        <v>491</v>
      </c>
      <c r="C258" s="165" t="s">
        <v>1697</v>
      </c>
      <c r="D258" s="161" t="s">
        <v>682</v>
      </c>
      <c r="E258" s="163" t="s">
        <v>2776</v>
      </c>
      <c r="F258" s="164" t="s">
        <v>2876</v>
      </c>
      <c r="G258" s="173"/>
      <c r="H258" s="173"/>
      <c r="I258" s="160" t="s">
        <v>68</v>
      </c>
      <c r="J258" s="167">
        <v>5</v>
      </c>
      <c r="K258" s="173"/>
      <c r="L258" s="151"/>
      <c r="M258" s="159"/>
      <c r="N258" s="173"/>
      <c r="O258" s="134" t="s">
        <v>327</v>
      </c>
      <c r="P258" s="167" t="s">
        <v>279</v>
      </c>
      <c r="Q258" s="167">
        <v>5</v>
      </c>
      <c r="R258" s="163" t="s">
        <v>2776</v>
      </c>
      <c r="S258" s="141"/>
      <c r="T258" s="130" t="s">
        <v>341</v>
      </c>
      <c r="U258" s="141"/>
    </row>
    <row r="259" spans="1:21" s="72" customFormat="1">
      <c r="A259" s="131" t="s">
        <v>2329</v>
      </c>
      <c r="B259" s="161" t="s">
        <v>491</v>
      </c>
      <c r="C259" s="165" t="s">
        <v>1697</v>
      </c>
      <c r="D259" s="161" t="s">
        <v>682</v>
      </c>
      <c r="E259" s="163" t="s">
        <v>2777</v>
      </c>
      <c r="F259" s="164" t="s">
        <v>2877</v>
      </c>
      <c r="G259" s="173"/>
      <c r="H259" s="173"/>
      <c r="I259" s="160" t="s">
        <v>68</v>
      </c>
      <c r="J259" s="167">
        <v>5</v>
      </c>
      <c r="K259" s="173"/>
      <c r="L259" s="151"/>
      <c r="M259" s="159"/>
      <c r="N259" s="173"/>
      <c r="O259" s="134" t="s">
        <v>327</v>
      </c>
      <c r="P259" s="167" t="s">
        <v>279</v>
      </c>
      <c r="Q259" s="167">
        <v>5</v>
      </c>
      <c r="R259" s="163" t="s">
        <v>2777</v>
      </c>
      <c r="S259" s="141"/>
      <c r="T259" s="130" t="s">
        <v>341</v>
      </c>
      <c r="U259" s="141"/>
    </row>
    <row r="260" spans="1:21" s="72" customFormat="1">
      <c r="A260" s="131" t="s">
        <v>2329</v>
      </c>
      <c r="B260" s="161" t="s">
        <v>491</v>
      </c>
      <c r="C260" s="165" t="s">
        <v>1697</v>
      </c>
      <c r="D260" s="161" t="s">
        <v>682</v>
      </c>
      <c r="E260" s="163" t="s">
        <v>989</v>
      </c>
      <c r="F260" s="164" t="s">
        <v>989</v>
      </c>
      <c r="G260" s="173"/>
      <c r="H260" s="173"/>
      <c r="I260" s="160" t="s">
        <v>68</v>
      </c>
      <c r="J260" s="167">
        <v>5</v>
      </c>
      <c r="K260" s="173"/>
      <c r="L260" s="151"/>
      <c r="M260" s="159"/>
      <c r="N260" s="173"/>
      <c r="O260" s="134" t="s">
        <v>327</v>
      </c>
      <c r="P260" s="167" t="s">
        <v>279</v>
      </c>
      <c r="Q260" s="167">
        <v>5</v>
      </c>
      <c r="R260" s="163" t="s">
        <v>989</v>
      </c>
      <c r="S260" s="141"/>
      <c r="T260" s="130" t="s">
        <v>341</v>
      </c>
      <c r="U260" s="141"/>
    </row>
    <row r="261" spans="1:21" s="72" customFormat="1">
      <c r="A261" s="131" t="s">
        <v>2329</v>
      </c>
      <c r="B261" s="161" t="s">
        <v>491</v>
      </c>
      <c r="C261" s="165" t="s">
        <v>1697</v>
      </c>
      <c r="D261" s="161" t="s">
        <v>682</v>
      </c>
      <c r="E261" s="163" t="s">
        <v>2778</v>
      </c>
      <c r="F261" s="164" t="s">
        <v>2878</v>
      </c>
      <c r="G261" s="173"/>
      <c r="H261" s="173"/>
      <c r="I261" s="160" t="s">
        <v>53</v>
      </c>
      <c r="J261" s="167">
        <v>4</v>
      </c>
      <c r="K261" s="173"/>
      <c r="L261" s="151"/>
      <c r="M261" s="159"/>
      <c r="N261" s="173"/>
      <c r="O261" s="134" t="s">
        <v>327</v>
      </c>
      <c r="P261" s="167" t="s">
        <v>275</v>
      </c>
      <c r="Q261" s="167">
        <v>4</v>
      </c>
      <c r="R261" s="163" t="s">
        <v>2778</v>
      </c>
      <c r="S261" s="141"/>
      <c r="T261" s="130" t="s">
        <v>341</v>
      </c>
      <c r="U261" s="141"/>
    </row>
    <row r="262" spans="1:21" s="72" customFormat="1">
      <c r="A262" s="131" t="s">
        <v>2329</v>
      </c>
      <c r="B262" s="161" t="s">
        <v>491</v>
      </c>
      <c r="C262" s="165" t="s">
        <v>1697</v>
      </c>
      <c r="D262" s="161" t="s">
        <v>682</v>
      </c>
      <c r="E262" s="163" t="s">
        <v>2779</v>
      </c>
      <c r="F262" s="164" t="s">
        <v>2879</v>
      </c>
      <c r="G262" s="173"/>
      <c r="H262" s="173"/>
      <c r="I262" s="160" t="s">
        <v>68</v>
      </c>
      <c r="J262" s="167">
        <v>15</v>
      </c>
      <c r="K262" s="173"/>
      <c r="L262" s="151"/>
      <c r="M262" s="159"/>
      <c r="N262" s="173"/>
      <c r="O262" s="134" t="s">
        <v>327</v>
      </c>
      <c r="P262" s="167" t="s">
        <v>279</v>
      </c>
      <c r="Q262" s="167">
        <v>15</v>
      </c>
      <c r="R262" s="163" t="s">
        <v>2779</v>
      </c>
      <c r="S262" s="141"/>
      <c r="T262" s="130" t="s">
        <v>341</v>
      </c>
      <c r="U262" s="141"/>
    </row>
    <row r="263" spans="1:21" s="72" customFormat="1">
      <c r="A263" s="131" t="s">
        <v>2329</v>
      </c>
      <c r="B263" s="161" t="s">
        <v>491</v>
      </c>
      <c r="C263" s="165" t="s">
        <v>1697</v>
      </c>
      <c r="D263" s="161" t="s">
        <v>682</v>
      </c>
      <c r="E263" s="163" t="s">
        <v>2780</v>
      </c>
      <c r="F263" s="164" t="s">
        <v>2880</v>
      </c>
      <c r="G263" s="173"/>
      <c r="H263" s="173"/>
      <c r="I263" s="160" t="s">
        <v>68</v>
      </c>
      <c r="J263" s="167">
        <v>15</v>
      </c>
      <c r="K263" s="173"/>
      <c r="L263" s="151"/>
      <c r="M263" s="159"/>
      <c r="N263" s="173"/>
      <c r="O263" s="134" t="s">
        <v>327</v>
      </c>
      <c r="P263" s="167" t="s">
        <v>279</v>
      </c>
      <c r="Q263" s="167">
        <v>15</v>
      </c>
      <c r="R263" s="163" t="s">
        <v>2780</v>
      </c>
      <c r="S263" s="141"/>
      <c r="T263" s="130" t="s">
        <v>341</v>
      </c>
      <c r="U263" s="141"/>
    </row>
    <row r="264" spans="1:21" s="72" customFormat="1">
      <c r="A264" s="131" t="s">
        <v>2329</v>
      </c>
      <c r="B264" s="161" t="s">
        <v>491</v>
      </c>
      <c r="C264" s="165" t="s">
        <v>1697</v>
      </c>
      <c r="D264" s="161" t="s">
        <v>682</v>
      </c>
      <c r="E264" s="163" t="s">
        <v>2239</v>
      </c>
      <c r="F264" s="164" t="s">
        <v>2239</v>
      </c>
      <c r="G264" s="173"/>
      <c r="H264" s="173"/>
      <c r="I264" s="160" t="s">
        <v>53</v>
      </c>
      <c r="J264" s="167">
        <v>6</v>
      </c>
      <c r="K264" s="173"/>
      <c r="L264" s="151"/>
      <c r="M264" s="159"/>
      <c r="N264" s="173"/>
      <c r="O264" s="134" t="s">
        <v>327</v>
      </c>
      <c r="P264" s="167" t="s">
        <v>275</v>
      </c>
      <c r="Q264" s="167">
        <v>6</v>
      </c>
      <c r="R264" s="163" t="s">
        <v>2239</v>
      </c>
      <c r="S264" s="141"/>
      <c r="T264" s="130" t="s">
        <v>341</v>
      </c>
      <c r="U264" s="141"/>
    </row>
    <row r="265" spans="1:21" s="72" customFormat="1">
      <c r="A265" s="131" t="s">
        <v>2329</v>
      </c>
      <c r="B265" s="161" t="s">
        <v>491</v>
      </c>
      <c r="C265" s="165" t="s">
        <v>1697</v>
      </c>
      <c r="D265" s="161" t="s">
        <v>682</v>
      </c>
      <c r="E265" s="163" t="s">
        <v>2781</v>
      </c>
      <c r="F265" s="164" t="s">
        <v>2881</v>
      </c>
      <c r="G265" s="173"/>
      <c r="H265" s="173"/>
      <c r="I265" s="160" t="s">
        <v>53</v>
      </c>
      <c r="J265" s="167">
        <v>1</v>
      </c>
      <c r="K265" s="173"/>
      <c r="L265" s="151"/>
      <c r="M265" s="159"/>
      <c r="N265" s="173"/>
      <c r="O265" s="134" t="s">
        <v>327</v>
      </c>
      <c r="P265" s="167" t="s">
        <v>275</v>
      </c>
      <c r="Q265" s="167">
        <v>1</v>
      </c>
      <c r="R265" s="163" t="s">
        <v>2781</v>
      </c>
      <c r="S265" s="141"/>
      <c r="T265" s="130" t="s">
        <v>341</v>
      </c>
      <c r="U265" s="141"/>
    </row>
    <row r="266" spans="1:21" s="72" customFormat="1">
      <c r="A266" s="131" t="s">
        <v>2329</v>
      </c>
      <c r="B266" s="161" t="s">
        <v>491</v>
      </c>
      <c r="C266" s="165" t="s">
        <v>1697</v>
      </c>
      <c r="D266" s="161" t="s">
        <v>682</v>
      </c>
      <c r="E266" s="163" t="s">
        <v>2782</v>
      </c>
      <c r="F266" s="164" t="s">
        <v>2882</v>
      </c>
      <c r="G266" s="173"/>
      <c r="H266" s="173"/>
      <c r="I266" s="160" t="s">
        <v>68</v>
      </c>
      <c r="J266" s="167">
        <v>3</v>
      </c>
      <c r="K266" s="173"/>
      <c r="L266" s="151"/>
      <c r="M266" s="159"/>
      <c r="N266" s="173"/>
      <c r="O266" s="134" t="s">
        <v>327</v>
      </c>
      <c r="P266" s="167" t="s">
        <v>279</v>
      </c>
      <c r="Q266" s="167">
        <v>3</v>
      </c>
      <c r="R266" s="163" t="s">
        <v>2782</v>
      </c>
      <c r="S266" s="141"/>
      <c r="T266" s="130" t="s">
        <v>341</v>
      </c>
      <c r="U266" s="141"/>
    </row>
    <row r="267" spans="1:21" s="72" customFormat="1">
      <c r="A267" s="131" t="s">
        <v>2329</v>
      </c>
      <c r="B267" s="161" t="s">
        <v>491</v>
      </c>
      <c r="C267" s="165" t="s">
        <v>1697</v>
      </c>
      <c r="D267" s="161" t="s">
        <v>682</v>
      </c>
      <c r="E267" s="163" t="s">
        <v>2783</v>
      </c>
      <c r="F267" s="164" t="s">
        <v>2883</v>
      </c>
      <c r="G267" s="173"/>
      <c r="H267" s="173"/>
      <c r="I267" s="160" t="s">
        <v>53</v>
      </c>
      <c r="J267" s="167">
        <v>1</v>
      </c>
      <c r="K267" s="173"/>
      <c r="L267" s="151"/>
      <c r="M267" s="159"/>
      <c r="N267" s="173"/>
      <c r="O267" s="134" t="s">
        <v>327</v>
      </c>
      <c r="P267" s="167" t="s">
        <v>275</v>
      </c>
      <c r="Q267" s="167">
        <v>1</v>
      </c>
      <c r="R267" s="163" t="s">
        <v>2783</v>
      </c>
      <c r="S267" s="141"/>
      <c r="T267" s="130" t="s">
        <v>341</v>
      </c>
      <c r="U267" s="141"/>
    </row>
    <row r="268" spans="1:21" s="72" customFormat="1">
      <c r="A268" s="131" t="s">
        <v>2329</v>
      </c>
      <c r="B268" s="161" t="s">
        <v>491</v>
      </c>
      <c r="C268" s="165" t="s">
        <v>1697</v>
      </c>
      <c r="D268" s="161" t="s">
        <v>682</v>
      </c>
      <c r="E268" s="163" t="s">
        <v>2784</v>
      </c>
      <c r="F268" s="164" t="s">
        <v>2884</v>
      </c>
      <c r="G268" s="173"/>
      <c r="H268" s="173"/>
      <c r="I268" s="160" t="s">
        <v>53</v>
      </c>
      <c r="J268" s="167">
        <v>1</v>
      </c>
      <c r="K268" s="173"/>
      <c r="L268" s="151"/>
      <c r="M268" s="159"/>
      <c r="N268" s="173"/>
      <c r="O268" s="134" t="s">
        <v>327</v>
      </c>
      <c r="P268" s="167" t="s">
        <v>275</v>
      </c>
      <c r="Q268" s="167">
        <v>1</v>
      </c>
      <c r="R268" s="163" t="s">
        <v>2784</v>
      </c>
      <c r="S268" s="141"/>
      <c r="T268" s="130" t="s">
        <v>341</v>
      </c>
      <c r="U268" s="141"/>
    </row>
    <row r="269" spans="1:21" s="72" customFormat="1">
      <c r="A269" s="131" t="s">
        <v>2329</v>
      </c>
      <c r="B269" s="161" t="s">
        <v>491</v>
      </c>
      <c r="C269" s="165" t="s">
        <v>1697</v>
      </c>
      <c r="D269" s="161" t="s">
        <v>682</v>
      </c>
      <c r="E269" s="163" t="s">
        <v>305</v>
      </c>
      <c r="F269" s="164" t="s">
        <v>2885</v>
      </c>
      <c r="G269" s="173"/>
      <c r="H269" s="173"/>
      <c r="I269" s="160" t="s">
        <v>53</v>
      </c>
      <c r="J269" s="167">
        <v>1</v>
      </c>
      <c r="K269" s="173"/>
      <c r="L269" s="151"/>
      <c r="M269" s="159"/>
      <c r="N269" s="173"/>
      <c r="O269" s="134" t="s">
        <v>327</v>
      </c>
      <c r="P269" s="167" t="s">
        <v>275</v>
      </c>
      <c r="Q269" s="167">
        <v>1</v>
      </c>
      <c r="R269" s="163" t="s">
        <v>305</v>
      </c>
      <c r="S269" s="141"/>
      <c r="T269" s="130" t="s">
        <v>341</v>
      </c>
      <c r="U269" s="141"/>
    </row>
    <row r="270" spans="1:21" s="72" customFormat="1">
      <c r="A270" s="131" t="s">
        <v>2329</v>
      </c>
      <c r="B270" s="161" t="s">
        <v>491</v>
      </c>
      <c r="C270" s="165" t="s">
        <v>1697</v>
      </c>
      <c r="D270" s="161" t="s">
        <v>682</v>
      </c>
      <c r="E270" s="163" t="s">
        <v>734</v>
      </c>
      <c r="F270" s="164" t="s">
        <v>734</v>
      </c>
      <c r="G270" s="173"/>
      <c r="H270" s="173"/>
      <c r="I270" s="160" t="s">
        <v>68</v>
      </c>
      <c r="J270" s="167">
        <v>15</v>
      </c>
      <c r="K270" s="173"/>
      <c r="L270" s="151"/>
      <c r="M270" s="159"/>
      <c r="N270" s="173"/>
      <c r="O270" s="134" t="s">
        <v>327</v>
      </c>
      <c r="P270" s="167" t="s">
        <v>279</v>
      </c>
      <c r="Q270" s="167">
        <v>15</v>
      </c>
      <c r="R270" s="163" t="s">
        <v>734</v>
      </c>
      <c r="S270" s="141"/>
      <c r="T270" s="130" t="s">
        <v>341</v>
      </c>
      <c r="U270" s="141"/>
    </row>
    <row r="271" spans="1:21" s="72" customFormat="1">
      <c r="A271" s="131" t="s">
        <v>2329</v>
      </c>
      <c r="B271" s="161" t="s">
        <v>491</v>
      </c>
      <c r="C271" s="165" t="s">
        <v>1697</v>
      </c>
      <c r="D271" s="161" t="s">
        <v>682</v>
      </c>
      <c r="E271" s="163" t="s">
        <v>2785</v>
      </c>
      <c r="F271" s="164" t="s">
        <v>2886</v>
      </c>
      <c r="G271" s="173"/>
      <c r="H271" s="173"/>
      <c r="I271" s="160" t="s">
        <v>68</v>
      </c>
      <c r="J271" s="167">
        <v>15</v>
      </c>
      <c r="K271" s="173"/>
      <c r="L271" s="151"/>
      <c r="M271" s="159"/>
      <c r="N271" s="173"/>
      <c r="O271" s="134" t="s">
        <v>327</v>
      </c>
      <c r="P271" s="167" t="s">
        <v>279</v>
      </c>
      <c r="Q271" s="167">
        <v>15</v>
      </c>
      <c r="R271" s="163" t="s">
        <v>2785</v>
      </c>
      <c r="S271" s="141"/>
      <c r="T271" s="130" t="s">
        <v>341</v>
      </c>
      <c r="U271" s="141"/>
    </row>
    <row r="272" spans="1:21" s="72" customFormat="1">
      <c r="A272" s="131" t="s">
        <v>2329</v>
      </c>
      <c r="B272" s="161" t="s">
        <v>491</v>
      </c>
      <c r="C272" s="165" t="s">
        <v>1697</v>
      </c>
      <c r="D272" s="161" t="s">
        <v>682</v>
      </c>
      <c r="E272" s="163" t="s">
        <v>2786</v>
      </c>
      <c r="F272" s="164" t="s">
        <v>2887</v>
      </c>
      <c r="G272" s="173"/>
      <c r="H272" s="173"/>
      <c r="I272" s="160" t="s">
        <v>53</v>
      </c>
      <c r="J272" s="167">
        <v>1</v>
      </c>
      <c r="K272" s="173"/>
      <c r="L272" s="151"/>
      <c r="M272" s="159"/>
      <c r="N272" s="173"/>
      <c r="O272" s="134" t="s">
        <v>327</v>
      </c>
      <c r="P272" s="167" t="s">
        <v>275</v>
      </c>
      <c r="Q272" s="167">
        <v>1</v>
      </c>
      <c r="R272" s="163" t="s">
        <v>2786</v>
      </c>
      <c r="S272" s="141"/>
      <c r="T272" s="130" t="s">
        <v>341</v>
      </c>
      <c r="U272" s="141"/>
    </row>
    <row r="273" spans="1:22" s="72" customFormat="1">
      <c r="A273" s="131" t="s">
        <v>2329</v>
      </c>
      <c r="B273" s="161" t="s">
        <v>491</v>
      </c>
      <c r="C273" s="165" t="s">
        <v>1697</v>
      </c>
      <c r="D273" s="161" t="s">
        <v>682</v>
      </c>
      <c r="E273" s="163" t="s">
        <v>2787</v>
      </c>
      <c r="F273" s="164" t="s">
        <v>2787</v>
      </c>
      <c r="G273" s="173"/>
      <c r="H273" s="173"/>
      <c r="I273" s="160" t="s">
        <v>68</v>
      </c>
      <c r="J273" s="167">
        <v>15</v>
      </c>
      <c r="K273" s="173"/>
      <c r="L273" s="151"/>
      <c r="M273" s="159"/>
      <c r="N273" s="173"/>
      <c r="O273" s="134" t="s">
        <v>327</v>
      </c>
      <c r="P273" s="167" t="s">
        <v>279</v>
      </c>
      <c r="Q273" s="167">
        <v>15</v>
      </c>
      <c r="R273" s="163" t="s">
        <v>2787</v>
      </c>
      <c r="S273" s="141"/>
      <c r="T273" s="130" t="s">
        <v>341</v>
      </c>
      <c r="U273" s="141"/>
    </row>
    <row r="274" spans="1:22" s="72" customFormat="1">
      <c r="A274" s="131" t="s">
        <v>2329</v>
      </c>
      <c r="B274" s="161" t="s">
        <v>491</v>
      </c>
      <c r="C274" s="165" t="s">
        <v>1697</v>
      </c>
      <c r="D274" s="161" t="s">
        <v>682</v>
      </c>
      <c r="E274" s="163" t="s">
        <v>2788</v>
      </c>
      <c r="F274" s="164" t="s">
        <v>2888</v>
      </c>
      <c r="G274" s="173"/>
      <c r="H274" s="173"/>
      <c r="I274" s="160" t="s">
        <v>53</v>
      </c>
      <c r="J274" s="167">
        <v>1</v>
      </c>
      <c r="K274" s="173"/>
      <c r="L274" s="151"/>
      <c r="M274" s="159"/>
      <c r="N274" s="173"/>
      <c r="O274" s="134" t="s">
        <v>327</v>
      </c>
      <c r="P274" s="167" t="s">
        <v>275</v>
      </c>
      <c r="Q274" s="167">
        <v>1</v>
      </c>
      <c r="R274" s="163" t="s">
        <v>2788</v>
      </c>
      <c r="S274" s="141"/>
      <c r="T274" s="130" t="s">
        <v>341</v>
      </c>
      <c r="U274" s="141"/>
    </row>
    <row r="275" spans="1:22" s="72" customFormat="1">
      <c r="A275" s="131" t="s">
        <v>2329</v>
      </c>
      <c r="B275" s="161" t="s">
        <v>491</v>
      </c>
      <c r="C275" s="165" t="s">
        <v>1697</v>
      </c>
      <c r="D275" s="161" t="s">
        <v>682</v>
      </c>
      <c r="E275" s="163" t="s">
        <v>2789</v>
      </c>
      <c r="F275" s="164" t="s">
        <v>2889</v>
      </c>
      <c r="G275" s="173"/>
      <c r="H275" s="173"/>
      <c r="I275" s="160" t="s">
        <v>53</v>
      </c>
      <c r="J275" s="167">
        <v>1</v>
      </c>
      <c r="K275" s="173"/>
      <c r="L275" s="151"/>
      <c r="M275" s="159"/>
      <c r="N275" s="173"/>
      <c r="O275" s="134" t="s">
        <v>327</v>
      </c>
      <c r="P275" s="167" t="s">
        <v>275</v>
      </c>
      <c r="Q275" s="167">
        <v>1</v>
      </c>
      <c r="R275" s="163" t="s">
        <v>2789</v>
      </c>
      <c r="S275" s="141"/>
      <c r="T275" s="130" t="s">
        <v>341</v>
      </c>
      <c r="U275" s="141"/>
    </row>
    <row r="276" spans="1:22" s="72" customFormat="1">
      <c r="A276" s="131" t="s">
        <v>2329</v>
      </c>
      <c r="B276" s="161" t="s">
        <v>491</v>
      </c>
      <c r="C276" s="165" t="s">
        <v>1697</v>
      </c>
      <c r="D276" s="161" t="s">
        <v>682</v>
      </c>
      <c r="E276" s="163" t="s">
        <v>2790</v>
      </c>
      <c r="F276" s="164" t="s">
        <v>2890</v>
      </c>
      <c r="G276" s="173"/>
      <c r="H276" s="173"/>
      <c r="I276" s="160" t="s">
        <v>68</v>
      </c>
      <c r="J276" s="167">
        <v>15</v>
      </c>
      <c r="K276" s="173"/>
      <c r="L276" s="151"/>
      <c r="M276" s="159"/>
      <c r="N276" s="173"/>
      <c r="O276" s="134" t="s">
        <v>327</v>
      </c>
      <c r="P276" s="167" t="s">
        <v>279</v>
      </c>
      <c r="Q276" s="167">
        <v>15</v>
      </c>
      <c r="R276" s="163" t="s">
        <v>2790</v>
      </c>
      <c r="S276" s="141"/>
      <c r="T276" s="130" t="s">
        <v>341</v>
      </c>
      <c r="U276" s="141"/>
    </row>
    <row r="277" spans="1:22" s="72" customFormat="1">
      <c r="A277" s="131" t="s">
        <v>2329</v>
      </c>
      <c r="B277" s="161" t="s">
        <v>491</v>
      </c>
      <c r="C277" s="165" t="s">
        <v>1697</v>
      </c>
      <c r="D277" s="161" t="s">
        <v>682</v>
      </c>
      <c r="E277" s="163" t="s">
        <v>2791</v>
      </c>
      <c r="F277" s="164" t="s">
        <v>2891</v>
      </c>
      <c r="G277" s="173"/>
      <c r="H277" s="173"/>
      <c r="I277" s="160" t="s">
        <v>53</v>
      </c>
      <c r="J277" s="167">
        <v>1</v>
      </c>
      <c r="K277" s="173"/>
      <c r="L277" s="151"/>
      <c r="M277" s="159"/>
      <c r="N277" s="173"/>
      <c r="O277" s="134" t="s">
        <v>327</v>
      </c>
      <c r="P277" s="167" t="s">
        <v>275</v>
      </c>
      <c r="Q277" s="167">
        <v>1</v>
      </c>
      <c r="R277" s="163" t="s">
        <v>2791</v>
      </c>
      <c r="S277" s="141"/>
      <c r="T277" s="130" t="s">
        <v>341</v>
      </c>
      <c r="U277" s="141"/>
    </row>
    <row r="278" spans="1:22" s="72" customFormat="1">
      <c r="A278" s="131" t="s">
        <v>2329</v>
      </c>
      <c r="B278" s="161" t="s">
        <v>491</v>
      </c>
      <c r="C278" s="165" t="s">
        <v>1697</v>
      </c>
      <c r="D278" s="161" t="s">
        <v>682</v>
      </c>
      <c r="E278" s="163" t="s">
        <v>2523</v>
      </c>
      <c r="F278" s="164" t="s">
        <v>2892</v>
      </c>
      <c r="G278" s="173"/>
      <c r="H278" s="173"/>
      <c r="I278" s="160" t="s">
        <v>53</v>
      </c>
      <c r="J278" s="167">
        <v>1</v>
      </c>
      <c r="K278" s="173"/>
      <c r="L278" s="151"/>
      <c r="M278" s="159"/>
      <c r="N278" s="173"/>
      <c r="O278" s="134" t="s">
        <v>327</v>
      </c>
      <c r="P278" s="167" t="s">
        <v>275</v>
      </c>
      <c r="Q278" s="167">
        <v>1</v>
      </c>
      <c r="R278" s="163" t="s">
        <v>2523</v>
      </c>
      <c r="S278" s="141"/>
      <c r="T278" s="130" t="s">
        <v>341</v>
      </c>
      <c r="U278" s="141"/>
    </row>
    <row r="279" spans="1:22" s="72" customFormat="1">
      <c r="A279" s="131" t="s">
        <v>2329</v>
      </c>
      <c r="B279" s="161" t="s">
        <v>491</v>
      </c>
      <c r="C279" s="165" t="s">
        <v>1697</v>
      </c>
      <c r="D279" s="161" t="s">
        <v>682</v>
      </c>
      <c r="E279" s="163" t="s">
        <v>2792</v>
      </c>
      <c r="F279" s="164" t="s">
        <v>2893</v>
      </c>
      <c r="G279" s="173"/>
      <c r="H279" s="173"/>
      <c r="I279" s="160" t="s">
        <v>68</v>
      </c>
      <c r="J279" s="167">
        <v>15</v>
      </c>
      <c r="K279" s="173"/>
      <c r="L279" s="151"/>
      <c r="M279" s="159"/>
      <c r="N279" s="173"/>
      <c r="O279" s="134" t="s">
        <v>327</v>
      </c>
      <c r="P279" s="167" t="s">
        <v>279</v>
      </c>
      <c r="Q279" s="167">
        <v>15</v>
      </c>
      <c r="R279" s="163" t="s">
        <v>2792</v>
      </c>
      <c r="S279" s="141"/>
      <c r="T279" s="130" t="s">
        <v>341</v>
      </c>
      <c r="U279" s="141"/>
    </row>
    <row r="280" spans="1:22" s="72" customFormat="1">
      <c r="A280" s="131" t="s">
        <v>2329</v>
      </c>
      <c r="B280" s="161" t="s">
        <v>491</v>
      </c>
      <c r="C280" s="165" t="s">
        <v>1697</v>
      </c>
      <c r="D280" s="161" t="s">
        <v>682</v>
      </c>
      <c r="E280" s="163" t="s">
        <v>2524</v>
      </c>
      <c r="F280" s="164" t="s">
        <v>2894</v>
      </c>
      <c r="G280" s="173"/>
      <c r="H280" s="173"/>
      <c r="I280" s="160" t="s">
        <v>68</v>
      </c>
      <c r="J280" s="167">
        <v>15</v>
      </c>
      <c r="K280" s="173"/>
      <c r="L280" s="151"/>
      <c r="M280" s="159"/>
      <c r="N280" s="173"/>
      <c r="O280" s="134" t="s">
        <v>327</v>
      </c>
      <c r="P280" s="167" t="s">
        <v>279</v>
      </c>
      <c r="Q280" s="167">
        <v>15</v>
      </c>
      <c r="R280" s="163" t="s">
        <v>2524</v>
      </c>
      <c r="S280" s="141"/>
      <c r="T280" s="130" t="s">
        <v>341</v>
      </c>
      <c r="U280" s="141"/>
    </row>
    <row r="281" spans="1:22" s="72" customFormat="1">
      <c r="A281" s="131" t="s">
        <v>2329</v>
      </c>
      <c r="B281" s="161" t="s">
        <v>491</v>
      </c>
      <c r="C281" s="165" t="s">
        <v>1697</v>
      </c>
      <c r="D281" s="161" t="s">
        <v>682</v>
      </c>
      <c r="E281" s="163" t="s">
        <v>2525</v>
      </c>
      <c r="F281" s="164" t="s">
        <v>2895</v>
      </c>
      <c r="G281" s="173"/>
      <c r="H281" s="173"/>
      <c r="I281" s="160" t="s">
        <v>68</v>
      </c>
      <c r="J281" s="167">
        <v>5</v>
      </c>
      <c r="K281" s="173"/>
      <c r="L281" s="151"/>
      <c r="M281" s="159"/>
      <c r="N281" s="173"/>
      <c r="O281" s="134" t="s">
        <v>327</v>
      </c>
      <c r="P281" s="167" t="s">
        <v>279</v>
      </c>
      <c r="Q281" s="167">
        <v>5</v>
      </c>
      <c r="R281" s="163" t="s">
        <v>2525</v>
      </c>
      <c r="S281" s="141"/>
      <c r="T281" s="130" t="s">
        <v>341</v>
      </c>
      <c r="U281" s="141"/>
    </row>
    <row r="282" spans="1:22" s="72" customFormat="1">
      <c r="A282" s="131" t="s">
        <v>2329</v>
      </c>
      <c r="B282" s="161" t="s">
        <v>491</v>
      </c>
      <c r="C282" s="165" t="s">
        <v>1697</v>
      </c>
      <c r="D282" s="161" t="s">
        <v>682</v>
      </c>
      <c r="E282" s="163" t="s">
        <v>2526</v>
      </c>
      <c r="F282" s="164" t="s">
        <v>2896</v>
      </c>
      <c r="G282" s="173"/>
      <c r="H282" s="173"/>
      <c r="I282" s="160" t="s">
        <v>68</v>
      </c>
      <c r="J282" s="167">
        <v>5</v>
      </c>
      <c r="K282" s="173"/>
      <c r="L282" s="151"/>
      <c r="M282" s="159"/>
      <c r="N282" s="173"/>
      <c r="O282" s="134" t="s">
        <v>327</v>
      </c>
      <c r="P282" s="167" t="s">
        <v>279</v>
      </c>
      <c r="Q282" s="167">
        <v>5</v>
      </c>
      <c r="R282" s="163" t="s">
        <v>2526</v>
      </c>
      <c r="S282" s="141"/>
      <c r="T282" s="130" t="s">
        <v>341</v>
      </c>
      <c r="U282" s="141"/>
    </row>
    <row r="283" spans="1:22" s="72" customFormat="1">
      <c r="A283" s="131" t="s">
        <v>2329</v>
      </c>
      <c r="B283" s="161" t="s">
        <v>491</v>
      </c>
      <c r="C283" s="165" t="s">
        <v>1697</v>
      </c>
      <c r="D283" s="161" t="s">
        <v>682</v>
      </c>
      <c r="E283" s="163" t="s">
        <v>2527</v>
      </c>
      <c r="F283" s="164" t="s">
        <v>2897</v>
      </c>
      <c r="G283" s="173"/>
      <c r="H283" s="173"/>
      <c r="I283" s="160" t="s">
        <v>68</v>
      </c>
      <c r="J283" s="167">
        <v>5</v>
      </c>
      <c r="K283" s="173"/>
      <c r="L283" s="151"/>
      <c r="M283" s="159"/>
      <c r="N283" s="173"/>
      <c r="O283" s="134" t="s">
        <v>327</v>
      </c>
      <c r="P283" s="167" t="s">
        <v>279</v>
      </c>
      <c r="Q283" s="167">
        <v>5</v>
      </c>
      <c r="R283" s="163" t="s">
        <v>2527</v>
      </c>
      <c r="S283" s="141"/>
      <c r="T283" s="130" t="s">
        <v>341</v>
      </c>
      <c r="U283" s="141"/>
    </row>
    <row r="284" spans="1:22" s="84" customFormat="1">
      <c r="A284" s="131" t="s">
        <v>2329</v>
      </c>
      <c r="B284" s="161" t="s">
        <v>491</v>
      </c>
      <c r="C284" s="165" t="s">
        <v>1697</v>
      </c>
      <c r="D284" s="161" t="s">
        <v>682</v>
      </c>
      <c r="E284" s="163" t="s">
        <v>2528</v>
      </c>
      <c r="F284" s="164" t="s">
        <v>2898</v>
      </c>
      <c r="G284" s="173"/>
      <c r="H284" s="173"/>
      <c r="I284" s="160" t="s">
        <v>68</v>
      </c>
      <c r="J284" s="167">
        <v>5</v>
      </c>
      <c r="K284" s="173"/>
      <c r="L284" s="151"/>
      <c r="M284" s="159"/>
      <c r="N284" s="173"/>
      <c r="O284" s="134" t="s">
        <v>327</v>
      </c>
      <c r="P284" s="167" t="s">
        <v>279</v>
      </c>
      <c r="Q284" s="167">
        <v>5</v>
      </c>
      <c r="R284" s="163" t="s">
        <v>2528</v>
      </c>
      <c r="S284" s="141"/>
      <c r="T284" s="130" t="s">
        <v>341</v>
      </c>
      <c r="U284" s="141"/>
      <c r="V284" s="72"/>
    </row>
    <row r="285" spans="1:22" s="72" customFormat="1">
      <c r="A285" s="131" t="s">
        <v>2329</v>
      </c>
      <c r="B285" s="161" t="s">
        <v>491</v>
      </c>
      <c r="C285" s="165" t="s">
        <v>1697</v>
      </c>
      <c r="D285" s="161" t="s">
        <v>682</v>
      </c>
      <c r="E285" s="163" t="s">
        <v>2529</v>
      </c>
      <c r="F285" s="164" t="s">
        <v>2899</v>
      </c>
      <c r="G285" s="173"/>
      <c r="H285" s="173"/>
      <c r="I285" s="160" t="s">
        <v>68</v>
      </c>
      <c r="J285" s="167">
        <v>5</v>
      </c>
      <c r="K285" s="173"/>
      <c r="L285" s="151"/>
      <c r="M285" s="159"/>
      <c r="N285" s="173"/>
      <c r="O285" s="134" t="s">
        <v>327</v>
      </c>
      <c r="P285" s="167" t="s">
        <v>279</v>
      </c>
      <c r="Q285" s="167">
        <v>5</v>
      </c>
      <c r="R285" s="163" t="s">
        <v>2529</v>
      </c>
      <c r="S285" s="141"/>
      <c r="T285" s="130" t="s">
        <v>341</v>
      </c>
      <c r="U285" s="141"/>
    </row>
    <row r="286" spans="1:22" s="72" customFormat="1">
      <c r="A286" s="131" t="s">
        <v>2329</v>
      </c>
      <c r="B286" s="161" t="s">
        <v>491</v>
      </c>
      <c r="C286" s="165" t="s">
        <v>1697</v>
      </c>
      <c r="D286" s="161" t="s">
        <v>682</v>
      </c>
      <c r="E286" s="163" t="s">
        <v>2530</v>
      </c>
      <c r="F286" s="164" t="s">
        <v>2900</v>
      </c>
      <c r="G286" s="173"/>
      <c r="H286" s="173"/>
      <c r="I286" s="160" t="s">
        <v>68</v>
      </c>
      <c r="J286" s="167">
        <v>5</v>
      </c>
      <c r="K286" s="173"/>
      <c r="L286" s="151"/>
      <c r="M286" s="159"/>
      <c r="N286" s="173"/>
      <c r="O286" s="134" t="s">
        <v>327</v>
      </c>
      <c r="P286" s="167" t="s">
        <v>279</v>
      </c>
      <c r="Q286" s="167">
        <v>5</v>
      </c>
      <c r="R286" s="163" t="s">
        <v>2530</v>
      </c>
      <c r="S286" s="141"/>
      <c r="T286" s="130" t="s">
        <v>341</v>
      </c>
      <c r="U286" s="141"/>
    </row>
    <row r="287" spans="1:22" s="72" customFormat="1">
      <c r="A287" s="131" t="s">
        <v>2329</v>
      </c>
      <c r="B287" s="161" t="s">
        <v>491</v>
      </c>
      <c r="C287" s="165" t="s">
        <v>1697</v>
      </c>
      <c r="D287" s="161" t="s">
        <v>682</v>
      </c>
      <c r="E287" s="163" t="s">
        <v>2531</v>
      </c>
      <c r="F287" s="164" t="s">
        <v>2901</v>
      </c>
      <c r="G287" s="173"/>
      <c r="H287" s="173"/>
      <c r="I287" s="160" t="s">
        <v>68</v>
      </c>
      <c r="J287" s="167">
        <v>5</v>
      </c>
      <c r="K287" s="173"/>
      <c r="L287" s="151"/>
      <c r="M287" s="159"/>
      <c r="N287" s="173"/>
      <c r="O287" s="134" t="s">
        <v>327</v>
      </c>
      <c r="P287" s="167" t="s">
        <v>279</v>
      </c>
      <c r="Q287" s="167">
        <v>5</v>
      </c>
      <c r="R287" s="163" t="s">
        <v>2531</v>
      </c>
      <c r="S287" s="141"/>
      <c r="T287" s="130" t="s">
        <v>341</v>
      </c>
      <c r="U287" s="141"/>
    </row>
    <row r="288" spans="1:22" s="72" customFormat="1">
      <c r="A288" s="131" t="s">
        <v>2329</v>
      </c>
      <c r="B288" s="161" t="s">
        <v>491</v>
      </c>
      <c r="C288" s="165" t="s">
        <v>1697</v>
      </c>
      <c r="D288" s="161" t="s">
        <v>682</v>
      </c>
      <c r="E288" s="163" t="s">
        <v>2532</v>
      </c>
      <c r="F288" s="164" t="s">
        <v>2902</v>
      </c>
      <c r="G288" s="173"/>
      <c r="H288" s="173"/>
      <c r="I288" s="160" t="s">
        <v>53</v>
      </c>
      <c r="J288" s="167">
        <v>1</v>
      </c>
      <c r="K288" s="173"/>
      <c r="L288" s="151"/>
      <c r="M288" s="159"/>
      <c r="N288" s="173"/>
      <c r="O288" s="134" t="s">
        <v>327</v>
      </c>
      <c r="P288" s="167" t="s">
        <v>275</v>
      </c>
      <c r="Q288" s="167">
        <v>1</v>
      </c>
      <c r="R288" s="163" t="s">
        <v>2532</v>
      </c>
      <c r="S288" s="141"/>
      <c r="T288" s="130" t="s">
        <v>341</v>
      </c>
      <c r="U288" s="141"/>
    </row>
    <row r="289" spans="1:22" s="72" customFormat="1">
      <c r="A289" s="131" t="s">
        <v>2329</v>
      </c>
      <c r="B289" s="161" t="s">
        <v>491</v>
      </c>
      <c r="C289" s="165" t="s">
        <v>1697</v>
      </c>
      <c r="D289" s="161" t="s">
        <v>682</v>
      </c>
      <c r="E289" s="163" t="s">
        <v>2533</v>
      </c>
      <c r="F289" s="164" t="s">
        <v>2903</v>
      </c>
      <c r="G289" s="173"/>
      <c r="H289" s="173"/>
      <c r="I289" s="160" t="s">
        <v>53</v>
      </c>
      <c r="J289" s="167">
        <v>1</v>
      </c>
      <c r="K289" s="173"/>
      <c r="L289" s="151"/>
      <c r="M289" s="159"/>
      <c r="N289" s="173"/>
      <c r="O289" s="134" t="s">
        <v>327</v>
      </c>
      <c r="P289" s="167" t="s">
        <v>275</v>
      </c>
      <c r="Q289" s="167">
        <v>1</v>
      </c>
      <c r="R289" s="163" t="s">
        <v>2533</v>
      </c>
      <c r="S289" s="141"/>
      <c r="T289" s="130" t="s">
        <v>341</v>
      </c>
      <c r="U289" s="141"/>
    </row>
    <row r="290" spans="1:22" s="72" customFormat="1">
      <c r="A290" s="131" t="s">
        <v>2329</v>
      </c>
      <c r="B290" s="161" t="s">
        <v>491</v>
      </c>
      <c r="C290" s="165" t="s">
        <v>1697</v>
      </c>
      <c r="D290" s="161" t="s">
        <v>682</v>
      </c>
      <c r="E290" s="163" t="s">
        <v>2793</v>
      </c>
      <c r="F290" s="164" t="s">
        <v>2904</v>
      </c>
      <c r="G290" s="173"/>
      <c r="H290" s="173"/>
      <c r="I290" s="160" t="s">
        <v>68</v>
      </c>
      <c r="J290" s="167">
        <v>15</v>
      </c>
      <c r="K290" s="173"/>
      <c r="L290" s="151"/>
      <c r="M290" s="159"/>
      <c r="N290" s="173"/>
      <c r="O290" s="134" t="s">
        <v>327</v>
      </c>
      <c r="P290" s="167" t="s">
        <v>279</v>
      </c>
      <c r="Q290" s="167">
        <v>15</v>
      </c>
      <c r="R290" s="163" t="s">
        <v>2793</v>
      </c>
      <c r="S290" s="141"/>
      <c r="T290" s="130" t="s">
        <v>341</v>
      </c>
      <c r="U290" s="141"/>
    </row>
    <row r="291" spans="1:22" s="72" customFormat="1">
      <c r="A291" s="131" t="s">
        <v>2329</v>
      </c>
      <c r="B291" s="161" t="s">
        <v>491</v>
      </c>
      <c r="C291" s="165" t="s">
        <v>1697</v>
      </c>
      <c r="D291" s="161" t="s">
        <v>682</v>
      </c>
      <c r="E291" s="163" t="s">
        <v>2794</v>
      </c>
      <c r="F291" s="164" t="s">
        <v>2794</v>
      </c>
      <c r="G291" s="173"/>
      <c r="H291" s="173"/>
      <c r="I291" s="160" t="s">
        <v>68</v>
      </c>
      <c r="J291" s="167">
        <v>15</v>
      </c>
      <c r="K291" s="173"/>
      <c r="L291" s="151"/>
      <c r="M291" s="159"/>
      <c r="N291" s="173"/>
      <c r="O291" s="134" t="s">
        <v>327</v>
      </c>
      <c r="P291" s="167" t="s">
        <v>279</v>
      </c>
      <c r="Q291" s="167">
        <v>15</v>
      </c>
      <c r="R291" s="163" t="s">
        <v>2794</v>
      </c>
      <c r="S291" s="141"/>
      <c r="T291" s="130" t="s">
        <v>341</v>
      </c>
      <c r="U291" s="141"/>
    </row>
    <row r="292" spans="1:22" s="72" customFormat="1">
      <c r="A292" s="131" t="s">
        <v>2329</v>
      </c>
      <c r="B292" s="161" t="s">
        <v>491</v>
      </c>
      <c r="C292" s="165" t="s">
        <v>1697</v>
      </c>
      <c r="D292" s="161" t="s">
        <v>682</v>
      </c>
      <c r="E292" s="163" t="s">
        <v>2536</v>
      </c>
      <c r="F292" s="164" t="s">
        <v>2905</v>
      </c>
      <c r="G292" s="173"/>
      <c r="H292" s="173"/>
      <c r="I292" s="160" t="s">
        <v>53</v>
      </c>
      <c r="J292" s="167">
        <v>3</v>
      </c>
      <c r="K292" s="173"/>
      <c r="L292" s="151"/>
      <c r="M292" s="159"/>
      <c r="N292" s="173"/>
      <c r="O292" s="134" t="s">
        <v>327</v>
      </c>
      <c r="P292" s="167" t="s">
        <v>275</v>
      </c>
      <c r="Q292" s="167">
        <v>3</v>
      </c>
      <c r="R292" s="163" t="s">
        <v>2536</v>
      </c>
      <c r="S292" s="141"/>
      <c r="T292" s="130" t="s">
        <v>341</v>
      </c>
      <c r="U292" s="141"/>
    </row>
    <row r="293" spans="1:22" s="72" customFormat="1">
      <c r="A293" s="131" t="s">
        <v>2329</v>
      </c>
      <c r="B293" s="161" t="s">
        <v>491</v>
      </c>
      <c r="C293" s="165" t="s">
        <v>1697</v>
      </c>
      <c r="D293" s="161" t="s">
        <v>682</v>
      </c>
      <c r="E293" s="163" t="s">
        <v>2795</v>
      </c>
      <c r="F293" s="164" t="s">
        <v>2906</v>
      </c>
      <c r="G293" s="173"/>
      <c r="H293" s="173"/>
      <c r="I293" s="160" t="s">
        <v>53</v>
      </c>
      <c r="J293" s="167">
        <v>1</v>
      </c>
      <c r="K293" s="173"/>
      <c r="L293" s="151"/>
      <c r="M293" s="159"/>
      <c r="N293" s="173"/>
      <c r="O293" s="134" t="s">
        <v>327</v>
      </c>
      <c r="P293" s="167" t="s">
        <v>275</v>
      </c>
      <c r="Q293" s="167">
        <v>1</v>
      </c>
      <c r="R293" s="163" t="s">
        <v>2795</v>
      </c>
      <c r="S293" s="141"/>
      <c r="T293" s="130" t="s">
        <v>341</v>
      </c>
      <c r="U293" s="141"/>
    </row>
    <row r="294" spans="1:22" s="72" customFormat="1">
      <c r="A294" s="131" t="s">
        <v>2329</v>
      </c>
      <c r="B294" s="161" t="s">
        <v>491</v>
      </c>
      <c r="C294" s="165" t="s">
        <v>1697</v>
      </c>
      <c r="D294" s="161" t="s">
        <v>682</v>
      </c>
      <c r="E294" s="163" t="s">
        <v>2796</v>
      </c>
      <c r="F294" s="164" t="s">
        <v>2796</v>
      </c>
      <c r="G294" s="173"/>
      <c r="H294" s="173"/>
      <c r="I294" s="160" t="s">
        <v>53</v>
      </c>
      <c r="J294" s="167">
        <v>1</v>
      </c>
      <c r="K294" s="173"/>
      <c r="L294" s="151"/>
      <c r="M294" s="159"/>
      <c r="N294" s="173"/>
      <c r="O294" s="134" t="s">
        <v>327</v>
      </c>
      <c r="P294" s="167" t="s">
        <v>275</v>
      </c>
      <c r="Q294" s="167">
        <v>1</v>
      </c>
      <c r="R294" s="163" t="s">
        <v>2796</v>
      </c>
      <c r="S294" s="141"/>
      <c r="T294" s="130" t="s">
        <v>341</v>
      </c>
      <c r="U294" s="141"/>
    </row>
    <row r="295" spans="1:22" s="72" customFormat="1">
      <c r="A295" s="131" t="s">
        <v>2329</v>
      </c>
      <c r="B295" s="161" t="s">
        <v>491</v>
      </c>
      <c r="C295" s="165" t="s">
        <v>1697</v>
      </c>
      <c r="D295" s="161" t="s">
        <v>682</v>
      </c>
      <c r="E295" s="163" t="s">
        <v>2797</v>
      </c>
      <c r="F295" s="164" t="s">
        <v>2907</v>
      </c>
      <c r="G295" s="173"/>
      <c r="H295" s="173"/>
      <c r="I295" s="160" t="s">
        <v>53</v>
      </c>
      <c r="J295" s="167">
        <v>1</v>
      </c>
      <c r="K295" s="173"/>
      <c r="L295" s="151"/>
      <c r="M295" s="159"/>
      <c r="N295" s="173"/>
      <c r="O295" s="134" t="s">
        <v>327</v>
      </c>
      <c r="P295" s="167" t="s">
        <v>275</v>
      </c>
      <c r="Q295" s="167">
        <v>1</v>
      </c>
      <c r="R295" s="163" t="s">
        <v>2797</v>
      </c>
      <c r="S295" s="141"/>
      <c r="T295" s="130" t="s">
        <v>341</v>
      </c>
      <c r="U295" s="141"/>
    </row>
    <row r="296" spans="1:22" s="72" customFormat="1">
      <c r="A296" s="131" t="s">
        <v>2329</v>
      </c>
      <c r="B296" s="161" t="s">
        <v>491</v>
      </c>
      <c r="C296" s="165" t="s">
        <v>1697</v>
      </c>
      <c r="D296" s="161" t="s">
        <v>682</v>
      </c>
      <c r="E296" s="163" t="s">
        <v>2798</v>
      </c>
      <c r="F296" s="164" t="s">
        <v>2908</v>
      </c>
      <c r="G296" s="173"/>
      <c r="H296" s="173"/>
      <c r="I296" s="160" t="s">
        <v>53</v>
      </c>
      <c r="J296" s="167">
        <v>1</v>
      </c>
      <c r="K296" s="173"/>
      <c r="L296" s="151"/>
      <c r="M296" s="159"/>
      <c r="N296" s="173"/>
      <c r="O296" s="134" t="s">
        <v>327</v>
      </c>
      <c r="P296" s="167" t="s">
        <v>275</v>
      </c>
      <c r="Q296" s="167">
        <v>1</v>
      </c>
      <c r="R296" s="163" t="s">
        <v>2798</v>
      </c>
      <c r="S296" s="141"/>
      <c r="T296" s="130" t="s">
        <v>341</v>
      </c>
      <c r="U296" s="141"/>
    </row>
    <row r="297" spans="1:22" s="72" customFormat="1">
      <c r="A297" s="131" t="s">
        <v>2329</v>
      </c>
      <c r="B297" s="161" t="s">
        <v>491</v>
      </c>
      <c r="C297" s="165" t="s">
        <v>1697</v>
      </c>
      <c r="D297" s="161" t="s">
        <v>682</v>
      </c>
      <c r="E297" s="163" t="s">
        <v>2799</v>
      </c>
      <c r="F297" s="164" t="s">
        <v>2799</v>
      </c>
      <c r="G297" s="173"/>
      <c r="H297" s="173"/>
      <c r="I297" s="160" t="s">
        <v>53</v>
      </c>
      <c r="J297" s="167">
        <v>1</v>
      </c>
      <c r="K297" s="173"/>
      <c r="L297" s="151"/>
      <c r="M297" s="159"/>
      <c r="N297" s="173"/>
      <c r="O297" s="134" t="s">
        <v>327</v>
      </c>
      <c r="P297" s="167" t="s">
        <v>275</v>
      </c>
      <c r="Q297" s="167">
        <v>1</v>
      </c>
      <c r="R297" s="163" t="s">
        <v>2799</v>
      </c>
      <c r="S297" s="141"/>
      <c r="T297" s="130" t="s">
        <v>341</v>
      </c>
      <c r="U297" s="141"/>
    </row>
    <row r="298" spans="1:22" s="72" customFormat="1">
      <c r="A298" s="131" t="s">
        <v>2329</v>
      </c>
      <c r="B298" s="161" t="s">
        <v>491</v>
      </c>
      <c r="C298" s="165" t="s">
        <v>1697</v>
      </c>
      <c r="D298" s="161" t="s">
        <v>682</v>
      </c>
      <c r="E298" s="163" t="s">
        <v>2800</v>
      </c>
      <c r="F298" s="164" t="s">
        <v>2909</v>
      </c>
      <c r="G298" s="173"/>
      <c r="H298" s="173"/>
      <c r="I298" s="160" t="s">
        <v>53</v>
      </c>
      <c r="J298" s="167">
        <v>2</v>
      </c>
      <c r="K298" s="173"/>
      <c r="L298" s="151"/>
      <c r="M298" s="159"/>
      <c r="N298" s="173"/>
      <c r="O298" s="134" t="s">
        <v>327</v>
      </c>
      <c r="P298" s="167" t="s">
        <v>275</v>
      </c>
      <c r="Q298" s="167">
        <v>2</v>
      </c>
      <c r="R298" s="163" t="s">
        <v>2800</v>
      </c>
      <c r="S298" s="141"/>
      <c r="T298" s="130" t="s">
        <v>341</v>
      </c>
      <c r="U298" s="141"/>
    </row>
    <row r="299" spans="1:22" s="84" customFormat="1">
      <c r="A299" s="131" t="s">
        <v>2329</v>
      </c>
      <c r="B299" s="161" t="s">
        <v>491</v>
      </c>
      <c r="C299" s="165" t="s">
        <v>1697</v>
      </c>
      <c r="D299" s="161" t="s">
        <v>682</v>
      </c>
      <c r="E299" s="163" t="s">
        <v>2801</v>
      </c>
      <c r="F299" s="164" t="s">
        <v>2910</v>
      </c>
      <c r="G299" s="173"/>
      <c r="H299" s="173"/>
      <c r="I299" s="160" t="s">
        <v>53</v>
      </c>
      <c r="J299" s="167">
        <v>2</v>
      </c>
      <c r="K299" s="173"/>
      <c r="L299" s="151"/>
      <c r="M299" s="159"/>
      <c r="N299" s="173"/>
      <c r="O299" s="134" t="s">
        <v>327</v>
      </c>
      <c r="P299" s="167" t="s">
        <v>275</v>
      </c>
      <c r="Q299" s="167">
        <v>2</v>
      </c>
      <c r="R299" s="163" t="s">
        <v>2801</v>
      </c>
      <c r="S299" s="141"/>
      <c r="T299" s="130" t="s">
        <v>341</v>
      </c>
      <c r="U299" s="141"/>
      <c r="V299" s="72"/>
    </row>
    <row r="300" spans="1:22" s="72" customFormat="1">
      <c r="A300" s="2">
        <f>IF(D178=D300,A178+1,1)</f>
        <v>24</v>
      </c>
      <c r="B300" s="3" t="s">
        <v>491</v>
      </c>
      <c r="C300" s="17" t="s">
        <v>1697</v>
      </c>
      <c r="D300" s="3" t="s">
        <v>682</v>
      </c>
      <c r="E300" s="20" t="s">
        <v>72</v>
      </c>
      <c r="F300" s="46" t="s">
        <v>72</v>
      </c>
      <c r="G300" s="4" t="s">
        <v>54</v>
      </c>
      <c r="H300" s="4" t="s">
        <v>52</v>
      </c>
      <c r="I300" s="20" t="s">
        <v>73</v>
      </c>
      <c r="J300" s="21" t="s">
        <v>54</v>
      </c>
      <c r="K300" s="21" t="s">
        <v>54</v>
      </c>
      <c r="L300" s="5" t="s">
        <v>669</v>
      </c>
      <c r="M300" s="25"/>
      <c r="N300" s="20"/>
      <c r="O300" s="16"/>
      <c r="P300" s="16"/>
      <c r="Q300" s="16"/>
      <c r="R300" s="16" t="s">
        <v>680</v>
      </c>
      <c r="S300" s="2"/>
      <c r="T300" s="2" t="s">
        <v>341</v>
      </c>
      <c r="U300" s="2"/>
    </row>
    <row r="301" spans="1:22" s="72" customFormat="1">
      <c r="A301" s="2">
        <f t="shared" si="1"/>
        <v>25</v>
      </c>
      <c r="B301" s="3" t="s">
        <v>491</v>
      </c>
      <c r="C301" s="17" t="s">
        <v>1697</v>
      </c>
      <c r="D301" s="3" t="s">
        <v>682</v>
      </c>
      <c r="E301" s="20" t="s">
        <v>74</v>
      </c>
      <c r="F301" s="46" t="s">
        <v>74</v>
      </c>
      <c r="G301" s="4" t="s">
        <v>54</v>
      </c>
      <c r="H301" s="4" t="s">
        <v>52</v>
      </c>
      <c r="I301" s="20" t="s">
        <v>53</v>
      </c>
      <c r="J301" s="21">
        <v>12</v>
      </c>
      <c r="K301" s="21" t="s">
        <v>54</v>
      </c>
      <c r="L301" s="5" t="s">
        <v>669</v>
      </c>
      <c r="M301" s="25"/>
      <c r="N301" s="20"/>
      <c r="O301" s="16"/>
      <c r="P301" s="16"/>
      <c r="Q301" s="16"/>
      <c r="R301" s="16" t="s">
        <v>680</v>
      </c>
      <c r="S301" s="2"/>
      <c r="T301" s="2" t="s">
        <v>341</v>
      </c>
      <c r="U301" s="2"/>
    </row>
    <row r="302" spans="1:22" s="72" customFormat="1">
      <c r="A302" s="2">
        <f t="shared" si="1"/>
        <v>26</v>
      </c>
      <c r="B302" s="3" t="s">
        <v>491</v>
      </c>
      <c r="C302" s="17" t="s">
        <v>1697</v>
      </c>
      <c r="D302" s="3" t="s">
        <v>682</v>
      </c>
      <c r="E302" s="20" t="s">
        <v>75</v>
      </c>
      <c r="F302" s="46" t="s">
        <v>75</v>
      </c>
      <c r="G302" s="4" t="s">
        <v>54</v>
      </c>
      <c r="H302" s="4" t="s">
        <v>52</v>
      </c>
      <c r="I302" s="20" t="s">
        <v>53</v>
      </c>
      <c r="J302" s="21">
        <v>20</v>
      </c>
      <c r="K302" s="21" t="s">
        <v>54</v>
      </c>
      <c r="L302" s="5" t="s">
        <v>669</v>
      </c>
      <c r="M302" s="25"/>
      <c r="N302" s="20"/>
      <c r="O302" s="16"/>
      <c r="P302" s="16"/>
      <c r="Q302" s="16"/>
      <c r="R302" s="16" t="s">
        <v>680</v>
      </c>
      <c r="S302" s="2"/>
      <c r="T302" s="2" t="s">
        <v>341</v>
      </c>
      <c r="U302" s="2"/>
    </row>
    <row r="303" spans="1:22" s="72" customFormat="1" hidden="1">
      <c r="A303" s="2">
        <f>IF(D302=D303,A302+1,1)</f>
        <v>1</v>
      </c>
      <c r="B303" s="3" t="s">
        <v>484</v>
      </c>
      <c r="C303" s="3" t="s">
        <v>172</v>
      </c>
      <c r="D303" s="3" t="s">
        <v>683</v>
      </c>
      <c r="E303" s="3" t="s">
        <v>50</v>
      </c>
      <c r="F303" s="6" t="s">
        <v>50</v>
      </c>
      <c r="G303" s="2" t="s">
        <v>51</v>
      </c>
      <c r="H303" s="2" t="s">
        <v>52</v>
      </c>
      <c r="I303" s="3" t="s">
        <v>53</v>
      </c>
      <c r="J303" s="44">
        <v>14</v>
      </c>
      <c r="K303" s="44" t="s">
        <v>54</v>
      </c>
      <c r="L303" s="44" t="s">
        <v>640</v>
      </c>
      <c r="M303" s="25"/>
      <c r="N303" s="73"/>
      <c r="O303" s="16"/>
      <c r="P303" s="16"/>
      <c r="Q303" s="16"/>
      <c r="R303" s="16"/>
      <c r="S303" s="2" t="s">
        <v>348</v>
      </c>
      <c r="T303" s="2" t="s">
        <v>348</v>
      </c>
      <c r="U303" s="2" t="s">
        <v>348</v>
      </c>
    </row>
    <row r="304" spans="1:22" s="72" customFormat="1" hidden="1">
      <c r="A304" s="2">
        <f t="shared" si="1"/>
        <v>2</v>
      </c>
      <c r="B304" s="3" t="s">
        <v>484</v>
      </c>
      <c r="C304" s="3" t="s">
        <v>172</v>
      </c>
      <c r="D304" s="3" t="s">
        <v>683</v>
      </c>
      <c r="E304" s="3" t="s">
        <v>55</v>
      </c>
      <c r="F304" s="6" t="s">
        <v>55</v>
      </c>
      <c r="G304" s="2"/>
      <c r="H304" s="2" t="s">
        <v>52</v>
      </c>
      <c r="I304" s="3" t="s">
        <v>53</v>
      </c>
      <c r="J304" s="44">
        <v>8</v>
      </c>
      <c r="K304" s="44" t="s">
        <v>54</v>
      </c>
      <c r="L304" s="44" t="s">
        <v>640</v>
      </c>
      <c r="M304" s="25"/>
      <c r="N304" s="73"/>
      <c r="O304" s="16"/>
      <c r="P304" s="16"/>
      <c r="Q304" s="16"/>
      <c r="R304" s="16"/>
      <c r="S304" s="2" t="s">
        <v>348</v>
      </c>
      <c r="T304" s="2" t="s">
        <v>348</v>
      </c>
      <c r="U304" s="2" t="s">
        <v>348</v>
      </c>
    </row>
    <row r="305" spans="1:22 16369:16370" s="72" customFormat="1" hidden="1">
      <c r="A305" s="2">
        <f t="shared" si="1"/>
        <v>3</v>
      </c>
      <c r="B305" s="3" t="s">
        <v>484</v>
      </c>
      <c r="C305" s="3" t="s">
        <v>172</v>
      </c>
      <c r="D305" s="3" t="s">
        <v>683</v>
      </c>
      <c r="E305" s="3" t="s">
        <v>56</v>
      </c>
      <c r="F305" s="6" t="s">
        <v>56</v>
      </c>
      <c r="G305" s="2"/>
      <c r="H305" s="2" t="s">
        <v>52</v>
      </c>
      <c r="I305" s="3" t="s">
        <v>53</v>
      </c>
      <c r="J305" s="44">
        <v>6</v>
      </c>
      <c r="K305" s="44" t="s">
        <v>54</v>
      </c>
      <c r="L305" s="44" t="s">
        <v>640</v>
      </c>
      <c r="M305" s="25"/>
      <c r="N305" s="73"/>
      <c r="O305" s="16"/>
      <c r="P305" s="16"/>
      <c r="Q305" s="16"/>
      <c r="R305" s="16"/>
      <c r="S305" s="2" t="s">
        <v>341</v>
      </c>
      <c r="T305" s="2" t="s">
        <v>341</v>
      </c>
      <c r="U305" s="2" t="s">
        <v>341</v>
      </c>
    </row>
    <row r="306" spans="1:22 16369:16370" s="72" customFormat="1" hidden="1">
      <c r="A306" s="2">
        <f t="shared" si="1"/>
        <v>4</v>
      </c>
      <c r="B306" s="3" t="s">
        <v>484</v>
      </c>
      <c r="C306" s="3" t="s">
        <v>172</v>
      </c>
      <c r="D306" s="3" t="s">
        <v>683</v>
      </c>
      <c r="E306" s="3" t="s">
        <v>445</v>
      </c>
      <c r="F306" s="6" t="s">
        <v>1576</v>
      </c>
      <c r="G306" s="2"/>
      <c r="H306" s="2"/>
      <c r="I306" s="3" t="s">
        <v>53</v>
      </c>
      <c r="J306" s="44">
        <v>2</v>
      </c>
      <c r="K306" s="44"/>
      <c r="L306" s="44" t="s">
        <v>742</v>
      </c>
      <c r="M306" s="25"/>
      <c r="N306" s="73"/>
      <c r="O306" s="16"/>
      <c r="P306" s="16"/>
      <c r="Q306" s="16"/>
      <c r="R306" s="16" t="s">
        <v>445</v>
      </c>
      <c r="S306" s="2" t="s">
        <v>341</v>
      </c>
      <c r="T306" s="2" t="s">
        <v>341</v>
      </c>
      <c r="U306" s="2" t="s">
        <v>341</v>
      </c>
    </row>
    <row r="307" spans="1:22 16369:16370" s="72" customFormat="1" hidden="1">
      <c r="A307" s="2">
        <f t="shared" si="1"/>
        <v>5</v>
      </c>
      <c r="B307" s="3" t="s">
        <v>484</v>
      </c>
      <c r="C307" s="3" t="s">
        <v>172</v>
      </c>
      <c r="D307" s="3" t="s">
        <v>683</v>
      </c>
      <c r="E307" s="3" t="s">
        <v>703</v>
      </c>
      <c r="F307" s="6" t="s">
        <v>1577</v>
      </c>
      <c r="G307" s="2"/>
      <c r="H307" s="2"/>
      <c r="I307" s="3" t="s">
        <v>68</v>
      </c>
      <c r="J307" s="44">
        <v>5</v>
      </c>
      <c r="K307" s="44"/>
      <c r="L307" s="44" t="s">
        <v>742</v>
      </c>
      <c r="M307" s="25"/>
      <c r="N307" s="73"/>
      <c r="O307" s="16"/>
      <c r="P307" s="16"/>
      <c r="Q307" s="16"/>
      <c r="R307" s="16" t="s">
        <v>702</v>
      </c>
      <c r="S307" s="2" t="s">
        <v>341</v>
      </c>
      <c r="T307" s="2" t="s">
        <v>341</v>
      </c>
      <c r="U307" s="2" t="s">
        <v>341</v>
      </c>
    </row>
    <row r="308" spans="1:22 16369:16370" s="72" customFormat="1" hidden="1">
      <c r="A308" s="2">
        <f t="shared" si="1"/>
        <v>6</v>
      </c>
      <c r="B308" s="3" t="s">
        <v>484</v>
      </c>
      <c r="C308" s="3" t="s">
        <v>172</v>
      </c>
      <c r="D308" s="3" t="s">
        <v>683</v>
      </c>
      <c r="E308" s="3" t="s">
        <v>688</v>
      </c>
      <c r="F308" s="6" t="s">
        <v>1578</v>
      </c>
      <c r="G308" s="2"/>
      <c r="H308" s="2"/>
      <c r="I308" s="3" t="s">
        <v>53</v>
      </c>
      <c r="J308" s="44">
        <v>14</v>
      </c>
      <c r="K308" s="44"/>
      <c r="L308" s="44" t="s">
        <v>742</v>
      </c>
      <c r="M308" s="25"/>
      <c r="N308" s="73"/>
      <c r="O308" s="16"/>
      <c r="P308" s="16"/>
      <c r="Q308" s="16"/>
      <c r="R308" s="16" t="s">
        <v>688</v>
      </c>
      <c r="S308" s="2" t="s">
        <v>341</v>
      </c>
      <c r="T308" s="2" t="s">
        <v>341</v>
      </c>
      <c r="U308" s="2" t="s">
        <v>341</v>
      </c>
    </row>
    <row r="309" spans="1:22 16369:16370" s="72" customFormat="1" ht="54" hidden="1">
      <c r="A309" s="2">
        <f t="shared" si="1"/>
        <v>7</v>
      </c>
      <c r="B309" s="3" t="s">
        <v>484</v>
      </c>
      <c r="C309" s="3" t="s">
        <v>172</v>
      </c>
      <c r="D309" s="3" t="s">
        <v>683</v>
      </c>
      <c r="E309" s="3" t="s">
        <v>717</v>
      </c>
      <c r="F309" s="6" t="s">
        <v>1579</v>
      </c>
      <c r="G309" s="2"/>
      <c r="H309" s="2"/>
      <c r="I309" s="3" t="s">
        <v>53</v>
      </c>
      <c r="J309" s="44">
        <v>1</v>
      </c>
      <c r="K309" s="44"/>
      <c r="L309" s="44" t="s">
        <v>742</v>
      </c>
      <c r="M309" s="25"/>
      <c r="N309" s="73" t="s">
        <v>689</v>
      </c>
      <c r="O309" s="16"/>
      <c r="P309" s="16"/>
      <c r="Q309" s="16"/>
      <c r="R309" s="16" t="s">
        <v>716</v>
      </c>
      <c r="S309" s="2" t="s">
        <v>341</v>
      </c>
      <c r="T309" s="2" t="s">
        <v>341</v>
      </c>
      <c r="U309" s="2" t="s">
        <v>341</v>
      </c>
    </row>
    <row r="310" spans="1:22 16369:16370" s="72" customFormat="1" ht="40.5" hidden="1">
      <c r="A310" s="2">
        <f t="shared" si="1"/>
        <v>8</v>
      </c>
      <c r="B310" s="3" t="s">
        <v>484</v>
      </c>
      <c r="C310" s="3" t="s">
        <v>172</v>
      </c>
      <c r="D310" s="3" t="s">
        <v>683</v>
      </c>
      <c r="E310" s="3" t="s">
        <v>715</v>
      </c>
      <c r="F310" s="6" t="s">
        <v>1580</v>
      </c>
      <c r="G310" s="2"/>
      <c r="H310" s="2"/>
      <c r="I310" s="3" t="s">
        <v>53</v>
      </c>
      <c r="J310" s="44">
        <v>1</v>
      </c>
      <c r="K310" s="44"/>
      <c r="L310" s="44" t="s">
        <v>742</v>
      </c>
      <c r="M310" s="25"/>
      <c r="N310" s="73" t="s">
        <v>690</v>
      </c>
      <c r="O310" s="16"/>
      <c r="P310" s="16"/>
      <c r="Q310" s="16"/>
      <c r="R310" s="16" t="s">
        <v>714</v>
      </c>
      <c r="S310" s="2" t="s">
        <v>341</v>
      </c>
      <c r="T310" s="2" t="s">
        <v>341</v>
      </c>
      <c r="U310" s="2" t="s">
        <v>341</v>
      </c>
    </row>
    <row r="311" spans="1:22 16369:16370" s="72" customFormat="1" ht="81" hidden="1">
      <c r="A311" s="2">
        <f t="shared" si="1"/>
        <v>9</v>
      </c>
      <c r="B311" s="3" t="s">
        <v>484</v>
      </c>
      <c r="C311" s="3" t="s">
        <v>172</v>
      </c>
      <c r="D311" s="3" t="s">
        <v>683</v>
      </c>
      <c r="E311" s="3" t="s">
        <v>705</v>
      </c>
      <c r="F311" s="6" t="s">
        <v>1581</v>
      </c>
      <c r="G311" s="2"/>
      <c r="H311" s="2"/>
      <c r="I311" s="3" t="s">
        <v>53</v>
      </c>
      <c r="J311" s="44">
        <v>1</v>
      </c>
      <c r="K311" s="44"/>
      <c r="L311" s="44" t="s">
        <v>742</v>
      </c>
      <c r="M311" s="25"/>
      <c r="N311" s="73" t="s">
        <v>691</v>
      </c>
      <c r="O311" s="16"/>
      <c r="P311" s="16"/>
      <c r="Q311" s="16"/>
      <c r="R311" s="16" t="s">
        <v>704</v>
      </c>
      <c r="S311" s="2" t="s">
        <v>341</v>
      </c>
      <c r="T311" s="2" t="s">
        <v>341</v>
      </c>
      <c r="U311" s="2" t="s">
        <v>341</v>
      </c>
    </row>
    <row r="312" spans="1:22 16369:16370" s="72" customFormat="1" ht="54" hidden="1">
      <c r="A312" s="2">
        <f t="shared" si="1"/>
        <v>10</v>
      </c>
      <c r="B312" s="161" t="s">
        <v>484</v>
      </c>
      <c r="C312" s="161" t="s">
        <v>172</v>
      </c>
      <c r="D312" s="161" t="s">
        <v>683</v>
      </c>
      <c r="E312" s="161" t="s">
        <v>709</v>
      </c>
      <c r="F312" s="161" t="s">
        <v>1662</v>
      </c>
      <c r="G312" s="162"/>
      <c r="H312" s="162"/>
      <c r="I312" s="161" t="s">
        <v>53</v>
      </c>
      <c r="J312" s="132">
        <v>1</v>
      </c>
      <c r="K312" s="132"/>
      <c r="L312" s="132" t="s">
        <v>742</v>
      </c>
      <c r="M312" s="152"/>
      <c r="N312" s="142" t="s">
        <v>692</v>
      </c>
      <c r="O312" s="160"/>
      <c r="P312" s="160"/>
      <c r="Q312" s="160"/>
      <c r="R312" s="160" t="s">
        <v>708</v>
      </c>
      <c r="S312" s="162" t="s">
        <v>341</v>
      </c>
      <c r="T312" s="162" t="s">
        <v>341</v>
      </c>
      <c r="U312" s="162" t="s">
        <v>341</v>
      </c>
    </row>
    <row r="313" spans="1:22 16369:16370" s="84" customFormat="1" ht="54" hidden="1">
      <c r="A313" s="2">
        <f t="shared" si="1"/>
        <v>11</v>
      </c>
      <c r="B313" s="161" t="s">
        <v>484</v>
      </c>
      <c r="C313" s="161" t="s">
        <v>172</v>
      </c>
      <c r="D313" s="161" t="s">
        <v>683</v>
      </c>
      <c r="E313" s="161" t="s">
        <v>707</v>
      </c>
      <c r="F313" s="161" t="s">
        <v>1661</v>
      </c>
      <c r="G313" s="162"/>
      <c r="H313" s="162"/>
      <c r="I313" s="161" t="s">
        <v>53</v>
      </c>
      <c r="J313" s="132">
        <v>1</v>
      </c>
      <c r="K313" s="132"/>
      <c r="L313" s="132" t="s">
        <v>742</v>
      </c>
      <c r="M313" s="152"/>
      <c r="N313" s="142" t="s">
        <v>693</v>
      </c>
      <c r="O313" s="160"/>
      <c r="P313" s="160"/>
      <c r="Q313" s="160"/>
      <c r="R313" s="160" t="s">
        <v>706</v>
      </c>
      <c r="S313" s="162" t="s">
        <v>341</v>
      </c>
      <c r="T313" s="162" t="s">
        <v>341</v>
      </c>
      <c r="U313" s="162" t="s">
        <v>341</v>
      </c>
      <c r="V313" s="72"/>
    </row>
    <row r="314" spans="1:22 16369:16370" s="72" customFormat="1" ht="40.5" hidden="1">
      <c r="A314" s="2">
        <f t="shared" si="1"/>
        <v>12</v>
      </c>
      <c r="B314" s="3" t="s">
        <v>484</v>
      </c>
      <c r="C314" s="3" t="s">
        <v>172</v>
      </c>
      <c r="D314" s="3" t="s">
        <v>683</v>
      </c>
      <c r="E314" s="3" t="s">
        <v>711</v>
      </c>
      <c r="F314" s="6" t="s">
        <v>1582</v>
      </c>
      <c r="G314" s="2"/>
      <c r="H314" s="2"/>
      <c r="I314" s="3" t="s">
        <v>53</v>
      </c>
      <c r="J314" s="44">
        <v>1</v>
      </c>
      <c r="K314" s="44"/>
      <c r="L314" s="44" t="s">
        <v>742</v>
      </c>
      <c r="M314" s="25"/>
      <c r="N314" s="73" t="s">
        <v>694</v>
      </c>
      <c r="O314" s="16"/>
      <c r="P314" s="16"/>
      <c r="Q314" s="16"/>
      <c r="R314" s="16" t="s">
        <v>710</v>
      </c>
      <c r="S314" s="2" t="s">
        <v>341</v>
      </c>
      <c r="T314" s="2" t="s">
        <v>341</v>
      </c>
      <c r="U314" s="2" t="s">
        <v>341</v>
      </c>
    </row>
    <row r="315" spans="1:22 16369:16370" s="72" customFormat="1" ht="54" hidden="1">
      <c r="A315" s="2">
        <f t="shared" si="1"/>
        <v>13</v>
      </c>
      <c r="B315" s="3" t="s">
        <v>484</v>
      </c>
      <c r="C315" s="3" t="s">
        <v>172</v>
      </c>
      <c r="D315" s="3" t="s">
        <v>683</v>
      </c>
      <c r="E315" s="3" t="s">
        <v>713</v>
      </c>
      <c r="F315" s="6" t="s">
        <v>1583</v>
      </c>
      <c r="G315" s="2"/>
      <c r="H315" s="2"/>
      <c r="I315" s="3" t="s">
        <v>53</v>
      </c>
      <c r="J315" s="44">
        <v>1</v>
      </c>
      <c r="K315" s="44"/>
      <c r="L315" s="44" t="s">
        <v>742</v>
      </c>
      <c r="M315" s="25"/>
      <c r="N315" s="73" t="s">
        <v>695</v>
      </c>
      <c r="O315" s="16"/>
      <c r="P315" s="16"/>
      <c r="Q315" s="16"/>
      <c r="R315" s="16" t="s">
        <v>712</v>
      </c>
      <c r="S315" s="2" t="s">
        <v>341</v>
      </c>
      <c r="T315" s="2" t="s">
        <v>341</v>
      </c>
      <c r="U315" s="2" t="s">
        <v>341</v>
      </c>
    </row>
    <row r="316" spans="1:22 16369:16370" s="72" customFormat="1" ht="27" hidden="1">
      <c r="A316" s="2">
        <f t="shared" si="1"/>
        <v>14</v>
      </c>
      <c r="B316" s="3" t="s">
        <v>484</v>
      </c>
      <c r="C316" s="3" t="s">
        <v>172</v>
      </c>
      <c r="D316" s="3" t="s">
        <v>683</v>
      </c>
      <c r="E316" s="3" t="s">
        <v>719</v>
      </c>
      <c r="F316" s="6" t="s">
        <v>1584</v>
      </c>
      <c r="G316" s="2"/>
      <c r="H316" s="2"/>
      <c r="I316" s="3" t="s">
        <v>53</v>
      </c>
      <c r="J316" s="44">
        <v>1</v>
      </c>
      <c r="K316" s="44"/>
      <c r="L316" s="44" t="s">
        <v>742</v>
      </c>
      <c r="M316" s="25"/>
      <c r="N316" s="73" t="s">
        <v>696</v>
      </c>
      <c r="O316" s="16"/>
      <c r="P316" s="16"/>
      <c r="Q316" s="16"/>
      <c r="R316" s="16" t="s">
        <v>718</v>
      </c>
      <c r="S316" s="2" t="s">
        <v>341</v>
      </c>
      <c r="T316" s="2" t="s">
        <v>341</v>
      </c>
      <c r="U316" s="2" t="s">
        <v>341</v>
      </c>
    </row>
    <row r="317" spans="1:22 16369:16370" s="72" customFormat="1" ht="40.5" hidden="1">
      <c r="A317" s="2">
        <f t="shared" si="1"/>
        <v>15</v>
      </c>
      <c r="B317" s="3" t="s">
        <v>484</v>
      </c>
      <c r="C317" s="3" t="s">
        <v>172</v>
      </c>
      <c r="D317" s="3" t="s">
        <v>683</v>
      </c>
      <c r="E317" s="3" t="s">
        <v>721</v>
      </c>
      <c r="F317" s="6" t="s">
        <v>2958</v>
      </c>
      <c r="G317" s="2"/>
      <c r="H317" s="2"/>
      <c r="I317" s="3" t="s">
        <v>53</v>
      </c>
      <c r="J317" s="44">
        <v>1</v>
      </c>
      <c r="K317" s="44"/>
      <c r="L317" s="44" t="s">
        <v>742</v>
      </c>
      <c r="M317" s="25"/>
      <c r="N317" s="73" t="s">
        <v>697</v>
      </c>
      <c r="O317" s="16"/>
      <c r="P317" s="16"/>
      <c r="Q317" s="16"/>
      <c r="R317" s="16" t="s">
        <v>720</v>
      </c>
      <c r="S317" s="2" t="s">
        <v>341</v>
      </c>
      <c r="T317" s="2" t="s">
        <v>341</v>
      </c>
      <c r="U317" s="2" t="s">
        <v>341</v>
      </c>
    </row>
    <row r="318" spans="1:22 16369:16370" s="72" customFormat="1" ht="40.5" hidden="1">
      <c r="A318" s="2">
        <f t="shared" si="1"/>
        <v>16</v>
      </c>
      <c r="B318" s="3" t="s">
        <v>484</v>
      </c>
      <c r="C318" s="3" t="s">
        <v>172</v>
      </c>
      <c r="D318" s="3" t="s">
        <v>683</v>
      </c>
      <c r="E318" s="3" t="s">
        <v>723</v>
      </c>
      <c r="F318" s="6" t="s">
        <v>1585</v>
      </c>
      <c r="G318" s="2"/>
      <c r="H318" s="2"/>
      <c r="I318" s="3" t="s">
        <v>53</v>
      </c>
      <c r="J318" s="44">
        <v>1</v>
      </c>
      <c r="K318" s="44"/>
      <c r="L318" s="44" t="s">
        <v>742</v>
      </c>
      <c r="M318" s="25"/>
      <c r="N318" s="73" t="s">
        <v>698</v>
      </c>
      <c r="O318" s="16"/>
      <c r="P318" s="16"/>
      <c r="Q318" s="16"/>
      <c r="R318" s="16" t="s">
        <v>722</v>
      </c>
      <c r="S318" s="2" t="s">
        <v>341</v>
      </c>
      <c r="T318" s="2" t="s">
        <v>341</v>
      </c>
      <c r="U318" s="2" t="s">
        <v>341</v>
      </c>
    </row>
    <row r="319" spans="1:22 16369:16370" s="72" customFormat="1" ht="67.5" hidden="1">
      <c r="A319" s="2">
        <f t="shared" si="1"/>
        <v>17</v>
      </c>
      <c r="B319" s="3" t="s">
        <v>484</v>
      </c>
      <c r="C319" s="3" t="s">
        <v>172</v>
      </c>
      <c r="D319" s="3" t="s">
        <v>683</v>
      </c>
      <c r="E319" s="3" t="s">
        <v>727</v>
      </c>
      <c r="F319" s="6" t="s">
        <v>1586</v>
      </c>
      <c r="G319" s="2"/>
      <c r="H319" s="2"/>
      <c r="I319" s="3" t="s">
        <v>53</v>
      </c>
      <c r="J319" s="44">
        <v>1</v>
      </c>
      <c r="K319" s="44"/>
      <c r="L319" s="44" t="s">
        <v>742</v>
      </c>
      <c r="M319" s="25"/>
      <c r="N319" s="73" t="s">
        <v>699</v>
      </c>
      <c r="O319" s="16"/>
      <c r="P319" s="16"/>
      <c r="Q319" s="16"/>
      <c r="R319" s="16" t="s">
        <v>726</v>
      </c>
      <c r="S319" s="2" t="s">
        <v>341</v>
      </c>
      <c r="T319" s="2" t="s">
        <v>341</v>
      </c>
      <c r="U319" s="2" t="s">
        <v>341</v>
      </c>
    </row>
    <row r="320" spans="1:22 16369:16370" s="72" customFormat="1" ht="94.5" hidden="1">
      <c r="A320" s="2">
        <f t="shared" si="1"/>
        <v>18</v>
      </c>
      <c r="B320" s="3" t="s">
        <v>484</v>
      </c>
      <c r="C320" s="3" t="s">
        <v>172</v>
      </c>
      <c r="D320" s="3" t="s">
        <v>683</v>
      </c>
      <c r="E320" s="3" t="s">
        <v>725</v>
      </c>
      <c r="F320" s="6" t="s">
        <v>1663</v>
      </c>
      <c r="G320" s="2"/>
      <c r="H320" s="2"/>
      <c r="I320" s="3" t="s">
        <v>53</v>
      </c>
      <c r="J320" s="44">
        <v>1</v>
      </c>
      <c r="K320" s="44"/>
      <c r="L320" s="44" t="s">
        <v>742</v>
      </c>
      <c r="M320" s="25"/>
      <c r="N320" s="73" t="s">
        <v>700</v>
      </c>
      <c r="O320" s="16"/>
      <c r="P320" s="16"/>
      <c r="Q320" s="16"/>
      <c r="R320" s="16" t="s">
        <v>724</v>
      </c>
      <c r="S320" s="2" t="s">
        <v>341</v>
      </c>
      <c r="T320" s="2" t="s">
        <v>341</v>
      </c>
      <c r="U320" s="2" t="s">
        <v>341</v>
      </c>
      <c r="XEO320" s="2"/>
      <c r="XEP320" s="3"/>
    </row>
    <row r="321" spans="1:22" s="72" customFormat="1" ht="54" hidden="1">
      <c r="A321" s="2">
        <f t="shared" si="1"/>
        <v>19</v>
      </c>
      <c r="B321" s="3" t="s">
        <v>484</v>
      </c>
      <c r="C321" s="3" t="s">
        <v>172</v>
      </c>
      <c r="D321" s="3" t="s">
        <v>683</v>
      </c>
      <c r="E321" s="3" t="s">
        <v>729</v>
      </c>
      <c r="F321" s="6" t="s">
        <v>1587</v>
      </c>
      <c r="G321" s="2"/>
      <c r="H321" s="2"/>
      <c r="I321" s="3" t="s">
        <v>53</v>
      </c>
      <c r="J321" s="44">
        <v>1</v>
      </c>
      <c r="K321" s="44"/>
      <c r="L321" s="44" t="s">
        <v>742</v>
      </c>
      <c r="M321" s="25"/>
      <c r="N321" s="73" t="s">
        <v>701</v>
      </c>
      <c r="O321" s="16"/>
      <c r="P321" s="16"/>
      <c r="Q321" s="16"/>
      <c r="R321" s="16" t="s">
        <v>728</v>
      </c>
      <c r="S321" s="2" t="s">
        <v>341</v>
      </c>
      <c r="T321" s="2" t="s">
        <v>341</v>
      </c>
      <c r="U321" s="2" t="s">
        <v>341</v>
      </c>
    </row>
    <row r="322" spans="1:22" s="84" customFormat="1" hidden="1">
      <c r="A322" s="2">
        <f t="shared" si="1"/>
        <v>20</v>
      </c>
      <c r="B322" s="3" t="s">
        <v>484</v>
      </c>
      <c r="C322" s="3" t="s">
        <v>172</v>
      </c>
      <c r="D322" s="3" t="s">
        <v>683</v>
      </c>
      <c r="E322" s="3" t="s">
        <v>173</v>
      </c>
      <c r="F322" s="6" t="s">
        <v>173</v>
      </c>
      <c r="G322" s="2" t="s">
        <v>54</v>
      </c>
      <c r="H322" s="2" t="s">
        <v>54</v>
      </c>
      <c r="I322" s="3" t="s">
        <v>53</v>
      </c>
      <c r="J322" s="44">
        <v>1</v>
      </c>
      <c r="K322" s="44" t="s">
        <v>54</v>
      </c>
      <c r="L322" s="44" t="s">
        <v>640</v>
      </c>
      <c r="M322" s="25"/>
      <c r="N322" s="73"/>
      <c r="O322" s="16"/>
      <c r="P322" s="16"/>
      <c r="Q322" s="16"/>
      <c r="R322" s="16" t="s">
        <v>730</v>
      </c>
      <c r="S322" s="2" t="s">
        <v>348</v>
      </c>
      <c r="T322" s="2" t="s">
        <v>341</v>
      </c>
      <c r="U322" s="2" t="s">
        <v>341</v>
      </c>
      <c r="V322" s="72"/>
    </row>
    <row r="323" spans="1:22" s="72" customFormat="1" ht="16.5" hidden="1" customHeight="1">
      <c r="A323" s="2">
        <f t="shared" si="1"/>
        <v>21</v>
      </c>
      <c r="B323" s="3" t="s">
        <v>484</v>
      </c>
      <c r="C323" s="3" t="s">
        <v>172</v>
      </c>
      <c r="D323" s="3" t="s">
        <v>683</v>
      </c>
      <c r="E323" s="3" t="s">
        <v>174</v>
      </c>
      <c r="F323" s="6" t="s">
        <v>174</v>
      </c>
      <c r="G323" s="2" t="s">
        <v>54</v>
      </c>
      <c r="H323" s="2" t="s">
        <v>54</v>
      </c>
      <c r="I323" s="3" t="s">
        <v>53</v>
      </c>
      <c r="J323" s="44">
        <v>1</v>
      </c>
      <c r="K323" s="44" t="s">
        <v>54</v>
      </c>
      <c r="L323" s="44" t="s">
        <v>640</v>
      </c>
      <c r="M323" s="25"/>
      <c r="N323" s="73"/>
      <c r="O323" s="16"/>
      <c r="P323" s="16"/>
      <c r="Q323" s="16"/>
      <c r="R323" s="16" t="s">
        <v>731</v>
      </c>
      <c r="S323" s="2" t="s">
        <v>348</v>
      </c>
      <c r="T323" s="2" t="s">
        <v>348</v>
      </c>
      <c r="U323" s="2" t="s">
        <v>348</v>
      </c>
    </row>
    <row r="324" spans="1:22" s="72" customFormat="1" hidden="1">
      <c r="A324" s="2">
        <f t="shared" si="1"/>
        <v>22</v>
      </c>
      <c r="B324" s="3" t="s">
        <v>484</v>
      </c>
      <c r="C324" s="3" t="s">
        <v>172</v>
      </c>
      <c r="D324" s="3" t="s">
        <v>683</v>
      </c>
      <c r="E324" s="3" t="s">
        <v>175</v>
      </c>
      <c r="F324" s="6" t="s">
        <v>175</v>
      </c>
      <c r="G324" s="2" t="s">
        <v>54</v>
      </c>
      <c r="H324" s="2" t="s">
        <v>54</v>
      </c>
      <c r="I324" s="3" t="s">
        <v>53</v>
      </c>
      <c r="J324" s="44">
        <v>1</v>
      </c>
      <c r="K324" s="44" t="s">
        <v>54</v>
      </c>
      <c r="L324" s="44" t="s">
        <v>640</v>
      </c>
      <c r="M324" s="25"/>
      <c r="N324" s="73"/>
      <c r="O324" s="16"/>
      <c r="P324" s="16"/>
      <c r="Q324" s="16"/>
      <c r="R324" s="16" t="s">
        <v>732</v>
      </c>
      <c r="S324" s="2" t="s">
        <v>348</v>
      </c>
      <c r="T324" s="2" t="s">
        <v>348</v>
      </c>
      <c r="U324" s="2" t="s">
        <v>348</v>
      </c>
    </row>
    <row r="325" spans="1:22" s="72" customFormat="1" hidden="1">
      <c r="A325" s="2">
        <f t="shared" si="1"/>
        <v>23</v>
      </c>
      <c r="B325" s="3" t="s">
        <v>484</v>
      </c>
      <c r="C325" s="3" t="s">
        <v>172</v>
      </c>
      <c r="D325" s="3" t="s">
        <v>683</v>
      </c>
      <c r="E325" s="3" t="s">
        <v>176</v>
      </c>
      <c r="F325" s="6" t="s">
        <v>176</v>
      </c>
      <c r="G325" s="2" t="s">
        <v>54</v>
      </c>
      <c r="H325" s="2" t="s">
        <v>54</v>
      </c>
      <c r="I325" s="3" t="s">
        <v>53</v>
      </c>
      <c r="J325" s="44">
        <v>1</v>
      </c>
      <c r="K325" s="44" t="s">
        <v>54</v>
      </c>
      <c r="L325" s="44" t="s">
        <v>640</v>
      </c>
      <c r="M325" s="25"/>
      <c r="N325" s="73"/>
      <c r="O325" s="16"/>
      <c r="P325" s="16"/>
      <c r="Q325" s="16"/>
      <c r="R325" s="16" t="s">
        <v>733</v>
      </c>
      <c r="S325" s="2" t="s">
        <v>348</v>
      </c>
      <c r="T325" s="2" t="s">
        <v>348</v>
      </c>
      <c r="U325" s="2" t="s">
        <v>348</v>
      </c>
    </row>
    <row r="326" spans="1:22" s="72" customFormat="1" hidden="1">
      <c r="A326" s="2">
        <f t="shared" si="1"/>
        <v>24</v>
      </c>
      <c r="B326" s="3" t="s">
        <v>484</v>
      </c>
      <c r="C326" s="3" t="s">
        <v>172</v>
      </c>
      <c r="D326" s="3" t="s">
        <v>683</v>
      </c>
      <c r="E326" s="3" t="s">
        <v>181</v>
      </c>
      <c r="F326" s="6" t="s">
        <v>181</v>
      </c>
      <c r="G326" s="2" t="s">
        <v>54</v>
      </c>
      <c r="H326" s="2" t="s">
        <v>54</v>
      </c>
      <c r="I326" s="3" t="s">
        <v>53</v>
      </c>
      <c r="J326" s="44">
        <v>1</v>
      </c>
      <c r="K326" s="44" t="s">
        <v>54</v>
      </c>
      <c r="L326" s="44" t="s">
        <v>640</v>
      </c>
      <c r="M326" s="25"/>
      <c r="N326" s="73"/>
      <c r="O326" s="16"/>
      <c r="P326" s="16"/>
      <c r="Q326" s="16"/>
      <c r="R326" s="73" t="s">
        <v>181</v>
      </c>
      <c r="S326" s="2" t="s">
        <v>348</v>
      </c>
      <c r="T326" s="2" t="s">
        <v>348</v>
      </c>
      <c r="U326" s="2" t="s">
        <v>348</v>
      </c>
    </row>
    <row r="327" spans="1:22" s="72" customFormat="1" hidden="1">
      <c r="A327" s="2">
        <f t="shared" si="1"/>
        <v>25</v>
      </c>
      <c r="B327" s="3" t="s">
        <v>484</v>
      </c>
      <c r="C327" s="3" t="s">
        <v>172</v>
      </c>
      <c r="D327" s="3" t="s">
        <v>683</v>
      </c>
      <c r="E327" s="3" t="s">
        <v>685</v>
      </c>
      <c r="F327" s="6" t="s">
        <v>1588</v>
      </c>
      <c r="G327" s="2"/>
      <c r="H327" s="2"/>
      <c r="I327" s="3" t="s">
        <v>53</v>
      </c>
      <c r="J327" s="44">
        <v>2</v>
      </c>
      <c r="K327" s="44"/>
      <c r="L327" s="44" t="s">
        <v>742</v>
      </c>
      <c r="M327" s="25"/>
      <c r="N327" s="73"/>
      <c r="O327" s="16"/>
      <c r="P327" s="16"/>
      <c r="Q327" s="16"/>
      <c r="R327" s="73" t="s">
        <v>685</v>
      </c>
      <c r="S327" s="2" t="s">
        <v>341</v>
      </c>
      <c r="T327" s="2" t="s">
        <v>341</v>
      </c>
      <c r="U327" s="2" t="s">
        <v>341</v>
      </c>
    </row>
    <row r="328" spans="1:22" s="72" customFormat="1" hidden="1">
      <c r="A328" s="2">
        <f t="shared" si="1"/>
        <v>26</v>
      </c>
      <c r="B328" s="3" t="s">
        <v>484</v>
      </c>
      <c r="C328" s="3" t="s">
        <v>172</v>
      </c>
      <c r="D328" s="3" t="s">
        <v>683</v>
      </c>
      <c r="E328" s="3" t="s">
        <v>686</v>
      </c>
      <c r="F328" s="6" t="s">
        <v>1589</v>
      </c>
      <c r="G328" s="2"/>
      <c r="H328" s="2"/>
      <c r="I328" s="3" t="s">
        <v>68</v>
      </c>
      <c r="J328" s="44">
        <v>15</v>
      </c>
      <c r="K328" s="44"/>
      <c r="L328" s="44" t="s">
        <v>742</v>
      </c>
      <c r="M328" s="25"/>
      <c r="N328" s="73"/>
      <c r="O328" s="16"/>
      <c r="P328" s="16"/>
      <c r="Q328" s="16"/>
      <c r="R328" s="73" t="s">
        <v>686</v>
      </c>
      <c r="S328" s="2" t="s">
        <v>341</v>
      </c>
      <c r="T328" s="2" t="s">
        <v>341</v>
      </c>
      <c r="U328" s="2" t="s">
        <v>341</v>
      </c>
    </row>
    <row r="329" spans="1:22" s="72" customFormat="1" hidden="1">
      <c r="A329" s="2">
        <f t="shared" si="1"/>
        <v>27</v>
      </c>
      <c r="B329" s="3" t="s">
        <v>484</v>
      </c>
      <c r="C329" s="3" t="s">
        <v>172</v>
      </c>
      <c r="D329" s="3" t="s">
        <v>683</v>
      </c>
      <c r="E329" s="3" t="s">
        <v>177</v>
      </c>
      <c r="F329" s="6" t="s">
        <v>177</v>
      </c>
      <c r="G329" s="2" t="s">
        <v>54</v>
      </c>
      <c r="H329" s="2" t="s">
        <v>52</v>
      </c>
      <c r="I329" s="3" t="s">
        <v>68</v>
      </c>
      <c r="J329" s="44">
        <v>15</v>
      </c>
      <c r="K329" s="44" t="s">
        <v>54</v>
      </c>
      <c r="L329" s="44" t="s">
        <v>640</v>
      </c>
      <c r="M329" s="25"/>
      <c r="N329" s="73"/>
      <c r="O329" s="16"/>
      <c r="P329" s="16"/>
      <c r="Q329" s="16"/>
      <c r="R329" s="73" t="s">
        <v>177</v>
      </c>
      <c r="S329" s="2" t="s">
        <v>348</v>
      </c>
      <c r="T329" s="2" t="s">
        <v>348</v>
      </c>
      <c r="U329" s="2" t="s">
        <v>348</v>
      </c>
    </row>
    <row r="330" spans="1:22" s="72" customFormat="1" hidden="1">
      <c r="A330" s="2">
        <f t="shared" si="1"/>
        <v>28</v>
      </c>
      <c r="B330" s="3" t="s">
        <v>484</v>
      </c>
      <c r="C330" s="3" t="s">
        <v>172</v>
      </c>
      <c r="D330" s="3" t="s">
        <v>683</v>
      </c>
      <c r="E330" s="3" t="s">
        <v>178</v>
      </c>
      <c r="F330" s="6" t="s">
        <v>178</v>
      </c>
      <c r="G330" s="2" t="s">
        <v>54</v>
      </c>
      <c r="H330" s="2" t="s">
        <v>52</v>
      </c>
      <c r="I330" s="3" t="s">
        <v>68</v>
      </c>
      <c r="J330" s="44">
        <v>15</v>
      </c>
      <c r="K330" s="44" t="s">
        <v>54</v>
      </c>
      <c r="L330" s="44" t="s">
        <v>640</v>
      </c>
      <c r="M330" s="25"/>
      <c r="N330" s="73"/>
      <c r="O330" s="16"/>
      <c r="P330" s="16"/>
      <c r="Q330" s="16"/>
      <c r="R330" s="73" t="s">
        <v>178</v>
      </c>
      <c r="S330" s="2" t="s">
        <v>348</v>
      </c>
      <c r="T330" s="2" t="s">
        <v>348</v>
      </c>
      <c r="U330" s="2" t="s">
        <v>348</v>
      </c>
    </row>
    <row r="331" spans="1:22" s="72" customFormat="1" hidden="1">
      <c r="A331" s="2">
        <f t="shared" si="1"/>
        <v>29</v>
      </c>
      <c r="B331" s="3" t="s">
        <v>484</v>
      </c>
      <c r="C331" s="3" t="s">
        <v>172</v>
      </c>
      <c r="D331" s="3" t="s">
        <v>683</v>
      </c>
      <c r="E331" s="3" t="s">
        <v>179</v>
      </c>
      <c r="F331" s="6" t="s">
        <v>179</v>
      </c>
      <c r="G331" s="2" t="s">
        <v>54</v>
      </c>
      <c r="H331" s="2" t="s">
        <v>52</v>
      </c>
      <c r="I331" s="3" t="s">
        <v>68</v>
      </c>
      <c r="J331" s="44">
        <v>15</v>
      </c>
      <c r="K331" s="44" t="s">
        <v>54</v>
      </c>
      <c r="L331" s="44" t="s">
        <v>640</v>
      </c>
      <c r="M331" s="25"/>
      <c r="N331" s="73"/>
      <c r="O331" s="16"/>
      <c r="P331" s="16"/>
      <c r="Q331" s="16"/>
      <c r="R331" s="73" t="s">
        <v>179</v>
      </c>
      <c r="S331" s="2" t="s">
        <v>348</v>
      </c>
      <c r="T331" s="2" t="s">
        <v>348</v>
      </c>
      <c r="U331" s="2" t="s">
        <v>348</v>
      </c>
    </row>
    <row r="332" spans="1:22" s="72" customFormat="1" hidden="1">
      <c r="A332" s="2">
        <f t="shared" si="1"/>
        <v>30</v>
      </c>
      <c r="B332" s="3" t="s">
        <v>484</v>
      </c>
      <c r="C332" s="3" t="s">
        <v>172</v>
      </c>
      <c r="D332" s="3" t="s">
        <v>683</v>
      </c>
      <c r="E332" s="3" t="s">
        <v>180</v>
      </c>
      <c r="F332" s="6" t="s">
        <v>180</v>
      </c>
      <c r="G332" s="2" t="s">
        <v>54</v>
      </c>
      <c r="H332" s="2" t="s">
        <v>52</v>
      </c>
      <c r="I332" s="3" t="s">
        <v>68</v>
      </c>
      <c r="J332" s="44">
        <v>15</v>
      </c>
      <c r="K332" s="44" t="s">
        <v>54</v>
      </c>
      <c r="L332" s="44" t="s">
        <v>640</v>
      </c>
      <c r="M332" s="25"/>
      <c r="N332" s="16"/>
      <c r="O332" s="16"/>
      <c r="P332" s="16"/>
      <c r="Q332" s="16"/>
      <c r="R332" s="73" t="s">
        <v>180</v>
      </c>
      <c r="S332" s="2" t="s">
        <v>348</v>
      </c>
      <c r="T332" s="2" t="s">
        <v>348</v>
      </c>
      <c r="U332" s="2" t="s">
        <v>348</v>
      </c>
    </row>
    <row r="333" spans="1:22" s="72" customFormat="1" hidden="1">
      <c r="A333" s="2">
        <f t="shared" si="1"/>
        <v>31</v>
      </c>
      <c r="B333" s="3" t="s">
        <v>484</v>
      </c>
      <c r="C333" s="3" t="s">
        <v>172</v>
      </c>
      <c r="D333" s="3" t="s">
        <v>683</v>
      </c>
      <c r="E333" s="3" t="s">
        <v>182</v>
      </c>
      <c r="F333" s="6" t="s">
        <v>182</v>
      </c>
      <c r="G333" s="2"/>
      <c r="H333" s="2" t="s">
        <v>52</v>
      </c>
      <c r="I333" s="3" t="s">
        <v>68</v>
      </c>
      <c r="J333" s="44">
        <v>15</v>
      </c>
      <c r="K333" s="44"/>
      <c r="L333" s="44" t="s">
        <v>672</v>
      </c>
      <c r="M333" s="25"/>
      <c r="N333" s="16"/>
      <c r="O333" s="16"/>
      <c r="P333" s="16"/>
      <c r="Q333" s="16"/>
      <c r="R333" s="73" t="s">
        <v>182</v>
      </c>
      <c r="S333" s="2" t="s">
        <v>341</v>
      </c>
      <c r="T333" s="2" t="s">
        <v>341</v>
      </c>
      <c r="U333" s="2" t="s">
        <v>341</v>
      </c>
    </row>
    <row r="334" spans="1:22" s="72" customFormat="1" hidden="1">
      <c r="A334" s="2">
        <f t="shared" si="1"/>
        <v>32</v>
      </c>
      <c r="B334" s="3" t="s">
        <v>484</v>
      </c>
      <c r="C334" s="3" t="s">
        <v>172</v>
      </c>
      <c r="D334" s="3" t="s">
        <v>683</v>
      </c>
      <c r="E334" s="3" t="s">
        <v>641</v>
      </c>
      <c r="F334" s="6" t="s">
        <v>641</v>
      </c>
      <c r="G334" s="2"/>
      <c r="H334" s="2" t="s">
        <v>52</v>
      </c>
      <c r="I334" s="3" t="s">
        <v>68</v>
      </c>
      <c r="J334" s="44">
        <v>15</v>
      </c>
      <c r="K334" s="44"/>
      <c r="L334" s="44" t="s">
        <v>672</v>
      </c>
      <c r="M334" s="25"/>
      <c r="N334" s="16"/>
      <c r="O334" s="16"/>
      <c r="P334" s="16"/>
      <c r="Q334" s="16"/>
      <c r="R334" s="73" t="s">
        <v>734</v>
      </c>
      <c r="S334" s="2" t="s">
        <v>341</v>
      </c>
      <c r="T334" s="2" t="s">
        <v>341</v>
      </c>
      <c r="U334" s="2" t="s">
        <v>341</v>
      </c>
    </row>
    <row r="335" spans="1:22" s="72" customFormat="1" hidden="1">
      <c r="A335" s="2">
        <f t="shared" si="1"/>
        <v>33</v>
      </c>
      <c r="B335" s="3" t="s">
        <v>484</v>
      </c>
      <c r="C335" s="3" t="s">
        <v>172</v>
      </c>
      <c r="D335" s="3" t="s">
        <v>683</v>
      </c>
      <c r="E335" s="3" t="s">
        <v>342</v>
      </c>
      <c r="F335" s="6" t="s">
        <v>1590</v>
      </c>
      <c r="G335" s="2"/>
      <c r="H335" s="2" t="s">
        <v>52</v>
      </c>
      <c r="I335" s="3" t="s">
        <v>68</v>
      </c>
      <c r="J335" s="44">
        <v>15</v>
      </c>
      <c r="K335" s="44"/>
      <c r="L335" s="44" t="s">
        <v>672</v>
      </c>
      <c r="M335" s="25"/>
      <c r="N335" s="16"/>
      <c r="O335" s="16"/>
      <c r="P335" s="16"/>
      <c r="Q335" s="16"/>
      <c r="R335" s="73" t="s">
        <v>656</v>
      </c>
      <c r="S335" s="2" t="s">
        <v>341</v>
      </c>
      <c r="T335" s="2" t="s">
        <v>341</v>
      </c>
      <c r="U335" s="2" t="s">
        <v>341</v>
      </c>
    </row>
    <row r="336" spans="1:22" s="72" customFormat="1" hidden="1">
      <c r="A336" s="2">
        <f t="shared" si="1"/>
        <v>34</v>
      </c>
      <c r="B336" s="3" t="s">
        <v>484</v>
      </c>
      <c r="C336" s="3" t="s">
        <v>172</v>
      </c>
      <c r="D336" s="3" t="s">
        <v>683</v>
      </c>
      <c r="E336" s="3" t="s">
        <v>646</v>
      </c>
      <c r="F336" s="6" t="s">
        <v>648</v>
      </c>
      <c r="G336" s="2"/>
      <c r="H336" s="2" t="s">
        <v>52</v>
      </c>
      <c r="I336" s="3" t="s">
        <v>68</v>
      </c>
      <c r="J336" s="44">
        <v>15</v>
      </c>
      <c r="K336" s="44"/>
      <c r="L336" s="44" t="s">
        <v>672</v>
      </c>
      <c r="M336" s="25"/>
      <c r="N336" s="16"/>
      <c r="O336" s="16"/>
      <c r="P336" s="16"/>
      <c r="Q336" s="16"/>
      <c r="R336" s="73" t="s">
        <v>735</v>
      </c>
      <c r="S336" s="2" t="s">
        <v>341</v>
      </c>
      <c r="T336" s="2" t="s">
        <v>341</v>
      </c>
      <c r="U336" s="2" t="s">
        <v>341</v>
      </c>
    </row>
    <row r="337" spans="1:22" s="72" customFormat="1" hidden="1">
      <c r="A337" s="2">
        <f t="shared" si="1"/>
        <v>35</v>
      </c>
      <c r="B337" s="3" t="s">
        <v>484</v>
      </c>
      <c r="C337" s="3" t="s">
        <v>172</v>
      </c>
      <c r="D337" s="3" t="s">
        <v>683</v>
      </c>
      <c r="E337" s="3" t="s">
        <v>343</v>
      </c>
      <c r="F337" s="6" t="s">
        <v>649</v>
      </c>
      <c r="G337" s="2"/>
      <c r="H337" s="2" t="s">
        <v>52</v>
      </c>
      <c r="I337" s="3" t="s">
        <v>68</v>
      </c>
      <c r="J337" s="44">
        <v>15</v>
      </c>
      <c r="K337" s="44"/>
      <c r="L337" s="44" t="s">
        <v>672</v>
      </c>
      <c r="M337" s="25"/>
      <c r="N337" s="16"/>
      <c r="O337" s="16"/>
      <c r="P337" s="16"/>
      <c r="Q337" s="16"/>
      <c r="R337" s="73" t="s">
        <v>736</v>
      </c>
      <c r="S337" s="2" t="s">
        <v>341</v>
      </c>
      <c r="T337" s="2" t="s">
        <v>341</v>
      </c>
      <c r="U337" s="2" t="s">
        <v>341</v>
      </c>
    </row>
    <row r="338" spans="1:22" s="72" customFormat="1" hidden="1">
      <c r="A338" s="2">
        <f t="shared" si="1"/>
        <v>36</v>
      </c>
      <c r="B338" s="3" t="s">
        <v>484</v>
      </c>
      <c r="C338" s="3" t="s">
        <v>172</v>
      </c>
      <c r="D338" s="3" t="s">
        <v>683</v>
      </c>
      <c r="E338" s="3" t="s">
        <v>344</v>
      </c>
      <c r="F338" s="6" t="s">
        <v>647</v>
      </c>
      <c r="G338" s="2"/>
      <c r="H338" s="2" t="s">
        <v>52</v>
      </c>
      <c r="I338" s="3" t="s">
        <v>68</v>
      </c>
      <c r="J338" s="44">
        <v>15</v>
      </c>
      <c r="K338" s="44"/>
      <c r="L338" s="44" t="s">
        <v>672</v>
      </c>
      <c r="M338" s="25"/>
      <c r="N338" s="16"/>
      <c r="O338" s="16"/>
      <c r="P338" s="16"/>
      <c r="Q338" s="16"/>
      <c r="R338" s="73" t="s">
        <v>737</v>
      </c>
      <c r="S338" s="2" t="s">
        <v>341</v>
      </c>
      <c r="T338" s="2" t="s">
        <v>341</v>
      </c>
      <c r="U338" s="2" t="s">
        <v>341</v>
      </c>
    </row>
    <row r="339" spans="1:22" s="72" customFormat="1" hidden="1">
      <c r="A339" s="2">
        <f t="shared" si="1"/>
        <v>37</v>
      </c>
      <c r="B339" s="3" t="s">
        <v>484</v>
      </c>
      <c r="C339" s="3" t="s">
        <v>172</v>
      </c>
      <c r="D339" s="3" t="s">
        <v>683</v>
      </c>
      <c r="E339" s="3" t="s">
        <v>345</v>
      </c>
      <c r="F339" s="6" t="s">
        <v>664</v>
      </c>
      <c r="G339" s="2"/>
      <c r="H339" s="2" t="s">
        <v>52</v>
      </c>
      <c r="I339" s="3" t="s">
        <v>68</v>
      </c>
      <c r="J339" s="44">
        <v>15</v>
      </c>
      <c r="K339" s="44"/>
      <c r="L339" s="44" t="s">
        <v>672</v>
      </c>
      <c r="M339" s="25"/>
      <c r="N339" s="16"/>
      <c r="O339" s="16"/>
      <c r="P339" s="16"/>
      <c r="Q339" s="16"/>
      <c r="R339" s="73" t="s">
        <v>738</v>
      </c>
      <c r="S339" s="2" t="s">
        <v>341</v>
      </c>
      <c r="T339" s="2" t="s">
        <v>341</v>
      </c>
      <c r="U339" s="2" t="s">
        <v>341</v>
      </c>
    </row>
    <row r="340" spans="1:22" s="72" customFormat="1" hidden="1">
      <c r="A340" s="2">
        <f t="shared" ref="A340:A403" si="2">IF(D339=D340,A339+1,1)</f>
        <v>38</v>
      </c>
      <c r="B340" s="3" t="s">
        <v>484</v>
      </c>
      <c r="C340" s="3" t="s">
        <v>172</v>
      </c>
      <c r="D340" s="3" t="s">
        <v>683</v>
      </c>
      <c r="E340" s="3" t="s">
        <v>346</v>
      </c>
      <c r="F340" s="6" t="s">
        <v>650</v>
      </c>
      <c r="G340" s="2"/>
      <c r="H340" s="2" t="s">
        <v>52</v>
      </c>
      <c r="I340" s="3" t="s">
        <v>68</v>
      </c>
      <c r="J340" s="44">
        <v>5</v>
      </c>
      <c r="K340" s="44"/>
      <c r="L340" s="44" t="s">
        <v>672</v>
      </c>
      <c r="M340" s="25"/>
      <c r="N340" s="16"/>
      <c r="O340" s="16"/>
      <c r="P340" s="16"/>
      <c r="Q340" s="16"/>
      <c r="R340" s="73" t="s">
        <v>739</v>
      </c>
      <c r="S340" s="2" t="s">
        <v>341</v>
      </c>
      <c r="T340" s="2" t="s">
        <v>341</v>
      </c>
      <c r="U340" s="2" t="s">
        <v>341</v>
      </c>
    </row>
    <row r="341" spans="1:22" s="72" customFormat="1" hidden="1">
      <c r="A341" s="2">
        <f t="shared" si="2"/>
        <v>39</v>
      </c>
      <c r="B341" s="3" t="s">
        <v>484</v>
      </c>
      <c r="C341" s="3" t="s">
        <v>172</v>
      </c>
      <c r="D341" s="3" t="s">
        <v>683</v>
      </c>
      <c r="E341" s="3" t="s">
        <v>642</v>
      </c>
      <c r="F341" s="6" t="s">
        <v>658</v>
      </c>
      <c r="G341" s="2"/>
      <c r="H341" s="2" t="s">
        <v>52</v>
      </c>
      <c r="I341" s="3" t="s">
        <v>68</v>
      </c>
      <c r="J341" s="44">
        <v>15</v>
      </c>
      <c r="K341" s="44"/>
      <c r="L341" s="44" t="s">
        <v>672</v>
      </c>
      <c r="M341" s="25"/>
      <c r="N341" s="16"/>
      <c r="O341" s="16"/>
      <c r="P341" s="16"/>
      <c r="Q341" s="16"/>
      <c r="R341" s="73" t="s">
        <v>740</v>
      </c>
      <c r="S341" s="2" t="s">
        <v>341</v>
      </c>
      <c r="T341" s="2" t="s">
        <v>341</v>
      </c>
      <c r="U341" s="2" t="s">
        <v>341</v>
      </c>
      <c r="V341" s="84"/>
    </row>
    <row r="342" spans="1:22" s="72" customFormat="1" hidden="1">
      <c r="A342" s="2">
        <f t="shared" si="2"/>
        <v>40</v>
      </c>
      <c r="B342" s="3" t="s">
        <v>484</v>
      </c>
      <c r="C342" s="3" t="s">
        <v>172</v>
      </c>
      <c r="D342" s="3" t="s">
        <v>683</v>
      </c>
      <c r="E342" s="3" t="s">
        <v>643</v>
      </c>
      <c r="F342" s="6" t="s">
        <v>2957</v>
      </c>
      <c r="G342" s="2"/>
      <c r="H342" s="2" t="s">
        <v>52</v>
      </c>
      <c r="I342" s="3" t="s">
        <v>68</v>
      </c>
      <c r="J342" s="44">
        <v>15</v>
      </c>
      <c r="K342" s="44"/>
      <c r="L342" s="44" t="s">
        <v>672</v>
      </c>
      <c r="M342" s="25"/>
      <c r="N342" s="16"/>
      <c r="O342" s="16"/>
      <c r="P342" s="16"/>
      <c r="Q342" s="16"/>
      <c r="R342" s="73" t="s">
        <v>659</v>
      </c>
      <c r="S342" s="2" t="s">
        <v>341</v>
      </c>
      <c r="T342" s="2" t="s">
        <v>341</v>
      </c>
      <c r="U342" s="2" t="s">
        <v>341</v>
      </c>
    </row>
    <row r="343" spans="1:22" s="72" customFormat="1" hidden="1">
      <c r="A343" s="2">
        <f t="shared" si="2"/>
        <v>41</v>
      </c>
      <c r="B343" s="3" t="s">
        <v>484</v>
      </c>
      <c r="C343" s="3" t="s">
        <v>172</v>
      </c>
      <c r="D343" s="3" t="s">
        <v>683</v>
      </c>
      <c r="E343" s="3" t="s">
        <v>644</v>
      </c>
      <c r="F343" s="6" t="s">
        <v>1591</v>
      </c>
      <c r="G343" s="2"/>
      <c r="H343" s="2"/>
      <c r="I343" s="3" t="s">
        <v>53</v>
      </c>
      <c r="J343" s="44">
        <v>2</v>
      </c>
      <c r="K343" s="44"/>
      <c r="L343" s="44" t="s">
        <v>672</v>
      </c>
      <c r="M343" s="25"/>
      <c r="N343" s="16"/>
      <c r="O343" s="16"/>
      <c r="P343" s="16"/>
      <c r="Q343" s="16"/>
      <c r="R343" s="73" t="s">
        <v>644</v>
      </c>
      <c r="S343" s="2" t="s">
        <v>341</v>
      </c>
      <c r="T343" s="2" t="s">
        <v>341</v>
      </c>
      <c r="U343" s="2" t="s">
        <v>341</v>
      </c>
    </row>
    <row r="344" spans="1:22" s="72" customFormat="1" hidden="1">
      <c r="A344" s="2">
        <f t="shared" si="2"/>
        <v>42</v>
      </c>
      <c r="B344" s="3" t="s">
        <v>484</v>
      </c>
      <c r="C344" s="3" t="s">
        <v>172</v>
      </c>
      <c r="D344" s="3" t="s">
        <v>683</v>
      </c>
      <c r="E344" s="3" t="s">
        <v>645</v>
      </c>
      <c r="F344" s="6" t="s">
        <v>651</v>
      </c>
      <c r="G344" s="2"/>
      <c r="H344" s="2"/>
      <c r="I344" s="3" t="s">
        <v>53</v>
      </c>
      <c r="J344" s="44">
        <v>2</v>
      </c>
      <c r="K344" s="44"/>
      <c r="L344" s="44" t="s">
        <v>672</v>
      </c>
      <c r="M344" s="25"/>
      <c r="N344" s="16"/>
      <c r="O344" s="16"/>
      <c r="P344" s="16"/>
      <c r="Q344" s="16"/>
      <c r="R344" s="73" t="s">
        <v>741</v>
      </c>
      <c r="S344" s="2" t="s">
        <v>341</v>
      </c>
      <c r="T344" s="162" t="s">
        <v>341</v>
      </c>
      <c r="U344" s="2"/>
    </row>
    <row r="345" spans="1:22" s="72" customFormat="1" hidden="1">
      <c r="A345" s="2">
        <f t="shared" si="2"/>
        <v>43</v>
      </c>
      <c r="B345" s="3" t="s">
        <v>484</v>
      </c>
      <c r="C345" s="3" t="s">
        <v>172</v>
      </c>
      <c r="D345" s="3" t="s">
        <v>683</v>
      </c>
      <c r="E345" s="3" t="s">
        <v>347</v>
      </c>
      <c r="F345" s="6" t="s">
        <v>1592</v>
      </c>
      <c r="G345" s="2"/>
      <c r="H345" s="2"/>
      <c r="I345" s="3" t="s">
        <v>53</v>
      </c>
      <c r="J345" s="44">
        <v>1</v>
      </c>
      <c r="K345" s="44"/>
      <c r="L345" s="44" t="s">
        <v>672</v>
      </c>
      <c r="M345" s="25"/>
      <c r="N345" s="16"/>
      <c r="O345" s="16"/>
      <c r="P345" s="16"/>
      <c r="Q345" s="16"/>
      <c r="R345" s="73" t="s">
        <v>347</v>
      </c>
      <c r="S345" s="2" t="s">
        <v>341</v>
      </c>
      <c r="T345" s="162" t="s">
        <v>341</v>
      </c>
      <c r="U345" s="2"/>
    </row>
    <row r="346" spans="1:22" s="72" customFormat="1" hidden="1">
      <c r="A346" s="2">
        <f t="shared" si="2"/>
        <v>44</v>
      </c>
      <c r="B346" s="3" t="s">
        <v>484</v>
      </c>
      <c r="C346" s="3" t="s">
        <v>172</v>
      </c>
      <c r="D346" s="3" t="s">
        <v>683</v>
      </c>
      <c r="E346" s="3" t="s">
        <v>300</v>
      </c>
      <c r="F346" s="6" t="s">
        <v>654</v>
      </c>
      <c r="G346" s="2"/>
      <c r="H346" s="2"/>
      <c r="I346" s="3" t="s">
        <v>53</v>
      </c>
      <c r="J346" s="44">
        <v>2</v>
      </c>
      <c r="K346" s="44"/>
      <c r="L346" s="44" t="s">
        <v>672</v>
      </c>
      <c r="M346" s="25"/>
      <c r="N346" s="16"/>
      <c r="O346" s="16"/>
      <c r="P346" s="16"/>
      <c r="Q346" s="16"/>
      <c r="R346" s="73" t="s">
        <v>208</v>
      </c>
      <c r="S346" s="2" t="s">
        <v>341</v>
      </c>
      <c r="T346" s="2"/>
      <c r="U346" s="2"/>
    </row>
    <row r="347" spans="1:22" s="72" customFormat="1" hidden="1">
      <c r="A347" s="2">
        <f t="shared" si="2"/>
        <v>45</v>
      </c>
      <c r="B347" s="161" t="s">
        <v>484</v>
      </c>
      <c r="C347" s="161" t="s">
        <v>172</v>
      </c>
      <c r="D347" s="161" t="s">
        <v>683</v>
      </c>
      <c r="E347" s="128" t="s">
        <v>2569</v>
      </c>
      <c r="F347" s="128"/>
      <c r="G347" s="143"/>
      <c r="H347" s="143"/>
      <c r="I347" s="161" t="s">
        <v>53</v>
      </c>
      <c r="J347" s="171">
        <v>2</v>
      </c>
      <c r="K347" s="171"/>
      <c r="L347" s="171" t="s">
        <v>2956</v>
      </c>
      <c r="M347" s="129"/>
      <c r="N347" s="150"/>
      <c r="O347" s="150"/>
      <c r="P347" s="150"/>
      <c r="Q347" s="150"/>
      <c r="R347" s="128" t="s">
        <v>2955</v>
      </c>
      <c r="S347" s="162" t="s">
        <v>341</v>
      </c>
      <c r="T347" s="143"/>
      <c r="U347" s="143"/>
    </row>
    <row r="348" spans="1:22" s="72" customFormat="1" hidden="1">
      <c r="A348" s="2">
        <f t="shared" si="2"/>
        <v>46</v>
      </c>
      <c r="B348" s="3" t="s">
        <v>484</v>
      </c>
      <c r="C348" s="3" t="s">
        <v>172</v>
      </c>
      <c r="D348" s="3" t="s">
        <v>683</v>
      </c>
      <c r="E348" s="3" t="s">
        <v>297</v>
      </c>
      <c r="F348" s="6" t="s">
        <v>655</v>
      </c>
      <c r="G348" s="2"/>
      <c r="H348" s="2"/>
      <c r="I348" s="3" t="s">
        <v>68</v>
      </c>
      <c r="J348" s="44">
        <v>5</v>
      </c>
      <c r="K348" s="44"/>
      <c r="L348" s="44" t="s">
        <v>672</v>
      </c>
      <c r="M348" s="25"/>
      <c r="N348" s="16"/>
      <c r="O348" s="16"/>
      <c r="P348" s="16"/>
      <c r="Q348" s="16"/>
      <c r="R348" s="73" t="s">
        <v>205</v>
      </c>
      <c r="S348" s="2" t="s">
        <v>341</v>
      </c>
      <c r="T348" s="2"/>
      <c r="U348" s="2"/>
    </row>
    <row r="349" spans="1:22" s="72" customFormat="1" hidden="1">
      <c r="A349" s="2">
        <f t="shared" si="2"/>
        <v>47</v>
      </c>
      <c r="B349" s="3" t="s">
        <v>484</v>
      </c>
      <c r="C349" s="3" t="s">
        <v>172</v>
      </c>
      <c r="D349" s="3" t="s">
        <v>683</v>
      </c>
      <c r="E349" s="3" t="s">
        <v>298</v>
      </c>
      <c r="F349" s="6" t="s">
        <v>652</v>
      </c>
      <c r="G349" s="2"/>
      <c r="H349" s="2"/>
      <c r="I349" s="3" t="s">
        <v>53</v>
      </c>
      <c r="J349" s="44">
        <v>2</v>
      </c>
      <c r="K349" s="44"/>
      <c r="L349" s="44" t="s">
        <v>672</v>
      </c>
      <c r="M349" s="25"/>
      <c r="N349" s="16"/>
      <c r="O349" s="16"/>
      <c r="P349" s="16"/>
      <c r="Q349" s="16"/>
      <c r="R349" s="73" t="s">
        <v>206</v>
      </c>
      <c r="S349" s="2" t="s">
        <v>341</v>
      </c>
      <c r="T349" s="2"/>
      <c r="U349" s="2"/>
    </row>
    <row r="350" spans="1:22" s="72" customFormat="1" hidden="1">
      <c r="A350" s="2">
        <f t="shared" si="2"/>
        <v>48</v>
      </c>
      <c r="B350" s="3" t="s">
        <v>484</v>
      </c>
      <c r="C350" s="3" t="s">
        <v>172</v>
      </c>
      <c r="D350" s="3" t="s">
        <v>683</v>
      </c>
      <c r="E350" s="3" t="s">
        <v>295</v>
      </c>
      <c r="F350" s="6" t="s">
        <v>653</v>
      </c>
      <c r="G350" s="2"/>
      <c r="H350" s="2"/>
      <c r="I350" s="3" t="s">
        <v>53</v>
      </c>
      <c r="J350" s="44">
        <v>3</v>
      </c>
      <c r="K350" s="44"/>
      <c r="L350" s="44" t="s">
        <v>672</v>
      </c>
      <c r="M350" s="25"/>
      <c r="N350" s="16"/>
      <c r="O350" s="16"/>
      <c r="P350" s="16"/>
      <c r="Q350" s="16"/>
      <c r="R350" s="73" t="s">
        <v>203</v>
      </c>
      <c r="S350" s="2" t="s">
        <v>341</v>
      </c>
      <c r="T350" s="2"/>
      <c r="U350" s="2"/>
    </row>
    <row r="351" spans="1:22" s="72" customFormat="1" hidden="1">
      <c r="A351" s="2">
        <f t="shared" si="2"/>
        <v>49</v>
      </c>
      <c r="B351" s="3" t="s">
        <v>484</v>
      </c>
      <c r="C351" s="3" t="s">
        <v>172</v>
      </c>
      <c r="D351" s="3" t="s">
        <v>683</v>
      </c>
      <c r="E351" s="3" t="s">
        <v>72</v>
      </c>
      <c r="F351" s="6" t="s">
        <v>72</v>
      </c>
      <c r="G351" s="2" t="s">
        <v>54</v>
      </c>
      <c r="H351" s="2" t="s">
        <v>52</v>
      </c>
      <c r="I351" s="3" t="s">
        <v>73</v>
      </c>
      <c r="J351" s="44" t="s">
        <v>54</v>
      </c>
      <c r="K351" s="44" t="s">
        <v>54</v>
      </c>
      <c r="L351" s="44" t="s">
        <v>526</v>
      </c>
      <c r="M351" s="25"/>
      <c r="N351" s="73"/>
      <c r="O351" s="16"/>
      <c r="P351" s="16"/>
      <c r="Q351" s="16"/>
      <c r="R351" s="16" t="s">
        <v>679</v>
      </c>
      <c r="S351" s="2" t="s">
        <v>348</v>
      </c>
      <c r="T351" s="2" t="s">
        <v>348</v>
      </c>
      <c r="U351" s="2" t="s">
        <v>348</v>
      </c>
    </row>
    <row r="352" spans="1:22" s="72" customFormat="1" hidden="1">
      <c r="A352" s="2">
        <f t="shared" si="2"/>
        <v>50</v>
      </c>
      <c r="B352" s="3" t="s">
        <v>484</v>
      </c>
      <c r="C352" s="3" t="s">
        <v>172</v>
      </c>
      <c r="D352" s="3" t="s">
        <v>683</v>
      </c>
      <c r="E352" s="3" t="s">
        <v>74</v>
      </c>
      <c r="F352" s="6" t="s">
        <v>74</v>
      </c>
      <c r="G352" s="2" t="s">
        <v>54</v>
      </c>
      <c r="H352" s="2" t="s">
        <v>52</v>
      </c>
      <c r="I352" s="3" t="s">
        <v>53</v>
      </c>
      <c r="J352" s="44">
        <v>12</v>
      </c>
      <c r="K352" s="44" t="s">
        <v>54</v>
      </c>
      <c r="L352" s="44" t="s">
        <v>526</v>
      </c>
      <c r="M352" s="25"/>
      <c r="N352" s="73"/>
      <c r="O352" s="16"/>
      <c r="P352" s="16"/>
      <c r="Q352" s="16"/>
      <c r="R352" s="16" t="s">
        <v>679</v>
      </c>
      <c r="S352" s="2" t="s">
        <v>348</v>
      </c>
      <c r="T352" s="2" t="s">
        <v>348</v>
      </c>
      <c r="U352" s="2" t="s">
        <v>348</v>
      </c>
    </row>
    <row r="353" spans="1:22" s="72" customFormat="1" hidden="1">
      <c r="A353" s="2">
        <f t="shared" si="2"/>
        <v>51</v>
      </c>
      <c r="B353" s="3" t="s">
        <v>484</v>
      </c>
      <c r="C353" s="3" t="s">
        <v>172</v>
      </c>
      <c r="D353" s="3" t="s">
        <v>683</v>
      </c>
      <c r="E353" s="3" t="s">
        <v>75</v>
      </c>
      <c r="F353" s="6" t="s">
        <v>75</v>
      </c>
      <c r="G353" s="2" t="s">
        <v>54</v>
      </c>
      <c r="H353" s="2" t="s">
        <v>52</v>
      </c>
      <c r="I353" s="3" t="s">
        <v>53</v>
      </c>
      <c r="J353" s="44">
        <v>20</v>
      </c>
      <c r="K353" s="44" t="s">
        <v>54</v>
      </c>
      <c r="L353" s="44" t="s">
        <v>526</v>
      </c>
      <c r="M353" s="25"/>
      <c r="N353" s="73"/>
      <c r="O353" s="16"/>
      <c r="P353" s="16"/>
      <c r="Q353" s="16"/>
      <c r="R353" s="16" t="s">
        <v>679</v>
      </c>
      <c r="S353" s="2" t="s">
        <v>348</v>
      </c>
      <c r="T353" s="2" t="s">
        <v>348</v>
      </c>
      <c r="U353" s="2" t="s">
        <v>348</v>
      </c>
    </row>
    <row r="354" spans="1:22" s="72" customFormat="1" hidden="1">
      <c r="A354" s="2">
        <f t="shared" si="2"/>
        <v>1</v>
      </c>
      <c r="B354" s="3" t="s">
        <v>484</v>
      </c>
      <c r="C354" s="3" t="s">
        <v>183</v>
      </c>
      <c r="D354" s="3" t="s">
        <v>684</v>
      </c>
      <c r="E354" s="3" t="s">
        <v>50</v>
      </c>
      <c r="F354" s="6" t="s">
        <v>50</v>
      </c>
      <c r="G354" s="2" t="s">
        <v>51</v>
      </c>
      <c r="H354" s="2" t="s">
        <v>52</v>
      </c>
      <c r="I354" s="3" t="s">
        <v>53</v>
      </c>
      <c r="J354" s="44">
        <v>14</v>
      </c>
      <c r="K354" s="44" t="s">
        <v>54</v>
      </c>
      <c r="L354" s="44" t="s">
        <v>526</v>
      </c>
      <c r="M354" s="25"/>
      <c r="N354" s="73"/>
      <c r="O354" s="16"/>
      <c r="P354" s="16"/>
      <c r="Q354" s="16"/>
      <c r="R354" s="16"/>
      <c r="S354" s="2" t="s">
        <v>348</v>
      </c>
      <c r="T354" s="2" t="s">
        <v>348</v>
      </c>
      <c r="U354" s="2" t="s">
        <v>348</v>
      </c>
    </row>
    <row r="355" spans="1:22" s="72" customFormat="1" hidden="1">
      <c r="A355" s="2">
        <f t="shared" si="2"/>
        <v>2</v>
      </c>
      <c r="B355" s="3" t="s">
        <v>484</v>
      </c>
      <c r="C355" s="3" t="s">
        <v>183</v>
      </c>
      <c r="D355" s="3" t="s">
        <v>684</v>
      </c>
      <c r="E355" s="3" t="s">
        <v>55</v>
      </c>
      <c r="F355" s="6" t="s">
        <v>1594</v>
      </c>
      <c r="G355" s="2" t="s">
        <v>51</v>
      </c>
      <c r="H355" s="2" t="s">
        <v>52</v>
      </c>
      <c r="I355" s="3" t="s">
        <v>53</v>
      </c>
      <c r="J355" s="44">
        <v>8</v>
      </c>
      <c r="K355" s="44" t="s">
        <v>54</v>
      </c>
      <c r="L355" s="44" t="s">
        <v>503</v>
      </c>
      <c r="M355" s="25"/>
      <c r="N355" s="73"/>
      <c r="O355" s="16"/>
      <c r="P355" s="16"/>
      <c r="Q355" s="16"/>
      <c r="R355" s="16"/>
      <c r="S355" s="2" t="s">
        <v>348</v>
      </c>
      <c r="T355" s="2" t="s">
        <v>348</v>
      </c>
      <c r="U355" s="2" t="s">
        <v>348</v>
      </c>
    </row>
    <row r="356" spans="1:22" s="72" customFormat="1" hidden="1">
      <c r="A356" s="2">
        <f t="shared" si="2"/>
        <v>3</v>
      </c>
      <c r="B356" s="3" t="s">
        <v>484</v>
      </c>
      <c r="C356" s="3" t="s">
        <v>183</v>
      </c>
      <c r="D356" s="3" t="s">
        <v>684</v>
      </c>
      <c r="E356" s="3" t="s">
        <v>56</v>
      </c>
      <c r="F356" s="6" t="s">
        <v>1596</v>
      </c>
      <c r="G356" s="2" t="s">
        <v>51</v>
      </c>
      <c r="H356" s="2" t="s">
        <v>52</v>
      </c>
      <c r="I356" s="3" t="s">
        <v>53</v>
      </c>
      <c r="J356" s="44">
        <v>6</v>
      </c>
      <c r="K356" s="44" t="s">
        <v>54</v>
      </c>
      <c r="L356" s="44" t="s">
        <v>503</v>
      </c>
      <c r="M356" s="25"/>
      <c r="N356" s="73"/>
      <c r="O356" s="16"/>
      <c r="P356" s="16"/>
      <c r="Q356" s="16"/>
      <c r="R356" s="16"/>
      <c r="S356" s="2" t="s">
        <v>348</v>
      </c>
      <c r="T356" s="2" t="s">
        <v>348</v>
      </c>
      <c r="U356" s="2" t="s">
        <v>348</v>
      </c>
      <c r="V356" s="84"/>
    </row>
    <row r="357" spans="1:22" s="72" customFormat="1" hidden="1">
      <c r="A357" s="2">
        <f t="shared" si="2"/>
        <v>4</v>
      </c>
      <c r="B357" s="3" t="s">
        <v>484</v>
      </c>
      <c r="C357" s="3" t="s">
        <v>183</v>
      </c>
      <c r="D357" s="3" t="s">
        <v>684</v>
      </c>
      <c r="E357" s="3" t="s">
        <v>184</v>
      </c>
      <c r="F357" s="6" t="s">
        <v>184</v>
      </c>
      <c r="G357" s="2" t="s">
        <v>51</v>
      </c>
      <c r="H357" s="2" t="s">
        <v>52</v>
      </c>
      <c r="I357" s="3" t="s">
        <v>68</v>
      </c>
      <c r="J357" s="44">
        <v>7</v>
      </c>
      <c r="K357" s="44" t="s">
        <v>54</v>
      </c>
      <c r="L357" s="44" t="s">
        <v>526</v>
      </c>
      <c r="M357" s="25"/>
      <c r="N357" s="73"/>
      <c r="O357" s="16"/>
      <c r="P357" s="16"/>
      <c r="Q357" s="16"/>
      <c r="R357" s="16"/>
      <c r="S357" s="2" t="s">
        <v>348</v>
      </c>
      <c r="T357" s="2" t="s">
        <v>348</v>
      </c>
      <c r="U357" s="2" t="s">
        <v>348</v>
      </c>
    </row>
    <row r="358" spans="1:22" s="72" customFormat="1" hidden="1">
      <c r="A358" s="2">
        <f t="shared" si="2"/>
        <v>5</v>
      </c>
      <c r="B358" s="3" t="s">
        <v>484</v>
      </c>
      <c r="C358" s="3" t="s">
        <v>183</v>
      </c>
      <c r="D358" s="3" t="s">
        <v>684</v>
      </c>
      <c r="E358" s="3" t="s">
        <v>185</v>
      </c>
      <c r="F358" s="6" t="s">
        <v>185</v>
      </c>
      <c r="G358" s="2" t="s">
        <v>54</v>
      </c>
      <c r="H358" s="2" t="s">
        <v>54</v>
      </c>
      <c r="I358" s="3" t="s">
        <v>53</v>
      </c>
      <c r="J358" s="44">
        <v>3</v>
      </c>
      <c r="K358" s="44" t="s">
        <v>54</v>
      </c>
      <c r="L358" s="44" t="s">
        <v>526</v>
      </c>
      <c r="M358" s="25"/>
      <c r="N358" s="73"/>
      <c r="O358" s="16"/>
      <c r="P358" s="16"/>
      <c r="Q358" s="16"/>
      <c r="R358" s="16"/>
      <c r="S358" s="2" t="s">
        <v>348</v>
      </c>
      <c r="T358" s="2" t="s">
        <v>348</v>
      </c>
      <c r="U358" s="2" t="s">
        <v>348</v>
      </c>
    </row>
    <row r="359" spans="1:22" s="72" customFormat="1" hidden="1">
      <c r="A359" s="2">
        <f t="shared" si="2"/>
        <v>6</v>
      </c>
      <c r="B359" s="3" t="s">
        <v>484</v>
      </c>
      <c r="C359" s="3" t="s">
        <v>183</v>
      </c>
      <c r="D359" s="3" t="s">
        <v>684</v>
      </c>
      <c r="E359" s="3" t="s">
        <v>72</v>
      </c>
      <c r="F359" s="6" t="s">
        <v>72</v>
      </c>
      <c r="G359" s="2" t="s">
        <v>54</v>
      </c>
      <c r="H359" s="2" t="s">
        <v>52</v>
      </c>
      <c r="I359" s="3" t="s">
        <v>73</v>
      </c>
      <c r="J359" s="44" t="s">
        <v>54</v>
      </c>
      <c r="K359" s="44" t="s">
        <v>54</v>
      </c>
      <c r="L359" s="44" t="s">
        <v>526</v>
      </c>
      <c r="M359" s="25"/>
      <c r="N359" s="73"/>
      <c r="O359" s="16"/>
      <c r="P359" s="16"/>
      <c r="Q359" s="16"/>
      <c r="R359" s="16" t="s">
        <v>679</v>
      </c>
      <c r="S359" s="2" t="s">
        <v>348</v>
      </c>
      <c r="T359" s="2" t="s">
        <v>348</v>
      </c>
      <c r="U359" s="2" t="s">
        <v>348</v>
      </c>
    </row>
    <row r="360" spans="1:22" s="72" customFormat="1" hidden="1">
      <c r="A360" s="2">
        <f t="shared" si="2"/>
        <v>7</v>
      </c>
      <c r="B360" s="3" t="s">
        <v>484</v>
      </c>
      <c r="C360" s="3" t="s">
        <v>183</v>
      </c>
      <c r="D360" s="3" t="s">
        <v>684</v>
      </c>
      <c r="E360" s="3" t="s">
        <v>74</v>
      </c>
      <c r="F360" s="6" t="s">
        <v>74</v>
      </c>
      <c r="G360" s="2" t="s">
        <v>54</v>
      </c>
      <c r="H360" s="2" t="s">
        <v>52</v>
      </c>
      <c r="I360" s="3" t="s">
        <v>53</v>
      </c>
      <c r="J360" s="44">
        <v>12</v>
      </c>
      <c r="K360" s="44" t="s">
        <v>54</v>
      </c>
      <c r="L360" s="44" t="s">
        <v>526</v>
      </c>
      <c r="M360" s="25"/>
      <c r="N360" s="73"/>
      <c r="O360" s="16"/>
      <c r="P360" s="16"/>
      <c r="Q360" s="16"/>
      <c r="R360" s="16" t="s">
        <v>679</v>
      </c>
      <c r="S360" s="2" t="s">
        <v>348</v>
      </c>
      <c r="T360" s="2" t="s">
        <v>348</v>
      </c>
      <c r="U360" s="2" t="s">
        <v>348</v>
      </c>
    </row>
    <row r="361" spans="1:22" s="72" customFormat="1" hidden="1">
      <c r="A361" s="2">
        <f t="shared" si="2"/>
        <v>8</v>
      </c>
      <c r="B361" s="3" t="s">
        <v>484</v>
      </c>
      <c r="C361" s="3" t="s">
        <v>183</v>
      </c>
      <c r="D361" s="3" t="s">
        <v>684</v>
      </c>
      <c r="E361" s="3" t="s">
        <v>75</v>
      </c>
      <c r="F361" s="6" t="s">
        <v>75</v>
      </c>
      <c r="G361" s="2" t="s">
        <v>54</v>
      </c>
      <c r="H361" s="2" t="s">
        <v>52</v>
      </c>
      <c r="I361" s="3" t="s">
        <v>53</v>
      </c>
      <c r="J361" s="44">
        <v>20</v>
      </c>
      <c r="K361" s="44" t="s">
        <v>54</v>
      </c>
      <c r="L361" s="44" t="s">
        <v>526</v>
      </c>
      <c r="M361" s="25"/>
      <c r="N361" s="73"/>
      <c r="O361" s="16"/>
      <c r="P361" s="16"/>
      <c r="Q361" s="16"/>
      <c r="R361" s="16" t="s">
        <v>679</v>
      </c>
      <c r="S361" s="2" t="s">
        <v>348</v>
      </c>
      <c r="T361" s="2" t="s">
        <v>348</v>
      </c>
      <c r="U361" s="2" t="s">
        <v>348</v>
      </c>
    </row>
    <row r="362" spans="1:22" s="72" customFormat="1" hidden="1">
      <c r="A362" s="2">
        <f t="shared" si="2"/>
        <v>1</v>
      </c>
      <c r="B362" s="3" t="s">
        <v>486</v>
      </c>
      <c r="C362" s="3" t="s">
        <v>1664</v>
      </c>
      <c r="D362" s="3" t="s">
        <v>676</v>
      </c>
      <c r="E362" s="3" t="s">
        <v>50</v>
      </c>
      <c r="F362" s="6" t="s">
        <v>50</v>
      </c>
      <c r="G362" s="2" t="s">
        <v>51</v>
      </c>
      <c r="H362" s="2" t="s">
        <v>52</v>
      </c>
      <c r="I362" s="3" t="s">
        <v>53</v>
      </c>
      <c r="J362" s="44">
        <v>14</v>
      </c>
      <c r="K362" s="44" t="s">
        <v>54</v>
      </c>
      <c r="L362" s="44" t="s">
        <v>526</v>
      </c>
      <c r="M362" s="25"/>
      <c r="N362" s="16"/>
      <c r="O362" s="16"/>
      <c r="P362" s="16"/>
      <c r="Q362" s="16"/>
      <c r="R362" s="16"/>
      <c r="S362" s="2"/>
      <c r="T362" s="2"/>
      <c r="U362" s="2"/>
    </row>
    <row r="363" spans="1:22" s="72" customFormat="1" hidden="1">
      <c r="A363" s="2">
        <f t="shared" si="2"/>
        <v>2</v>
      </c>
      <c r="B363" s="3" t="s">
        <v>486</v>
      </c>
      <c r="C363" s="3" t="s">
        <v>99</v>
      </c>
      <c r="D363" s="3" t="s">
        <v>676</v>
      </c>
      <c r="E363" s="3" t="s">
        <v>541</v>
      </c>
      <c r="F363" s="6" t="s">
        <v>1593</v>
      </c>
      <c r="G363" s="2" t="s">
        <v>51</v>
      </c>
      <c r="H363" s="3" t="s">
        <v>52</v>
      </c>
      <c r="I363" s="44" t="s">
        <v>53</v>
      </c>
      <c r="J363" s="44">
        <v>8</v>
      </c>
      <c r="K363" s="44" t="s">
        <v>54</v>
      </c>
      <c r="L363" s="44" t="s">
        <v>503</v>
      </c>
      <c r="M363" s="25" t="s">
        <v>501</v>
      </c>
      <c r="N363" s="16"/>
      <c r="O363" s="16"/>
      <c r="P363" s="16"/>
      <c r="Q363" s="16"/>
      <c r="R363" s="16"/>
      <c r="S363" s="16"/>
      <c r="T363" s="16"/>
      <c r="U363" s="16"/>
    </row>
    <row r="364" spans="1:22" s="84" customFormat="1" hidden="1">
      <c r="A364" s="2">
        <f t="shared" si="2"/>
        <v>3</v>
      </c>
      <c r="B364" s="3" t="s">
        <v>486</v>
      </c>
      <c r="C364" s="3" t="s">
        <v>99</v>
      </c>
      <c r="D364" s="3" t="s">
        <v>676</v>
      </c>
      <c r="E364" s="3" t="s">
        <v>542</v>
      </c>
      <c r="F364" s="6" t="s">
        <v>1595</v>
      </c>
      <c r="G364" s="2" t="s">
        <v>51</v>
      </c>
      <c r="H364" s="44" t="s">
        <v>52</v>
      </c>
      <c r="I364" s="44" t="s">
        <v>53</v>
      </c>
      <c r="J364" s="44">
        <v>6</v>
      </c>
      <c r="K364" s="19" t="s">
        <v>54</v>
      </c>
      <c r="L364" s="44" t="s">
        <v>503</v>
      </c>
      <c r="M364" s="2" t="s">
        <v>543</v>
      </c>
      <c r="N364" s="16"/>
      <c r="O364" s="16"/>
      <c r="P364" s="16"/>
      <c r="Q364" s="16"/>
      <c r="R364" s="16"/>
      <c r="S364" s="16"/>
      <c r="T364" s="16"/>
      <c r="U364" s="16"/>
      <c r="V364" s="72"/>
    </row>
    <row r="365" spans="1:22" s="72" customFormat="1" ht="135" hidden="1">
      <c r="A365" s="2">
        <f t="shared" si="2"/>
        <v>4</v>
      </c>
      <c r="B365" s="48" t="s">
        <v>486</v>
      </c>
      <c r="C365" s="48" t="s">
        <v>99</v>
      </c>
      <c r="D365" s="48" t="s">
        <v>676</v>
      </c>
      <c r="E365" s="48" t="s">
        <v>57</v>
      </c>
      <c r="F365" s="49" t="s">
        <v>57</v>
      </c>
      <c r="G365" s="48" t="s">
        <v>54</v>
      </c>
      <c r="H365" s="48" t="s">
        <v>54</v>
      </c>
      <c r="I365" s="48" t="s">
        <v>53</v>
      </c>
      <c r="J365" s="50">
        <v>10</v>
      </c>
      <c r="K365" s="50" t="s">
        <v>54</v>
      </c>
      <c r="L365" s="51" t="s">
        <v>517</v>
      </c>
      <c r="M365" s="52"/>
      <c r="N365" s="53" t="s">
        <v>610</v>
      </c>
      <c r="O365" s="48"/>
      <c r="P365" s="48"/>
      <c r="Q365" s="48"/>
      <c r="R365" s="48"/>
      <c r="S365" s="47"/>
      <c r="T365" s="47"/>
      <c r="U365" s="47"/>
    </row>
    <row r="366" spans="1:22" s="72" customFormat="1" hidden="1">
      <c r="A366" s="2">
        <f t="shared" si="2"/>
        <v>5</v>
      </c>
      <c r="B366" s="3" t="s">
        <v>486</v>
      </c>
      <c r="C366" s="3" t="s">
        <v>99</v>
      </c>
      <c r="D366" s="3" t="s">
        <v>676</v>
      </c>
      <c r="E366" s="45" t="s">
        <v>58</v>
      </c>
      <c r="F366" s="6" t="s">
        <v>58</v>
      </c>
      <c r="G366" s="2" t="s">
        <v>54</v>
      </c>
      <c r="H366" s="2" t="s">
        <v>54</v>
      </c>
      <c r="I366" s="3" t="s">
        <v>53</v>
      </c>
      <c r="J366" s="44">
        <v>4</v>
      </c>
      <c r="K366" s="44" t="s">
        <v>54</v>
      </c>
      <c r="L366" s="44" t="s">
        <v>526</v>
      </c>
      <c r="M366" s="25"/>
      <c r="N366" s="16"/>
      <c r="O366" s="16"/>
      <c r="P366" s="16"/>
      <c r="Q366" s="75">
        <v>4</v>
      </c>
      <c r="R366" s="16" t="s">
        <v>349</v>
      </c>
      <c r="S366" s="2"/>
      <c r="T366" s="2"/>
      <c r="U366" s="2"/>
    </row>
    <row r="367" spans="1:22" s="72" customFormat="1" hidden="1">
      <c r="A367" s="2">
        <f t="shared" si="2"/>
        <v>6</v>
      </c>
      <c r="B367" s="3" t="s">
        <v>486</v>
      </c>
      <c r="C367" s="3" t="s">
        <v>99</v>
      </c>
      <c r="D367" s="3" t="s">
        <v>676</v>
      </c>
      <c r="E367" s="3" t="s">
        <v>59</v>
      </c>
      <c r="F367" s="6" t="s">
        <v>59</v>
      </c>
      <c r="G367" s="2" t="s">
        <v>54</v>
      </c>
      <c r="H367" s="2" t="s">
        <v>54</v>
      </c>
      <c r="I367" s="3" t="s">
        <v>53</v>
      </c>
      <c r="J367" s="44">
        <v>10</v>
      </c>
      <c r="K367" s="44" t="s">
        <v>54</v>
      </c>
      <c r="L367" s="44" t="s">
        <v>526</v>
      </c>
      <c r="M367" s="25"/>
      <c r="N367" s="16"/>
      <c r="O367" s="16"/>
      <c r="P367" s="16"/>
      <c r="Q367" s="75">
        <v>10</v>
      </c>
      <c r="R367" s="76" t="s">
        <v>519</v>
      </c>
      <c r="S367" s="2"/>
      <c r="T367" s="2"/>
      <c r="U367" s="2"/>
    </row>
    <row r="368" spans="1:22" s="72" customFormat="1" hidden="1">
      <c r="A368" s="2">
        <f t="shared" si="2"/>
        <v>7</v>
      </c>
      <c r="B368" s="3" t="s">
        <v>486</v>
      </c>
      <c r="C368" s="3" t="s">
        <v>99</v>
      </c>
      <c r="D368" s="3" t="s">
        <v>676</v>
      </c>
      <c r="E368" s="3" t="s">
        <v>60</v>
      </c>
      <c r="F368" s="6" t="s">
        <v>60</v>
      </c>
      <c r="G368" s="2" t="s">
        <v>54</v>
      </c>
      <c r="H368" s="2" t="s">
        <v>54</v>
      </c>
      <c r="I368" s="3" t="s">
        <v>53</v>
      </c>
      <c r="J368" s="44">
        <v>14</v>
      </c>
      <c r="K368" s="44" t="s">
        <v>54</v>
      </c>
      <c r="L368" s="44" t="s">
        <v>526</v>
      </c>
      <c r="M368" s="25"/>
      <c r="N368" s="16"/>
      <c r="O368" s="16"/>
      <c r="P368" s="16"/>
      <c r="Q368" s="75">
        <v>14</v>
      </c>
      <c r="R368" s="76" t="s">
        <v>351</v>
      </c>
      <c r="S368" s="2"/>
      <c r="T368" s="2"/>
      <c r="U368" s="2"/>
    </row>
    <row r="369" spans="1:22" s="72" customFormat="1" hidden="1">
      <c r="A369" s="2">
        <f t="shared" si="2"/>
        <v>8</v>
      </c>
      <c r="B369" s="3" t="s">
        <v>486</v>
      </c>
      <c r="C369" s="3" t="s">
        <v>99</v>
      </c>
      <c r="D369" s="3" t="s">
        <v>676</v>
      </c>
      <c r="E369" s="3" t="s">
        <v>61</v>
      </c>
      <c r="F369" s="6" t="s">
        <v>61</v>
      </c>
      <c r="G369" s="2" t="s">
        <v>54</v>
      </c>
      <c r="H369" s="2" t="s">
        <v>54</v>
      </c>
      <c r="I369" s="3" t="s">
        <v>53</v>
      </c>
      <c r="J369" s="44">
        <v>16</v>
      </c>
      <c r="K369" s="44" t="s">
        <v>54</v>
      </c>
      <c r="L369" s="44" t="s">
        <v>526</v>
      </c>
      <c r="M369" s="25"/>
      <c r="N369" s="16"/>
      <c r="O369" s="16"/>
      <c r="P369" s="16"/>
      <c r="Q369" s="75">
        <v>16</v>
      </c>
      <c r="R369" s="16" t="s">
        <v>352</v>
      </c>
      <c r="S369" s="2"/>
      <c r="T369" s="2"/>
      <c r="U369" s="2"/>
    </row>
    <row r="370" spans="1:22" s="72" customFormat="1" hidden="1">
      <c r="A370" s="2">
        <f t="shared" si="2"/>
        <v>9</v>
      </c>
      <c r="B370" s="3" t="s">
        <v>486</v>
      </c>
      <c r="C370" s="3" t="s">
        <v>99</v>
      </c>
      <c r="D370" s="3" t="s">
        <v>676</v>
      </c>
      <c r="E370" s="3" t="s">
        <v>62</v>
      </c>
      <c r="F370" s="6" t="s">
        <v>62</v>
      </c>
      <c r="G370" s="2" t="s">
        <v>54</v>
      </c>
      <c r="H370" s="2" t="s">
        <v>54</v>
      </c>
      <c r="I370" s="3" t="s">
        <v>53</v>
      </c>
      <c r="J370" s="44">
        <v>1</v>
      </c>
      <c r="K370" s="44" t="s">
        <v>54</v>
      </c>
      <c r="L370" s="44" t="s">
        <v>526</v>
      </c>
      <c r="M370" s="25"/>
      <c r="N370" s="16"/>
      <c r="O370" s="16"/>
      <c r="P370" s="16"/>
      <c r="Q370" s="75">
        <v>1</v>
      </c>
      <c r="R370" s="76" t="s">
        <v>353</v>
      </c>
      <c r="S370" s="2"/>
      <c r="T370" s="2"/>
      <c r="U370" s="2"/>
    </row>
    <row r="371" spans="1:22" s="72" customFormat="1" hidden="1">
      <c r="A371" s="2">
        <f t="shared" si="2"/>
        <v>10</v>
      </c>
      <c r="B371" s="3" t="s">
        <v>486</v>
      </c>
      <c r="C371" s="3" t="s">
        <v>99</v>
      </c>
      <c r="D371" s="3" t="s">
        <v>676</v>
      </c>
      <c r="E371" s="3" t="s">
        <v>356</v>
      </c>
      <c r="F371" s="6" t="s">
        <v>63</v>
      </c>
      <c r="G371" s="2" t="s">
        <v>54</v>
      </c>
      <c r="H371" s="2" t="s">
        <v>54</v>
      </c>
      <c r="I371" s="3" t="s">
        <v>53</v>
      </c>
      <c r="J371" s="44">
        <v>1</v>
      </c>
      <c r="K371" s="44" t="s">
        <v>54</v>
      </c>
      <c r="L371" s="44" t="s">
        <v>526</v>
      </c>
      <c r="M371" s="25"/>
      <c r="N371" s="16"/>
      <c r="O371" s="16"/>
      <c r="P371" s="16"/>
      <c r="Q371" s="75">
        <v>1</v>
      </c>
      <c r="R371" s="76" t="s">
        <v>354</v>
      </c>
      <c r="S371" s="2"/>
      <c r="T371" s="2"/>
      <c r="U371" s="2"/>
      <c r="V371" s="84"/>
    </row>
    <row r="372" spans="1:22" s="72" customFormat="1" hidden="1">
      <c r="A372" s="2">
        <f t="shared" si="2"/>
        <v>11</v>
      </c>
      <c r="B372" s="3" t="s">
        <v>486</v>
      </c>
      <c r="C372" s="3" t="s">
        <v>99</v>
      </c>
      <c r="D372" s="3" t="s">
        <v>676</v>
      </c>
      <c r="E372" s="3" t="s">
        <v>64</v>
      </c>
      <c r="F372" s="6" t="s">
        <v>358</v>
      </c>
      <c r="G372" s="2" t="s">
        <v>54</v>
      </c>
      <c r="H372" s="2" t="s">
        <v>54</v>
      </c>
      <c r="I372" s="3" t="s">
        <v>53</v>
      </c>
      <c r="J372" s="44">
        <v>2</v>
      </c>
      <c r="K372" s="44" t="s">
        <v>54</v>
      </c>
      <c r="L372" s="44" t="s">
        <v>526</v>
      </c>
      <c r="M372" s="25"/>
      <c r="N372" s="16"/>
      <c r="O372" s="16"/>
      <c r="P372" s="16"/>
      <c r="Q372" s="75">
        <v>2</v>
      </c>
      <c r="R372" s="76" t="s">
        <v>355</v>
      </c>
      <c r="S372" s="2"/>
      <c r="T372" s="2"/>
      <c r="U372" s="2"/>
    </row>
    <row r="373" spans="1:22" s="72" customFormat="1" hidden="1">
      <c r="A373" s="2">
        <f t="shared" si="2"/>
        <v>12</v>
      </c>
      <c r="B373" s="3" t="s">
        <v>486</v>
      </c>
      <c r="C373" s="3" t="s">
        <v>99</v>
      </c>
      <c r="D373" s="3" t="s">
        <v>676</v>
      </c>
      <c r="E373" s="3" t="s">
        <v>65</v>
      </c>
      <c r="F373" s="6" t="s">
        <v>360</v>
      </c>
      <c r="G373" s="2" t="s">
        <v>54</v>
      </c>
      <c r="H373" s="2" t="s">
        <v>54</v>
      </c>
      <c r="I373" s="3" t="s">
        <v>53</v>
      </c>
      <c r="J373" s="44">
        <v>12</v>
      </c>
      <c r="K373" s="44" t="s">
        <v>54</v>
      </c>
      <c r="L373" s="44" t="s">
        <v>526</v>
      </c>
      <c r="M373" s="25"/>
      <c r="N373" s="16"/>
      <c r="O373" s="16"/>
      <c r="P373" s="16"/>
      <c r="Q373" s="75">
        <v>12</v>
      </c>
      <c r="R373" s="76" t="s">
        <v>359</v>
      </c>
      <c r="S373" s="2"/>
      <c r="T373" s="2"/>
      <c r="U373" s="2"/>
    </row>
    <row r="374" spans="1:22" s="72" customFormat="1" hidden="1">
      <c r="A374" s="2">
        <f t="shared" si="2"/>
        <v>13</v>
      </c>
      <c r="B374" s="3" t="s">
        <v>486</v>
      </c>
      <c r="C374" s="3" t="s">
        <v>99</v>
      </c>
      <c r="D374" s="3" t="s">
        <v>676</v>
      </c>
      <c r="E374" s="3" t="s">
        <v>66</v>
      </c>
      <c r="F374" s="46" t="s">
        <v>666</v>
      </c>
      <c r="G374" s="2" t="s">
        <v>54</v>
      </c>
      <c r="H374" s="2" t="s">
        <v>54</v>
      </c>
      <c r="I374" s="3" t="s">
        <v>53</v>
      </c>
      <c r="J374" s="44">
        <v>3</v>
      </c>
      <c r="K374" s="44" t="s">
        <v>54</v>
      </c>
      <c r="L374" s="44" t="s">
        <v>526</v>
      </c>
      <c r="M374" s="25"/>
      <c r="N374" s="16"/>
      <c r="O374" s="16"/>
      <c r="P374" s="16"/>
      <c r="Q374" s="16">
        <v>2</v>
      </c>
      <c r="R374" s="16" t="s">
        <v>364</v>
      </c>
      <c r="S374" s="2"/>
      <c r="T374" s="2"/>
      <c r="U374" s="2"/>
    </row>
    <row r="375" spans="1:22" s="72" customFormat="1" hidden="1">
      <c r="A375" s="2">
        <f t="shared" si="2"/>
        <v>14</v>
      </c>
      <c r="B375" s="3" t="s">
        <v>486</v>
      </c>
      <c r="C375" s="3" t="s">
        <v>99</v>
      </c>
      <c r="D375" s="3" t="s">
        <v>676</v>
      </c>
      <c r="E375" s="3" t="s">
        <v>67</v>
      </c>
      <c r="F375" s="6" t="s">
        <v>1644</v>
      </c>
      <c r="G375" s="2" t="s">
        <v>54</v>
      </c>
      <c r="H375" s="2" t="s">
        <v>361</v>
      </c>
      <c r="I375" s="3" t="s">
        <v>68</v>
      </c>
      <c r="J375" s="44">
        <v>2</v>
      </c>
      <c r="K375" s="44" t="s">
        <v>54</v>
      </c>
      <c r="L375" s="44" t="s">
        <v>503</v>
      </c>
      <c r="M375" s="25" t="s">
        <v>501</v>
      </c>
      <c r="N375" s="16"/>
      <c r="O375" s="16"/>
      <c r="P375" s="16"/>
      <c r="Q375" s="16">
        <v>3</v>
      </c>
      <c r="R375" s="16" t="s">
        <v>363</v>
      </c>
      <c r="S375" s="2"/>
      <c r="T375" s="2"/>
      <c r="U375" s="2"/>
    </row>
    <row r="376" spans="1:22" s="72" customFormat="1" hidden="1">
      <c r="A376" s="2">
        <f t="shared" si="2"/>
        <v>15</v>
      </c>
      <c r="B376" s="3" t="s">
        <v>486</v>
      </c>
      <c r="C376" s="3" t="s">
        <v>99</v>
      </c>
      <c r="D376" s="3" t="s">
        <v>676</v>
      </c>
      <c r="E376" s="3" t="s">
        <v>623</v>
      </c>
      <c r="F376" s="46" t="s">
        <v>667</v>
      </c>
      <c r="G376" s="2" t="s">
        <v>54</v>
      </c>
      <c r="H376" s="2"/>
      <c r="I376" s="3" t="s">
        <v>53</v>
      </c>
      <c r="J376" s="44">
        <v>3</v>
      </c>
      <c r="K376" s="44" t="s">
        <v>54</v>
      </c>
      <c r="L376" s="44" t="s">
        <v>526</v>
      </c>
      <c r="M376" s="25"/>
      <c r="N376" s="16"/>
      <c r="O376" s="16"/>
      <c r="P376" s="16"/>
      <c r="Q376" s="16">
        <v>2</v>
      </c>
      <c r="R376" s="16" t="s">
        <v>365</v>
      </c>
      <c r="S376" s="2"/>
      <c r="T376" s="2"/>
      <c r="U376" s="2"/>
    </row>
    <row r="377" spans="1:22" s="72" customFormat="1" hidden="1">
      <c r="A377" s="2">
        <f t="shared" si="2"/>
        <v>16</v>
      </c>
      <c r="B377" s="3" t="s">
        <v>486</v>
      </c>
      <c r="C377" s="3" t="s">
        <v>99</v>
      </c>
      <c r="D377" s="3" t="s">
        <v>676</v>
      </c>
      <c r="E377" s="3" t="s">
        <v>69</v>
      </c>
      <c r="F377" s="6" t="s">
        <v>1645</v>
      </c>
      <c r="G377" s="2" t="s">
        <v>54</v>
      </c>
      <c r="H377" s="2" t="s">
        <v>362</v>
      </c>
      <c r="I377" s="3" t="s">
        <v>259</v>
      </c>
      <c r="J377" s="44">
        <v>2</v>
      </c>
      <c r="K377" s="44" t="s">
        <v>54</v>
      </c>
      <c r="L377" s="44" t="s">
        <v>503</v>
      </c>
      <c r="M377" s="25" t="s">
        <v>501</v>
      </c>
      <c r="N377" s="16"/>
      <c r="O377" s="16"/>
      <c r="P377" s="16"/>
      <c r="Q377" s="16">
        <v>3</v>
      </c>
      <c r="R377" s="16" t="s">
        <v>366</v>
      </c>
      <c r="S377" s="2"/>
      <c r="T377" s="2"/>
      <c r="U377" s="2"/>
    </row>
    <row r="378" spans="1:22" s="72" customFormat="1" hidden="1">
      <c r="A378" s="2">
        <f t="shared" si="2"/>
        <v>17</v>
      </c>
      <c r="B378" s="3" t="s">
        <v>486</v>
      </c>
      <c r="C378" s="3" t="s">
        <v>99</v>
      </c>
      <c r="D378" s="3" t="s">
        <v>676</v>
      </c>
      <c r="E378" s="3" t="s">
        <v>624</v>
      </c>
      <c r="F378" s="46" t="s">
        <v>668</v>
      </c>
      <c r="G378" s="2" t="s">
        <v>54</v>
      </c>
      <c r="H378" s="2"/>
      <c r="I378" s="3" t="s">
        <v>53</v>
      </c>
      <c r="J378" s="44">
        <v>10</v>
      </c>
      <c r="K378" s="44" t="s">
        <v>54</v>
      </c>
      <c r="L378" s="44" t="s">
        <v>526</v>
      </c>
      <c r="M378" s="25"/>
      <c r="N378" s="16"/>
      <c r="O378" s="16"/>
      <c r="P378" s="16"/>
      <c r="Q378" s="16">
        <v>2</v>
      </c>
      <c r="R378" s="16" t="s">
        <v>368</v>
      </c>
      <c r="S378" s="2"/>
      <c r="T378" s="2"/>
      <c r="U378" s="2"/>
    </row>
    <row r="379" spans="1:22" s="72" customFormat="1" hidden="1">
      <c r="A379" s="2">
        <f t="shared" si="2"/>
        <v>18</v>
      </c>
      <c r="B379" s="3" t="s">
        <v>486</v>
      </c>
      <c r="C379" s="3" t="s">
        <v>99</v>
      </c>
      <c r="D379" s="3" t="s">
        <v>676</v>
      </c>
      <c r="E379" s="3" t="s">
        <v>71</v>
      </c>
      <c r="F379" s="6" t="s">
        <v>1646</v>
      </c>
      <c r="G379" s="2" t="s">
        <v>54</v>
      </c>
      <c r="H379" s="2" t="s">
        <v>52</v>
      </c>
      <c r="I379" s="3" t="s">
        <v>68</v>
      </c>
      <c r="J379" s="44">
        <v>9</v>
      </c>
      <c r="K379" s="44" t="s">
        <v>54</v>
      </c>
      <c r="L379" s="44" t="s">
        <v>503</v>
      </c>
      <c r="M379" s="25" t="s">
        <v>501</v>
      </c>
      <c r="N379" s="16"/>
      <c r="O379" s="16"/>
      <c r="P379" s="16"/>
      <c r="Q379" s="16">
        <v>3</v>
      </c>
      <c r="R379" s="16" t="s">
        <v>367</v>
      </c>
      <c r="S379" s="2"/>
      <c r="T379" s="2"/>
      <c r="U379" s="2"/>
    </row>
    <row r="380" spans="1:22" s="72" customFormat="1" hidden="1">
      <c r="A380" s="2">
        <f t="shared" si="2"/>
        <v>19</v>
      </c>
      <c r="B380" s="3" t="s">
        <v>486</v>
      </c>
      <c r="C380" s="3" t="s">
        <v>99</v>
      </c>
      <c r="D380" s="3" t="s">
        <v>676</v>
      </c>
      <c r="E380" s="3" t="s">
        <v>72</v>
      </c>
      <c r="F380" s="6" t="s">
        <v>72</v>
      </c>
      <c r="G380" s="2" t="s">
        <v>54</v>
      </c>
      <c r="H380" s="2" t="s">
        <v>52</v>
      </c>
      <c r="I380" s="3" t="s">
        <v>73</v>
      </c>
      <c r="J380" s="44" t="s">
        <v>54</v>
      </c>
      <c r="K380" s="44" t="s">
        <v>54</v>
      </c>
      <c r="L380" s="44" t="s">
        <v>526</v>
      </c>
      <c r="M380" s="25"/>
      <c r="N380" s="16"/>
      <c r="O380" s="16"/>
      <c r="P380" s="16"/>
      <c r="Q380" s="16"/>
      <c r="R380" s="16" t="s">
        <v>679</v>
      </c>
      <c r="S380" s="2"/>
      <c r="T380" s="2"/>
      <c r="U380" s="2"/>
      <c r="V380" s="84"/>
    </row>
    <row r="381" spans="1:22" s="72" customFormat="1" hidden="1">
      <c r="A381" s="2">
        <f t="shared" si="2"/>
        <v>20</v>
      </c>
      <c r="B381" s="3" t="s">
        <v>486</v>
      </c>
      <c r="C381" s="3" t="s">
        <v>99</v>
      </c>
      <c r="D381" s="3" t="s">
        <v>676</v>
      </c>
      <c r="E381" s="3" t="s">
        <v>74</v>
      </c>
      <c r="F381" s="6" t="s">
        <v>74</v>
      </c>
      <c r="G381" s="2" t="s">
        <v>54</v>
      </c>
      <c r="H381" s="2" t="s">
        <v>52</v>
      </c>
      <c r="I381" s="3" t="s">
        <v>53</v>
      </c>
      <c r="J381" s="44">
        <v>12</v>
      </c>
      <c r="K381" s="44" t="s">
        <v>54</v>
      </c>
      <c r="L381" s="44" t="s">
        <v>526</v>
      </c>
      <c r="M381" s="25"/>
      <c r="N381" s="16"/>
      <c r="O381" s="16"/>
      <c r="P381" s="16"/>
      <c r="Q381" s="16"/>
      <c r="R381" s="16" t="s">
        <v>679</v>
      </c>
      <c r="S381" s="2"/>
      <c r="T381" s="2"/>
      <c r="U381" s="2"/>
    </row>
    <row r="382" spans="1:22" s="72" customFormat="1" hidden="1">
      <c r="A382" s="2">
        <f t="shared" si="2"/>
        <v>21</v>
      </c>
      <c r="B382" s="3" t="s">
        <v>486</v>
      </c>
      <c r="C382" s="3" t="s">
        <v>99</v>
      </c>
      <c r="D382" s="3" t="s">
        <v>676</v>
      </c>
      <c r="E382" s="3" t="s">
        <v>75</v>
      </c>
      <c r="F382" s="6" t="s">
        <v>75</v>
      </c>
      <c r="G382" s="2" t="s">
        <v>54</v>
      </c>
      <c r="H382" s="2" t="s">
        <v>52</v>
      </c>
      <c r="I382" s="3" t="s">
        <v>53</v>
      </c>
      <c r="J382" s="44">
        <v>20</v>
      </c>
      <c r="K382" s="44" t="s">
        <v>54</v>
      </c>
      <c r="L382" s="44" t="s">
        <v>526</v>
      </c>
      <c r="M382" s="25"/>
      <c r="N382" s="16"/>
      <c r="O382" s="16"/>
      <c r="P382" s="16"/>
      <c r="Q382" s="16"/>
      <c r="R382" s="16" t="s">
        <v>679</v>
      </c>
      <c r="S382" s="2"/>
      <c r="T382" s="2"/>
      <c r="U382" s="2"/>
    </row>
    <row r="383" spans="1:22" s="72" customFormat="1" hidden="1">
      <c r="A383" s="2">
        <f t="shared" si="2"/>
        <v>1</v>
      </c>
      <c r="B383" s="3" t="s">
        <v>486</v>
      </c>
      <c r="C383" s="3" t="s">
        <v>1665</v>
      </c>
      <c r="D383" s="3" t="s">
        <v>625</v>
      </c>
      <c r="E383" s="3" t="s">
        <v>50</v>
      </c>
      <c r="F383" s="6" t="s">
        <v>50</v>
      </c>
      <c r="G383" s="2" t="s">
        <v>51</v>
      </c>
      <c r="H383" s="2" t="s">
        <v>52</v>
      </c>
      <c r="I383" s="3" t="s">
        <v>53</v>
      </c>
      <c r="J383" s="44">
        <v>14</v>
      </c>
      <c r="K383" s="44" t="s">
        <v>54</v>
      </c>
      <c r="L383" s="44" t="s">
        <v>526</v>
      </c>
      <c r="M383" s="25"/>
      <c r="N383" s="16"/>
      <c r="O383" s="16"/>
      <c r="P383" s="16"/>
      <c r="Q383" s="16"/>
      <c r="R383" s="16"/>
      <c r="S383" s="2"/>
      <c r="T383" s="2"/>
      <c r="U383" s="2"/>
    </row>
    <row r="384" spans="1:22" s="72" customFormat="1" hidden="1">
      <c r="A384" s="2">
        <f t="shared" si="2"/>
        <v>2</v>
      </c>
      <c r="B384" s="3" t="s">
        <v>486</v>
      </c>
      <c r="C384" s="3" t="s">
        <v>107</v>
      </c>
      <c r="D384" s="3" t="s">
        <v>625</v>
      </c>
      <c r="E384" s="3" t="s">
        <v>55</v>
      </c>
      <c r="F384" s="6" t="s">
        <v>1593</v>
      </c>
      <c r="G384" s="2" t="s">
        <v>51</v>
      </c>
      <c r="H384" s="2" t="s">
        <v>52</v>
      </c>
      <c r="I384" s="3" t="s">
        <v>53</v>
      </c>
      <c r="J384" s="44">
        <v>8</v>
      </c>
      <c r="K384" s="44" t="s">
        <v>54</v>
      </c>
      <c r="L384" s="44" t="s">
        <v>504</v>
      </c>
      <c r="M384" s="25" t="s">
        <v>501</v>
      </c>
      <c r="N384" s="16"/>
      <c r="O384" s="16"/>
      <c r="P384" s="16"/>
      <c r="Q384" s="16"/>
      <c r="R384" s="16"/>
      <c r="S384" s="2"/>
      <c r="T384" s="2"/>
      <c r="U384" s="2"/>
    </row>
    <row r="385" spans="1:21" s="72" customFormat="1" hidden="1">
      <c r="A385" s="2">
        <f t="shared" si="2"/>
        <v>3</v>
      </c>
      <c r="B385" s="3" t="s">
        <v>486</v>
      </c>
      <c r="C385" s="3" t="s">
        <v>107</v>
      </c>
      <c r="D385" s="3" t="s">
        <v>625</v>
      </c>
      <c r="E385" s="3" t="s">
        <v>56</v>
      </c>
      <c r="F385" s="6" t="s">
        <v>1595</v>
      </c>
      <c r="G385" s="2" t="s">
        <v>51</v>
      </c>
      <c r="H385" s="2" t="s">
        <v>52</v>
      </c>
      <c r="I385" s="3" t="s">
        <v>53</v>
      </c>
      <c r="J385" s="44">
        <v>6</v>
      </c>
      <c r="K385" s="44" t="s">
        <v>54</v>
      </c>
      <c r="L385" s="44" t="s">
        <v>505</v>
      </c>
      <c r="M385" s="25" t="s">
        <v>506</v>
      </c>
      <c r="N385" s="16"/>
      <c r="O385" s="16"/>
      <c r="P385" s="16"/>
      <c r="Q385" s="16"/>
      <c r="R385" s="16"/>
      <c r="S385" s="2"/>
      <c r="T385" s="2"/>
      <c r="U385" s="2"/>
    </row>
    <row r="386" spans="1:21" s="72" customFormat="1" hidden="1">
      <c r="A386" s="2">
        <f t="shared" si="2"/>
        <v>4</v>
      </c>
      <c r="B386" s="3" t="s">
        <v>486</v>
      </c>
      <c r="C386" s="3" t="s">
        <v>107</v>
      </c>
      <c r="D386" s="3" t="s">
        <v>625</v>
      </c>
      <c r="E386" s="3" t="s">
        <v>77</v>
      </c>
      <c r="F386" s="6" t="str">
        <f>MID(D386,5,LEN(D386)-6)&amp;"일련번호"</f>
        <v>NICE신용평점정보상세일련번호</v>
      </c>
      <c r="G386" s="2" t="s">
        <v>51</v>
      </c>
      <c r="H386" s="2" t="s">
        <v>52</v>
      </c>
      <c r="I386" s="3" t="s">
        <v>68</v>
      </c>
      <c r="J386" s="44">
        <v>3</v>
      </c>
      <c r="K386" s="44" t="s">
        <v>54</v>
      </c>
      <c r="L386" s="44" t="s">
        <v>504</v>
      </c>
      <c r="M386" s="25" t="s">
        <v>506</v>
      </c>
      <c r="N386" s="16"/>
      <c r="O386" s="16"/>
      <c r="P386" s="16"/>
      <c r="Q386" s="16"/>
      <c r="R386" s="16"/>
      <c r="S386" s="2"/>
      <c r="T386" s="2"/>
      <c r="U386" s="2"/>
    </row>
    <row r="387" spans="1:21" s="72" customFormat="1" hidden="1">
      <c r="A387" s="2">
        <f t="shared" si="2"/>
        <v>5</v>
      </c>
      <c r="B387" s="3" t="s">
        <v>486</v>
      </c>
      <c r="C387" s="3" t="s">
        <v>107</v>
      </c>
      <c r="D387" s="3" t="s">
        <v>625</v>
      </c>
      <c r="E387" s="3" t="s">
        <v>83</v>
      </c>
      <c r="F387" s="6" t="s">
        <v>1647</v>
      </c>
      <c r="G387" s="2" t="s">
        <v>54</v>
      </c>
      <c r="H387" s="2" t="s">
        <v>54</v>
      </c>
      <c r="I387" s="3" t="s">
        <v>53</v>
      </c>
      <c r="J387" s="44">
        <v>10</v>
      </c>
      <c r="K387" s="44" t="s">
        <v>54</v>
      </c>
      <c r="L387" s="44" t="s">
        <v>504</v>
      </c>
      <c r="M387" s="25" t="s">
        <v>506</v>
      </c>
      <c r="N387" s="16"/>
      <c r="O387" s="16"/>
      <c r="P387" s="16"/>
      <c r="Q387" s="16">
        <v>2</v>
      </c>
      <c r="R387" s="16" t="s">
        <v>371</v>
      </c>
      <c r="S387" s="2"/>
      <c r="T387" s="2"/>
      <c r="U387" s="2"/>
    </row>
    <row r="388" spans="1:21" s="72" customFormat="1" hidden="1">
      <c r="A388" s="2">
        <f t="shared" si="2"/>
        <v>6</v>
      </c>
      <c r="B388" s="3" t="s">
        <v>486</v>
      </c>
      <c r="C388" s="3" t="s">
        <v>107</v>
      </c>
      <c r="D388" s="3" t="s">
        <v>625</v>
      </c>
      <c r="E388" s="3" t="s">
        <v>70</v>
      </c>
      <c r="F388" s="6" t="s">
        <v>527</v>
      </c>
      <c r="G388" s="2" t="s">
        <v>54</v>
      </c>
      <c r="H388" s="2" t="s">
        <v>54</v>
      </c>
      <c r="I388" s="3" t="s">
        <v>53</v>
      </c>
      <c r="J388" s="44">
        <v>2</v>
      </c>
      <c r="K388" s="44" t="s">
        <v>54</v>
      </c>
      <c r="L388" s="44" t="s">
        <v>504</v>
      </c>
      <c r="M388" s="25" t="s">
        <v>506</v>
      </c>
      <c r="N388" s="16"/>
      <c r="O388" s="16"/>
      <c r="P388" s="16"/>
      <c r="Q388" s="16">
        <v>2</v>
      </c>
      <c r="R388" s="16" t="s">
        <v>372</v>
      </c>
      <c r="S388" s="2"/>
      <c r="T388" s="2"/>
      <c r="U388" s="2"/>
    </row>
    <row r="389" spans="1:21" s="72" customFormat="1" hidden="1">
      <c r="A389" s="2">
        <f t="shared" si="2"/>
        <v>7</v>
      </c>
      <c r="B389" s="3" t="s">
        <v>486</v>
      </c>
      <c r="C389" s="3" t="s">
        <v>107</v>
      </c>
      <c r="D389" s="3" t="s">
        <v>625</v>
      </c>
      <c r="E389" s="3" t="s">
        <v>373</v>
      </c>
      <c r="F389" s="6" t="s">
        <v>1648</v>
      </c>
      <c r="G389" s="2" t="s">
        <v>54</v>
      </c>
      <c r="H389" s="2" t="s">
        <v>54</v>
      </c>
      <c r="I389" s="3" t="s">
        <v>53</v>
      </c>
      <c r="J389" s="44">
        <v>10</v>
      </c>
      <c r="K389" s="44" t="s">
        <v>54</v>
      </c>
      <c r="L389" s="44" t="s">
        <v>504</v>
      </c>
      <c r="M389" s="25" t="s">
        <v>506</v>
      </c>
      <c r="N389" s="16"/>
      <c r="O389" s="16"/>
      <c r="P389" s="16"/>
      <c r="Q389" s="16">
        <v>10</v>
      </c>
      <c r="R389" s="16" t="s">
        <v>373</v>
      </c>
      <c r="S389" s="2"/>
      <c r="T389" s="2"/>
      <c r="U389" s="2"/>
    </row>
    <row r="390" spans="1:21" s="72" customFormat="1" hidden="1">
      <c r="A390" s="2">
        <f t="shared" si="2"/>
        <v>8</v>
      </c>
      <c r="B390" s="3" t="s">
        <v>486</v>
      </c>
      <c r="C390" s="3" t="s">
        <v>107</v>
      </c>
      <c r="D390" s="3" t="s">
        <v>625</v>
      </c>
      <c r="E390" s="3" t="s">
        <v>609</v>
      </c>
      <c r="F390" s="6" t="s">
        <v>533</v>
      </c>
      <c r="G390" s="2" t="s">
        <v>54</v>
      </c>
      <c r="H390" s="2" t="s">
        <v>54</v>
      </c>
      <c r="I390" s="3" t="s">
        <v>53</v>
      </c>
      <c r="J390" s="44">
        <v>4</v>
      </c>
      <c r="K390" s="44" t="s">
        <v>54</v>
      </c>
      <c r="L390" s="44" t="s">
        <v>526</v>
      </c>
      <c r="M390" s="25"/>
      <c r="N390" s="16"/>
      <c r="O390" s="16"/>
      <c r="P390" s="16"/>
      <c r="Q390" s="16">
        <v>4</v>
      </c>
      <c r="R390" s="16" t="s">
        <v>374</v>
      </c>
      <c r="S390" s="2"/>
      <c r="T390" s="2"/>
      <c r="U390" s="2"/>
    </row>
    <row r="391" spans="1:21" s="72" customFormat="1" hidden="1">
      <c r="A391" s="2">
        <f t="shared" si="2"/>
        <v>9</v>
      </c>
      <c r="B391" s="3" t="s">
        <v>486</v>
      </c>
      <c r="C391" s="3" t="s">
        <v>107</v>
      </c>
      <c r="D391" s="3" t="s">
        <v>625</v>
      </c>
      <c r="E391" s="3" t="s">
        <v>608</v>
      </c>
      <c r="F391" s="6" t="s">
        <v>534</v>
      </c>
      <c r="G391" s="2" t="s">
        <v>54</v>
      </c>
      <c r="H391" s="2" t="s">
        <v>54</v>
      </c>
      <c r="I391" s="3" t="s">
        <v>53</v>
      </c>
      <c r="J391" s="44">
        <v>4</v>
      </c>
      <c r="K391" s="44" t="s">
        <v>54</v>
      </c>
      <c r="L391" s="44" t="s">
        <v>526</v>
      </c>
      <c r="M391" s="25"/>
      <c r="N391" s="16"/>
      <c r="O391" s="16"/>
      <c r="P391" s="16"/>
      <c r="Q391" s="16">
        <v>4</v>
      </c>
      <c r="R391" s="16" t="s">
        <v>375</v>
      </c>
      <c r="S391" s="2"/>
      <c r="T391" s="2"/>
      <c r="U391" s="2"/>
    </row>
    <row r="392" spans="1:21" s="72" customFormat="1" hidden="1">
      <c r="A392" s="2">
        <f t="shared" si="2"/>
        <v>10</v>
      </c>
      <c r="B392" s="3" t="s">
        <v>486</v>
      </c>
      <c r="C392" s="3" t="s">
        <v>107</v>
      </c>
      <c r="D392" s="3" t="s">
        <v>625</v>
      </c>
      <c r="E392" s="3" t="s">
        <v>84</v>
      </c>
      <c r="F392" s="6" t="s">
        <v>535</v>
      </c>
      <c r="G392" s="2" t="s">
        <v>54</v>
      </c>
      <c r="H392" s="2" t="s">
        <v>54</v>
      </c>
      <c r="I392" s="3" t="s">
        <v>53</v>
      </c>
      <c r="J392" s="44">
        <v>4</v>
      </c>
      <c r="K392" s="44" t="s">
        <v>54</v>
      </c>
      <c r="L392" s="44" t="s">
        <v>526</v>
      </c>
      <c r="M392" s="25"/>
      <c r="N392" s="16"/>
      <c r="O392" s="16"/>
      <c r="P392" s="16"/>
      <c r="Q392" s="16">
        <v>4</v>
      </c>
      <c r="R392" s="16" t="s">
        <v>376</v>
      </c>
      <c r="S392" s="2"/>
      <c r="T392" s="2"/>
      <c r="U392" s="2"/>
    </row>
    <row r="393" spans="1:21" s="72" customFormat="1" hidden="1">
      <c r="A393" s="2">
        <f t="shared" si="2"/>
        <v>11</v>
      </c>
      <c r="B393" s="3" t="s">
        <v>486</v>
      </c>
      <c r="C393" s="3" t="s">
        <v>107</v>
      </c>
      <c r="D393" s="3" t="s">
        <v>625</v>
      </c>
      <c r="E393" s="3" t="s">
        <v>85</v>
      </c>
      <c r="F393" s="6" t="s">
        <v>537</v>
      </c>
      <c r="G393" s="2" t="s">
        <v>54</v>
      </c>
      <c r="H393" s="2" t="s">
        <v>54</v>
      </c>
      <c r="I393" s="3" t="s">
        <v>53</v>
      </c>
      <c r="J393" s="44">
        <v>4</v>
      </c>
      <c r="K393" s="44" t="s">
        <v>54</v>
      </c>
      <c r="L393" s="44" t="s">
        <v>526</v>
      </c>
      <c r="M393" s="25"/>
      <c r="N393" s="16"/>
      <c r="O393" s="16"/>
      <c r="P393" s="16"/>
      <c r="Q393" s="16">
        <v>4</v>
      </c>
      <c r="R393" s="16" t="s">
        <v>377</v>
      </c>
      <c r="S393" s="2"/>
      <c r="T393" s="2"/>
      <c r="U393" s="2"/>
    </row>
    <row r="394" spans="1:21" s="72" customFormat="1" hidden="1">
      <c r="A394" s="2">
        <f t="shared" si="2"/>
        <v>12</v>
      </c>
      <c r="B394" s="3" t="s">
        <v>486</v>
      </c>
      <c r="C394" s="3" t="s">
        <v>107</v>
      </c>
      <c r="D394" s="3" t="s">
        <v>625</v>
      </c>
      <c r="E394" s="3" t="s">
        <v>86</v>
      </c>
      <c r="F394" s="6" t="s">
        <v>86</v>
      </c>
      <c r="G394" s="2" t="s">
        <v>54</v>
      </c>
      <c r="H394" s="2" t="s">
        <v>54</v>
      </c>
      <c r="I394" s="3" t="s">
        <v>53</v>
      </c>
      <c r="J394" s="44">
        <v>4</v>
      </c>
      <c r="K394" s="44" t="s">
        <v>54</v>
      </c>
      <c r="L394" s="44" t="s">
        <v>526</v>
      </c>
      <c r="M394" s="25"/>
      <c r="N394" s="16"/>
      <c r="O394" s="16"/>
      <c r="P394" s="16"/>
      <c r="Q394" s="16">
        <v>4</v>
      </c>
      <c r="R394" s="16" t="s">
        <v>378</v>
      </c>
      <c r="S394" s="2"/>
      <c r="T394" s="2"/>
      <c r="U394" s="2"/>
    </row>
    <row r="395" spans="1:21" s="72" customFormat="1" hidden="1">
      <c r="A395" s="2">
        <f t="shared" si="2"/>
        <v>13</v>
      </c>
      <c r="B395" s="3" t="s">
        <v>486</v>
      </c>
      <c r="C395" s="3" t="s">
        <v>107</v>
      </c>
      <c r="D395" s="3" t="s">
        <v>625</v>
      </c>
      <c r="E395" s="3" t="s">
        <v>87</v>
      </c>
      <c r="F395" s="6" t="s">
        <v>87</v>
      </c>
      <c r="G395" s="2" t="s">
        <v>54</v>
      </c>
      <c r="H395" s="2" t="s">
        <v>54</v>
      </c>
      <c r="I395" s="3" t="s">
        <v>53</v>
      </c>
      <c r="J395" s="44">
        <v>4</v>
      </c>
      <c r="K395" s="44" t="s">
        <v>54</v>
      </c>
      <c r="L395" s="44" t="s">
        <v>526</v>
      </c>
      <c r="M395" s="25"/>
      <c r="N395" s="16"/>
      <c r="O395" s="16"/>
      <c r="P395" s="16"/>
      <c r="Q395" s="16">
        <v>4</v>
      </c>
      <c r="R395" s="16" t="s">
        <v>379</v>
      </c>
      <c r="S395" s="2"/>
      <c r="T395" s="2"/>
      <c r="U395" s="2"/>
    </row>
    <row r="396" spans="1:21" s="72" customFormat="1" ht="16.5" hidden="1" customHeight="1">
      <c r="A396" s="2">
        <f t="shared" si="2"/>
        <v>14</v>
      </c>
      <c r="B396" s="3" t="s">
        <v>486</v>
      </c>
      <c r="C396" s="3" t="s">
        <v>107</v>
      </c>
      <c r="D396" s="3" t="s">
        <v>625</v>
      </c>
      <c r="E396" s="3" t="s">
        <v>88</v>
      </c>
      <c r="F396" s="6" t="s">
        <v>88</v>
      </c>
      <c r="G396" s="2" t="s">
        <v>54</v>
      </c>
      <c r="H396" s="2" t="s">
        <v>54</v>
      </c>
      <c r="I396" s="3" t="s">
        <v>53</v>
      </c>
      <c r="J396" s="44">
        <v>4</v>
      </c>
      <c r="K396" s="44" t="s">
        <v>54</v>
      </c>
      <c r="L396" s="44" t="s">
        <v>526</v>
      </c>
      <c r="M396" s="25"/>
      <c r="N396" s="16"/>
      <c r="O396" s="16"/>
      <c r="P396" s="16"/>
      <c r="Q396" s="16">
        <v>4</v>
      </c>
      <c r="R396" s="16" t="s">
        <v>380</v>
      </c>
      <c r="S396" s="2"/>
      <c r="T396" s="2"/>
      <c r="U396" s="2"/>
    </row>
    <row r="397" spans="1:21" s="72" customFormat="1" hidden="1">
      <c r="A397" s="2">
        <f t="shared" si="2"/>
        <v>15</v>
      </c>
      <c r="B397" s="3" t="s">
        <v>486</v>
      </c>
      <c r="C397" s="3" t="s">
        <v>107</v>
      </c>
      <c r="D397" s="3" t="s">
        <v>625</v>
      </c>
      <c r="E397" s="3" t="s">
        <v>89</v>
      </c>
      <c r="F397" s="6" t="s">
        <v>89</v>
      </c>
      <c r="G397" s="2" t="s">
        <v>54</v>
      </c>
      <c r="H397" s="2" t="s">
        <v>54</v>
      </c>
      <c r="I397" s="3" t="s">
        <v>53</v>
      </c>
      <c r="J397" s="44">
        <v>4</v>
      </c>
      <c r="K397" s="44" t="s">
        <v>54</v>
      </c>
      <c r="L397" s="44" t="s">
        <v>526</v>
      </c>
      <c r="M397" s="25"/>
      <c r="N397" s="16"/>
      <c r="O397" s="16"/>
      <c r="P397" s="16"/>
      <c r="Q397" s="16">
        <v>4</v>
      </c>
      <c r="R397" s="16" t="s">
        <v>381</v>
      </c>
      <c r="S397" s="2"/>
      <c r="T397" s="2"/>
      <c r="U397" s="2"/>
    </row>
    <row r="398" spans="1:21" s="72" customFormat="1" hidden="1">
      <c r="A398" s="2">
        <f t="shared" si="2"/>
        <v>16</v>
      </c>
      <c r="B398" s="3" t="s">
        <v>486</v>
      </c>
      <c r="C398" s="3" t="s">
        <v>107</v>
      </c>
      <c r="D398" s="3" t="s">
        <v>625</v>
      </c>
      <c r="E398" s="3" t="s">
        <v>90</v>
      </c>
      <c r="F398" s="6" t="s">
        <v>90</v>
      </c>
      <c r="G398" s="2" t="s">
        <v>54</v>
      </c>
      <c r="H398" s="2" t="s">
        <v>54</v>
      </c>
      <c r="I398" s="3" t="s">
        <v>53</v>
      </c>
      <c r="J398" s="44">
        <v>4</v>
      </c>
      <c r="K398" s="44" t="s">
        <v>54</v>
      </c>
      <c r="L398" s="44" t="s">
        <v>526</v>
      </c>
      <c r="M398" s="25"/>
      <c r="N398" s="16"/>
      <c r="O398" s="16"/>
      <c r="P398" s="16"/>
      <c r="Q398" s="16">
        <v>4</v>
      </c>
      <c r="R398" s="16" t="s">
        <v>382</v>
      </c>
      <c r="S398" s="2"/>
      <c r="T398" s="2"/>
      <c r="U398" s="2"/>
    </row>
    <row r="399" spans="1:21" s="72" customFormat="1" hidden="1">
      <c r="A399" s="2">
        <f t="shared" si="2"/>
        <v>17</v>
      </c>
      <c r="B399" s="3" t="s">
        <v>486</v>
      </c>
      <c r="C399" s="3" t="s">
        <v>107</v>
      </c>
      <c r="D399" s="3" t="s">
        <v>625</v>
      </c>
      <c r="E399" s="3" t="s">
        <v>91</v>
      </c>
      <c r="F399" s="6" t="s">
        <v>91</v>
      </c>
      <c r="G399" s="2" t="s">
        <v>54</v>
      </c>
      <c r="H399" s="2" t="s">
        <v>52</v>
      </c>
      <c r="I399" s="3" t="s">
        <v>68</v>
      </c>
      <c r="J399" s="44">
        <v>5</v>
      </c>
      <c r="K399" s="44" t="s">
        <v>54</v>
      </c>
      <c r="L399" s="44" t="s">
        <v>526</v>
      </c>
      <c r="M399" s="25"/>
      <c r="N399" s="16"/>
      <c r="O399" s="16"/>
      <c r="P399" s="16"/>
      <c r="Q399" s="16">
        <v>4</v>
      </c>
      <c r="R399" s="16" t="s">
        <v>383</v>
      </c>
      <c r="S399" s="2"/>
      <c r="T399" s="2"/>
      <c r="U399" s="2"/>
    </row>
    <row r="400" spans="1:21" s="72" customFormat="1" hidden="1">
      <c r="A400" s="2">
        <f t="shared" si="2"/>
        <v>18</v>
      </c>
      <c r="B400" s="3" t="s">
        <v>486</v>
      </c>
      <c r="C400" s="3" t="s">
        <v>107</v>
      </c>
      <c r="D400" s="3" t="s">
        <v>625</v>
      </c>
      <c r="E400" s="3" t="s">
        <v>92</v>
      </c>
      <c r="F400" s="6" t="s">
        <v>92</v>
      </c>
      <c r="G400" s="2" t="s">
        <v>54</v>
      </c>
      <c r="H400" s="2" t="s">
        <v>54</v>
      </c>
      <c r="I400" s="3" t="s">
        <v>53</v>
      </c>
      <c r="J400" s="44">
        <v>4</v>
      </c>
      <c r="K400" s="44" t="s">
        <v>54</v>
      </c>
      <c r="L400" s="44" t="s">
        <v>526</v>
      </c>
      <c r="M400" s="25"/>
      <c r="N400" s="16"/>
      <c r="O400" s="16"/>
      <c r="P400" s="16"/>
      <c r="Q400" s="16">
        <v>4</v>
      </c>
      <c r="R400" s="16" t="s">
        <v>384</v>
      </c>
      <c r="S400" s="2"/>
      <c r="T400" s="2"/>
      <c r="U400" s="2"/>
    </row>
    <row r="401" spans="1:22" s="72" customFormat="1" hidden="1">
      <c r="A401" s="2">
        <f t="shared" si="2"/>
        <v>19</v>
      </c>
      <c r="B401" s="3" t="s">
        <v>486</v>
      </c>
      <c r="C401" s="3" t="s">
        <v>107</v>
      </c>
      <c r="D401" s="3" t="s">
        <v>625</v>
      </c>
      <c r="E401" s="3" t="s">
        <v>539</v>
      </c>
      <c r="F401" s="6" t="s">
        <v>538</v>
      </c>
      <c r="G401" s="2" t="s">
        <v>54</v>
      </c>
      <c r="H401" s="2" t="s">
        <v>54</v>
      </c>
      <c r="I401" s="3" t="s">
        <v>53</v>
      </c>
      <c r="J401" s="44">
        <v>10</v>
      </c>
      <c r="K401" s="44" t="s">
        <v>54</v>
      </c>
      <c r="L401" s="44" t="s">
        <v>526</v>
      </c>
      <c r="M401" s="25"/>
      <c r="N401" s="16"/>
      <c r="O401" s="16"/>
      <c r="P401" s="16"/>
      <c r="Q401" s="16">
        <v>9</v>
      </c>
      <c r="R401" s="16" t="s">
        <v>385</v>
      </c>
      <c r="S401" s="2"/>
      <c r="T401" s="2"/>
      <c r="U401" s="2"/>
    </row>
    <row r="402" spans="1:22" s="72" customFormat="1" hidden="1">
      <c r="A402" s="2">
        <f t="shared" si="2"/>
        <v>20</v>
      </c>
      <c r="B402" s="3" t="s">
        <v>486</v>
      </c>
      <c r="C402" s="3" t="s">
        <v>107</v>
      </c>
      <c r="D402" s="3" t="s">
        <v>625</v>
      </c>
      <c r="E402" s="3" t="s">
        <v>93</v>
      </c>
      <c r="F402" s="6" t="s">
        <v>93</v>
      </c>
      <c r="G402" s="2" t="s">
        <v>54</v>
      </c>
      <c r="H402" s="2" t="s">
        <v>54</v>
      </c>
      <c r="I402" s="3" t="s">
        <v>53</v>
      </c>
      <c r="J402" s="44">
        <v>10</v>
      </c>
      <c r="K402" s="44" t="s">
        <v>54</v>
      </c>
      <c r="L402" s="44" t="s">
        <v>526</v>
      </c>
      <c r="M402" s="25"/>
      <c r="N402" s="16"/>
      <c r="O402" s="16"/>
      <c r="P402" s="16"/>
      <c r="Q402" s="16">
        <v>9</v>
      </c>
      <c r="R402" s="16" t="s">
        <v>386</v>
      </c>
      <c r="S402" s="2"/>
      <c r="T402" s="2"/>
      <c r="U402" s="2"/>
    </row>
    <row r="403" spans="1:22" s="72" customFormat="1" hidden="1">
      <c r="A403" s="2">
        <f t="shared" si="2"/>
        <v>21</v>
      </c>
      <c r="B403" s="3" t="s">
        <v>486</v>
      </c>
      <c r="C403" s="3" t="s">
        <v>107</v>
      </c>
      <c r="D403" s="3" t="s">
        <v>625</v>
      </c>
      <c r="E403" s="3" t="s">
        <v>94</v>
      </c>
      <c r="F403" s="6" t="s">
        <v>94</v>
      </c>
      <c r="G403" s="2" t="s">
        <v>54</v>
      </c>
      <c r="H403" s="2" t="s">
        <v>54</v>
      </c>
      <c r="I403" s="3" t="s">
        <v>53</v>
      </c>
      <c r="J403" s="44">
        <v>10</v>
      </c>
      <c r="K403" s="44" t="s">
        <v>54</v>
      </c>
      <c r="L403" s="44" t="s">
        <v>526</v>
      </c>
      <c r="M403" s="25"/>
      <c r="N403" s="16"/>
      <c r="O403" s="16"/>
      <c r="P403" s="16"/>
      <c r="Q403" s="16">
        <v>9</v>
      </c>
      <c r="R403" s="16" t="s">
        <v>387</v>
      </c>
      <c r="S403" s="2"/>
      <c r="T403" s="2"/>
      <c r="U403" s="2"/>
    </row>
    <row r="404" spans="1:22" s="72" customFormat="1" hidden="1">
      <c r="A404" s="2">
        <f t="shared" ref="A404:A467" si="3">IF(D403=D404,A403+1,1)</f>
        <v>22</v>
      </c>
      <c r="B404" s="3" t="s">
        <v>486</v>
      </c>
      <c r="C404" s="3" t="s">
        <v>107</v>
      </c>
      <c r="D404" s="3" t="s">
        <v>625</v>
      </c>
      <c r="E404" s="3" t="s">
        <v>95</v>
      </c>
      <c r="F404" s="6" t="s">
        <v>95</v>
      </c>
      <c r="G404" s="2" t="s">
        <v>54</v>
      </c>
      <c r="H404" s="2" t="s">
        <v>54</v>
      </c>
      <c r="I404" s="3" t="s">
        <v>53</v>
      </c>
      <c r="J404" s="44">
        <v>4</v>
      </c>
      <c r="K404" s="44" t="s">
        <v>54</v>
      </c>
      <c r="L404" s="44" t="s">
        <v>526</v>
      </c>
      <c r="M404" s="25"/>
      <c r="N404" s="16"/>
      <c r="O404" s="16"/>
      <c r="P404" s="16"/>
      <c r="Q404" s="16">
        <v>4</v>
      </c>
      <c r="R404" s="16" t="s">
        <v>388</v>
      </c>
      <c r="S404" s="2"/>
      <c r="T404" s="2"/>
      <c r="U404" s="2"/>
    </row>
    <row r="405" spans="1:22" s="72" customFormat="1" hidden="1">
      <c r="A405" s="2">
        <f t="shared" si="3"/>
        <v>23</v>
      </c>
      <c r="B405" s="3" t="s">
        <v>486</v>
      </c>
      <c r="C405" s="3" t="s">
        <v>107</v>
      </c>
      <c r="D405" s="3" t="s">
        <v>625</v>
      </c>
      <c r="E405" s="3" t="s">
        <v>540</v>
      </c>
      <c r="F405" s="6" t="s">
        <v>96</v>
      </c>
      <c r="G405" s="2" t="s">
        <v>54</v>
      </c>
      <c r="H405" s="2" t="s">
        <v>54</v>
      </c>
      <c r="I405" s="3" t="s">
        <v>53</v>
      </c>
      <c r="J405" s="44">
        <v>3</v>
      </c>
      <c r="K405" s="44" t="s">
        <v>54</v>
      </c>
      <c r="L405" s="44" t="s">
        <v>526</v>
      </c>
      <c r="M405" s="25"/>
      <c r="N405" s="16"/>
      <c r="O405" s="16"/>
      <c r="P405" s="16"/>
      <c r="Q405" s="16">
        <v>3</v>
      </c>
      <c r="R405" s="16" t="s">
        <v>389</v>
      </c>
      <c r="S405" s="2"/>
      <c r="T405" s="2"/>
      <c r="U405" s="2"/>
    </row>
    <row r="406" spans="1:22" s="72" customFormat="1" hidden="1">
      <c r="A406" s="2">
        <f t="shared" si="3"/>
        <v>24</v>
      </c>
      <c r="B406" s="3" t="s">
        <v>486</v>
      </c>
      <c r="C406" s="3" t="s">
        <v>107</v>
      </c>
      <c r="D406" s="3" t="s">
        <v>625</v>
      </c>
      <c r="E406" s="3" t="s">
        <v>97</v>
      </c>
      <c r="F406" s="6" t="s">
        <v>97</v>
      </c>
      <c r="G406" s="2" t="s">
        <v>54</v>
      </c>
      <c r="H406" s="2" t="s">
        <v>54</v>
      </c>
      <c r="I406" s="3" t="s">
        <v>53</v>
      </c>
      <c r="J406" s="44">
        <v>3</v>
      </c>
      <c r="K406" s="44" t="s">
        <v>54</v>
      </c>
      <c r="L406" s="44" t="s">
        <v>526</v>
      </c>
      <c r="M406" s="25"/>
      <c r="N406" s="16"/>
      <c r="O406" s="16"/>
      <c r="P406" s="16"/>
      <c r="Q406" s="16">
        <v>3</v>
      </c>
      <c r="R406" s="16" t="s">
        <v>390</v>
      </c>
      <c r="S406" s="2"/>
      <c r="T406" s="2"/>
      <c r="U406" s="2"/>
    </row>
    <row r="407" spans="1:22" s="72" customFormat="1" hidden="1">
      <c r="A407" s="2">
        <f t="shared" si="3"/>
        <v>25</v>
      </c>
      <c r="B407" s="3" t="s">
        <v>486</v>
      </c>
      <c r="C407" s="3" t="s">
        <v>107</v>
      </c>
      <c r="D407" s="3" t="s">
        <v>625</v>
      </c>
      <c r="E407" s="3" t="s">
        <v>98</v>
      </c>
      <c r="F407" s="6" t="s">
        <v>98</v>
      </c>
      <c r="G407" s="2" t="s">
        <v>54</v>
      </c>
      <c r="H407" s="2" t="s">
        <v>54</v>
      </c>
      <c r="I407" s="3" t="s">
        <v>53</v>
      </c>
      <c r="J407" s="44">
        <v>3</v>
      </c>
      <c r="K407" s="44" t="s">
        <v>54</v>
      </c>
      <c r="L407" s="44" t="s">
        <v>526</v>
      </c>
      <c r="M407" s="25"/>
      <c r="N407" s="16"/>
      <c r="O407" s="16"/>
      <c r="P407" s="16"/>
      <c r="Q407" s="16">
        <v>3</v>
      </c>
      <c r="R407" s="16" t="s">
        <v>391</v>
      </c>
      <c r="S407" s="2"/>
      <c r="T407" s="2"/>
      <c r="U407" s="2"/>
    </row>
    <row r="408" spans="1:22" s="72" customFormat="1" hidden="1">
      <c r="A408" s="2">
        <f t="shared" si="3"/>
        <v>26</v>
      </c>
      <c r="B408" s="3" t="s">
        <v>486</v>
      </c>
      <c r="C408" s="3" t="s">
        <v>107</v>
      </c>
      <c r="D408" s="3" t="s">
        <v>625</v>
      </c>
      <c r="E408" s="3" t="s">
        <v>72</v>
      </c>
      <c r="F408" s="6" t="s">
        <v>72</v>
      </c>
      <c r="G408" s="2" t="s">
        <v>54</v>
      </c>
      <c r="H408" s="2" t="s">
        <v>52</v>
      </c>
      <c r="I408" s="3" t="s">
        <v>73</v>
      </c>
      <c r="J408" s="44" t="s">
        <v>54</v>
      </c>
      <c r="K408" s="44" t="s">
        <v>54</v>
      </c>
      <c r="L408" s="44" t="s">
        <v>526</v>
      </c>
      <c r="M408" s="25"/>
      <c r="N408" s="16"/>
      <c r="O408" s="16"/>
      <c r="P408" s="16"/>
      <c r="Q408" s="16"/>
      <c r="R408" s="16" t="s">
        <v>679</v>
      </c>
      <c r="S408" s="2"/>
      <c r="T408" s="2"/>
      <c r="U408" s="2"/>
    </row>
    <row r="409" spans="1:22" s="72" customFormat="1" hidden="1">
      <c r="A409" s="2">
        <f t="shared" si="3"/>
        <v>27</v>
      </c>
      <c r="B409" s="3" t="s">
        <v>486</v>
      </c>
      <c r="C409" s="3" t="s">
        <v>107</v>
      </c>
      <c r="D409" s="3" t="s">
        <v>625</v>
      </c>
      <c r="E409" s="3" t="s">
        <v>74</v>
      </c>
      <c r="F409" s="6" t="s">
        <v>74</v>
      </c>
      <c r="G409" s="2" t="s">
        <v>54</v>
      </c>
      <c r="H409" s="2" t="s">
        <v>52</v>
      </c>
      <c r="I409" s="3" t="s">
        <v>53</v>
      </c>
      <c r="J409" s="44">
        <v>12</v>
      </c>
      <c r="K409" s="44" t="s">
        <v>54</v>
      </c>
      <c r="L409" s="44" t="s">
        <v>526</v>
      </c>
      <c r="M409" s="25"/>
      <c r="N409" s="16"/>
      <c r="O409" s="16"/>
      <c r="P409" s="16"/>
      <c r="Q409" s="16"/>
      <c r="R409" s="16" t="s">
        <v>679</v>
      </c>
      <c r="S409" s="2"/>
      <c r="T409" s="2"/>
      <c r="U409" s="2"/>
    </row>
    <row r="410" spans="1:22" s="72" customFormat="1" hidden="1">
      <c r="A410" s="2">
        <f t="shared" si="3"/>
        <v>28</v>
      </c>
      <c r="B410" s="3" t="s">
        <v>486</v>
      </c>
      <c r="C410" s="3" t="s">
        <v>107</v>
      </c>
      <c r="D410" s="3" t="s">
        <v>625</v>
      </c>
      <c r="E410" s="3" t="s">
        <v>75</v>
      </c>
      <c r="F410" s="6" t="s">
        <v>75</v>
      </c>
      <c r="G410" s="2" t="s">
        <v>54</v>
      </c>
      <c r="H410" s="2" t="s">
        <v>52</v>
      </c>
      <c r="I410" s="3" t="s">
        <v>53</v>
      </c>
      <c r="J410" s="44">
        <v>20</v>
      </c>
      <c r="K410" s="44" t="s">
        <v>54</v>
      </c>
      <c r="L410" s="44" t="s">
        <v>526</v>
      </c>
      <c r="M410" s="25"/>
      <c r="N410" s="16"/>
      <c r="O410" s="16"/>
      <c r="P410" s="16"/>
      <c r="Q410" s="16"/>
      <c r="R410" s="16" t="s">
        <v>679</v>
      </c>
      <c r="S410" s="2"/>
      <c r="T410" s="2"/>
      <c r="U410" s="2"/>
    </row>
    <row r="411" spans="1:22" s="72" customFormat="1" hidden="1">
      <c r="A411" s="2">
        <f t="shared" si="3"/>
        <v>1</v>
      </c>
      <c r="B411" s="3" t="s">
        <v>486</v>
      </c>
      <c r="C411" s="3" t="s">
        <v>1666</v>
      </c>
      <c r="D411" s="3" t="s">
        <v>626</v>
      </c>
      <c r="E411" s="3" t="s">
        <v>50</v>
      </c>
      <c r="F411" s="6" t="s">
        <v>50</v>
      </c>
      <c r="G411" s="2" t="s">
        <v>51</v>
      </c>
      <c r="H411" s="2" t="s">
        <v>52</v>
      </c>
      <c r="I411" s="3" t="s">
        <v>53</v>
      </c>
      <c r="J411" s="44">
        <v>14</v>
      </c>
      <c r="K411" s="44" t="s">
        <v>54</v>
      </c>
      <c r="L411" s="44" t="s">
        <v>526</v>
      </c>
      <c r="M411" s="25"/>
      <c r="N411" s="16"/>
      <c r="O411" s="16"/>
      <c r="P411" s="16"/>
      <c r="Q411" s="16"/>
      <c r="R411" s="16"/>
      <c r="S411" s="2"/>
      <c r="T411" s="2"/>
      <c r="U411" s="2"/>
    </row>
    <row r="412" spans="1:22" s="72" customFormat="1" hidden="1">
      <c r="A412" s="2">
        <f t="shared" si="3"/>
        <v>2</v>
      </c>
      <c r="B412" s="3" t="s">
        <v>486</v>
      </c>
      <c r="C412" s="3" t="s">
        <v>49</v>
      </c>
      <c r="D412" s="3" t="s">
        <v>626</v>
      </c>
      <c r="E412" s="3" t="s">
        <v>55</v>
      </c>
      <c r="F412" s="6" t="s">
        <v>1593</v>
      </c>
      <c r="G412" s="2" t="s">
        <v>51</v>
      </c>
      <c r="H412" s="2" t="s">
        <v>52</v>
      </c>
      <c r="I412" s="3" t="s">
        <v>53</v>
      </c>
      <c r="J412" s="44">
        <v>8</v>
      </c>
      <c r="K412" s="44" t="s">
        <v>54</v>
      </c>
      <c r="L412" s="44" t="s">
        <v>504</v>
      </c>
      <c r="M412" s="25" t="s">
        <v>501</v>
      </c>
      <c r="N412" s="16"/>
      <c r="O412" s="16"/>
      <c r="P412" s="16"/>
      <c r="Q412" s="16"/>
      <c r="R412" s="16"/>
      <c r="S412" s="2"/>
      <c r="T412" s="2"/>
      <c r="U412" s="2"/>
    </row>
    <row r="413" spans="1:22" hidden="1">
      <c r="A413" s="2">
        <f t="shared" si="3"/>
        <v>3</v>
      </c>
      <c r="B413" s="3" t="s">
        <v>486</v>
      </c>
      <c r="C413" s="3" t="s">
        <v>49</v>
      </c>
      <c r="D413" s="3" t="s">
        <v>626</v>
      </c>
      <c r="E413" s="3" t="s">
        <v>56</v>
      </c>
      <c r="F413" s="6" t="s">
        <v>1595</v>
      </c>
      <c r="G413" s="2" t="s">
        <v>51</v>
      </c>
      <c r="H413" s="2" t="s">
        <v>52</v>
      </c>
      <c r="I413" s="3" t="s">
        <v>53</v>
      </c>
      <c r="J413" s="44">
        <v>6</v>
      </c>
      <c r="K413" s="44" t="s">
        <v>54</v>
      </c>
      <c r="L413" s="44" t="s">
        <v>505</v>
      </c>
      <c r="M413" s="25" t="s">
        <v>506</v>
      </c>
      <c r="N413" s="16"/>
      <c r="O413" s="16"/>
      <c r="P413" s="16"/>
      <c r="Q413" s="16"/>
      <c r="R413" s="16"/>
      <c r="S413" s="2"/>
      <c r="T413" s="2"/>
      <c r="U413" s="2"/>
      <c r="V413" s="72"/>
    </row>
    <row r="414" spans="1:22" hidden="1">
      <c r="A414" s="2">
        <f t="shared" si="3"/>
        <v>4</v>
      </c>
      <c r="B414" s="3" t="s">
        <v>486</v>
      </c>
      <c r="C414" s="3" t="s">
        <v>49</v>
      </c>
      <c r="D414" s="3" t="s">
        <v>626</v>
      </c>
      <c r="E414" s="3" t="s">
        <v>370</v>
      </c>
      <c r="F414" s="6" t="str">
        <f>MID(D414,5,LEN(D414)-6)&amp;"일련번호"</f>
        <v>NICE신용요약정보상세일련번호</v>
      </c>
      <c r="G414" s="2" t="s">
        <v>51</v>
      </c>
      <c r="H414" s="2" t="s">
        <v>52</v>
      </c>
      <c r="I414" s="3" t="s">
        <v>68</v>
      </c>
      <c r="J414" s="44">
        <v>3</v>
      </c>
      <c r="K414" s="44" t="s">
        <v>54</v>
      </c>
      <c r="L414" s="44" t="s">
        <v>504</v>
      </c>
      <c r="M414" s="25" t="s">
        <v>501</v>
      </c>
      <c r="N414" s="16"/>
      <c r="O414" s="16"/>
      <c r="P414" s="16"/>
      <c r="Q414" s="16"/>
      <c r="R414" s="16"/>
      <c r="S414" s="2"/>
      <c r="T414" s="2"/>
      <c r="U414" s="2"/>
      <c r="V414" s="72"/>
    </row>
    <row r="415" spans="1:22" hidden="1">
      <c r="A415" s="2">
        <f t="shared" si="3"/>
        <v>5</v>
      </c>
      <c r="B415" s="3" t="s">
        <v>486</v>
      </c>
      <c r="C415" s="3" t="s">
        <v>49</v>
      </c>
      <c r="D415" s="3" t="s">
        <v>626</v>
      </c>
      <c r="E415" s="3" t="s">
        <v>81</v>
      </c>
      <c r="F415" s="6" t="s">
        <v>1649</v>
      </c>
      <c r="G415" s="2" t="s">
        <v>54</v>
      </c>
      <c r="H415" s="2" t="s">
        <v>54</v>
      </c>
      <c r="I415" s="3" t="s">
        <v>53</v>
      </c>
      <c r="J415" s="44">
        <v>2</v>
      </c>
      <c r="K415" s="44" t="s">
        <v>54</v>
      </c>
      <c r="L415" s="44" t="s">
        <v>526</v>
      </c>
      <c r="M415" s="25"/>
      <c r="N415" s="16"/>
      <c r="O415" s="16"/>
      <c r="P415" s="16"/>
      <c r="Q415" s="16">
        <v>2</v>
      </c>
      <c r="R415" s="16" t="s">
        <v>392</v>
      </c>
      <c r="S415" s="2"/>
      <c r="T415" s="2"/>
      <c r="U415" s="2"/>
      <c r="V415" s="72"/>
    </row>
    <row r="416" spans="1:22" hidden="1">
      <c r="A416" s="2">
        <f t="shared" si="3"/>
        <v>6</v>
      </c>
      <c r="B416" s="3" t="s">
        <v>486</v>
      </c>
      <c r="C416" s="3" t="s">
        <v>49</v>
      </c>
      <c r="D416" s="3" t="s">
        <v>626</v>
      </c>
      <c r="E416" s="3" t="s">
        <v>1575</v>
      </c>
      <c r="F416" s="6" t="s">
        <v>1650</v>
      </c>
      <c r="G416" s="2" t="s">
        <v>54</v>
      </c>
      <c r="H416" s="2" t="s">
        <v>54</v>
      </c>
      <c r="I416" s="3" t="s">
        <v>53</v>
      </c>
      <c r="J416" s="44">
        <v>9</v>
      </c>
      <c r="K416" s="44" t="s">
        <v>54</v>
      </c>
      <c r="L416" s="44" t="s">
        <v>526</v>
      </c>
      <c r="M416" s="25"/>
      <c r="N416" s="16"/>
      <c r="O416" s="16"/>
      <c r="P416" s="16"/>
      <c r="Q416" s="16">
        <v>9</v>
      </c>
      <c r="R416" s="16" t="s">
        <v>397</v>
      </c>
      <c r="S416" s="2"/>
      <c r="T416" s="2"/>
      <c r="U416" s="2"/>
      <c r="V416" s="72"/>
    </row>
    <row r="417" spans="1:22" hidden="1">
      <c r="A417" s="2">
        <f t="shared" si="3"/>
        <v>7</v>
      </c>
      <c r="B417" s="3" t="s">
        <v>486</v>
      </c>
      <c r="C417" s="3" t="s">
        <v>49</v>
      </c>
      <c r="D417" s="3" t="s">
        <v>626</v>
      </c>
      <c r="E417" s="3" t="s">
        <v>82</v>
      </c>
      <c r="F417" s="6" t="s">
        <v>1651</v>
      </c>
      <c r="G417" s="2" t="s">
        <v>54</v>
      </c>
      <c r="H417" s="2" t="s">
        <v>54</v>
      </c>
      <c r="I417" s="3" t="s">
        <v>53</v>
      </c>
      <c r="J417" s="44">
        <v>20</v>
      </c>
      <c r="K417" s="44" t="s">
        <v>54</v>
      </c>
      <c r="L417" s="44" t="s">
        <v>504</v>
      </c>
      <c r="M417" s="25" t="s">
        <v>615</v>
      </c>
      <c r="N417" s="16"/>
      <c r="O417" s="16"/>
      <c r="P417" s="16"/>
      <c r="Q417" s="16">
        <v>20</v>
      </c>
      <c r="R417" s="16" t="s">
        <v>396</v>
      </c>
      <c r="S417" s="2"/>
      <c r="T417" s="2"/>
      <c r="U417" s="2"/>
      <c r="V417" s="84"/>
    </row>
    <row r="418" spans="1:22" hidden="1">
      <c r="A418" s="2">
        <f t="shared" si="3"/>
        <v>8</v>
      </c>
      <c r="B418" s="3" t="s">
        <v>486</v>
      </c>
      <c r="C418" s="3" t="s">
        <v>49</v>
      </c>
      <c r="D418" s="3" t="s">
        <v>626</v>
      </c>
      <c r="E418" s="3" t="s">
        <v>72</v>
      </c>
      <c r="F418" s="6" t="s">
        <v>72</v>
      </c>
      <c r="G418" s="2" t="s">
        <v>54</v>
      </c>
      <c r="H418" s="2" t="s">
        <v>52</v>
      </c>
      <c r="I418" s="3" t="s">
        <v>73</v>
      </c>
      <c r="J418" s="44" t="s">
        <v>54</v>
      </c>
      <c r="K418" s="44" t="s">
        <v>54</v>
      </c>
      <c r="L418" s="44" t="s">
        <v>526</v>
      </c>
      <c r="M418" s="25"/>
      <c r="N418" s="16"/>
      <c r="O418" s="16"/>
      <c r="P418" s="16"/>
      <c r="Q418" s="16"/>
      <c r="R418" s="16" t="s">
        <v>679</v>
      </c>
      <c r="S418" s="2"/>
      <c r="T418" s="2"/>
      <c r="U418" s="2"/>
      <c r="V418" s="72"/>
    </row>
    <row r="419" spans="1:22" hidden="1">
      <c r="A419" s="2">
        <f t="shared" si="3"/>
        <v>9</v>
      </c>
      <c r="B419" s="3" t="s">
        <v>486</v>
      </c>
      <c r="C419" s="3" t="s">
        <v>49</v>
      </c>
      <c r="D419" s="3" t="s">
        <v>626</v>
      </c>
      <c r="E419" s="3" t="s">
        <v>74</v>
      </c>
      <c r="F419" s="6" t="s">
        <v>74</v>
      </c>
      <c r="G419" s="2" t="s">
        <v>54</v>
      </c>
      <c r="H419" s="2" t="s">
        <v>52</v>
      </c>
      <c r="I419" s="3" t="s">
        <v>53</v>
      </c>
      <c r="J419" s="44">
        <v>12</v>
      </c>
      <c r="K419" s="44" t="s">
        <v>54</v>
      </c>
      <c r="L419" s="44" t="s">
        <v>526</v>
      </c>
      <c r="M419" s="25"/>
      <c r="N419" s="16"/>
      <c r="O419" s="16"/>
      <c r="P419" s="16"/>
      <c r="Q419" s="16"/>
      <c r="R419" s="16" t="s">
        <v>679</v>
      </c>
      <c r="S419" s="2"/>
      <c r="T419" s="2"/>
      <c r="U419" s="2"/>
      <c r="V419" s="72"/>
    </row>
    <row r="420" spans="1:22" hidden="1">
      <c r="A420" s="2">
        <f t="shared" si="3"/>
        <v>10</v>
      </c>
      <c r="B420" s="3" t="s">
        <v>486</v>
      </c>
      <c r="C420" s="3" t="s">
        <v>49</v>
      </c>
      <c r="D420" s="3" t="s">
        <v>626</v>
      </c>
      <c r="E420" s="3" t="s">
        <v>75</v>
      </c>
      <c r="F420" s="6" t="s">
        <v>75</v>
      </c>
      <c r="G420" s="2" t="s">
        <v>54</v>
      </c>
      <c r="H420" s="2" t="s">
        <v>52</v>
      </c>
      <c r="I420" s="3" t="s">
        <v>53</v>
      </c>
      <c r="J420" s="44">
        <v>20</v>
      </c>
      <c r="K420" s="44" t="s">
        <v>54</v>
      </c>
      <c r="L420" s="44" t="s">
        <v>526</v>
      </c>
      <c r="M420" s="25"/>
      <c r="N420" s="16"/>
      <c r="O420" s="16"/>
      <c r="P420" s="16"/>
      <c r="Q420" s="16"/>
      <c r="R420" s="16" t="s">
        <v>679</v>
      </c>
      <c r="S420" s="2"/>
      <c r="T420" s="2"/>
      <c r="U420" s="2"/>
      <c r="V420" s="72"/>
    </row>
    <row r="421" spans="1:22" hidden="1">
      <c r="A421" s="2">
        <f t="shared" si="3"/>
        <v>1</v>
      </c>
      <c r="B421" s="3" t="s">
        <v>486</v>
      </c>
      <c r="C421" s="3" t="s">
        <v>1667</v>
      </c>
      <c r="D421" s="3" t="s">
        <v>627</v>
      </c>
      <c r="E421" s="3" t="s">
        <v>50</v>
      </c>
      <c r="F421" s="6" t="s">
        <v>50</v>
      </c>
      <c r="G421" s="2" t="s">
        <v>51</v>
      </c>
      <c r="H421" s="2" t="s">
        <v>52</v>
      </c>
      <c r="I421" s="3" t="s">
        <v>53</v>
      </c>
      <c r="J421" s="44">
        <v>14</v>
      </c>
      <c r="K421" s="44" t="s">
        <v>54</v>
      </c>
      <c r="L421" s="44" t="s">
        <v>526</v>
      </c>
      <c r="M421" s="25"/>
      <c r="N421" s="16"/>
      <c r="O421" s="16"/>
      <c r="P421" s="16"/>
      <c r="Q421" s="16"/>
      <c r="R421" s="16"/>
      <c r="S421" s="2"/>
      <c r="T421" s="2"/>
      <c r="U421" s="2"/>
      <c r="V421" s="72"/>
    </row>
    <row r="422" spans="1:22" hidden="1">
      <c r="A422" s="2">
        <f t="shared" si="3"/>
        <v>2</v>
      </c>
      <c r="B422" s="3" t="s">
        <v>486</v>
      </c>
      <c r="C422" s="3" t="s">
        <v>76</v>
      </c>
      <c r="D422" s="3" t="s">
        <v>627</v>
      </c>
      <c r="E422" s="3" t="s">
        <v>55</v>
      </c>
      <c r="F422" s="6" t="s">
        <v>1593</v>
      </c>
      <c r="G422" s="2" t="s">
        <v>51</v>
      </c>
      <c r="H422" s="2" t="s">
        <v>52</v>
      </c>
      <c r="I422" s="3" t="s">
        <v>53</v>
      </c>
      <c r="J422" s="44">
        <v>8</v>
      </c>
      <c r="K422" s="44" t="s">
        <v>54</v>
      </c>
      <c r="L422" s="44" t="s">
        <v>504</v>
      </c>
      <c r="M422" s="25" t="s">
        <v>501</v>
      </c>
      <c r="N422" s="16"/>
      <c r="O422" s="16"/>
      <c r="P422" s="16"/>
      <c r="Q422" s="16"/>
      <c r="R422" s="16"/>
      <c r="S422" s="2"/>
      <c r="T422" s="2"/>
      <c r="U422" s="2"/>
      <c r="V422" s="84"/>
    </row>
    <row r="423" spans="1:22" hidden="1">
      <c r="A423" s="2">
        <f t="shared" si="3"/>
        <v>3</v>
      </c>
      <c r="B423" s="3" t="s">
        <v>486</v>
      </c>
      <c r="C423" s="3" t="s">
        <v>76</v>
      </c>
      <c r="D423" s="3" t="s">
        <v>627</v>
      </c>
      <c r="E423" s="3" t="s">
        <v>56</v>
      </c>
      <c r="F423" s="6" t="s">
        <v>1595</v>
      </c>
      <c r="G423" s="2" t="s">
        <v>51</v>
      </c>
      <c r="H423" s="2" t="s">
        <v>52</v>
      </c>
      <c r="I423" s="3" t="s">
        <v>53</v>
      </c>
      <c r="J423" s="44">
        <v>6</v>
      </c>
      <c r="K423" s="44" t="s">
        <v>54</v>
      </c>
      <c r="L423" s="44" t="s">
        <v>505</v>
      </c>
      <c r="M423" s="25" t="s">
        <v>506</v>
      </c>
      <c r="N423" s="16"/>
      <c r="O423" s="16"/>
      <c r="P423" s="16"/>
      <c r="Q423" s="16"/>
      <c r="R423" s="16"/>
      <c r="S423" s="2"/>
      <c r="T423" s="2"/>
      <c r="U423" s="2"/>
      <c r="V423" s="72"/>
    </row>
    <row r="424" spans="1:22" hidden="1">
      <c r="A424" s="2">
        <f t="shared" si="3"/>
        <v>4</v>
      </c>
      <c r="B424" s="3" t="s">
        <v>486</v>
      </c>
      <c r="C424" s="3" t="s">
        <v>76</v>
      </c>
      <c r="D424" s="3" t="s">
        <v>627</v>
      </c>
      <c r="E424" s="3" t="s">
        <v>369</v>
      </c>
      <c r="F424" s="6" t="s">
        <v>621</v>
      </c>
      <c r="G424" s="2" t="s">
        <v>51</v>
      </c>
      <c r="H424" s="2" t="s">
        <v>52</v>
      </c>
      <c r="I424" s="3" t="s">
        <v>68</v>
      </c>
      <c r="J424" s="44">
        <v>3</v>
      </c>
      <c r="K424" s="44" t="s">
        <v>54</v>
      </c>
      <c r="L424" s="44" t="s">
        <v>504</v>
      </c>
      <c r="M424" s="25" t="s">
        <v>506</v>
      </c>
      <c r="N424" s="16"/>
      <c r="O424" s="16"/>
      <c r="P424" s="16"/>
      <c r="Q424" s="16"/>
      <c r="R424" s="16"/>
      <c r="S424" s="2"/>
      <c r="T424" s="2"/>
      <c r="U424" s="2"/>
      <c r="V424" s="72"/>
    </row>
    <row r="425" spans="1:22" hidden="1">
      <c r="A425" s="2">
        <f t="shared" si="3"/>
        <v>5</v>
      </c>
      <c r="B425" s="3" t="s">
        <v>486</v>
      </c>
      <c r="C425" s="3" t="s">
        <v>76</v>
      </c>
      <c r="D425" s="3" t="s">
        <v>627</v>
      </c>
      <c r="E425" s="3" t="s">
        <v>78</v>
      </c>
      <c r="F425" s="6" t="s">
        <v>1652</v>
      </c>
      <c r="G425" s="2" t="s">
        <v>54</v>
      </c>
      <c r="H425" s="2" t="s">
        <v>54</v>
      </c>
      <c r="I425" s="3" t="s">
        <v>53</v>
      </c>
      <c r="J425" s="44">
        <v>2</v>
      </c>
      <c r="K425" s="44"/>
      <c r="L425" s="44" t="s">
        <v>526</v>
      </c>
      <c r="M425" s="25"/>
      <c r="N425" s="16"/>
      <c r="O425" s="16"/>
      <c r="P425" s="16"/>
      <c r="Q425" s="16">
        <v>2</v>
      </c>
      <c r="R425" s="16" t="s">
        <v>393</v>
      </c>
      <c r="S425" s="2"/>
      <c r="T425" s="2"/>
      <c r="U425" s="2"/>
      <c r="V425" s="72"/>
    </row>
    <row r="426" spans="1:22" hidden="1">
      <c r="A426" s="2">
        <f t="shared" si="3"/>
        <v>6</v>
      </c>
      <c r="B426" s="3" t="s">
        <v>486</v>
      </c>
      <c r="C426" s="3" t="s">
        <v>76</v>
      </c>
      <c r="D426" s="3" t="s">
        <v>627</v>
      </c>
      <c r="E426" s="3" t="s">
        <v>79</v>
      </c>
      <c r="F426" s="6" t="s">
        <v>79</v>
      </c>
      <c r="G426" s="2" t="s">
        <v>54</v>
      </c>
      <c r="H426" s="2" t="s">
        <v>54</v>
      </c>
      <c r="I426" s="3" t="s">
        <v>53</v>
      </c>
      <c r="J426" s="44">
        <v>9</v>
      </c>
      <c r="K426" s="44"/>
      <c r="L426" s="44" t="s">
        <v>526</v>
      </c>
      <c r="M426" s="25"/>
      <c r="N426" s="16"/>
      <c r="O426" s="16"/>
      <c r="P426" s="16"/>
      <c r="Q426" s="16">
        <v>9</v>
      </c>
      <c r="R426" s="16" t="s">
        <v>395</v>
      </c>
      <c r="S426" s="2"/>
      <c r="T426" s="2"/>
      <c r="U426" s="2"/>
      <c r="V426" s="72"/>
    </row>
    <row r="427" spans="1:22" hidden="1">
      <c r="A427" s="2">
        <f t="shared" si="3"/>
        <v>7</v>
      </c>
      <c r="B427" s="3" t="s">
        <v>486</v>
      </c>
      <c r="C427" s="3" t="s">
        <v>76</v>
      </c>
      <c r="D427" s="3" t="s">
        <v>627</v>
      </c>
      <c r="E427" s="3" t="s">
        <v>80</v>
      </c>
      <c r="F427" s="6" t="s">
        <v>80</v>
      </c>
      <c r="G427" s="2" t="s">
        <v>54</v>
      </c>
      <c r="H427" s="2" t="s">
        <v>54</v>
      </c>
      <c r="I427" s="3" t="s">
        <v>53</v>
      </c>
      <c r="J427" s="44">
        <v>9</v>
      </c>
      <c r="K427" s="44"/>
      <c r="L427" s="44" t="s">
        <v>526</v>
      </c>
      <c r="M427" s="25"/>
      <c r="N427" s="16"/>
      <c r="O427" s="16"/>
      <c r="P427" s="16"/>
      <c r="Q427" s="16">
        <v>9</v>
      </c>
      <c r="R427" s="16" t="s">
        <v>394</v>
      </c>
      <c r="S427" s="2"/>
      <c r="T427" s="2"/>
      <c r="U427" s="2"/>
      <c r="V427" s="72"/>
    </row>
    <row r="428" spans="1:22" hidden="1">
      <c r="A428" s="2">
        <f t="shared" si="3"/>
        <v>8</v>
      </c>
      <c r="B428" s="3" t="s">
        <v>486</v>
      </c>
      <c r="C428" s="3" t="s">
        <v>76</v>
      </c>
      <c r="D428" s="3" t="s">
        <v>627</v>
      </c>
      <c r="E428" s="3" t="s">
        <v>72</v>
      </c>
      <c r="F428" s="6" t="s">
        <v>72</v>
      </c>
      <c r="G428" s="2" t="s">
        <v>54</v>
      </c>
      <c r="H428" s="2" t="s">
        <v>52</v>
      </c>
      <c r="I428" s="3" t="s">
        <v>73</v>
      </c>
      <c r="J428" s="44" t="s">
        <v>54</v>
      </c>
      <c r="K428" s="44"/>
      <c r="L428" s="44" t="s">
        <v>526</v>
      </c>
      <c r="M428" s="25"/>
      <c r="N428" s="16"/>
      <c r="O428" s="16"/>
      <c r="P428" s="16"/>
      <c r="Q428" s="16"/>
      <c r="R428" s="16" t="s">
        <v>679</v>
      </c>
      <c r="S428" s="2"/>
      <c r="T428" s="2"/>
      <c r="U428" s="2"/>
      <c r="V428" s="72"/>
    </row>
    <row r="429" spans="1:22" hidden="1">
      <c r="A429" s="2">
        <f t="shared" si="3"/>
        <v>9</v>
      </c>
      <c r="B429" s="3" t="s">
        <v>486</v>
      </c>
      <c r="C429" s="3" t="s">
        <v>76</v>
      </c>
      <c r="D429" s="3" t="s">
        <v>627</v>
      </c>
      <c r="E429" s="3" t="s">
        <v>74</v>
      </c>
      <c r="F429" s="6" t="s">
        <v>74</v>
      </c>
      <c r="G429" s="2" t="s">
        <v>54</v>
      </c>
      <c r="H429" s="2" t="s">
        <v>52</v>
      </c>
      <c r="I429" s="3" t="s">
        <v>53</v>
      </c>
      <c r="J429" s="44">
        <v>12</v>
      </c>
      <c r="K429" s="44"/>
      <c r="L429" s="44" t="s">
        <v>526</v>
      </c>
      <c r="M429" s="25"/>
      <c r="N429" s="16"/>
      <c r="O429" s="16"/>
      <c r="P429" s="16"/>
      <c r="Q429" s="16"/>
      <c r="R429" s="16" t="s">
        <v>679</v>
      </c>
      <c r="S429" s="2"/>
      <c r="T429" s="2"/>
      <c r="U429" s="2"/>
      <c r="V429" s="72"/>
    </row>
    <row r="430" spans="1:22" hidden="1">
      <c r="A430" s="2">
        <f t="shared" si="3"/>
        <v>10</v>
      </c>
      <c r="B430" s="3" t="s">
        <v>486</v>
      </c>
      <c r="C430" s="3" t="s">
        <v>76</v>
      </c>
      <c r="D430" s="3" t="s">
        <v>627</v>
      </c>
      <c r="E430" s="3" t="s">
        <v>75</v>
      </c>
      <c r="F430" s="6" t="s">
        <v>75</v>
      </c>
      <c r="G430" s="2" t="s">
        <v>54</v>
      </c>
      <c r="H430" s="2" t="s">
        <v>52</v>
      </c>
      <c r="I430" s="3" t="s">
        <v>53</v>
      </c>
      <c r="J430" s="44">
        <v>20</v>
      </c>
      <c r="K430" s="44"/>
      <c r="L430" s="44" t="s">
        <v>526</v>
      </c>
      <c r="M430" s="25"/>
      <c r="N430" s="16"/>
      <c r="O430" s="16"/>
      <c r="P430" s="16"/>
      <c r="Q430" s="16"/>
      <c r="R430" s="16" t="s">
        <v>679</v>
      </c>
      <c r="S430" s="2"/>
      <c r="T430" s="2"/>
      <c r="U430" s="2"/>
      <c r="V430" s="72"/>
    </row>
    <row r="431" spans="1:22" hidden="1">
      <c r="A431" s="2">
        <f t="shared" si="3"/>
        <v>1</v>
      </c>
      <c r="B431" s="3" t="s">
        <v>486</v>
      </c>
      <c r="C431" s="3" t="s">
        <v>1668</v>
      </c>
      <c r="D431" s="3" t="s">
        <v>628</v>
      </c>
      <c r="E431" s="3" t="s">
        <v>50</v>
      </c>
      <c r="F431" s="6" t="s">
        <v>50</v>
      </c>
      <c r="G431" s="2" t="s">
        <v>51</v>
      </c>
      <c r="H431" s="2" t="s">
        <v>52</v>
      </c>
      <c r="I431" s="3" t="s">
        <v>53</v>
      </c>
      <c r="J431" s="44">
        <v>14</v>
      </c>
      <c r="K431" s="44" t="s">
        <v>54</v>
      </c>
      <c r="L431" s="44" t="s">
        <v>526</v>
      </c>
      <c r="M431" s="25"/>
      <c r="N431" s="16"/>
      <c r="O431" s="16"/>
      <c r="P431" s="16"/>
      <c r="Q431" s="16"/>
      <c r="R431" s="16"/>
      <c r="S431" s="2"/>
      <c r="T431" s="2"/>
      <c r="U431" s="2"/>
      <c r="V431" s="72"/>
    </row>
    <row r="432" spans="1:22" hidden="1">
      <c r="A432" s="2">
        <f t="shared" si="3"/>
        <v>2</v>
      </c>
      <c r="B432" s="3" t="s">
        <v>486</v>
      </c>
      <c r="C432" s="3" t="s">
        <v>145</v>
      </c>
      <c r="D432" s="3" t="s">
        <v>628</v>
      </c>
      <c r="E432" s="3" t="s">
        <v>55</v>
      </c>
      <c r="F432" s="6" t="s">
        <v>1593</v>
      </c>
      <c r="G432" s="2" t="s">
        <v>51</v>
      </c>
      <c r="H432" s="2" t="s">
        <v>52</v>
      </c>
      <c r="I432" s="3" t="s">
        <v>53</v>
      </c>
      <c r="J432" s="44">
        <v>8</v>
      </c>
      <c r="K432" s="44" t="s">
        <v>54</v>
      </c>
      <c r="L432" s="44" t="s">
        <v>504</v>
      </c>
      <c r="M432" s="25" t="s">
        <v>501</v>
      </c>
      <c r="N432" s="16"/>
      <c r="O432" s="16"/>
      <c r="P432" s="16"/>
      <c r="Q432" s="16"/>
      <c r="R432" s="16"/>
      <c r="S432" s="2"/>
      <c r="T432" s="2"/>
      <c r="U432" s="2"/>
      <c r="V432" s="72"/>
    </row>
    <row r="433" spans="1:22" hidden="1">
      <c r="A433" s="2">
        <f t="shared" si="3"/>
        <v>3</v>
      </c>
      <c r="B433" s="3" t="s">
        <v>486</v>
      </c>
      <c r="C433" s="3" t="s">
        <v>145</v>
      </c>
      <c r="D433" s="3" t="s">
        <v>628</v>
      </c>
      <c r="E433" s="3" t="s">
        <v>56</v>
      </c>
      <c r="F433" s="6" t="s">
        <v>1595</v>
      </c>
      <c r="G433" s="2" t="s">
        <v>51</v>
      </c>
      <c r="H433" s="2" t="s">
        <v>52</v>
      </c>
      <c r="I433" s="3" t="s">
        <v>53</v>
      </c>
      <c r="J433" s="44">
        <v>6</v>
      </c>
      <c r="K433" s="44" t="s">
        <v>54</v>
      </c>
      <c r="L433" s="44" t="s">
        <v>505</v>
      </c>
      <c r="M433" s="25" t="s">
        <v>506</v>
      </c>
      <c r="N433" s="16"/>
      <c r="O433" s="16"/>
      <c r="P433" s="16"/>
      <c r="Q433" s="16"/>
      <c r="R433" s="16"/>
      <c r="S433" s="2"/>
      <c r="T433" s="2"/>
      <c r="U433" s="2"/>
      <c r="V433" s="72"/>
    </row>
    <row r="434" spans="1:22" hidden="1">
      <c r="A434" s="2">
        <f t="shared" si="3"/>
        <v>4</v>
      </c>
      <c r="B434" s="3" t="s">
        <v>486</v>
      </c>
      <c r="C434" s="3" t="s">
        <v>145</v>
      </c>
      <c r="D434" s="3" t="s">
        <v>628</v>
      </c>
      <c r="E434" s="3" t="s">
        <v>57</v>
      </c>
      <c r="F434" s="6" t="s">
        <v>57</v>
      </c>
      <c r="G434" s="2" t="s">
        <v>54</v>
      </c>
      <c r="H434" s="2" t="s">
        <v>54</v>
      </c>
      <c r="I434" s="3" t="s">
        <v>53</v>
      </c>
      <c r="J434" s="44">
        <v>10</v>
      </c>
      <c r="K434" s="44" t="s">
        <v>54</v>
      </c>
      <c r="L434" s="44" t="s">
        <v>548</v>
      </c>
      <c r="M434" s="25"/>
      <c r="N434" s="77"/>
      <c r="O434" s="16"/>
      <c r="P434" s="16"/>
      <c r="Q434" s="16"/>
      <c r="R434" s="16"/>
      <c r="S434" s="2"/>
      <c r="T434" s="2"/>
      <c r="U434" s="2"/>
      <c r="V434" s="72"/>
    </row>
    <row r="435" spans="1:22" hidden="1">
      <c r="A435" s="2">
        <f t="shared" si="3"/>
        <v>5</v>
      </c>
      <c r="B435" s="3" t="s">
        <v>486</v>
      </c>
      <c r="C435" s="3" t="s">
        <v>145</v>
      </c>
      <c r="D435" s="3" t="s">
        <v>628</v>
      </c>
      <c r="E435" s="3" t="s">
        <v>58</v>
      </c>
      <c r="F435" s="6" t="s">
        <v>58</v>
      </c>
      <c r="G435" s="2" t="s">
        <v>54</v>
      </c>
      <c r="H435" s="2" t="s">
        <v>54</v>
      </c>
      <c r="I435" s="3" t="s">
        <v>53</v>
      </c>
      <c r="J435" s="44">
        <v>4</v>
      </c>
      <c r="K435" s="44" t="s">
        <v>54</v>
      </c>
      <c r="L435" s="44" t="s">
        <v>548</v>
      </c>
      <c r="M435" s="25"/>
      <c r="N435" s="77"/>
      <c r="O435" s="16"/>
      <c r="P435" s="16"/>
      <c r="Q435" s="16">
        <v>4</v>
      </c>
      <c r="R435" s="78" t="s">
        <v>410</v>
      </c>
      <c r="S435" s="2"/>
      <c r="T435" s="2"/>
      <c r="U435" s="2"/>
      <c r="V435" s="72"/>
    </row>
    <row r="436" spans="1:22" hidden="1">
      <c r="A436" s="2">
        <f t="shared" si="3"/>
        <v>6</v>
      </c>
      <c r="B436" s="3" t="s">
        <v>486</v>
      </c>
      <c r="C436" s="3" t="s">
        <v>145</v>
      </c>
      <c r="D436" s="3" t="s">
        <v>628</v>
      </c>
      <c r="E436" s="3" t="s">
        <v>59</v>
      </c>
      <c r="F436" s="6" t="s">
        <v>59</v>
      </c>
      <c r="G436" s="2" t="s">
        <v>54</v>
      </c>
      <c r="H436" s="2" t="s">
        <v>54</v>
      </c>
      <c r="I436" s="3" t="s">
        <v>53</v>
      </c>
      <c r="J436" s="44">
        <v>10</v>
      </c>
      <c r="K436" s="44" t="s">
        <v>54</v>
      </c>
      <c r="L436" s="44" t="s">
        <v>548</v>
      </c>
      <c r="M436" s="25"/>
      <c r="N436" s="77"/>
      <c r="O436" s="16"/>
      <c r="P436" s="16"/>
      <c r="Q436" s="16">
        <v>10</v>
      </c>
      <c r="R436" s="78" t="s">
        <v>409</v>
      </c>
      <c r="S436" s="2"/>
      <c r="T436" s="2"/>
      <c r="U436" s="2"/>
      <c r="V436" s="72"/>
    </row>
    <row r="437" spans="1:22" hidden="1">
      <c r="A437" s="2">
        <f t="shared" si="3"/>
        <v>7</v>
      </c>
      <c r="B437" s="3" t="s">
        <v>486</v>
      </c>
      <c r="C437" s="3" t="s">
        <v>145</v>
      </c>
      <c r="D437" s="3" t="s">
        <v>628</v>
      </c>
      <c r="E437" s="3" t="s">
        <v>60</v>
      </c>
      <c r="F437" s="6" t="s">
        <v>60</v>
      </c>
      <c r="G437" s="2" t="s">
        <v>54</v>
      </c>
      <c r="H437" s="2" t="s">
        <v>54</v>
      </c>
      <c r="I437" s="3" t="s">
        <v>53</v>
      </c>
      <c r="J437" s="44">
        <v>14</v>
      </c>
      <c r="K437" s="44" t="s">
        <v>54</v>
      </c>
      <c r="L437" s="44" t="s">
        <v>548</v>
      </c>
      <c r="M437" s="25"/>
      <c r="N437" s="77"/>
      <c r="O437" s="16"/>
      <c r="P437" s="16"/>
      <c r="Q437" s="16">
        <v>14</v>
      </c>
      <c r="R437" s="78" t="s">
        <v>411</v>
      </c>
      <c r="S437" s="2"/>
      <c r="T437" s="2"/>
      <c r="U437" s="2"/>
      <c r="V437" s="72"/>
    </row>
    <row r="438" spans="1:22" hidden="1">
      <c r="A438" s="2">
        <f t="shared" si="3"/>
        <v>8</v>
      </c>
      <c r="B438" s="3" t="s">
        <v>486</v>
      </c>
      <c r="C438" s="3" t="s">
        <v>145</v>
      </c>
      <c r="D438" s="3" t="s">
        <v>628</v>
      </c>
      <c r="E438" s="3" t="s">
        <v>62</v>
      </c>
      <c r="F438" s="6" t="s">
        <v>62</v>
      </c>
      <c r="G438" s="2" t="s">
        <v>54</v>
      </c>
      <c r="H438" s="2" t="s">
        <v>54</v>
      </c>
      <c r="I438" s="3" t="s">
        <v>53</v>
      </c>
      <c r="J438" s="44">
        <v>1</v>
      </c>
      <c r="K438" s="44" t="s">
        <v>54</v>
      </c>
      <c r="L438" s="44" t="s">
        <v>548</v>
      </c>
      <c r="M438" s="25"/>
      <c r="N438" s="77"/>
      <c r="O438" s="16"/>
      <c r="P438" s="16"/>
      <c r="Q438" s="16">
        <v>1</v>
      </c>
      <c r="R438" s="78" t="s">
        <v>412</v>
      </c>
      <c r="S438" s="2"/>
      <c r="T438" s="2"/>
      <c r="U438" s="2"/>
      <c r="V438" s="72"/>
    </row>
    <row r="439" spans="1:22" hidden="1">
      <c r="A439" s="2">
        <f t="shared" si="3"/>
        <v>9</v>
      </c>
      <c r="B439" s="3" t="s">
        <v>486</v>
      </c>
      <c r="C439" s="3" t="s">
        <v>145</v>
      </c>
      <c r="D439" s="3" t="s">
        <v>628</v>
      </c>
      <c r="E439" s="3" t="s">
        <v>63</v>
      </c>
      <c r="F439" s="6" t="s">
        <v>416</v>
      </c>
      <c r="G439" s="2" t="s">
        <v>54</v>
      </c>
      <c r="H439" s="2" t="s">
        <v>54</v>
      </c>
      <c r="I439" s="3" t="s">
        <v>53</v>
      </c>
      <c r="J439" s="44">
        <v>1</v>
      </c>
      <c r="K439" s="44" t="s">
        <v>54</v>
      </c>
      <c r="L439" s="44" t="s">
        <v>548</v>
      </c>
      <c r="M439" s="25"/>
      <c r="N439" s="77"/>
      <c r="O439" s="16"/>
      <c r="P439" s="16"/>
      <c r="Q439" s="16">
        <v>1</v>
      </c>
      <c r="R439" s="78" t="s">
        <v>413</v>
      </c>
      <c r="S439" s="2"/>
      <c r="T439" s="2"/>
      <c r="U439" s="2"/>
      <c r="V439" s="72"/>
    </row>
    <row r="440" spans="1:22" hidden="1">
      <c r="A440" s="2">
        <f t="shared" si="3"/>
        <v>10</v>
      </c>
      <c r="B440" s="3" t="s">
        <v>486</v>
      </c>
      <c r="C440" s="3" t="s">
        <v>145</v>
      </c>
      <c r="D440" s="3" t="s">
        <v>628</v>
      </c>
      <c r="E440" s="3" t="s">
        <v>65</v>
      </c>
      <c r="F440" s="6" t="s">
        <v>545</v>
      </c>
      <c r="G440" s="2" t="s">
        <v>54</v>
      </c>
      <c r="H440" s="2" t="s">
        <v>54</v>
      </c>
      <c r="I440" s="3" t="s">
        <v>53</v>
      </c>
      <c r="J440" s="44">
        <v>12</v>
      </c>
      <c r="K440" s="44" t="s">
        <v>54</v>
      </c>
      <c r="L440" s="44" t="s">
        <v>505</v>
      </c>
      <c r="M440" s="25"/>
      <c r="N440" s="77"/>
      <c r="O440" s="16"/>
      <c r="P440" s="16"/>
      <c r="Q440" s="16">
        <v>10</v>
      </c>
      <c r="R440" s="78" t="s">
        <v>544</v>
      </c>
      <c r="S440" s="2"/>
      <c r="T440" s="2"/>
      <c r="U440" s="2"/>
      <c r="V440" s="72"/>
    </row>
    <row r="441" spans="1:22" hidden="1">
      <c r="A441" s="2">
        <f t="shared" si="3"/>
        <v>11</v>
      </c>
      <c r="B441" s="3" t="s">
        <v>486</v>
      </c>
      <c r="C441" s="3" t="s">
        <v>145</v>
      </c>
      <c r="D441" s="3" t="s">
        <v>628</v>
      </c>
      <c r="E441" s="3" t="s">
        <v>546</v>
      </c>
      <c r="F441" s="6" t="s">
        <v>417</v>
      </c>
      <c r="G441" s="2" t="s">
        <v>54</v>
      </c>
      <c r="H441" s="2" t="s">
        <v>52</v>
      </c>
      <c r="I441" s="3" t="s">
        <v>68</v>
      </c>
      <c r="J441" s="44">
        <v>10</v>
      </c>
      <c r="K441" s="44" t="s">
        <v>54</v>
      </c>
      <c r="L441" s="44" t="s">
        <v>505</v>
      </c>
      <c r="M441" s="25"/>
      <c r="N441" s="77"/>
      <c r="O441" s="16"/>
      <c r="P441" s="16"/>
      <c r="Q441" s="16">
        <v>2</v>
      </c>
      <c r="R441" s="79" t="s">
        <v>414</v>
      </c>
      <c r="S441" s="2"/>
      <c r="T441" s="2"/>
      <c r="U441" s="2"/>
      <c r="V441" s="72"/>
    </row>
    <row r="442" spans="1:22" hidden="1">
      <c r="A442" s="2">
        <f t="shared" si="3"/>
        <v>12</v>
      </c>
      <c r="B442" s="3" t="s">
        <v>486</v>
      </c>
      <c r="C442" s="3" t="s">
        <v>145</v>
      </c>
      <c r="D442" s="3" t="s">
        <v>628</v>
      </c>
      <c r="E442" s="3" t="s">
        <v>112</v>
      </c>
      <c r="F442" s="6" t="s">
        <v>112</v>
      </c>
      <c r="G442" s="2" t="s">
        <v>54</v>
      </c>
      <c r="H442" s="2" t="s">
        <v>54</v>
      </c>
      <c r="I442" s="3" t="s">
        <v>53</v>
      </c>
      <c r="J442" s="44">
        <v>1</v>
      </c>
      <c r="K442" s="44" t="s">
        <v>54</v>
      </c>
      <c r="L442" s="44" t="s">
        <v>548</v>
      </c>
      <c r="M442" s="25"/>
      <c r="N442" s="77"/>
      <c r="O442" s="16"/>
      <c r="P442" s="16"/>
      <c r="Q442" s="16">
        <v>1</v>
      </c>
      <c r="R442" s="79" t="s">
        <v>415</v>
      </c>
      <c r="S442" s="2"/>
      <c r="T442" s="2"/>
      <c r="U442" s="2"/>
      <c r="V442" s="72"/>
    </row>
    <row r="443" spans="1:22" hidden="1">
      <c r="A443" s="2">
        <f t="shared" si="3"/>
        <v>13</v>
      </c>
      <c r="B443" s="3" t="s">
        <v>486</v>
      </c>
      <c r="C443" s="3" t="s">
        <v>145</v>
      </c>
      <c r="D443" s="3" t="s">
        <v>628</v>
      </c>
      <c r="E443" s="3" t="s">
        <v>113</v>
      </c>
      <c r="F443" s="6" t="s">
        <v>547</v>
      </c>
      <c r="G443" s="2" t="s">
        <v>54</v>
      </c>
      <c r="H443" s="2" t="s">
        <v>54</v>
      </c>
      <c r="I443" s="3" t="s">
        <v>53</v>
      </c>
      <c r="J443" s="44">
        <v>10</v>
      </c>
      <c r="K443" s="44" t="s">
        <v>54</v>
      </c>
      <c r="L443" s="44" t="s">
        <v>505</v>
      </c>
      <c r="M443" s="25"/>
      <c r="N443" s="77"/>
      <c r="O443" s="16"/>
      <c r="P443" s="16"/>
      <c r="Q443" s="16">
        <v>1</v>
      </c>
      <c r="R443" s="79" t="s">
        <v>433</v>
      </c>
      <c r="S443" s="2"/>
      <c r="T443" s="2"/>
      <c r="U443" s="2"/>
      <c r="V443" s="72"/>
    </row>
    <row r="444" spans="1:22" hidden="1">
      <c r="A444" s="2">
        <f t="shared" si="3"/>
        <v>14</v>
      </c>
      <c r="B444" s="3" t="s">
        <v>486</v>
      </c>
      <c r="C444" s="3" t="s">
        <v>145</v>
      </c>
      <c r="D444" s="3" t="s">
        <v>628</v>
      </c>
      <c r="E444" s="3" t="s">
        <v>72</v>
      </c>
      <c r="F444" s="6" t="s">
        <v>72</v>
      </c>
      <c r="G444" s="2" t="s">
        <v>54</v>
      </c>
      <c r="H444" s="2" t="s">
        <v>52</v>
      </c>
      <c r="I444" s="3" t="s">
        <v>73</v>
      </c>
      <c r="J444" s="44" t="s">
        <v>54</v>
      </c>
      <c r="K444" s="44" t="s">
        <v>54</v>
      </c>
      <c r="L444" s="44" t="s">
        <v>526</v>
      </c>
      <c r="M444" s="25"/>
      <c r="N444" s="77"/>
      <c r="O444" s="16"/>
      <c r="P444" s="16"/>
      <c r="Q444" s="16"/>
      <c r="R444" s="16" t="s">
        <v>679</v>
      </c>
      <c r="S444" s="2"/>
      <c r="T444" s="2"/>
      <c r="U444" s="2"/>
      <c r="V444" s="72"/>
    </row>
    <row r="445" spans="1:22" hidden="1">
      <c r="A445" s="2">
        <f t="shared" si="3"/>
        <v>15</v>
      </c>
      <c r="B445" s="3" t="s">
        <v>486</v>
      </c>
      <c r="C445" s="3" t="s">
        <v>145</v>
      </c>
      <c r="D445" s="3" t="s">
        <v>628</v>
      </c>
      <c r="E445" s="3" t="s">
        <v>74</v>
      </c>
      <c r="F445" s="6" t="s">
        <v>74</v>
      </c>
      <c r="G445" s="2" t="s">
        <v>54</v>
      </c>
      <c r="H445" s="2" t="s">
        <v>52</v>
      </c>
      <c r="I445" s="3" t="s">
        <v>53</v>
      </c>
      <c r="J445" s="44">
        <v>12</v>
      </c>
      <c r="K445" s="44" t="s">
        <v>54</v>
      </c>
      <c r="L445" s="44" t="s">
        <v>526</v>
      </c>
      <c r="M445" s="25"/>
      <c r="N445" s="16"/>
      <c r="O445" s="16"/>
      <c r="P445" s="16"/>
      <c r="Q445" s="16"/>
      <c r="R445" s="16" t="s">
        <v>679</v>
      </c>
      <c r="S445" s="2"/>
      <c r="T445" s="2"/>
      <c r="U445" s="2"/>
      <c r="V445" s="72"/>
    </row>
    <row r="446" spans="1:22" hidden="1">
      <c r="A446" s="2">
        <f t="shared" si="3"/>
        <v>16</v>
      </c>
      <c r="B446" s="3" t="s">
        <v>486</v>
      </c>
      <c r="C446" s="3" t="s">
        <v>145</v>
      </c>
      <c r="D446" s="3" t="s">
        <v>628</v>
      </c>
      <c r="E446" s="3" t="s">
        <v>75</v>
      </c>
      <c r="F446" s="6" t="s">
        <v>75</v>
      </c>
      <c r="G446" s="2" t="s">
        <v>54</v>
      </c>
      <c r="H446" s="2" t="s">
        <v>52</v>
      </c>
      <c r="I446" s="3" t="s">
        <v>53</v>
      </c>
      <c r="J446" s="44">
        <v>20</v>
      </c>
      <c r="K446" s="44" t="s">
        <v>54</v>
      </c>
      <c r="L446" s="44" t="s">
        <v>526</v>
      </c>
      <c r="M446" s="25"/>
      <c r="N446" s="16"/>
      <c r="O446" s="16"/>
      <c r="P446" s="16"/>
      <c r="Q446" s="16"/>
      <c r="R446" s="16" t="s">
        <v>679</v>
      </c>
      <c r="S446" s="2"/>
      <c r="T446" s="2"/>
      <c r="U446" s="2"/>
      <c r="V446" s="72"/>
    </row>
    <row r="447" spans="1:22" hidden="1">
      <c r="A447" s="2">
        <f t="shared" si="3"/>
        <v>1</v>
      </c>
      <c r="B447" s="3" t="s">
        <v>486</v>
      </c>
      <c r="C447" s="3" t="s">
        <v>1669</v>
      </c>
      <c r="D447" s="3" t="s">
        <v>629</v>
      </c>
      <c r="E447" s="3" t="s">
        <v>50</v>
      </c>
      <c r="F447" s="6" t="s">
        <v>50</v>
      </c>
      <c r="G447" s="2" t="s">
        <v>51</v>
      </c>
      <c r="H447" s="2" t="s">
        <v>52</v>
      </c>
      <c r="I447" s="3" t="s">
        <v>53</v>
      </c>
      <c r="J447" s="44">
        <v>14</v>
      </c>
      <c r="K447" s="44" t="s">
        <v>54</v>
      </c>
      <c r="L447" s="44" t="s">
        <v>526</v>
      </c>
      <c r="M447" s="25"/>
      <c r="N447" s="16"/>
      <c r="O447" s="16"/>
      <c r="P447" s="16"/>
      <c r="Q447" s="16"/>
      <c r="R447" s="16"/>
      <c r="S447" s="2"/>
      <c r="T447" s="2"/>
      <c r="U447" s="2"/>
      <c r="V447" s="72"/>
    </row>
    <row r="448" spans="1:22" hidden="1">
      <c r="A448" s="2">
        <f t="shared" si="3"/>
        <v>2</v>
      </c>
      <c r="B448" s="3" t="s">
        <v>486</v>
      </c>
      <c r="C448" s="3" t="s">
        <v>153</v>
      </c>
      <c r="D448" s="3" t="s">
        <v>629</v>
      </c>
      <c r="E448" s="3" t="s">
        <v>55</v>
      </c>
      <c r="F448" s="6" t="s">
        <v>1593</v>
      </c>
      <c r="G448" s="2" t="s">
        <v>51</v>
      </c>
      <c r="H448" s="2" t="s">
        <v>52</v>
      </c>
      <c r="I448" s="3" t="s">
        <v>53</v>
      </c>
      <c r="J448" s="44">
        <v>8</v>
      </c>
      <c r="K448" s="44" t="s">
        <v>54</v>
      </c>
      <c r="L448" s="44" t="s">
        <v>504</v>
      </c>
      <c r="M448" s="25" t="s">
        <v>501</v>
      </c>
      <c r="N448" s="16"/>
      <c r="O448" s="16"/>
      <c r="P448" s="16"/>
      <c r="Q448" s="16"/>
      <c r="R448" s="16"/>
      <c r="S448" s="2"/>
      <c r="T448" s="2"/>
      <c r="U448" s="2"/>
      <c r="V448" s="72"/>
    </row>
    <row r="449" spans="1:22" hidden="1">
      <c r="A449" s="2">
        <f t="shared" si="3"/>
        <v>3</v>
      </c>
      <c r="B449" s="3" t="s">
        <v>486</v>
      </c>
      <c r="C449" s="3" t="s">
        <v>153</v>
      </c>
      <c r="D449" s="3" t="s">
        <v>629</v>
      </c>
      <c r="E449" s="3" t="s">
        <v>56</v>
      </c>
      <c r="F449" s="6" t="s">
        <v>1595</v>
      </c>
      <c r="G449" s="2" t="s">
        <v>51</v>
      </c>
      <c r="H449" s="2" t="s">
        <v>52</v>
      </c>
      <c r="I449" s="3" t="s">
        <v>53</v>
      </c>
      <c r="J449" s="44">
        <v>6</v>
      </c>
      <c r="K449" s="44" t="s">
        <v>54</v>
      </c>
      <c r="L449" s="44" t="s">
        <v>505</v>
      </c>
      <c r="M449" s="25" t="s">
        <v>506</v>
      </c>
      <c r="N449" s="16"/>
      <c r="O449" s="16"/>
      <c r="P449" s="16"/>
      <c r="Q449" s="16"/>
      <c r="R449" s="16"/>
      <c r="S449" s="2"/>
      <c r="T449" s="2"/>
      <c r="U449" s="2"/>
      <c r="V449" s="72"/>
    </row>
    <row r="450" spans="1:22" hidden="1">
      <c r="A450" s="2">
        <f t="shared" si="3"/>
        <v>4</v>
      </c>
      <c r="B450" s="3" t="s">
        <v>486</v>
      </c>
      <c r="C450" s="3" t="s">
        <v>153</v>
      </c>
      <c r="D450" s="3" t="s">
        <v>629</v>
      </c>
      <c r="E450" s="3" t="s">
        <v>77</v>
      </c>
      <c r="F450" s="6" t="str">
        <f>MID(D450,5,LEN(D450)-6)&amp;"일련번호"</f>
        <v>NICE동시대출상세일련번호</v>
      </c>
      <c r="G450" s="2" t="s">
        <v>51</v>
      </c>
      <c r="H450" s="2" t="s">
        <v>52</v>
      </c>
      <c r="I450" s="3" t="s">
        <v>68</v>
      </c>
      <c r="J450" s="44">
        <v>3</v>
      </c>
      <c r="K450" s="44" t="s">
        <v>54</v>
      </c>
      <c r="L450" s="44" t="s">
        <v>504</v>
      </c>
      <c r="M450" s="25" t="s">
        <v>506</v>
      </c>
      <c r="N450" s="16"/>
      <c r="O450" s="16"/>
      <c r="P450" s="16"/>
      <c r="Q450" s="16"/>
      <c r="R450" s="16"/>
      <c r="S450" s="2"/>
      <c r="T450" s="2"/>
      <c r="U450" s="2"/>
      <c r="V450" s="72"/>
    </row>
    <row r="451" spans="1:22" hidden="1">
      <c r="A451" s="2">
        <f t="shared" si="3"/>
        <v>5</v>
      </c>
      <c r="B451" s="3" t="s">
        <v>486</v>
      </c>
      <c r="C451" s="3" t="s">
        <v>153</v>
      </c>
      <c r="D451" s="3" t="s">
        <v>629</v>
      </c>
      <c r="E451" s="3" t="s">
        <v>115</v>
      </c>
      <c r="F451" s="6" t="s">
        <v>115</v>
      </c>
      <c r="G451" s="2" t="s">
        <v>54</v>
      </c>
      <c r="H451" s="2" t="s">
        <v>54</v>
      </c>
      <c r="I451" s="3" t="s">
        <v>53</v>
      </c>
      <c r="J451" s="44">
        <v>2</v>
      </c>
      <c r="K451" s="44" t="s">
        <v>54</v>
      </c>
      <c r="L451" s="44" t="s">
        <v>526</v>
      </c>
      <c r="M451" s="25"/>
      <c r="N451" s="16"/>
      <c r="O451" s="16"/>
      <c r="P451" s="16"/>
      <c r="Q451" s="80">
        <v>2</v>
      </c>
      <c r="R451" s="77" t="s">
        <v>418</v>
      </c>
      <c r="S451" s="2"/>
      <c r="T451" s="2"/>
      <c r="U451" s="2"/>
      <c r="V451" s="72"/>
    </row>
    <row r="452" spans="1:22" hidden="1">
      <c r="A452" s="2">
        <f t="shared" si="3"/>
        <v>6</v>
      </c>
      <c r="B452" s="3" t="s">
        <v>486</v>
      </c>
      <c r="C452" s="3" t="s">
        <v>153</v>
      </c>
      <c r="D452" s="3" t="s">
        <v>629</v>
      </c>
      <c r="E452" s="3" t="s">
        <v>116</v>
      </c>
      <c r="F452" s="6" t="s">
        <v>116</v>
      </c>
      <c r="G452" s="2" t="s">
        <v>54</v>
      </c>
      <c r="H452" s="2" t="s">
        <v>54</v>
      </c>
      <c r="I452" s="3" t="s">
        <v>53</v>
      </c>
      <c r="J452" s="44">
        <v>10</v>
      </c>
      <c r="K452" s="44" t="s">
        <v>54</v>
      </c>
      <c r="L452" s="44" t="s">
        <v>526</v>
      </c>
      <c r="M452" s="25"/>
      <c r="N452" s="77"/>
      <c r="O452" s="16"/>
      <c r="P452" s="16"/>
      <c r="Q452" s="80">
        <v>10</v>
      </c>
      <c r="R452" s="77" t="s">
        <v>419</v>
      </c>
      <c r="S452" s="2"/>
      <c r="T452" s="2"/>
      <c r="U452" s="2"/>
      <c r="V452" s="72"/>
    </row>
    <row r="453" spans="1:22" hidden="1">
      <c r="A453" s="2">
        <f t="shared" si="3"/>
        <v>7</v>
      </c>
      <c r="B453" s="3" t="s">
        <v>486</v>
      </c>
      <c r="C453" s="3" t="s">
        <v>153</v>
      </c>
      <c r="D453" s="3" t="s">
        <v>629</v>
      </c>
      <c r="E453" s="3" t="s">
        <v>117</v>
      </c>
      <c r="F453" s="6" t="s">
        <v>117</v>
      </c>
      <c r="G453" s="2" t="s">
        <v>54</v>
      </c>
      <c r="H453" s="2" t="s">
        <v>54</v>
      </c>
      <c r="I453" s="3" t="s">
        <v>53</v>
      </c>
      <c r="J453" s="44">
        <v>1</v>
      </c>
      <c r="K453" s="44" t="s">
        <v>54</v>
      </c>
      <c r="L453" s="44" t="s">
        <v>526</v>
      </c>
      <c r="M453" s="25"/>
      <c r="N453" s="77"/>
      <c r="O453" s="16"/>
      <c r="P453" s="16"/>
      <c r="Q453" s="80">
        <v>1</v>
      </c>
      <c r="R453" s="77" t="s">
        <v>420</v>
      </c>
      <c r="S453" s="2"/>
      <c r="T453" s="2"/>
      <c r="U453" s="2"/>
      <c r="V453" s="72"/>
    </row>
    <row r="454" spans="1:22" hidden="1">
      <c r="A454" s="2">
        <f t="shared" si="3"/>
        <v>8</v>
      </c>
      <c r="B454" s="3" t="s">
        <v>486</v>
      </c>
      <c r="C454" s="3" t="s">
        <v>153</v>
      </c>
      <c r="D454" s="3" t="s">
        <v>629</v>
      </c>
      <c r="E454" s="3" t="s">
        <v>118</v>
      </c>
      <c r="F454" s="6" t="s">
        <v>118</v>
      </c>
      <c r="G454" s="2" t="s">
        <v>54</v>
      </c>
      <c r="H454" s="2" t="s">
        <v>54</v>
      </c>
      <c r="I454" s="3" t="s">
        <v>53</v>
      </c>
      <c r="J454" s="44">
        <v>10</v>
      </c>
      <c r="K454" s="44" t="s">
        <v>54</v>
      </c>
      <c r="L454" s="44" t="s">
        <v>526</v>
      </c>
      <c r="M454" s="25"/>
      <c r="N454" s="77"/>
      <c r="O454" s="16"/>
      <c r="P454" s="16"/>
      <c r="Q454" s="80">
        <v>2</v>
      </c>
      <c r="R454" s="77" t="s">
        <v>550</v>
      </c>
      <c r="S454" s="2"/>
      <c r="T454" s="2"/>
      <c r="U454" s="2"/>
      <c r="V454" s="72"/>
    </row>
    <row r="455" spans="1:22" hidden="1">
      <c r="A455" s="2">
        <f t="shared" si="3"/>
        <v>9</v>
      </c>
      <c r="B455" s="3" t="s">
        <v>486</v>
      </c>
      <c r="C455" s="3" t="s">
        <v>153</v>
      </c>
      <c r="D455" s="3" t="s">
        <v>629</v>
      </c>
      <c r="E455" s="3" t="s">
        <v>119</v>
      </c>
      <c r="F455" s="6" t="s">
        <v>119</v>
      </c>
      <c r="G455" s="2" t="s">
        <v>54</v>
      </c>
      <c r="H455" s="2" t="s">
        <v>54</v>
      </c>
      <c r="I455" s="3" t="s">
        <v>53</v>
      </c>
      <c r="J455" s="44">
        <v>10</v>
      </c>
      <c r="K455" s="44" t="s">
        <v>54</v>
      </c>
      <c r="L455" s="44" t="s">
        <v>526</v>
      </c>
      <c r="M455" s="25"/>
      <c r="N455" s="77"/>
      <c r="O455" s="16"/>
      <c r="P455" s="16"/>
      <c r="Q455" s="80">
        <v>7</v>
      </c>
      <c r="R455" s="77" t="s">
        <v>421</v>
      </c>
      <c r="S455" s="2"/>
      <c r="T455" s="2"/>
      <c r="U455" s="2"/>
      <c r="V455" s="72"/>
    </row>
    <row r="456" spans="1:22" hidden="1">
      <c r="A456" s="2">
        <f t="shared" si="3"/>
        <v>10</v>
      </c>
      <c r="B456" s="3" t="s">
        <v>486</v>
      </c>
      <c r="C456" s="3" t="s">
        <v>153</v>
      </c>
      <c r="D456" s="3" t="s">
        <v>629</v>
      </c>
      <c r="E456" s="3" t="s">
        <v>120</v>
      </c>
      <c r="F456" s="6" t="s">
        <v>120</v>
      </c>
      <c r="G456" s="2" t="s">
        <v>54</v>
      </c>
      <c r="H456" s="2" t="s">
        <v>54</v>
      </c>
      <c r="I456" s="3" t="s">
        <v>53</v>
      </c>
      <c r="J456" s="44">
        <v>20</v>
      </c>
      <c r="K456" s="44" t="s">
        <v>54</v>
      </c>
      <c r="L456" s="44" t="s">
        <v>526</v>
      </c>
      <c r="M456" s="25"/>
      <c r="N456" s="77"/>
      <c r="O456" s="16"/>
      <c r="P456" s="16"/>
      <c r="Q456" s="80">
        <v>20</v>
      </c>
      <c r="R456" s="77" t="s">
        <v>422</v>
      </c>
      <c r="S456" s="2"/>
      <c r="T456" s="2"/>
      <c r="U456" s="2"/>
      <c r="V456" s="72"/>
    </row>
    <row r="457" spans="1:22" hidden="1">
      <c r="A457" s="2">
        <f t="shared" si="3"/>
        <v>11</v>
      </c>
      <c r="B457" s="3" t="s">
        <v>486</v>
      </c>
      <c r="C457" s="3" t="s">
        <v>153</v>
      </c>
      <c r="D457" s="3" t="s">
        <v>629</v>
      </c>
      <c r="E457" s="3" t="s">
        <v>549</v>
      </c>
      <c r="F457" s="6" t="s">
        <v>1653</v>
      </c>
      <c r="G457" s="2"/>
      <c r="H457" s="2"/>
      <c r="I457" s="3"/>
      <c r="J457" s="44">
        <v>20</v>
      </c>
      <c r="K457" s="44"/>
      <c r="L457" s="44" t="s">
        <v>499</v>
      </c>
      <c r="M457" s="25" t="s">
        <v>617</v>
      </c>
      <c r="N457" s="77"/>
      <c r="O457" s="16"/>
      <c r="P457" s="16"/>
      <c r="Q457" s="80">
        <v>20</v>
      </c>
      <c r="R457" s="77" t="s">
        <v>423</v>
      </c>
      <c r="S457" s="2"/>
      <c r="T457" s="2"/>
      <c r="U457" s="2"/>
      <c r="V457" s="72"/>
    </row>
    <row r="458" spans="1:22" hidden="1">
      <c r="A458" s="2">
        <f t="shared" si="3"/>
        <v>12</v>
      </c>
      <c r="B458" s="3" t="s">
        <v>486</v>
      </c>
      <c r="C458" s="3" t="s">
        <v>153</v>
      </c>
      <c r="D458" s="3" t="s">
        <v>629</v>
      </c>
      <c r="E458" s="3" t="s">
        <v>121</v>
      </c>
      <c r="F458" s="6" t="s">
        <v>121</v>
      </c>
      <c r="G458" s="2" t="s">
        <v>54</v>
      </c>
      <c r="H458" s="2" t="s">
        <v>54</v>
      </c>
      <c r="I458" s="3" t="s">
        <v>53</v>
      </c>
      <c r="J458" s="44">
        <v>8</v>
      </c>
      <c r="K458" s="44" t="s">
        <v>54</v>
      </c>
      <c r="L458" s="44" t="s">
        <v>526</v>
      </c>
      <c r="M458" s="25"/>
      <c r="N458" s="77"/>
      <c r="O458" s="16"/>
      <c r="P458" s="16"/>
      <c r="Q458" s="80">
        <v>8</v>
      </c>
      <c r="R458" s="77" t="s">
        <v>424</v>
      </c>
      <c r="S458" s="2"/>
      <c r="T458" s="2"/>
      <c r="U458" s="2"/>
      <c r="V458" s="72"/>
    </row>
    <row r="459" spans="1:22" hidden="1">
      <c r="A459" s="2">
        <f t="shared" si="3"/>
        <v>13</v>
      </c>
      <c r="B459" s="3" t="s">
        <v>486</v>
      </c>
      <c r="C459" s="3" t="s">
        <v>153</v>
      </c>
      <c r="D459" s="3" t="s">
        <v>629</v>
      </c>
      <c r="E459" s="3" t="s">
        <v>122</v>
      </c>
      <c r="F459" s="6" t="s">
        <v>122</v>
      </c>
      <c r="G459" s="2" t="s">
        <v>54</v>
      </c>
      <c r="H459" s="2" t="s">
        <v>52</v>
      </c>
      <c r="I459" s="3" t="s">
        <v>68</v>
      </c>
      <c r="J459" s="44">
        <v>15</v>
      </c>
      <c r="K459" s="44" t="s">
        <v>54</v>
      </c>
      <c r="L459" s="44" t="s">
        <v>526</v>
      </c>
      <c r="M459" s="25"/>
      <c r="N459" s="81" t="s">
        <v>551</v>
      </c>
      <c r="O459" s="16"/>
      <c r="P459" s="16"/>
      <c r="Q459" s="80">
        <v>9</v>
      </c>
      <c r="R459" s="77" t="s">
        <v>425</v>
      </c>
      <c r="S459" s="2"/>
      <c r="T459" s="2"/>
      <c r="U459" s="2"/>
      <c r="V459" s="72"/>
    </row>
    <row r="460" spans="1:22" hidden="1">
      <c r="A460" s="2">
        <f t="shared" si="3"/>
        <v>14</v>
      </c>
      <c r="B460" s="3" t="s">
        <v>486</v>
      </c>
      <c r="C460" s="3" t="s">
        <v>153</v>
      </c>
      <c r="D460" s="3" t="s">
        <v>629</v>
      </c>
      <c r="E460" s="3" t="s">
        <v>123</v>
      </c>
      <c r="F460" s="6" t="s">
        <v>123</v>
      </c>
      <c r="G460" s="2" t="s">
        <v>54</v>
      </c>
      <c r="H460" s="2" t="s">
        <v>54</v>
      </c>
      <c r="I460" s="3" t="s">
        <v>53</v>
      </c>
      <c r="J460" s="44">
        <v>3</v>
      </c>
      <c r="K460" s="44" t="s">
        <v>54</v>
      </c>
      <c r="L460" s="44" t="s">
        <v>526</v>
      </c>
      <c r="M460" s="25"/>
      <c r="N460" s="77"/>
      <c r="O460" s="16"/>
      <c r="P460" s="16"/>
      <c r="Q460" s="80">
        <v>3</v>
      </c>
      <c r="R460" s="77" t="s">
        <v>426</v>
      </c>
      <c r="S460" s="2"/>
      <c r="T460" s="2"/>
      <c r="U460" s="2"/>
      <c r="V460" s="72"/>
    </row>
    <row r="461" spans="1:22" hidden="1">
      <c r="A461" s="2">
        <f t="shared" si="3"/>
        <v>15</v>
      </c>
      <c r="B461" s="3" t="s">
        <v>486</v>
      </c>
      <c r="C461" s="3" t="s">
        <v>153</v>
      </c>
      <c r="D461" s="3" t="s">
        <v>629</v>
      </c>
      <c r="E461" s="3" t="s">
        <v>124</v>
      </c>
      <c r="F461" s="6" t="s">
        <v>124</v>
      </c>
      <c r="G461" s="2" t="s">
        <v>54</v>
      </c>
      <c r="H461" s="2" t="s">
        <v>54</v>
      </c>
      <c r="I461" s="3" t="s">
        <v>53</v>
      </c>
      <c r="J461" s="44">
        <v>2</v>
      </c>
      <c r="K461" s="44" t="s">
        <v>54</v>
      </c>
      <c r="L461" s="44" t="s">
        <v>526</v>
      </c>
      <c r="M461" s="25"/>
      <c r="N461" s="77"/>
      <c r="O461" s="16"/>
      <c r="P461" s="16"/>
      <c r="Q461" s="2">
        <v>2</v>
      </c>
      <c r="R461" s="82" t="s">
        <v>427</v>
      </c>
      <c r="S461" s="2"/>
      <c r="T461" s="2"/>
      <c r="U461" s="2"/>
      <c r="V461" s="72"/>
    </row>
    <row r="462" spans="1:22" hidden="1">
      <c r="A462" s="2">
        <f t="shared" si="3"/>
        <v>16</v>
      </c>
      <c r="B462" s="3" t="s">
        <v>486</v>
      </c>
      <c r="C462" s="3" t="s">
        <v>153</v>
      </c>
      <c r="D462" s="3" t="s">
        <v>629</v>
      </c>
      <c r="E462" s="3" t="s">
        <v>125</v>
      </c>
      <c r="F462" s="6" t="s">
        <v>125</v>
      </c>
      <c r="G462" s="2" t="s">
        <v>54</v>
      </c>
      <c r="H462" s="2" t="s">
        <v>54</v>
      </c>
      <c r="I462" s="3" t="s">
        <v>53</v>
      </c>
      <c r="J462" s="44">
        <v>1</v>
      </c>
      <c r="K462" s="44" t="s">
        <v>54</v>
      </c>
      <c r="L462" s="44" t="s">
        <v>526</v>
      </c>
      <c r="M462" s="25"/>
      <c r="N462" s="82"/>
      <c r="O462" s="16"/>
      <c r="P462" s="16"/>
      <c r="Q462" s="2">
        <v>1</v>
      </c>
      <c r="R462" s="82" t="s">
        <v>428</v>
      </c>
      <c r="S462" s="2"/>
      <c r="T462" s="2"/>
      <c r="U462" s="2"/>
      <c r="V462" s="72"/>
    </row>
    <row r="463" spans="1:22" hidden="1">
      <c r="A463" s="2">
        <f t="shared" si="3"/>
        <v>17</v>
      </c>
      <c r="B463" s="3" t="s">
        <v>486</v>
      </c>
      <c r="C463" s="3" t="s">
        <v>153</v>
      </c>
      <c r="D463" s="3" t="s">
        <v>629</v>
      </c>
      <c r="E463" s="3" t="s">
        <v>161</v>
      </c>
      <c r="F463" s="6" t="s">
        <v>161</v>
      </c>
      <c r="G463" s="2"/>
      <c r="H463" s="2"/>
      <c r="I463" s="3"/>
      <c r="J463" s="44"/>
      <c r="K463" s="44"/>
      <c r="L463" s="44" t="s">
        <v>499</v>
      </c>
      <c r="M463" s="25"/>
      <c r="N463" s="82"/>
      <c r="O463" s="16"/>
      <c r="P463" s="16"/>
      <c r="Q463" s="2">
        <v>20</v>
      </c>
      <c r="R463" s="82" t="s">
        <v>429</v>
      </c>
      <c r="S463" s="2"/>
      <c r="T463" s="2"/>
      <c r="U463" s="2"/>
      <c r="V463" s="72"/>
    </row>
    <row r="464" spans="1:22" hidden="1">
      <c r="A464" s="2">
        <f t="shared" si="3"/>
        <v>18</v>
      </c>
      <c r="B464" s="3" t="s">
        <v>486</v>
      </c>
      <c r="C464" s="3" t="s">
        <v>153</v>
      </c>
      <c r="D464" s="3" t="s">
        <v>629</v>
      </c>
      <c r="E464" s="3" t="s">
        <v>162</v>
      </c>
      <c r="F464" s="6" t="s">
        <v>162</v>
      </c>
      <c r="G464" s="2"/>
      <c r="H464" s="2"/>
      <c r="I464" s="3"/>
      <c r="J464" s="44"/>
      <c r="K464" s="44"/>
      <c r="L464" s="44" t="s">
        <v>499</v>
      </c>
      <c r="M464" s="25"/>
      <c r="N464" s="82"/>
      <c r="O464" s="16"/>
      <c r="P464" s="16"/>
      <c r="Q464" s="2">
        <v>20</v>
      </c>
      <c r="R464" s="82" t="s">
        <v>430</v>
      </c>
      <c r="S464" s="2"/>
      <c r="T464" s="2"/>
      <c r="U464" s="2"/>
      <c r="V464" s="72"/>
    </row>
    <row r="465" spans="1:22" hidden="1">
      <c r="A465" s="2">
        <f t="shared" si="3"/>
        <v>19</v>
      </c>
      <c r="B465" s="3" t="s">
        <v>486</v>
      </c>
      <c r="C465" s="3" t="s">
        <v>153</v>
      </c>
      <c r="D465" s="3" t="s">
        <v>629</v>
      </c>
      <c r="E465" s="3" t="s">
        <v>126</v>
      </c>
      <c r="F465" s="6" t="s">
        <v>126</v>
      </c>
      <c r="G465" s="2" t="s">
        <v>54</v>
      </c>
      <c r="H465" s="2" t="s">
        <v>54</v>
      </c>
      <c r="I465" s="3" t="s">
        <v>53</v>
      </c>
      <c r="J465" s="44">
        <v>20</v>
      </c>
      <c r="K465" s="44" t="s">
        <v>54</v>
      </c>
      <c r="L465" s="44" t="s">
        <v>526</v>
      </c>
      <c r="M465" s="25"/>
      <c r="N465" s="82"/>
      <c r="O465" s="16"/>
      <c r="P465" s="16"/>
      <c r="Q465" s="2">
        <v>20</v>
      </c>
      <c r="R465" s="82" t="s">
        <v>431</v>
      </c>
      <c r="S465" s="2"/>
      <c r="T465" s="2"/>
      <c r="U465" s="2"/>
      <c r="V465" s="72"/>
    </row>
    <row r="466" spans="1:22" hidden="1">
      <c r="A466" s="2">
        <f t="shared" si="3"/>
        <v>20</v>
      </c>
      <c r="B466" s="3" t="s">
        <v>486</v>
      </c>
      <c r="C466" s="3" t="s">
        <v>153</v>
      </c>
      <c r="D466" s="3" t="s">
        <v>629</v>
      </c>
      <c r="E466" s="3" t="s">
        <v>127</v>
      </c>
      <c r="F466" s="6" t="s">
        <v>127</v>
      </c>
      <c r="G466" s="2" t="s">
        <v>54</v>
      </c>
      <c r="H466" s="2" t="s">
        <v>54</v>
      </c>
      <c r="I466" s="3" t="s">
        <v>53</v>
      </c>
      <c r="J466" s="44">
        <v>2</v>
      </c>
      <c r="K466" s="44" t="s">
        <v>54</v>
      </c>
      <c r="L466" s="44" t="s">
        <v>526</v>
      </c>
      <c r="M466" s="25"/>
      <c r="N466" s="82"/>
      <c r="O466" s="16"/>
      <c r="P466" s="16"/>
      <c r="Q466" s="2">
        <v>2</v>
      </c>
      <c r="R466" s="82" t="s">
        <v>432</v>
      </c>
      <c r="S466" s="2"/>
      <c r="T466" s="2"/>
      <c r="U466" s="2"/>
      <c r="V466" s="72"/>
    </row>
    <row r="467" spans="1:22" hidden="1">
      <c r="A467" s="2">
        <f t="shared" si="3"/>
        <v>21</v>
      </c>
      <c r="B467" s="3" t="s">
        <v>486</v>
      </c>
      <c r="C467" s="3" t="s">
        <v>153</v>
      </c>
      <c r="D467" s="3" t="s">
        <v>629</v>
      </c>
      <c r="E467" s="3" t="s">
        <v>72</v>
      </c>
      <c r="F467" s="6" t="s">
        <v>72</v>
      </c>
      <c r="G467" s="2" t="s">
        <v>54</v>
      </c>
      <c r="H467" s="2" t="s">
        <v>52</v>
      </c>
      <c r="I467" s="3" t="s">
        <v>73</v>
      </c>
      <c r="J467" s="44" t="s">
        <v>54</v>
      </c>
      <c r="K467" s="44" t="s">
        <v>54</v>
      </c>
      <c r="L467" s="44" t="s">
        <v>526</v>
      </c>
      <c r="M467" s="25"/>
      <c r="N467" s="82"/>
      <c r="O467" s="16"/>
      <c r="P467" s="16"/>
      <c r="Q467" s="16"/>
      <c r="R467" s="16" t="s">
        <v>679</v>
      </c>
      <c r="S467" s="2"/>
      <c r="T467" s="2"/>
      <c r="U467" s="2"/>
      <c r="V467" s="72"/>
    </row>
    <row r="468" spans="1:22" hidden="1">
      <c r="A468" s="2">
        <f t="shared" ref="A468:A531" si="4">IF(D467=D468,A467+1,1)</f>
        <v>22</v>
      </c>
      <c r="B468" s="3" t="s">
        <v>486</v>
      </c>
      <c r="C468" s="3" t="s">
        <v>153</v>
      </c>
      <c r="D468" s="3" t="s">
        <v>629</v>
      </c>
      <c r="E468" s="3" t="s">
        <v>74</v>
      </c>
      <c r="F468" s="6" t="s">
        <v>74</v>
      </c>
      <c r="G468" s="2" t="s">
        <v>54</v>
      </c>
      <c r="H468" s="2" t="s">
        <v>52</v>
      </c>
      <c r="I468" s="3" t="s">
        <v>53</v>
      </c>
      <c r="J468" s="44">
        <v>12</v>
      </c>
      <c r="K468" s="44" t="s">
        <v>54</v>
      </c>
      <c r="L468" s="44" t="s">
        <v>526</v>
      </c>
      <c r="M468" s="25"/>
      <c r="N468" s="82"/>
      <c r="O468" s="16"/>
      <c r="P468" s="16"/>
      <c r="Q468" s="16"/>
      <c r="R468" s="16" t="s">
        <v>679</v>
      </c>
      <c r="S468" s="2"/>
      <c r="T468" s="2"/>
      <c r="U468" s="2"/>
      <c r="V468" s="72"/>
    </row>
    <row r="469" spans="1:22" hidden="1">
      <c r="A469" s="2">
        <f t="shared" si="4"/>
        <v>23</v>
      </c>
      <c r="B469" s="3" t="s">
        <v>486</v>
      </c>
      <c r="C469" s="3" t="s">
        <v>153</v>
      </c>
      <c r="D469" s="3" t="s">
        <v>629</v>
      </c>
      <c r="E469" s="3" t="s">
        <v>75</v>
      </c>
      <c r="F469" s="6" t="s">
        <v>75</v>
      </c>
      <c r="G469" s="2" t="s">
        <v>54</v>
      </c>
      <c r="H469" s="2" t="s">
        <v>52</v>
      </c>
      <c r="I469" s="3" t="s">
        <v>53</v>
      </c>
      <c r="J469" s="44">
        <v>20</v>
      </c>
      <c r="K469" s="44" t="s">
        <v>54</v>
      </c>
      <c r="L469" s="44" t="s">
        <v>526</v>
      </c>
      <c r="M469" s="25"/>
      <c r="N469" s="82"/>
      <c r="O469" s="16"/>
      <c r="P469" s="16"/>
      <c r="Q469" s="16"/>
      <c r="R469" s="16" t="s">
        <v>679</v>
      </c>
      <c r="S469" s="2"/>
      <c r="T469" s="2"/>
      <c r="U469" s="2"/>
      <c r="V469" s="72"/>
    </row>
    <row r="470" spans="1:22" hidden="1">
      <c r="A470" s="2">
        <f t="shared" si="4"/>
        <v>1</v>
      </c>
      <c r="B470" s="3" t="s">
        <v>486</v>
      </c>
      <c r="C470" s="3" t="s">
        <v>1670</v>
      </c>
      <c r="D470" s="3" t="s">
        <v>630</v>
      </c>
      <c r="E470" s="3" t="s">
        <v>50</v>
      </c>
      <c r="F470" s="6" t="s">
        <v>50</v>
      </c>
      <c r="G470" s="2" t="s">
        <v>51</v>
      </c>
      <c r="H470" s="2" t="s">
        <v>52</v>
      </c>
      <c r="I470" s="3" t="s">
        <v>53</v>
      </c>
      <c r="J470" s="44">
        <v>14</v>
      </c>
      <c r="K470" s="44" t="s">
        <v>54</v>
      </c>
      <c r="L470" s="44" t="s">
        <v>526</v>
      </c>
      <c r="M470" s="25"/>
      <c r="N470" s="82"/>
      <c r="O470" s="16"/>
      <c r="P470" s="16"/>
      <c r="Q470" s="16"/>
      <c r="R470" s="16"/>
      <c r="S470" s="2"/>
      <c r="T470" s="2"/>
      <c r="U470" s="2"/>
      <c r="V470" s="72"/>
    </row>
    <row r="471" spans="1:22" hidden="1">
      <c r="A471" s="2">
        <f t="shared" si="4"/>
        <v>2</v>
      </c>
      <c r="B471" s="3" t="s">
        <v>486</v>
      </c>
      <c r="C471" s="3" t="s">
        <v>111</v>
      </c>
      <c r="D471" s="3" t="s">
        <v>630</v>
      </c>
      <c r="E471" s="3" t="s">
        <v>55</v>
      </c>
      <c r="F471" s="6" t="s">
        <v>1593</v>
      </c>
      <c r="G471" s="2" t="s">
        <v>51</v>
      </c>
      <c r="H471" s="2" t="s">
        <v>52</v>
      </c>
      <c r="I471" s="3" t="s">
        <v>53</v>
      </c>
      <c r="J471" s="44">
        <v>8</v>
      </c>
      <c r="K471" s="44" t="s">
        <v>54</v>
      </c>
      <c r="L471" s="44" t="s">
        <v>504</v>
      </c>
      <c r="M471" s="25" t="s">
        <v>501</v>
      </c>
      <c r="N471" s="82"/>
      <c r="O471" s="16"/>
      <c r="P471" s="16"/>
      <c r="Q471" s="16"/>
      <c r="R471" s="16"/>
      <c r="S471" s="2"/>
      <c r="T471" s="2"/>
      <c r="U471" s="2"/>
    </row>
    <row r="472" spans="1:22" hidden="1">
      <c r="A472" s="2">
        <f t="shared" si="4"/>
        <v>3</v>
      </c>
      <c r="B472" s="3" t="s">
        <v>486</v>
      </c>
      <c r="C472" s="3" t="s">
        <v>111</v>
      </c>
      <c r="D472" s="3" t="s">
        <v>630</v>
      </c>
      <c r="E472" s="3" t="s">
        <v>56</v>
      </c>
      <c r="F472" s="6" t="s">
        <v>1595</v>
      </c>
      <c r="G472" s="2" t="s">
        <v>51</v>
      </c>
      <c r="H472" s="2" t="s">
        <v>52</v>
      </c>
      <c r="I472" s="3" t="s">
        <v>53</v>
      </c>
      <c r="J472" s="44">
        <v>6</v>
      </c>
      <c r="K472" s="44" t="s">
        <v>54</v>
      </c>
      <c r="L472" s="44" t="s">
        <v>505</v>
      </c>
      <c r="M472" s="25" t="s">
        <v>506</v>
      </c>
      <c r="N472" s="16"/>
      <c r="O472" s="16"/>
      <c r="P472" s="16"/>
      <c r="Q472" s="16"/>
      <c r="R472" s="16"/>
      <c r="S472" s="2"/>
      <c r="T472" s="2"/>
      <c r="U472" s="2"/>
    </row>
    <row r="473" spans="1:22" ht="135" hidden="1">
      <c r="A473" s="2">
        <f t="shared" si="4"/>
        <v>4</v>
      </c>
      <c r="B473" s="48" t="s">
        <v>486</v>
      </c>
      <c r="C473" s="48" t="s">
        <v>111</v>
      </c>
      <c r="D473" s="48" t="s">
        <v>630</v>
      </c>
      <c r="E473" s="48" t="s">
        <v>57</v>
      </c>
      <c r="F473" s="49" t="s">
        <v>57</v>
      </c>
      <c r="G473" s="47" t="s">
        <v>54</v>
      </c>
      <c r="H473" s="47" t="s">
        <v>54</v>
      </c>
      <c r="I473" s="48" t="s">
        <v>53</v>
      </c>
      <c r="J473" s="51">
        <v>10</v>
      </c>
      <c r="K473" s="51" t="s">
        <v>54</v>
      </c>
      <c r="L473" s="51" t="s">
        <v>517</v>
      </c>
      <c r="M473" s="52"/>
      <c r="N473" s="53" t="s">
        <v>610</v>
      </c>
      <c r="O473" s="83"/>
      <c r="P473" s="83"/>
      <c r="Q473" s="83"/>
      <c r="R473" s="83"/>
      <c r="S473" s="47"/>
      <c r="T473" s="47"/>
      <c r="U473" s="47"/>
    </row>
    <row r="474" spans="1:22" hidden="1">
      <c r="A474" s="2">
        <f t="shared" si="4"/>
        <v>5</v>
      </c>
      <c r="B474" s="3" t="s">
        <v>486</v>
      </c>
      <c r="C474" s="3" t="s">
        <v>111</v>
      </c>
      <c r="D474" s="3" t="s">
        <v>630</v>
      </c>
      <c r="E474" s="3" t="s">
        <v>58</v>
      </c>
      <c r="F474" s="6" t="s">
        <v>58</v>
      </c>
      <c r="G474" s="2" t="s">
        <v>54</v>
      </c>
      <c r="H474" s="2" t="s">
        <v>54</v>
      </c>
      <c r="I474" s="3" t="s">
        <v>53</v>
      </c>
      <c r="J474" s="44">
        <v>4</v>
      </c>
      <c r="K474" s="44" t="s">
        <v>54</v>
      </c>
      <c r="L474" s="44" t="s">
        <v>526</v>
      </c>
      <c r="M474" s="25"/>
      <c r="N474" s="16"/>
      <c r="O474" s="16"/>
      <c r="P474" s="16"/>
      <c r="Q474" s="2">
        <v>4</v>
      </c>
      <c r="R474" s="85" t="s">
        <v>349</v>
      </c>
      <c r="S474" s="2"/>
      <c r="T474" s="2"/>
      <c r="U474" s="2"/>
    </row>
    <row r="475" spans="1:22" hidden="1">
      <c r="A475" s="2">
        <f t="shared" si="4"/>
        <v>6</v>
      </c>
      <c r="B475" s="3" t="s">
        <v>486</v>
      </c>
      <c r="C475" s="3" t="s">
        <v>111</v>
      </c>
      <c r="D475" s="3" t="s">
        <v>630</v>
      </c>
      <c r="E475" s="3" t="s">
        <v>59</v>
      </c>
      <c r="F475" s="6" t="s">
        <v>59</v>
      </c>
      <c r="G475" s="2" t="s">
        <v>54</v>
      </c>
      <c r="H475" s="2" t="s">
        <v>54</v>
      </c>
      <c r="I475" s="3" t="s">
        <v>53</v>
      </c>
      <c r="J475" s="44">
        <v>10</v>
      </c>
      <c r="K475" s="44" t="s">
        <v>54</v>
      </c>
      <c r="L475" s="44" t="s">
        <v>526</v>
      </c>
      <c r="M475" s="25"/>
      <c r="N475" s="16"/>
      <c r="O475" s="16"/>
      <c r="P475" s="16"/>
      <c r="Q475" s="2">
        <v>10</v>
      </c>
      <c r="R475" s="16" t="s">
        <v>350</v>
      </c>
      <c r="S475" s="2"/>
      <c r="T475" s="2"/>
      <c r="U475" s="2"/>
    </row>
    <row r="476" spans="1:22" hidden="1">
      <c r="A476" s="2">
        <f t="shared" si="4"/>
        <v>7</v>
      </c>
      <c r="B476" s="3" t="s">
        <v>486</v>
      </c>
      <c r="C476" s="3" t="s">
        <v>111</v>
      </c>
      <c r="D476" s="3" t="s">
        <v>630</v>
      </c>
      <c r="E476" s="3" t="s">
        <v>60</v>
      </c>
      <c r="F476" s="6" t="s">
        <v>60</v>
      </c>
      <c r="G476" s="2" t="s">
        <v>54</v>
      </c>
      <c r="H476" s="2" t="s">
        <v>54</v>
      </c>
      <c r="I476" s="3" t="s">
        <v>53</v>
      </c>
      <c r="J476" s="44">
        <v>14</v>
      </c>
      <c r="K476" s="44" t="s">
        <v>54</v>
      </c>
      <c r="L476" s="44" t="s">
        <v>526</v>
      </c>
      <c r="M476" s="25"/>
      <c r="N476" s="16"/>
      <c r="O476" s="16"/>
      <c r="P476" s="16"/>
      <c r="Q476" s="2">
        <v>14</v>
      </c>
      <c r="R476" s="16" t="s">
        <v>351</v>
      </c>
      <c r="S476" s="2"/>
      <c r="T476" s="2"/>
      <c r="U476" s="2"/>
    </row>
    <row r="477" spans="1:22" hidden="1">
      <c r="A477" s="2">
        <f t="shared" si="4"/>
        <v>8</v>
      </c>
      <c r="B477" s="3" t="s">
        <v>486</v>
      </c>
      <c r="C477" s="3" t="s">
        <v>111</v>
      </c>
      <c r="D477" s="3" t="s">
        <v>630</v>
      </c>
      <c r="E477" s="3" t="s">
        <v>129</v>
      </c>
      <c r="F477" s="6" t="s">
        <v>129</v>
      </c>
      <c r="G477" s="2" t="s">
        <v>54</v>
      </c>
      <c r="H477" s="2" t="s">
        <v>54</v>
      </c>
      <c r="I477" s="3" t="s">
        <v>53</v>
      </c>
      <c r="J477" s="44">
        <v>1</v>
      </c>
      <c r="K477" s="44" t="s">
        <v>54</v>
      </c>
      <c r="L477" s="44" t="s">
        <v>526</v>
      </c>
      <c r="M477" s="25"/>
      <c r="N477" s="16"/>
      <c r="O477" s="16"/>
      <c r="P477" s="16"/>
      <c r="Q477" s="86">
        <v>1</v>
      </c>
      <c r="R477" s="16" t="s">
        <v>450</v>
      </c>
      <c r="S477" s="2"/>
      <c r="T477" s="2"/>
      <c r="U477" s="2"/>
    </row>
    <row r="478" spans="1:22" hidden="1">
      <c r="A478" s="2">
        <f t="shared" si="4"/>
        <v>9</v>
      </c>
      <c r="B478" s="3" t="s">
        <v>486</v>
      </c>
      <c r="C478" s="3" t="s">
        <v>111</v>
      </c>
      <c r="D478" s="3" t="s">
        <v>630</v>
      </c>
      <c r="E478" s="3" t="s">
        <v>130</v>
      </c>
      <c r="F478" s="6" t="s">
        <v>130</v>
      </c>
      <c r="G478" s="2" t="s">
        <v>54</v>
      </c>
      <c r="H478" s="2" t="s">
        <v>52</v>
      </c>
      <c r="I478" s="3" t="s">
        <v>68</v>
      </c>
      <c r="J478" s="44">
        <v>5</v>
      </c>
      <c r="K478" s="44" t="s">
        <v>54</v>
      </c>
      <c r="L478" s="44" t="s">
        <v>526</v>
      </c>
      <c r="M478" s="25"/>
      <c r="N478" s="16"/>
      <c r="O478" s="16"/>
      <c r="P478" s="16"/>
      <c r="Q478" s="86">
        <v>5</v>
      </c>
      <c r="R478" s="16" t="s">
        <v>451</v>
      </c>
      <c r="S478" s="2"/>
      <c r="T478" s="2"/>
      <c r="U478" s="2"/>
    </row>
    <row r="479" spans="1:22" hidden="1">
      <c r="A479" s="2">
        <f t="shared" si="4"/>
        <v>10</v>
      </c>
      <c r="B479" s="3" t="s">
        <v>486</v>
      </c>
      <c r="C479" s="3" t="s">
        <v>111</v>
      </c>
      <c r="D479" s="3" t="s">
        <v>630</v>
      </c>
      <c r="E479" s="3" t="s">
        <v>131</v>
      </c>
      <c r="F479" s="6" t="s">
        <v>131</v>
      </c>
      <c r="G479" s="2" t="s">
        <v>54</v>
      </c>
      <c r="H479" s="2" t="s">
        <v>52</v>
      </c>
      <c r="I479" s="3" t="s">
        <v>68</v>
      </c>
      <c r="J479" s="44">
        <v>3</v>
      </c>
      <c r="K479" s="44" t="s">
        <v>54</v>
      </c>
      <c r="L479" s="44" t="s">
        <v>526</v>
      </c>
      <c r="M479" s="25"/>
      <c r="N479" s="16"/>
      <c r="O479" s="16"/>
      <c r="P479" s="16"/>
      <c r="Q479" s="86">
        <v>3</v>
      </c>
      <c r="R479" s="16" t="s">
        <v>452</v>
      </c>
      <c r="S479" s="2"/>
      <c r="T479" s="2"/>
      <c r="U479" s="2"/>
    </row>
    <row r="480" spans="1:22" hidden="1">
      <c r="A480" s="2">
        <f t="shared" si="4"/>
        <v>11</v>
      </c>
      <c r="B480" s="3" t="s">
        <v>486</v>
      </c>
      <c r="C480" s="3" t="s">
        <v>111</v>
      </c>
      <c r="D480" s="3" t="s">
        <v>630</v>
      </c>
      <c r="E480" s="3" t="s">
        <v>132</v>
      </c>
      <c r="F480" s="6" t="s">
        <v>132</v>
      </c>
      <c r="G480" s="2" t="s">
        <v>54</v>
      </c>
      <c r="H480" s="2" t="s">
        <v>52</v>
      </c>
      <c r="I480" s="3" t="s">
        <v>68</v>
      </c>
      <c r="J480" s="44">
        <v>3</v>
      </c>
      <c r="K480" s="44" t="s">
        <v>54</v>
      </c>
      <c r="L480" s="44" t="s">
        <v>526</v>
      </c>
      <c r="M480" s="25"/>
      <c r="N480" s="16"/>
      <c r="O480" s="16"/>
      <c r="P480" s="16"/>
      <c r="Q480" s="87">
        <v>3</v>
      </c>
      <c r="R480" s="16" t="s">
        <v>453</v>
      </c>
      <c r="S480" s="2"/>
      <c r="T480" s="2"/>
      <c r="U480" s="2"/>
    </row>
    <row r="481" spans="1:21" hidden="1">
      <c r="A481" s="2">
        <f t="shared" si="4"/>
        <v>12</v>
      </c>
      <c r="B481" s="3" t="s">
        <v>486</v>
      </c>
      <c r="C481" s="3" t="s">
        <v>111</v>
      </c>
      <c r="D481" s="3" t="s">
        <v>630</v>
      </c>
      <c r="E481" s="3" t="s">
        <v>72</v>
      </c>
      <c r="F481" s="6" t="s">
        <v>72</v>
      </c>
      <c r="G481" s="2" t="s">
        <v>54</v>
      </c>
      <c r="H481" s="2" t="s">
        <v>52</v>
      </c>
      <c r="I481" s="3" t="s">
        <v>73</v>
      </c>
      <c r="J481" s="44" t="s">
        <v>54</v>
      </c>
      <c r="K481" s="44" t="s">
        <v>54</v>
      </c>
      <c r="L481" s="44" t="s">
        <v>526</v>
      </c>
      <c r="M481" s="25"/>
      <c r="N481" s="16"/>
      <c r="O481" s="16"/>
      <c r="P481" s="16"/>
      <c r="Q481" s="16"/>
      <c r="R481" s="16" t="s">
        <v>679</v>
      </c>
      <c r="S481" s="2"/>
      <c r="T481" s="2"/>
      <c r="U481" s="2"/>
    </row>
    <row r="482" spans="1:21" hidden="1">
      <c r="A482" s="2">
        <f t="shared" si="4"/>
        <v>13</v>
      </c>
      <c r="B482" s="3" t="s">
        <v>486</v>
      </c>
      <c r="C482" s="3" t="s">
        <v>111</v>
      </c>
      <c r="D482" s="3" t="s">
        <v>630</v>
      </c>
      <c r="E482" s="3" t="s">
        <v>74</v>
      </c>
      <c r="F482" s="6" t="s">
        <v>74</v>
      </c>
      <c r="G482" s="2" t="s">
        <v>54</v>
      </c>
      <c r="H482" s="2" t="s">
        <v>52</v>
      </c>
      <c r="I482" s="3" t="s">
        <v>53</v>
      </c>
      <c r="J482" s="44">
        <v>12</v>
      </c>
      <c r="K482" s="44" t="s">
        <v>54</v>
      </c>
      <c r="L482" s="44" t="s">
        <v>526</v>
      </c>
      <c r="M482" s="25"/>
      <c r="N482" s="16"/>
      <c r="O482" s="16"/>
      <c r="P482" s="16"/>
      <c r="Q482" s="16"/>
      <c r="R482" s="16" t="s">
        <v>679</v>
      </c>
      <c r="S482" s="2"/>
      <c r="T482" s="2"/>
      <c r="U482" s="2"/>
    </row>
    <row r="483" spans="1:21" hidden="1">
      <c r="A483" s="2">
        <f t="shared" si="4"/>
        <v>14</v>
      </c>
      <c r="B483" s="3" t="s">
        <v>486</v>
      </c>
      <c r="C483" s="3" t="s">
        <v>111</v>
      </c>
      <c r="D483" s="3" t="s">
        <v>630</v>
      </c>
      <c r="E483" s="3" t="s">
        <v>75</v>
      </c>
      <c r="F483" s="6" t="s">
        <v>75</v>
      </c>
      <c r="G483" s="2" t="s">
        <v>54</v>
      </c>
      <c r="H483" s="2" t="s">
        <v>52</v>
      </c>
      <c r="I483" s="3" t="s">
        <v>53</v>
      </c>
      <c r="J483" s="44">
        <v>20</v>
      </c>
      <c r="K483" s="44" t="s">
        <v>54</v>
      </c>
      <c r="L483" s="44" t="s">
        <v>526</v>
      </c>
      <c r="M483" s="25"/>
      <c r="N483" s="16"/>
      <c r="O483" s="16"/>
      <c r="P483" s="16"/>
      <c r="Q483" s="16"/>
      <c r="R483" s="16" t="s">
        <v>679</v>
      </c>
      <c r="S483" s="2"/>
      <c r="T483" s="2"/>
      <c r="U483" s="2"/>
    </row>
    <row r="484" spans="1:21" hidden="1">
      <c r="A484" s="2">
        <f t="shared" si="4"/>
        <v>1</v>
      </c>
      <c r="B484" s="3" t="s">
        <v>486</v>
      </c>
      <c r="C484" s="3" t="s">
        <v>1671</v>
      </c>
      <c r="D484" s="3" t="s">
        <v>631</v>
      </c>
      <c r="E484" s="3" t="s">
        <v>50</v>
      </c>
      <c r="F484" s="6" t="s">
        <v>50</v>
      </c>
      <c r="G484" s="2" t="s">
        <v>51</v>
      </c>
      <c r="H484" s="2" t="s">
        <v>52</v>
      </c>
      <c r="I484" s="3" t="s">
        <v>53</v>
      </c>
      <c r="J484" s="44">
        <v>14</v>
      </c>
      <c r="K484" s="44" t="s">
        <v>54</v>
      </c>
      <c r="L484" s="44" t="s">
        <v>526</v>
      </c>
      <c r="M484" s="25"/>
      <c r="N484" s="16"/>
      <c r="O484" s="16"/>
      <c r="P484" s="16"/>
      <c r="Q484" s="16"/>
      <c r="R484" s="16"/>
      <c r="S484" s="2"/>
      <c r="T484" s="2"/>
      <c r="U484" s="2"/>
    </row>
    <row r="485" spans="1:21" hidden="1">
      <c r="A485" s="2">
        <f t="shared" si="4"/>
        <v>2</v>
      </c>
      <c r="B485" s="3" t="s">
        <v>486</v>
      </c>
      <c r="C485" s="3" t="s">
        <v>114</v>
      </c>
      <c r="D485" s="3" t="s">
        <v>631</v>
      </c>
      <c r="E485" s="3" t="s">
        <v>55</v>
      </c>
      <c r="F485" s="6" t="s">
        <v>1593</v>
      </c>
      <c r="G485" s="2" t="s">
        <v>51</v>
      </c>
      <c r="H485" s="2" t="s">
        <v>52</v>
      </c>
      <c r="I485" s="3" t="s">
        <v>53</v>
      </c>
      <c r="J485" s="44">
        <v>8</v>
      </c>
      <c r="K485" s="44" t="s">
        <v>54</v>
      </c>
      <c r="L485" s="44" t="s">
        <v>504</v>
      </c>
      <c r="M485" s="25" t="s">
        <v>501</v>
      </c>
      <c r="N485" s="16"/>
      <c r="O485" s="16"/>
      <c r="P485" s="16"/>
      <c r="Q485" s="16"/>
      <c r="R485" s="16"/>
      <c r="S485" s="2"/>
      <c r="T485" s="2"/>
      <c r="U485" s="2"/>
    </row>
    <row r="486" spans="1:21" hidden="1">
      <c r="A486" s="2">
        <f t="shared" si="4"/>
        <v>3</v>
      </c>
      <c r="B486" s="3" t="s">
        <v>486</v>
      </c>
      <c r="C486" s="3" t="s">
        <v>114</v>
      </c>
      <c r="D486" s="3" t="s">
        <v>631</v>
      </c>
      <c r="E486" s="3" t="s">
        <v>56</v>
      </c>
      <c r="F486" s="6" t="s">
        <v>1595</v>
      </c>
      <c r="G486" s="2" t="s">
        <v>51</v>
      </c>
      <c r="H486" s="2" t="s">
        <v>52</v>
      </c>
      <c r="I486" s="3" t="s">
        <v>53</v>
      </c>
      <c r="J486" s="44">
        <v>6</v>
      </c>
      <c r="K486" s="44" t="s">
        <v>54</v>
      </c>
      <c r="L486" s="44" t="s">
        <v>505</v>
      </c>
      <c r="M486" s="25" t="s">
        <v>506</v>
      </c>
      <c r="N486" s="16"/>
      <c r="O486" s="16"/>
      <c r="P486" s="16"/>
      <c r="Q486" s="16"/>
      <c r="R486" s="16"/>
      <c r="S486" s="2"/>
      <c r="T486" s="2"/>
      <c r="U486" s="2"/>
    </row>
    <row r="487" spans="1:21" hidden="1">
      <c r="A487" s="2">
        <f t="shared" si="4"/>
        <v>4</v>
      </c>
      <c r="B487" s="3" t="s">
        <v>486</v>
      </c>
      <c r="C487" s="3" t="s">
        <v>114</v>
      </c>
      <c r="D487" s="3" t="s">
        <v>631</v>
      </c>
      <c r="E487" s="3" t="s">
        <v>77</v>
      </c>
      <c r="F487" s="6" t="str">
        <f>MID(D487,5,LEN(D487)-6)&amp;"일련번호"</f>
        <v>NICE허위대출스코어상세일련번호</v>
      </c>
      <c r="G487" s="2" t="s">
        <v>51</v>
      </c>
      <c r="H487" s="2" t="s">
        <v>52</v>
      </c>
      <c r="I487" s="3" t="s">
        <v>68</v>
      </c>
      <c r="J487" s="44">
        <v>3</v>
      </c>
      <c r="K487" s="44" t="s">
        <v>54</v>
      </c>
      <c r="L487" s="44" t="s">
        <v>504</v>
      </c>
      <c r="M487" s="25" t="s">
        <v>501</v>
      </c>
      <c r="N487" s="16"/>
      <c r="O487" s="16"/>
      <c r="P487" s="16"/>
      <c r="Q487" s="16"/>
      <c r="R487" s="16"/>
      <c r="S487" s="2"/>
      <c r="T487" s="2"/>
      <c r="U487" s="2"/>
    </row>
    <row r="488" spans="1:21" ht="175.5" hidden="1">
      <c r="A488" s="2">
        <f t="shared" si="4"/>
        <v>5</v>
      </c>
      <c r="B488" s="48" t="s">
        <v>486</v>
      </c>
      <c r="C488" s="48" t="s">
        <v>114</v>
      </c>
      <c r="D488" s="48" t="s">
        <v>631</v>
      </c>
      <c r="E488" s="48" t="s">
        <v>134</v>
      </c>
      <c r="F488" s="49" t="s">
        <v>134</v>
      </c>
      <c r="G488" s="47" t="s">
        <v>54</v>
      </c>
      <c r="H488" s="47" t="s">
        <v>54</v>
      </c>
      <c r="I488" s="48" t="s">
        <v>53</v>
      </c>
      <c r="J488" s="51">
        <v>2</v>
      </c>
      <c r="K488" s="51" t="s">
        <v>54</v>
      </c>
      <c r="L488" s="51" t="s">
        <v>517</v>
      </c>
      <c r="M488" s="52"/>
      <c r="N488" s="53" t="s">
        <v>611</v>
      </c>
      <c r="O488" s="83"/>
      <c r="P488" s="83"/>
      <c r="Q488" s="83"/>
      <c r="R488" s="83"/>
      <c r="S488" s="47"/>
      <c r="T488" s="47"/>
      <c r="U488" s="47"/>
    </row>
    <row r="489" spans="1:21" hidden="1">
      <c r="A489" s="2">
        <f t="shared" si="4"/>
        <v>6</v>
      </c>
      <c r="B489" s="3" t="s">
        <v>486</v>
      </c>
      <c r="C489" s="3" t="s">
        <v>114</v>
      </c>
      <c r="D489" s="3" t="s">
        <v>631</v>
      </c>
      <c r="E489" s="3" t="s">
        <v>135</v>
      </c>
      <c r="F489" s="6" t="s">
        <v>462</v>
      </c>
      <c r="G489" s="2" t="s">
        <v>54</v>
      </c>
      <c r="H489" s="2" t="s">
        <v>54</v>
      </c>
      <c r="I489" s="3" t="s">
        <v>53</v>
      </c>
      <c r="J489" s="44">
        <v>10</v>
      </c>
      <c r="K489" s="44" t="s">
        <v>54</v>
      </c>
      <c r="L489" s="44" t="s">
        <v>526</v>
      </c>
      <c r="M489" s="25"/>
      <c r="N489" s="16"/>
      <c r="O489" s="16"/>
      <c r="P489" s="16"/>
      <c r="Q489" s="16">
        <v>10</v>
      </c>
      <c r="R489" s="88" t="s">
        <v>454</v>
      </c>
      <c r="S489" s="2"/>
      <c r="T489" s="2"/>
      <c r="U489" s="2"/>
    </row>
    <row r="490" spans="1:21" hidden="1">
      <c r="A490" s="2">
        <f t="shared" si="4"/>
        <v>7</v>
      </c>
      <c r="B490" s="3" t="s">
        <v>486</v>
      </c>
      <c r="C490" s="3" t="s">
        <v>114</v>
      </c>
      <c r="D490" s="3" t="s">
        <v>631</v>
      </c>
      <c r="E490" s="3" t="s">
        <v>136</v>
      </c>
      <c r="F490" s="6" t="s">
        <v>461</v>
      </c>
      <c r="G490" s="2" t="s">
        <v>54</v>
      </c>
      <c r="H490" s="2" t="s">
        <v>52</v>
      </c>
      <c r="I490" s="3" t="s">
        <v>68</v>
      </c>
      <c r="J490" s="44">
        <v>5</v>
      </c>
      <c r="K490" s="44" t="s">
        <v>54</v>
      </c>
      <c r="L490" s="44" t="s">
        <v>526</v>
      </c>
      <c r="M490" s="25"/>
      <c r="N490" s="16"/>
      <c r="O490" s="16"/>
      <c r="P490" s="16"/>
      <c r="Q490" s="16">
        <v>4</v>
      </c>
      <c r="R490" s="88" t="s">
        <v>455</v>
      </c>
      <c r="S490" s="2"/>
      <c r="T490" s="2"/>
      <c r="U490" s="2"/>
    </row>
    <row r="491" spans="1:21" hidden="1">
      <c r="A491" s="2">
        <f t="shared" si="4"/>
        <v>8</v>
      </c>
      <c r="B491" s="3" t="s">
        <v>486</v>
      </c>
      <c r="C491" s="3" t="s">
        <v>114</v>
      </c>
      <c r="D491" s="3" t="s">
        <v>631</v>
      </c>
      <c r="E491" s="3" t="s">
        <v>137</v>
      </c>
      <c r="F491" s="6" t="s">
        <v>460</v>
      </c>
      <c r="G491" s="2" t="s">
        <v>54</v>
      </c>
      <c r="H491" s="2" t="s">
        <v>54</v>
      </c>
      <c r="I491" s="3" t="s">
        <v>53</v>
      </c>
      <c r="J491" s="44">
        <v>2</v>
      </c>
      <c r="K491" s="44" t="s">
        <v>54</v>
      </c>
      <c r="L491" s="44" t="s">
        <v>526</v>
      </c>
      <c r="M491" s="25"/>
      <c r="N491" s="16"/>
      <c r="O491" s="16"/>
      <c r="P491" s="16"/>
      <c r="Q491" s="16">
        <v>2</v>
      </c>
      <c r="R491" s="88" t="s">
        <v>459</v>
      </c>
      <c r="S491" s="2"/>
      <c r="T491" s="2"/>
      <c r="U491" s="2"/>
    </row>
    <row r="492" spans="1:21" hidden="1">
      <c r="A492" s="2">
        <f t="shared" si="4"/>
        <v>9</v>
      </c>
      <c r="B492" s="3" t="s">
        <v>486</v>
      </c>
      <c r="C492" s="3" t="s">
        <v>114</v>
      </c>
      <c r="D492" s="3" t="s">
        <v>631</v>
      </c>
      <c r="E492" s="3" t="s">
        <v>552</v>
      </c>
      <c r="F492" s="6" t="s">
        <v>138</v>
      </c>
      <c r="G492" s="2" t="s">
        <v>54</v>
      </c>
      <c r="H492" s="2" t="s">
        <v>54</v>
      </c>
      <c r="I492" s="3" t="s">
        <v>53</v>
      </c>
      <c r="J492" s="44">
        <v>4</v>
      </c>
      <c r="K492" s="44" t="s">
        <v>54</v>
      </c>
      <c r="L492" s="44" t="s">
        <v>526</v>
      </c>
      <c r="M492" s="25"/>
      <c r="N492" s="16"/>
      <c r="O492" s="16"/>
      <c r="P492" s="16"/>
      <c r="Q492" s="16">
        <v>4</v>
      </c>
      <c r="R492" s="88" t="s">
        <v>456</v>
      </c>
      <c r="S492" s="2"/>
      <c r="T492" s="2"/>
      <c r="U492" s="2"/>
    </row>
    <row r="493" spans="1:21" hidden="1">
      <c r="A493" s="2">
        <f t="shared" si="4"/>
        <v>10</v>
      </c>
      <c r="B493" s="3" t="s">
        <v>486</v>
      </c>
      <c r="C493" s="3" t="s">
        <v>114</v>
      </c>
      <c r="D493" s="3" t="s">
        <v>631</v>
      </c>
      <c r="E493" s="3" t="s">
        <v>139</v>
      </c>
      <c r="F493" s="6" t="s">
        <v>139</v>
      </c>
      <c r="G493" s="2" t="s">
        <v>54</v>
      </c>
      <c r="H493" s="2" t="s">
        <v>54</v>
      </c>
      <c r="I493" s="3" t="s">
        <v>53</v>
      </c>
      <c r="J493" s="44">
        <v>4</v>
      </c>
      <c r="K493" s="44" t="s">
        <v>54</v>
      </c>
      <c r="L493" s="44" t="s">
        <v>526</v>
      </c>
      <c r="M493" s="25"/>
      <c r="N493" s="16"/>
      <c r="O493" s="16"/>
      <c r="P493" s="16"/>
      <c r="Q493" s="16">
        <v>4</v>
      </c>
      <c r="R493" s="88" t="s">
        <v>457</v>
      </c>
      <c r="S493" s="2"/>
      <c r="T493" s="2"/>
      <c r="U493" s="2"/>
    </row>
    <row r="494" spans="1:21" hidden="1">
      <c r="A494" s="2">
        <f t="shared" si="4"/>
        <v>11</v>
      </c>
      <c r="B494" s="3" t="s">
        <v>486</v>
      </c>
      <c r="C494" s="3" t="s">
        <v>114</v>
      </c>
      <c r="D494" s="3" t="s">
        <v>631</v>
      </c>
      <c r="E494" s="3" t="s">
        <v>140</v>
      </c>
      <c r="F494" s="6" t="s">
        <v>140</v>
      </c>
      <c r="G494" s="2" t="s">
        <v>54</v>
      </c>
      <c r="H494" s="2" t="s">
        <v>54</v>
      </c>
      <c r="I494" s="3" t="s">
        <v>53</v>
      </c>
      <c r="J494" s="44">
        <v>4</v>
      </c>
      <c r="K494" s="44" t="s">
        <v>54</v>
      </c>
      <c r="L494" s="44" t="s">
        <v>526</v>
      </c>
      <c r="M494" s="25"/>
      <c r="N494" s="16"/>
      <c r="O494" s="16"/>
      <c r="P494" s="16"/>
      <c r="Q494" s="16">
        <v>4</v>
      </c>
      <c r="R494" s="88" t="s">
        <v>458</v>
      </c>
      <c r="S494" s="2"/>
      <c r="T494" s="2"/>
      <c r="U494" s="2"/>
    </row>
    <row r="495" spans="1:21" hidden="1">
      <c r="A495" s="2">
        <f t="shared" si="4"/>
        <v>12</v>
      </c>
      <c r="B495" s="3" t="s">
        <v>486</v>
      </c>
      <c r="C495" s="3" t="s">
        <v>114</v>
      </c>
      <c r="D495" s="3" t="s">
        <v>631</v>
      </c>
      <c r="E495" s="3" t="s">
        <v>72</v>
      </c>
      <c r="F495" s="6" t="s">
        <v>72</v>
      </c>
      <c r="G495" s="2" t="s">
        <v>54</v>
      </c>
      <c r="H495" s="2" t="s">
        <v>52</v>
      </c>
      <c r="I495" s="3" t="s">
        <v>73</v>
      </c>
      <c r="J495" s="44" t="s">
        <v>54</v>
      </c>
      <c r="K495" s="44" t="s">
        <v>54</v>
      </c>
      <c r="L495" s="44" t="s">
        <v>526</v>
      </c>
      <c r="M495" s="25"/>
      <c r="N495" s="16"/>
      <c r="O495" s="16"/>
      <c r="P495" s="16"/>
      <c r="Q495" s="16"/>
      <c r="R495" s="16" t="s">
        <v>679</v>
      </c>
      <c r="S495" s="2"/>
      <c r="T495" s="2"/>
      <c r="U495" s="2"/>
    </row>
    <row r="496" spans="1:21" hidden="1">
      <c r="A496" s="2">
        <f t="shared" si="4"/>
        <v>13</v>
      </c>
      <c r="B496" s="3" t="s">
        <v>486</v>
      </c>
      <c r="C496" s="3" t="s">
        <v>114</v>
      </c>
      <c r="D496" s="3" t="s">
        <v>631</v>
      </c>
      <c r="E496" s="3" t="s">
        <v>74</v>
      </c>
      <c r="F496" s="6" t="s">
        <v>74</v>
      </c>
      <c r="G496" s="2" t="s">
        <v>54</v>
      </c>
      <c r="H496" s="2" t="s">
        <v>52</v>
      </c>
      <c r="I496" s="3" t="s">
        <v>53</v>
      </c>
      <c r="J496" s="44">
        <v>12</v>
      </c>
      <c r="K496" s="44" t="s">
        <v>54</v>
      </c>
      <c r="L496" s="44" t="s">
        <v>526</v>
      </c>
      <c r="M496" s="25"/>
      <c r="N496" s="16"/>
      <c r="O496" s="16"/>
      <c r="P496" s="16"/>
      <c r="Q496" s="16"/>
      <c r="R496" s="16" t="s">
        <v>679</v>
      </c>
      <c r="S496" s="2"/>
      <c r="T496" s="2"/>
      <c r="U496" s="2"/>
    </row>
    <row r="497" spans="1:21" hidden="1">
      <c r="A497" s="2">
        <f t="shared" si="4"/>
        <v>14</v>
      </c>
      <c r="B497" s="3" t="s">
        <v>486</v>
      </c>
      <c r="C497" s="3" t="s">
        <v>114</v>
      </c>
      <c r="D497" s="3" t="s">
        <v>631</v>
      </c>
      <c r="E497" s="3" t="s">
        <v>75</v>
      </c>
      <c r="F497" s="6" t="s">
        <v>75</v>
      </c>
      <c r="G497" s="2" t="s">
        <v>54</v>
      </c>
      <c r="H497" s="2" t="s">
        <v>52</v>
      </c>
      <c r="I497" s="3" t="s">
        <v>53</v>
      </c>
      <c r="J497" s="44">
        <v>20</v>
      </c>
      <c r="K497" s="44" t="s">
        <v>54</v>
      </c>
      <c r="L497" s="44" t="s">
        <v>526</v>
      </c>
      <c r="M497" s="25"/>
      <c r="N497" s="16"/>
      <c r="O497" s="16"/>
      <c r="P497" s="16"/>
      <c r="Q497" s="16"/>
      <c r="R497" s="16" t="s">
        <v>679</v>
      </c>
      <c r="S497" s="2"/>
      <c r="T497" s="2"/>
      <c r="U497" s="2"/>
    </row>
    <row r="498" spans="1:21" hidden="1">
      <c r="A498" s="2">
        <f t="shared" si="4"/>
        <v>1</v>
      </c>
      <c r="B498" s="3" t="s">
        <v>486</v>
      </c>
      <c r="C498" s="3" t="s">
        <v>1672</v>
      </c>
      <c r="D498" s="3" t="s">
        <v>632</v>
      </c>
      <c r="E498" s="3" t="s">
        <v>50</v>
      </c>
      <c r="F498" s="6" t="s">
        <v>50</v>
      </c>
      <c r="G498" s="2" t="s">
        <v>51</v>
      </c>
      <c r="H498" s="2" t="s">
        <v>52</v>
      </c>
      <c r="I498" s="3" t="s">
        <v>53</v>
      </c>
      <c r="J498" s="44">
        <v>14</v>
      </c>
      <c r="K498" s="44" t="s">
        <v>54</v>
      </c>
      <c r="L498" s="44" t="s">
        <v>526</v>
      </c>
      <c r="M498" s="25"/>
      <c r="N498" s="16"/>
      <c r="O498" s="16"/>
      <c r="P498" s="16"/>
      <c r="Q498" s="16"/>
      <c r="R498" s="16"/>
      <c r="S498" s="2"/>
      <c r="T498" s="2"/>
      <c r="U498" s="2"/>
    </row>
    <row r="499" spans="1:21" hidden="1">
      <c r="A499" s="2">
        <f t="shared" si="4"/>
        <v>2</v>
      </c>
      <c r="B499" s="3" t="s">
        <v>486</v>
      </c>
      <c r="C499" s="3" t="s">
        <v>167</v>
      </c>
      <c r="D499" s="3" t="s">
        <v>632</v>
      </c>
      <c r="E499" s="3" t="s">
        <v>55</v>
      </c>
      <c r="F499" s="6" t="s">
        <v>1593</v>
      </c>
      <c r="G499" s="2" t="s">
        <v>51</v>
      </c>
      <c r="H499" s="2" t="s">
        <v>52</v>
      </c>
      <c r="I499" s="3" t="s">
        <v>53</v>
      </c>
      <c r="J499" s="44">
        <v>8</v>
      </c>
      <c r="K499" s="44" t="s">
        <v>54</v>
      </c>
      <c r="L499" s="44" t="s">
        <v>504</v>
      </c>
      <c r="M499" s="25" t="s">
        <v>501</v>
      </c>
      <c r="N499" s="16"/>
      <c r="O499" s="16"/>
      <c r="P499" s="16"/>
      <c r="Q499" s="16"/>
      <c r="R499" s="16"/>
      <c r="S499" s="2"/>
      <c r="T499" s="2"/>
      <c r="U499" s="2"/>
    </row>
    <row r="500" spans="1:21" hidden="1">
      <c r="A500" s="2">
        <f t="shared" si="4"/>
        <v>3</v>
      </c>
      <c r="B500" s="3" t="s">
        <v>486</v>
      </c>
      <c r="C500" s="3" t="s">
        <v>167</v>
      </c>
      <c r="D500" s="3" t="s">
        <v>632</v>
      </c>
      <c r="E500" s="3" t="s">
        <v>56</v>
      </c>
      <c r="F500" s="6" t="s">
        <v>1595</v>
      </c>
      <c r="G500" s="2" t="s">
        <v>51</v>
      </c>
      <c r="H500" s="2" t="s">
        <v>52</v>
      </c>
      <c r="I500" s="3" t="s">
        <v>53</v>
      </c>
      <c r="J500" s="44">
        <v>6</v>
      </c>
      <c r="K500" s="44" t="s">
        <v>54</v>
      </c>
      <c r="L500" s="44" t="s">
        <v>505</v>
      </c>
      <c r="M500" s="25" t="s">
        <v>506</v>
      </c>
      <c r="N500" s="16"/>
      <c r="O500" s="16"/>
      <c r="P500" s="16"/>
      <c r="Q500" s="16"/>
      <c r="R500" s="16"/>
      <c r="S500" s="2"/>
      <c r="T500" s="2"/>
      <c r="U500" s="2"/>
    </row>
    <row r="501" spans="1:21" hidden="1">
      <c r="A501" s="2">
        <f t="shared" si="4"/>
        <v>4</v>
      </c>
      <c r="B501" s="3" t="s">
        <v>486</v>
      </c>
      <c r="C501" s="3" t="s">
        <v>167</v>
      </c>
      <c r="D501" s="3" t="s">
        <v>632</v>
      </c>
      <c r="E501" s="3" t="s">
        <v>77</v>
      </c>
      <c r="F501" s="6" t="s">
        <v>622</v>
      </c>
      <c r="G501" s="2" t="s">
        <v>51</v>
      </c>
      <c r="H501" s="2" t="s">
        <v>52</v>
      </c>
      <c r="I501" s="3" t="s">
        <v>68</v>
      </c>
      <c r="J501" s="44">
        <v>3</v>
      </c>
      <c r="K501" s="44" t="s">
        <v>54</v>
      </c>
      <c r="L501" s="44" t="s">
        <v>504</v>
      </c>
      <c r="M501" s="25" t="s">
        <v>506</v>
      </c>
      <c r="N501" s="16"/>
      <c r="O501" s="16"/>
      <c r="P501" s="16"/>
      <c r="Q501" s="16"/>
      <c r="R501" s="16"/>
      <c r="S501" s="2"/>
      <c r="T501" s="2"/>
      <c r="U501" s="2"/>
    </row>
    <row r="502" spans="1:21" hidden="1">
      <c r="A502" s="2">
        <f t="shared" si="4"/>
        <v>5</v>
      </c>
      <c r="B502" s="3" t="s">
        <v>486</v>
      </c>
      <c r="C502" s="3" t="s">
        <v>167</v>
      </c>
      <c r="D502" s="3" t="s">
        <v>632</v>
      </c>
      <c r="E502" s="3" t="s">
        <v>141</v>
      </c>
      <c r="F502" s="6" t="s">
        <v>141</v>
      </c>
      <c r="G502" s="2" t="s">
        <v>54</v>
      </c>
      <c r="H502" s="2" t="s">
        <v>54</v>
      </c>
      <c r="I502" s="3" t="s">
        <v>53</v>
      </c>
      <c r="J502" s="44">
        <v>20</v>
      </c>
      <c r="K502" s="44" t="s">
        <v>54</v>
      </c>
      <c r="L502" s="44" t="s">
        <v>526</v>
      </c>
      <c r="M502" s="25"/>
      <c r="N502" s="16"/>
      <c r="O502" s="16"/>
      <c r="P502" s="16"/>
      <c r="Q502" s="16">
        <v>20</v>
      </c>
      <c r="R502" s="88" t="s">
        <v>463</v>
      </c>
      <c r="S502" s="2"/>
      <c r="T502" s="2"/>
      <c r="U502" s="2"/>
    </row>
    <row r="503" spans="1:21" ht="175.5" hidden="1">
      <c r="A503" s="2">
        <f t="shared" si="4"/>
        <v>6</v>
      </c>
      <c r="B503" s="48" t="s">
        <v>486</v>
      </c>
      <c r="C503" s="48" t="s">
        <v>167</v>
      </c>
      <c r="D503" s="48" t="s">
        <v>632</v>
      </c>
      <c r="E503" s="48" t="s">
        <v>142</v>
      </c>
      <c r="F503" s="49" t="s">
        <v>142</v>
      </c>
      <c r="G503" s="47" t="s">
        <v>54</v>
      </c>
      <c r="H503" s="47" t="s">
        <v>54</v>
      </c>
      <c r="I503" s="48" t="s">
        <v>53</v>
      </c>
      <c r="J503" s="51">
        <v>2</v>
      </c>
      <c r="K503" s="51" t="s">
        <v>54</v>
      </c>
      <c r="L503" s="51" t="s">
        <v>517</v>
      </c>
      <c r="M503" s="52"/>
      <c r="N503" s="53" t="s">
        <v>612</v>
      </c>
      <c r="O503" s="83"/>
      <c r="P503" s="83"/>
      <c r="Q503" s="83"/>
      <c r="R503" s="83"/>
      <c r="S503" s="47"/>
      <c r="T503" s="47"/>
      <c r="U503" s="47"/>
    </row>
    <row r="504" spans="1:21" hidden="1">
      <c r="A504" s="2">
        <f t="shared" si="4"/>
        <v>7</v>
      </c>
      <c r="B504" s="3" t="s">
        <v>486</v>
      </c>
      <c r="C504" s="3" t="s">
        <v>167</v>
      </c>
      <c r="D504" s="3" t="s">
        <v>632</v>
      </c>
      <c r="E504" s="3" t="s">
        <v>143</v>
      </c>
      <c r="F504" s="6" t="s">
        <v>143</v>
      </c>
      <c r="G504" s="2" t="s">
        <v>54</v>
      </c>
      <c r="H504" s="2" t="s">
        <v>52</v>
      </c>
      <c r="I504" s="3" t="s">
        <v>68</v>
      </c>
      <c r="J504" s="44">
        <v>3</v>
      </c>
      <c r="K504" s="44" t="s">
        <v>54</v>
      </c>
      <c r="L504" s="44" t="s">
        <v>526</v>
      </c>
      <c r="M504" s="25"/>
      <c r="N504" s="16"/>
      <c r="O504" s="16"/>
      <c r="P504" s="16"/>
      <c r="Q504" s="16">
        <v>3</v>
      </c>
      <c r="R504" s="88" t="s">
        <v>464</v>
      </c>
      <c r="S504" s="2"/>
      <c r="T504" s="2"/>
      <c r="U504" s="2"/>
    </row>
    <row r="505" spans="1:21" hidden="1">
      <c r="A505" s="2">
        <f t="shared" si="4"/>
        <v>8</v>
      </c>
      <c r="B505" s="3" t="s">
        <v>486</v>
      </c>
      <c r="C505" s="3" t="s">
        <v>167</v>
      </c>
      <c r="D505" s="3" t="s">
        <v>632</v>
      </c>
      <c r="E505" s="3" t="s">
        <v>144</v>
      </c>
      <c r="F505" s="6" t="s">
        <v>144</v>
      </c>
      <c r="G505" s="2" t="s">
        <v>54</v>
      </c>
      <c r="H505" s="2" t="s">
        <v>52</v>
      </c>
      <c r="I505" s="3" t="s">
        <v>68</v>
      </c>
      <c r="J505" s="44">
        <v>5</v>
      </c>
      <c r="K505" s="44" t="s">
        <v>54</v>
      </c>
      <c r="L505" s="44" t="s">
        <v>526</v>
      </c>
      <c r="M505" s="25"/>
      <c r="N505" s="16"/>
      <c r="O505" s="16"/>
      <c r="P505" s="16"/>
      <c r="Q505" s="16">
        <v>4</v>
      </c>
      <c r="R505" s="88" t="s">
        <v>465</v>
      </c>
      <c r="S505" s="2"/>
      <c r="T505" s="2"/>
      <c r="U505" s="2"/>
    </row>
    <row r="506" spans="1:21" hidden="1">
      <c r="A506" s="2">
        <f t="shared" si="4"/>
        <v>9</v>
      </c>
      <c r="B506" s="3" t="s">
        <v>486</v>
      </c>
      <c r="C506" s="3" t="s">
        <v>167</v>
      </c>
      <c r="D506" s="3" t="s">
        <v>632</v>
      </c>
      <c r="E506" s="3" t="s">
        <v>72</v>
      </c>
      <c r="F506" s="6" t="s">
        <v>72</v>
      </c>
      <c r="G506" s="2" t="s">
        <v>54</v>
      </c>
      <c r="H506" s="2" t="s">
        <v>52</v>
      </c>
      <c r="I506" s="3" t="s">
        <v>73</v>
      </c>
      <c r="J506" s="44" t="s">
        <v>54</v>
      </c>
      <c r="K506" s="44" t="s">
        <v>54</v>
      </c>
      <c r="L506" s="44" t="s">
        <v>526</v>
      </c>
      <c r="M506" s="25"/>
      <c r="N506" s="16"/>
      <c r="O506" s="16"/>
      <c r="P506" s="16"/>
      <c r="Q506" s="16"/>
      <c r="R506" s="16" t="s">
        <v>679</v>
      </c>
      <c r="S506" s="2"/>
      <c r="T506" s="2"/>
      <c r="U506" s="2"/>
    </row>
    <row r="507" spans="1:21" hidden="1">
      <c r="A507" s="2">
        <f t="shared" si="4"/>
        <v>10</v>
      </c>
      <c r="B507" s="3" t="s">
        <v>486</v>
      </c>
      <c r="C507" s="3" t="s">
        <v>167</v>
      </c>
      <c r="D507" s="3" t="s">
        <v>632</v>
      </c>
      <c r="E507" s="3" t="s">
        <v>74</v>
      </c>
      <c r="F507" s="6" t="s">
        <v>74</v>
      </c>
      <c r="G507" s="2" t="s">
        <v>54</v>
      </c>
      <c r="H507" s="2" t="s">
        <v>52</v>
      </c>
      <c r="I507" s="3" t="s">
        <v>53</v>
      </c>
      <c r="J507" s="44">
        <v>12</v>
      </c>
      <c r="K507" s="44" t="s">
        <v>54</v>
      </c>
      <c r="L507" s="44" t="s">
        <v>526</v>
      </c>
      <c r="M507" s="25"/>
      <c r="N507" s="16"/>
      <c r="O507" s="16"/>
      <c r="P507" s="16"/>
      <c r="Q507" s="16"/>
      <c r="R507" s="16" t="s">
        <v>679</v>
      </c>
      <c r="S507" s="2"/>
      <c r="T507" s="2"/>
      <c r="U507" s="2"/>
    </row>
    <row r="508" spans="1:21" hidden="1">
      <c r="A508" s="2">
        <f t="shared" si="4"/>
        <v>11</v>
      </c>
      <c r="B508" s="3" t="s">
        <v>486</v>
      </c>
      <c r="C508" s="3" t="s">
        <v>167</v>
      </c>
      <c r="D508" s="3" t="s">
        <v>632</v>
      </c>
      <c r="E508" s="3" t="s">
        <v>75</v>
      </c>
      <c r="F508" s="6" t="s">
        <v>75</v>
      </c>
      <c r="G508" s="2" t="s">
        <v>54</v>
      </c>
      <c r="H508" s="2" t="s">
        <v>52</v>
      </c>
      <c r="I508" s="3" t="s">
        <v>53</v>
      </c>
      <c r="J508" s="44">
        <v>20</v>
      </c>
      <c r="K508" s="44" t="s">
        <v>54</v>
      </c>
      <c r="L508" s="44" t="s">
        <v>526</v>
      </c>
      <c r="M508" s="25"/>
      <c r="N508" s="16"/>
      <c r="O508" s="16"/>
      <c r="P508" s="16"/>
      <c r="Q508" s="16"/>
      <c r="R508" s="16" t="s">
        <v>679</v>
      </c>
      <c r="S508" s="2"/>
      <c r="T508" s="2"/>
      <c r="U508" s="2"/>
    </row>
    <row r="509" spans="1:21" hidden="1">
      <c r="A509" s="2">
        <f t="shared" si="4"/>
        <v>1</v>
      </c>
      <c r="B509" s="3" t="s">
        <v>487</v>
      </c>
      <c r="C509" s="3" t="s">
        <v>1673</v>
      </c>
      <c r="D509" s="3" t="s">
        <v>633</v>
      </c>
      <c r="E509" s="3" t="s">
        <v>50</v>
      </c>
      <c r="F509" s="6" t="s">
        <v>50</v>
      </c>
      <c r="G509" s="2" t="s">
        <v>51</v>
      </c>
      <c r="H509" s="2" t="s">
        <v>52</v>
      </c>
      <c r="I509" s="3" t="s">
        <v>53</v>
      </c>
      <c r="J509" s="44">
        <v>14</v>
      </c>
      <c r="K509" s="44" t="s">
        <v>54</v>
      </c>
      <c r="L509" s="44" t="s">
        <v>548</v>
      </c>
      <c r="M509" s="25"/>
      <c r="N509" s="16"/>
      <c r="O509" s="16"/>
      <c r="P509" s="16"/>
      <c r="Q509" s="16"/>
      <c r="R509" s="16"/>
      <c r="S509" s="2"/>
      <c r="T509" s="2"/>
      <c r="U509" s="2"/>
    </row>
    <row r="510" spans="1:21" hidden="1">
      <c r="A510" s="2">
        <f t="shared" si="4"/>
        <v>2</v>
      </c>
      <c r="B510" s="3" t="s">
        <v>487</v>
      </c>
      <c r="C510" s="3" t="s">
        <v>128</v>
      </c>
      <c r="D510" s="3" t="s">
        <v>633</v>
      </c>
      <c r="E510" s="3" t="s">
        <v>556</v>
      </c>
      <c r="F510" s="6" t="s">
        <v>1593</v>
      </c>
      <c r="G510" s="2" t="s">
        <v>51</v>
      </c>
      <c r="H510" s="3" t="s">
        <v>52</v>
      </c>
      <c r="I510" s="44" t="s">
        <v>53</v>
      </c>
      <c r="J510" s="44">
        <v>8</v>
      </c>
      <c r="K510" s="44" t="s">
        <v>54</v>
      </c>
      <c r="L510" s="25" t="s">
        <v>504</v>
      </c>
      <c r="M510" s="2" t="s">
        <v>501</v>
      </c>
      <c r="N510" s="16"/>
      <c r="O510" s="16"/>
      <c r="P510" s="16"/>
      <c r="Q510" s="16"/>
      <c r="R510" s="16"/>
      <c r="S510" s="16"/>
      <c r="T510" s="16"/>
      <c r="U510" s="16"/>
    </row>
    <row r="511" spans="1:21" hidden="1">
      <c r="A511" s="2">
        <f t="shared" si="4"/>
        <v>3</v>
      </c>
      <c r="B511" s="3" t="s">
        <v>487</v>
      </c>
      <c r="C511" s="3" t="s">
        <v>128</v>
      </c>
      <c r="D511" s="3" t="s">
        <v>633</v>
      </c>
      <c r="E511" s="3" t="s">
        <v>56</v>
      </c>
      <c r="F511" s="6" t="s">
        <v>1595</v>
      </c>
      <c r="G511" s="2" t="s">
        <v>51</v>
      </c>
      <c r="H511" s="2" t="s">
        <v>52</v>
      </c>
      <c r="I511" s="3" t="s">
        <v>53</v>
      </c>
      <c r="J511" s="44">
        <v>6</v>
      </c>
      <c r="K511" s="44" t="s">
        <v>54</v>
      </c>
      <c r="L511" s="44" t="s">
        <v>505</v>
      </c>
      <c r="M511" s="25" t="s">
        <v>506</v>
      </c>
      <c r="N511" s="16"/>
      <c r="O511" s="16"/>
      <c r="P511" s="16"/>
      <c r="Q511" s="16"/>
      <c r="R511" s="16"/>
      <c r="S511" s="2"/>
      <c r="T511" s="2"/>
      <c r="U511" s="2"/>
    </row>
    <row r="512" spans="1:21" ht="135" hidden="1">
      <c r="A512" s="2">
        <f t="shared" si="4"/>
        <v>4</v>
      </c>
      <c r="B512" s="48" t="s">
        <v>487</v>
      </c>
      <c r="C512" s="48" t="s">
        <v>128</v>
      </c>
      <c r="D512" s="48" t="s">
        <v>633</v>
      </c>
      <c r="E512" s="48" t="s">
        <v>100</v>
      </c>
      <c r="F512" s="49" t="s">
        <v>100</v>
      </c>
      <c r="G512" s="47" t="s">
        <v>54</v>
      </c>
      <c r="H512" s="47" t="s">
        <v>54</v>
      </c>
      <c r="I512" s="48" t="s">
        <v>53</v>
      </c>
      <c r="J512" s="51">
        <v>9</v>
      </c>
      <c r="K512" s="51" t="s">
        <v>54</v>
      </c>
      <c r="L512" s="51" t="s">
        <v>517</v>
      </c>
      <c r="M512" s="52"/>
      <c r="N512" s="53" t="s">
        <v>674</v>
      </c>
      <c r="O512" s="83"/>
      <c r="P512" s="83"/>
      <c r="Q512" s="83"/>
      <c r="R512" s="83"/>
      <c r="S512" s="47"/>
      <c r="T512" s="47"/>
      <c r="U512" s="47"/>
    </row>
    <row r="513" spans="1:21" hidden="1">
      <c r="A513" s="2">
        <f t="shared" si="4"/>
        <v>5</v>
      </c>
      <c r="B513" s="3" t="s">
        <v>487</v>
      </c>
      <c r="C513" s="3" t="s">
        <v>128</v>
      </c>
      <c r="D513" s="3" t="s">
        <v>633</v>
      </c>
      <c r="E513" s="3" t="s">
        <v>147</v>
      </c>
      <c r="F513" s="6" t="s">
        <v>147</v>
      </c>
      <c r="G513" s="2"/>
      <c r="H513" s="2"/>
      <c r="I513" s="3"/>
      <c r="J513" s="44"/>
      <c r="K513" s="44"/>
      <c r="L513" s="44" t="s">
        <v>553</v>
      </c>
      <c r="M513" s="25"/>
      <c r="N513" s="89"/>
      <c r="O513" s="16"/>
      <c r="P513" s="16"/>
      <c r="Q513" s="75">
        <v>7</v>
      </c>
      <c r="R513" s="89" t="s">
        <v>402</v>
      </c>
      <c r="S513" s="2"/>
      <c r="T513" s="2"/>
      <c r="U513" s="2"/>
    </row>
    <row r="514" spans="1:21" hidden="1">
      <c r="A514" s="2">
        <f t="shared" si="4"/>
        <v>6</v>
      </c>
      <c r="B514" s="3" t="s">
        <v>487</v>
      </c>
      <c r="C514" s="3" t="s">
        <v>128</v>
      </c>
      <c r="D514" s="3" t="s">
        <v>633</v>
      </c>
      <c r="E514" s="3" t="s">
        <v>554</v>
      </c>
      <c r="F514" s="6" t="s">
        <v>554</v>
      </c>
      <c r="G514" s="2"/>
      <c r="H514" s="2"/>
      <c r="I514" s="3"/>
      <c r="J514" s="44"/>
      <c r="K514" s="44"/>
      <c r="L514" s="44" t="s">
        <v>553</v>
      </c>
      <c r="M514" s="25"/>
      <c r="N514" s="16"/>
      <c r="O514" s="16"/>
      <c r="P514" s="16"/>
      <c r="Q514" s="75">
        <v>14</v>
      </c>
      <c r="R514" s="16" t="s">
        <v>555</v>
      </c>
      <c r="S514" s="2"/>
      <c r="T514" s="2"/>
      <c r="U514" s="2"/>
    </row>
    <row r="515" spans="1:21" hidden="1">
      <c r="A515" s="2">
        <f t="shared" si="4"/>
        <v>7</v>
      </c>
      <c r="B515" s="3" t="s">
        <v>487</v>
      </c>
      <c r="C515" s="3" t="s">
        <v>128</v>
      </c>
      <c r="D515" s="3" t="s">
        <v>633</v>
      </c>
      <c r="E515" s="3" t="s">
        <v>101</v>
      </c>
      <c r="F515" s="6" t="s">
        <v>1654</v>
      </c>
      <c r="G515" s="2" t="s">
        <v>54</v>
      </c>
      <c r="H515" s="2" t="s">
        <v>54</v>
      </c>
      <c r="I515" s="3" t="s">
        <v>53</v>
      </c>
      <c r="J515" s="44">
        <v>4</v>
      </c>
      <c r="K515" s="44" t="s">
        <v>54</v>
      </c>
      <c r="L515" s="44" t="s">
        <v>548</v>
      </c>
      <c r="M515" s="25"/>
      <c r="N515" s="16"/>
      <c r="O515" s="16"/>
      <c r="P515" s="16"/>
      <c r="Q515" s="16">
        <v>4</v>
      </c>
      <c r="R515" s="89" t="s">
        <v>349</v>
      </c>
      <c r="S515" s="2"/>
      <c r="T515" s="2"/>
      <c r="U515" s="2"/>
    </row>
    <row r="516" spans="1:21" hidden="1">
      <c r="A516" s="2">
        <f t="shared" si="4"/>
        <v>8</v>
      </c>
      <c r="B516" s="3" t="s">
        <v>487</v>
      </c>
      <c r="C516" s="3" t="s">
        <v>128</v>
      </c>
      <c r="D516" s="3" t="s">
        <v>633</v>
      </c>
      <c r="E516" s="3" t="s">
        <v>72</v>
      </c>
      <c r="F516" s="6" t="s">
        <v>72</v>
      </c>
      <c r="G516" s="2" t="s">
        <v>54</v>
      </c>
      <c r="H516" s="2" t="s">
        <v>52</v>
      </c>
      <c r="I516" s="3" t="s">
        <v>73</v>
      </c>
      <c r="J516" s="44" t="s">
        <v>54</v>
      </c>
      <c r="K516" s="44" t="s">
        <v>54</v>
      </c>
      <c r="L516" s="44" t="s">
        <v>548</v>
      </c>
      <c r="M516" s="25"/>
      <c r="N516" s="16"/>
      <c r="O516" s="16"/>
      <c r="P516" s="16"/>
      <c r="Q516" s="16"/>
      <c r="R516" s="16" t="s">
        <v>679</v>
      </c>
      <c r="S516" s="2"/>
      <c r="T516" s="2"/>
      <c r="U516" s="2"/>
    </row>
    <row r="517" spans="1:21" hidden="1">
      <c r="A517" s="2">
        <f t="shared" si="4"/>
        <v>9</v>
      </c>
      <c r="B517" s="3" t="s">
        <v>487</v>
      </c>
      <c r="C517" s="3" t="s">
        <v>128</v>
      </c>
      <c r="D517" s="3" t="s">
        <v>633</v>
      </c>
      <c r="E517" s="3" t="s">
        <v>74</v>
      </c>
      <c r="F517" s="6" t="s">
        <v>74</v>
      </c>
      <c r="G517" s="2" t="s">
        <v>54</v>
      </c>
      <c r="H517" s="2" t="s">
        <v>52</v>
      </c>
      <c r="I517" s="3" t="s">
        <v>53</v>
      </c>
      <c r="J517" s="44">
        <v>12</v>
      </c>
      <c r="K517" s="44" t="s">
        <v>54</v>
      </c>
      <c r="L517" s="44" t="s">
        <v>548</v>
      </c>
      <c r="M517" s="25"/>
      <c r="N517" s="16"/>
      <c r="O517" s="16"/>
      <c r="P517" s="16"/>
      <c r="Q517" s="16"/>
      <c r="R517" s="16" t="s">
        <v>679</v>
      </c>
      <c r="S517" s="2"/>
      <c r="T517" s="2"/>
      <c r="U517" s="2"/>
    </row>
    <row r="518" spans="1:21" hidden="1">
      <c r="A518" s="2">
        <f t="shared" si="4"/>
        <v>10</v>
      </c>
      <c r="B518" s="3" t="s">
        <v>487</v>
      </c>
      <c r="C518" s="3" t="s">
        <v>128</v>
      </c>
      <c r="D518" s="3" t="s">
        <v>633</v>
      </c>
      <c r="E518" s="3" t="s">
        <v>75</v>
      </c>
      <c r="F518" s="6" t="s">
        <v>75</v>
      </c>
      <c r="G518" s="2" t="s">
        <v>54</v>
      </c>
      <c r="H518" s="2" t="s">
        <v>52</v>
      </c>
      <c r="I518" s="3" t="s">
        <v>53</v>
      </c>
      <c r="J518" s="44">
        <v>20</v>
      </c>
      <c r="K518" s="44" t="s">
        <v>54</v>
      </c>
      <c r="L518" s="44" t="s">
        <v>548</v>
      </c>
      <c r="M518" s="25"/>
      <c r="N518" s="16"/>
      <c r="O518" s="16"/>
      <c r="P518" s="16"/>
      <c r="Q518" s="16"/>
      <c r="R518" s="16" t="s">
        <v>679</v>
      </c>
      <c r="S518" s="2"/>
      <c r="T518" s="2"/>
      <c r="U518" s="2"/>
    </row>
    <row r="519" spans="1:21" hidden="1">
      <c r="A519" s="2">
        <f t="shared" si="4"/>
        <v>1</v>
      </c>
      <c r="B519" s="3" t="s">
        <v>487</v>
      </c>
      <c r="C519" s="3" t="s">
        <v>1674</v>
      </c>
      <c r="D519" s="3" t="s">
        <v>634</v>
      </c>
      <c r="E519" s="3" t="s">
        <v>50</v>
      </c>
      <c r="F519" s="6" t="s">
        <v>50</v>
      </c>
      <c r="G519" s="2" t="s">
        <v>51</v>
      </c>
      <c r="H519" s="2" t="s">
        <v>52</v>
      </c>
      <c r="I519" s="3" t="s">
        <v>53</v>
      </c>
      <c r="J519" s="44">
        <v>14</v>
      </c>
      <c r="K519" s="44" t="s">
        <v>54</v>
      </c>
      <c r="L519" s="44" t="s">
        <v>548</v>
      </c>
      <c r="M519" s="25"/>
      <c r="N519" s="16"/>
      <c r="O519" s="16"/>
      <c r="P519" s="16"/>
      <c r="Q519" s="16"/>
      <c r="R519" s="16"/>
      <c r="S519" s="2"/>
      <c r="T519" s="2"/>
      <c r="U519" s="2"/>
    </row>
    <row r="520" spans="1:21" hidden="1">
      <c r="A520" s="2">
        <f t="shared" si="4"/>
        <v>2</v>
      </c>
      <c r="B520" s="3" t="s">
        <v>487</v>
      </c>
      <c r="C520" s="3" t="s">
        <v>133</v>
      </c>
      <c r="D520" s="3" t="s">
        <v>634</v>
      </c>
      <c r="E520" s="3" t="s">
        <v>55</v>
      </c>
      <c r="F520" s="6" t="s">
        <v>1593</v>
      </c>
      <c r="G520" s="2" t="s">
        <v>51</v>
      </c>
      <c r="H520" s="2" t="s">
        <v>52</v>
      </c>
      <c r="I520" s="3" t="s">
        <v>53</v>
      </c>
      <c r="J520" s="44">
        <v>8</v>
      </c>
      <c r="K520" s="44" t="s">
        <v>54</v>
      </c>
      <c r="L520" s="44" t="s">
        <v>504</v>
      </c>
      <c r="M520" s="25" t="s">
        <v>501</v>
      </c>
      <c r="N520" s="16"/>
      <c r="O520" s="16"/>
      <c r="P520" s="16"/>
      <c r="Q520" s="16"/>
      <c r="R520" s="16"/>
      <c r="S520" s="2"/>
      <c r="T520" s="2"/>
      <c r="U520" s="2"/>
    </row>
    <row r="521" spans="1:21" hidden="1">
      <c r="A521" s="2">
        <f t="shared" si="4"/>
        <v>3</v>
      </c>
      <c r="B521" s="3" t="s">
        <v>487</v>
      </c>
      <c r="C521" s="3" t="s">
        <v>133</v>
      </c>
      <c r="D521" s="3" t="s">
        <v>634</v>
      </c>
      <c r="E521" s="3" t="s">
        <v>56</v>
      </c>
      <c r="F521" s="6" t="s">
        <v>1595</v>
      </c>
      <c r="G521" s="2" t="s">
        <v>51</v>
      </c>
      <c r="H521" s="2" t="s">
        <v>52</v>
      </c>
      <c r="I521" s="3" t="s">
        <v>53</v>
      </c>
      <c r="J521" s="44">
        <v>6</v>
      </c>
      <c r="K521" s="44" t="s">
        <v>54</v>
      </c>
      <c r="L521" s="44" t="s">
        <v>505</v>
      </c>
      <c r="M521" s="25" t="s">
        <v>506</v>
      </c>
      <c r="N521" s="16"/>
      <c r="O521" s="16"/>
      <c r="P521" s="16"/>
      <c r="Q521" s="16"/>
      <c r="R521" s="16"/>
      <c r="S521" s="2"/>
      <c r="T521" s="2"/>
      <c r="U521" s="2"/>
    </row>
    <row r="522" spans="1:21" hidden="1">
      <c r="A522" s="2">
        <f t="shared" si="4"/>
        <v>4</v>
      </c>
      <c r="B522" s="3" t="s">
        <v>487</v>
      </c>
      <c r="C522" s="3" t="s">
        <v>133</v>
      </c>
      <c r="D522" s="3" t="s">
        <v>634</v>
      </c>
      <c r="E522" s="3" t="s">
        <v>108</v>
      </c>
      <c r="F522" s="6" t="str">
        <f>MID(D522,5,LEN(D522)-6)&amp;"일련번호"</f>
        <v>KCB신용평점정보상세일련번호</v>
      </c>
      <c r="G522" s="2" t="s">
        <v>51</v>
      </c>
      <c r="H522" s="2" t="s">
        <v>52</v>
      </c>
      <c r="I522" s="3" t="s">
        <v>68</v>
      </c>
      <c r="J522" s="44">
        <v>3</v>
      </c>
      <c r="K522" s="44" t="s">
        <v>54</v>
      </c>
      <c r="L522" s="44" t="s">
        <v>504</v>
      </c>
      <c r="M522" s="25" t="s">
        <v>506</v>
      </c>
      <c r="N522" s="16"/>
      <c r="O522" s="16"/>
      <c r="P522" s="16"/>
      <c r="Q522" s="16"/>
      <c r="R522" s="16"/>
      <c r="S522" s="2"/>
      <c r="T522" s="2"/>
      <c r="U522" s="2"/>
    </row>
    <row r="523" spans="1:21" hidden="1">
      <c r="A523" s="2">
        <f t="shared" si="4"/>
        <v>5</v>
      </c>
      <c r="B523" s="3" t="s">
        <v>487</v>
      </c>
      <c r="C523" s="3" t="s">
        <v>133</v>
      </c>
      <c r="D523" s="3" t="s">
        <v>634</v>
      </c>
      <c r="E523" s="3"/>
      <c r="F523" s="6" t="s">
        <v>673</v>
      </c>
      <c r="G523" s="2"/>
      <c r="H523" s="2"/>
      <c r="I523" s="3"/>
      <c r="J523" s="44"/>
      <c r="K523" s="44"/>
      <c r="L523" s="44" t="s">
        <v>557</v>
      </c>
      <c r="M523" s="25"/>
      <c r="N523" s="16"/>
      <c r="O523" s="16"/>
      <c r="P523" s="16"/>
      <c r="Q523" s="90">
        <v>3</v>
      </c>
      <c r="R523" s="89" t="s">
        <v>403</v>
      </c>
      <c r="S523" s="2"/>
      <c r="T523" s="2"/>
      <c r="U523" s="2"/>
    </row>
    <row r="524" spans="1:21" hidden="1">
      <c r="A524" s="2">
        <f t="shared" si="4"/>
        <v>6</v>
      </c>
      <c r="B524" s="3" t="s">
        <v>487</v>
      </c>
      <c r="C524" s="3" t="s">
        <v>133</v>
      </c>
      <c r="D524" s="3" t="s">
        <v>634</v>
      </c>
      <c r="E524" s="3"/>
      <c r="F524" s="6" t="s">
        <v>558</v>
      </c>
      <c r="G524" s="2"/>
      <c r="H524" s="2"/>
      <c r="I524" s="3"/>
      <c r="J524" s="44"/>
      <c r="K524" s="44"/>
      <c r="L524" s="44" t="s">
        <v>499</v>
      </c>
      <c r="M524" s="25"/>
      <c r="N524" s="16"/>
      <c r="O524" s="16"/>
      <c r="P524" s="16"/>
      <c r="Q524" s="90">
        <v>9</v>
      </c>
      <c r="R524" s="89" t="s">
        <v>404</v>
      </c>
      <c r="S524" s="2"/>
      <c r="T524" s="2"/>
      <c r="U524" s="2"/>
    </row>
    <row r="525" spans="1:21" hidden="1">
      <c r="A525" s="2">
        <f t="shared" si="4"/>
        <v>7</v>
      </c>
      <c r="B525" s="3" t="s">
        <v>487</v>
      </c>
      <c r="C525" s="3" t="s">
        <v>133</v>
      </c>
      <c r="D525" s="3" t="s">
        <v>634</v>
      </c>
      <c r="E525" s="3"/>
      <c r="F525" s="6" t="s">
        <v>618</v>
      </c>
      <c r="G525" s="2"/>
      <c r="H525" s="2"/>
      <c r="I525" s="3"/>
      <c r="J525" s="44"/>
      <c r="K525" s="44"/>
      <c r="L525" s="44" t="s">
        <v>499</v>
      </c>
      <c r="M525" s="25" t="s">
        <v>506</v>
      </c>
      <c r="N525" s="16"/>
      <c r="O525" s="16"/>
      <c r="P525" s="16"/>
      <c r="Q525" s="90">
        <v>8</v>
      </c>
      <c r="R525" s="91" t="s">
        <v>405</v>
      </c>
      <c r="S525" s="2"/>
      <c r="T525" s="2"/>
      <c r="U525" s="2"/>
    </row>
    <row r="526" spans="1:21" hidden="1">
      <c r="A526" s="2">
        <f t="shared" si="4"/>
        <v>8</v>
      </c>
      <c r="B526" s="3" t="s">
        <v>487</v>
      </c>
      <c r="C526" s="3" t="s">
        <v>133</v>
      </c>
      <c r="D526" s="3" t="s">
        <v>634</v>
      </c>
      <c r="E526" s="3" t="s">
        <v>102</v>
      </c>
      <c r="F526" s="6" t="s">
        <v>102</v>
      </c>
      <c r="G526" s="2" t="s">
        <v>54</v>
      </c>
      <c r="H526" s="2" t="s">
        <v>54</v>
      </c>
      <c r="I526" s="3" t="s">
        <v>53</v>
      </c>
      <c r="J526" s="44">
        <v>1</v>
      </c>
      <c r="K526" s="44" t="s">
        <v>54</v>
      </c>
      <c r="L526" s="44" t="s">
        <v>548</v>
      </c>
      <c r="M526" s="25"/>
      <c r="N526" s="16"/>
      <c r="O526" s="16"/>
      <c r="P526" s="16"/>
      <c r="Q526" s="90">
        <v>1</v>
      </c>
      <c r="R526" s="16" t="s">
        <v>388</v>
      </c>
      <c r="S526" s="89"/>
      <c r="T526" s="2"/>
      <c r="U526" s="2"/>
    </row>
    <row r="527" spans="1:21" hidden="1">
      <c r="A527" s="2">
        <f t="shared" si="4"/>
        <v>9</v>
      </c>
      <c r="B527" s="3" t="s">
        <v>487</v>
      </c>
      <c r="C527" s="3" t="s">
        <v>133</v>
      </c>
      <c r="D527" s="3" t="s">
        <v>634</v>
      </c>
      <c r="E527" s="3" t="s">
        <v>103</v>
      </c>
      <c r="F527" s="6" t="s">
        <v>103</v>
      </c>
      <c r="G527" s="2" t="s">
        <v>54</v>
      </c>
      <c r="H527" s="2" t="s">
        <v>54</v>
      </c>
      <c r="I527" s="3" t="s">
        <v>53</v>
      </c>
      <c r="J527" s="44">
        <v>10</v>
      </c>
      <c r="K527" s="44" t="s">
        <v>54</v>
      </c>
      <c r="L527" s="44" t="s">
        <v>526</v>
      </c>
      <c r="M527" s="25"/>
      <c r="N527" s="16"/>
      <c r="O527" s="16"/>
      <c r="P527" s="16"/>
      <c r="Q527" s="90">
        <v>4</v>
      </c>
      <c r="R527" s="16" t="s">
        <v>401</v>
      </c>
      <c r="S527" s="89"/>
      <c r="T527" s="2"/>
      <c r="U527" s="2"/>
    </row>
    <row r="528" spans="1:21" hidden="1">
      <c r="A528" s="2">
        <f t="shared" si="4"/>
        <v>10</v>
      </c>
      <c r="B528" s="3" t="s">
        <v>487</v>
      </c>
      <c r="C528" s="3" t="s">
        <v>133</v>
      </c>
      <c r="D528" s="3" t="s">
        <v>634</v>
      </c>
      <c r="E528" s="3" t="s">
        <v>104</v>
      </c>
      <c r="F528" s="6" t="s">
        <v>104</v>
      </c>
      <c r="G528" s="2" t="s">
        <v>54</v>
      </c>
      <c r="H528" s="2" t="s">
        <v>54</v>
      </c>
      <c r="I528" s="3" t="s">
        <v>53</v>
      </c>
      <c r="J528" s="44">
        <v>4</v>
      </c>
      <c r="K528" s="44" t="s">
        <v>54</v>
      </c>
      <c r="L528" s="44" t="s">
        <v>548</v>
      </c>
      <c r="M528" s="25"/>
      <c r="N528" s="16"/>
      <c r="O528" s="16"/>
      <c r="P528" s="16"/>
      <c r="Q528" s="90">
        <v>4</v>
      </c>
      <c r="R528" s="92" t="s">
        <v>383</v>
      </c>
      <c r="S528" s="89"/>
      <c r="T528" s="2"/>
      <c r="U528" s="2"/>
    </row>
    <row r="529" spans="1:21" hidden="1">
      <c r="A529" s="2">
        <f t="shared" si="4"/>
        <v>11</v>
      </c>
      <c r="B529" s="3" t="s">
        <v>487</v>
      </c>
      <c r="C529" s="3" t="s">
        <v>133</v>
      </c>
      <c r="D529" s="3" t="s">
        <v>634</v>
      </c>
      <c r="E529" s="3" t="s">
        <v>105</v>
      </c>
      <c r="F529" s="6" t="s">
        <v>105</v>
      </c>
      <c r="G529" s="2" t="s">
        <v>54</v>
      </c>
      <c r="H529" s="2" t="s">
        <v>54</v>
      </c>
      <c r="I529" s="3" t="s">
        <v>53</v>
      </c>
      <c r="J529" s="44">
        <v>2</v>
      </c>
      <c r="K529" s="44" t="s">
        <v>54</v>
      </c>
      <c r="L529" s="44" t="s">
        <v>548</v>
      </c>
      <c r="M529" s="25"/>
      <c r="N529" s="16"/>
      <c r="O529" s="16"/>
      <c r="P529" s="16"/>
      <c r="Q529" s="90">
        <v>2</v>
      </c>
      <c r="R529" s="93" t="s">
        <v>384</v>
      </c>
      <c r="S529" s="89"/>
      <c r="T529" s="2"/>
      <c r="U529" s="2"/>
    </row>
    <row r="530" spans="1:21" ht="27" hidden="1">
      <c r="A530" s="2">
        <f t="shared" si="4"/>
        <v>12</v>
      </c>
      <c r="B530" s="3" t="s">
        <v>487</v>
      </c>
      <c r="C530" s="3" t="s">
        <v>133</v>
      </c>
      <c r="D530" s="3" t="s">
        <v>634</v>
      </c>
      <c r="E530" s="3"/>
      <c r="F530" s="6" t="s">
        <v>560</v>
      </c>
      <c r="G530" s="2" t="s">
        <v>54</v>
      </c>
      <c r="H530" s="2" t="s">
        <v>54</v>
      </c>
      <c r="I530" s="3" t="s">
        <v>53</v>
      </c>
      <c r="J530" s="44">
        <v>30</v>
      </c>
      <c r="K530" s="44" t="s">
        <v>54</v>
      </c>
      <c r="L530" s="44" t="s">
        <v>499</v>
      </c>
      <c r="M530" s="25" t="s">
        <v>506</v>
      </c>
      <c r="N530" s="20"/>
      <c r="O530" s="16"/>
      <c r="P530" s="16"/>
      <c r="Q530" s="16"/>
      <c r="R530" s="20" t="s">
        <v>406</v>
      </c>
      <c r="S530" s="89"/>
      <c r="T530" s="2"/>
      <c r="U530" s="2"/>
    </row>
    <row r="531" spans="1:21" hidden="1">
      <c r="A531" s="2">
        <f t="shared" si="4"/>
        <v>13</v>
      </c>
      <c r="B531" s="3" t="s">
        <v>487</v>
      </c>
      <c r="C531" s="3" t="s">
        <v>133</v>
      </c>
      <c r="D531" s="3" t="s">
        <v>634</v>
      </c>
      <c r="E531" s="3" t="s">
        <v>72</v>
      </c>
      <c r="F531" s="6" t="s">
        <v>72</v>
      </c>
      <c r="G531" s="2" t="s">
        <v>54</v>
      </c>
      <c r="H531" s="2" t="s">
        <v>52</v>
      </c>
      <c r="I531" s="3" t="s">
        <v>73</v>
      </c>
      <c r="J531" s="44" t="s">
        <v>54</v>
      </c>
      <c r="K531" s="44" t="s">
        <v>54</v>
      </c>
      <c r="L531" s="44" t="s">
        <v>548</v>
      </c>
      <c r="M531" s="25"/>
      <c r="N531" s="16"/>
      <c r="O531" s="16"/>
      <c r="P531" s="16"/>
      <c r="Q531" s="16"/>
      <c r="R531" s="16" t="s">
        <v>679</v>
      </c>
      <c r="S531" s="2"/>
      <c r="T531" s="2"/>
      <c r="U531" s="2"/>
    </row>
    <row r="532" spans="1:21" hidden="1">
      <c r="A532" s="2">
        <f t="shared" ref="A532:A595" si="5">IF(D531=D532,A531+1,1)</f>
        <v>14</v>
      </c>
      <c r="B532" s="3" t="s">
        <v>487</v>
      </c>
      <c r="C532" s="3" t="s">
        <v>133</v>
      </c>
      <c r="D532" s="3" t="s">
        <v>634</v>
      </c>
      <c r="E532" s="3" t="s">
        <v>74</v>
      </c>
      <c r="F532" s="6" t="s">
        <v>74</v>
      </c>
      <c r="G532" s="2" t="s">
        <v>54</v>
      </c>
      <c r="H532" s="2" t="s">
        <v>52</v>
      </c>
      <c r="I532" s="3" t="s">
        <v>53</v>
      </c>
      <c r="J532" s="44">
        <v>12</v>
      </c>
      <c r="K532" s="44" t="s">
        <v>54</v>
      </c>
      <c r="L532" s="44" t="s">
        <v>548</v>
      </c>
      <c r="M532" s="25"/>
      <c r="N532" s="16"/>
      <c r="O532" s="16"/>
      <c r="P532" s="16"/>
      <c r="Q532" s="16"/>
      <c r="R532" s="16" t="s">
        <v>679</v>
      </c>
      <c r="S532" s="2"/>
      <c r="T532" s="2"/>
      <c r="U532" s="2"/>
    </row>
    <row r="533" spans="1:21" hidden="1">
      <c r="A533" s="2">
        <f t="shared" si="5"/>
        <v>15</v>
      </c>
      <c r="B533" s="3" t="s">
        <v>487</v>
      </c>
      <c r="C533" s="3" t="s">
        <v>133</v>
      </c>
      <c r="D533" s="3" t="s">
        <v>634</v>
      </c>
      <c r="E533" s="3" t="s">
        <v>75</v>
      </c>
      <c r="F533" s="6" t="s">
        <v>75</v>
      </c>
      <c r="G533" s="2" t="s">
        <v>54</v>
      </c>
      <c r="H533" s="2" t="s">
        <v>52</v>
      </c>
      <c r="I533" s="3" t="s">
        <v>53</v>
      </c>
      <c r="J533" s="44">
        <v>20</v>
      </c>
      <c r="K533" s="44" t="s">
        <v>54</v>
      </c>
      <c r="L533" s="44" t="s">
        <v>548</v>
      </c>
      <c r="M533" s="25"/>
      <c r="N533" s="16"/>
      <c r="O533" s="16"/>
      <c r="P533" s="16"/>
      <c r="Q533" s="16"/>
      <c r="R533" s="16" t="s">
        <v>679</v>
      </c>
      <c r="S533" s="2"/>
      <c r="T533" s="2"/>
      <c r="U533" s="2"/>
    </row>
    <row r="534" spans="1:21" hidden="1">
      <c r="A534" s="2">
        <f t="shared" si="5"/>
        <v>1</v>
      </c>
      <c r="B534" s="3" t="s">
        <v>487</v>
      </c>
      <c r="C534" s="3" t="s">
        <v>1676</v>
      </c>
      <c r="D534" s="3" t="s">
        <v>635</v>
      </c>
      <c r="E534" s="3" t="s">
        <v>50</v>
      </c>
      <c r="F534" s="6" t="s">
        <v>50</v>
      </c>
      <c r="G534" s="2" t="s">
        <v>51</v>
      </c>
      <c r="H534" s="2" t="s">
        <v>52</v>
      </c>
      <c r="I534" s="3" t="s">
        <v>53</v>
      </c>
      <c r="J534" s="44">
        <v>14</v>
      </c>
      <c r="K534" s="44" t="s">
        <v>54</v>
      </c>
      <c r="L534" s="44" t="s">
        <v>548</v>
      </c>
      <c r="M534" s="25"/>
      <c r="N534" s="16"/>
      <c r="O534" s="16"/>
      <c r="P534" s="16"/>
      <c r="Q534" s="16"/>
      <c r="R534" s="16"/>
      <c r="S534" s="2"/>
      <c r="T534" s="2"/>
      <c r="U534" s="2"/>
    </row>
    <row r="535" spans="1:21" hidden="1">
      <c r="A535" s="2">
        <f t="shared" si="5"/>
        <v>2</v>
      </c>
      <c r="B535" s="3" t="s">
        <v>487</v>
      </c>
      <c r="C535" s="3" t="s">
        <v>1675</v>
      </c>
      <c r="D535" s="3" t="s">
        <v>635</v>
      </c>
      <c r="E535" s="3" t="s">
        <v>55</v>
      </c>
      <c r="F535" s="6" t="s">
        <v>1593</v>
      </c>
      <c r="G535" s="2" t="s">
        <v>51</v>
      </c>
      <c r="H535" s="2" t="s">
        <v>52</v>
      </c>
      <c r="I535" s="3" t="s">
        <v>53</v>
      </c>
      <c r="J535" s="44">
        <v>8</v>
      </c>
      <c r="K535" s="44" t="s">
        <v>54</v>
      </c>
      <c r="L535" s="44" t="s">
        <v>504</v>
      </c>
      <c r="M535" s="25" t="s">
        <v>501</v>
      </c>
      <c r="N535" s="16"/>
      <c r="O535" s="16"/>
      <c r="P535" s="16"/>
      <c r="Q535" s="16"/>
      <c r="R535" s="16"/>
      <c r="S535" s="2"/>
      <c r="T535" s="2"/>
      <c r="U535" s="2"/>
    </row>
    <row r="536" spans="1:21" hidden="1">
      <c r="A536" s="2">
        <f t="shared" si="5"/>
        <v>3</v>
      </c>
      <c r="B536" s="3" t="s">
        <v>487</v>
      </c>
      <c r="C536" s="3" t="s">
        <v>1675</v>
      </c>
      <c r="D536" s="3" t="s">
        <v>635</v>
      </c>
      <c r="E536" s="3" t="s">
        <v>56</v>
      </c>
      <c r="F536" s="6" t="s">
        <v>1595</v>
      </c>
      <c r="G536" s="2" t="s">
        <v>51</v>
      </c>
      <c r="H536" s="2" t="s">
        <v>52</v>
      </c>
      <c r="I536" s="3" t="s">
        <v>53</v>
      </c>
      <c r="J536" s="44">
        <v>6</v>
      </c>
      <c r="K536" s="44" t="s">
        <v>54</v>
      </c>
      <c r="L536" s="44" t="s">
        <v>505</v>
      </c>
      <c r="M536" s="25" t="s">
        <v>506</v>
      </c>
      <c r="N536" s="16"/>
      <c r="O536" s="16"/>
      <c r="P536" s="16"/>
      <c r="Q536" s="16"/>
      <c r="R536" s="16"/>
      <c r="S536" s="2"/>
      <c r="T536" s="2"/>
      <c r="U536" s="2"/>
    </row>
    <row r="537" spans="1:21" hidden="1">
      <c r="A537" s="2">
        <f t="shared" si="5"/>
        <v>4</v>
      </c>
      <c r="B537" s="3" t="s">
        <v>487</v>
      </c>
      <c r="C537" s="3" t="s">
        <v>1675</v>
      </c>
      <c r="D537" s="3" t="s">
        <v>635</v>
      </c>
      <c r="E537" s="3" t="s">
        <v>108</v>
      </c>
      <c r="F537" s="6" t="str">
        <f>MID(D537,5,LEN(D537)-6)&amp;"일련번호"</f>
        <v>KCB신용요약정보상세일련번호</v>
      </c>
      <c r="G537" s="2" t="s">
        <v>51</v>
      </c>
      <c r="H537" s="2" t="s">
        <v>52</v>
      </c>
      <c r="I537" s="3" t="s">
        <v>68</v>
      </c>
      <c r="J537" s="44">
        <v>3</v>
      </c>
      <c r="K537" s="44" t="s">
        <v>54</v>
      </c>
      <c r="L537" s="44" t="s">
        <v>504</v>
      </c>
      <c r="M537" s="25" t="s">
        <v>506</v>
      </c>
      <c r="N537" s="16"/>
      <c r="O537" s="16"/>
      <c r="P537" s="16"/>
      <c r="Q537" s="16"/>
      <c r="R537" s="16"/>
      <c r="S537" s="2"/>
      <c r="T537" s="2"/>
      <c r="U537" s="2"/>
    </row>
    <row r="538" spans="1:21" hidden="1">
      <c r="A538" s="2">
        <f t="shared" si="5"/>
        <v>5</v>
      </c>
      <c r="B538" s="3" t="s">
        <v>487</v>
      </c>
      <c r="C538" s="3" t="s">
        <v>1675</v>
      </c>
      <c r="D538" s="3" t="s">
        <v>635</v>
      </c>
      <c r="E538" s="3" t="s">
        <v>109</v>
      </c>
      <c r="F538" s="6" t="s">
        <v>109</v>
      </c>
      <c r="G538" s="2" t="s">
        <v>54</v>
      </c>
      <c r="H538" s="2" t="s">
        <v>54</v>
      </c>
      <c r="I538" s="3" t="s">
        <v>53</v>
      </c>
      <c r="J538" s="44">
        <v>9</v>
      </c>
      <c r="K538" s="44" t="s">
        <v>54</v>
      </c>
      <c r="L538" s="44" t="s">
        <v>548</v>
      </c>
      <c r="M538" s="25"/>
      <c r="N538" s="16"/>
      <c r="O538" s="16"/>
      <c r="P538" s="16"/>
      <c r="Q538" s="75">
        <v>9</v>
      </c>
      <c r="R538" s="16" t="s">
        <v>407</v>
      </c>
      <c r="S538" s="2"/>
      <c r="T538" s="2"/>
      <c r="U538" s="2"/>
    </row>
    <row r="539" spans="1:21" hidden="1">
      <c r="A539" s="2">
        <f t="shared" si="5"/>
        <v>6</v>
      </c>
      <c r="B539" s="3" t="s">
        <v>487</v>
      </c>
      <c r="C539" s="3" t="s">
        <v>1675</v>
      </c>
      <c r="D539" s="3" t="s">
        <v>635</v>
      </c>
      <c r="E539" s="3" t="s">
        <v>110</v>
      </c>
      <c r="F539" s="6" t="s">
        <v>110</v>
      </c>
      <c r="G539" s="2" t="s">
        <v>54</v>
      </c>
      <c r="H539" s="2" t="s">
        <v>54</v>
      </c>
      <c r="I539" s="3" t="s">
        <v>400</v>
      </c>
      <c r="J539" s="44">
        <v>9</v>
      </c>
      <c r="K539" s="44" t="s">
        <v>54</v>
      </c>
      <c r="L539" s="44" t="s">
        <v>504</v>
      </c>
      <c r="M539" s="25" t="s">
        <v>506</v>
      </c>
      <c r="N539" s="16"/>
      <c r="O539" s="16"/>
      <c r="P539" s="16"/>
      <c r="Q539" s="75">
        <v>9</v>
      </c>
      <c r="R539" s="16" t="s">
        <v>408</v>
      </c>
      <c r="S539" s="2"/>
      <c r="T539" s="2"/>
      <c r="U539" s="2"/>
    </row>
    <row r="540" spans="1:21" hidden="1">
      <c r="A540" s="2">
        <f t="shared" si="5"/>
        <v>7</v>
      </c>
      <c r="B540" s="3" t="s">
        <v>487</v>
      </c>
      <c r="C540" s="3" t="s">
        <v>1675</v>
      </c>
      <c r="D540" s="3" t="s">
        <v>635</v>
      </c>
      <c r="E540" s="3" t="s">
        <v>72</v>
      </c>
      <c r="F540" s="6" t="s">
        <v>72</v>
      </c>
      <c r="G540" s="2" t="s">
        <v>54</v>
      </c>
      <c r="H540" s="2" t="s">
        <v>52</v>
      </c>
      <c r="I540" s="3" t="s">
        <v>73</v>
      </c>
      <c r="J540" s="44" t="s">
        <v>54</v>
      </c>
      <c r="K540" s="44" t="s">
        <v>54</v>
      </c>
      <c r="L540" s="44" t="s">
        <v>548</v>
      </c>
      <c r="M540" s="25"/>
      <c r="N540" s="16"/>
      <c r="O540" s="16"/>
      <c r="P540" s="16"/>
      <c r="Q540" s="16"/>
      <c r="R540" s="16" t="s">
        <v>679</v>
      </c>
      <c r="S540" s="2"/>
      <c r="T540" s="2"/>
      <c r="U540" s="2"/>
    </row>
    <row r="541" spans="1:21" hidden="1">
      <c r="A541" s="2">
        <f t="shared" si="5"/>
        <v>8</v>
      </c>
      <c r="B541" s="3" t="s">
        <v>487</v>
      </c>
      <c r="C541" s="3" t="s">
        <v>1675</v>
      </c>
      <c r="D541" s="3" t="s">
        <v>635</v>
      </c>
      <c r="E541" s="3" t="s">
        <v>74</v>
      </c>
      <c r="F541" s="6" t="s">
        <v>74</v>
      </c>
      <c r="G541" s="2" t="s">
        <v>54</v>
      </c>
      <c r="H541" s="2" t="s">
        <v>52</v>
      </c>
      <c r="I541" s="3" t="s">
        <v>53</v>
      </c>
      <c r="J541" s="44">
        <v>12</v>
      </c>
      <c r="K541" s="44" t="s">
        <v>54</v>
      </c>
      <c r="L541" s="44" t="s">
        <v>548</v>
      </c>
      <c r="M541" s="25"/>
      <c r="N541" s="16"/>
      <c r="O541" s="16"/>
      <c r="P541" s="16"/>
      <c r="Q541" s="16"/>
      <c r="R541" s="16" t="s">
        <v>679</v>
      </c>
      <c r="S541" s="2"/>
      <c r="T541" s="2"/>
      <c r="U541" s="2"/>
    </row>
    <row r="542" spans="1:21" hidden="1">
      <c r="A542" s="2">
        <f t="shared" si="5"/>
        <v>9</v>
      </c>
      <c r="B542" s="3" t="s">
        <v>487</v>
      </c>
      <c r="C542" s="3" t="s">
        <v>1675</v>
      </c>
      <c r="D542" s="3" t="s">
        <v>635</v>
      </c>
      <c r="E542" s="3" t="s">
        <v>75</v>
      </c>
      <c r="F542" s="6" t="s">
        <v>75</v>
      </c>
      <c r="G542" s="2" t="s">
        <v>54</v>
      </c>
      <c r="H542" s="2" t="s">
        <v>52</v>
      </c>
      <c r="I542" s="3" t="s">
        <v>53</v>
      </c>
      <c r="J542" s="44">
        <v>20</v>
      </c>
      <c r="K542" s="44" t="s">
        <v>54</v>
      </c>
      <c r="L542" s="44" t="s">
        <v>548</v>
      </c>
      <c r="M542" s="25"/>
      <c r="N542" s="16"/>
      <c r="O542" s="16"/>
      <c r="P542" s="16"/>
      <c r="Q542" s="16"/>
      <c r="R542" s="16" t="s">
        <v>679</v>
      </c>
      <c r="S542" s="2"/>
      <c r="T542" s="2"/>
      <c r="U542" s="2"/>
    </row>
    <row r="543" spans="1:21" hidden="1">
      <c r="A543" s="2">
        <f t="shared" si="5"/>
        <v>1</v>
      </c>
      <c r="B543" s="3" t="s">
        <v>487</v>
      </c>
      <c r="C543" s="3" t="s">
        <v>1678</v>
      </c>
      <c r="D543" s="3" t="s">
        <v>636</v>
      </c>
      <c r="E543" s="3" t="s">
        <v>50</v>
      </c>
      <c r="F543" s="6" t="s">
        <v>50</v>
      </c>
      <c r="G543" s="2" t="s">
        <v>51</v>
      </c>
      <c r="H543" s="2" t="s">
        <v>52</v>
      </c>
      <c r="I543" s="3" t="s">
        <v>53</v>
      </c>
      <c r="J543" s="44">
        <v>14</v>
      </c>
      <c r="K543" s="44" t="s">
        <v>54</v>
      </c>
      <c r="L543" s="44" t="s">
        <v>548</v>
      </c>
      <c r="M543" s="25"/>
      <c r="N543" s="16"/>
      <c r="O543" s="16"/>
      <c r="P543" s="16"/>
      <c r="Q543" s="16"/>
      <c r="R543" s="16"/>
      <c r="S543" s="2"/>
      <c r="T543" s="2"/>
      <c r="U543" s="2"/>
    </row>
    <row r="544" spans="1:21" hidden="1">
      <c r="A544" s="2">
        <f t="shared" si="5"/>
        <v>2</v>
      </c>
      <c r="B544" s="3" t="s">
        <v>487</v>
      </c>
      <c r="C544" s="3" t="s">
        <v>1677</v>
      </c>
      <c r="D544" s="3" t="s">
        <v>636</v>
      </c>
      <c r="E544" s="3" t="s">
        <v>55</v>
      </c>
      <c r="F544" s="6" t="s">
        <v>1593</v>
      </c>
      <c r="G544" s="2" t="s">
        <v>51</v>
      </c>
      <c r="H544" s="2" t="s">
        <v>52</v>
      </c>
      <c r="I544" s="3" t="s">
        <v>53</v>
      </c>
      <c r="J544" s="44">
        <v>8</v>
      </c>
      <c r="K544" s="44" t="s">
        <v>54</v>
      </c>
      <c r="L544" s="44" t="s">
        <v>504</v>
      </c>
      <c r="M544" s="25" t="s">
        <v>501</v>
      </c>
      <c r="N544" s="16"/>
      <c r="O544" s="16"/>
      <c r="P544" s="16"/>
      <c r="Q544" s="16"/>
      <c r="R544" s="16"/>
      <c r="S544" s="2"/>
      <c r="T544" s="2"/>
      <c r="U544" s="2"/>
    </row>
    <row r="545" spans="1:21" hidden="1">
      <c r="A545" s="2">
        <f t="shared" si="5"/>
        <v>3</v>
      </c>
      <c r="B545" s="3" t="s">
        <v>487</v>
      </c>
      <c r="C545" s="3" t="s">
        <v>1677</v>
      </c>
      <c r="D545" s="3" t="s">
        <v>636</v>
      </c>
      <c r="E545" s="3" t="s">
        <v>56</v>
      </c>
      <c r="F545" s="6" t="s">
        <v>1595</v>
      </c>
      <c r="G545" s="2" t="s">
        <v>51</v>
      </c>
      <c r="H545" s="2" t="s">
        <v>52</v>
      </c>
      <c r="I545" s="3" t="s">
        <v>53</v>
      </c>
      <c r="J545" s="44">
        <v>6</v>
      </c>
      <c r="K545" s="44" t="s">
        <v>54</v>
      </c>
      <c r="L545" s="44" t="s">
        <v>505</v>
      </c>
      <c r="M545" s="25" t="s">
        <v>506</v>
      </c>
      <c r="N545" s="16"/>
      <c r="O545" s="16"/>
      <c r="P545" s="16"/>
      <c r="Q545" s="16"/>
      <c r="R545" s="16"/>
      <c r="S545" s="2"/>
      <c r="T545" s="2"/>
      <c r="U545" s="2"/>
    </row>
    <row r="546" spans="1:21" hidden="1">
      <c r="A546" s="2">
        <f t="shared" si="5"/>
        <v>4</v>
      </c>
      <c r="B546" s="3" t="s">
        <v>487</v>
      </c>
      <c r="C546" s="3" t="s">
        <v>1677</v>
      </c>
      <c r="D546" s="3" t="s">
        <v>636</v>
      </c>
      <c r="E546" s="3" t="s">
        <v>146</v>
      </c>
      <c r="F546" s="6" t="s">
        <v>146</v>
      </c>
      <c r="G546" s="2" t="s">
        <v>54</v>
      </c>
      <c r="H546" s="2" t="s">
        <v>54</v>
      </c>
      <c r="I546" s="3" t="s">
        <v>53</v>
      </c>
      <c r="J546" s="44">
        <v>4</v>
      </c>
      <c r="K546" s="44" t="s">
        <v>54</v>
      </c>
      <c r="L546" s="44" t="s">
        <v>526</v>
      </c>
      <c r="M546" s="25"/>
      <c r="N546" s="16"/>
      <c r="O546" s="16"/>
      <c r="P546" s="16"/>
      <c r="Q546" s="16">
        <v>4</v>
      </c>
      <c r="R546" s="23" t="s">
        <v>349</v>
      </c>
      <c r="S546" s="2"/>
      <c r="T546" s="2"/>
      <c r="U546" s="2"/>
    </row>
    <row r="547" spans="1:21" hidden="1">
      <c r="A547" s="2">
        <f t="shared" si="5"/>
        <v>5</v>
      </c>
      <c r="B547" s="3" t="s">
        <v>487</v>
      </c>
      <c r="C547" s="3" t="s">
        <v>1677</v>
      </c>
      <c r="D547" s="3" t="s">
        <v>636</v>
      </c>
      <c r="E547" s="3" t="s">
        <v>147</v>
      </c>
      <c r="F547" s="6" t="s">
        <v>147</v>
      </c>
      <c r="G547" s="2" t="s">
        <v>54</v>
      </c>
      <c r="H547" s="2" t="s">
        <v>54</v>
      </c>
      <c r="I547" s="3" t="s">
        <v>53</v>
      </c>
      <c r="J547" s="44">
        <v>7</v>
      </c>
      <c r="K547" s="44" t="s">
        <v>54</v>
      </c>
      <c r="L547" s="44" t="s">
        <v>526</v>
      </c>
      <c r="M547" s="25"/>
      <c r="N547" s="16"/>
      <c r="O547" s="16"/>
      <c r="P547" s="16"/>
      <c r="Q547" s="94">
        <v>7</v>
      </c>
      <c r="R547" s="23" t="s">
        <v>398</v>
      </c>
      <c r="S547" s="2"/>
      <c r="T547" s="2"/>
      <c r="U547" s="2"/>
    </row>
    <row r="548" spans="1:21" hidden="1">
      <c r="A548" s="2">
        <f t="shared" si="5"/>
        <v>6</v>
      </c>
      <c r="B548" s="3" t="s">
        <v>487</v>
      </c>
      <c r="C548" s="3" t="s">
        <v>1677</v>
      </c>
      <c r="D548" s="3" t="s">
        <v>636</v>
      </c>
      <c r="E548" s="3" t="s">
        <v>148</v>
      </c>
      <c r="F548" s="6" t="s">
        <v>148</v>
      </c>
      <c r="G548" s="2" t="s">
        <v>54</v>
      </c>
      <c r="H548" s="2" t="s">
        <v>54</v>
      </c>
      <c r="I548" s="3" t="s">
        <v>53</v>
      </c>
      <c r="J548" s="44">
        <v>14</v>
      </c>
      <c r="K548" s="44" t="s">
        <v>54</v>
      </c>
      <c r="L548" s="44" t="s">
        <v>526</v>
      </c>
      <c r="M548" s="25"/>
      <c r="N548" s="16"/>
      <c r="O548" s="16"/>
      <c r="P548" s="16"/>
      <c r="Q548" s="94">
        <v>14</v>
      </c>
      <c r="R548" s="23" t="s">
        <v>399</v>
      </c>
      <c r="S548" s="2"/>
      <c r="T548" s="2"/>
      <c r="U548" s="2"/>
    </row>
    <row r="549" spans="1:21" hidden="1">
      <c r="A549" s="2">
        <f t="shared" si="5"/>
        <v>7</v>
      </c>
      <c r="B549" s="48" t="s">
        <v>487</v>
      </c>
      <c r="C549" s="48" t="s">
        <v>1677</v>
      </c>
      <c r="D549" s="48" t="s">
        <v>636</v>
      </c>
      <c r="E549" s="48" t="s">
        <v>149</v>
      </c>
      <c r="F549" s="49" t="s">
        <v>566</v>
      </c>
      <c r="G549" s="47" t="s">
        <v>54</v>
      </c>
      <c r="H549" s="47" t="s">
        <v>54</v>
      </c>
      <c r="I549" s="48" t="s">
        <v>53</v>
      </c>
      <c r="J549" s="51">
        <v>1</v>
      </c>
      <c r="K549" s="51" t="s">
        <v>54</v>
      </c>
      <c r="L549" s="51" t="s">
        <v>517</v>
      </c>
      <c r="M549" s="52"/>
      <c r="N549" s="83"/>
      <c r="O549" s="83"/>
      <c r="P549" s="83"/>
      <c r="Q549" s="83"/>
      <c r="R549" s="83"/>
      <c r="S549" s="47"/>
      <c r="T549" s="47"/>
      <c r="U549" s="47"/>
    </row>
    <row r="550" spans="1:21" hidden="1">
      <c r="A550" s="2">
        <f t="shared" si="5"/>
        <v>8</v>
      </c>
      <c r="B550" s="3" t="s">
        <v>487</v>
      </c>
      <c r="C550" s="3" t="s">
        <v>1677</v>
      </c>
      <c r="D550" s="3" t="s">
        <v>636</v>
      </c>
      <c r="E550" s="3" t="s">
        <v>150</v>
      </c>
      <c r="F550" s="6" t="s">
        <v>437</v>
      </c>
      <c r="G550" s="2" t="s">
        <v>54</v>
      </c>
      <c r="H550" s="2" t="s">
        <v>54</v>
      </c>
      <c r="I550" s="3" t="s">
        <v>53</v>
      </c>
      <c r="J550" s="44">
        <v>12</v>
      </c>
      <c r="K550" s="44" t="s">
        <v>54</v>
      </c>
      <c r="L550" s="44" t="s">
        <v>526</v>
      </c>
      <c r="M550" s="25"/>
      <c r="N550" s="16"/>
      <c r="O550" s="16"/>
      <c r="P550" s="16"/>
      <c r="Q550" s="94">
        <v>12</v>
      </c>
      <c r="R550" s="23" t="s">
        <v>434</v>
      </c>
      <c r="S550" s="2"/>
      <c r="T550" s="2"/>
      <c r="U550" s="2"/>
    </row>
    <row r="551" spans="1:21" hidden="1">
      <c r="A551" s="2">
        <f t="shared" si="5"/>
        <v>9</v>
      </c>
      <c r="B551" s="3" t="s">
        <v>487</v>
      </c>
      <c r="C551" s="3" t="s">
        <v>1677</v>
      </c>
      <c r="D551" s="3" t="s">
        <v>636</v>
      </c>
      <c r="E551" s="3" t="s">
        <v>151</v>
      </c>
      <c r="F551" s="6" t="s">
        <v>151</v>
      </c>
      <c r="G551" s="2" t="s">
        <v>54</v>
      </c>
      <c r="H551" s="2" t="s">
        <v>54</v>
      </c>
      <c r="I551" s="3" t="s">
        <v>53</v>
      </c>
      <c r="J551" s="44">
        <v>1</v>
      </c>
      <c r="K551" s="44" t="s">
        <v>54</v>
      </c>
      <c r="L551" s="44" t="s">
        <v>526</v>
      </c>
      <c r="M551" s="25"/>
      <c r="N551" s="16"/>
      <c r="O551" s="16"/>
      <c r="P551" s="16"/>
      <c r="Q551" s="94">
        <v>1</v>
      </c>
      <c r="R551" s="23" t="s">
        <v>151</v>
      </c>
      <c r="S551" s="2"/>
      <c r="T551" s="2"/>
      <c r="U551" s="2"/>
    </row>
    <row r="552" spans="1:21" hidden="1">
      <c r="A552" s="2">
        <f t="shared" si="5"/>
        <v>10</v>
      </c>
      <c r="B552" s="3" t="s">
        <v>487</v>
      </c>
      <c r="C552" s="3" t="s">
        <v>1677</v>
      </c>
      <c r="D552" s="3" t="s">
        <v>636</v>
      </c>
      <c r="E552" s="3" t="s">
        <v>62</v>
      </c>
      <c r="F552" s="6" t="s">
        <v>62</v>
      </c>
      <c r="G552" s="2"/>
      <c r="H552" s="2"/>
      <c r="I552" s="3"/>
      <c r="J552" s="44"/>
      <c r="K552" s="44"/>
      <c r="L552" s="44" t="s">
        <v>557</v>
      </c>
      <c r="M552" s="25"/>
      <c r="N552" s="3"/>
      <c r="O552" s="16"/>
      <c r="P552" s="16"/>
      <c r="Q552" s="94">
        <v>1</v>
      </c>
      <c r="R552" s="23" t="s">
        <v>436</v>
      </c>
      <c r="S552" s="2"/>
      <c r="T552" s="2"/>
      <c r="U552" s="2"/>
    </row>
    <row r="553" spans="1:21" ht="27" hidden="1">
      <c r="A553" s="2">
        <f t="shared" si="5"/>
        <v>11</v>
      </c>
      <c r="B553" s="3" t="s">
        <v>487</v>
      </c>
      <c r="C553" s="3" t="s">
        <v>1677</v>
      </c>
      <c r="D553" s="3" t="s">
        <v>636</v>
      </c>
      <c r="E553" s="3" t="s">
        <v>565</v>
      </c>
      <c r="F553" s="6" t="s">
        <v>565</v>
      </c>
      <c r="G553" s="2"/>
      <c r="H553" s="2"/>
      <c r="I553" s="3"/>
      <c r="J553" s="44"/>
      <c r="K553" s="44"/>
      <c r="L553" s="44" t="s">
        <v>557</v>
      </c>
      <c r="M553" s="25"/>
      <c r="N553" s="3"/>
      <c r="O553" s="16"/>
      <c r="P553" s="16"/>
      <c r="Q553" s="94">
        <v>13</v>
      </c>
      <c r="R553" s="23" t="s">
        <v>435</v>
      </c>
      <c r="S553" s="2"/>
      <c r="T553" s="2"/>
      <c r="U553" s="2"/>
    </row>
    <row r="554" spans="1:21" hidden="1">
      <c r="A554" s="2">
        <f t="shared" si="5"/>
        <v>12</v>
      </c>
      <c r="B554" s="48" t="s">
        <v>487</v>
      </c>
      <c r="C554" s="48" t="s">
        <v>1677</v>
      </c>
      <c r="D554" s="48" t="s">
        <v>636</v>
      </c>
      <c r="E554" s="48" t="s">
        <v>152</v>
      </c>
      <c r="F554" s="49" t="s">
        <v>152</v>
      </c>
      <c r="G554" s="47" t="s">
        <v>54</v>
      </c>
      <c r="H554" s="47" t="s">
        <v>54</v>
      </c>
      <c r="I554" s="48" t="s">
        <v>53</v>
      </c>
      <c r="J554" s="51">
        <v>88</v>
      </c>
      <c r="K554" s="51" t="s">
        <v>54</v>
      </c>
      <c r="L554" s="51" t="s">
        <v>517</v>
      </c>
      <c r="M554" s="52"/>
      <c r="N554" s="83" t="s">
        <v>675</v>
      </c>
      <c r="O554" s="83"/>
      <c r="P554" s="83"/>
      <c r="Q554" s="83"/>
      <c r="R554" s="95"/>
      <c r="S554" s="47"/>
      <c r="T554" s="47"/>
      <c r="U554" s="47"/>
    </row>
    <row r="555" spans="1:21" hidden="1">
      <c r="A555" s="2">
        <f t="shared" si="5"/>
        <v>13</v>
      </c>
      <c r="B555" s="3" t="s">
        <v>487</v>
      </c>
      <c r="C555" s="3" t="s">
        <v>1677</v>
      </c>
      <c r="D555" s="3" t="s">
        <v>636</v>
      </c>
      <c r="E555" s="3" t="s">
        <v>568</v>
      </c>
      <c r="F555" s="6" t="s">
        <v>568</v>
      </c>
      <c r="G555" s="2"/>
      <c r="H555" s="2"/>
      <c r="I555" s="3"/>
      <c r="J555" s="44"/>
      <c r="K555" s="44"/>
      <c r="L555" s="44" t="s">
        <v>557</v>
      </c>
      <c r="M555" s="25"/>
      <c r="N555" s="20"/>
      <c r="O555" s="16"/>
      <c r="P555" s="16"/>
      <c r="Q555" s="16"/>
      <c r="R555" s="16" t="s">
        <v>567</v>
      </c>
      <c r="S555" s="2"/>
      <c r="T555" s="2"/>
      <c r="U555" s="2"/>
    </row>
    <row r="556" spans="1:21" hidden="1">
      <c r="A556" s="2">
        <f t="shared" si="5"/>
        <v>14</v>
      </c>
      <c r="B556" s="3" t="s">
        <v>487</v>
      </c>
      <c r="C556" s="3" t="s">
        <v>1677</v>
      </c>
      <c r="D556" s="3" t="s">
        <v>636</v>
      </c>
      <c r="E556" s="3" t="s">
        <v>72</v>
      </c>
      <c r="F556" s="6" t="s">
        <v>72</v>
      </c>
      <c r="G556" s="2" t="s">
        <v>54</v>
      </c>
      <c r="H556" s="2" t="s">
        <v>52</v>
      </c>
      <c r="I556" s="3" t="s">
        <v>73</v>
      </c>
      <c r="J556" s="44" t="s">
        <v>54</v>
      </c>
      <c r="K556" s="44" t="s">
        <v>54</v>
      </c>
      <c r="L556" s="44" t="s">
        <v>548</v>
      </c>
      <c r="M556" s="25"/>
      <c r="N556" s="16"/>
      <c r="O556" s="16"/>
      <c r="P556" s="16"/>
      <c r="Q556" s="16"/>
      <c r="R556" s="16" t="s">
        <v>679</v>
      </c>
      <c r="S556" s="2"/>
      <c r="T556" s="2"/>
      <c r="U556" s="2"/>
    </row>
    <row r="557" spans="1:21" hidden="1">
      <c r="A557" s="2">
        <f t="shared" si="5"/>
        <v>15</v>
      </c>
      <c r="B557" s="3" t="s">
        <v>487</v>
      </c>
      <c r="C557" s="3" t="s">
        <v>1677</v>
      </c>
      <c r="D557" s="3" t="s">
        <v>636</v>
      </c>
      <c r="E557" s="3" t="s">
        <v>74</v>
      </c>
      <c r="F557" s="6" t="s">
        <v>74</v>
      </c>
      <c r="G557" s="2" t="s">
        <v>54</v>
      </c>
      <c r="H557" s="2" t="s">
        <v>52</v>
      </c>
      <c r="I557" s="3" t="s">
        <v>53</v>
      </c>
      <c r="J557" s="44">
        <v>12</v>
      </c>
      <c r="K557" s="44" t="s">
        <v>54</v>
      </c>
      <c r="L557" s="44" t="s">
        <v>548</v>
      </c>
      <c r="M557" s="25"/>
      <c r="N557" s="16"/>
      <c r="O557" s="16"/>
      <c r="P557" s="16"/>
      <c r="Q557" s="16"/>
      <c r="R557" s="16" t="s">
        <v>679</v>
      </c>
      <c r="S557" s="2"/>
      <c r="T557" s="2"/>
      <c r="U557" s="2"/>
    </row>
    <row r="558" spans="1:21" hidden="1">
      <c r="A558" s="2">
        <f t="shared" si="5"/>
        <v>16</v>
      </c>
      <c r="B558" s="3" t="s">
        <v>487</v>
      </c>
      <c r="C558" s="3" t="s">
        <v>1677</v>
      </c>
      <c r="D558" s="3" t="s">
        <v>636</v>
      </c>
      <c r="E558" s="3" t="s">
        <v>75</v>
      </c>
      <c r="F558" s="6" t="s">
        <v>75</v>
      </c>
      <c r="G558" s="2" t="s">
        <v>54</v>
      </c>
      <c r="H558" s="2" t="s">
        <v>52</v>
      </c>
      <c r="I558" s="3" t="s">
        <v>53</v>
      </c>
      <c r="J558" s="44">
        <v>20</v>
      </c>
      <c r="K558" s="44" t="s">
        <v>54</v>
      </c>
      <c r="L558" s="44" t="s">
        <v>548</v>
      </c>
      <c r="M558" s="25"/>
      <c r="N558" s="16"/>
      <c r="O558" s="16"/>
      <c r="P558" s="16"/>
      <c r="Q558" s="16"/>
      <c r="R558" s="16" t="s">
        <v>679</v>
      </c>
      <c r="S558" s="2"/>
      <c r="T558" s="2"/>
      <c r="U558" s="2"/>
    </row>
    <row r="559" spans="1:21" hidden="1">
      <c r="A559" s="2">
        <f t="shared" si="5"/>
        <v>1</v>
      </c>
      <c r="B559" s="3" t="s">
        <v>487</v>
      </c>
      <c r="C559" s="3" t="s">
        <v>1680</v>
      </c>
      <c r="D559" s="3" t="s">
        <v>637</v>
      </c>
      <c r="E559" s="3" t="s">
        <v>50</v>
      </c>
      <c r="F559" s="6" t="s">
        <v>50</v>
      </c>
      <c r="G559" s="2" t="s">
        <v>51</v>
      </c>
      <c r="H559" s="2" t="s">
        <v>52</v>
      </c>
      <c r="I559" s="3" t="s">
        <v>53</v>
      </c>
      <c r="J559" s="44">
        <v>14</v>
      </c>
      <c r="K559" s="44" t="s">
        <v>54</v>
      </c>
      <c r="L559" s="44" t="s">
        <v>548</v>
      </c>
      <c r="M559" s="25"/>
      <c r="N559" s="16"/>
      <c r="O559" s="16"/>
      <c r="P559" s="16"/>
      <c r="Q559" s="16"/>
      <c r="R559" s="16"/>
      <c r="S559" s="2"/>
      <c r="T559" s="2"/>
      <c r="U559" s="2"/>
    </row>
    <row r="560" spans="1:21" hidden="1">
      <c r="A560" s="2">
        <f t="shared" si="5"/>
        <v>2</v>
      </c>
      <c r="B560" s="3" t="s">
        <v>487</v>
      </c>
      <c r="C560" s="3" t="s">
        <v>1679</v>
      </c>
      <c r="D560" s="3" t="s">
        <v>637</v>
      </c>
      <c r="E560" s="3" t="s">
        <v>55</v>
      </c>
      <c r="F560" s="6" t="s">
        <v>1593</v>
      </c>
      <c r="G560" s="2" t="s">
        <v>51</v>
      </c>
      <c r="H560" s="2" t="s">
        <v>52</v>
      </c>
      <c r="I560" s="3" t="s">
        <v>53</v>
      </c>
      <c r="J560" s="44">
        <v>8</v>
      </c>
      <c r="K560" s="44" t="s">
        <v>54</v>
      </c>
      <c r="L560" s="44" t="s">
        <v>504</v>
      </c>
      <c r="M560" s="25" t="s">
        <v>501</v>
      </c>
      <c r="N560" s="16"/>
      <c r="O560" s="16"/>
      <c r="P560" s="16"/>
      <c r="Q560" s="16"/>
      <c r="R560" s="16"/>
      <c r="S560" s="2"/>
      <c r="T560" s="2"/>
      <c r="U560" s="2"/>
    </row>
    <row r="561" spans="1:21" hidden="1">
      <c r="A561" s="2">
        <f t="shared" si="5"/>
        <v>3</v>
      </c>
      <c r="B561" s="3" t="s">
        <v>487</v>
      </c>
      <c r="C561" s="3" t="s">
        <v>1679</v>
      </c>
      <c r="D561" s="3" t="s">
        <v>637</v>
      </c>
      <c r="E561" s="3" t="s">
        <v>56</v>
      </c>
      <c r="F561" s="6" t="s">
        <v>1595</v>
      </c>
      <c r="G561" s="2" t="s">
        <v>51</v>
      </c>
      <c r="H561" s="2" t="s">
        <v>52</v>
      </c>
      <c r="I561" s="3" t="s">
        <v>53</v>
      </c>
      <c r="J561" s="44">
        <v>6</v>
      </c>
      <c r="K561" s="44" t="s">
        <v>54</v>
      </c>
      <c r="L561" s="44" t="s">
        <v>505</v>
      </c>
      <c r="M561" s="25" t="s">
        <v>506</v>
      </c>
      <c r="N561" s="16"/>
      <c r="O561" s="16"/>
      <c r="P561" s="16"/>
      <c r="Q561" s="16"/>
      <c r="R561" s="16"/>
      <c r="S561" s="2"/>
      <c r="T561" s="2"/>
      <c r="U561" s="2"/>
    </row>
    <row r="562" spans="1:21" hidden="1">
      <c r="A562" s="2">
        <f t="shared" si="5"/>
        <v>4</v>
      </c>
      <c r="B562" s="3" t="s">
        <v>487</v>
      </c>
      <c r="C562" s="3" t="s">
        <v>1679</v>
      </c>
      <c r="D562" s="3" t="s">
        <v>637</v>
      </c>
      <c r="E562" s="3" t="s">
        <v>77</v>
      </c>
      <c r="F562" s="6" t="str">
        <f>MID(D562,5,LEN(D562)-6)&amp;"일련번호"</f>
        <v>KCB동시대출상세일련번호</v>
      </c>
      <c r="G562" s="2" t="s">
        <v>51</v>
      </c>
      <c r="H562" s="2" t="s">
        <v>52</v>
      </c>
      <c r="I562" s="3" t="s">
        <v>68</v>
      </c>
      <c r="J562" s="44">
        <v>3</v>
      </c>
      <c r="K562" s="44" t="s">
        <v>54</v>
      </c>
      <c r="L562" s="44" t="s">
        <v>504</v>
      </c>
      <c r="M562" s="25" t="s">
        <v>501</v>
      </c>
      <c r="N562" s="16"/>
      <c r="O562" s="16"/>
      <c r="P562" s="16"/>
      <c r="Q562" s="16"/>
      <c r="R562" s="16"/>
      <c r="S562" s="2"/>
      <c r="T562" s="2"/>
      <c r="U562" s="2"/>
    </row>
    <row r="563" spans="1:21" hidden="1">
      <c r="A563" s="2">
        <f t="shared" si="5"/>
        <v>5</v>
      </c>
      <c r="B563" s="3" t="s">
        <v>487</v>
      </c>
      <c r="C563" s="3" t="s">
        <v>1679</v>
      </c>
      <c r="D563" s="3" t="s">
        <v>637</v>
      </c>
      <c r="E563" s="3" t="s">
        <v>154</v>
      </c>
      <c r="F563" s="6" t="s">
        <v>569</v>
      </c>
      <c r="G563" s="2" t="s">
        <v>54</v>
      </c>
      <c r="H563" s="2" t="s">
        <v>54</v>
      </c>
      <c r="I563" s="3" t="s">
        <v>53</v>
      </c>
      <c r="J563" s="44">
        <v>20</v>
      </c>
      <c r="K563" s="44" t="s">
        <v>54</v>
      </c>
      <c r="L563" s="44" t="s">
        <v>526</v>
      </c>
      <c r="M563" s="25"/>
      <c r="N563" s="16"/>
      <c r="O563" s="16"/>
      <c r="P563" s="16"/>
      <c r="Q563" s="16">
        <v>16</v>
      </c>
      <c r="R563" s="17" t="s">
        <v>438</v>
      </c>
      <c r="S563" s="2"/>
      <c r="T563" s="2"/>
      <c r="U563" s="2"/>
    </row>
    <row r="564" spans="1:21" hidden="1">
      <c r="A564" s="2">
        <f t="shared" si="5"/>
        <v>6</v>
      </c>
      <c r="B564" s="3" t="s">
        <v>487</v>
      </c>
      <c r="C564" s="3" t="s">
        <v>1679</v>
      </c>
      <c r="D564" s="3" t="s">
        <v>637</v>
      </c>
      <c r="E564" s="3" t="s">
        <v>155</v>
      </c>
      <c r="F564" s="6" t="s">
        <v>1655</v>
      </c>
      <c r="G564" s="2" t="s">
        <v>54</v>
      </c>
      <c r="H564" s="2" t="s">
        <v>54</v>
      </c>
      <c r="I564" s="3" t="s">
        <v>53</v>
      </c>
      <c r="J564" s="44">
        <v>20</v>
      </c>
      <c r="K564" s="44" t="s">
        <v>54</v>
      </c>
      <c r="L564" s="44" t="s">
        <v>499</v>
      </c>
      <c r="M564" s="25" t="s">
        <v>501</v>
      </c>
      <c r="N564" s="16"/>
      <c r="O564" s="16"/>
      <c r="P564" s="16"/>
      <c r="Q564" s="16">
        <v>20</v>
      </c>
      <c r="R564" s="17" t="s">
        <v>439</v>
      </c>
      <c r="S564" s="2"/>
      <c r="T564" s="2"/>
      <c r="U564" s="2"/>
    </row>
    <row r="565" spans="1:21" hidden="1">
      <c r="A565" s="2">
        <f t="shared" si="5"/>
        <v>7</v>
      </c>
      <c r="B565" s="3" t="s">
        <v>487</v>
      </c>
      <c r="C565" s="3" t="s">
        <v>1679</v>
      </c>
      <c r="D565" s="3" t="s">
        <v>637</v>
      </c>
      <c r="E565" s="3" t="s">
        <v>156</v>
      </c>
      <c r="F565" s="6" t="s">
        <v>1656</v>
      </c>
      <c r="G565" s="2" t="s">
        <v>54</v>
      </c>
      <c r="H565" s="2" t="s">
        <v>54</v>
      </c>
      <c r="I565" s="3" t="s">
        <v>53</v>
      </c>
      <c r="J565" s="44">
        <v>2</v>
      </c>
      <c r="K565" s="44" t="s">
        <v>54</v>
      </c>
      <c r="L565" s="44" t="s">
        <v>499</v>
      </c>
      <c r="M565" s="25" t="s">
        <v>501</v>
      </c>
      <c r="N565" s="16"/>
      <c r="O565" s="16"/>
      <c r="P565" s="16"/>
      <c r="Q565" s="16">
        <v>2</v>
      </c>
      <c r="R565" s="17" t="s">
        <v>156</v>
      </c>
      <c r="S565" s="2"/>
      <c r="T565" s="2"/>
      <c r="U565" s="2"/>
    </row>
    <row r="566" spans="1:21" hidden="1">
      <c r="A566" s="2">
        <f t="shared" si="5"/>
        <v>8</v>
      </c>
      <c r="B566" s="3" t="s">
        <v>487</v>
      </c>
      <c r="C566" s="3" t="s">
        <v>1679</v>
      </c>
      <c r="D566" s="3" t="s">
        <v>637</v>
      </c>
      <c r="E566" s="3" t="s">
        <v>157</v>
      </c>
      <c r="F566" s="6" t="s">
        <v>157</v>
      </c>
      <c r="G566" s="2" t="s">
        <v>54</v>
      </c>
      <c r="H566" s="2" t="s">
        <v>54</v>
      </c>
      <c r="I566" s="3" t="s">
        <v>53</v>
      </c>
      <c r="J566" s="44">
        <v>2</v>
      </c>
      <c r="K566" s="44" t="s">
        <v>54</v>
      </c>
      <c r="L566" s="44" t="s">
        <v>526</v>
      </c>
      <c r="M566" s="25"/>
      <c r="N566" s="16"/>
      <c r="O566" s="16"/>
      <c r="P566" s="16"/>
      <c r="Q566" s="16">
        <v>2</v>
      </c>
      <c r="R566" s="17" t="s">
        <v>440</v>
      </c>
      <c r="S566" s="2"/>
      <c r="T566" s="2"/>
      <c r="U566" s="2"/>
    </row>
    <row r="567" spans="1:21" hidden="1">
      <c r="A567" s="2">
        <f t="shared" si="5"/>
        <v>9</v>
      </c>
      <c r="B567" s="3" t="s">
        <v>487</v>
      </c>
      <c r="C567" s="3" t="s">
        <v>1679</v>
      </c>
      <c r="D567" s="3" t="s">
        <v>637</v>
      </c>
      <c r="E567" s="3" t="s">
        <v>158</v>
      </c>
      <c r="F567" s="6" t="s">
        <v>573</v>
      </c>
      <c r="G567" s="2" t="s">
        <v>54</v>
      </c>
      <c r="H567" s="2" t="s">
        <v>54</v>
      </c>
      <c r="I567" s="3" t="s">
        <v>53</v>
      </c>
      <c r="J567" s="44">
        <v>1</v>
      </c>
      <c r="K567" s="44" t="s">
        <v>54</v>
      </c>
      <c r="L567" s="44" t="s">
        <v>526</v>
      </c>
      <c r="M567" s="25"/>
      <c r="N567" s="16"/>
      <c r="O567" s="16"/>
      <c r="P567" s="16"/>
      <c r="Q567" s="16">
        <v>1</v>
      </c>
      <c r="R567" s="17" t="s">
        <v>441</v>
      </c>
      <c r="S567" s="2"/>
      <c r="T567" s="2"/>
      <c r="U567" s="2"/>
    </row>
    <row r="568" spans="1:21" hidden="1">
      <c r="A568" s="2">
        <f t="shared" si="5"/>
        <v>10</v>
      </c>
      <c r="B568" s="3" t="s">
        <v>487</v>
      </c>
      <c r="C568" s="3" t="s">
        <v>1679</v>
      </c>
      <c r="D568" s="3" t="s">
        <v>637</v>
      </c>
      <c r="E568" s="3" t="s">
        <v>159</v>
      </c>
      <c r="F568" s="6" t="s">
        <v>574</v>
      </c>
      <c r="G568" s="2" t="s">
        <v>54</v>
      </c>
      <c r="H568" s="2" t="s">
        <v>52</v>
      </c>
      <c r="I568" s="3" t="s">
        <v>68</v>
      </c>
      <c r="J568" s="44">
        <v>9</v>
      </c>
      <c r="K568" s="44" t="s">
        <v>54</v>
      </c>
      <c r="L568" s="44" t="s">
        <v>499</v>
      </c>
      <c r="M568" s="25" t="s">
        <v>501</v>
      </c>
      <c r="N568" s="16"/>
      <c r="O568" s="16"/>
      <c r="P568" s="16"/>
      <c r="Q568" s="16">
        <v>9</v>
      </c>
      <c r="R568" s="17" t="s">
        <v>442</v>
      </c>
      <c r="S568" s="2"/>
      <c r="T568" s="2"/>
      <c r="U568" s="2"/>
    </row>
    <row r="569" spans="1:21" hidden="1">
      <c r="A569" s="2">
        <f t="shared" si="5"/>
        <v>11</v>
      </c>
      <c r="B569" s="3" t="s">
        <v>487</v>
      </c>
      <c r="C569" s="3" t="s">
        <v>1679</v>
      </c>
      <c r="D569" s="3" t="s">
        <v>637</v>
      </c>
      <c r="E569" s="3" t="s">
        <v>121</v>
      </c>
      <c r="F569" s="6" t="s">
        <v>121</v>
      </c>
      <c r="G569" s="2" t="s">
        <v>54</v>
      </c>
      <c r="H569" s="2" t="s">
        <v>54</v>
      </c>
      <c r="I569" s="3" t="s">
        <v>53</v>
      </c>
      <c r="J569" s="44">
        <v>8</v>
      </c>
      <c r="K569" s="44" t="s">
        <v>54</v>
      </c>
      <c r="L569" s="44" t="s">
        <v>526</v>
      </c>
      <c r="M569" s="25"/>
      <c r="N569" s="16"/>
      <c r="O569" s="16"/>
      <c r="P569" s="16"/>
      <c r="Q569" s="16">
        <v>8</v>
      </c>
      <c r="R569" s="17" t="s">
        <v>443</v>
      </c>
      <c r="S569" s="2"/>
      <c r="T569" s="2"/>
      <c r="U569" s="2"/>
    </row>
    <row r="570" spans="1:21" hidden="1">
      <c r="A570" s="2">
        <f t="shared" si="5"/>
        <v>12</v>
      </c>
      <c r="B570" s="3" t="s">
        <v>487</v>
      </c>
      <c r="C570" s="3" t="s">
        <v>1679</v>
      </c>
      <c r="D570" s="3" t="s">
        <v>637</v>
      </c>
      <c r="E570" s="3" t="s">
        <v>160</v>
      </c>
      <c r="F570" s="6" t="s">
        <v>160</v>
      </c>
      <c r="G570" s="2" t="s">
        <v>54</v>
      </c>
      <c r="H570" s="2" t="s">
        <v>54</v>
      </c>
      <c r="I570" s="3" t="s">
        <v>53</v>
      </c>
      <c r="J570" s="44">
        <v>8</v>
      </c>
      <c r="K570" s="44" t="s">
        <v>54</v>
      </c>
      <c r="L570" s="44" t="s">
        <v>526</v>
      </c>
      <c r="M570" s="25"/>
      <c r="N570" s="16"/>
      <c r="O570" s="16"/>
      <c r="P570" s="16"/>
      <c r="Q570" s="16">
        <v>8</v>
      </c>
      <c r="R570" s="17" t="s">
        <v>444</v>
      </c>
      <c r="S570" s="2"/>
      <c r="T570" s="2"/>
      <c r="U570" s="2"/>
    </row>
    <row r="571" spans="1:21" hidden="1">
      <c r="A571" s="2">
        <f t="shared" si="5"/>
        <v>13</v>
      </c>
      <c r="B571" s="3" t="s">
        <v>487</v>
      </c>
      <c r="C571" s="3" t="s">
        <v>1679</v>
      </c>
      <c r="D571" s="3" t="s">
        <v>637</v>
      </c>
      <c r="E571" s="3" t="s">
        <v>161</v>
      </c>
      <c r="F571" s="6" t="s">
        <v>161</v>
      </c>
      <c r="G571" s="2" t="s">
        <v>54</v>
      </c>
      <c r="H571" s="2" t="s">
        <v>54</v>
      </c>
      <c r="I571" s="3" t="s">
        <v>53</v>
      </c>
      <c r="J571" s="44">
        <v>20</v>
      </c>
      <c r="K571" s="44" t="s">
        <v>54</v>
      </c>
      <c r="L571" s="44" t="s">
        <v>526</v>
      </c>
      <c r="M571" s="25"/>
      <c r="N571" s="16"/>
      <c r="O571" s="16"/>
      <c r="P571" s="16"/>
      <c r="Q571" s="16">
        <v>20</v>
      </c>
      <c r="R571" s="17" t="s">
        <v>161</v>
      </c>
      <c r="S571" s="2"/>
      <c r="T571" s="2"/>
      <c r="U571" s="2"/>
    </row>
    <row r="572" spans="1:21" hidden="1">
      <c r="A572" s="2">
        <f t="shared" si="5"/>
        <v>14</v>
      </c>
      <c r="B572" s="3" t="s">
        <v>487</v>
      </c>
      <c r="C572" s="3" t="s">
        <v>1679</v>
      </c>
      <c r="D572" s="3" t="s">
        <v>637</v>
      </c>
      <c r="E572" s="3" t="s">
        <v>162</v>
      </c>
      <c r="F572" s="6" t="s">
        <v>162</v>
      </c>
      <c r="G572" s="2" t="s">
        <v>54</v>
      </c>
      <c r="H572" s="2" t="s">
        <v>54</v>
      </c>
      <c r="I572" s="3" t="s">
        <v>53</v>
      </c>
      <c r="J572" s="44">
        <v>20</v>
      </c>
      <c r="K572" s="44" t="s">
        <v>54</v>
      </c>
      <c r="L572" s="44" t="s">
        <v>526</v>
      </c>
      <c r="M572" s="25"/>
      <c r="N572" s="16"/>
      <c r="O572" s="16"/>
      <c r="P572" s="16"/>
      <c r="Q572" s="16">
        <v>17</v>
      </c>
      <c r="R572" s="17" t="s">
        <v>162</v>
      </c>
      <c r="S572" s="2"/>
      <c r="T572" s="2"/>
      <c r="U572" s="2"/>
    </row>
    <row r="573" spans="1:21" hidden="1">
      <c r="A573" s="2">
        <f t="shared" si="5"/>
        <v>15</v>
      </c>
      <c r="B573" s="3" t="s">
        <v>487</v>
      </c>
      <c r="C573" s="3" t="s">
        <v>1679</v>
      </c>
      <c r="D573" s="3" t="s">
        <v>637</v>
      </c>
      <c r="E573" s="3" t="s">
        <v>163</v>
      </c>
      <c r="F573" s="6" t="s">
        <v>163</v>
      </c>
      <c r="G573" s="2" t="s">
        <v>54</v>
      </c>
      <c r="H573" s="2" t="s">
        <v>54</v>
      </c>
      <c r="I573" s="3" t="s">
        <v>53</v>
      </c>
      <c r="J573" s="44">
        <v>3</v>
      </c>
      <c r="K573" s="44" t="s">
        <v>54</v>
      </c>
      <c r="L573" s="44" t="s">
        <v>526</v>
      </c>
      <c r="M573" s="25"/>
      <c r="N573" s="16"/>
      <c r="O573" s="16"/>
      <c r="P573" s="16"/>
      <c r="Q573" s="16">
        <v>3</v>
      </c>
      <c r="R573" s="17" t="s">
        <v>445</v>
      </c>
      <c r="S573" s="2"/>
      <c r="T573" s="2"/>
      <c r="U573" s="2"/>
    </row>
    <row r="574" spans="1:21" hidden="1">
      <c r="A574" s="2">
        <f t="shared" si="5"/>
        <v>16</v>
      </c>
      <c r="B574" s="3" t="s">
        <v>487</v>
      </c>
      <c r="C574" s="3" t="s">
        <v>1679</v>
      </c>
      <c r="D574" s="3" t="s">
        <v>637</v>
      </c>
      <c r="E574" s="3" t="s">
        <v>164</v>
      </c>
      <c r="F574" s="6" t="s">
        <v>164</v>
      </c>
      <c r="G574" s="2" t="s">
        <v>54</v>
      </c>
      <c r="H574" s="2" t="s">
        <v>54</v>
      </c>
      <c r="I574" s="3" t="s">
        <v>53</v>
      </c>
      <c r="J574" s="44">
        <v>1</v>
      </c>
      <c r="K574" s="44" t="s">
        <v>54</v>
      </c>
      <c r="L574" s="44" t="s">
        <v>526</v>
      </c>
      <c r="M574" s="25"/>
      <c r="N574" s="16"/>
      <c r="O574" s="16"/>
      <c r="P574" s="16"/>
      <c r="Q574" s="16">
        <v>1</v>
      </c>
      <c r="R574" s="17" t="s">
        <v>446</v>
      </c>
      <c r="S574" s="2"/>
      <c r="T574" s="2"/>
      <c r="U574" s="2"/>
    </row>
    <row r="575" spans="1:21" hidden="1">
      <c r="A575" s="2">
        <f t="shared" si="5"/>
        <v>17</v>
      </c>
      <c r="B575" s="3" t="s">
        <v>487</v>
      </c>
      <c r="C575" s="3" t="s">
        <v>1679</v>
      </c>
      <c r="D575" s="3" t="s">
        <v>637</v>
      </c>
      <c r="E575" s="3" t="s">
        <v>165</v>
      </c>
      <c r="F575" s="6" t="s">
        <v>604</v>
      </c>
      <c r="G575" s="2" t="s">
        <v>54</v>
      </c>
      <c r="H575" s="2" t="s">
        <v>54</v>
      </c>
      <c r="I575" s="3" t="s">
        <v>53</v>
      </c>
      <c r="J575" s="44">
        <v>2</v>
      </c>
      <c r="K575" s="44" t="s">
        <v>54</v>
      </c>
      <c r="L575" s="44" t="s">
        <v>499</v>
      </c>
      <c r="M575" s="25" t="s">
        <v>501</v>
      </c>
      <c r="N575" s="16"/>
      <c r="O575" s="16"/>
      <c r="P575" s="16"/>
      <c r="Q575" s="16">
        <v>2</v>
      </c>
      <c r="R575" s="17" t="s">
        <v>447</v>
      </c>
      <c r="S575" s="2"/>
      <c r="T575" s="2"/>
      <c r="U575" s="2"/>
    </row>
    <row r="576" spans="1:21" hidden="1">
      <c r="A576" s="2">
        <f t="shared" si="5"/>
        <v>18</v>
      </c>
      <c r="B576" s="3" t="s">
        <v>487</v>
      </c>
      <c r="C576" s="3" t="s">
        <v>1679</v>
      </c>
      <c r="D576" s="3" t="s">
        <v>637</v>
      </c>
      <c r="E576" s="3" t="s">
        <v>166</v>
      </c>
      <c r="F576" s="6" t="s">
        <v>578</v>
      </c>
      <c r="G576" s="2" t="s">
        <v>54</v>
      </c>
      <c r="H576" s="2" t="s">
        <v>54</v>
      </c>
      <c r="I576" s="3" t="s">
        <v>53</v>
      </c>
      <c r="J576" s="44">
        <v>30</v>
      </c>
      <c r="K576" s="44" t="s">
        <v>54</v>
      </c>
      <c r="L576" s="44" t="s">
        <v>526</v>
      </c>
      <c r="M576" s="25"/>
      <c r="N576" s="16"/>
      <c r="O576" s="16"/>
      <c r="P576" s="16"/>
      <c r="Q576" s="16">
        <v>20</v>
      </c>
      <c r="R576" s="17" t="s">
        <v>448</v>
      </c>
      <c r="S576" s="2"/>
      <c r="T576" s="2"/>
      <c r="U576" s="2"/>
    </row>
    <row r="577" spans="1:21" hidden="1">
      <c r="A577" s="2">
        <f t="shared" si="5"/>
        <v>19</v>
      </c>
      <c r="B577" s="3" t="s">
        <v>487</v>
      </c>
      <c r="C577" s="3" t="s">
        <v>1679</v>
      </c>
      <c r="D577" s="3" t="s">
        <v>637</v>
      </c>
      <c r="E577" s="3"/>
      <c r="F577" s="6" t="s">
        <v>1657</v>
      </c>
      <c r="G577" s="2"/>
      <c r="H577" s="2"/>
      <c r="I577" s="3"/>
      <c r="J577" s="44"/>
      <c r="K577" s="44"/>
      <c r="L577" s="44" t="s">
        <v>499</v>
      </c>
      <c r="M577" s="25" t="s">
        <v>501</v>
      </c>
      <c r="N577" s="16"/>
      <c r="O577" s="16"/>
      <c r="P577" s="16"/>
      <c r="Q577" s="16">
        <v>14</v>
      </c>
      <c r="R577" s="17" t="s">
        <v>579</v>
      </c>
      <c r="S577" s="2"/>
      <c r="T577" s="2"/>
      <c r="U577" s="2"/>
    </row>
    <row r="578" spans="1:21" hidden="1">
      <c r="A578" s="2">
        <f t="shared" si="5"/>
        <v>20</v>
      </c>
      <c r="B578" s="3" t="s">
        <v>487</v>
      </c>
      <c r="C578" s="3" t="s">
        <v>1679</v>
      </c>
      <c r="D578" s="3" t="s">
        <v>637</v>
      </c>
      <c r="E578" s="3"/>
      <c r="F578" s="6" t="s">
        <v>1658</v>
      </c>
      <c r="G578" s="2"/>
      <c r="H578" s="2"/>
      <c r="I578" s="3"/>
      <c r="J578" s="44"/>
      <c r="K578" s="44"/>
      <c r="L578" s="44" t="s">
        <v>499</v>
      </c>
      <c r="M578" s="25" t="s">
        <v>501</v>
      </c>
      <c r="N578" s="16"/>
      <c r="O578" s="16"/>
      <c r="P578" s="16"/>
      <c r="Q578" s="16">
        <v>6</v>
      </c>
      <c r="R578" s="17" t="s">
        <v>449</v>
      </c>
      <c r="S578" s="2"/>
      <c r="T578" s="2"/>
      <c r="U578" s="2"/>
    </row>
    <row r="579" spans="1:21" hidden="1">
      <c r="A579" s="2">
        <f t="shared" si="5"/>
        <v>21</v>
      </c>
      <c r="B579" s="3" t="s">
        <v>487</v>
      </c>
      <c r="C579" s="3" t="s">
        <v>1679</v>
      </c>
      <c r="D579" s="3" t="s">
        <v>637</v>
      </c>
      <c r="E579" s="3" t="s">
        <v>72</v>
      </c>
      <c r="F579" s="6" t="s">
        <v>72</v>
      </c>
      <c r="G579" s="2" t="s">
        <v>54</v>
      </c>
      <c r="H579" s="2" t="s">
        <v>52</v>
      </c>
      <c r="I579" s="3" t="s">
        <v>73</v>
      </c>
      <c r="J579" s="44" t="s">
        <v>54</v>
      </c>
      <c r="K579" s="44" t="s">
        <v>54</v>
      </c>
      <c r="L579" s="44" t="s">
        <v>548</v>
      </c>
      <c r="M579" s="25"/>
      <c r="N579" s="16"/>
      <c r="O579" s="16"/>
      <c r="P579" s="16"/>
      <c r="Q579" s="16"/>
      <c r="R579" s="16" t="s">
        <v>679</v>
      </c>
      <c r="S579" s="2"/>
      <c r="T579" s="2"/>
      <c r="U579" s="2"/>
    </row>
    <row r="580" spans="1:21" hidden="1">
      <c r="A580" s="2">
        <f t="shared" si="5"/>
        <v>22</v>
      </c>
      <c r="B580" s="3" t="s">
        <v>487</v>
      </c>
      <c r="C580" s="3" t="s">
        <v>1679</v>
      </c>
      <c r="D580" s="3" t="s">
        <v>637</v>
      </c>
      <c r="E580" s="3" t="s">
        <v>74</v>
      </c>
      <c r="F580" s="6" t="s">
        <v>74</v>
      </c>
      <c r="G580" s="2" t="s">
        <v>54</v>
      </c>
      <c r="H580" s="2" t="s">
        <v>52</v>
      </c>
      <c r="I580" s="3" t="s">
        <v>53</v>
      </c>
      <c r="J580" s="44">
        <v>12</v>
      </c>
      <c r="K580" s="44" t="s">
        <v>54</v>
      </c>
      <c r="L580" s="44" t="s">
        <v>548</v>
      </c>
      <c r="M580" s="25"/>
      <c r="N580" s="16"/>
      <c r="O580" s="16"/>
      <c r="P580" s="16"/>
      <c r="Q580" s="16"/>
      <c r="R580" s="16" t="s">
        <v>679</v>
      </c>
      <c r="S580" s="2"/>
      <c r="T580" s="2"/>
      <c r="U580" s="2"/>
    </row>
    <row r="581" spans="1:21" hidden="1">
      <c r="A581" s="2">
        <f t="shared" si="5"/>
        <v>23</v>
      </c>
      <c r="B581" s="3" t="s">
        <v>487</v>
      </c>
      <c r="C581" s="3" t="s">
        <v>1679</v>
      </c>
      <c r="D581" s="3" t="s">
        <v>637</v>
      </c>
      <c r="E581" s="3" t="s">
        <v>75</v>
      </c>
      <c r="F581" s="6" t="s">
        <v>75</v>
      </c>
      <c r="G581" s="2" t="s">
        <v>54</v>
      </c>
      <c r="H581" s="2" t="s">
        <v>52</v>
      </c>
      <c r="I581" s="3" t="s">
        <v>53</v>
      </c>
      <c r="J581" s="44">
        <v>20</v>
      </c>
      <c r="K581" s="44" t="s">
        <v>54</v>
      </c>
      <c r="L581" s="44" t="s">
        <v>548</v>
      </c>
      <c r="M581" s="25"/>
      <c r="N581" s="16"/>
      <c r="O581" s="16"/>
      <c r="P581" s="16"/>
      <c r="Q581" s="16"/>
      <c r="R581" s="16" t="s">
        <v>679</v>
      </c>
      <c r="S581" s="2"/>
      <c r="T581" s="2"/>
      <c r="U581" s="2"/>
    </row>
    <row r="582" spans="1:21" hidden="1">
      <c r="A582" s="2">
        <f t="shared" si="5"/>
        <v>1</v>
      </c>
      <c r="B582" s="3" t="s">
        <v>487</v>
      </c>
      <c r="C582" s="3" t="s">
        <v>1682</v>
      </c>
      <c r="D582" s="3" t="s">
        <v>638</v>
      </c>
      <c r="E582" s="3" t="s">
        <v>50</v>
      </c>
      <c r="F582" s="6" t="s">
        <v>50</v>
      </c>
      <c r="G582" s="2" t="s">
        <v>51</v>
      </c>
      <c r="H582" s="2" t="s">
        <v>52</v>
      </c>
      <c r="I582" s="3" t="s">
        <v>53</v>
      </c>
      <c r="J582" s="44">
        <v>14</v>
      </c>
      <c r="K582" s="44" t="s">
        <v>54</v>
      </c>
      <c r="L582" s="44" t="s">
        <v>548</v>
      </c>
      <c r="M582" s="25"/>
      <c r="N582" s="16"/>
      <c r="O582" s="16"/>
      <c r="P582" s="16"/>
      <c r="Q582" s="16"/>
      <c r="R582" s="16"/>
      <c r="S582" s="2"/>
      <c r="T582" s="2"/>
      <c r="U582" s="2"/>
    </row>
    <row r="583" spans="1:21" hidden="1">
      <c r="A583" s="2">
        <f t="shared" si="5"/>
        <v>2</v>
      </c>
      <c r="B583" s="3" t="s">
        <v>487</v>
      </c>
      <c r="C583" s="3" t="s">
        <v>1681</v>
      </c>
      <c r="D583" s="3" t="s">
        <v>638</v>
      </c>
      <c r="E583" s="3" t="s">
        <v>55</v>
      </c>
      <c r="F583" s="6" t="s">
        <v>1593</v>
      </c>
      <c r="G583" s="2" t="s">
        <v>51</v>
      </c>
      <c r="H583" s="2" t="s">
        <v>52</v>
      </c>
      <c r="I583" s="3" t="s">
        <v>53</v>
      </c>
      <c r="J583" s="44">
        <v>8</v>
      </c>
      <c r="K583" s="44" t="s">
        <v>54</v>
      </c>
      <c r="L583" s="44" t="s">
        <v>504</v>
      </c>
      <c r="M583" s="25" t="s">
        <v>501</v>
      </c>
      <c r="N583" s="16"/>
      <c r="O583" s="16"/>
      <c r="P583" s="16"/>
      <c r="Q583" s="16"/>
      <c r="R583" s="16"/>
      <c r="S583" s="2"/>
      <c r="T583" s="2"/>
      <c r="U583" s="2"/>
    </row>
    <row r="584" spans="1:21" hidden="1">
      <c r="A584" s="2">
        <f t="shared" si="5"/>
        <v>3</v>
      </c>
      <c r="B584" s="3" t="s">
        <v>487</v>
      </c>
      <c r="C584" s="3" t="s">
        <v>1681</v>
      </c>
      <c r="D584" s="3" t="s">
        <v>638</v>
      </c>
      <c r="E584" s="3" t="s">
        <v>56</v>
      </c>
      <c r="F584" s="6" t="s">
        <v>1595</v>
      </c>
      <c r="G584" s="2" t="s">
        <v>51</v>
      </c>
      <c r="H584" s="2" t="s">
        <v>52</v>
      </c>
      <c r="I584" s="3" t="s">
        <v>53</v>
      </c>
      <c r="J584" s="44">
        <v>6</v>
      </c>
      <c r="K584" s="44" t="s">
        <v>54</v>
      </c>
      <c r="L584" s="44" t="s">
        <v>505</v>
      </c>
      <c r="M584" s="25" t="s">
        <v>506</v>
      </c>
      <c r="N584" s="16"/>
      <c r="O584" s="16"/>
      <c r="P584" s="16"/>
      <c r="Q584" s="16"/>
      <c r="R584" s="16"/>
      <c r="S584" s="2"/>
      <c r="T584" s="2"/>
      <c r="U584" s="2"/>
    </row>
    <row r="585" spans="1:21" hidden="1">
      <c r="A585" s="2">
        <f t="shared" si="5"/>
        <v>4</v>
      </c>
      <c r="B585" s="3" t="s">
        <v>487</v>
      </c>
      <c r="C585" s="3" t="s">
        <v>1681</v>
      </c>
      <c r="D585" s="3" t="s">
        <v>638</v>
      </c>
      <c r="E585" s="3" t="s">
        <v>146</v>
      </c>
      <c r="F585" s="6" t="s">
        <v>584</v>
      </c>
      <c r="G585" s="2" t="s">
        <v>54</v>
      </c>
      <c r="H585" s="2" t="s">
        <v>54</v>
      </c>
      <c r="I585" s="3" t="s">
        <v>53</v>
      </c>
      <c r="J585" s="44">
        <v>4</v>
      </c>
      <c r="K585" s="44" t="s">
        <v>54</v>
      </c>
      <c r="L585" s="44" t="s">
        <v>548</v>
      </c>
      <c r="M585" s="25"/>
      <c r="N585" s="16"/>
      <c r="O585" s="16"/>
      <c r="P585" s="16"/>
      <c r="Q585" s="94">
        <v>4</v>
      </c>
      <c r="R585" s="16" t="s">
        <v>585</v>
      </c>
      <c r="S585" s="2"/>
      <c r="T585" s="2"/>
      <c r="U585" s="2"/>
    </row>
    <row r="586" spans="1:21" hidden="1">
      <c r="A586" s="2">
        <f t="shared" si="5"/>
        <v>5</v>
      </c>
      <c r="B586" s="3" t="s">
        <v>487</v>
      </c>
      <c r="C586" s="3" t="s">
        <v>1681</v>
      </c>
      <c r="D586" s="3" t="s">
        <v>638</v>
      </c>
      <c r="E586" s="3" t="s">
        <v>150</v>
      </c>
      <c r="F586" s="6" t="s">
        <v>150</v>
      </c>
      <c r="G586" s="2"/>
      <c r="H586" s="2"/>
      <c r="I586" s="3"/>
      <c r="J586" s="44"/>
      <c r="K586" s="44"/>
      <c r="L586" s="44" t="s">
        <v>499</v>
      </c>
      <c r="M586" s="25"/>
      <c r="N586" s="16"/>
      <c r="O586" s="16"/>
      <c r="P586" s="16"/>
      <c r="Q586" s="37">
        <v>12</v>
      </c>
      <c r="R586" s="16" t="s">
        <v>466</v>
      </c>
      <c r="S586" s="2"/>
      <c r="T586" s="2"/>
      <c r="U586" s="2"/>
    </row>
    <row r="587" spans="1:21" hidden="1">
      <c r="A587" s="2">
        <f t="shared" si="5"/>
        <v>6</v>
      </c>
      <c r="B587" s="3" t="s">
        <v>487</v>
      </c>
      <c r="C587" s="3" t="s">
        <v>1681</v>
      </c>
      <c r="D587" s="3" t="s">
        <v>638</v>
      </c>
      <c r="E587" s="3" t="s">
        <v>168</v>
      </c>
      <c r="F587" s="6" t="s">
        <v>168</v>
      </c>
      <c r="G587" s="2" t="s">
        <v>54</v>
      </c>
      <c r="H587" s="2" t="s">
        <v>54</v>
      </c>
      <c r="I587" s="3" t="s">
        <v>53</v>
      </c>
      <c r="J587" s="44">
        <v>1</v>
      </c>
      <c r="K587" s="44" t="s">
        <v>54</v>
      </c>
      <c r="L587" s="44" t="s">
        <v>548</v>
      </c>
      <c r="M587" s="25"/>
      <c r="N587" s="16"/>
      <c r="O587" s="16"/>
      <c r="P587" s="16"/>
      <c r="Q587" s="16">
        <v>1</v>
      </c>
      <c r="R587" s="16" t="s">
        <v>586</v>
      </c>
      <c r="S587" s="2"/>
      <c r="T587" s="2"/>
      <c r="U587" s="2"/>
    </row>
    <row r="588" spans="1:21" hidden="1">
      <c r="A588" s="2">
        <f t="shared" si="5"/>
        <v>7</v>
      </c>
      <c r="B588" s="3" t="s">
        <v>487</v>
      </c>
      <c r="C588" s="3" t="s">
        <v>1681</v>
      </c>
      <c r="D588" s="3" t="s">
        <v>638</v>
      </c>
      <c r="E588" s="3" t="s">
        <v>169</v>
      </c>
      <c r="F588" s="6" t="s">
        <v>169</v>
      </c>
      <c r="G588" s="2" t="s">
        <v>54</v>
      </c>
      <c r="H588" s="2" t="s">
        <v>52</v>
      </c>
      <c r="I588" s="3" t="s">
        <v>68</v>
      </c>
      <c r="J588" s="44">
        <v>5</v>
      </c>
      <c r="K588" s="44" t="s">
        <v>54</v>
      </c>
      <c r="L588" s="44" t="s">
        <v>548</v>
      </c>
      <c r="M588" s="25"/>
      <c r="N588" s="16"/>
      <c r="O588" s="16"/>
      <c r="P588" s="16"/>
      <c r="Q588" s="16">
        <v>4</v>
      </c>
      <c r="R588" s="16" t="s">
        <v>587</v>
      </c>
      <c r="S588" s="2"/>
      <c r="T588" s="2"/>
      <c r="U588" s="2"/>
    </row>
    <row r="589" spans="1:21" hidden="1">
      <c r="A589" s="2">
        <f t="shared" si="5"/>
        <v>8</v>
      </c>
      <c r="B589" s="3" t="s">
        <v>487</v>
      </c>
      <c r="C589" s="3" t="s">
        <v>1681</v>
      </c>
      <c r="D589" s="3" t="s">
        <v>638</v>
      </c>
      <c r="E589" s="3" t="s">
        <v>170</v>
      </c>
      <c r="F589" s="6" t="s">
        <v>170</v>
      </c>
      <c r="G589" s="2" t="s">
        <v>54</v>
      </c>
      <c r="H589" s="2" t="s">
        <v>52</v>
      </c>
      <c r="I589" s="3" t="s">
        <v>68</v>
      </c>
      <c r="J589" s="44">
        <v>3</v>
      </c>
      <c r="K589" s="44" t="s">
        <v>54</v>
      </c>
      <c r="L589" s="44" t="s">
        <v>548</v>
      </c>
      <c r="M589" s="25"/>
      <c r="N589" s="16"/>
      <c r="O589" s="16"/>
      <c r="P589" s="16"/>
      <c r="Q589" s="16">
        <v>3</v>
      </c>
      <c r="R589" s="16" t="s">
        <v>588</v>
      </c>
      <c r="S589" s="2"/>
      <c r="T589" s="2"/>
      <c r="U589" s="2"/>
    </row>
    <row r="590" spans="1:21" hidden="1">
      <c r="A590" s="2">
        <f t="shared" si="5"/>
        <v>9</v>
      </c>
      <c r="B590" s="3" t="s">
        <v>487</v>
      </c>
      <c r="C590" s="3" t="s">
        <v>1681</v>
      </c>
      <c r="D590" s="3" t="s">
        <v>638</v>
      </c>
      <c r="E590" s="3" t="s">
        <v>171</v>
      </c>
      <c r="F590" s="6" t="s">
        <v>171</v>
      </c>
      <c r="G590" s="2" t="s">
        <v>54</v>
      </c>
      <c r="H590" s="2" t="s">
        <v>52</v>
      </c>
      <c r="I590" s="3" t="s">
        <v>68</v>
      </c>
      <c r="J590" s="44">
        <v>3</v>
      </c>
      <c r="K590" s="44" t="s">
        <v>54</v>
      </c>
      <c r="L590" s="44" t="s">
        <v>548</v>
      </c>
      <c r="M590" s="25"/>
      <c r="N590" s="16"/>
      <c r="O590" s="16"/>
      <c r="P590" s="16"/>
      <c r="Q590" s="16">
        <v>3</v>
      </c>
      <c r="R590" s="16" t="s">
        <v>589</v>
      </c>
      <c r="S590" s="2"/>
      <c r="T590" s="2"/>
      <c r="U590" s="2"/>
    </row>
    <row r="591" spans="1:21" hidden="1">
      <c r="A591" s="2">
        <f t="shared" si="5"/>
        <v>10</v>
      </c>
      <c r="B591" s="3" t="s">
        <v>487</v>
      </c>
      <c r="C591" s="3" t="s">
        <v>1681</v>
      </c>
      <c r="D591" s="3" t="s">
        <v>638</v>
      </c>
      <c r="E591" s="3" t="s">
        <v>72</v>
      </c>
      <c r="F591" s="6" t="s">
        <v>72</v>
      </c>
      <c r="G591" s="2" t="s">
        <v>54</v>
      </c>
      <c r="H591" s="2" t="s">
        <v>52</v>
      </c>
      <c r="I591" s="3" t="s">
        <v>73</v>
      </c>
      <c r="J591" s="44" t="s">
        <v>54</v>
      </c>
      <c r="K591" s="44" t="s">
        <v>54</v>
      </c>
      <c r="L591" s="44" t="s">
        <v>548</v>
      </c>
      <c r="M591" s="25"/>
      <c r="N591" s="16"/>
      <c r="O591" s="16"/>
      <c r="P591" s="16"/>
      <c r="Q591" s="16"/>
      <c r="R591" s="16" t="s">
        <v>679</v>
      </c>
      <c r="S591" s="2"/>
      <c r="T591" s="2"/>
      <c r="U591" s="2"/>
    </row>
    <row r="592" spans="1:21" hidden="1">
      <c r="A592" s="2">
        <f t="shared" si="5"/>
        <v>11</v>
      </c>
      <c r="B592" s="3" t="s">
        <v>487</v>
      </c>
      <c r="C592" s="3" t="s">
        <v>1681</v>
      </c>
      <c r="D592" s="3" t="s">
        <v>638</v>
      </c>
      <c r="E592" s="3" t="s">
        <v>74</v>
      </c>
      <c r="F592" s="6" t="s">
        <v>74</v>
      </c>
      <c r="G592" s="2" t="s">
        <v>54</v>
      </c>
      <c r="H592" s="2" t="s">
        <v>52</v>
      </c>
      <c r="I592" s="3" t="s">
        <v>53</v>
      </c>
      <c r="J592" s="44">
        <v>12</v>
      </c>
      <c r="K592" s="44" t="s">
        <v>54</v>
      </c>
      <c r="L592" s="44" t="s">
        <v>548</v>
      </c>
      <c r="M592" s="25"/>
      <c r="N592" s="16"/>
      <c r="O592" s="16"/>
      <c r="P592" s="16"/>
      <c r="Q592" s="16"/>
      <c r="R592" s="16" t="s">
        <v>679</v>
      </c>
      <c r="S592" s="2"/>
      <c r="T592" s="2"/>
      <c r="U592" s="2"/>
    </row>
    <row r="593" spans="1:21" hidden="1">
      <c r="A593" s="2">
        <f t="shared" si="5"/>
        <v>12</v>
      </c>
      <c r="B593" s="3" t="s">
        <v>487</v>
      </c>
      <c r="C593" s="3" t="s">
        <v>1681</v>
      </c>
      <c r="D593" s="3" t="s">
        <v>638</v>
      </c>
      <c r="E593" s="3" t="s">
        <v>75</v>
      </c>
      <c r="F593" s="6" t="s">
        <v>75</v>
      </c>
      <c r="G593" s="2" t="s">
        <v>54</v>
      </c>
      <c r="H593" s="2" t="s">
        <v>52</v>
      </c>
      <c r="I593" s="3" t="s">
        <v>53</v>
      </c>
      <c r="J593" s="44">
        <v>20</v>
      </c>
      <c r="K593" s="44" t="s">
        <v>54</v>
      </c>
      <c r="L593" s="44" t="s">
        <v>548</v>
      </c>
      <c r="M593" s="25"/>
      <c r="N593" s="16"/>
      <c r="O593" s="16"/>
      <c r="P593" s="16"/>
      <c r="Q593" s="16"/>
      <c r="R593" s="16" t="s">
        <v>679</v>
      </c>
      <c r="S593" s="2"/>
      <c r="T593" s="2"/>
      <c r="U593" s="2"/>
    </row>
    <row r="594" spans="1:21" hidden="1">
      <c r="A594" s="2">
        <f t="shared" si="5"/>
        <v>1</v>
      </c>
      <c r="B594" s="16" t="s">
        <v>488</v>
      </c>
      <c r="C594" s="3" t="s">
        <v>1684</v>
      </c>
      <c r="D594" s="16" t="s">
        <v>639</v>
      </c>
      <c r="E594" s="3" t="s">
        <v>50</v>
      </c>
      <c r="F594" s="6" t="s">
        <v>50</v>
      </c>
      <c r="G594" s="2" t="s">
        <v>51</v>
      </c>
      <c r="H594" s="2" t="s">
        <v>52</v>
      </c>
      <c r="I594" s="3" t="s">
        <v>53</v>
      </c>
      <c r="J594" s="44">
        <v>14</v>
      </c>
      <c r="K594" s="44" t="s">
        <v>54</v>
      </c>
      <c r="L594" s="44" t="s">
        <v>548</v>
      </c>
      <c r="M594" s="25"/>
      <c r="N594" s="16"/>
      <c r="O594" s="16"/>
      <c r="P594" s="16"/>
      <c r="Q594" s="16"/>
      <c r="R594" s="16"/>
      <c r="S594" s="2"/>
      <c r="T594" s="2"/>
      <c r="U594" s="2"/>
    </row>
    <row r="595" spans="1:21" hidden="1">
      <c r="A595" s="2">
        <f t="shared" si="5"/>
        <v>2</v>
      </c>
      <c r="B595" s="16" t="s">
        <v>488</v>
      </c>
      <c r="C595" s="3" t="s">
        <v>1683</v>
      </c>
      <c r="D595" s="16" t="s">
        <v>639</v>
      </c>
      <c r="E595" s="3" t="s">
        <v>55</v>
      </c>
      <c r="F595" s="6" t="s">
        <v>1593</v>
      </c>
      <c r="G595" s="2" t="s">
        <v>51</v>
      </c>
      <c r="H595" s="2" t="s">
        <v>52</v>
      </c>
      <c r="I595" s="3" t="s">
        <v>53</v>
      </c>
      <c r="J595" s="44">
        <v>8</v>
      </c>
      <c r="K595" s="44" t="s">
        <v>54</v>
      </c>
      <c r="L595" s="44" t="s">
        <v>504</v>
      </c>
      <c r="M595" s="25" t="s">
        <v>501</v>
      </c>
      <c r="N595" s="16"/>
      <c r="O595" s="16"/>
      <c r="P595" s="16"/>
      <c r="Q595" s="16"/>
      <c r="R595" s="16"/>
      <c r="S595" s="2"/>
      <c r="T595" s="2"/>
      <c r="U595" s="2"/>
    </row>
    <row r="596" spans="1:21" hidden="1">
      <c r="A596" s="2">
        <f t="shared" ref="A596:A602" si="6">IF(D595=D596,A595+1,1)</f>
        <v>3</v>
      </c>
      <c r="B596" s="16" t="s">
        <v>488</v>
      </c>
      <c r="C596" s="3" t="s">
        <v>1683</v>
      </c>
      <c r="D596" s="16" t="s">
        <v>639</v>
      </c>
      <c r="E596" s="3" t="s">
        <v>56</v>
      </c>
      <c r="F596" s="6" t="s">
        <v>1595</v>
      </c>
      <c r="G596" s="2" t="s">
        <v>51</v>
      </c>
      <c r="H596" s="2" t="s">
        <v>52</v>
      </c>
      <c r="I596" s="3" t="s">
        <v>53</v>
      </c>
      <c r="J596" s="44">
        <v>6</v>
      </c>
      <c r="K596" s="44" t="s">
        <v>54</v>
      </c>
      <c r="L596" s="44" t="s">
        <v>505</v>
      </c>
      <c r="M596" s="25" t="s">
        <v>506</v>
      </c>
      <c r="N596" s="16"/>
      <c r="O596" s="16"/>
      <c r="P596" s="16"/>
      <c r="Q596" s="16"/>
      <c r="R596" s="16"/>
      <c r="S596" s="2"/>
      <c r="T596" s="2"/>
      <c r="U596" s="2"/>
    </row>
    <row r="597" spans="1:21" hidden="1">
      <c r="A597" s="2">
        <f t="shared" si="6"/>
        <v>4</v>
      </c>
      <c r="B597" s="16" t="s">
        <v>488</v>
      </c>
      <c r="C597" s="3" t="s">
        <v>1683</v>
      </c>
      <c r="D597" s="16" t="s">
        <v>639</v>
      </c>
      <c r="E597" s="3" t="s">
        <v>77</v>
      </c>
      <c r="F597" s="6" t="str">
        <f>MID(D597,5,LEN(D597)-6)&amp;"일련번호"</f>
        <v>KCB허위대출결과상세일련번호</v>
      </c>
      <c r="G597" s="2" t="s">
        <v>51</v>
      </c>
      <c r="H597" s="2" t="s">
        <v>52</v>
      </c>
      <c r="I597" s="3" t="s">
        <v>68</v>
      </c>
      <c r="J597" s="44">
        <v>3</v>
      </c>
      <c r="K597" s="44" t="s">
        <v>54</v>
      </c>
      <c r="L597" s="44" t="s">
        <v>504</v>
      </c>
      <c r="M597" s="25" t="s">
        <v>501</v>
      </c>
      <c r="N597" s="16"/>
      <c r="O597" s="16"/>
      <c r="P597" s="16"/>
      <c r="Q597" s="16"/>
      <c r="R597" s="16"/>
      <c r="S597" s="2"/>
      <c r="T597" s="2"/>
      <c r="U597" s="2"/>
    </row>
    <row r="598" spans="1:21" hidden="1">
      <c r="A598" s="2">
        <f t="shared" si="6"/>
        <v>5</v>
      </c>
      <c r="B598" s="16" t="s">
        <v>488</v>
      </c>
      <c r="C598" s="3" t="s">
        <v>1683</v>
      </c>
      <c r="D598" s="16" t="s">
        <v>639</v>
      </c>
      <c r="E598" s="3" t="s">
        <v>590</v>
      </c>
      <c r="F598" s="6" t="s">
        <v>1659</v>
      </c>
      <c r="G598" s="2" t="s">
        <v>54</v>
      </c>
      <c r="H598" s="2" t="s">
        <v>54</v>
      </c>
      <c r="I598" s="3" t="s">
        <v>53</v>
      </c>
      <c r="J598" s="44">
        <v>10</v>
      </c>
      <c r="K598" s="44" t="s">
        <v>54</v>
      </c>
      <c r="L598" s="44" t="s">
        <v>548</v>
      </c>
      <c r="M598" s="25"/>
      <c r="N598" s="16"/>
      <c r="O598" s="16"/>
      <c r="P598" s="16"/>
      <c r="Q598" s="16">
        <v>3</v>
      </c>
      <c r="R598" s="16" t="s">
        <v>467</v>
      </c>
      <c r="S598" s="2"/>
      <c r="T598" s="2"/>
      <c r="U598" s="2"/>
    </row>
    <row r="599" spans="1:21" hidden="1">
      <c r="A599" s="2">
        <f t="shared" si="6"/>
        <v>6</v>
      </c>
      <c r="B599" s="16" t="s">
        <v>488</v>
      </c>
      <c r="C599" s="3" t="s">
        <v>1683</v>
      </c>
      <c r="D599" s="16" t="s">
        <v>639</v>
      </c>
      <c r="E599" s="3" t="s">
        <v>591</v>
      </c>
      <c r="F599" s="6" t="s">
        <v>1660</v>
      </c>
      <c r="G599" s="2" t="s">
        <v>54</v>
      </c>
      <c r="H599" s="2" t="s">
        <v>52</v>
      </c>
      <c r="I599" s="3" t="s">
        <v>68</v>
      </c>
      <c r="J599" s="44">
        <v>5</v>
      </c>
      <c r="K599" s="44" t="s">
        <v>54</v>
      </c>
      <c r="L599" s="44" t="s">
        <v>548</v>
      </c>
      <c r="M599" s="25"/>
      <c r="N599" s="16"/>
      <c r="O599" s="16"/>
      <c r="P599" s="16"/>
      <c r="Q599" s="16">
        <v>4</v>
      </c>
      <c r="R599" s="16" t="s">
        <v>468</v>
      </c>
      <c r="S599" s="2"/>
      <c r="T599" s="2"/>
      <c r="U599" s="2"/>
    </row>
    <row r="600" spans="1:21" hidden="1">
      <c r="A600" s="2">
        <f t="shared" si="6"/>
        <v>7</v>
      </c>
      <c r="B600" s="16" t="s">
        <v>488</v>
      </c>
      <c r="C600" s="3" t="s">
        <v>1683</v>
      </c>
      <c r="D600" s="16" t="s">
        <v>639</v>
      </c>
      <c r="E600" s="3" t="s">
        <v>72</v>
      </c>
      <c r="F600" s="6" t="s">
        <v>72</v>
      </c>
      <c r="G600" s="2" t="s">
        <v>54</v>
      </c>
      <c r="H600" s="2" t="s">
        <v>52</v>
      </c>
      <c r="I600" s="3" t="s">
        <v>73</v>
      </c>
      <c r="J600" s="44" t="s">
        <v>54</v>
      </c>
      <c r="K600" s="44" t="s">
        <v>54</v>
      </c>
      <c r="L600" s="44" t="s">
        <v>548</v>
      </c>
      <c r="M600" s="25"/>
      <c r="N600" s="16"/>
      <c r="O600" s="16"/>
      <c r="P600" s="16"/>
      <c r="Q600" s="16"/>
      <c r="R600" s="16" t="s">
        <v>679</v>
      </c>
      <c r="S600" s="2"/>
      <c r="T600" s="2"/>
      <c r="U600" s="2"/>
    </row>
    <row r="601" spans="1:21" hidden="1">
      <c r="A601" s="2">
        <f t="shared" si="6"/>
        <v>8</v>
      </c>
      <c r="B601" s="16" t="s">
        <v>488</v>
      </c>
      <c r="C601" s="3" t="s">
        <v>1683</v>
      </c>
      <c r="D601" s="16" t="s">
        <v>639</v>
      </c>
      <c r="E601" s="3" t="s">
        <v>74</v>
      </c>
      <c r="F601" s="6" t="s">
        <v>74</v>
      </c>
      <c r="G601" s="2" t="s">
        <v>54</v>
      </c>
      <c r="H601" s="2" t="s">
        <v>52</v>
      </c>
      <c r="I601" s="3" t="s">
        <v>53</v>
      </c>
      <c r="J601" s="44">
        <v>12</v>
      </c>
      <c r="K601" s="44" t="s">
        <v>54</v>
      </c>
      <c r="L601" s="44" t="s">
        <v>548</v>
      </c>
      <c r="M601" s="25"/>
      <c r="N601" s="16"/>
      <c r="O601" s="16"/>
      <c r="P601" s="16"/>
      <c r="Q601" s="16"/>
      <c r="R601" s="16" t="s">
        <v>679</v>
      </c>
      <c r="S601" s="2"/>
      <c r="T601" s="2"/>
      <c r="U601" s="2"/>
    </row>
    <row r="602" spans="1:21" hidden="1">
      <c r="A602" s="2">
        <f t="shared" si="6"/>
        <v>9</v>
      </c>
      <c r="B602" s="16" t="s">
        <v>488</v>
      </c>
      <c r="C602" s="3" t="s">
        <v>1683</v>
      </c>
      <c r="D602" s="16" t="s">
        <v>639</v>
      </c>
      <c r="E602" s="3" t="s">
        <v>75</v>
      </c>
      <c r="F602" s="6" t="s">
        <v>75</v>
      </c>
      <c r="G602" s="2" t="s">
        <v>54</v>
      </c>
      <c r="H602" s="2" t="s">
        <v>52</v>
      </c>
      <c r="I602" s="3" t="s">
        <v>53</v>
      </c>
      <c r="J602" s="44">
        <v>20</v>
      </c>
      <c r="K602" s="44" t="s">
        <v>54</v>
      </c>
      <c r="L602" s="44" t="s">
        <v>548</v>
      </c>
      <c r="M602" s="25"/>
      <c r="N602" s="16"/>
      <c r="O602" s="16"/>
      <c r="P602" s="16"/>
      <c r="Q602" s="16"/>
      <c r="R602" s="16" t="s">
        <v>679</v>
      </c>
      <c r="S602" s="2"/>
      <c r="T602" s="2"/>
      <c r="U602" s="2"/>
    </row>
  </sheetData>
  <autoFilter ref="A2:XEP602" xr:uid="{00000000-0009-0000-0000-000001000000}">
    <filterColumn colId="3">
      <filters>
        <filter val="GEA신용회원사전대상자내역"/>
        <filter val="GEA체크회원사전대상자내역"/>
      </filters>
    </filterColumn>
  </autoFilter>
  <mergeCells count="1">
    <mergeCell ref="O1:R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XEO617"/>
  <sheetViews>
    <sheetView zoomScale="88" zoomScaleNormal="88" workbookViewId="0">
      <pane xSplit="11" ySplit="2" topLeftCell="L3" activePane="bottomRight" state="frozen"/>
      <selection activeCell="C10" sqref="C10"/>
      <selection pane="topRight" activeCell="C10" sqref="C10"/>
      <selection pane="bottomLeft" activeCell="C10" sqref="C10"/>
      <selection pane="bottomRight" activeCell="R322" sqref="R322"/>
    </sheetView>
  </sheetViews>
  <sheetFormatPr defaultRowHeight="13.5"/>
  <cols>
    <col min="1" max="1" width="4.625" style="96" bestFit="1" customWidth="1"/>
    <col min="2" max="2" width="19.625" style="96" customWidth="1"/>
    <col min="3" max="3" width="10.75" style="96" customWidth="1"/>
    <col min="4" max="4" width="27.75" style="96" customWidth="1"/>
    <col min="5" max="5" width="22.375" style="97" customWidth="1"/>
    <col min="6" max="6" width="25.5" style="98" customWidth="1"/>
    <col min="7" max="8" width="3.625" style="96" customWidth="1"/>
    <col min="9" max="9" width="11.5" style="96" customWidth="1"/>
    <col min="10" max="11" width="6" style="96" customWidth="1"/>
    <col min="12" max="12" width="5.125" style="99" customWidth="1"/>
    <col min="13" max="13" width="4.875" style="100" customWidth="1"/>
    <col min="14" max="14" width="7.5" style="96" customWidth="1"/>
    <col min="15" max="15" width="12.5" style="96" bestFit="1" customWidth="1"/>
    <col min="16" max="16" width="16.25" style="96" customWidth="1"/>
    <col min="17" max="17" width="5.625" style="96" customWidth="1"/>
    <col min="18" max="18" width="29.75" style="96" customWidth="1"/>
    <col min="19" max="21" width="6.125" style="99" customWidth="1"/>
    <col min="22" max="22" width="9" style="96"/>
    <col min="23" max="23" width="12.5" style="96" bestFit="1" customWidth="1"/>
    <col min="24" max="24" width="9" style="96"/>
    <col min="25" max="25" width="24.875" style="96" customWidth="1"/>
    <col min="26" max="16384" width="9" style="96"/>
  </cols>
  <sheetData>
    <row r="1" spans="1:24" s="70" customFormat="1" ht="19.5" customHeight="1">
      <c r="A1" s="39" t="s">
        <v>338</v>
      </c>
      <c r="B1" s="39"/>
      <c r="C1" s="39"/>
      <c r="D1" s="39"/>
      <c r="E1" s="39"/>
      <c r="F1" s="40"/>
      <c r="G1" s="39"/>
      <c r="H1" s="39"/>
      <c r="I1" s="39"/>
      <c r="J1" s="39"/>
      <c r="K1" s="39"/>
      <c r="L1" s="39"/>
      <c r="M1" s="39"/>
      <c r="N1" s="39"/>
      <c r="O1" s="175" t="s">
        <v>337</v>
      </c>
      <c r="P1" s="175"/>
      <c r="Q1" s="175"/>
      <c r="R1" s="175"/>
      <c r="S1" s="41"/>
      <c r="T1" s="41"/>
      <c r="U1" s="41"/>
    </row>
    <row r="2" spans="1:24" s="70" customFormat="1" ht="54">
      <c r="A2" s="18" t="s">
        <v>106</v>
      </c>
      <c r="B2" s="18"/>
      <c r="C2" s="18" t="s">
        <v>42</v>
      </c>
      <c r="D2" s="18" t="s">
        <v>43</v>
      </c>
      <c r="E2" s="18" t="s">
        <v>44</v>
      </c>
      <c r="F2" s="9" t="s">
        <v>492</v>
      </c>
      <c r="G2" s="7" t="s">
        <v>45</v>
      </c>
      <c r="H2" s="7" t="s">
        <v>46</v>
      </c>
      <c r="I2" s="18" t="s">
        <v>47</v>
      </c>
      <c r="J2" s="8" t="s">
        <v>0</v>
      </c>
      <c r="K2" s="8" t="s">
        <v>48</v>
      </c>
      <c r="L2" s="24" t="s">
        <v>502</v>
      </c>
      <c r="M2" s="24" t="s">
        <v>500</v>
      </c>
      <c r="N2" s="18" t="s">
        <v>357</v>
      </c>
      <c r="O2" s="71" t="s">
        <v>271</v>
      </c>
      <c r="P2" s="71" t="s">
        <v>272</v>
      </c>
      <c r="Q2" s="71" t="s">
        <v>0</v>
      </c>
      <c r="R2" s="71" t="s">
        <v>273</v>
      </c>
      <c r="S2" s="42" t="s">
        <v>339</v>
      </c>
      <c r="T2" s="43" t="s">
        <v>340</v>
      </c>
      <c r="U2" s="43" t="s">
        <v>677</v>
      </c>
      <c r="W2" s="71" t="s">
        <v>271</v>
      </c>
      <c r="X2" s="71" t="s">
        <v>2959</v>
      </c>
    </row>
    <row r="3" spans="1:24" s="72" customFormat="1">
      <c r="A3" s="2">
        <v>1</v>
      </c>
      <c r="B3" s="3" t="s">
        <v>491</v>
      </c>
      <c r="C3" s="17" t="s">
        <v>1696</v>
      </c>
      <c r="D3" s="17" t="s">
        <v>681</v>
      </c>
      <c r="E3" s="3" t="s">
        <v>269</v>
      </c>
      <c r="F3" s="6" t="s">
        <v>494</v>
      </c>
      <c r="G3" s="4" t="s">
        <v>256</v>
      </c>
      <c r="H3" s="4" t="s">
        <v>257</v>
      </c>
      <c r="I3" s="3" t="s">
        <v>258</v>
      </c>
      <c r="J3" s="5">
        <v>8</v>
      </c>
      <c r="K3" s="5"/>
      <c r="L3" s="5" t="s">
        <v>669</v>
      </c>
      <c r="M3" s="25"/>
      <c r="N3" s="17"/>
      <c r="O3" s="16"/>
      <c r="P3" s="16"/>
      <c r="Q3" s="16"/>
      <c r="R3" s="16"/>
      <c r="S3" s="2" t="s">
        <v>341</v>
      </c>
      <c r="T3" s="2"/>
      <c r="U3" s="2"/>
      <c r="W3" s="16" t="s">
        <v>274</v>
      </c>
      <c r="X3" s="176">
        <f t="shared" ref="X3:X10" si="0">COUNTIF(O:O,W3)</f>
        <v>105</v>
      </c>
    </row>
    <row r="4" spans="1:24" s="72" customFormat="1">
      <c r="A4" s="2">
        <f>IF(D3=D4,A3+1,1)</f>
        <v>2</v>
      </c>
      <c r="B4" s="3" t="s">
        <v>491</v>
      </c>
      <c r="C4" s="17" t="s">
        <v>1696</v>
      </c>
      <c r="D4" s="17" t="s">
        <v>681</v>
      </c>
      <c r="E4" s="20" t="s">
        <v>260</v>
      </c>
      <c r="F4" s="46" t="s">
        <v>260</v>
      </c>
      <c r="G4" s="4" t="s">
        <v>51</v>
      </c>
      <c r="H4" s="4" t="s">
        <v>52</v>
      </c>
      <c r="I4" s="20" t="s">
        <v>53</v>
      </c>
      <c r="J4" s="21">
        <v>10</v>
      </c>
      <c r="K4" s="21" t="s">
        <v>54</v>
      </c>
      <c r="L4" s="5" t="s">
        <v>669</v>
      </c>
      <c r="M4" s="25"/>
      <c r="N4" s="20"/>
      <c r="O4" s="16" t="s">
        <v>274</v>
      </c>
      <c r="P4" s="16" t="s">
        <v>275</v>
      </c>
      <c r="Q4" s="16">
        <v>10</v>
      </c>
      <c r="R4" s="16" t="s">
        <v>260</v>
      </c>
      <c r="S4" s="2" t="s">
        <v>341</v>
      </c>
      <c r="T4" s="2"/>
      <c r="U4" s="2"/>
      <c r="W4" s="16" t="s">
        <v>283</v>
      </c>
      <c r="X4" s="176">
        <f t="shared" si="0"/>
        <v>15</v>
      </c>
    </row>
    <row r="5" spans="1:24" s="72" customFormat="1">
      <c r="A5" s="2">
        <f t="shared" ref="A5:A53" si="1">IF(D4=D5,A4+1,1)</f>
        <v>3</v>
      </c>
      <c r="B5" s="3" t="s">
        <v>491</v>
      </c>
      <c r="C5" s="17" t="s">
        <v>1696</v>
      </c>
      <c r="D5" s="17" t="s">
        <v>681</v>
      </c>
      <c r="E5" s="20" t="s">
        <v>261</v>
      </c>
      <c r="F5" s="46" t="s">
        <v>261</v>
      </c>
      <c r="G5" s="4" t="s">
        <v>51</v>
      </c>
      <c r="H5" s="4" t="s">
        <v>52</v>
      </c>
      <c r="I5" s="20" t="s">
        <v>53</v>
      </c>
      <c r="J5" s="21">
        <v>5</v>
      </c>
      <c r="K5" s="21" t="s">
        <v>54</v>
      </c>
      <c r="L5" s="5" t="s">
        <v>669</v>
      </c>
      <c r="M5" s="25"/>
      <c r="N5" s="20"/>
      <c r="O5" s="16" t="s">
        <v>274</v>
      </c>
      <c r="P5" s="16" t="s">
        <v>275</v>
      </c>
      <c r="Q5" s="16">
        <v>5</v>
      </c>
      <c r="R5" s="16" t="s">
        <v>261</v>
      </c>
      <c r="S5" s="2" t="s">
        <v>341</v>
      </c>
      <c r="T5" s="2"/>
      <c r="U5" s="2"/>
      <c r="W5" s="16" t="s">
        <v>309</v>
      </c>
      <c r="X5" s="176">
        <f t="shared" si="0"/>
        <v>8</v>
      </c>
    </row>
    <row r="6" spans="1:24" s="72" customFormat="1">
      <c r="A6" s="2">
        <f t="shared" si="1"/>
        <v>4</v>
      </c>
      <c r="B6" s="3" t="s">
        <v>491</v>
      </c>
      <c r="C6" s="17" t="s">
        <v>1696</v>
      </c>
      <c r="D6" s="17" t="s">
        <v>681</v>
      </c>
      <c r="E6" s="3" t="s">
        <v>270</v>
      </c>
      <c r="F6" s="6" t="s">
        <v>495</v>
      </c>
      <c r="G6" s="4"/>
      <c r="H6" s="4"/>
      <c r="I6" s="3" t="s">
        <v>258</v>
      </c>
      <c r="J6" s="5">
        <v>8</v>
      </c>
      <c r="K6" s="5"/>
      <c r="L6" s="5" t="s">
        <v>669</v>
      </c>
      <c r="M6" s="25"/>
      <c r="N6" s="17"/>
      <c r="O6" s="16"/>
      <c r="P6" s="16"/>
      <c r="Q6" s="16"/>
      <c r="R6" s="16"/>
      <c r="S6" s="2" t="s">
        <v>341</v>
      </c>
      <c r="T6" s="2"/>
      <c r="U6" s="2"/>
      <c r="W6" s="16" t="s">
        <v>318</v>
      </c>
      <c r="X6" s="176">
        <f t="shared" si="0"/>
        <v>5</v>
      </c>
    </row>
    <row r="7" spans="1:24" s="72" customFormat="1">
      <c r="A7" s="2">
        <f t="shared" si="1"/>
        <v>5</v>
      </c>
      <c r="B7" s="3" t="s">
        <v>491</v>
      </c>
      <c r="C7" s="17" t="s">
        <v>1696</v>
      </c>
      <c r="D7" s="17" t="s">
        <v>681</v>
      </c>
      <c r="E7" s="3" t="s">
        <v>186</v>
      </c>
      <c r="F7" s="6" t="s">
        <v>186</v>
      </c>
      <c r="G7" s="16"/>
      <c r="H7" s="16"/>
      <c r="I7" s="3" t="s">
        <v>53</v>
      </c>
      <c r="J7" s="5">
        <v>60</v>
      </c>
      <c r="K7" s="5"/>
      <c r="L7" s="5" t="s">
        <v>669</v>
      </c>
      <c r="M7" s="25"/>
      <c r="N7" s="16"/>
      <c r="O7" s="16" t="s">
        <v>274</v>
      </c>
      <c r="P7" s="16" t="s">
        <v>275</v>
      </c>
      <c r="Q7" s="16">
        <v>60</v>
      </c>
      <c r="R7" s="20" t="s">
        <v>276</v>
      </c>
      <c r="S7" s="2" t="s">
        <v>341</v>
      </c>
      <c r="T7" s="2"/>
      <c r="U7" s="2"/>
      <c r="W7" s="16" t="s">
        <v>321</v>
      </c>
      <c r="X7" s="176">
        <f t="shared" si="0"/>
        <v>5</v>
      </c>
    </row>
    <row r="8" spans="1:24" s="72" customFormat="1">
      <c r="A8" s="2">
        <f t="shared" si="1"/>
        <v>6</v>
      </c>
      <c r="B8" s="3" t="s">
        <v>491</v>
      </c>
      <c r="C8" s="17" t="s">
        <v>1696</v>
      </c>
      <c r="D8" s="17" t="s">
        <v>681</v>
      </c>
      <c r="E8" s="3" t="s">
        <v>8</v>
      </c>
      <c r="F8" s="6" t="s">
        <v>1598</v>
      </c>
      <c r="G8" s="16"/>
      <c r="H8" s="16"/>
      <c r="I8" s="3" t="s">
        <v>258</v>
      </c>
      <c r="J8" s="5">
        <v>60</v>
      </c>
      <c r="K8" s="5"/>
      <c r="L8" s="5" t="s">
        <v>669</v>
      </c>
      <c r="M8" s="25"/>
      <c r="N8" s="16"/>
      <c r="O8" s="16" t="s">
        <v>274</v>
      </c>
      <c r="P8" s="16" t="s">
        <v>275</v>
      </c>
      <c r="Q8" s="16">
        <v>60</v>
      </c>
      <c r="R8" s="20" t="s">
        <v>8</v>
      </c>
      <c r="S8" s="2" t="s">
        <v>341</v>
      </c>
      <c r="T8" s="2"/>
      <c r="U8" s="2"/>
      <c r="W8" s="16" t="s">
        <v>324</v>
      </c>
      <c r="X8" s="176">
        <f t="shared" si="0"/>
        <v>12</v>
      </c>
    </row>
    <row r="9" spans="1:24" s="72" customFormat="1">
      <c r="A9" s="2">
        <f t="shared" si="1"/>
        <v>7</v>
      </c>
      <c r="B9" s="3" t="s">
        <v>491</v>
      </c>
      <c r="C9" s="17" t="s">
        <v>1696</v>
      </c>
      <c r="D9" s="17" t="s">
        <v>681</v>
      </c>
      <c r="E9" s="3" t="s">
        <v>187</v>
      </c>
      <c r="F9" s="6" t="s">
        <v>187</v>
      </c>
      <c r="G9" s="16"/>
      <c r="H9" s="16"/>
      <c r="I9" s="3" t="s">
        <v>258</v>
      </c>
      <c r="J9" s="2">
        <v>8</v>
      </c>
      <c r="K9" s="16"/>
      <c r="L9" s="5" t="s">
        <v>669</v>
      </c>
      <c r="M9" s="25"/>
      <c r="N9" s="16"/>
      <c r="O9" s="16" t="s">
        <v>274</v>
      </c>
      <c r="P9" s="16" t="s">
        <v>275</v>
      </c>
      <c r="Q9" s="16">
        <v>8</v>
      </c>
      <c r="R9" s="20" t="s">
        <v>277</v>
      </c>
      <c r="S9" s="2" t="s">
        <v>341</v>
      </c>
      <c r="T9" s="2"/>
      <c r="U9" s="2"/>
      <c r="W9" s="16" t="s">
        <v>2324</v>
      </c>
      <c r="X9" s="176">
        <f t="shared" si="0"/>
        <v>4</v>
      </c>
    </row>
    <row r="10" spans="1:24" s="72" customFormat="1">
      <c r="A10" s="2">
        <f t="shared" si="1"/>
        <v>8</v>
      </c>
      <c r="B10" s="3" t="s">
        <v>491</v>
      </c>
      <c r="C10" s="17" t="s">
        <v>1696</v>
      </c>
      <c r="D10" s="17" t="s">
        <v>681</v>
      </c>
      <c r="E10" s="3" t="s">
        <v>9</v>
      </c>
      <c r="F10" s="6" t="s">
        <v>9</v>
      </c>
      <c r="G10" s="16"/>
      <c r="H10" s="16"/>
      <c r="I10" s="3" t="s">
        <v>53</v>
      </c>
      <c r="J10" s="2">
        <v>4</v>
      </c>
      <c r="K10" s="16"/>
      <c r="L10" s="5" t="s">
        <v>669</v>
      </c>
      <c r="M10" s="25"/>
      <c r="N10" s="16"/>
      <c r="O10" s="16" t="s">
        <v>274</v>
      </c>
      <c r="P10" s="16" t="s">
        <v>275</v>
      </c>
      <c r="Q10" s="16">
        <v>4</v>
      </c>
      <c r="R10" s="20" t="s">
        <v>9</v>
      </c>
      <c r="S10" s="2" t="s">
        <v>341</v>
      </c>
      <c r="T10" s="2"/>
      <c r="U10" s="2"/>
      <c r="W10" s="16" t="s">
        <v>327</v>
      </c>
      <c r="X10" s="176">
        <f t="shared" si="0"/>
        <v>151</v>
      </c>
    </row>
    <row r="11" spans="1:24" s="72" customFormat="1">
      <c r="A11" s="2">
        <f t="shared" si="1"/>
        <v>9</v>
      </c>
      <c r="B11" s="3" t="s">
        <v>491</v>
      </c>
      <c r="C11" s="17" t="s">
        <v>1696</v>
      </c>
      <c r="D11" s="17" t="s">
        <v>681</v>
      </c>
      <c r="E11" s="3" t="s">
        <v>188</v>
      </c>
      <c r="F11" s="6" t="s">
        <v>188</v>
      </c>
      <c r="G11" s="16"/>
      <c r="H11" s="16"/>
      <c r="I11" s="3" t="s">
        <v>53</v>
      </c>
      <c r="J11" s="2">
        <v>5</v>
      </c>
      <c r="K11" s="16"/>
      <c r="L11" s="5" t="s">
        <v>669</v>
      </c>
      <c r="M11" s="25"/>
      <c r="N11" s="16"/>
      <c r="O11" s="16" t="s">
        <v>274</v>
      </c>
      <c r="P11" s="16" t="s">
        <v>275</v>
      </c>
      <c r="Q11" s="16">
        <v>5</v>
      </c>
      <c r="R11" s="20" t="s">
        <v>278</v>
      </c>
      <c r="S11" s="2" t="s">
        <v>341</v>
      </c>
      <c r="T11" s="2"/>
      <c r="U11" s="2"/>
      <c r="W11" s="16"/>
      <c r="X11" s="176">
        <f>COUNTIF($O$3:$O$317,"")</f>
        <v>10</v>
      </c>
    </row>
    <row r="12" spans="1:24" s="72" customFormat="1" ht="16.5">
      <c r="A12" s="2">
        <f t="shared" si="1"/>
        <v>10</v>
      </c>
      <c r="B12" s="3" t="s">
        <v>491</v>
      </c>
      <c r="C12" s="17" t="s">
        <v>1696</v>
      </c>
      <c r="D12" s="17" t="s">
        <v>681</v>
      </c>
      <c r="E12" s="3" t="s">
        <v>189</v>
      </c>
      <c r="F12" s="6" t="s">
        <v>189</v>
      </c>
      <c r="G12" s="16"/>
      <c r="H12" s="4" t="s">
        <v>257</v>
      </c>
      <c r="I12" s="3" t="s">
        <v>68</v>
      </c>
      <c r="J12" s="2">
        <v>15</v>
      </c>
      <c r="K12" s="16"/>
      <c r="L12" s="5" t="s">
        <v>669</v>
      </c>
      <c r="M12" s="25"/>
      <c r="N12" s="16"/>
      <c r="O12" s="16" t="s">
        <v>274</v>
      </c>
      <c r="P12" s="16" t="s">
        <v>279</v>
      </c>
      <c r="Q12" s="16">
        <v>15</v>
      </c>
      <c r="R12" s="20" t="s">
        <v>280</v>
      </c>
      <c r="S12" s="2" t="s">
        <v>341</v>
      </c>
      <c r="T12" s="2"/>
      <c r="U12" s="2"/>
      <c r="W12" s="177"/>
      <c r="X12" s="176">
        <f>SUM(X3:X11)</f>
        <v>315</v>
      </c>
    </row>
    <row r="13" spans="1:24" s="72" customFormat="1" ht="16.5">
      <c r="A13" s="2">
        <f t="shared" si="1"/>
        <v>11</v>
      </c>
      <c r="B13" s="3" t="s">
        <v>491</v>
      </c>
      <c r="C13" s="17" t="s">
        <v>1696</v>
      </c>
      <c r="D13" s="17" t="s">
        <v>681</v>
      </c>
      <c r="E13" s="3" t="s">
        <v>190</v>
      </c>
      <c r="F13" s="6" t="s">
        <v>190</v>
      </c>
      <c r="G13" s="16"/>
      <c r="H13" s="4" t="s">
        <v>257</v>
      </c>
      <c r="I13" s="3" t="s">
        <v>68</v>
      </c>
      <c r="J13" s="2">
        <v>9</v>
      </c>
      <c r="K13" s="2">
        <v>5</v>
      </c>
      <c r="L13" s="5" t="s">
        <v>669</v>
      </c>
      <c r="M13" s="25"/>
      <c r="N13" s="16"/>
      <c r="O13" s="16" t="s">
        <v>274</v>
      </c>
      <c r="P13" s="16" t="s">
        <v>279</v>
      </c>
      <c r="Q13" s="16">
        <v>9.5</v>
      </c>
      <c r="R13" s="20" t="s">
        <v>281</v>
      </c>
      <c r="S13" s="2" t="s">
        <v>341</v>
      </c>
      <c r="T13" s="2"/>
      <c r="U13" s="2"/>
      <c r="W13"/>
    </row>
    <row r="14" spans="1:24" s="72" customFormat="1" ht="16.5">
      <c r="A14" s="2">
        <f t="shared" si="1"/>
        <v>12</v>
      </c>
      <c r="B14" s="3" t="s">
        <v>491</v>
      </c>
      <c r="C14" s="17" t="s">
        <v>1696</v>
      </c>
      <c r="D14" s="17" t="s">
        <v>681</v>
      </c>
      <c r="E14" s="3" t="s">
        <v>191</v>
      </c>
      <c r="F14" s="6" t="s">
        <v>191</v>
      </c>
      <c r="G14" s="16"/>
      <c r="H14" s="4" t="s">
        <v>257</v>
      </c>
      <c r="I14" s="3" t="s">
        <v>68</v>
      </c>
      <c r="J14" s="2">
        <v>15</v>
      </c>
      <c r="K14" s="16"/>
      <c r="L14" s="5" t="s">
        <v>669</v>
      </c>
      <c r="M14" s="25"/>
      <c r="N14" s="16"/>
      <c r="O14" s="16" t="s">
        <v>274</v>
      </c>
      <c r="P14" s="16" t="s">
        <v>279</v>
      </c>
      <c r="Q14" s="16">
        <v>15</v>
      </c>
      <c r="R14" s="20" t="s">
        <v>282</v>
      </c>
      <c r="S14" s="2" t="s">
        <v>341</v>
      </c>
      <c r="T14" s="2"/>
      <c r="U14" s="2"/>
      <c r="W14"/>
    </row>
    <row r="15" spans="1:24" s="72" customFormat="1" ht="16.5">
      <c r="A15" s="2">
        <f t="shared" si="1"/>
        <v>13</v>
      </c>
      <c r="B15" s="3" t="s">
        <v>491</v>
      </c>
      <c r="C15" s="17" t="s">
        <v>1696</v>
      </c>
      <c r="D15" s="17" t="s">
        <v>681</v>
      </c>
      <c r="E15" s="3" t="s">
        <v>10</v>
      </c>
      <c r="F15" s="6" t="s">
        <v>10</v>
      </c>
      <c r="G15" s="16"/>
      <c r="H15" s="16"/>
      <c r="I15" s="3" t="s">
        <v>53</v>
      </c>
      <c r="J15" s="2">
        <v>1</v>
      </c>
      <c r="K15" s="16"/>
      <c r="L15" s="5" t="s">
        <v>669</v>
      </c>
      <c r="M15" s="25"/>
      <c r="N15" s="16"/>
      <c r="O15" s="16" t="s">
        <v>283</v>
      </c>
      <c r="P15" s="16" t="s">
        <v>275</v>
      </c>
      <c r="Q15" s="16">
        <v>1</v>
      </c>
      <c r="R15" s="20" t="s">
        <v>10</v>
      </c>
      <c r="S15" s="2" t="s">
        <v>341</v>
      </c>
      <c r="T15" s="2"/>
      <c r="U15" s="2"/>
      <c r="W15"/>
    </row>
    <row r="16" spans="1:24" s="72" customFormat="1" ht="16.5">
      <c r="A16" s="2">
        <f t="shared" si="1"/>
        <v>14</v>
      </c>
      <c r="B16" s="3" t="s">
        <v>491</v>
      </c>
      <c r="C16" s="17" t="s">
        <v>1696</v>
      </c>
      <c r="D16" s="17" t="s">
        <v>681</v>
      </c>
      <c r="E16" s="3" t="s">
        <v>11</v>
      </c>
      <c r="F16" s="6" t="s">
        <v>11</v>
      </c>
      <c r="G16" s="16"/>
      <c r="H16" s="16"/>
      <c r="I16" s="3" t="s">
        <v>53</v>
      </c>
      <c r="J16" s="2">
        <v>1</v>
      </c>
      <c r="K16" s="16"/>
      <c r="L16" s="5" t="s">
        <v>669</v>
      </c>
      <c r="M16" s="25"/>
      <c r="N16" s="16"/>
      <c r="O16" s="16" t="s">
        <v>283</v>
      </c>
      <c r="P16" s="16" t="s">
        <v>275</v>
      </c>
      <c r="Q16" s="16">
        <v>1</v>
      </c>
      <c r="R16" s="20" t="s">
        <v>11</v>
      </c>
      <c r="S16" s="2" t="s">
        <v>341</v>
      </c>
      <c r="T16" s="2"/>
      <c r="U16" s="2"/>
      <c r="W16"/>
    </row>
    <row r="17" spans="1:23" s="72" customFormat="1" ht="16.5">
      <c r="A17" s="2">
        <f t="shared" si="1"/>
        <v>15</v>
      </c>
      <c r="B17" s="3" t="s">
        <v>491</v>
      </c>
      <c r="C17" s="17" t="s">
        <v>1696</v>
      </c>
      <c r="D17" s="17" t="s">
        <v>681</v>
      </c>
      <c r="E17" s="3" t="s">
        <v>192</v>
      </c>
      <c r="F17" s="6" t="s">
        <v>1599</v>
      </c>
      <c r="G17" s="16"/>
      <c r="H17" s="16"/>
      <c r="I17" s="3" t="s">
        <v>53</v>
      </c>
      <c r="J17" s="2">
        <v>2</v>
      </c>
      <c r="K17" s="16"/>
      <c r="L17" s="5" t="s">
        <v>669</v>
      </c>
      <c r="M17" s="25"/>
      <c r="N17" s="16"/>
      <c r="O17" s="16" t="s">
        <v>274</v>
      </c>
      <c r="P17" s="16" t="s">
        <v>275</v>
      </c>
      <c r="Q17" s="16">
        <v>2</v>
      </c>
      <c r="R17" s="20" t="s">
        <v>284</v>
      </c>
      <c r="S17" s="2" t="s">
        <v>341</v>
      </c>
      <c r="T17" s="2"/>
      <c r="U17" s="2"/>
      <c r="W17"/>
    </row>
    <row r="18" spans="1:23" s="72" customFormat="1" ht="16.5">
      <c r="A18" s="2">
        <f t="shared" si="1"/>
        <v>16</v>
      </c>
      <c r="B18" s="3" t="s">
        <v>491</v>
      </c>
      <c r="C18" s="17" t="s">
        <v>1696</v>
      </c>
      <c r="D18" s="17" t="s">
        <v>681</v>
      </c>
      <c r="E18" s="3" t="s">
        <v>12</v>
      </c>
      <c r="F18" s="6" t="s">
        <v>12</v>
      </c>
      <c r="G18" s="16"/>
      <c r="H18" s="16"/>
      <c r="I18" s="3" t="s">
        <v>53</v>
      </c>
      <c r="J18" s="2">
        <v>4</v>
      </c>
      <c r="K18" s="16"/>
      <c r="L18" s="5" t="s">
        <v>669</v>
      </c>
      <c r="M18" s="25"/>
      <c r="N18" s="16"/>
      <c r="O18" s="16" t="s">
        <v>274</v>
      </c>
      <c r="P18" s="16" t="s">
        <v>275</v>
      </c>
      <c r="Q18" s="16">
        <v>4</v>
      </c>
      <c r="R18" s="20" t="s">
        <v>12</v>
      </c>
      <c r="S18" s="2" t="s">
        <v>341</v>
      </c>
      <c r="T18" s="2"/>
      <c r="U18" s="2"/>
      <c r="W18"/>
    </row>
    <row r="19" spans="1:23" s="72" customFormat="1" ht="16.5">
      <c r="A19" s="2">
        <f t="shared" si="1"/>
        <v>17</v>
      </c>
      <c r="B19" s="3" t="s">
        <v>491</v>
      </c>
      <c r="C19" s="17" t="s">
        <v>1696</v>
      </c>
      <c r="D19" s="17" t="s">
        <v>681</v>
      </c>
      <c r="E19" s="3" t="s">
        <v>104</v>
      </c>
      <c r="F19" s="6" t="s">
        <v>104</v>
      </c>
      <c r="G19" s="16"/>
      <c r="H19" s="4" t="s">
        <v>257</v>
      </c>
      <c r="I19" s="3" t="s">
        <v>68</v>
      </c>
      <c r="J19" s="2">
        <v>4</v>
      </c>
      <c r="K19" s="16"/>
      <c r="L19" s="5" t="s">
        <v>669</v>
      </c>
      <c r="M19" s="25"/>
      <c r="N19" s="16"/>
      <c r="O19" s="16" t="s">
        <v>274</v>
      </c>
      <c r="P19" s="16" t="s">
        <v>279</v>
      </c>
      <c r="Q19" s="16">
        <v>4</v>
      </c>
      <c r="R19" s="20" t="s">
        <v>285</v>
      </c>
      <c r="S19" s="2" t="s">
        <v>341</v>
      </c>
      <c r="T19" s="2"/>
      <c r="U19" s="2"/>
      <c r="W19"/>
    </row>
    <row r="20" spans="1:23" s="72" customFormat="1" ht="16.5">
      <c r="A20" s="2">
        <f t="shared" si="1"/>
        <v>18</v>
      </c>
      <c r="B20" s="3" t="s">
        <v>491</v>
      </c>
      <c r="C20" s="17" t="s">
        <v>1696</v>
      </c>
      <c r="D20" s="17" t="s">
        <v>681</v>
      </c>
      <c r="E20" s="3" t="s">
        <v>193</v>
      </c>
      <c r="F20" s="104" t="s">
        <v>1695</v>
      </c>
      <c r="G20" s="16"/>
      <c r="H20" s="4" t="s">
        <v>257</v>
      </c>
      <c r="I20" s="3" t="s">
        <v>68</v>
      </c>
      <c r="J20" s="2">
        <v>15</v>
      </c>
      <c r="K20" s="16"/>
      <c r="L20" s="5" t="s">
        <v>669</v>
      </c>
      <c r="M20" s="25"/>
      <c r="N20" s="16"/>
      <c r="O20" s="16" t="s">
        <v>274</v>
      </c>
      <c r="P20" s="16" t="s">
        <v>279</v>
      </c>
      <c r="Q20" s="16">
        <v>15</v>
      </c>
      <c r="R20" s="20" t="s">
        <v>286</v>
      </c>
      <c r="S20" s="2" t="s">
        <v>341</v>
      </c>
      <c r="T20" s="2"/>
      <c r="U20" s="2"/>
      <c r="W20"/>
    </row>
    <row r="21" spans="1:23" s="72" customFormat="1" ht="16.5">
      <c r="A21" s="2">
        <f t="shared" si="1"/>
        <v>19</v>
      </c>
      <c r="B21" s="3" t="s">
        <v>491</v>
      </c>
      <c r="C21" s="17" t="s">
        <v>1696</v>
      </c>
      <c r="D21" s="17" t="s">
        <v>681</v>
      </c>
      <c r="E21" s="3" t="s">
        <v>194</v>
      </c>
      <c r="F21" s="6" t="s">
        <v>1600</v>
      </c>
      <c r="G21" s="16"/>
      <c r="H21" s="16"/>
      <c r="I21" s="3" t="s">
        <v>53</v>
      </c>
      <c r="J21" s="2">
        <v>1</v>
      </c>
      <c r="K21" s="16"/>
      <c r="L21" s="5" t="s">
        <v>669</v>
      </c>
      <c r="M21" s="25"/>
      <c r="N21" s="16"/>
      <c r="O21" s="16" t="s">
        <v>274</v>
      </c>
      <c r="P21" s="16" t="s">
        <v>275</v>
      </c>
      <c r="Q21" s="16">
        <v>1</v>
      </c>
      <c r="R21" s="20" t="s">
        <v>287</v>
      </c>
      <c r="S21" s="2" t="s">
        <v>341</v>
      </c>
      <c r="T21" s="2"/>
      <c r="U21" s="2"/>
      <c r="W21"/>
    </row>
    <row r="22" spans="1:23" s="72" customFormat="1" ht="16.5">
      <c r="A22" s="2">
        <f t="shared" si="1"/>
        <v>20</v>
      </c>
      <c r="B22" s="3" t="s">
        <v>491</v>
      </c>
      <c r="C22" s="17" t="s">
        <v>1696</v>
      </c>
      <c r="D22" s="17" t="s">
        <v>681</v>
      </c>
      <c r="E22" s="3" t="s">
        <v>13</v>
      </c>
      <c r="F22" s="6" t="s">
        <v>13</v>
      </c>
      <c r="G22" s="16"/>
      <c r="H22" s="4" t="s">
        <v>257</v>
      </c>
      <c r="I22" s="3" t="s">
        <v>68</v>
      </c>
      <c r="J22" s="2">
        <v>15</v>
      </c>
      <c r="K22" s="16"/>
      <c r="L22" s="5" t="s">
        <v>669</v>
      </c>
      <c r="M22" s="25"/>
      <c r="N22" s="16"/>
      <c r="O22" s="16" t="s">
        <v>274</v>
      </c>
      <c r="P22" s="16" t="s">
        <v>279</v>
      </c>
      <c r="Q22" s="16">
        <v>15</v>
      </c>
      <c r="R22" s="20" t="s">
        <v>13</v>
      </c>
      <c r="S22" s="2" t="s">
        <v>341</v>
      </c>
      <c r="T22" s="2"/>
      <c r="U22" s="2"/>
      <c r="W22"/>
    </row>
    <row r="23" spans="1:23" s="72" customFormat="1" ht="16.5">
      <c r="A23" s="2">
        <f t="shared" si="1"/>
        <v>21</v>
      </c>
      <c r="B23" s="3" t="s">
        <v>491</v>
      </c>
      <c r="C23" s="17" t="s">
        <v>1696</v>
      </c>
      <c r="D23" s="17" t="s">
        <v>681</v>
      </c>
      <c r="E23" s="3" t="s">
        <v>14</v>
      </c>
      <c r="F23" s="6" t="s">
        <v>14</v>
      </c>
      <c r="G23" s="16"/>
      <c r="H23" s="4" t="s">
        <v>257</v>
      </c>
      <c r="I23" s="3" t="s">
        <v>68</v>
      </c>
      <c r="J23" s="2">
        <v>15</v>
      </c>
      <c r="K23" s="16"/>
      <c r="L23" s="5" t="s">
        <v>669</v>
      </c>
      <c r="M23" s="25"/>
      <c r="N23" s="16"/>
      <c r="O23" s="16" t="s">
        <v>274</v>
      </c>
      <c r="P23" s="16" t="s">
        <v>279</v>
      </c>
      <c r="Q23" s="16">
        <v>15</v>
      </c>
      <c r="R23" s="20" t="s">
        <v>14</v>
      </c>
      <c r="S23" s="2" t="s">
        <v>341</v>
      </c>
      <c r="T23" s="2"/>
      <c r="U23" s="2"/>
      <c r="W23"/>
    </row>
    <row r="24" spans="1:23" s="72" customFormat="1" ht="16.5">
      <c r="A24" s="2">
        <f t="shared" si="1"/>
        <v>22</v>
      </c>
      <c r="B24" s="3" t="s">
        <v>491</v>
      </c>
      <c r="C24" s="17" t="s">
        <v>1696</v>
      </c>
      <c r="D24" s="17" t="s">
        <v>681</v>
      </c>
      <c r="E24" s="3" t="s">
        <v>195</v>
      </c>
      <c r="F24" s="6" t="s">
        <v>1601</v>
      </c>
      <c r="G24" s="16"/>
      <c r="H24" s="4" t="s">
        <v>257</v>
      </c>
      <c r="I24" s="3" t="s">
        <v>68</v>
      </c>
      <c r="J24" s="2">
        <v>15</v>
      </c>
      <c r="K24" s="16"/>
      <c r="L24" s="5" t="s">
        <v>669</v>
      </c>
      <c r="M24" s="25"/>
      <c r="N24" s="16"/>
      <c r="O24" s="16" t="s">
        <v>274</v>
      </c>
      <c r="P24" s="16" t="s">
        <v>279</v>
      </c>
      <c r="Q24" s="16">
        <v>15</v>
      </c>
      <c r="R24" s="20" t="s">
        <v>288</v>
      </c>
      <c r="S24" s="2" t="s">
        <v>341</v>
      </c>
      <c r="T24" s="2"/>
      <c r="U24" s="2"/>
      <c r="W24"/>
    </row>
    <row r="25" spans="1:23" s="72" customFormat="1" ht="16.5">
      <c r="A25" s="2">
        <f t="shared" si="1"/>
        <v>23</v>
      </c>
      <c r="B25" s="3" t="s">
        <v>491</v>
      </c>
      <c r="C25" s="17" t="s">
        <v>1696</v>
      </c>
      <c r="D25" s="17" t="s">
        <v>681</v>
      </c>
      <c r="E25" s="3" t="s">
        <v>196</v>
      </c>
      <c r="F25" s="6" t="s">
        <v>196</v>
      </c>
      <c r="G25" s="16"/>
      <c r="H25" s="4" t="s">
        <v>257</v>
      </c>
      <c r="I25" s="3" t="s">
        <v>68</v>
      </c>
      <c r="J25" s="2">
        <v>15</v>
      </c>
      <c r="K25" s="16"/>
      <c r="L25" s="5" t="s">
        <v>669</v>
      </c>
      <c r="M25" s="25"/>
      <c r="N25" s="16"/>
      <c r="O25" s="16" t="s">
        <v>274</v>
      </c>
      <c r="P25" s="16" t="s">
        <v>279</v>
      </c>
      <c r="Q25" s="16">
        <v>15</v>
      </c>
      <c r="R25" s="20" t="s">
        <v>289</v>
      </c>
      <c r="S25" s="2" t="s">
        <v>341</v>
      </c>
      <c r="T25" s="2"/>
      <c r="U25" s="2"/>
      <c r="W25"/>
    </row>
    <row r="26" spans="1:23" s="72" customFormat="1" ht="16.5">
      <c r="A26" s="2">
        <f t="shared" si="1"/>
        <v>24</v>
      </c>
      <c r="B26" s="3" t="s">
        <v>491</v>
      </c>
      <c r="C26" s="17" t="s">
        <v>1696</v>
      </c>
      <c r="D26" s="17" t="s">
        <v>681</v>
      </c>
      <c r="E26" s="3" t="s">
        <v>15</v>
      </c>
      <c r="F26" s="6" t="s">
        <v>1602</v>
      </c>
      <c r="G26" s="16"/>
      <c r="H26" s="4" t="s">
        <v>257</v>
      </c>
      <c r="I26" s="3" t="s">
        <v>68</v>
      </c>
      <c r="J26" s="2">
        <v>15</v>
      </c>
      <c r="K26" s="16"/>
      <c r="L26" s="5" t="s">
        <v>669</v>
      </c>
      <c r="M26" s="25"/>
      <c r="N26" s="16"/>
      <c r="O26" s="16" t="s">
        <v>274</v>
      </c>
      <c r="P26" s="16" t="s">
        <v>279</v>
      </c>
      <c r="Q26" s="16">
        <v>15</v>
      </c>
      <c r="R26" s="20" t="s">
        <v>15</v>
      </c>
      <c r="S26" s="2" t="s">
        <v>341</v>
      </c>
      <c r="T26" s="2"/>
      <c r="U26" s="2"/>
      <c r="W26"/>
    </row>
    <row r="27" spans="1:23" s="72" customFormat="1" ht="16.5">
      <c r="A27" s="2">
        <f t="shared" si="1"/>
        <v>25</v>
      </c>
      <c r="B27" s="3" t="s">
        <v>491</v>
      </c>
      <c r="C27" s="17" t="s">
        <v>1696</v>
      </c>
      <c r="D27" s="17" t="s">
        <v>681</v>
      </c>
      <c r="E27" s="3" t="s">
        <v>16</v>
      </c>
      <c r="F27" s="6" t="s">
        <v>16</v>
      </c>
      <c r="G27" s="16"/>
      <c r="H27" s="4" t="s">
        <v>257</v>
      </c>
      <c r="I27" s="3" t="s">
        <v>68</v>
      </c>
      <c r="J27" s="2">
        <v>15</v>
      </c>
      <c r="K27" s="16"/>
      <c r="L27" s="5" t="s">
        <v>669</v>
      </c>
      <c r="M27" s="25"/>
      <c r="N27" s="16"/>
      <c r="O27" s="16" t="s">
        <v>274</v>
      </c>
      <c r="P27" s="16" t="s">
        <v>279</v>
      </c>
      <c r="Q27" s="16">
        <v>15</v>
      </c>
      <c r="R27" s="20" t="s">
        <v>16</v>
      </c>
      <c r="S27" s="2" t="s">
        <v>341</v>
      </c>
      <c r="T27" s="2"/>
      <c r="U27" s="2"/>
      <c r="W27"/>
    </row>
    <row r="28" spans="1:23" s="72" customFormat="1" ht="16.5">
      <c r="A28" s="2">
        <f t="shared" si="1"/>
        <v>26</v>
      </c>
      <c r="B28" s="3" t="s">
        <v>491</v>
      </c>
      <c r="C28" s="17" t="s">
        <v>1696</v>
      </c>
      <c r="D28" s="17" t="s">
        <v>681</v>
      </c>
      <c r="E28" s="3" t="s">
        <v>197</v>
      </c>
      <c r="F28" s="6" t="s">
        <v>1603</v>
      </c>
      <c r="G28" s="16"/>
      <c r="H28" s="4" t="s">
        <v>257</v>
      </c>
      <c r="I28" s="3" t="s">
        <v>68</v>
      </c>
      <c r="J28" s="2">
        <v>15</v>
      </c>
      <c r="K28" s="16"/>
      <c r="L28" s="5" t="s">
        <v>669</v>
      </c>
      <c r="M28" s="25"/>
      <c r="N28" s="16"/>
      <c r="O28" s="16" t="s">
        <v>274</v>
      </c>
      <c r="P28" s="16" t="s">
        <v>279</v>
      </c>
      <c r="Q28" s="16">
        <v>15</v>
      </c>
      <c r="R28" s="20" t="s">
        <v>290</v>
      </c>
      <c r="S28" s="2" t="s">
        <v>341</v>
      </c>
      <c r="T28" s="2"/>
      <c r="U28" s="2"/>
      <c r="W28"/>
    </row>
    <row r="29" spans="1:23" s="72" customFormat="1" ht="16.5">
      <c r="A29" s="2">
        <f t="shared" si="1"/>
        <v>27</v>
      </c>
      <c r="B29" s="3" t="s">
        <v>491</v>
      </c>
      <c r="C29" s="17" t="s">
        <v>1696</v>
      </c>
      <c r="D29" s="17" t="s">
        <v>681</v>
      </c>
      <c r="E29" s="3" t="s">
        <v>198</v>
      </c>
      <c r="F29" s="6" t="s">
        <v>1604</v>
      </c>
      <c r="G29" s="16"/>
      <c r="H29" s="16"/>
      <c r="I29" s="3" t="s">
        <v>53</v>
      </c>
      <c r="J29" s="2">
        <v>1</v>
      </c>
      <c r="K29" s="16"/>
      <c r="L29" s="5" t="s">
        <v>669</v>
      </c>
      <c r="M29" s="25"/>
      <c r="N29" s="16"/>
      <c r="O29" s="16" t="s">
        <v>274</v>
      </c>
      <c r="P29" s="16" t="s">
        <v>275</v>
      </c>
      <c r="Q29" s="16">
        <v>1</v>
      </c>
      <c r="R29" s="20" t="s">
        <v>291</v>
      </c>
      <c r="S29" s="2" t="s">
        <v>341</v>
      </c>
      <c r="T29" s="2"/>
      <c r="U29" s="2"/>
      <c r="W29"/>
    </row>
    <row r="30" spans="1:23" s="72" customFormat="1" ht="16.5">
      <c r="A30" s="2">
        <f t="shared" si="1"/>
        <v>28</v>
      </c>
      <c r="B30" s="3" t="s">
        <v>491</v>
      </c>
      <c r="C30" s="17" t="s">
        <v>1696</v>
      </c>
      <c r="D30" s="17" t="s">
        <v>681</v>
      </c>
      <c r="E30" s="3" t="s">
        <v>199</v>
      </c>
      <c r="F30" s="6" t="s">
        <v>1605</v>
      </c>
      <c r="G30" s="16"/>
      <c r="H30" s="16"/>
      <c r="I30" s="3" t="s">
        <v>53</v>
      </c>
      <c r="J30" s="2">
        <v>1</v>
      </c>
      <c r="K30" s="16"/>
      <c r="L30" s="5" t="s">
        <v>669</v>
      </c>
      <c r="M30" s="25"/>
      <c r="N30" s="16"/>
      <c r="O30" s="16" t="s">
        <v>274</v>
      </c>
      <c r="P30" s="16" t="s">
        <v>275</v>
      </c>
      <c r="Q30" s="16">
        <v>1</v>
      </c>
      <c r="R30" s="20" t="s">
        <v>3</v>
      </c>
      <c r="S30" s="2" t="s">
        <v>341</v>
      </c>
      <c r="T30" s="2"/>
      <c r="U30" s="2"/>
      <c r="W30"/>
    </row>
    <row r="31" spans="1:23" s="72" customFormat="1" ht="16.5">
      <c r="A31" s="2">
        <f t="shared" si="1"/>
        <v>29</v>
      </c>
      <c r="B31" s="3" t="s">
        <v>491</v>
      </c>
      <c r="C31" s="17" t="s">
        <v>1696</v>
      </c>
      <c r="D31" s="17" t="s">
        <v>681</v>
      </c>
      <c r="E31" s="3" t="s">
        <v>200</v>
      </c>
      <c r="F31" s="6" t="s">
        <v>1606</v>
      </c>
      <c r="G31" s="16"/>
      <c r="H31" s="4" t="s">
        <v>257</v>
      </c>
      <c r="I31" s="3" t="s">
        <v>68</v>
      </c>
      <c r="J31" s="2">
        <v>5</v>
      </c>
      <c r="K31" s="16"/>
      <c r="L31" s="5" t="s">
        <v>669</v>
      </c>
      <c r="M31" s="25"/>
      <c r="N31" s="16"/>
      <c r="O31" s="16" t="s">
        <v>274</v>
      </c>
      <c r="P31" s="16" t="s">
        <v>279</v>
      </c>
      <c r="Q31" s="16">
        <v>5</v>
      </c>
      <c r="R31" s="20" t="s">
        <v>292</v>
      </c>
      <c r="S31" s="2" t="s">
        <v>341</v>
      </c>
      <c r="T31" s="2"/>
      <c r="U31" s="2"/>
      <c r="W31"/>
    </row>
    <row r="32" spans="1:23" s="72" customFormat="1" ht="16.5">
      <c r="A32" s="2">
        <f t="shared" si="1"/>
        <v>30</v>
      </c>
      <c r="B32" s="3" t="s">
        <v>491</v>
      </c>
      <c r="C32" s="17" t="s">
        <v>1696</v>
      </c>
      <c r="D32" s="17" t="s">
        <v>681</v>
      </c>
      <c r="E32" s="3" t="s">
        <v>201</v>
      </c>
      <c r="F32" s="6" t="s">
        <v>1607</v>
      </c>
      <c r="G32" s="16"/>
      <c r="H32" s="4" t="s">
        <v>257</v>
      </c>
      <c r="I32" s="3" t="s">
        <v>68</v>
      </c>
      <c r="J32" s="2">
        <v>5</v>
      </c>
      <c r="K32" s="16"/>
      <c r="L32" s="5" t="s">
        <v>669</v>
      </c>
      <c r="M32" s="25"/>
      <c r="N32" s="16"/>
      <c r="O32" s="16" t="s">
        <v>274</v>
      </c>
      <c r="P32" s="16" t="s">
        <v>279</v>
      </c>
      <c r="Q32" s="16">
        <v>5</v>
      </c>
      <c r="R32" s="20" t="s">
        <v>293</v>
      </c>
      <c r="S32" s="2" t="s">
        <v>341</v>
      </c>
      <c r="T32" s="2"/>
      <c r="U32" s="2"/>
      <c r="W32"/>
    </row>
    <row r="33" spans="1:23" s="72" customFormat="1" ht="16.5">
      <c r="A33" s="2">
        <f t="shared" si="1"/>
        <v>31</v>
      </c>
      <c r="B33" s="3" t="s">
        <v>491</v>
      </c>
      <c r="C33" s="17" t="s">
        <v>1696</v>
      </c>
      <c r="D33" s="17" t="s">
        <v>681</v>
      </c>
      <c r="E33" s="3" t="s">
        <v>17</v>
      </c>
      <c r="F33" s="6" t="s">
        <v>1608</v>
      </c>
      <c r="G33" s="16"/>
      <c r="H33" s="16"/>
      <c r="I33" s="3" t="s">
        <v>53</v>
      </c>
      <c r="J33" s="2">
        <v>6</v>
      </c>
      <c r="K33" s="16"/>
      <c r="L33" s="5" t="s">
        <v>669</v>
      </c>
      <c r="M33" s="25"/>
      <c r="N33" s="16"/>
      <c r="O33" s="16" t="s">
        <v>274</v>
      </c>
      <c r="P33" s="16" t="s">
        <v>275</v>
      </c>
      <c r="Q33" s="16">
        <v>6</v>
      </c>
      <c r="R33" s="20" t="s">
        <v>17</v>
      </c>
      <c r="S33" s="2" t="s">
        <v>341</v>
      </c>
      <c r="T33" s="2"/>
      <c r="U33" s="2"/>
      <c r="W33"/>
    </row>
    <row r="34" spans="1:23" s="72" customFormat="1" ht="16.5">
      <c r="A34" s="2">
        <f t="shared" si="1"/>
        <v>32</v>
      </c>
      <c r="B34" s="3" t="s">
        <v>491</v>
      </c>
      <c r="C34" s="17" t="s">
        <v>1696</v>
      </c>
      <c r="D34" s="17" t="s">
        <v>681</v>
      </c>
      <c r="E34" s="3" t="s">
        <v>18</v>
      </c>
      <c r="F34" s="6" t="s">
        <v>1609</v>
      </c>
      <c r="G34" s="16"/>
      <c r="H34" s="4" t="s">
        <v>257</v>
      </c>
      <c r="I34" s="3" t="s">
        <v>68</v>
      </c>
      <c r="J34" s="2">
        <v>15</v>
      </c>
      <c r="K34" s="16"/>
      <c r="L34" s="5" t="s">
        <v>669</v>
      </c>
      <c r="M34" s="25"/>
      <c r="N34" s="16"/>
      <c r="O34" s="16" t="s">
        <v>274</v>
      </c>
      <c r="P34" s="16" t="s">
        <v>279</v>
      </c>
      <c r="Q34" s="16">
        <v>15</v>
      </c>
      <c r="R34" s="20" t="s">
        <v>18</v>
      </c>
      <c r="S34" s="2" t="s">
        <v>341</v>
      </c>
      <c r="T34" s="2"/>
      <c r="U34" s="2"/>
      <c r="W34"/>
    </row>
    <row r="35" spans="1:23" s="72" customFormat="1" ht="16.5">
      <c r="A35" s="2">
        <f t="shared" si="1"/>
        <v>33</v>
      </c>
      <c r="B35" s="3" t="s">
        <v>491</v>
      </c>
      <c r="C35" s="17" t="s">
        <v>1696</v>
      </c>
      <c r="D35" s="17" t="s">
        <v>681</v>
      </c>
      <c r="E35" s="3" t="s">
        <v>202</v>
      </c>
      <c r="F35" s="6" t="s">
        <v>1610</v>
      </c>
      <c r="G35" s="16"/>
      <c r="H35" s="4" t="s">
        <v>257</v>
      </c>
      <c r="I35" s="3" t="s">
        <v>68</v>
      </c>
      <c r="J35" s="2">
        <v>15</v>
      </c>
      <c r="K35" s="16"/>
      <c r="L35" s="5" t="s">
        <v>669</v>
      </c>
      <c r="M35" s="25"/>
      <c r="N35" s="16"/>
      <c r="O35" s="16" t="s">
        <v>274</v>
      </c>
      <c r="P35" s="16" t="s">
        <v>279</v>
      </c>
      <c r="Q35" s="16">
        <v>15</v>
      </c>
      <c r="R35" s="20" t="s">
        <v>294</v>
      </c>
      <c r="S35" s="2" t="s">
        <v>341</v>
      </c>
      <c r="T35" s="2"/>
      <c r="U35" s="2"/>
      <c r="W35"/>
    </row>
    <row r="36" spans="1:23" s="72" customFormat="1" ht="16.5">
      <c r="A36" s="2">
        <f t="shared" si="1"/>
        <v>34</v>
      </c>
      <c r="B36" s="3" t="s">
        <v>491</v>
      </c>
      <c r="C36" s="17" t="s">
        <v>1696</v>
      </c>
      <c r="D36" s="17" t="s">
        <v>681</v>
      </c>
      <c r="E36" s="3" t="s">
        <v>203</v>
      </c>
      <c r="F36" s="6" t="s">
        <v>203</v>
      </c>
      <c r="G36" s="16"/>
      <c r="H36" s="16"/>
      <c r="I36" s="3" t="s">
        <v>53</v>
      </c>
      <c r="J36" s="2">
        <v>3</v>
      </c>
      <c r="K36" s="16"/>
      <c r="L36" s="5" t="s">
        <v>669</v>
      </c>
      <c r="M36" s="25"/>
      <c r="N36" s="16"/>
      <c r="O36" s="16" t="s">
        <v>274</v>
      </c>
      <c r="P36" s="16" t="s">
        <v>275</v>
      </c>
      <c r="Q36" s="16">
        <v>3</v>
      </c>
      <c r="R36" s="20" t="s">
        <v>295</v>
      </c>
      <c r="S36" s="2" t="s">
        <v>341</v>
      </c>
      <c r="T36" s="2"/>
      <c r="U36" s="2"/>
      <c r="W36"/>
    </row>
    <row r="37" spans="1:23" s="72" customFormat="1" ht="16.5">
      <c r="A37" s="2">
        <f t="shared" si="1"/>
        <v>35</v>
      </c>
      <c r="B37" s="3" t="s">
        <v>491</v>
      </c>
      <c r="C37" s="17" t="s">
        <v>1696</v>
      </c>
      <c r="D37" s="17" t="s">
        <v>681</v>
      </c>
      <c r="E37" s="3" t="s">
        <v>204</v>
      </c>
      <c r="F37" s="6" t="s">
        <v>204</v>
      </c>
      <c r="G37" s="16"/>
      <c r="H37" s="16"/>
      <c r="I37" s="3" t="s">
        <v>53</v>
      </c>
      <c r="J37" s="2">
        <v>2</v>
      </c>
      <c r="K37" s="16"/>
      <c r="L37" s="5" t="s">
        <v>669</v>
      </c>
      <c r="M37" s="25"/>
      <c r="N37" s="16"/>
      <c r="O37" s="16" t="s">
        <v>274</v>
      </c>
      <c r="P37" s="16" t="s">
        <v>275</v>
      </c>
      <c r="Q37" s="16">
        <v>2</v>
      </c>
      <c r="R37" s="20" t="s">
        <v>296</v>
      </c>
      <c r="S37" s="2" t="s">
        <v>341</v>
      </c>
      <c r="T37" s="2"/>
      <c r="U37" s="2"/>
      <c r="W37"/>
    </row>
    <row r="38" spans="1:23" s="72" customFormat="1" ht="16.5">
      <c r="A38" s="2">
        <f t="shared" si="1"/>
        <v>36</v>
      </c>
      <c r="B38" s="3" t="s">
        <v>491</v>
      </c>
      <c r="C38" s="17" t="s">
        <v>1696</v>
      </c>
      <c r="D38" s="17" t="s">
        <v>681</v>
      </c>
      <c r="E38" s="3" t="s">
        <v>205</v>
      </c>
      <c r="F38" s="6" t="s">
        <v>205</v>
      </c>
      <c r="G38" s="16"/>
      <c r="H38" s="4" t="s">
        <v>257</v>
      </c>
      <c r="I38" s="3" t="s">
        <v>68</v>
      </c>
      <c r="J38" s="2">
        <v>5</v>
      </c>
      <c r="K38" s="16"/>
      <c r="L38" s="5" t="s">
        <v>669</v>
      </c>
      <c r="M38" s="25"/>
      <c r="N38" s="16"/>
      <c r="O38" s="16" t="s">
        <v>274</v>
      </c>
      <c r="P38" s="16" t="s">
        <v>279</v>
      </c>
      <c r="Q38" s="16">
        <v>5</v>
      </c>
      <c r="R38" s="20" t="s">
        <v>297</v>
      </c>
      <c r="S38" s="2" t="s">
        <v>341</v>
      </c>
      <c r="T38" s="2"/>
      <c r="U38" s="2"/>
      <c r="W38"/>
    </row>
    <row r="39" spans="1:23" s="72" customFormat="1" ht="16.5">
      <c r="A39" s="2">
        <f t="shared" si="1"/>
        <v>37</v>
      </c>
      <c r="B39" s="3" t="s">
        <v>491</v>
      </c>
      <c r="C39" s="17" t="s">
        <v>1696</v>
      </c>
      <c r="D39" s="17" t="s">
        <v>681</v>
      </c>
      <c r="E39" s="3" t="s">
        <v>206</v>
      </c>
      <c r="F39" s="6" t="s">
        <v>206</v>
      </c>
      <c r="G39" s="16"/>
      <c r="H39" s="16"/>
      <c r="I39" s="3" t="s">
        <v>53</v>
      </c>
      <c r="J39" s="2">
        <v>2</v>
      </c>
      <c r="K39" s="16"/>
      <c r="L39" s="5" t="s">
        <v>669</v>
      </c>
      <c r="M39" s="25"/>
      <c r="N39" s="16"/>
      <c r="O39" s="16" t="s">
        <v>274</v>
      </c>
      <c r="P39" s="16" t="s">
        <v>275</v>
      </c>
      <c r="Q39" s="16">
        <v>2</v>
      </c>
      <c r="R39" s="20" t="s">
        <v>298</v>
      </c>
      <c r="S39" s="2" t="s">
        <v>341</v>
      </c>
      <c r="T39" s="2"/>
      <c r="U39" s="2"/>
      <c r="W39"/>
    </row>
    <row r="40" spans="1:23" s="72" customFormat="1" ht="16.5">
      <c r="A40" s="2">
        <f t="shared" si="1"/>
        <v>38</v>
      </c>
      <c r="B40" s="3" t="s">
        <v>491</v>
      </c>
      <c r="C40" s="17" t="s">
        <v>1696</v>
      </c>
      <c r="D40" s="17" t="s">
        <v>681</v>
      </c>
      <c r="E40" s="3" t="s">
        <v>207</v>
      </c>
      <c r="F40" s="6" t="s">
        <v>207</v>
      </c>
      <c r="G40" s="16"/>
      <c r="H40" s="16"/>
      <c r="I40" s="3" t="s">
        <v>53</v>
      </c>
      <c r="J40" s="2">
        <v>2</v>
      </c>
      <c r="K40" s="16"/>
      <c r="L40" s="5" t="s">
        <v>669</v>
      </c>
      <c r="M40" s="25"/>
      <c r="N40" s="16"/>
      <c r="O40" s="16" t="s">
        <v>274</v>
      </c>
      <c r="P40" s="16" t="s">
        <v>275</v>
      </c>
      <c r="Q40" s="16">
        <v>2</v>
      </c>
      <c r="R40" s="20" t="s">
        <v>299</v>
      </c>
      <c r="S40" s="2" t="s">
        <v>341</v>
      </c>
      <c r="T40" s="2"/>
      <c r="U40" s="2"/>
      <c r="W40"/>
    </row>
    <row r="41" spans="1:23" s="72" customFormat="1" ht="16.5">
      <c r="A41" s="2">
        <f t="shared" si="1"/>
        <v>39</v>
      </c>
      <c r="B41" s="3" t="s">
        <v>491</v>
      </c>
      <c r="C41" s="17" t="s">
        <v>1696</v>
      </c>
      <c r="D41" s="17" t="s">
        <v>681</v>
      </c>
      <c r="E41" s="3" t="s">
        <v>208</v>
      </c>
      <c r="F41" s="6" t="s">
        <v>208</v>
      </c>
      <c r="G41" s="16"/>
      <c r="H41" s="16"/>
      <c r="I41" s="3" t="s">
        <v>53</v>
      </c>
      <c r="J41" s="2">
        <v>2</v>
      </c>
      <c r="K41" s="16"/>
      <c r="L41" s="5" t="s">
        <v>669</v>
      </c>
      <c r="M41" s="25"/>
      <c r="N41" s="16"/>
      <c r="O41" s="16" t="s">
        <v>274</v>
      </c>
      <c r="P41" s="16" t="s">
        <v>275</v>
      </c>
      <c r="Q41" s="16">
        <v>2</v>
      </c>
      <c r="R41" s="20" t="s">
        <v>300</v>
      </c>
      <c r="S41" s="2" t="s">
        <v>341</v>
      </c>
      <c r="T41" s="2"/>
      <c r="U41" s="2"/>
      <c r="W41"/>
    </row>
    <row r="42" spans="1:23" s="72" customFormat="1" ht="16.5">
      <c r="A42" s="2">
        <f t="shared" si="1"/>
        <v>40</v>
      </c>
      <c r="B42" s="3" t="s">
        <v>491</v>
      </c>
      <c r="C42" s="17" t="s">
        <v>1696</v>
      </c>
      <c r="D42" s="17" t="s">
        <v>681</v>
      </c>
      <c r="E42" s="3" t="s">
        <v>209</v>
      </c>
      <c r="F42" s="6" t="s">
        <v>209</v>
      </c>
      <c r="G42" s="16"/>
      <c r="H42" s="16"/>
      <c r="I42" s="3" t="s">
        <v>53</v>
      </c>
      <c r="J42" s="2">
        <v>2</v>
      </c>
      <c r="K42" s="16"/>
      <c r="L42" s="5" t="s">
        <v>669</v>
      </c>
      <c r="M42" s="25"/>
      <c r="N42" s="16"/>
      <c r="O42" s="16" t="s">
        <v>274</v>
      </c>
      <c r="P42" s="16" t="s">
        <v>275</v>
      </c>
      <c r="Q42" s="16">
        <v>2</v>
      </c>
      <c r="R42" s="20" t="s">
        <v>301</v>
      </c>
      <c r="S42" s="2" t="s">
        <v>341</v>
      </c>
      <c r="T42" s="2"/>
      <c r="U42" s="2"/>
      <c r="W42"/>
    </row>
    <row r="43" spans="1:23" s="72" customFormat="1" ht="16.5">
      <c r="A43" s="2">
        <f t="shared" si="1"/>
        <v>41</v>
      </c>
      <c r="B43" s="3" t="s">
        <v>491</v>
      </c>
      <c r="C43" s="17" t="s">
        <v>1696</v>
      </c>
      <c r="D43" s="17" t="s">
        <v>681</v>
      </c>
      <c r="E43" s="3" t="s">
        <v>19</v>
      </c>
      <c r="F43" s="104" t="s">
        <v>19</v>
      </c>
      <c r="G43" s="16"/>
      <c r="H43" s="4" t="s">
        <v>257</v>
      </c>
      <c r="I43" s="3" t="s">
        <v>68</v>
      </c>
      <c r="J43" s="2">
        <v>15</v>
      </c>
      <c r="K43" s="16"/>
      <c r="L43" s="5" t="s">
        <v>669</v>
      </c>
      <c r="M43" s="25"/>
      <c r="N43" s="16"/>
      <c r="O43" s="16" t="s">
        <v>274</v>
      </c>
      <c r="P43" s="16" t="s">
        <v>279</v>
      </c>
      <c r="Q43" s="16">
        <v>15</v>
      </c>
      <c r="R43" s="20" t="s">
        <v>19</v>
      </c>
      <c r="S43" s="2" t="s">
        <v>341</v>
      </c>
      <c r="T43" s="2"/>
      <c r="U43" s="2"/>
      <c r="W43"/>
    </row>
    <row r="44" spans="1:23" s="72" customFormat="1" ht="16.5">
      <c r="A44" s="2">
        <f t="shared" si="1"/>
        <v>42</v>
      </c>
      <c r="B44" s="3" t="s">
        <v>491</v>
      </c>
      <c r="C44" s="17" t="s">
        <v>1696</v>
      </c>
      <c r="D44" s="17" t="s">
        <v>681</v>
      </c>
      <c r="E44" s="3" t="s">
        <v>20</v>
      </c>
      <c r="F44" s="6" t="s">
        <v>1687</v>
      </c>
      <c r="G44" s="16"/>
      <c r="H44" s="4" t="s">
        <v>257</v>
      </c>
      <c r="I44" s="3" t="s">
        <v>68</v>
      </c>
      <c r="J44" s="2">
        <v>15</v>
      </c>
      <c r="K44" s="16"/>
      <c r="L44" s="5" t="s">
        <v>669</v>
      </c>
      <c r="M44" s="25"/>
      <c r="N44" s="16"/>
      <c r="O44" s="16" t="s">
        <v>274</v>
      </c>
      <c r="P44" s="16" t="s">
        <v>279</v>
      </c>
      <c r="Q44" s="16">
        <v>15</v>
      </c>
      <c r="R44" s="20" t="s">
        <v>20</v>
      </c>
      <c r="S44" s="2" t="s">
        <v>341</v>
      </c>
      <c r="T44" s="2"/>
      <c r="U44" s="2"/>
      <c r="W44"/>
    </row>
    <row r="45" spans="1:23" s="72" customFormat="1" ht="16.5">
      <c r="A45" s="2">
        <f t="shared" si="1"/>
        <v>43</v>
      </c>
      <c r="B45" s="3" t="s">
        <v>491</v>
      </c>
      <c r="C45" s="17" t="s">
        <v>1696</v>
      </c>
      <c r="D45" s="17" t="s">
        <v>681</v>
      </c>
      <c r="E45" s="3" t="s">
        <v>210</v>
      </c>
      <c r="F45" s="6" t="s">
        <v>1611</v>
      </c>
      <c r="G45" s="16"/>
      <c r="H45" s="4" t="s">
        <v>257</v>
      </c>
      <c r="I45" s="3" t="s">
        <v>68</v>
      </c>
      <c r="J45" s="2">
        <v>15</v>
      </c>
      <c r="K45" s="16"/>
      <c r="L45" s="5" t="s">
        <v>669</v>
      </c>
      <c r="M45" s="25"/>
      <c r="N45" s="16"/>
      <c r="O45" s="16" t="s">
        <v>274</v>
      </c>
      <c r="P45" s="16" t="s">
        <v>279</v>
      </c>
      <c r="Q45" s="16">
        <v>15</v>
      </c>
      <c r="R45" s="20" t="s">
        <v>302</v>
      </c>
      <c r="S45" s="2" t="s">
        <v>341</v>
      </c>
      <c r="T45" s="2"/>
      <c r="U45" s="2"/>
      <c r="W45"/>
    </row>
    <row r="46" spans="1:23" s="72" customFormat="1" ht="16.5">
      <c r="A46" s="2">
        <f t="shared" si="1"/>
        <v>44</v>
      </c>
      <c r="B46" s="3" t="s">
        <v>491</v>
      </c>
      <c r="C46" s="17" t="s">
        <v>1696</v>
      </c>
      <c r="D46" s="17" t="s">
        <v>681</v>
      </c>
      <c r="E46" s="3" t="s">
        <v>211</v>
      </c>
      <c r="F46" s="6" t="s">
        <v>1612</v>
      </c>
      <c r="G46" s="16"/>
      <c r="H46" s="4" t="s">
        <v>257</v>
      </c>
      <c r="I46" s="3" t="s">
        <v>68</v>
      </c>
      <c r="J46" s="2">
        <v>15</v>
      </c>
      <c r="K46" s="16"/>
      <c r="L46" s="5" t="s">
        <v>669</v>
      </c>
      <c r="M46" s="25"/>
      <c r="N46" s="16"/>
      <c r="O46" s="16" t="s">
        <v>274</v>
      </c>
      <c r="P46" s="16" t="s">
        <v>279</v>
      </c>
      <c r="Q46" s="16">
        <v>15</v>
      </c>
      <c r="R46" s="20" t="s">
        <v>303</v>
      </c>
      <c r="S46" s="2" t="s">
        <v>341</v>
      </c>
      <c r="T46" s="2"/>
      <c r="U46" s="2"/>
      <c r="W46"/>
    </row>
    <row r="47" spans="1:23" s="72" customFormat="1" ht="16.5">
      <c r="A47" s="2">
        <f t="shared" si="1"/>
        <v>45</v>
      </c>
      <c r="B47" s="3" t="s">
        <v>491</v>
      </c>
      <c r="C47" s="17" t="s">
        <v>1696</v>
      </c>
      <c r="D47" s="17" t="s">
        <v>681</v>
      </c>
      <c r="E47" s="3" t="s">
        <v>21</v>
      </c>
      <c r="F47" s="6" t="s">
        <v>21</v>
      </c>
      <c r="G47" s="16"/>
      <c r="H47" s="4" t="s">
        <v>257</v>
      </c>
      <c r="I47" s="3" t="s">
        <v>68</v>
      </c>
      <c r="J47" s="2">
        <v>15</v>
      </c>
      <c r="K47" s="16"/>
      <c r="L47" s="5" t="s">
        <v>669</v>
      </c>
      <c r="M47" s="25"/>
      <c r="N47" s="16"/>
      <c r="O47" s="16" t="s">
        <v>274</v>
      </c>
      <c r="P47" s="16" t="s">
        <v>279</v>
      </c>
      <c r="Q47" s="16">
        <v>15</v>
      </c>
      <c r="R47" s="20" t="s">
        <v>21</v>
      </c>
      <c r="S47" s="2" t="s">
        <v>341</v>
      </c>
      <c r="T47" s="2"/>
      <c r="U47" s="2"/>
      <c r="W47"/>
    </row>
    <row r="48" spans="1:23" s="72" customFormat="1" ht="16.5">
      <c r="A48" s="2">
        <f t="shared" si="1"/>
        <v>46</v>
      </c>
      <c r="B48" s="3" t="s">
        <v>491</v>
      </c>
      <c r="C48" s="17" t="s">
        <v>1696</v>
      </c>
      <c r="D48" s="17" t="s">
        <v>681</v>
      </c>
      <c r="E48" s="3" t="s">
        <v>212</v>
      </c>
      <c r="F48" s="6" t="s">
        <v>212</v>
      </c>
      <c r="G48" s="16"/>
      <c r="H48" s="16"/>
      <c r="I48" s="3" t="s">
        <v>53</v>
      </c>
      <c r="J48" s="2">
        <v>2</v>
      </c>
      <c r="K48" s="16"/>
      <c r="L48" s="5" t="s">
        <v>669</v>
      </c>
      <c r="M48" s="25"/>
      <c r="N48" s="16"/>
      <c r="O48" s="16" t="s">
        <v>274</v>
      </c>
      <c r="P48" s="16" t="s">
        <v>275</v>
      </c>
      <c r="Q48" s="16">
        <v>2</v>
      </c>
      <c r="R48" s="20" t="s">
        <v>304</v>
      </c>
      <c r="S48" s="2" t="s">
        <v>341</v>
      </c>
      <c r="T48" s="2"/>
      <c r="U48" s="2"/>
      <c r="W48"/>
    </row>
    <row r="49" spans="1:23" s="72" customFormat="1" ht="16.5">
      <c r="A49" s="2">
        <f t="shared" si="1"/>
        <v>47</v>
      </c>
      <c r="B49" s="3" t="s">
        <v>491</v>
      </c>
      <c r="C49" s="17" t="s">
        <v>1696</v>
      </c>
      <c r="D49" s="17" t="s">
        <v>681</v>
      </c>
      <c r="E49" s="3" t="s">
        <v>213</v>
      </c>
      <c r="F49" s="6" t="s">
        <v>213</v>
      </c>
      <c r="G49" s="16"/>
      <c r="H49" s="16"/>
      <c r="I49" s="3" t="s">
        <v>53</v>
      </c>
      <c r="J49" s="2">
        <v>1</v>
      </c>
      <c r="K49" s="16"/>
      <c r="L49" s="5" t="s">
        <v>669</v>
      </c>
      <c r="M49" s="25"/>
      <c r="N49" s="16"/>
      <c r="O49" s="16" t="s">
        <v>274</v>
      </c>
      <c r="P49" s="16" t="s">
        <v>275</v>
      </c>
      <c r="Q49" s="16">
        <v>1</v>
      </c>
      <c r="R49" s="20" t="s">
        <v>305</v>
      </c>
      <c r="S49" s="2" t="s">
        <v>341</v>
      </c>
      <c r="T49" s="2"/>
      <c r="U49" s="2"/>
      <c r="W49"/>
    </row>
    <row r="50" spans="1:23" s="72" customFormat="1" ht="16.5">
      <c r="A50" s="2">
        <f t="shared" si="1"/>
        <v>48</v>
      </c>
      <c r="B50" s="3" t="s">
        <v>491</v>
      </c>
      <c r="C50" s="17" t="s">
        <v>1696</v>
      </c>
      <c r="D50" s="17" t="s">
        <v>681</v>
      </c>
      <c r="E50" s="3" t="s">
        <v>214</v>
      </c>
      <c r="F50" s="6" t="s">
        <v>214</v>
      </c>
      <c r="G50" s="16"/>
      <c r="H50" s="16"/>
      <c r="I50" s="3" t="s">
        <v>53</v>
      </c>
      <c r="J50" s="2">
        <v>2</v>
      </c>
      <c r="K50" s="16"/>
      <c r="L50" s="5" t="s">
        <v>669</v>
      </c>
      <c r="M50" s="25"/>
      <c r="N50" s="16"/>
      <c r="O50" s="16" t="s">
        <v>274</v>
      </c>
      <c r="P50" s="16" t="s">
        <v>275</v>
      </c>
      <c r="Q50" s="16">
        <v>2</v>
      </c>
      <c r="R50" s="20" t="s">
        <v>306</v>
      </c>
      <c r="S50" s="2" t="s">
        <v>341</v>
      </c>
      <c r="T50" s="2"/>
      <c r="U50" s="2"/>
      <c r="W50"/>
    </row>
    <row r="51" spans="1:23" s="72" customFormat="1" ht="16.5">
      <c r="A51" s="2">
        <f t="shared" si="1"/>
        <v>49</v>
      </c>
      <c r="B51" s="3" t="s">
        <v>491</v>
      </c>
      <c r="C51" s="17" t="s">
        <v>1696</v>
      </c>
      <c r="D51" s="17" t="s">
        <v>681</v>
      </c>
      <c r="E51" s="3" t="s">
        <v>215</v>
      </c>
      <c r="F51" s="6" t="s">
        <v>1597</v>
      </c>
      <c r="G51" s="16"/>
      <c r="H51" s="16"/>
      <c r="I51" s="3" t="s">
        <v>53</v>
      </c>
      <c r="J51" s="2">
        <v>1</v>
      </c>
      <c r="K51" s="16"/>
      <c r="L51" s="5" t="s">
        <v>669</v>
      </c>
      <c r="M51" s="25"/>
      <c r="N51" s="16"/>
      <c r="O51" s="16" t="s">
        <v>274</v>
      </c>
      <c r="P51" s="16" t="s">
        <v>275</v>
      </c>
      <c r="Q51" s="16">
        <v>1</v>
      </c>
      <c r="R51" s="20" t="s">
        <v>307</v>
      </c>
      <c r="S51" s="2" t="s">
        <v>341</v>
      </c>
      <c r="T51" s="2"/>
      <c r="U51" s="2"/>
      <c r="W51"/>
    </row>
    <row r="52" spans="1:23" s="72" customFormat="1" ht="16.5">
      <c r="A52" s="2">
        <f t="shared" si="1"/>
        <v>50</v>
      </c>
      <c r="B52" s="3" t="s">
        <v>491</v>
      </c>
      <c r="C52" s="17" t="s">
        <v>1696</v>
      </c>
      <c r="D52" s="17" t="s">
        <v>681</v>
      </c>
      <c r="E52" s="3" t="s">
        <v>216</v>
      </c>
      <c r="F52" s="104" t="s">
        <v>216</v>
      </c>
      <c r="G52" s="16"/>
      <c r="H52" s="16"/>
      <c r="I52" s="3" t="s">
        <v>53</v>
      </c>
      <c r="J52" s="2">
        <v>2</v>
      </c>
      <c r="K52" s="16"/>
      <c r="L52" s="5" t="s">
        <v>669</v>
      </c>
      <c r="M52" s="25"/>
      <c r="N52" s="16"/>
      <c r="O52" s="16" t="s">
        <v>274</v>
      </c>
      <c r="P52" s="16" t="s">
        <v>275</v>
      </c>
      <c r="Q52" s="16">
        <v>2</v>
      </c>
      <c r="R52" s="20" t="s">
        <v>308</v>
      </c>
      <c r="S52" s="2" t="s">
        <v>341</v>
      </c>
      <c r="T52" s="2"/>
      <c r="U52" s="2"/>
      <c r="W52"/>
    </row>
    <row r="53" spans="1:23" s="72" customFormat="1" ht="16.5">
      <c r="A53" s="2">
        <f t="shared" si="1"/>
        <v>51</v>
      </c>
      <c r="B53" s="3" t="s">
        <v>491</v>
      </c>
      <c r="C53" s="17" t="s">
        <v>1696</v>
      </c>
      <c r="D53" s="17" t="s">
        <v>681</v>
      </c>
      <c r="E53" s="3" t="s">
        <v>22</v>
      </c>
      <c r="F53" s="6" t="s">
        <v>22</v>
      </c>
      <c r="G53" s="16"/>
      <c r="H53" s="4" t="s">
        <v>257</v>
      </c>
      <c r="I53" s="3" t="s">
        <v>68</v>
      </c>
      <c r="J53" s="2">
        <v>15</v>
      </c>
      <c r="K53" s="16"/>
      <c r="L53" s="5" t="s">
        <v>669</v>
      </c>
      <c r="M53" s="25"/>
      <c r="N53" s="16"/>
      <c r="O53" s="16" t="s">
        <v>274</v>
      </c>
      <c r="P53" s="16" t="s">
        <v>279</v>
      </c>
      <c r="Q53" s="16">
        <v>15</v>
      </c>
      <c r="R53" s="20" t="s">
        <v>22</v>
      </c>
      <c r="S53" s="2" t="s">
        <v>341</v>
      </c>
      <c r="T53" s="2"/>
      <c r="U53" s="2"/>
      <c r="W53"/>
    </row>
    <row r="54" spans="1:23" s="72" customFormat="1" ht="16.5">
      <c r="A54" s="140" t="s">
        <v>499</v>
      </c>
      <c r="B54" s="161" t="s">
        <v>491</v>
      </c>
      <c r="C54" s="165" t="s">
        <v>1696</v>
      </c>
      <c r="D54" s="165" t="s">
        <v>681</v>
      </c>
      <c r="E54" s="164" t="s">
        <v>2521</v>
      </c>
      <c r="F54" s="164" t="s">
        <v>2926</v>
      </c>
      <c r="G54" s="127"/>
      <c r="H54" s="166"/>
      <c r="I54" s="161" t="s">
        <v>53</v>
      </c>
      <c r="J54" s="157">
        <v>4</v>
      </c>
      <c r="K54" s="127"/>
      <c r="L54" s="154"/>
      <c r="M54" s="158"/>
      <c r="N54" s="127"/>
      <c r="O54" s="172" t="s">
        <v>274</v>
      </c>
      <c r="P54" s="136" t="s">
        <v>275</v>
      </c>
      <c r="Q54" s="157">
        <v>4</v>
      </c>
      <c r="R54" s="164" t="s">
        <v>2521</v>
      </c>
      <c r="S54" s="162" t="s">
        <v>341</v>
      </c>
      <c r="T54" s="168"/>
      <c r="U54" s="168"/>
      <c r="W54"/>
    </row>
    <row r="55" spans="1:23" s="72" customFormat="1" ht="16.5">
      <c r="A55" s="140" t="s">
        <v>499</v>
      </c>
      <c r="B55" s="161" t="s">
        <v>491</v>
      </c>
      <c r="C55" s="165" t="s">
        <v>1696</v>
      </c>
      <c r="D55" s="165" t="s">
        <v>681</v>
      </c>
      <c r="E55" s="164" t="s">
        <v>2522</v>
      </c>
      <c r="F55" s="164" t="s">
        <v>2927</v>
      </c>
      <c r="G55" s="127"/>
      <c r="H55" s="166"/>
      <c r="I55" s="161" t="s">
        <v>53</v>
      </c>
      <c r="J55" s="157">
        <v>2</v>
      </c>
      <c r="K55" s="127"/>
      <c r="L55" s="154"/>
      <c r="M55" s="158"/>
      <c r="N55" s="127"/>
      <c r="O55" s="172" t="s">
        <v>274</v>
      </c>
      <c r="P55" s="136" t="s">
        <v>275</v>
      </c>
      <c r="Q55" s="157">
        <v>2</v>
      </c>
      <c r="R55" s="164" t="s">
        <v>2522</v>
      </c>
      <c r="S55" s="162" t="s">
        <v>341</v>
      </c>
      <c r="T55" s="168"/>
      <c r="U55" s="168"/>
      <c r="W55"/>
    </row>
    <row r="56" spans="1:23" s="72" customFormat="1" ht="16.5">
      <c r="A56" s="140" t="s">
        <v>499</v>
      </c>
      <c r="B56" s="161" t="s">
        <v>491</v>
      </c>
      <c r="C56" s="165" t="s">
        <v>1696</v>
      </c>
      <c r="D56" s="165" t="s">
        <v>681</v>
      </c>
      <c r="E56" s="164" t="s">
        <v>2523</v>
      </c>
      <c r="F56" s="164" t="s">
        <v>2892</v>
      </c>
      <c r="G56" s="127"/>
      <c r="H56" s="166"/>
      <c r="I56" s="161" t="s">
        <v>53</v>
      </c>
      <c r="J56" s="157">
        <v>1</v>
      </c>
      <c r="K56" s="127"/>
      <c r="L56" s="154"/>
      <c r="M56" s="158"/>
      <c r="N56" s="127"/>
      <c r="O56" s="172" t="s">
        <v>274</v>
      </c>
      <c r="P56" s="136" t="s">
        <v>275</v>
      </c>
      <c r="Q56" s="157">
        <v>1</v>
      </c>
      <c r="R56" s="164" t="s">
        <v>2523</v>
      </c>
      <c r="S56" s="162" t="s">
        <v>341</v>
      </c>
      <c r="T56" s="168"/>
      <c r="U56" s="168"/>
      <c r="W56"/>
    </row>
    <row r="57" spans="1:23" s="72" customFormat="1" ht="16.5">
      <c r="A57" s="140" t="s">
        <v>499</v>
      </c>
      <c r="B57" s="161" t="s">
        <v>491</v>
      </c>
      <c r="C57" s="165" t="s">
        <v>1696</v>
      </c>
      <c r="D57" s="165" t="s">
        <v>681</v>
      </c>
      <c r="E57" s="164" t="s">
        <v>2524</v>
      </c>
      <c r="F57" s="164" t="s">
        <v>2894</v>
      </c>
      <c r="G57" s="127"/>
      <c r="H57" s="166"/>
      <c r="I57" s="161" t="s">
        <v>68</v>
      </c>
      <c r="J57" s="157">
        <v>15</v>
      </c>
      <c r="K57" s="127"/>
      <c r="L57" s="154"/>
      <c r="M57" s="158"/>
      <c r="N57" s="127"/>
      <c r="O57" s="172" t="s">
        <v>274</v>
      </c>
      <c r="P57" s="137" t="s">
        <v>279</v>
      </c>
      <c r="Q57" s="157">
        <v>15</v>
      </c>
      <c r="R57" s="164" t="s">
        <v>2524</v>
      </c>
      <c r="S57" s="162" t="s">
        <v>341</v>
      </c>
      <c r="T57" s="168"/>
      <c r="U57" s="168"/>
      <c r="W57"/>
    </row>
    <row r="58" spans="1:23" s="72" customFormat="1" ht="16.5">
      <c r="A58" s="140" t="s">
        <v>499</v>
      </c>
      <c r="B58" s="161" t="s">
        <v>491</v>
      </c>
      <c r="C58" s="165" t="s">
        <v>1696</v>
      </c>
      <c r="D58" s="165" t="s">
        <v>681</v>
      </c>
      <c r="E58" s="164" t="s">
        <v>2525</v>
      </c>
      <c r="F58" s="164" t="s">
        <v>2895</v>
      </c>
      <c r="G58" s="127"/>
      <c r="H58" s="166"/>
      <c r="I58" s="161" t="s">
        <v>53</v>
      </c>
      <c r="J58" s="157">
        <v>5</v>
      </c>
      <c r="K58" s="127"/>
      <c r="L58" s="154"/>
      <c r="M58" s="158"/>
      <c r="N58" s="127"/>
      <c r="O58" s="172" t="s">
        <v>274</v>
      </c>
      <c r="P58" s="136" t="s">
        <v>275</v>
      </c>
      <c r="Q58" s="157">
        <v>5</v>
      </c>
      <c r="R58" s="164" t="s">
        <v>2525</v>
      </c>
      <c r="S58" s="162" t="s">
        <v>341</v>
      </c>
      <c r="T58" s="168"/>
      <c r="U58" s="168"/>
      <c r="W58"/>
    </row>
    <row r="59" spans="1:23" s="72" customFormat="1" ht="16.5">
      <c r="A59" s="140" t="s">
        <v>499</v>
      </c>
      <c r="B59" s="161" t="s">
        <v>491</v>
      </c>
      <c r="C59" s="165" t="s">
        <v>1696</v>
      </c>
      <c r="D59" s="165" t="s">
        <v>681</v>
      </c>
      <c r="E59" s="164" t="s">
        <v>2526</v>
      </c>
      <c r="F59" s="164" t="s">
        <v>2896</v>
      </c>
      <c r="G59" s="127"/>
      <c r="H59" s="166"/>
      <c r="I59" s="161" t="s">
        <v>53</v>
      </c>
      <c r="J59" s="157">
        <v>5</v>
      </c>
      <c r="K59" s="127"/>
      <c r="L59" s="154"/>
      <c r="M59" s="158"/>
      <c r="N59" s="127"/>
      <c r="O59" s="172" t="s">
        <v>274</v>
      </c>
      <c r="P59" s="136" t="s">
        <v>275</v>
      </c>
      <c r="Q59" s="157">
        <v>5</v>
      </c>
      <c r="R59" s="164" t="s">
        <v>2526</v>
      </c>
      <c r="S59" s="162" t="s">
        <v>341</v>
      </c>
      <c r="T59" s="168"/>
      <c r="U59" s="168"/>
      <c r="W59"/>
    </row>
    <row r="60" spans="1:23" s="72" customFormat="1" ht="16.5">
      <c r="A60" s="140" t="s">
        <v>499</v>
      </c>
      <c r="B60" s="161" t="s">
        <v>491</v>
      </c>
      <c r="C60" s="165" t="s">
        <v>1696</v>
      </c>
      <c r="D60" s="165" t="s">
        <v>681</v>
      </c>
      <c r="E60" s="164" t="s">
        <v>2527</v>
      </c>
      <c r="F60" s="164" t="s">
        <v>2897</v>
      </c>
      <c r="G60" s="127"/>
      <c r="H60" s="166"/>
      <c r="I60" s="161" t="s">
        <v>53</v>
      </c>
      <c r="J60" s="157">
        <v>5</v>
      </c>
      <c r="K60" s="127"/>
      <c r="L60" s="154"/>
      <c r="M60" s="158"/>
      <c r="N60" s="127"/>
      <c r="O60" s="172" t="s">
        <v>274</v>
      </c>
      <c r="P60" s="136" t="s">
        <v>275</v>
      </c>
      <c r="Q60" s="157">
        <v>5</v>
      </c>
      <c r="R60" s="164" t="s">
        <v>2527</v>
      </c>
      <c r="S60" s="162" t="s">
        <v>341</v>
      </c>
      <c r="T60" s="168"/>
      <c r="U60" s="168"/>
      <c r="W60"/>
    </row>
    <row r="61" spans="1:23" s="72" customFormat="1" ht="15" customHeight="1">
      <c r="A61" s="140" t="s">
        <v>499</v>
      </c>
      <c r="B61" s="161" t="s">
        <v>491</v>
      </c>
      <c r="C61" s="165" t="s">
        <v>1696</v>
      </c>
      <c r="D61" s="165" t="s">
        <v>681</v>
      </c>
      <c r="E61" s="164" t="s">
        <v>2528</v>
      </c>
      <c r="F61" s="164" t="s">
        <v>2898</v>
      </c>
      <c r="G61" s="127"/>
      <c r="H61" s="166"/>
      <c r="I61" s="161" t="s">
        <v>53</v>
      </c>
      <c r="J61" s="157">
        <v>5</v>
      </c>
      <c r="K61" s="127"/>
      <c r="L61" s="154"/>
      <c r="M61" s="158"/>
      <c r="N61" s="127"/>
      <c r="O61" s="172" t="s">
        <v>274</v>
      </c>
      <c r="P61" s="136" t="s">
        <v>275</v>
      </c>
      <c r="Q61" s="157">
        <v>5</v>
      </c>
      <c r="R61" s="164" t="s">
        <v>2528</v>
      </c>
      <c r="S61" s="162" t="s">
        <v>341</v>
      </c>
      <c r="T61" s="168"/>
      <c r="U61" s="168"/>
      <c r="W61"/>
    </row>
    <row r="62" spans="1:23" s="72" customFormat="1" ht="16.5">
      <c r="A62" s="140" t="s">
        <v>499</v>
      </c>
      <c r="B62" s="161" t="s">
        <v>491</v>
      </c>
      <c r="C62" s="165" t="s">
        <v>1696</v>
      </c>
      <c r="D62" s="165" t="s">
        <v>681</v>
      </c>
      <c r="E62" s="164" t="s">
        <v>2529</v>
      </c>
      <c r="F62" s="164" t="s">
        <v>2899</v>
      </c>
      <c r="G62" s="127"/>
      <c r="H62" s="166"/>
      <c r="I62" s="161" t="s">
        <v>53</v>
      </c>
      <c r="J62" s="157">
        <v>5</v>
      </c>
      <c r="K62" s="127"/>
      <c r="L62" s="154"/>
      <c r="M62" s="158"/>
      <c r="N62" s="127"/>
      <c r="O62" s="172" t="s">
        <v>274</v>
      </c>
      <c r="P62" s="136" t="s">
        <v>275</v>
      </c>
      <c r="Q62" s="157">
        <v>5</v>
      </c>
      <c r="R62" s="164" t="s">
        <v>2529</v>
      </c>
      <c r="S62" s="162" t="s">
        <v>341</v>
      </c>
      <c r="T62" s="168"/>
      <c r="U62" s="168"/>
      <c r="W62"/>
    </row>
    <row r="63" spans="1:23" s="72" customFormat="1" ht="16.5">
      <c r="A63" s="140" t="s">
        <v>499</v>
      </c>
      <c r="B63" s="161" t="s">
        <v>491</v>
      </c>
      <c r="C63" s="165" t="s">
        <v>1696</v>
      </c>
      <c r="D63" s="165" t="s">
        <v>681</v>
      </c>
      <c r="E63" s="164" t="s">
        <v>2530</v>
      </c>
      <c r="F63" s="164" t="s">
        <v>2900</v>
      </c>
      <c r="G63" s="127"/>
      <c r="H63" s="166"/>
      <c r="I63" s="161" t="s">
        <v>53</v>
      </c>
      <c r="J63" s="157">
        <v>5</v>
      </c>
      <c r="K63" s="127"/>
      <c r="L63" s="154"/>
      <c r="M63" s="158"/>
      <c r="N63" s="127"/>
      <c r="O63" s="172" t="s">
        <v>274</v>
      </c>
      <c r="P63" s="136" t="s">
        <v>275</v>
      </c>
      <c r="Q63" s="157">
        <v>5</v>
      </c>
      <c r="R63" s="164" t="s">
        <v>2530</v>
      </c>
      <c r="S63" s="162" t="s">
        <v>341</v>
      </c>
      <c r="T63" s="168"/>
      <c r="U63" s="168"/>
      <c r="W63"/>
    </row>
    <row r="64" spans="1:23" s="72" customFormat="1" ht="16.5">
      <c r="A64" s="140" t="s">
        <v>499</v>
      </c>
      <c r="B64" s="161" t="s">
        <v>491</v>
      </c>
      <c r="C64" s="165" t="s">
        <v>1696</v>
      </c>
      <c r="D64" s="165" t="s">
        <v>681</v>
      </c>
      <c r="E64" s="164" t="s">
        <v>2531</v>
      </c>
      <c r="F64" s="164" t="s">
        <v>2901</v>
      </c>
      <c r="G64" s="127"/>
      <c r="H64" s="166"/>
      <c r="I64" s="161" t="s">
        <v>53</v>
      </c>
      <c r="J64" s="157">
        <v>5</v>
      </c>
      <c r="K64" s="127"/>
      <c r="L64" s="154"/>
      <c r="M64" s="158"/>
      <c r="N64" s="127"/>
      <c r="O64" s="172" t="s">
        <v>274</v>
      </c>
      <c r="P64" s="136" t="s">
        <v>275</v>
      </c>
      <c r="Q64" s="157">
        <v>5</v>
      </c>
      <c r="R64" s="164" t="s">
        <v>2531</v>
      </c>
      <c r="S64" s="162" t="s">
        <v>341</v>
      </c>
      <c r="T64" s="168"/>
      <c r="U64" s="168"/>
      <c r="W64"/>
    </row>
    <row r="65" spans="1:23" s="72" customFormat="1" ht="16.5">
      <c r="A65" s="140" t="s">
        <v>499</v>
      </c>
      <c r="B65" s="161" t="s">
        <v>491</v>
      </c>
      <c r="C65" s="165" t="s">
        <v>1696</v>
      </c>
      <c r="D65" s="165" t="s">
        <v>681</v>
      </c>
      <c r="E65" s="164" t="s">
        <v>2532</v>
      </c>
      <c r="F65" s="164" t="s">
        <v>2902</v>
      </c>
      <c r="G65" s="127"/>
      <c r="H65" s="166"/>
      <c r="I65" s="161" t="s">
        <v>53</v>
      </c>
      <c r="J65" s="157">
        <v>1</v>
      </c>
      <c r="K65" s="127"/>
      <c r="L65" s="154"/>
      <c r="M65" s="158"/>
      <c r="N65" s="127"/>
      <c r="O65" s="172" t="s">
        <v>274</v>
      </c>
      <c r="P65" s="136" t="s">
        <v>275</v>
      </c>
      <c r="Q65" s="157">
        <v>1</v>
      </c>
      <c r="R65" s="164" t="s">
        <v>2532</v>
      </c>
      <c r="S65" s="162" t="s">
        <v>341</v>
      </c>
      <c r="T65" s="168"/>
      <c r="U65" s="168"/>
      <c r="W65"/>
    </row>
    <row r="66" spans="1:23" s="72" customFormat="1" ht="16.5">
      <c r="A66" s="140" t="s">
        <v>499</v>
      </c>
      <c r="B66" s="161" t="s">
        <v>491</v>
      </c>
      <c r="C66" s="165" t="s">
        <v>1696</v>
      </c>
      <c r="D66" s="165" t="s">
        <v>681</v>
      </c>
      <c r="E66" s="164" t="s">
        <v>2533</v>
      </c>
      <c r="F66" s="164" t="s">
        <v>2903</v>
      </c>
      <c r="G66" s="127"/>
      <c r="H66" s="166"/>
      <c r="I66" s="161" t="s">
        <v>53</v>
      </c>
      <c r="J66" s="157">
        <v>1</v>
      </c>
      <c r="K66" s="127"/>
      <c r="L66" s="154"/>
      <c r="M66" s="158"/>
      <c r="N66" s="127"/>
      <c r="O66" s="172" t="s">
        <v>274</v>
      </c>
      <c r="P66" s="136" t="s">
        <v>275</v>
      </c>
      <c r="Q66" s="157">
        <v>1</v>
      </c>
      <c r="R66" s="164" t="s">
        <v>2533</v>
      </c>
      <c r="S66" s="162" t="s">
        <v>341</v>
      </c>
      <c r="T66" s="168"/>
      <c r="U66" s="168"/>
      <c r="W66"/>
    </row>
    <row r="67" spans="1:23" s="72" customFormat="1" ht="16.5">
      <c r="A67" s="140" t="s">
        <v>499</v>
      </c>
      <c r="B67" s="161" t="s">
        <v>491</v>
      </c>
      <c r="C67" s="165" t="s">
        <v>1696</v>
      </c>
      <c r="D67" s="165" t="s">
        <v>681</v>
      </c>
      <c r="E67" s="164" t="s">
        <v>2534</v>
      </c>
      <c r="F67" s="164" t="s">
        <v>2534</v>
      </c>
      <c r="G67" s="127"/>
      <c r="H67" s="166"/>
      <c r="I67" s="161" t="s">
        <v>53</v>
      </c>
      <c r="J67" s="157">
        <v>4</v>
      </c>
      <c r="K67" s="127"/>
      <c r="L67" s="154"/>
      <c r="M67" s="158"/>
      <c r="N67" s="127"/>
      <c r="O67" s="172" t="s">
        <v>274</v>
      </c>
      <c r="P67" s="136" t="s">
        <v>275</v>
      </c>
      <c r="Q67" s="157">
        <v>4</v>
      </c>
      <c r="R67" s="164" t="s">
        <v>2534</v>
      </c>
      <c r="S67" s="162" t="s">
        <v>341</v>
      </c>
      <c r="T67" s="168"/>
      <c r="U67" s="168"/>
      <c r="W67"/>
    </row>
    <row r="68" spans="1:23" s="72" customFormat="1" ht="16.5">
      <c r="A68" s="140" t="s">
        <v>499</v>
      </c>
      <c r="B68" s="161" t="s">
        <v>491</v>
      </c>
      <c r="C68" s="165" t="s">
        <v>1696</v>
      </c>
      <c r="D68" s="165" t="s">
        <v>681</v>
      </c>
      <c r="E68" s="164" t="s">
        <v>2535</v>
      </c>
      <c r="F68" s="164" t="s">
        <v>2928</v>
      </c>
      <c r="G68" s="127"/>
      <c r="H68" s="166"/>
      <c r="I68" s="161" t="s">
        <v>68</v>
      </c>
      <c r="J68" s="157">
        <v>15</v>
      </c>
      <c r="K68" s="127"/>
      <c r="L68" s="154"/>
      <c r="M68" s="158"/>
      <c r="N68" s="127"/>
      <c r="O68" s="172" t="s">
        <v>274</v>
      </c>
      <c r="P68" s="137" t="s">
        <v>279</v>
      </c>
      <c r="Q68" s="157">
        <v>15</v>
      </c>
      <c r="R68" s="164" t="s">
        <v>2535</v>
      </c>
      <c r="S68" s="162" t="s">
        <v>341</v>
      </c>
      <c r="T68" s="168"/>
      <c r="U68" s="168"/>
      <c r="W68"/>
    </row>
    <row r="69" spans="1:23" s="72" customFormat="1" ht="16.5">
      <c r="A69" s="140" t="s">
        <v>499</v>
      </c>
      <c r="B69" s="161" t="s">
        <v>491</v>
      </c>
      <c r="C69" s="165" t="s">
        <v>1696</v>
      </c>
      <c r="D69" s="165" t="s">
        <v>681</v>
      </c>
      <c r="E69" s="135" t="s">
        <v>2222</v>
      </c>
      <c r="F69" s="164" t="s">
        <v>2929</v>
      </c>
      <c r="G69" s="127"/>
      <c r="H69" s="166"/>
      <c r="I69" s="161" t="s">
        <v>53</v>
      </c>
      <c r="J69" s="172">
        <v>1</v>
      </c>
      <c r="K69" s="127"/>
      <c r="L69" s="154"/>
      <c r="M69" s="158"/>
      <c r="N69" s="127"/>
      <c r="O69" s="172" t="s">
        <v>274</v>
      </c>
      <c r="P69" s="136" t="s">
        <v>275</v>
      </c>
      <c r="Q69" s="172">
        <v>1</v>
      </c>
      <c r="R69" s="135" t="s">
        <v>2222</v>
      </c>
      <c r="S69" s="162" t="s">
        <v>341</v>
      </c>
      <c r="T69" s="168"/>
      <c r="U69" s="168"/>
      <c r="W69"/>
    </row>
    <row r="70" spans="1:23" s="72" customFormat="1" ht="16.5">
      <c r="A70" s="140" t="s">
        <v>499</v>
      </c>
      <c r="B70" s="161" t="s">
        <v>491</v>
      </c>
      <c r="C70" s="165" t="s">
        <v>1696</v>
      </c>
      <c r="D70" s="165" t="s">
        <v>681</v>
      </c>
      <c r="E70" s="135" t="s">
        <v>2224</v>
      </c>
      <c r="F70" s="164" t="s">
        <v>2930</v>
      </c>
      <c r="G70" s="127"/>
      <c r="H70" s="166"/>
      <c r="I70" s="161" t="s">
        <v>53</v>
      </c>
      <c r="J70" s="172">
        <v>3</v>
      </c>
      <c r="K70" s="127"/>
      <c r="L70" s="154"/>
      <c r="M70" s="158"/>
      <c r="N70" s="127"/>
      <c r="O70" s="172" t="s">
        <v>274</v>
      </c>
      <c r="P70" s="136" t="s">
        <v>275</v>
      </c>
      <c r="Q70" s="172">
        <v>3</v>
      </c>
      <c r="R70" s="135" t="s">
        <v>2224</v>
      </c>
      <c r="S70" s="162" t="s">
        <v>341</v>
      </c>
      <c r="T70" s="168"/>
      <c r="U70" s="168"/>
      <c r="W70"/>
    </row>
    <row r="71" spans="1:23" s="72" customFormat="1" ht="16.5">
      <c r="A71" s="140" t="s">
        <v>499</v>
      </c>
      <c r="B71" s="161" t="s">
        <v>491</v>
      </c>
      <c r="C71" s="165" t="s">
        <v>1696</v>
      </c>
      <c r="D71" s="165" t="s">
        <v>681</v>
      </c>
      <c r="E71" s="135" t="s">
        <v>2226</v>
      </c>
      <c r="F71" s="164" t="s">
        <v>2931</v>
      </c>
      <c r="G71" s="127"/>
      <c r="H71" s="166"/>
      <c r="I71" s="161" t="s">
        <v>68</v>
      </c>
      <c r="J71" s="157">
        <v>15</v>
      </c>
      <c r="K71" s="127"/>
      <c r="L71" s="154"/>
      <c r="M71" s="158"/>
      <c r="N71" s="127"/>
      <c r="O71" s="172" t="s">
        <v>274</v>
      </c>
      <c r="P71" s="137" t="s">
        <v>279</v>
      </c>
      <c r="Q71" s="157">
        <v>15</v>
      </c>
      <c r="R71" s="135" t="s">
        <v>2226</v>
      </c>
      <c r="S71" s="162" t="s">
        <v>341</v>
      </c>
      <c r="T71" s="168"/>
      <c r="U71" s="168"/>
      <c r="W71"/>
    </row>
    <row r="72" spans="1:23" s="72" customFormat="1" ht="16.5">
      <c r="A72" s="140" t="s">
        <v>499</v>
      </c>
      <c r="B72" s="161" t="s">
        <v>491</v>
      </c>
      <c r="C72" s="165" t="s">
        <v>1696</v>
      </c>
      <c r="D72" s="165" t="s">
        <v>681</v>
      </c>
      <c r="E72" s="135" t="s">
        <v>2228</v>
      </c>
      <c r="F72" s="164" t="s">
        <v>2923</v>
      </c>
      <c r="G72" s="127"/>
      <c r="H72" s="166"/>
      <c r="I72" s="161" t="s">
        <v>53</v>
      </c>
      <c r="J72" s="172">
        <v>1</v>
      </c>
      <c r="K72" s="127"/>
      <c r="L72" s="154"/>
      <c r="M72" s="158"/>
      <c r="N72" s="127"/>
      <c r="O72" s="172" t="s">
        <v>274</v>
      </c>
      <c r="P72" s="136" t="s">
        <v>275</v>
      </c>
      <c r="Q72" s="172">
        <v>1</v>
      </c>
      <c r="R72" s="135" t="s">
        <v>2228</v>
      </c>
      <c r="S72" s="162" t="s">
        <v>341</v>
      </c>
      <c r="T72" s="168"/>
      <c r="U72" s="168"/>
      <c r="W72"/>
    </row>
    <row r="73" spans="1:23" s="72" customFormat="1" ht="16.5">
      <c r="A73" s="140" t="s">
        <v>499</v>
      </c>
      <c r="B73" s="161" t="s">
        <v>491</v>
      </c>
      <c r="C73" s="165" t="s">
        <v>1696</v>
      </c>
      <c r="D73" s="165" t="s">
        <v>681</v>
      </c>
      <c r="E73" s="135" t="s">
        <v>2230</v>
      </c>
      <c r="F73" s="164" t="s">
        <v>2932</v>
      </c>
      <c r="G73" s="127"/>
      <c r="H73" s="166"/>
      <c r="I73" s="161" t="s">
        <v>53</v>
      </c>
      <c r="J73" s="172">
        <v>9</v>
      </c>
      <c r="K73" s="127"/>
      <c r="L73" s="154"/>
      <c r="M73" s="158"/>
      <c r="N73" s="127"/>
      <c r="O73" s="172" t="s">
        <v>274</v>
      </c>
      <c r="P73" s="137" t="s">
        <v>279</v>
      </c>
      <c r="Q73" s="172">
        <v>9</v>
      </c>
      <c r="R73" s="135" t="s">
        <v>2230</v>
      </c>
      <c r="S73" s="162" t="s">
        <v>341</v>
      </c>
      <c r="T73" s="168"/>
      <c r="U73" s="168"/>
      <c r="W73"/>
    </row>
    <row r="74" spans="1:23" s="72" customFormat="1" ht="16.5">
      <c r="A74" s="140" t="s">
        <v>499</v>
      </c>
      <c r="B74" s="161" t="s">
        <v>491</v>
      </c>
      <c r="C74" s="165" t="s">
        <v>1696</v>
      </c>
      <c r="D74" s="165" t="s">
        <v>681</v>
      </c>
      <c r="E74" s="135" t="s">
        <v>2232</v>
      </c>
      <c r="F74" s="164" t="s">
        <v>2933</v>
      </c>
      <c r="G74" s="127"/>
      <c r="H74" s="166"/>
      <c r="I74" s="161" t="s">
        <v>53</v>
      </c>
      <c r="J74" s="172">
        <v>1</v>
      </c>
      <c r="K74" s="127"/>
      <c r="L74" s="154"/>
      <c r="M74" s="158"/>
      <c r="N74" s="127"/>
      <c r="O74" s="172" t="s">
        <v>274</v>
      </c>
      <c r="P74" s="136" t="s">
        <v>275</v>
      </c>
      <c r="Q74" s="172">
        <v>1</v>
      </c>
      <c r="R74" s="135" t="s">
        <v>2232</v>
      </c>
      <c r="S74" s="162" t="s">
        <v>341</v>
      </c>
      <c r="T74" s="168"/>
      <c r="U74" s="168"/>
      <c r="W74"/>
    </row>
    <row r="75" spans="1:23" s="72" customFormat="1" ht="16.5">
      <c r="A75" s="140" t="s">
        <v>499</v>
      </c>
      <c r="B75" s="161" t="s">
        <v>491</v>
      </c>
      <c r="C75" s="165" t="s">
        <v>1696</v>
      </c>
      <c r="D75" s="165" t="s">
        <v>681</v>
      </c>
      <c r="E75" s="135" t="s">
        <v>2234</v>
      </c>
      <c r="F75" s="164" t="s">
        <v>2934</v>
      </c>
      <c r="G75" s="127"/>
      <c r="H75" s="166"/>
      <c r="I75" s="161" t="s">
        <v>53</v>
      </c>
      <c r="J75" s="172">
        <v>1</v>
      </c>
      <c r="K75" s="127"/>
      <c r="L75" s="154"/>
      <c r="M75" s="158"/>
      <c r="N75" s="127"/>
      <c r="O75" s="172" t="s">
        <v>274</v>
      </c>
      <c r="P75" s="136" t="s">
        <v>275</v>
      </c>
      <c r="Q75" s="172">
        <v>1</v>
      </c>
      <c r="R75" s="135" t="s">
        <v>2234</v>
      </c>
      <c r="S75" s="162" t="s">
        <v>341</v>
      </c>
      <c r="T75" s="168"/>
      <c r="U75" s="168"/>
      <c r="W75"/>
    </row>
    <row r="76" spans="1:23" s="72" customFormat="1" ht="16.5">
      <c r="A76" s="140" t="s">
        <v>499</v>
      </c>
      <c r="B76" s="161" t="s">
        <v>491</v>
      </c>
      <c r="C76" s="165" t="s">
        <v>1696</v>
      </c>
      <c r="D76" s="165" t="s">
        <v>681</v>
      </c>
      <c r="E76" s="147" t="s">
        <v>2236</v>
      </c>
      <c r="F76" s="164" t="s">
        <v>2935</v>
      </c>
      <c r="G76" s="127"/>
      <c r="H76" s="166"/>
      <c r="I76" s="161" t="s">
        <v>53</v>
      </c>
      <c r="J76" s="172">
        <v>1</v>
      </c>
      <c r="K76" s="127"/>
      <c r="L76" s="154"/>
      <c r="M76" s="158"/>
      <c r="N76" s="127"/>
      <c r="O76" s="172" t="s">
        <v>274</v>
      </c>
      <c r="P76" s="136" t="s">
        <v>275</v>
      </c>
      <c r="Q76" s="172">
        <v>1</v>
      </c>
      <c r="R76" s="147" t="s">
        <v>2236</v>
      </c>
      <c r="S76" s="162" t="s">
        <v>341</v>
      </c>
      <c r="T76" s="168"/>
      <c r="U76" s="168"/>
      <c r="W76"/>
    </row>
    <row r="77" spans="1:23" s="72" customFormat="1" ht="16.5">
      <c r="A77" s="140" t="s">
        <v>499</v>
      </c>
      <c r="B77" s="161" t="s">
        <v>491</v>
      </c>
      <c r="C77" s="165" t="s">
        <v>1696</v>
      </c>
      <c r="D77" s="165" t="s">
        <v>681</v>
      </c>
      <c r="E77" s="147" t="s">
        <v>1297</v>
      </c>
      <c r="F77" s="164" t="s">
        <v>1298</v>
      </c>
      <c r="G77" s="127"/>
      <c r="H77" s="166"/>
      <c r="I77" s="161" t="s">
        <v>68</v>
      </c>
      <c r="J77" s="172">
        <v>3</v>
      </c>
      <c r="K77" s="127"/>
      <c r="L77" s="154"/>
      <c r="M77" s="158"/>
      <c r="N77" s="127"/>
      <c r="O77" s="172" t="s">
        <v>274</v>
      </c>
      <c r="P77" s="137" t="s">
        <v>279</v>
      </c>
      <c r="Q77" s="172">
        <v>3</v>
      </c>
      <c r="R77" s="147" t="s">
        <v>1297</v>
      </c>
      <c r="S77" s="162" t="s">
        <v>341</v>
      </c>
      <c r="T77" s="168"/>
      <c r="U77" s="168"/>
      <c r="W77"/>
    </row>
    <row r="78" spans="1:23" s="72" customFormat="1" ht="16.5">
      <c r="A78" s="140" t="s">
        <v>499</v>
      </c>
      <c r="B78" s="161" t="s">
        <v>491</v>
      </c>
      <c r="C78" s="165" t="s">
        <v>1696</v>
      </c>
      <c r="D78" s="165" t="s">
        <v>681</v>
      </c>
      <c r="E78" s="147" t="s">
        <v>2239</v>
      </c>
      <c r="F78" s="164" t="s">
        <v>2239</v>
      </c>
      <c r="G78" s="127"/>
      <c r="H78" s="166"/>
      <c r="I78" s="161" t="s">
        <v>53</v>
      </c>
      <c r="J78" s="172">
        <v>6</v>
      </c>
      <c r="K78" s="127"/>
      <c r="L78" s="154"/>
      <c r="M78" s="158"/>
      <c r="N78" s="127"/>
      <c r="O78" s="172" t="s">
        <v>274</v>
      </c>
      <c r="P78" s="136" t="s">
        <v>275</v>
      </c>
      <c r="Q78" s="172">
        <v>6</v>
      </c>
      <c r="R78" s="147" t="s">
        <v>2239</v>
      </c>
      <c r="S78" s="162" t="s">
        <v>341</v>
      </c>
      <c r="T78" s="168"/>
      <c r="U78" s="168"/>
      <c r="W78"/>
    </row>
    <row r="79" spans="1:23" s="72" customFormat="1" ht="16.5">
      <c r="A79" s="140" t="s">
        <v>499</v>
      </c>
      <c r="B79" s="161" t="s">
        <v>491</v>
      </c>
      <c r="C79" s="165" t="s">
        <v>1696</v>
      </c>
      <c r="D79" s="165" t="s">
        <v>681</v>
      </c>
      <c r="E79" s="147" t="s">
        <v>2241</v>
      </c>
      <c r="F79" s="164" t="s">
        <v>2785</v>
      </c>
      <c r="G79" s="127"/>
      <c r="H79" s="166"/>
      <c r="I79" s="161" t="s">
        <v>68</v>
      </c>
      <c r="J79" s="157">
        <v>15</v>
      </c>
      <c r="K79" s="127"/>
      <c r="L79" s="154"/>
      <c r="M79" s="158"/>
      <c r="N79" s="127"/>
      <c r="O79" s="172" t="s">
        <v>274</v>
      </c>
      <c r="P79" s="137" t="s">
        <v>279</v>
      </c>
      <c r="Q79" s="157">
        <v>15</v>
      </c>
      <c r="R79" s="147" t="s">
        <v>2241</v>
      </c>
      <c r="S79" s="162" t="s">
        <v>341</v>
      </c>
      <c r="T79" s="168"/>
      <c r="U79" s="168"/>
      <c r="W79"/>
    </row>
    <row r="80" spans="1:23" s="72" customFormat="1" ht="16.5">
      <c r="A80" s="140" t="s">
        <v>499</v>
      </c>
      <c r="B80" s="161" t="s">
        <v>491</v>
      </c>
      <c r="C80" s="165" t="s">
        <v>1696</v>
      </c>
      <c r="D80" s="165" t="s">
        <v>681</v>
      </c>
      <c r="E80" s="147" t="s">
        <v>2243</v>
      </c>
      <c r="F80" s="164" t="s">
        <v>2936</v>
      </c>
      <c r="G80" s="127"/>
      <c r="H80" s="166"/>
      <c r="I80" s="161" t="s">
        <v>68</v>
      </c>
      <c r="J80" s="172">
        <v>9</v>
      </c>
      <c r="K80" s="170">
        <v>5</v>
      </c>
      <c r="L80" s="154"/>
      <c r="M80" s="158"/>
      <c r="N80" s="127"/>
      <c r="O80" s="172" t="s">
        <v>274</v>
      </c>
      <c r="P80" s="137" t="s">
        <v>279</v>
      </c>
      <c r="Q80" s="172">
        <v>9.5</v>
      </c>
      <c r="R80" s="147" t="s">
        <v>2243</v>
      </c>
      <c r="S80" s="162" t="s">
        <v>341</v>
      </c>
      <c r="T80" s="168"/>
      <c r="U80" s="168"/>
      <c r="W80"/>
    </row>
    <row r="81" spans="1:23" s="72" customFormat="1" ht="16.5">
      <c r="A81" s="140" t="s">
        <v>499</v>
      </c>
      <c r="B81" s="161" t="s">
        <v>491</v>
      </c>
      <c r="C81" s="165" t="s">
        <v>1696</v>
      </c>
      <c r="D81" s="165" t="s">
        <v>681</v>
      </c>
      <c r="E81" s="147" t="s">
        <v>2245</v>
      </c>
      <c r="F81" s="164" t="s">
        <v>2937</v>
      </c>
      <c r="G81" s="127"/>
      <c r="H81" s="166"/>
      <c r="I81" s="161" t="s">
        <v>53</v>
      </c>
      <c r="J81" s="172">
        <v>1</v>
      </c>
      <c r="K81" s="127"/>
      <c r="L81" s="154"/>
      <c r="M81" s="158"/>
      <c r="N81" s="127"/>
      <c r="O81" s="172" t="s">
        <v>274</v>
      </c>
      <c r="P81" s="136" t="s">
        <v>275</v>
      </c>
      <c r="Q81" s="172">
        <v>1</v>
      </c>
      <c r="R81" s="147" t="s">
        <v>2245</v>
      </c>
      <c r="S81" s="162" t="s">
        <v>341</v>
      </c>
      <c r="T81" s="168"/>
      <c r="U81" s="168"/>
      <c r="W81"/>
    </row>
    <row r="82" spans="1:23" s="72" customFormat="1" ht="16.5">
      <c r="A82" s="140" t="s">
        <v>499</v>
      </c>
      <c r="B82" s="161" t="s">
        <v>491</v>
      </c>
      <c r="C82" s="165" t="s">
        <v>1696</v>
      </c>
      <c r="D82" s="165" t="s">
        <v>681</v>
      </c>
      <c r="E82" s="147" t="s">
        <v>2247</v>
      </c>
      <c r="F82" s="164" t="s">
        <v>2850</v>
      </c>
      <c r="G82" s="127"/>
      <c r="H82" s="166"/>
      <c r="I82" s="161" t="s">
        <v>53</v>
      </c>
      <c r="J82" s="172">
        <v>2</v>
      </c>
      <c r="K82" s="127"/>
      <c r="L82" s="154"/>
      <c r="M82" s="158"/>
      <c r="N82" s="127"/>
      <c r="O82" s="172" t="s">
        <v>274</v>
      </c>
      <c r="P82" s="136" t="s">
        <v>275</v>
      </c>
      <c r="Q82" s="172">
        <v>2</v>
      </c>
      <c r="R82" s="147" t="s">
        <v>2247</v>
      </c>
      <c r="S82" s="162" t="s">
        <v>341</v>
      </c>
      <c r="T82" s="168"/>
      <c r="U82" s="168"/>
      <c r="W82"/>
    </row>
    <row r="83" spans="1:23" s="72" customFormat="1" ht="16.5">
      <c r="A83" s="140" t="s">
        <v>499</v>
      </c>
      <c r="B83" s="161" t="s">
        <v>491</v>
      </c>
      <c r="C83" s="165" t="s">
        <v>1696</v>
      </c>
      <c r="D83" s="165" t="s">
        <v>681</v>
      </c>
      <c r="E83" s="147" t="s">
        <v>2249</v>
      </c>
      <c r="F83" s="164" t="s">
        <v>2249</v>
      </c>
      <c r="G83" s="127"/>
      <c r="H83" s="166"/>
      <c r="I83" s="161" t="s">
        <v>68</v>
      </c>
      <c r="J83" s="157">
        <v>15</v>
      </c>
      <c r="K83" s="127"/>
      <c r="L83" s="154"/>
      <c r="M83" s="158"/>
      <c r="N83" s="127"/>
      <c r="O83" s="172" t="s">
        <v>274</v>
      </c>
      <c r="P83" s="137" t="s">
        <v>279</v>
      </c>
      <c r="Q83" s="157">
        <v>15</v>
      </c>
      <c r="R83" s="147" t="s">
        <v>2249</v>
      </c>
      <c r="S83" s="162" t="s">
        <v>341</v>
      </c>
      <c r="T83" s="168"/>
      <c r="U83" s="168"/>
      <c r="W83"/>
    </row>
    <row r="84" spans="1:23" s="72" customFormat="1" ht="16.5">
      <c r="A84" s="140" t="s">
        <v>499</v>
      </c>
      <c r="B84" s="161" t="s">
        <v>491</v>
      </c>
      <c r="C84" s="165" t="s">
        <v>1696</v>
      </c>
      <c r="D84" s="165" t="s">
        <v>681</v>
      </c>
      <c r="E84" s="147" t="s">
        <v>2251</v>
      </c>
      <c r="F84" s="164" t="s">
        <v>2938</v>
      </c>
      <c r="G84" s="127"/>
      <c r="H84" s="166"/>
      <c r="I84" s="161" t="s">
        <v>53</v>
      </c>
      <c r="J84" s="172">
        <v>1</v>
      </c>
      <c r="K84" s="127"/>
      <c r="L84" s="154"/>
      <c r="M84" s="158"/>
      <c r="N84" s="127"/>
      <c r="O84" s="172" t="s">
        <v>274</v>
      </c>
      <c r="P84" s="136" t="s">
        <v>275</v>
      </c>
      <c r="Q84" s="172">
        <v>1</v>
      </c>
      <c r="R84" s="147" t="s">
        <v>2251</v>
      </c>
      <c r="S84" s="162" t="s">
        <v>341</v>
      </c>
      <c r="T84" s="168"/>
      <c r="U84" s="168"/>
      <c r="W84"/>
    </row>
    <row r="85" spans="1:23" s="72" customFormat="1" ht="16.5">
      <c r="A85" s="140" t="s">
        <v>499</v>
      </c>
      <c r="B85" s="161" t="s">
        <v>491</v>
      </c>
      <c r="C85" s="165" t="s">
        <v>1696</v>
      </c>
      <c r="D85" s="165" t="s">
        <v>681</v>
      </c>
      <c r="E85" s="147" t="s">
        <v>2253</v>
      </c>
      <c r="F85" s="164" t="s">
        <v>2939</v>
      </c>
      <c r="G85" s="127"/>
      <c r="H85" s="166"/>
      <c r="I85" s="161" t="s">
        <v>68</v>
      </c>
      <c r="J85" s="172">
        <v>15</v>
      </c>
      <c r="K85" s="127"/>
      <c r="L85" s="154"/>
      <c r="M85" s="158"/>
      <c r="N85" s="127"/>
      <c r="O85" s="172" t="s">
        <v>274</v>
      </c>
      <c r="P85" s="137" t="s">
        <v>279</v>
      </c>
      <c r="Q85" s="172">
        <v>15</v>
      </c>
      <c r="R85" s="147" t="s">
        <v>2253</v>
      </c>
      <c r="S85" s="162" t="s">
        <v>341</v>
      </c>
      <c r="T85" s="168"/>
      <c r="U85" s="168"/>
      <c r="W85"/>
    </row>
    <row r="86" spans="1:23" s="72" customFormat="1" ht="16.5">
      <c r="A86" s="140" t="s">
        <v>499</v>
      </c>
      <c r="B86" s="161" t="s">
        <v>491</v>
      </c>
      <c r="C86" s="165" t="s">
        <v>1696</v>
      </c>
      <c r="D86" s="165" t="s">
        <v>681</v>
      </c>
      <c r="E86" s="147" t="s">
        <v>2255</v>
      </c>
      <c r="F86" s="164" t="s">
        <v>2940</v>
      </c>
      <c r="G86" s="127"/>
      <c r="H86" s="166"/>
      <c r="I86" s="161" t="s">
        <v>53</v>
      </c>
      <c r="J86" s="172">
        <v>1</v>
      </c>
      <c r="K86" s="127"/>
      <c r="L86" s="154"/>
      <c r="M86" s="158"/>
      <c r="N86" s="127"/>
      <c r="O86" s="172" t="s">
        <v>274</v>
      </c>
      <c r="P86" s="136" t="s">
        <v>275</v>
      </c>
      <c r="Q86" s="172">
        <v>1</v>
      </c>
      <c r="R86" s="147" t="s">
        <v>2255</v>
      </c>
      <c r="S86" s="162" t="s">
        <v>341</v>
      </c>
      <c r="T86" s="168"/>
      <c r="U86" s="168"/>
      <c r="W86"/>
    </row>
    <row r="87" spans="1:23" s="72" customFormat="1" ht="16.5">
      <c r="A87" s="140" t="s">
        <v>499</v>
      </c>
      <c r="B87" s="161" t="s">
        <v>491</v>
      </c>
      <c r="C87" s="165" t="s">
        <v>1696</v>
      </c>
      <c r="D87" s="165" t="s">
        <v>681</v>
      </c>
      <c r="E87" s="147" t="s">
        <v>2257</v>
      </c>
      <c r="F87" s="164" t="s">
        <v>2941</v>
      </c>
      <c r="G87" s="127"/>
      <c r="H87" s="166"/>
      <c r="I87" s="161" t="s">
        <v>68</v>
      </c>
      <c r="J87" s="172">
        <v>15</v>
      </c>
      <c r="K87" s="127"/>
      <c r="L87" s="154"/>
      <c r="M87" s="158"/>
      <c r="N87" s="127"/>
      <c r="O87" s="172" t="s">
        <v>274</v>
      </c>
      <c r="P87" s="137" t="s">
        <v>279</v>
      </c>
      <c r="Q87" s="172">
        <v>15</v>
      </c>
      <c r="R87" s="147" t="s">
        <v>2257</v>
      </c>
      <c r="S87" s="162" t="s">
        <v>341</v>
      </c>
      <c r="T87" s="168"/>
      <c r="U87" s="168"/>
      <c r="W87"/>
    </row>
    <row r="88" spans="1:23" s="72" customFormat="1" ht="16.5">
      <c r="A88" s="140" t="s">
        <v>499</v>
      </c>
      <c r="B88" s="161" t="s">
        <v>491</v>
      </c>
      <c r="C88" s="165" t="s">
        <v>1696</v>
      </c>
      <c r="D88" s="165" t="s">
        <v>681</v>
      </c>
      <c r="E88" s="147" t="s">
        <v>2259</v>
      </c>
      <c r="F88" s="164" t="s">
        <v>2942</v>
      </c>
      <c r="G88" s="127"/>
      <c r="H88" s="166"/>
      <c r="I88" s="161" t="s">
        <v>53</v>
      </c>
      <c r="J88" s="172">
        <v>1</v>
      </c>
      <c r="K88" s="127"/>
      <c r="L88" s="154"/>
      <c r="M88" s="158"/>
      <c r="N88" s="127"/>
      <c r="O88" s="172" t="s">
        <v>274</v>
      </c>
      <c r="P88" s="136" t="s">
        <v>275</v>
      </c>
      <c r="Q88" s="172">
        <v>1</v>
      </c>
      <c r="R88" s="147" t="s">
        <v>2259</v>
      </c>
      <c r="S88" s="162" t="s">
        <v>341</v>
      </c>
      <c r="T88" s="168"/>
      <c r="U88" s="168"/>
      <c r="W88"/>
    </row>
    <row r="89" spans="1:23" s="72" customFormat="1" ht="16.5">
      <c r="A89" s="140" t="s">
        <v>499</v>
      </c>
      <c r="B89" s="161" t="s">
        <v>491</v>
      </c>
      <c r="C89" s="165" t="s">
        <v>1696</v>
      </c>
      <c r="D89" s="165" t="s">
        <v>681</v>
      </c>
      <c r="E89" s="147" t="s">
        <v>2261</v>
      </c>
      <c r="F89" s="164" t="s">
        <v>7</v>
      </c>
      <c r="G89" s="127"/>
      <c r="H89" s="166"/>
      <c r="I89" s="161" t="s">
        <v>53</v>
      </c>
      <c r="J89" s="172">
        <v>1</v>
      </c>
      <c r="K89" s="127"/>
      <c r="L89" s="154"/>
      <c r="M89" s="158"/>
      <c r="N89" s="127"/>
      <c r="O89" s="172" t="s">
        <v>274</v>
      </c>
      <c r="P89" s="136" t="s">
        <v>275</v>
      </c>
      <c r="Q89" s="172">
        <v>1</v>
      </c>
      <c r="R89" s="147" t="s">
        <v>2261</v>
      </c>
      <c r="S89" s="162" t="s">
        <v>341</v>
      </c>
      <c r="T89" s="168"/>
      <c r="U89" s="168"/>
      <c r="W89"/>
    </row>
    <row r="90" spans="1:23" s="72" customFormat="1" ht="16.5">
      <c r="A90" s="140" t="s">
        <v>499</v>
      </c>
      <c r="B90" s="161" t="s">
        <v>491</v>
      </c>
      <c r="C90" s="165" t="s">
        <v>1696</v>
      </c>
      <c r="D90" s="165" t="s">
        <v>681</v>
      </c>
      <c r="E90" s="147" t="s">
        <v>2263</v>
      </c>
      <c r="F90" s="164" t="s">
        <v>735</v>
      </c>
      <c r="G90" s="127"/>
      <c r="H90" s="166"/>
      <c r="I90" s="161" t="s">
        <v>68</v>
      </c>
      <c r="J90" s="172">
        <v>15</v>
      </c>
      <c r="K90" s="127"/>
      <c r="L90" s="154"/>
      <c r="M90" s="158"/>
      <c r="N90" s="127"/>
      <c r="O90" s="172" t="s">
        <v>274</v>
      </c>
      <c r="P90" s="137" t="s">
        <v>279</v>
      </c>
      <c r="Q90" s="172">
        <v>15</v>
      </c>
      <c r="R90" s="147" t="s">
        <v>2263</v>
      </c>
      <c r="S90" s="162" t="s">
        <v>341</v>
      </c>
      <c r="T90" s="168"/>
      <c r="U90" s="168"/>
      <c r="W90"/>
    </row>
    <row r="91" spans="1:23" s="72" customFormat="1" ht="16.5">
      <c r="A91" s="140" t="s">
        <v>499</v>
      </c>
      <c r="B91" s="161" t="s">
        <v>491</v>
      </c>
      <c r="C91" s="165" t="s">
        <v>1696</v>
      </c>
      <c r="D91" s="165" t="s">
        <v>681</v>
      </c>
      <c r="E91" s="147" t="s">
        <v>2265</v>
      </c>
      <c r="F91" s="164" t="s">
        <v>2943</v>
      </c>
      <c r="G91" s="127"/>
      <c r="H91" s="166"/>
      <c r="I91" s="161" t="s">
        <v>68</v>
      </c>
      <c r="J91" s="172">
        <v>15</v>
      </c>
      <c r="K91" s="127"/>
      <c r="L91" s="154"/>
      <c r="M91" s="158"/>
      <c r="N91" s="127"/>
      <c r="O91" s="172" t="s">
        <v>274</v>
      </c>
      <c r="P91" s="137" t="s">
        <v>279</v>
      </c>
      <c r="Q91" s="172">
        <v>15</v>
      </c>
      <c r="R91" s="147" t="s">
        <v>2265</v>
      </c>
      <c r="S91" s="162" t="s">
        <v>341</v>
      </c>
      <c r="T91" s="168"/>
      <c r="U91" s="168"/>
      <c r="W91"/>
    </row>
    <row r="92" spans="1:23" s="72" customFormat="1" ht="16.5">
      <c r="A92" s="140" t="s">
        <v>499</v>
      </c>
      <c r="B92" s="161" t="s">
        <v>491</v>
      </c>
      <c r="C92" s="165" t="s">
        <v>1696</v>
      </c>
      <c r="D92" s="165" t="s">
        <v>681</v>
      </c>
      <c r="E92" s="145" t="s">
        <v>2536</v>
      </c>
      <c r="F92" s="164" t="s">
        <v>2905</v>
      </c>
      <c r="G92" s="127"/>
      <c r="H92" s="166"/>
      <c r="I92" s="161" t="s">
        <v>53</v>
      </c>
      <c r="J92" s="172">
        <v>3</v>
      </c>
      <c r="K92" s="127"/>
      <c r="L92" s="154"/>
      <c r="M92" s="158"/>
      <c r="N92" s="127"/>
      <c r="O92" s="172" t="s">
        <v>274</v>
      </c>
      <c r="P92" s="136" t="s">
        <v>275</v>
      </c>
      <c r="Q92" s="172">
        <v>3</v>
      </c>
      <c r="R92" s="145" t="s">
        <v>2536</v>
      </c>
      <c r="S92" s="162" t="s">
        <v>341</v>
      </c>
      <c r="T92" s="168"/>
      <c r="U92" s="168"/>
      <c r="W92"/>
    </row>
    <row r="93" spans="1:23" s="72" customFormat="1" ht="16.5">
      <c r="A93" s="140" t="s">
        <v>499</v>
      </c>
      <c r="B93" s="161" t="s">
        <v>491</v>
      </c>
      <c r="C93" s="165" t="s">
        <v>1696</v>
      </c>
      <c r="D93" s="165" t="s">
        <v>681</v>
      </c>
      <c r="E93" s="145" t="s">
        <v>2537</v>
      </c>
      <c r="F93" s="164" t="s">
        <v>2944</v>
      </c>
      <c r="G93" s="127"/>
      <c r="H93" s="166"/>
      <c r="I93" s="161" t="s">
        <v>68</v>
      </c>
      <c r="J93" s="172">
        <v>5</v>
      </c>
      <c r="K93" s="127"/>
      <c r="L93" s="154"/>
      <c r="M93" s="158"/>
      <c r="N93" s="127"/>
      <c r="O93" s="172" t="s">
        <v>274</v>
      </c>
      <c r="P93" s="137" t="s">
        <v>279</v>
      </c>
      <c r="Q93" s="172">
        <v>5</v>
      </c>
      <c r="R93" s="145" t="s">
        <v>2537</v>
      </c>
      <c r="S93" s="162" t="s">
        <v>341</v>
      </c>
      <c r="T93" s="168"/>
      <c r="U93" s="168"/>
      <c r="W93"/>
    </row>
    <row r="94" spans="1:23" s="72" customFormat="1" ht="16.5">
      <c r="A94" s="140" t="s">
        <v>499</v>
      </c>
      <c r="B94" s="161" t="s">
        <v>491</v>
      </c>
      <c r="C94" s="165" t="s">
        <v>1696</v>
      </c>
      <c r="D94" s="165" t="s">
        <v>681</v>
      </c>
      <c r="E94" s="145" t="s">
        <v>2538</v>
      </c>
      <c r="F94" s="164" t="s">
        <v>2945</v>
      </c>
      <c r="G94" s="127"/>
      <c r="H94" s="166"/>
      <c r="I94" s="161" t="s">
        <v>68</v>
      </c>
      <c r="J94" s="172">
        <v>15</v>
      </c>
      <c r="K94" s="127"/>
      <c r="L94" s="154"/>
      <c r="M94" s="158"/>
      <c r="N94" s="127"/>
      <c r="O94" s="172" t="s">
        <v>274</v>
      </c>
      <c r="P94" s="137" t="s">
        <v>279</v>
      </c>
      <c r="Q94" s="172">
        <v>15</v>
      </c>
      <c r="R94" s="145" t="s">
        <v>2538</v>
      </c>
      <c r="S94" s="162" t="s">
        <v>341</v>
      </c>
      <c r="T94" s="168"/>
      <c r="U94" s="168"/>
      <c r="W94"/>
    </row>
    <row r="95" spans="1:23" s="72" customFormat="1" ht="16.5">
      <c r="A95" s="140" t="s">
        <v>499</v>
      </c>
      <c r="B95" s="161" t="s">
        <v>491</v>
      </c>
      <c r="C95" s="165" t="s">
        <v>1696</v>
      </c>
      <c r="D95" s="165" t="s">
        <v>681</v>
      </c>
      <c r="E95" s="145" t="s">
        <v>2539</v>
      </c>
      <c r="F95" s="164" t="s">
        <v>2946</v>
      </c>
      <c r="G95" s="127"/>
      <c r="H95" s="166"/>
      <c r="I95" s="161" t="s">
        <v>53</v>
      </c>
      <c r="J95" s="172">
        <v>1</v>
      </c>
      <c r="K95" s="127"/>
      <c r="L95" s="154"/>
      <c r="M95" s="158"/>
      <c r="N95" s="127"/>
      <c r="O95" s="172" t="s">
        <v>274</v>
      </c>
      <c r="P95" s="136" t="s">
        <v>275</v>
      </c>
      <c r="Q95" s="172">
        <v>1</v>
      </c>
      <c r="R95" s="145" t="s">
        <v>2539</v>
      </c>
      <c r="S95" s="162" t="s">
        <v>341</v>
      </c>
      <c r="T95" s="168"/>
      <c r="U95" s="168"/>
      <c r="W95"/>
    </row>
    <row r="96" spans="1:23" s="72" customFormat="1" ht="16.5">
      <c r="A96" s="140" t="s">
        <v>499</v>
      </c>
      <c r="B96" s="161" t="s">
        <v>491</v>
      </c>
      <c r="C96" s="165" t="s">
        <v>1696</v>
      </c>
      <c r="D96" s="165" t="s">
        <v>681</v>
      </c>
      <c r="E96" s="145" t="s">
        <v>734</v>
      </c>
      <c r="F96" s="164" t="s">
        <v>734</v>
      </c>
      <c r="G96" s="127"/>
      <c r="H96" s="166"/>
      <c r="I96" s="161" t="s">
        <v>68</v>
      </c>
      <c r="J96" s="172">
        <v>15</v>
      </c>
      <c r="K96" s="127"/>
      <c r="L96" s="154"/>
      <c r="M96" s="158"/>
      <c r="N96" s="127"/>
      <c r="O96" s="172" t="s">
        <v>274</v>
      </c>
      <c r="P96" s="137" t="s">
        <v>279</v>
      </c>
      <c r="Q96" s="172">
        <v>15</v>
      </c>
      <c r="R96" s="145" t="s">
        <v>734</v>
      </c>
      <c r="S96" s="162" t="s">
        <v>341</v>
      </c>
      <c r="T96" s="168"/>
      <c r="U96" s="168"/>
      <c r="W96"/>
    </row>
    <row r="97" spans="1:23" s="72" customFormat="1" ht="16.5">
      <c r="A97" s="140" t="s">
        <v>499</v>
      </c>
      <c r="B97" s="161" t="s">
        <v>491</v>
      </c>
      <c r="C97" s="165" t="s">
        <v>1696</v>
      </c>
      <c r="D97" s="165" t="s">
        <v>681</v>
      </c>
      <c r="E97" s="164" t="s">
        <v>2540</v>
      </c>
      <c r="F97" s="164" t="s">
        <v>2947</v>
      </c>
      <c r="G97" s="127"/>
      <c r="H97" s="166"/>
      <c r="I97" s="161" t="s">
        <v>53</v>
      </c>
      <c r="J97" s="172">
        <v>2</v>
      </c>
      <c r="K97" s="127"/>
      <c r="L97" s="154"/>
      <c r="M97" s="158"/>
      <c r="N97" s="127"/>
      <c r="O97" s="172" t="s">
        <v>274</v>
      </c>
      <c r="P97" s="136" t="s">
        <v>275</v>
      </c>
      <c r="Q97" s="172">
        <v>2</v>
      </c>
      <c r="R97" s="164" t="s">
        <v>2540</v>
      </c>
      <c r="S97" s="162" t="s">
        <v>341</v>
      </c>
      <c r="T97" s="168"/>
      <c r="U97" s="168"/>
      <c r="W97"/>
    </row>
    <row r="98" spans="1:23" s="72" customFormat="1" ht="16.5">
      <c r="A98" s="140" t="s">
        <v>499</v>
      </c>
      <c r="B98" s="161" t="s">
        <v>491</v>
      </c>
      <c r="C98" s="165" t="s">
        <v>1696</v>
      </c>
      <c r="D98" s="165" t="s">
        <v>681</v>
      </c>
      <c r="E98" s="145" t="s">
        <v>2541</v>
      </c>
      <c r="F98" s="164" t="s">
        <v>2948</v>
      </c>
      <c r="G98" s="127"/>
      <c r="H98" s="166"/>
      <c r="I98" s="161" t="s">
        <v>53</v>
      </c>
      <c r="J98" s="172">
        <v>2</v>
      </c>
      <c r="K98" s="127"/>
      <c r="L98" s="154"/>
      <c r="M98" s="158"/>
      <c r="N98" s="127"/>
      <c r="O98" s="172" t="s">
        <v>274</v>
      </c>
      <c r="P98" s="136" t="s">
        <v>275</v>
      </c>
      <c r="Q98" s="172">
        <v>2</v>
      </c>
      <c r="R98" s="145" t="s">
        <v>2541</v>
      </c>
      <c r="S98" s="162" t="s">
        <v>341</v>
      </c>
      <c r="T98" s="168"/>
      <c r="U98" s="168"/>
      <c r="W98"/>
    </row>
    <row r="99" spans="1:23" s="72" customFormat="1" ht="16.5">
      <c r="A99" s="140" t="s">
        <v>499</v>
      </c>
      <c r="B99" s="161" t="s">
        <v>491</v>
      </c>
      <c r="C99" s="165" t="s">
        <v>1696</v>
      </c>
      <c r="D99" s="165" t="s">
        <v>681</v>
      </c>
      <c r="E99" s="145" t="s">
        <v>2542</v>
      </c>
      <c r="F99" s="164" t="s">
        <v>2949</v>
      </c>
      <c r="G99" s="127"/>
      <c r="H99" s="166"/>
      <c r="I99" s="161" t="s">
        <v>53</v>
      </c>
      <c r="J99" s="172">
        <v>2</v>
      </c>
      <c r="K99" s="127"/>
      <c r="L99" s="154"/>
      <c r="M99" s="158"/>
      <c r="N99" s="127"/>
      <c r="O99" s="172" t="s">
        <v>274</v>
      </c>
      <c r="P99" s="136" t="s">
        <v>275</v>
      </c>
      <c r="Q99" s="172">
        <v>2</v>
      </c>
      <c r="R99" s="145" t="s">
        <v>2542</v>
      </c>
      <c r="S99" s="162" t="s">
        <v>341</v>
      </c>
      <c r="T99" s="168"/>
      <c r="U99" s="168"/>
      <c r="W99"/>
    </row>
    <row r="100" spans="1:23" s="72" customFormat="1" ht="16.5">
      <c r="A100" s="140" t="s">
        <v>499</v>
      </c>
      <c r="B100" s="161" t="s">
        <v>491</v>
      </c>
      <c r="C100" s="165" t="s">
        <v>1696</v>
      </c>
      <c r="D100" s="165" t="s">
        <v>681</v>
      </c>
      <c r="E100" s="164" t="s">
        <v>2817</v>
      </c>
      <c r="F100" s="164" t="s">
        <v>2950</v>
      </c>
      <c r="G100" s="127"/>
      <c r="H100" s="166"/>
      <c r="I100" s="161" t="s">
        <v>53</v>
      </c>
      <c r="J100" s="172">
        <v>2</v>
      </c>
      <c r="K100" s="127"/>
      <c r="L100" s="154"/>
      <c r="M100" s="158"/>
      <c r="N100" s="127"/>
      <c r="O100" s="172" t="s">
        <v>274</v>
      </c>
      <c r="P100" s="136" t="s">
        <v>275</v>
      </c>
      <c r="Q100" s="172">
        <v>2</v>
      </c>
      <c r="R100" s="164" t="s">
        <v>2543</v>
      </c>
      <c r="S100" s="162" t="s">
        <v>341</v>
      </c>
      <c r="T100" s="168"/>
      <c r="U100" s="168"/>
      <c r="W100"/>
    </row>
    <row r="101" spans="1:23" s="72" customFormat="1" ht="16.5">
      <c r="A101" s="140" t="s">
        <v>499</v>
      </c>
      <c r="B101" s="161" t="s">
        <v>491</v>
      </c>
      <c r="C101" s="165" t="s">
        <v>1696</v>
      </c>
      <c r="D101" s="165" t="s">
        <v>681</v>
      </c>
      <c r="E101" s="164" t="s">
        <v>2544</v>
      </c>
      <c r="F101" s="164" t="s">
        <v>2951</v>
      </c>
      <c r="G101" s="127"/>
      <c r="H101" s="166"/>
      <c r="I101" s="161" t="s">
        <v>53</v>
      </c>
      <c r="J101" s="172">
        <v>2</v>
      </c>
      <c r="K101" s="127"/>
      <c r="L101" s="154"/>
      <c r="M101" s="158"/>
      <c r="N101" s="127"/>
      <c r="O101" s="172" t="s">
        <v>274</v>
      </c>
      <c r="P101" s="136" t="s">
        <v>275</v>
      </c>
      <c r="Q101" s="172">
        <v>2</v>
      </c>
      <c r="R101" s="164" t="s">
        <v>2544</v>
      </c>
      <c r="S101" s="162" t="s">
        <v>341</v>
      </c>
      <c r="T101" s="168"/>
      <c r="U101" s="168"/>
      <c r="W101"/>
    </row>
    <row r="102" spans="1:23" s="72" customFormat="1" ht="16.5">
      <c r="A102" s="140" t="s">
        <v>499</v>
      </c>
      <c r="B102" s="161" t="s">
        <v>491</v>
      </c>
      <c r="C102" s="165" t="s">
        <v>1696</v>
      </c>
      <c r="D102" s="165" t="s">
        <v>681</v>
      </c>
      <c r="E102" s="164" t="s">
        <v>2545</v>
      </c>
      <c r="F102" s="164" t="s">
        <v>2952</v>
      </c>
      <c r="G102" s="127"/>
      <c r="H102" s="166"/>
      <c r="I102" s="161" t="s">
        <v>53</v>
      </c>
      <c r="J102" s="172">
        <v>2</v>
      </c>
      <c r="K102" s="127"/>
      <c r="L102" s="154"/>
      <c r="M102" s="158"/>
      <c r="N102" s="127"/>
      <c r="O102" s="172" t="s">
        <v>274</v>
      </c>
      <c r="P102" s="136" t="s">
        <v>275</v>
      </c>
      <c r="Q102" s="172">
        <v>2</v>
      </c>
      <c r="R102" s="164" t="s">
        <v>2545</v>
      </c>
      <c r="S102" s="162" t="s">
        <v>341</v>
      </c>
      <c r="T102" s="168"/>
      <c r="U102" s="168"/>
      <c r="W102"/>
    </row>
    <row r="103" spans="1:23" s="72" customFormat="1" ht="16.5">
      <c r="A103" s="140" t="s">
        <v>499</v>
      </c>
      <c r="B103" s="161" t="s">
        <v>491</v>
      </c>
      <c r="C103" s="165" t="s">
        <v>1696</v>
      </c>
      <c r="D103" s="165" t="s">
        <v>681</v>
      </c>
      <c r="E103" s="164" t="s">
        <v>2546</v>
      </c>
      <c r="F103" s="164" t="s">
        <v>2953</v>
      </c>
      <c r="G103" s="127"/>
      <c r="H103" s="166"/>
      <c r="I103" s="161" t="s">
        <v>53</v>
      </c>
      <c r="J103" s="172">
        <v>1</v>
      </c>
      <c r="K103" s="127"/>
      <c r="L103" s="154"/>
      <c r="M103" s="158"/>
      <c r="N103" s="127"/>
      <c r="O103" s="172" t="s">
        <v>274</v>
      </c>
      <c r="P103" s="136" t="s">
        <v>275</v>
      </c>
      <c r="Q103" s="172">
        <v>1</v>
      </c>
      <c r="R103" s="164" t="s">
        <v>2546</v>
      </c>
      <c r="S103" s="162" t="s">
        <v>341</v>
      </c>
      <c r="T103" s="168"/>
      <c r="U103" s="168"/>
      <c r="W103"/>
    </row>
    <row r="104" spans="1:23" s="72" customFormat="1" ht="16.5">
      <c r="A104" s="140" t="s">
        <v>499</v>
      </c>
      <c r="B104" s="161" t="s">
        <v>491</v>
      </c>
      <c r="C104" s="165" t="s">
        <v>1696</v>
      </c>
      <c r="D104" s="165" t="s">
        <v>681</v>
      </c>
      <c r="E104" s="164" t="s">
        <v>2547</v>
      </c>
      <c r="F104" s="164" t="s">
        <v>2954</v>
      </c>
      <c r="G104" s="127"/>
      <c r="H104" s="166"/>
      <c r="I104" s="161" t="s">
        <v>68</v>
      </c>
      <c r="J104" s="172">
        <v>15</v>
      </c>
      <c r="K104" s="127"/>
      <c r="L104" s="154"/>
      <c r="M104" s="158"/>
      <c r="N104" s="127"/>
      <c r="O104" s="172" t="s">
        <v>274</v>
      </c>
      <c r="P104" s="137" t="s">
        <v>279</v>
      </c>
      <c r="Q104" s="172">
        <v>15</v>
      </c>
      <c r="R104" s="164" t="s">
        <v>2547</v>
      </c>
      <c r="S104" s="162" t="s">
        <v>341</v>
      </c>
      <c r="T104" s="168"/>
      <c r="U104" s="168"/>
      <c r="W104"/>
    </row>
    <row r="105" spans="1:23" s="72" customFormat="1" ht="16.5">
      <c r="A105" s="140" t="s">
        <v>499</v>
      </c>
      <c r="B105" s="161" t="s">
        <v>491</v>
      </c>
      <c r="C105" s="165" t="s">
        <v>1696</v>
      </c>
      <c r="D105" s="165" t="s">
        <v>681</v>
      </c>
      <c r="E105" s="164" t="s">
        <v>2548</v>
      </c>
      <c r="F105" s="164" t="s">
        <v>2548</v>
      </c>
      <c r="G105" s="127"/>
      <c r="H105" s="166"/>
      <c r="I105" s="161" t="s">
        <v>68</v>
      </c>
      <c r="J105" s="172">
        <v>15</v>
      </c>
      <c r="K105" s="127"/>
      <c r="L105" s="154"/>
      <c r="M105" s="158"/>
      <c r="N105" s="127"/>
      <c r="O105" s="172" t="s">
        <v>274</v>
      </c>
      <c r="P105" s="137" t="s">
        <v>279</v>
      </c>
      <c r="Q105" s="172">
        <v>15</v>
      </c>
      <c r="R105" s="164" t="s">
        <v>2548</v>
      </c>
      <c r="S105" s="162" t="s">
        <v>341</v>
      </c>
      <c r="T105" s="168"/>
      <c r="U105" s="168"/>
      <c r="W105"/>
    </row>
    <row r="106" spans="1:23" s="72" customFormat="1" ht="16.5">
      <c r="A106" s="2">
        <f>IF(D53=D106,A53+1,1)</f>
        <v>52</v>
      </c>
      <c r="B106" s="3" t="s">
        <v>491</v>
      </c>
      <c r="C106" s="17" t="s">
        <v>1696</v>
      </c>
      <c r="D106" s="17" t="s">
        <v>681</v>
      </c>
      <c r="E106" s="3" t="s">
        <v>217</v>
      </c>
      <c r="F106" s="6" t="s">
        <v>217</v>
      </c>
      <c r="G106" s="16"/>
      <c r="H106" s="4" t="s">
        <v>257</v>
      </c>
      <c r="I106" s="3" t="s">
        <v>68</v>
      </c>
      <c r="J106" s="2">
        <v>9</v>
      </c>
      <c r="K106" s="2">
        <v>5</v>
      </c>
      <c r="L106" s="5" t="s">
        <v>669</v>
      </c>
      <c r="M106" s="25"/>
      <c r="N106" s="16"/>
      <c r="O106" s="16" t="s">
        <v>309</v>
      </c>
      <c r="P106" s="16" t="s">
        <v>279</v>
      </c>
      <c r="Q106" s="16">
        <v>9.5</v>
      </c>
      <c r="R106" s="20" t="s">
        <v>281</v>
      </c>
      <c r="S106" s="2" t="s">
        <v>341</v>
      </c>
      <c r="T106" s="2"/>
      <c r="U106" s="2"/>
      <c r="W106"/>
    </row>
    <row r="107" spans="1:23" s="72" customFormat="1" ht="16.5">
      <c r="A107" s="2">
        <f t="shared" ref="A107:A120" si="2">IF(D106=D107,A106+1,1)</f>
        <v>53</v>
      </c>
      <c r="B107" s="3" t="s">
        <v>491</v>
      </c>
      <c r="C107" s="17" t="s">
        <v>1696</v>
      </c>
      <c r="D107" s="17" t="s">
        <v>681</v>
      </c>
      <c r="E107" s="3" t="s">
        <v>218</v>
      </c>
      <c r="F107" s="6" t="s">
        <v>218</v>
      </c>
      <c r="G107" s="16"/>
      <c r="H107" s="16"/>
      <c r="I107" s="3" t="s">
        <v>53</v>
      </c>
      <c r="J107" s="2">
        <v>1</v>
      </c>
      <c r="K107" s="16"/>
      <c r="L107" s="5" t="s">
        <v>669</v>
      </c>
      <c r="M107" s="25"/>
      <c r="N107" s="16"/>
      <c r="O107" s="16" t="s">
        <v>309</v>
      </c>
      <c r="P107" s="16" t="s">
        <v>275</v>
      </c>
      <c r="Q107" s="16">
        <v>1</v>
      </c>
      <c r="R107" s="20" t="s">
        <v>310</v>
      </c>
      <c r="S107" s="2" t="s">
        <v>341</v>
      </c>
      <c r="T107" s="2"/>
      <c r="U107" s="2"/>
      <c r="W107"/>
    </row>
    <row r="108" spans="1:23" s="72" customFormat="1" ht="16.5">
      <c r="A108" s="2">
        <f t="shared" si="2"/>
        <v>54</v>
      </c>
      <c r="B108" s="3" t="s">
        <v>491</v>
      </c>
      <c r="C108" s="17" t="s">
        <v>1696</v>
      </c>
      <c r="D108" s="17" t="s">
        <v>681</v>
      </c>
      <c r="E108" s="3" t="s">
        <v>23</v>
      </c>
      <c r="F108" s="6" t="s">
        <v>1613</v>
      </c>
      <c r="G108" s="16"/>
      <c r="H108" s="16"/>
      <c r="I108" s="3" t="s">
        <v>53</v>
      </c>
      <c r="J108" s="2">
        <v>1</v>
      </c>
      <c r="K108" s="16"/>
      <c r="L108" s="5" t="s">
        <v>669</v>
      </c>
      <c r="M108" s="25"/>
      <c r="N108" s="16"/>
      <c r="O108" s="16" t="s">
        <v>309</v>
      </c>
      <c r="P108" s="16" t="s">
        <v>275</v>
      </c>
      <c r="Q108" s="16">
        <v>1</v>
      </c>
      <c r="R108" s="20" t="s">
        <v>23</v>
      </c>
      <c r="S108" s="2" t="s">
        <v>341</v>
      </c>
      <c r="T108" s="2"/>
      <c r="U108" s="2"/>
      <c r="W108"/>
    </row>
    <row r="109" spans="1:23" s="72" customFormat="1" ht="16.5">
      <c r="A109" s="2">
        <f t="shared" si="2"/>
        <v>55</v>
      </c>
      <c r="B109" s="3" t="s">
        <v>491</v>
      </c>
      <c r="C109" s="17" t="s">
        <v>1696</v>
      </c>
      <c r="D109" s="17" t="s">
        <v>681</v>
      </c>
      <c r="E109" s="3" t="s">
        <v>219</v>
      </c>
      <c r="F109" s="6" t="s">
        <v>1614</v>
      </c>
      <c r="G109" s="16"/>
      <c r="H109" s="4" t="s">
        <v>257</v>
      </c>
      <c r="I109" s="3" t="s">
        <v>68</v>
      </c>
      <c r="J109" s="2">
        <v>15</v>
      </c>
      <c r="K109" s="16"/>
      <c r="L109" s="5" t="s">
        <v>669</v>
      </c>
      <c r="M109" s="25"/>
      <c r="N109" s="16"/>
      <c r="O109" s="16" t="s">
        <v>309</v>
      </c>
      <c r="P109" s="16" t="s">
        <v>279</v>
      </c>
      <c r="Q109" s="16">
        <v>15</v>
      </c>
      <c r="R109" s="20" t="s">
        <v>311</v>
      </c>
      <c r="S109" s="2" t="s">
        <v>341</v>
      </c>
      <c r="T109" s="2"/>
      <c r="U109" s="2"/>
      <c r="W109"/>
    </row>
    <row r="110" spans="1:23" s="72" customFormat="1" ht="16.5">
      <c r="A110" s="2">
        <f t="shared" si="2"/>
        <v>56</v>
      </c>
      <c r="B110" s="3" t="s">
        <v>491</v>
      </c>
      <c r="C110" s="17" t="s">
        <v>1696</v>
      </c>
      <c r="D110" s="17" t="s">
        <v>681</v>
      </c>
      <c r="E110" s="3" t="s">
        <v>220</v>
      </c>
      <c r="F110" s="6" t="s">
        <v>1615</v>
      </c>
      <c r="G110" s="16"/>
      <c r="H110" s="4" t="s">
        <v>257</v>
      </c>
      <c r="I110" s="3" t="s">
        <v>68</v>
      </c>
      <c r="J110" s="2">
        <v>15</v>
      </c>
      <c r="K110" s="16"/>
      <c r="L110" s="5" t="s">
        <v>669</v>
      </c>
      <c r="M110" s="25"/>
      <c r="N110" s="16"/>
      <c r="O110" s="16" t="s">
        <v>309</v>
      </c>
      <c r="P110" s="16" t="s">
        <v>279</v>
      </c>
      <c r="Q110" s="16">
        <v>15</v>
      </c>
      <c r="R110" s="20" t="s">
        <v>312</v>
      </c>
      <c r="S110" s="2" t="s">
        <v>341</v>
      </c>
      <c r="T110" s="2"/>
      <c r="U110" s="2"/>
      <c r="W110"/>
    </row>
    <row r="111" spans="1:23" s="72" customFormat="1" ht="16.5">
      <c r="A111" s="2">
        <f t="shared" si="2"/>
        <v>57</v>
      </c>
      <c r="B111" s="3" t="s">
        <v>491</v>
      </c>
      <c r="C111" s="17" t="s">
        <v>1696</v>
      </c>
      <c r="D111" s="17" t="s">
        <v>681</v>
      </c>
      <c r="E111" s="3" t="s">
        <v>221</v>
      </c>
      <c r="F111" s="104" t="s">
        <v>1616</v>
      </c>
      <c r="G111" s="16"/>
      <c r="H111" s="16"/>
      <c r="I111" s="3" t="s">
        <v>53</v>
      </c>
      <c r="J111" s="2">
        <v>2</v>
      </c>
      <c r="K111" s="16"/>
      <c r="L111" s="5" t="s">
        <v>669</v>
      </c>
      <c r="M111" s="25"/>
      <c r="N111" s="16"/>
      <c r="O111" s="16" t="s">
        <v>309</v>
      </c>
      <c r="P111" s="16" t="s">
        <v>275</v>
      </c>
      <c r="Q111" s="16">
        <v>2</v>
      </c>
      <c r="R111" s="20" t="s">
        <v>313</v>
      </c>
      <c r="S111" s="2" t="s">
        <v>341</v>
      </c>
      <c r="T111" s="2"/>
      <c r="U111" s="2"/>
      <c r="W111"/>
    </row>
    <row r="112" spans="1:23" s="72" customFormat="1" ht="16.5">
      <c r="A112" s="2">
        <f t="shared" si="2"/>
        <v>58</v>
      </c>
      <c r="B112" s="3" t="s">
        <v>491</v>
      </c>
      <c r="C112" s="17" t="s">
        <v>1696</v>
      </c>
      <c r="D112" s="17" t="s">
        <v>681</v>
      </c>
      <c r="E112" s="3" t="s">
        <v>222</v>
      </c>
      <c r="F112" s="6" t="s">
        <v>1688</v>
      </c>
      <c r="G112" s="16"/>
      <c r="H112" s="4" t="s">
        <v>257</v>
      </c>
      <c r="I112" s="3" t="s">
        <v>68</v>
      </c>
      <c r="J112" s="2">
        <v>5</v>
      </c>
      <c r="K112" s="16"/>
      <c r="L112" s="5" t="s">
        <v>669</v>
      </c>
      <c r="M112" s="25"/>
      <c r="N112" s="16"/>
      <c r="O112" s="16" t="s">
        <v>309</v>
      </c>
      <c r="P112" s="16" t="s">
        <v>279</v>
      </c>
      <c r="Q112" s="16">
        <v>5</v>
      </c>
      <c r="R112" s="20" t="s">
        <v>293</v>
      </c>
      <c r="S112" s="2" t="s">
        <v>341</v>
      </c>
      <c r="T112" s="2"/>
      <c r="U112" s="2"/>
      <c r="W112"/>
    </row>
    <row r="113" spans="1:23" s="72" customFormat="1" ht="16.5">
      <c r="A113" s="2">
        <f t="shared" si="2"/>
        <v>59</v>
      </c>
      <c r="B113" s="3" t="s">
        <v>491</v>
      </c>
      <c r="C113" s="17" t="s">
        <v>1696</v>
      </c>
      <c r="D113" s="17" t="s">
        <v>681</v>
      </c>
      <c r="E113" s="3" t="s">
        <v>223</v>
      </c>
      <c r="F113" s="6" t="s">
        <v>1617</v>
      </c>
      <c r="G113" s="16"/>
      <c r="H113" s="16"/>
      <c r="I113" s="3" t="s">
        <v>53</v>
      </c>
      <c r="J113" s="2">
        <v>2</v>
      </c>
      <c r="K113" s="16"/>
      <c r="L113" s="5" t="s">
        <v>669</v>
      </c>
      <c r="M113" s="25"/>
      <c r="N113" s="16"/>
      <c r="O113" s="16" t="s">
        <v>309</v>
      </c>
      <c r="P113" s="16" t="s">
        <v>275</v>
      </c>
      <c r="Q113" s="16">
        <v>2</v>
      </c>
      <c r="R113" s="20" t="s">
        <v>314</v>
      </c>
      <c r="S113" s="2" t="s">
        <v>341</v>
      </c>
      <c r="T113" s="2"/>
      <c r="U113" s="2"/>
      <c r="W113"/>
    </row>
    <row r="114" spans="1:23" s="72" customFormat="1" ht="16.5">
      <c r="A114" s="2">
        <f t="shared" si="2"/>
        <v>60</v>
      </c>
      <c r="B114" s="3" t="s">
        <v>491</v>
      </c>
      <c r="C114" s="17" t="s">
        <v>1696</v>
      </c>
      <c r="D114" s="17" t="s">
        <v>681</v>
      </c>
      <c r="E114" s="3" t="s">
        <v>24</v>
      </c>
      <c r="F114" s="6" t="s">
        <v>1618</v>
      </c>
      <c r="G114" s="16"/>
      <c r="H114" s="16"/>
      <c r="I114" s="3" t="s">
        <v>53</v>
      </c>
      <c r="J114" s="2">
        <v>1</v>
      </c>
      <c r="K114" s="16"/>
      <c r="L114" s="5" t="s">
        <v>669</v>
      </c>
      <c r="M114" s="25"/>
      <c r="N114" s="16"/>
      <c r="O114" s="16" t="s">
        <v>283</v>
      </c>
      <c r="P114" s="16" t="s">
        <v>275</v>
      </c>
      <c r="Q114" s="16">
        <v>1</v>
      </c>
      <c r="R114" s="20" t="s">
        <v>24</v>
      </c>
      <c r="S114" s="2" t="s">
        <v>341</v>
      </c>
      <c r="T114" s="2"/>
      <c r="U114" s="2"/>
      <c r="W114"/>
    </row>
    <row r="115" spans="1:23" s="72" customFormat="1" ht="16.5">
      <c r="A115" s="2">
        <f t="shared" si="2"/>
        <v>61</v>
      </c>
      <c r="B115" s="3" t="s">
        <v>491</v>
      </c>
      <c r="C115" s="17" t="s">
        <v>1696</v>
      </c>
      <c r="D115" s="17" t="s">
        <v>681</v>
      </c>
      <c r="E115" s="3" t="s">
        <v>25</v>
      </c>
      <c r="F115" s="6" t="s">
        <v>1619</v>
      </c>
      <c r="G115" s="16"/>
      <c r="H115" s="16"/>
      <c r="I115" s="3" t="s">
        <v>53</v>
      </c>
      <c r="J115" s="2">
        <v>1</v>
      </c>
      <c r="K115" s="16"/>
      <c r="L115" s="5" t="s">
        <v>669</v>
      </c>
      <c r="M115" s="25"/>
      <c r="N115" s="16"/>
      <c r="O115" s="16" t="s">
        <v>283</v>
      </c>
      <c r="P115" s="16" t="s">
        <v>275</v>
      </c>
      <c r="Q115" s="16">
        <v>1</v>
      </c>
      <c r="R115" s="20" t="s">
        <v>25</v>
      </c>
      <c r="S115" s="2" t="s">
        <v>341</v>
      </c>
      <c r="T115" s="2"/>
      <c r="U115" s="2"/>
      <c r="W115"/>
    </row>
    <row r="116" spans="1:23" s="72" customFormat="1" ht="16.5">
      <c r="A116" s="2">
        <f t="shared" si="2"/>
        <v>62</v>
      </c>
      <c r="B116" s="3" t="s">
        <v>491</v>
      </c>
      <c r="C116" s="17" t="s">
        <v>1696</v>
      </c>
      <c r="D116" s="17" t="s">
        <v>681</v>
      </c>
      <c r="E116" s="3" t="s">
        <v>224</v>
      </c>
      <c r="F116" s="6" t="s">
        <v>1620</v>
      </c>
      <c r="G116" s="16"/>
      <c r="H116" s="4" t="s">
        <v>257</v>
      </c>
      <c r="I116" s="3" t="s">
        <v>68</v>
      </c>
      <c r="J116" s="2">
        <v>15</v>
      </c>
      <c r="K116" s="16"/>
      <c r="L116" s="5" t="s">
        <v>669</v>
      </c>
      <c r="M116" s="25"/>
      <c r="N116" s="16"/>
      <c r="O116" s="16" t="s">
        <v>283</v>
      </c>
      <c r="P116" s="16" t="s">
        <v>279</v>
      </c>
      <c r="Q116" s="16">
        <v>15</v>
      </c>
      <c r="R116" s="20" t="s">
        <v>315</v>
      </c>
      <c r="S116" s="2" t="s">
        <v>341</v>
      </c>
      <c r="T116" s="2"/>
      <c r="U116" s="2"/>
      <c r="W116"/>
    </row>
    <row r="117" spans="1:23" s="72" customFormat="1" ht="16.5">
      <c r="A117" s="2">
        <f t="shared" si="2"/>
        <v>63</v>
      </c>
      <c r="B117" s="3" t="s">
        <v>491</v>
      </c>
      <c r="C117" s="17" t="s">
        <v>1696</v>
      </c>
      <c r="D117" s="17" t="s">
        <v>681</v>
      </c>
      <c r="E117" s="3" t="s">
        <v>225</v>
      </c>
      <c r="F117" s="6" t="s">
        <v>1621</v>
      </c>
      <c r="G117" s="16"/>
      <c r="H117" s="4" t="s">
        <v>257</v>
      </c>
      <c r="I117" s="3" t="s">
        <v>68</v>
      </c>
      <c r="J117" s="2">
        <v>15</v>
      </c>
      <c r="K117" s="16"/>
      <c r="L117" s="5" t="s">
        <v>669</v>
      </c>
      <c r="M117" s="25"/>
      <c r="N117" s="16"/>
      <c r="O117" s="16" t="s">
        <v>283</v>
      </c>
      <c r="P117" s="16" t="s">
        <v>279</v>
      </c>
      <c r="Q117" s="16">
        <v>15</v>
      </c>
      <c r="R117" s="20" t="s">
        <v>316</v>
      </c>
      <c r="S117" s="2" t="s">
        <v>341</v>
      </c>
      <c r="T117" s="2"/>
      <c r="U117" s="2"/>
      <c r="W117"/>
    </row>
    <row r="118" spans="1:23" s="72" customFormat="1" ht="16.5">
      <c r="A118" s="2">
        <f t="shared" si="2"/>
        <v>64</v>
      </c>
      <c r="B118" s="3" t="s">
        <v>491</v>
      </c>
      <c r="C118" s="17" t="s">
        <v>1696</v>
      </c>
      <c r="D118" s="17" t="s">
        <v>681</v>
      </c>
      <c r="E118" s="3" t="s">
        <v>226</v>
      </c>
      <c r="F118" s="6" t="s">
        <v>1622</v>
      </c>
      <c r="G118" s="16"/>
      <c r="H118" s="16"/>
      <c r="I118" s="3" t="s">
        <v>53</v>
      </c>
      <c r="J118" s="2">
        <v>2</v>
      </c>
      <c r="K118" s="16"/>
      <c r="L118" s="5" t="s">
        <v>669</v>
      </c>
      <c r="M118" s="25"/>
      <c r="N118" s="16"/>
      <c r="O118" s="16" t="s">
        <v>283</v>
      </c>
      <c r="P118" s="16" t="s">
        <v>275</v>
      </c>
      <c r="Q118" s="16">
        <v>2</v>
      </c>
      <c r="R118" s="20" t="s">
        <v>317</v>
      </c>
      <c r="S118" s="2" t="s">
        <v>341</v>
      </c>
      <c r="T118" s="2"/>
      <c r="U118" s="2"/>
      <c r="W118"/>
    </row>
    <row r="119" spans="1:23" s="72" customFormat="1" ht="16.5">
      <c r="A119" s="2">
        <f t="shared" si="2"/>
        <v>65</v>
      </c>
      <c r="B119" s="3" t="s">
        <v>491</v>
      </c>
      <c r="C119" s="17" t="s">
        <v>1696</v>
      </c>
      <c r="D119" s="17" t="s">
        <v>681</v>
      </c>
      <c r="E119" s="3" t="s">
        <v>227</v>
      </c>
      <c r="F119" s="6" t="s">
        <v>1623</v>
      </c>
      <c r="G119" s="16"/>
      <c r="H119" s="4" t="s">
        <v>257</v>
      </c>
      <c r="I119" s="3" t="s">
        <v>68</v>
      </c>
      <c r="J119" s="2">
        <v>5</v>
      </c>
      <c r="K119" s="16"/>
      <c r="L119" s="5" t="s">
        <v>669</v>
      </c>
      <c r="M119" s="25"/>
      <c r="N119" s="16"/>
      <c r="O119" s="16" t="s">
        <v>283</v>
      </c>
      <c r="P119" s="16" t="s">
        <v>279</v>
      </c>
      <c r="Q119" s="16">
        <v>5</v>
      </c>
      <c r="R119" s="20" t="s">
        <v>293</v>
      </c>
      <c r="S119" s="2" t="s">
        <v>341</v>
      </c>
      <c r="T119" s="2"/>
      <c r="U119" s="2"/>
      <c r="W119"/>
    </row>
    <row r="120" spans="1:23" s="72" customFormat="1" ht="16.5">
      <c r="A120" s="2">
        <f t="shared" si="2"/>
        <v>66</v>
      </c>
      <c r="B120" s="3" t="s">
        <v>491</v>
      </c>
      <c r="C120" s="17" t="s">
        <v>1696</v>
      </c>
      <c r="D120" s="17" t="s">
        <v>681</v>
      </c>
      <c r="E120" s="3" t="s">
        <v>228</v>
      </c>
      <c r="F120" s="6" t="s">
        <v>228</v>
      </c>
      <c r="G120" s="16"/>
      <c r="H120" s="4" t="s">
        <v>257</v>
      </c>
      <c r="I120" s="3" t="s">
        <v>68</v>
      </c>
      <c r="J120" s="2">
        <v>9</v>
      </c>
      <c r="K120" s="2">
        <v>5</v>
      </c>
      <c r="L120" s="5" t="s">
        <v>669</v>
      </c>
      <c r="M120" s="25"/>
      <c r="N120" s="16"/>
      <c r="O120" s="16" t="s">
        <v>283</v>
      </c>
      <c r="P120" s="16" t="s">
        <v>279</v>
      </c>
      <c r="Q120" s="16">
        <v>9.5</v>
      </c>
      <c r="R120" s="20" t="s">
        <v>281</v>
      </c>
      <c r="S120" s="2" t="s">
        <v>341</v>
      </c>
      <c r="T120" s="2"/>
      <c r="U120" s="2"/>
      <c r="W120"/>
    </row>
    <row r="121" spans="1:23" s="72" customFormat="1" ht="16.5">
      <c r="A121" s="140" t="s">
        <v>499</v>
      </c>
      <c r="B121" s="161" t="s">
        <v>491</v>
      </c>
      <c r="C121" s="165" t="s">
        <v>1696</v>
      </c>
      <c r="D121" s="165" t="s">
        <v>681</v>
      </c>
      <c r="E121" s="145" t="s">
        <v>2549</v>
      </c>
      <c r="F121" s="164" t="s">
        <v>2921</v>
      </c>
      <c r="G121" s="127"/>
      <c r="H121" s="166"/>
      <c r="I121" s="161" t="s">
        <v>53</v>
      </c>
      <c r="J121" s="172">
        <v>1</v>
      </c>
      <c r="K121" s="168"/>
      <c r="L121" s="154"/>
      <c r="M121" s="158"/>
      <c r="N121" s="127"/>
      <c r="O121" s="172" t="s">
        <v>283</v>
      </c>
      <c r="P121" s="136" t="s">
        <v>275</v>
      </c>
      <c r="Q121" s="172">
        <v>1</v>
      </c>
      <c r="R121" s="145" t="s">
        <v>2549</v>
      </c>
      <c r="S121" s="130" t="s">
        <v>341</v>
      </c>
      <c r="T121" s="168"/>
      <c r="U121" s="168"/>
      <c r="W121"/>
    </row>
    <row r="122" spans="1:23" s="72" customFormat="1" ht="16.5">
      <c r="A122" s="140" t="s">
        <v>499</v>
      </c>
      <c r="B122" s="161" t="s">
        <v>491</v>
      </c>
      <c r="C122" s="165" t="s">
        <v>1696</v>
      </c>
      <c r="D122" s="165" t="s">
        <v>681</v>
      </c>
      <c r="E122" s="145" t="s">
        <v>2550</v>
      </c>
      <c r="F122" s="164" t="s">
        <v>2922</v>
      </c>
      <c r="G122" s="127"/>
      <c r="H122" s="166"/>
      <c r="I122" s="161" t="s">
        <v>53</v>
      </c>
      <c r="J122" s="172">
        <v>8</v>
      </c>
      <c r="K122" s="168"/>
      <c r="L122" s="154"/>
      <c r="M122" s="158"/>
      <c r="N122" s="127"/>
      <c r="O122" s="172" t="s">
        <v>283</v>
      </c>
      <c r="P122" s="136" t="s">
        <v>275</v>
      </c>
      <c r="Q122" s="172">
        <v>8</v>
      </c>
      <c r="R122" s="145" t="s">
        <v>2550</v>
      </c>
      <c r="S122" s="130" t="s">
        <v>341</v>
      </c>
      <c r="T122" s="168"/>
      <c r="U122" s="168"/>
      <c r="W122"/>
    </row>
    <row r="123" spans="1:23" s="72" customFormat="1" ht="16.5">
      <c r="A123" s="140" t="s">
        <v>499</v>
      </c>
      <c r="B123" s="161" t="s">
        <v>491</v>
      </c>
      <c r="C123" s="165" t="s">
        <v>1696</v>
      </c>
      <c r="D123" s="165" t="s">
        <v>681</v>
      </c>
      <c r="E123" s="145" t="s">
        <v>2561</v>
      </c>
      <c r="F123" s="164" t="s">
        <v>2551</v>
      </c>
      <c r="G123" s="127"/>
      <c r="H123" s="166"/>
      <c r="I123" s="161" t="s">
        <v>53</v>
      </c>
      <c r="J123" s="157">
        <v>8</v>
      </c>
      <c r="K123" s="168"/>
      <c r="L123" s="154"/>
      <c r="M123" s="158"/>
      <c r="N123" s="127"/>
      <c r="O123" s="172" t="s">
        <v>283</v>
      </c>
      <c r="P123" s="136" t="s">
        <v>275</v>
      </c>
      <c r="Q123" s="157">
        <v>8</v>
      </c>
      <c r="R123" s="145" t="s">
        <v>2551</v>
      </c>
      <c r="S123" s="130" t="s">
        <v>341</v>
      </c>
      <c r="T123" s="168"/>
      <c r="U123" s="168"/>
      <c r="W123"/>
    </row>
    <row r="124" spans="1:23" s="72" customFormat="1" ht="16.5">
      <c r="A124" s="140" t="s">
        <v>499</v>
      </c>
      <c r="B124" s="161" t="s">
        <v>491</v>
      </c>
      <c r="C124" s="165" t="s">
        <v>1696</v>
      </c>
      <c r="D124" s="165" t="s">
        <v>681</v>
      </c>
      <c r="E124" s="145" t="s">
        <v>2228</v>
      </c>
      <c r="F124" s="164" t="s">
        <v>2923</v>
      </c>
      <c r="G124" s="127"/>
      <c r="H124" s="166"/>
      <c r="I124" s="161" t="s">
        <v>53</v>
      </c>
      <c r="J124" s="157">
        <v>1</v>
      </c>
      <c r="K124" s="168"/>
      <c r="L124" s="154"/>
      <c r="M124" s="158"/>
      <c r="N124" s="127"/>
      <c r="O124" s="172" t="s">
        <v>283</v>
      </c>
      <c r="P124" s="136" t="s">
        <v>275</v>
      </c>
      <c r="Q124" s="157">
        <v>1</v>
      </c>
      <c r="R124" s="145" t="s">
        <v>2228</v>
      </c>
      <c r="S124" s="130" t="s">
        <v>341</v>
      </c>
      <c r="T124" s="168"/>
      <c r="U124" s="168"/>
      <c r="W124"/>
    </row>
    <row r="125" spans="1:23" s="72" customFormat="1" ht="16.5">
      <c r="A125" s="140" t="s">
        <v>499</v>
      </c>
      <c r="B125" s="161" t="s">
        <v>491</v>
      </c>
      <c r="C125" s="165" t="s">
        <v>1696</v>
      </c>
      <c r="D125" s="165" t="s">
        <v>681</v>
      </c>
      <c r="E125" s="145" t="s">
        <v>2552</v>
      </c>
      <c r="F125" s="164" t="s">
        <v>2924</v>
      </c>
      <c r="G125" s="127"/>
      <c r="H125" s="166"/>
      <c r="I125" s="161" t="s">
        <v>68</v>
      </c>
      <c r="J125" s="157">
        <v>15</v>
      </c>
      <c r="K125" s="168"/>
      <c r="L125" s="154"/>
      <c r="M125" s="158"/>
      <c r="N125" s="127"/>
      <c r="O125" s="172" t="s">
        <v>283</v>
      </c>
      <c r="P125" s="137" t="s">
        <v>279</v>
      </c>
      <c r="Q125" s="157">
        <v>15</v>
      </c>
      <c r="R125" s="145" t="s">
        <v>2552</v>
      </c>
      <c r="S125" s="130" t="s">
        <v>341</v>
      </c>
      <c r="T125" s="168"/>
      <c r="U125" s="168"/>
      <c r="W125"/>
    </row>
    <row r="126" spans="1:23" s="72" customFormat="1" ht="16.5">
      <c r="A126" s="140" t="s">
        <v>499</v>
      </c>
      <c r="B126" s="161" t="s">
        <v>491</v>
      </c>
      <c r="C126" s="165" t="s">
        <v>1696</v>
      </c>
      <c r="D126" s="165" t="s">
        <v>681</v>
      </c>
      <c r="E126" s="145" t="s">
        <v>2553</v>
      </c>
      <c r="F126" s="164" t="s">
        <v>2925</v>
      </c>
      <c r="G126" s="127"/>
      <c r="H126" s="166"/>
      <c r="I126" s="161" t="s">
        <v>53</v>
      </c>
      <c r="J126" s="157">
        <v>2</v>
      </c>
      <c r="K126" s="168"/>
      <c r="L126" s="154"/>
      <c r="M126" s="158"/>
      <c r="N126" s="127"/>
      <c r="O126" s="172" t="s">
        <v>283</v>
      </c>
      <c r="P126" s="136" t="s">
        <v>275</v>
      </c>
      <c r="Q126" s="157">
        <v>2</v>
      </c>
      <c r="R126" s="145" t="s">
        <v>2553</v>
      </c>
      <c r="S126" s="130" t="s">
        <v>341</v>
      </c>
      <c r="T126" s="168"/>
      <c r="U126" s="168"/>
      <c r="W126"/>
    </row>
    <row r="127" spans="1:23" s="72" customFormat="1" ht="16.5">
      <c r="A127" s="2">
        <f>IF(D120=D127,A120+1,1)</f>
        <v>67</v>
      </c>
      <c r="B127" s="3" t="s">
        <v>491</v>
      </c>
      <c r="C127" s="17" t="s">
        <v>1696</v>
      </c>
      <c r="D127" s="17" t="s">
        <v>681</v>
      </c>
      <c r="E127" s="3" t="s">
        <v>229</v>
      </c>
      <c r="F127" s="6" t="s">
        <v>1624</v>
      </c>
      <c r="G127" s="16"/>
      <c r="H127" s="4" t="s">
        <v>257</v>
      </c>
      <c r="I127" s="3" t="s">
        <v>68</v>
      </c>
      <c r="J127" s="2">
        <v>15</v>
      </c>
      <c r="K127" s="16"/>
      <c r="L127" s="5" t="s">
        <v>669</v>
      </c>
      <c r="M127" s="25"/>
      <c r="N127" s="16"/>
      <c r="O127" s="16" t="s">
        <v>318</v>
      </c>
      <c r="P127" s="16" t="s">
        <v>279</v>
      </c>
      <c r="Q127" s="16">
        <v>15</v>
      </c>
      <c r="R127" s="20" t="s">
        <v>319</v>
      </c>
      <c r="S127" s="2" t="s">
        <v>341</v>
      </c>
      <c r="T127" s="2"/>
      <c r="U127" s="2"/>
      <c r="W127"/>
    </row>
    <row r="128" spans="1:23" s="72" customFormat="1" ht="16.5">
      <c r="A128" s="2">
        <f t="shared" ref="A128:A184" si="3">IF(D127=D128,A127+1,1)</f>
        <v>68</v>
      </c>
      <c r="B128" s="3" t="s">
        <v>491</v>
      </c>
      <c r="C128" s="17" t="s">
        <v>1696</v>
      </c>
      <c r="D128" s="17" t="s">
        <v>681</v>
      </c>
      <c r="E128" s="3" t="s">
        <v>230</v>
      </c>
      <c r="F128" s="6" t="s">
        <v>1689</v>
      </c>
      <c r="G128" s="16"/>
      <c r="H128" s="4" t="s">
        <v>257</v>
      </c>
      <c r="I128" s="3" t="s">
        <v>68</v>
      </c>
      <c r="J128" s="2">
        <v>5</v>
      </c>
      <c r="K128" s="16"/>
      <c r="L128" s="5" t="s">
        <v>669</v>
      </c>
      <c r="M128" s="25"/>
      <c r="N128" s="16"/>
      <c r="O128" s="16" t="s">
        <v>318</v>
      </c>
      <c r="P128" s="16" t="s">
        <v>279</v>
      </c>
      <c r="Q128" s="16">
        <v>5</v>
      </c>
      <c r="R128" s="20" t="s">
        <v>292</v>
      </c>
      <c r="S128" s="2" t="s">
        <v>341</v>
      </c>
      <c r="T128" s="2"/>
      <c r="U128" s="2"/>
      <c r="W128"/>
    </row>
    <row r="129" spans="1:23" s="72" customFormat="1" ht="16.5">
      <c r="A129" s="2">
        <f t="shared" si="3"/>
        <v>69</v>
      </c>
      <c r="B129" s="3" t="s">
        <v>491</v>
      </c>
      <c r="C129" s="17" t="s">
        <v>1696</v>
      </c>
      <c r="D129" s="17" t="s">
        <v>681</v>
      </c>
      <c r="E129" s="3" t="s">
        <v>231</v>
      </c>
      <c r="F129" s="6" t="s">
        <v>1690</v>
      </c>
      <c r="G129" s="16"/>
      <c r="H129" s="4" t="s">
        <v>257</v>
      </c>
      <c r="I129" s="3" t="s">
        <v>68</v>
      </c>
      <c r="J129" s="2">
        <v>5</v>
      </c>
      <c r="K129" s="16"/>
      <c r="L129" s="5" t="s">
        <v>669</v>
      </c>
      <c r="M129" s="25"/>
      <c r="N129" s="16"/>
      <c r="O129" s="16" t="s">
        <v>318</v>
      </c>
      <c r="P129" s="16" t="s">
        <v>279</v>
      </c>
      <c r="Q129" s="16">
        <v>5</v>
      </c>
      <c r="R129" s="20" t="s">
        <v>293</v>
      </c>
      <c r="S129" s="2" t="s">
        <v>341</v>
      </c>
      <c r="T129" s="2"/>
      <c r="U129" s="2"/>
      <c r="W129"/>
    </row>
    <row r="130" spans="1:23" s="72" customFormat="1" ht="16.5">
      <c r="A130" s="2">
        <f t="shared" si="3"/>
        <v>70</v>
      </c>
      <c r="B130" s="3" t="s">
        <v>491</v>
      </c>
      <c r="C130" s="17" t="s">
        <v>1696</v>
      </c>
      <c r="D130" s="17" t="s">
        <v>681</v>
      </c>
      <c r="E130" s="3" t="s">
        <v>232</v>
      </c>
      <c r="F130" s="6" t="s">
        <v>1625</v>
      </c>
      <c r="G130" s="16"/>
      <c r="H130" s="16"/>
      <c r="I130" s="3" t="s">
        <v>53</v>
      </c>
      <c r="J130" s="2">
        <v>2</v>
      </c>
      <c r="K130" s="16"/>
      <c r="L130" s="5" t="s">
        <v>669</v>
      </c>
      <c r="M130" s="25"/>
      <c r="N130" s="16"/>
      <c r="O130" s="16" t="s">
        <v>318</v>
      </c>
      <c r="P130" s="16" t="s">
        <v>275</v>
      </c>
      <c r="Q130" s="16">
        <v>2</v>
      </c>
      <c r="R130" s="20" t="s">
        <v>320</v>
      </c>
      <c r="S130" s="2" t="s">
        <v>341</v>
      </c>
      <c r="T130" s="2"/>
      <c r="U130" s="2"/>
      <c r="W130"/>
    </row>
    <row r="131" spans="1:23" s="72" customFormat="1" ht="16.5">
      <c r="A131" s="2">
        <f t="shared" si="3"/>
        <v>71</v>
      </c>
      <c r="B131" s="3" t="s">
        <v>491</v>
      </c>
      <c r="C131" s="17" t="s">
        <v>1696</v>
      </c>
      <c r="D131" s="17" t="s">
        <v>681</v>
      </c>
      <c r="E131" s="3" t="s">
        <v>233</v>
      </c>
      <c r="F131" s="6" t="s">
        <v>1626</v>
      </c>
      <c r="G131" s="16"/>
      <c r="H131" s="4" t="s">
        <v>257</v>
      </c>
      <c r="I131" s="3" t="s">
        <v>68</v>
      </c>
      <c r="J131" s="2">
        <v>9</v>
      </c>
      <c r="K131" s="2">
        <v>5</v>
      </c>
      <c r="L131" s="5" t="s">
        <v>669</v>
      </c>
      <c r="M131" s="25"/>
      <c r="N131" s="16"/>
      <c r="O131" s="16" t="s">
        <v>318</v>
      </c>
      <c r="P131" s="16" t="s">
        <v>279</v>
      </c>
      <c r="Q131" s="16">
        <v>9.5</v>
      </c>
      <c r="R131" s="20" t="s">
        <v>281</v>
      </c>
      <c r="S131" s="2" t="s">
        <v>341</v>
      </c>
      <c r="T131" s="2"/>
      <c r="U131" s="2"/>
      <c r="W131"/>
    </row>
    <row r="132" spans="1:23" s="72" customFormat="1" ht="16.5">
      <c r="A132" s="2">
        <f t="shared" si="3"/>
        <v>72</v>
      </c>
      <c r="B132" s="3" t="s">
        <v>491</v>
      </c>
      <c r="C132" s="17" t="s">
        <v>1696</v>
      </c>
      <c r="D132" s="17" t="s">
        <v>681</v>
      </c>
      <c r="E132" s="3" t="s">
        <v>234</v>
      </c>
      <c r="F132" s="6" t="s">
        <v>1627</v>
      </c>
      <c r="G132" s="16"/>
      <c r="H132" s="4" t="s">
        <v>257</v>
      </c>
      <c r="I132" s="3" t="s">
        <v>68</v>
      </c>
      <c r="J132" s="2">
        <v>15</v>
      </c>
      <c r="K132" s="16"/>
      <c r="L132" s="5" t="s">
        <v>669</v>
      </c>
      <c r="M132" s="25"/>
      <c r="N132" s="16"/>
      <c r="O132" s="16" t="s">
        <v>321</v>
      </c>
      <c r="P132" s="16" t="s">
        <v>279</v>
      </c>
      <c r="Q132" s="16">
        <v>15</v>
      </c>
      <c r="R132" s="20" t="s">
        <v>322</v>
      </c>
      <c r="S132" s="2" t="s">
        <v>341</v>
      </c>
      <c r="T132" s="2"/>
      <c r="U132" s="2"/>
      <c r="W132"/>
    </row>
    <row r="133" spans="1:23" s="72" customFormat="1" ht="16.5">
      <c r="A133" s="2">
        <f t="shared" si="3"/>
        <v>73</v>
      </c>
      <c r="B133" s="3" t="s">
        <v>491</v>
      </c>
      <c r="C133" s="17" t="s">
        <v>1696</v>
      </c>
      <c r="D133" s="17" t="s">
        <v>681</v>
      </c>
      <c r="E133" s="3" t="s">
        <v>235</v>
      </c>
      <c r="F133" s="6" t="s">
        <v>1628</v>
      </c>
      <c r="G133" s="16"/>
      <c r="H133" s="16"/>
      <c r="I133" s="3" t="s">
        <v>53</v>
      </c>
      <c r="J133" s="2">
        <v>2</v>
      </c>
      <c r="K133" s="16"/>
      <c r="L133" s="5" t="s">
        <v>669</v>
      </c>
      <c r="M133" s="25"/>
      <c r="N133" s="16"/>
      <c r="O133" s="16" t="s">
        <v>321</v>
      </c>
      <c r="P133" s="16" t="s">
        <v>275</v>
      </c>
      <c r="Q133" s="16">
        <v>2</v>
      </c>
      <c r="R133" s="20" t="s">
        <v>323</v>
      </c>
      <c r="S133" s="2" t="s">
        <v>341</v>
      </c>
      <c r="T133" s="2"/>
      <c r="U133" s="2"/>
      <c r="W133"/>
    </row>
    <row r="134" spans="1:23" s="72" customFormat="1" ht="16.5">
      <c r="A134" s="2">
        <f t="shared" si="3"/>
        <v>74</v>
      </c>
      <c r="B134" s="3" t="s">
        <v>491</v>
      </c>
      <c r="C134" s="17" t="s">
        <v>1696</v>
      </c>
      <c r="D134" s="17" t="s">
        <v>681</v>
      </c>
      <c r="E134" s="3" t="s">
        <v>236</v>
      </c>
      <c r="F134" s="6" t="s">
        <v>1691</v>
      </c>
      <c r="G134" s="16"/>
      <c r="H134" s="4" t="s">
        <v>257</v>
      </c>
      <c r="I134" s="3" t="s">
        <v>68</v>
      </c>
      <c r="J134" s="2">
        <v>5</v>
      </c>
      <c r="K134" s="16"/>
      <c r="L134" s="5" t="s">
        <v>669</v>
      </c>
      <c r="M134" s="25"/>
      <c r="N134" s="16"/>
      <c r="O134" s="16" t="s">
        <v>321</v>
      </c>
      <c r="P134" s="16" t="s">
        <v>279</v>
      </c>
      <c r="Q134" s="16">
        <v>5</v>
      </c>
      <c r="R134" s="20" t="s">
        <v>292</v>
      </c>
      <c r="S134" s="2" t="s">
        <v>341</v>
      </c>
      <c r="T134" s="2"/>
      <c r="U134" s="2"/>
      <c r="W134"/>
    </row>
    <row r="135" spans="1:23" s="72" customFormat="1" ht="16.5">
      <c r="A135" s="2">
        <f t="shared" si="3"/>
        <v>75</v>
      </c>
      <c r="B135" s="3" t="s">
        <v>491</v>
      </c>
      <c r="C135" s="17" t="s">
        <v>1696</v>
      </c>
      <c r="D135" s="17" t="s">
        <v>681</v>
      </c>
      <c r="E135" s="3" t="s">
        <v>237</v>
      </c>
      <c r="F135" s="6" t="s">
        <v>1692</v>
      </c>
      <c r="G135" s="16"/>
      <c r="H135" s="4" t="s">
        <v>257</v>
      </c>
      <c r="I135" s="3" t="s">
        <v>68</v>
      </c>
      <c r="J135" s="2">
        <v>5</v>
      </c>
      <c r="K135" s="16"/>
      <c r="L135" s="5" t="s">
        <v>669</v>
      </c>
      <c r="M135" s="25"/>
      <c r="N135" s="16"/>
      <c r="O135" s="16" t="s">
        <v>321</v>
      </c>
      <c r="P135" s="16" t="s">
        <v>279</v>
      </c>
      <c r="Q135" s="16">
        <v>5</v>
      </c>
      <c r="R135" s="20" t="s">
        <v>293</v>
      </c>
      <c r="S135" s="2" t="s">
        <v>341</v>
      </c>
      <c r="T135" s="2"/>
      <c r="U135" s="2"/>
      <c r="W135"/>
    </row>
    <row r="136" spans="1:23" s="72" customFormat="1" ht="16.5">
      <c r="A136" s="2">
        <f t="shared" si="3"/>
        <v>76</v>
      </c>
      <c r="B136" s="3" t="s">
        <v>491</v>
      </c>
      <c r="C136" s="17" t="s">
        <v>1696</v>
      </c>
      <c r="D136" s="17" t="s">
        <v>681</v>
      </c>
      <c r="E136" s="3" t="s">
        <v>238</v>
      </c>
      <c r="F136" s="6" t="s">
        <v>1629</v>
      </c>
      <c r="G136" s="16"/>
      <c r="H136" s="4" t="s">
        <v>257</v>
      </c>
      <c r="I136" s="3" t="s">
        <v>68</v>
      </c>
      <c r="J136" s="2">
        <v>9</v>
      </c>
      <c r="K136" s="2">
        <v>5</v>
      </c>
      <c r="L136" s="5" t="s">
        <v>669</v>
      </c>
      <c r="M136" s="25"/>
      <c r="N136" s="16"/>
      <c r="O136" s="16" t="s">
        <v>321</v>
      </c>
      <c r="P136" s="16" t="s">
        <v>279</v>
      </c>
      <c r="Q136" s="16">
        <v>9.5</v>
      </c>
      <c r="R136" s="20" t="s">
        <v>281</v>
      </c>
      <c r="S136" s="2" t="s">
        <v>341</v>
      </c>
      <c r="T136" s="2"/>
      <c r="U136" s="2"/>
      <c r="W136"/>
    </row>
    <row r="137" spans="1:23" s="72" customFormat="1" ht="16.5">
      <c r="A137" s="2">
        <f t="shared" si="3"/>
        <v>77</v>
      </c>
      <c r="B137" s="3" t="s">
        <v>491</v>
      </c>
      <c r="C137" s="17" t="s">
        <v>1696</v>
      </c>
      <c r="D137" s="17" t="s">
        <v>681</v>
      </c>
      <c r="E137" s="3" t="s">
        <v>239</v>
      </c>
      <c r="F137" s="6" t="s">
        <v>1630</v>
      </c>
      <c r="G137" s="16"/>
      <c r="H137" s="4" t="s">
        <v>257</v>
      </c>
      <c r="I137" s="3" t="s">
        <v>68</v>
      </c>
      <c r="J137" s="2">
        <v>15</v>
      </c>
      <c r="K137" s="16"/>
      <c r="L137" s="5" t="s">
        <v>669</v>
      </c>
      <c r="M137" s="25"/>
      <c r="N137" s="16"/>
      <c r="O137" s="16" t="s">
        <v>324</v>
      </c>
      <c r="P137" s="16" t="s">
        <v>279</v>
      </c>
      <c r="Q137" s="16">
        <v>15</v>
      </c>
      <c r="R137" s="20" t="s">
        <v>325</v>
      </c>
      <c r="S137" s="2" t="s">
        <v>341</v>
      </c>
      <c r="T137" s="2"/>
      <c r="U137" s="2"/>
      <c r="W137"/>
    </row>
    <row r="138" spans="1:23" s="72" customFormat="1" ht="16.5">
      <c r="A138" s="2">
        <f t="shared" si="3"/>
        <v>78</v>
      </c>
      <c r="B138" s="3" t="s">
        <v>491</v>
      </c>
      <c r="C138" s="17" t="s">
        <v>1696</v>
      </c>
      <c r="D138" s="17" t="s">
        <v>681</v>
      </c>
      <c r="E138" s="3" t="s">
        <v>240</v>
      </c>
      <c r="F138" s="6" t="s">
        <v>1631</v>
      </c>
      <c r="G138" s="16"/>
      <c r="H138" s="4" t="s">
        <v>257</v>
      </c>
      <c r="I138" s="3" t="s">
        <v>68</v>
      </c>
      <c r="J138" s="2">
        <v>5</v>
      </c>
      <c r="K138" s="16"/>
      <c r="L138" s="5" t="s">
        <v>669</v>
      </c>
      <c r="M138" s="25"/>
      <c r="N138" s="16"/>
      <c r="O138" s="16" t="s">
        <v>324</v>
      </c>
      <c r="P138" s="16" t="s">
        <v>279</v>
      </c>
      <c r="Q138" s="16">
        <v>5</v>
      </c>
      <c r="R138" s="20" t="s">
        <v>292</v>
      </c>
      <c r="S138" s="2" t="s">
        <v>341</v>
      </c>
      <c r="T138" s="2"/>
      <c r="U138" s="2"/>
      <c r="W138"/>
    </row>
    <row r="139" spans="1:23" s="72" customFormat="1" ht="16.5">
      <c r="A139" s="2">
        <f t="shared" si="3"/>
        <v>79</v>
      </c>
      <c r="B139" s="3" t="s">
        <v>491</v>
      </c>
      <c r="C139" s="17" t="s">
        <v>1696</v>
      </c>
      <c r="D139" s="17" t="s">
        <v>681</v>
      </c>
      <c r="E139" s="3" t="s">
        <v>241</v>
      </c>
      <c r="F139" s="6" t="s">
        <v>1632</v>
      </c>
      <c r="G139" s="16"/>
      <c r="H139" s="4" t="s">
        <v>257</v>
      </c>
      <c r="I139" s="3" t="s">
        <v>68</v>
      </c>
      <c r="J139" s="2">
        <v>5</v>
      </c>
      <c r="K139" s="16"/>
      <c r="L139" s="5" t="s">
        <v>669</v>
      </c>
      <c r="M139" s="25"/>
      <c r="N139" s="16"/>
      <c r="O139" s="16" t="s">
        <v>324</v>
      </c>
      <c r="P139" s="16" t="s">
        <v>279</v>
      </c>
      <c r="Q139" s="16">
        <v>5</v>
      </c>
      <c r="R139" s="20" t="s">
        <v>293</v>
      </c>
      <c r="S139" s="2" t="s">
        <v>341</v>
      </c>
      <c r="T139" s="2"/>
      <c r="U139" s="2"/>
      <c r="W139"/>
    </row>
    <row r="140" spans="1:23" s="72" customFormat="1" ht="16.5">
      <c r="A140" s="2">
        <f t="shared" si="3"/>
        <v>80</v>
      </c>
      <c r="B140" s="3" t="s">
        <v>491</v>
      </c>
      <c r="C140" s="17" t="s">
        <v>1696</v>
      </c>
      <c r="D140" s="17" t="s">
        <v>681</v>
      </c>
      <c r="E140" s="3" t="s">
        <v>26</v>
      </c>
      <c r="F140" s="6" t="s">
        <v>1633</v>
      </c>
      <c r="G140" s="16"/>
      <c r="H140" s="16"/>
      <c r="I140" s="3" t="s">
        <v>53</v>
      </c>
      <c r="J140" s="2">
        <v>2</v>
      </c>
      <c r="K140" s="16"/>
      <c r="L140" s="5" t="s">
        <v>669</v>
      </c>
      <c r="M140" s="25"/>
      <c r="N140" s="16"/>
      <c r="O140" s="16" t="s">
        <v>324</v>
      </c>
      <c r="P140" s="16" t="s">
        <v>275</v>
      </c>
      <c r="Q140" s="16">
        <v>2</v>
      </c>
      <c r="R140" s="20" t="s">
        <v>26</v>
      </c>
      <c r="S140" s="2" t="s">
        <v>341</v>
      </c>
      <c r="T140" s="2"/>
      <c r="U140" s="2"/>
      <c r="W140"/>
    </row>
    <row r="141" spans="1:23" s="72" customFormat="1" ht="16.5">
      <c r="A141" s="2">
        <f t="shared" si="3"/>
        <v>81</v>
      </c>
      <c r="B141" s="3" t="s">
        <v>491</v>
      </c>
      <c r="C141" s="17" t="s">
        <v>1696</v>
      </c>
      <c r="D141" s="17" t="s">
        <v>681</v>
      </c>
      <c r="E141" s="3" t="s">
        <v>242</v>
      </c>
      <c r="F141" s="104" t="s">
        <v>1693</v>
      </c>
      <c r="G141" s="16"/>
      <c r="H141" s="16"/>
      <c r="I141" s="3" t="s">
        <v>53</v>
      </c>
      <c r="J141" s="2">
        <v>1</v>
      </c>
      <c r="K141" s="16"/>
      <c r="L141" s="5" t="s">
        <v>669</v>
      </c>
      <c r="M141" s="25"/>
      <c r="N141" s="16"/>
      <c r="O141" s="16" t="s">
        <v>324</v>
      </c>
      <c r="P141" s="16" t="s">
        <v>275</v>
      </c>
      <c r="Q141" s="16">
        <v>1</v>
      </c>
      <c r="R141" s="20" t="s">
        <v>326</v>
      </c>
      <c r="S141" s="2" t="s">
        <v>341</v>
      </c>
      <c r="T141" s="2"/>
      <c r="U141" s="2"/>
      <c r="W141"/>
    </row>
    <row r="142" spans="1:23" s="72" customFormat="1" ht="16.5">
      <c r="A142" s="2">
        <f t="shared" si="3"/>
        <v>82</v>
      </c>
      <c r="B142" s="3" t="s">
        <v>491</v>
      </c>
      <c r="C142" s="17" t="s">
        <v>1696</v>
      </c>
      <c r="D142" s="17" t="s">
        <v>681</v>
      </c>
      <c r="E142" s="3" t="s">
        <v>243</v>
      </c>
      <c r="F142" s="6" t="s">
        <v>1634</v>
      </c>
      <c r="G142" s="16"/>
      <c r="H142" s="4" t="s">
        <v>257</v>
      </c>
      <c r="I142" s="3" t="s">
        <v>68</v>
      </c>
      <c r="J142" s="2">
        <v>9</v>
      </c>
      <c r="K142" s="2">
        <v>5</v>
      </c>
      <c r="L142" s="5" t="s">
        <v>669</v>
      </c>
      <c r="M142" s="25"/>
      <c r="N142" s="16"/>
      <c r="O142" s="16" t="s">
        <v>324</v>
      </c>
      <c r="P142" s="16" t="s">
        <v>279</v>
      </c>
      <c r="Q142" s="16">
        <v>9.5</v>
      </c>
      <c r="R142" s="20" t="s">
        <v>281</v>
      </c>
      <c r="S142" s="2" t="s">
        <v>341</v>
      </c>
      <c r="T142" s="2"/>
      <c r="U142" s="2"/>
      <c r="W142"/>
    </row>
    <row r="143" spans="1:23" s="72" customFormat="1" ht="16.5">
      <c r="A143" s="296" t="s">
        <v>499</v>
      </c>
      <c r="B143" s="6" t="s">
        <v>491</v>
      </c>
      <c r="C143" s="297" t="s">
        <v>1696</v>
      </c>
      <c r="D143" s="297" t="s">
        <v>681</v>
      </c>
      <c r="E143" s="298" t="s">
        <v>2803</v>
      </c>
      <c r="F143" s="299" t="s">
        <v>2911</v>
      </c>
      <c r="G143" s="300"/>
      <c r="H143" s="301"/>
      <c r="I143" s="6" t="s">
        <v>68</v>
      </c>
      <c r="J143" s="302">
        <v>15</v>
      </c>
      <c r="K143" s="303"/>
      <c r="L143" s="304"/>
      <c r="M143" s="305"/>
      <c r="N143" s="300"/>
      <c r="O143" s="302" t="s">
        <v>324</v>
      </c>
      <c r="P143" s="306" t="s">
        <v>279</v>
      </c>
      <c r="Q143" s="302">
        <v>15</v>
      </c>
      <c r="R143" s="298" t="s">
        <v>2554</v>
      </c>
      <c r="S143" s="2" t="s">
        <v>341</v>
      </c>
      <c r="T143" s="303"/>
      <c r="U143" s="303"/>
      <c r="W143" s="307"/>
    </row>
    <row r="144" spans="1:23" s="72" customFormat="1" ht="16.5">
      <c r="A144" s="296" t="s">
        <v>499</v>
      </c>
      <c r="B144" s="6" t="s">
        <v>491</v>
      </c>
      <c r="C144" s="297" t="s">
        <v>1696</v>
      </c>
      <c r="D144" s="297" t="s">
        <v>681</v>
      </c>
      <c r="E144" s="298" t="s">
        <v>2804</v>
      </c>
      <c r="F144" s="299" t="s">
        <v>2912</v>
      </c>
      <c r="G144" s="300"/>
      <c r="H144" s="301"/>
      <c r="I144" s="6" t="s">
        <v>68</v>
      </c>
      <c r="J144" s="302">
        <v>15</v>
      </c>
      <c r="K144" s="303"/>
      <c r="L144" s="304"/>
      <c r="M144" s="305"/>
      <c r="N144" s="300"/>
      <c r="O144" s="302" t="s">
        <v>324</v>
      </c>
      <c r="P144" s="306" t="s">
        <v>279</v>
      </c>
      <c r="Q144" s="302">
        <v>15</v>
      </c>
      <c r="R144" s="298" t="s">
        <v>2555</v>
      </c>
      <c r="S144" s="2" t="s">
        <v>341</v>
      </c>
      <c r="T144" s="303"/>
      <c r="U144" s="303"/>
      <c r="W144" s="307"/>
    </row>
    <row r="145" spans="1:23" s="72" customFormat="1" ht="16.5">
      <c r="A145" s="296" t="s">
        <v>499</v>
      </c>
      <c r="B145" s="6" t="s">
        <v>491</v>
      </c>
      <c r="C145" s="297" t="s">
        <v>1696</v>
      </c>
      <c r="D145" s="297" t="s">
        <v>681</v>
      </c>
      <c r="E145" s="298" t="s">
        <v>2805</v>
      </c>
      <c r="F145" s="299" t="s">
        <v>2913</v>
      </c>
      <c r="G145" s="300"/>
      <c r="H145" s="301"/>
      <c r="I145" s="6" t="s">
        <v>68</v>
      </c>
      <c r="J145" s="302">
        <v>15</v>
      </c>
      <c r="K145" s="303"/>
      <c r="L145" s="304"/>
      <c r="M145" s="305"/>
      <c r="N145" s="300"/>
      <c r="O145" s="302" t="s">
        <v>324</v>
      </c>
      <c r="P145" s="306" t="s">
        <v>279</v>
      </c>
      <c r="Q145" s="302">
        <v>15</v>
      </c>
      <c r="R145" s="298" t="s">
        <v>2556</v>
      </c>
      <c r="S145" s="2" t="s">
        <v>341</v>
      </c>
      <c r="T145" s="303"/>
      <c r="U145" s="303"/>
      <c r="W145" s="307"/>
    </row>
    <row r="146" spans="1:23" s="72" customFormat="1" ht="16.5">
      <c r="A146" s="296" t="s">
        <v>499</v>
      </c>
      <c r="B146" s="6" t="s">
        <v>491</v>
      </c>
      <c r="C146" s="297" t="s">
        <v>1696</v>
      </c>
      <c r="D146" s="297" t="s">
        <v>681</v>
      </c>
      <c r="E146" s="298" t="s">
        <v>2562</v>
      </c>
      <c r="F146" s="299" t="s">
        <v>2914</v>
      </c>
      <c r="G146" s="300"/>
      <c r="H146" s="301"/>
      <c r="I146" s="6" t="s">
        <v>53</v>
      </c>
      <c r="J146" s="302">
        <v>1</v>
      </c>
      <c r="K146" s="303"/>
      <c r="L146" s="304"/>
      <c r="M146" s="305"/>
      <c r="N146" s="300"/>
      <c r="O146" s="302" t="s">
        <v>324</v>
      </c>
      <c r="P146" s="308" t="s">
        <v>275</v>
      </c>
      <c r="Q146" s="302">
        <v>1</v>
      </c>
      <c r="R146" s="298" t="s">
        <v>2557</v>
      </c>
      <c r="S146" s="2" t="s">
        <v>341</v>
      </c>
      <c r="T146" s="303"/>
      <c r="U146" s="303"/>
      <c r="W146" s="307"/>
    </row>
    <row r="147" spans="1:23" s="72" customFormat="1" ht="16.5">
      <c r="A147" s="296" t="s">
        <v>499</v>
      </c>
      <c r="B147" s="6" t="s">
        <v>491</v>
      </c>
      <c r="C147" s="297" t="s">
        <v>1696</v>
      </c>
      <c r="D147" s="297" t="s">
        <v>681</v>
      </c>
      <c r="E147" s="298" t="s">
        <v>2563</v>
      </c>
      <c r="F147" s="299" t="s">
        <v>2915</v>
      </c>
      <c r="G147" s="300"/>
      <c r="H147" s="301"/>
      <c r="I147" s="6" t="s">
        <v>53</v>
      </c>
      <c r="J147" s="302">
        <v>1</v>
      </c>
      <c r="K147" s="303"/>
      <c r="L147" s="304"/>
      <c r="M147" s="305"/>
      <c r="N147" s="300"/>
      <c r="O147" s="302" t="s">
        <v>324</v>
      </c>
      <c r="P147" s="308" t="s">
        <v>275</v>
      </c>
      <c r="Q147" s="302">
        <v>1</v>
      </c>
      <c r="R147" s="298" t="s">
        <v>2558</v>
      </c>
      <c r="S147" s="2" t="s">
        <v>341</v>
      </c>
      <c r="T147" s="303"/>
      <c r="U147" s="303"/>
      <c r="W147" s="307"/>
    </row>
    <row r="148" spans="1:23" s="72" customFormat="1" ht="16.5">
      <c r="A148" s="296" t="s">
        <v>499</v>
      </c>
      <c r="B148" s="6" t="s">
        <v>491</v>
      </c>
      <c r="C148" s="297" t="s">
        <v>1696</v>
      </c>
      <c r="D148" s="297" t="s">
        <v>681</v>
      </c>
      <c r="E148" s="298" t="s">
        <v>2564</v>
      </c>
      <c r="F148" s="299" t="s">
        <v>2916</v>
      </c>
      <c r="G148" s="300"/>
      <c r="H148" s="301"/>
      <c r="I148" s="6" t="s">
        <v>53</v>
      </c>
      <c r="J148" s="302">
        <v>1</v>
      </c>
      <c r="K148" s="303"/>
      <c r="L148" s="304"/>
      <c r="M148" s="305"/>
      <c r="N148" s="300"/>
      <c r="O148" s="302" t="s">
        <v>324</v>
      </c>
      <c r="P148" s="308" t="s">
        <v>275</v>
      </c>
      <c r="Q148" s="302">
        <v>1</v>
      </c>
      <c r="R148" s="298" t="s">
        <v>2559</v>
      </c>
      <c r="S148" s="2" t="s">
        <v>341</v>
      </c>
      <c r="T148" s="303"/>
      <c r="U148" s="303"/>
      <c r="W148" s="307"/>
    </row>
    <row r="149" spans="1:23" s="72" customFormat="1" ht="16.5">
      <c r="A149" s="296" t="s">
        <v>499</v>
      </c>
      <c r="B149" s="6" t="s">
        <v>491</v>
      </c>
      <c r="C149" s="297" t="s">
        <v>1696</v>
      </c>
      <c r="D149" s="297" t="s">
        <v>681</v>
      </c>
      <c r="E149" s="299" t="s">
        <v>2806</v>
      </c>
      <c r="F149" s="299" t="s">
        <v>2917</v>
      </c>
      <c r="G149" s="300"/>
      <c r="H149" s="301"/>
      <c r="I149" s="6" t="s">
        <v>68</v>
      </c>
      <c r="J149" s="309">
        <v>15</v>
      </c>
      <c r="K149" s="303"/>
      <c r="L149" s="304"/>
      <c r="M149" s="305"/>
      <c r="N149" s="300"/>
      <c r="O149" s="309" t="s">
        <v>2324</v>
      </c>
      <c r="P149" s="310" t="s">
        <v>279</v>
      </c>
      <c r="Q149" s="309">
        <v>15</v>
      </c>
      <c r="R149" s="299" t="s">
        <v>2560</v>
      </c>
      <c r="S149" s="2" t="s">
        <v>341</v>
      </c>
      <c r="T149" s="303"/>
      <c r="U149" s="303"/>
      <c r="W149" s="307"/>
    </row>
    <row r="150" spans="1:23" s="72" customFormat="1" ht="16.5">
      <c r="A150" s="296" t="s">
        <v>499</v>
      </c>
      <c r="B150" s="6" t="s">
        <v>491</v>
      </c>
      <c r="C150" s="297" t="s">
        <v>1696</v>
      </c>
      <c r="D150" s="297" t="s">
        <v>681</v>
      </c>
      <c r="E150" s="299" t="s">
        <v>2565</v>
      </c>
      <c r="F150" s="299" t="s">
        <v>2918</v>
      </c>
      <c r="G150" s="300"/>
      <c r="H150" s="301"/>
      <c r="I150" s="6" t="s">
        <v>68</v>
      </c>
      <c r="J150" s="309">
        <v>5</v>
      </c>
      <c r="K150" s="303"/>
      <c r="L150" s="304"/>
      <c r="M150" s="305"/>
      <c r="N150" s="300"/>
      <c r="O150" s="309" t="s">
        <v>2324</v>
      </c>
      <c r="P150" s="310" t="s">
        <v>279</v>
      </c>
      <c r="Q150" s="309">
        <v>5</v>
      </c>
      <c r="R150" s="299" t="s">
        <v>293</v>
      </c>
      <c r="S150" s="2" t="s">
        <v>341</v>
      </c>
      <c r="T150" s="303"/>
      <c r="U150" s="303"/>
      <c r="W150" s="307"/>
    </row>
    <row r="151" spans="1:23" s="72" customFormat="1" ht="16.5">
      <c r="A151" s="296" t="s">
        <v>499</v>
      </c>
      <c r="B151" s="6" t="s">
        <v>491</v>
      </c>
      <c r="C151" s="297" t="s">
        <v>1696</v>
      </c>
      <c r="D151" s="297" t="s">
        <v>681</v>
      </c>
      <c r="E151" s="299" t="s">
        <v>2566</v>
      </c>
      <c r="F151" s="299" t="s">
        <v>2919</v>
      </c>
      <c r="G151" s="300"/>
      <c r="H151" s="301"/>
      <c r="I151" s="6" t="s">
        <v>68</v>
      </c>
      <c r="J151" s="309">
        <v>5</v>
      </c>
      <c r="K151" s="303"/>
      <c r="L151" s="304"/>
      <c r="M151" s="305"/>
      <c r="N151" s="300"/>
      <c r="O151" s="309" t="s">
        <v>2324</v>
      </c>
      <c r="P151" s="310" t="s">
        <v>279</v>
      </c>
      <c r="Q151" s="309">
        <v>5</v>
      </c>
      <c r="R151" s="299" t="s">
        <v>292</v>
      </c>
      <c r="S151" s="2" t="s">
        <v>341</v>
      </c>
      <c r="T151" s="303"/>
      <c r="U151" s="303"/>
      <c r="W151" s="307"/>
    </row>
    <row r="152" spans="1:23" s="72" customFormat="1" ht="16.5">
      <c r="A152" s="296" t="s">
        <v>499</v>
      </c>
      <c r="B152" s="6" t="s">
        <v>491</v>
      </c>
      <c r="C152" s="297" t="s">
        <v>1696</v>
      </c>
      <c r="D152" s="297" t="s">
        <v>681</v>
      </c>
      <c r="E152" s="299" t="s">
        <v>2807</v>
      </c>
      <c r="F152" s="299" t="s">
        <v>2920</v>
      </c>
      <c r="G152" s="300"/>
      <c r="H152" s="301"/>
      <c r="I152" s="6" t="s">
        <v>68</v>
      </c>
      <c r="J152" s="309">
        <v>9</v>
      </c>
      <c r="K152" s="309">
        <v>5</v>
      </c>
      <c r="L152" s="304"/>
      <c r="M152" s="305"/>
      <c r="N152" s="300"/>
      <c r="O152" s="309" t="s">
        <v>2324</v>
      </c>
      <c r="P152" s="310" t="s">
        <v>279</v>
      </c>
      <c r="Q152" s="309">
        <v>9.5</v>
      </c>
      <c r="R152" s="299" t="s">
        <v>281</v>
      </c>
      <c r="S152" s="2" t="s">
        <v>341</v>
      </c>
      <c r="T152" s="303"/>
      <c r="U152" s="303"/>
      <c r="W152" s="307"/>
    </row>
    <row r="153" spans="1:23" s="72" customFormat="1" ht="16.5">
      <c r="A153" s="140" t="s">
        <v>499</v>
      </c>
      <c r="B153" s="161" t="s">
        <v>491</v>
      </c>
      <c r="C153" s="165" t="s">
        <v>1696</v>
      </c>
      <c r="D153" s="165" t="s">
        <v>681</v>
      </c>
      <c r="E153" s="288" t="s">
        <v>3475</v>
      </c>
      <c r="F153" s="288" t="s">
        <v>3487</v>
      </c>
      <c r="G153" s="289"/>
      <c r="H153" s="290"/>
      <c r="I153" s="161" t="s">
        <v>53</v>
      </c>
      <c r="J153" s="291">
        <v>2</v>
      </c>
      <c r="K153" s="291"/>
      <c r="L153" s="292"/>
      <c r="M153" s="293"/>
      <c r="N153" s="289"/>
      <c r="O153" s="291" t="s">
        <v>274</v>
      </c>
      <c r="P153" s="294" t="s">
        <v>275</v>
      </c>
      <c r="Q153" s="291">
        <v>2</v>
      </c>
      <c r="R153" s="288" t="s">
        <v>3475</v>
      </c>
      <c r="S153" s="130" t="s">
        <v>341</v>
      </c>
      <c r="T153" s="295"/>
      <c r="U153" s="295"/>
      <c r="V153" s="311" t="s">
        <v>3474</v>
      </c>
      <c r="W153"/>
    </row>
    <row r="154" spans="1:23" s="72" customFormat="1" ht="16.5">
      <c r="A154" s="140" t="s">
        <v>499</v>
      </c>
      <c r="B154" s="161" t="s">
        <v>491</v>
      </c>
      <c r="C154" s="165" t="s">
        <v>1696</v>
      </c>
      <c r="D154" s="165" t="s">
        <v>681</v>
      </c>
      <c r="E154" s="288" t="s">
        <v>3476</v>
      </c>
      <c r="F154" s="288" t="s">
        <v>3488</v>
      </c>
      <c r="G154" s="289"/>
      <c r="H154" s="290"/>
      <c r="I154" s="161" t="s">
        <v>68</v>
      </c>
      <c r="J154" s="291">
        <v>4</v>
      </c>
      <c r="K154" s="291"/>
      <c r="L154" s="292"/>
      <c r="M154" s="293"/>
      <c r="N154" s="289"/>
      <c r="O154" s="291" t="s">
        <v>274</v>
      </c>
      <c r="P154" s="294" t="s">
        <v>279</v>
      </c>
      <c r="Q154" s="291">
        <v>4</v>
      </c>
      <c r="R154" s="288" t="s">
        <v>3476</v>
      </c>
      <c r="S154" s="130" t="s">
        <v>341</v>
      </c>
      <c r="T154" s="295"/>
      <c r="U154" s="295"/>
      <c r="V154" s="311" t="s">
        <v>3474</v>
      </c>
      <c r="W154"/>
    </row>
    <row r="155" spans="1:23" s="72" customFormat="1" ht="16.5">
      <c r="A155" s="140" t="s">
        <v>499</v>
      </c>
      <c r="B155" s="161" t="s">
        <v>491</v>
      </c>
      <c r="C155" s="165" t="s">
        <v>1696</v>
      </c>
      <c r="D155" s="165" t="s">
        <v>681</v>
      </c>
      <c r="E155" s="288" t="s">
        <v>3477</v>
      </c>
      <c r="F155" s="288" t="s">
        <v>3497</v>
      </c>
      <c r="G155" s="289"/>
      <c r="H155" s="290"/>
      <c r="I155" s="161" t="s">
        <v>68</v>
      </c>
      <c r="J155" s="291">
        <v>9</v>
      </c>
      <c r="K155" s="291">
        <v>2</v>
      </c>
      <c r="L155" s="292"/>
      <c r="M155" s="293"/>
      <c r="N155" s="289"/>
      <c r="O155" s="291" t="s">
        <v>274</v>
      </c>
      <c r="P155" s="294" t="s">
        <v>279</v>
      </c>
      <c r="Q155" s="291">
        <v>9.5</v>
      </c>
      <c r="R155" s="288" t="s">
        <v>3477</v>
      </c>
      <c r="S155" s="130" t="s">
        <v>341</v>
      </c>
      <c r="T155" s="295"/>
      <c r="U155" s="295"/>
      <c r="V155" s="311" t="s">
        <v>3474</v>
      </c>
      <c r="W155"/>
    </row>
    <row r="156" spans="1:23" s="72" customFormat="1" ht="16.5">
      <c r="A156" s="140" t="s">
        <v>499</v>
      </c>
      <c r="B156" s="161" t="s">
        <v>491</v>
      </c>
      <c r="C156" s="165" t="s">
        <v>1696</v>
      </c>
      <c r="D156" s="165" t="s">
        <v>681</v>
      </c>
      <c r="E156" s="288" t="s">
        <v>3478</v>
      </c>
      <c r="F156" s="288" t="s">
        <v>3482</v>
      </c>
      <c r="G156" s="289"/>
      <c r="H156" s="290"/>
      <c r="I156" s="161" t="s">
        <v>53</v>
      </c>
      <c r="J156" s="291">
        <v>2</v>
      </c>
      <c r="K156" s="291"/>
      <c r="L156" s="292"/>
      <c r="M156" s="293"/>
      <c r="N156" s="289"/>
      <c r="O156" s="291" t="s">
        <v>274</v>
      </c>
      <c r="P156" s="294" t="s">
        <v>275</v>
      </c>
      <c r="Q156" s="291">
        <v>2</v>
      </c>
      <c r="R156" s="288" t="s">
        <v>3478</v>
      </c>
      <c r="S156" s="130" t="s">
        <v>341</v>
      </c>
      <c r="T156" s="295"/>
      <c r="U156" s="295"/>
      <c r="V156" s="311" t="s">
        <v>3474</v>
      </c>
      <c r="W156"/>
    </row>
    <row r="157" spans="1:23" s="72" customFormat="1" ht="16.5">
      <c r="A157" s="140" t="s">
        <v>499</v>
      </c>
      <c r="B157" s="161" t="s">
        <v>491</v>
      </c>
      <c r="C157" s="165" t="s">
        <v>1696</v>
      </c>
      <c r="D157" s="165" t="s">
        <v>681</v>
      </c>
      <c r="E157" s="288" t="s">
        <v>3479</v>
      </c>
      <c r="F157" s="288" t="s">
        <v>3484</v>
      </c>
      <c r="G157" s="289"/>
      <c r="H157" s="290"/>
      <c r="I157" s="161" t="s">
        <v>68</v>
      </c>
      <c r="J157" s="291">
        <v>15</v>
      </c>
      <c r="K157" s="291"/>
      <c r="L157" s="292"/>
      <c r="M157" s="293"/>
      <c r="N157" s="289"/>
      <c r="O157" s="291" t="s">
        <v>274</v>
      </c>
      <c r="P157" s="294" t="s">
        <v>279</v>
      </c>
      <c r="Q157" s="291">
        <v>15</v>
      </c>
      <c r="R157" s="288" t="s">
        <v>3479</v>
      </c>
      <c r="S157" s="130" t="s">
        <v>341</v>
      </c>
      <c r="T157" s="295"/>
      <c r="U157" s="295"/>
      <c r="V157" s="311" t="s">
        <v>3474</v>
      </c>
      <c r="W157"/>
    </row>
    <row r="158" spans="1:23" s="72" customFormat="1" ht="16.5">
      <c r="A158" s="140" t="s">
        <v>499</v>
      </c>
      <c r="B158" s="161" t="s">
        <v>491</v>
      </c>
      <c r="C158" s="165" t="s">
        <v>1696</v>
      </c>
      <c r="D158" s="165" t="s">
        <v>681</v>
      </c>
      <c r="E158" s="288" t="s">
        <v>3480</v>
      </c>
      <c r="F158" s="288" t="s">
        <v>3489</v>
      </c>
      <c r="G158" s="289"/>
      <c r="H158" s="290"/>
      <c r="I158" s="161" t="s">
        <v>53</v>
      </c>
      <c r="J158" s="291">
        <v>1</v>
      </c>
      <c r="K158" s="291"/>
      <c r="L158" s="292"/>
      <c r="M158" s="293"/>
      <c r="N158" s="289"/>
      <c r="O158" s="291" t="s">
        <v>274</v>
      </c>
      <c r="P158" s="294" t="s">
        <v>275</v>
      </c>
      <c r="Q158" s="291">
        <v>1</v>
      </c>
      <c r="R158" s="288" t="s">
        <v>3480</v>
      </c>
      <c r="S158" s="130" t="s">
        <v>341</v>
      </c>
      <c r="T158" s="295"/>
      <c r="U158" s="295"/>
      <c r="V158" s="311" t="s">
        <v>3474</v>
      </c>
      <c r="W158"/>
    </row>
    <row r="159" spans="1:23" s="72" customFormat="1" ht="16.5">
      <c r="A159" s="2">
        <f>IF(D142=D159,A142+1,1)</f>
        <v>83</v>
      </c>
      <c r="B159" s="3" t="s">
        <v>491</v>
      </c>
      <c r="C159" s="17" t="s">
        <v>1696</v>
      </c>
      <c r="D159" s="17" t="s">
        <v>681</v>
      </c>
      <c r="E159" s="20" t="s">
        <v>72</v>
      </c>
      <c r="F159" s="46" t="s">
        <v>678</v>
      </c>
      <c r="G159" s="4" t="s">
        <v>54</v>
      </c>
      <c r="H159" s="4" t="s">
        <v>52</v>
      </c>
      <c r="I159" s="20" t="s">
        <v>73</v>
      </c>
      <c r="J159" s="21" t="s">
        <v>54</v>
      </c>
      <c r="K159" s="21" t="s">
        <v>54</v>
      </c>
      <c r="L159" s="5" t="s">
        <v>669</v>
      </c>
      <c r="M159" s="25"/>
      <c r="N159" s="20"/>
      <c r="O159" s="16"/>
      <c r="P159" s="16"/>
      <c r="Q159" s="16"/>
      <c r="R159" s="16" t="s">
        <v>680</v>
      </c>
      <c r="S159" s="2" t="s">
        <v>341</v>
      </c>
      <c r="T159" s="2"/>
      <c r="U159" s="2"/>
      <c r="W159"/>
    </row>
    <row r="160" spans="1:23" s="72" customFormat="1" ht="16.5">
      <c r="A160" s="2">
        <f t="shared" si="3"/>
        <v>84</v>
      </c>
      <c r="B160" s="3" t="s">
        <v>491</v>
      </c>
      <c r="C160" s="17" t="s">
        <v>1696</v>
      </c>
      <c r="D160" s="17" t="s">
        <v>681</v>
      </c>
      <c r="E160" s="20" t="s">
        <v>74</v>
      </c>
      <c r="F160" s="46" t="s">
        <v>74</v>
      </c>
      <c r="G160" s="4" t="s">
        <v>54</v>
      </c>
      <c r="H160" s="4" t="s">
        <v>52</v>
      </c>
      <c r="I160" s="20" t="s">
        <v>53</v>
      </c>
      <c r="J160" s="21">
        <v>12</v>
      </c>
      <c r="K160" s="21" t="s">
        <v>54</v>
      </c>
      <c r="L160" s="5" t="s">
        <v>669</v>
      </c>
      <c r="M160" s="25"/>
      <c r="N160" s="20"/>
      <c r="O160" s="16"/>
      <c r="P160" s="16"/>
      <c r="Q160" s="16"/>
      <c r="R160" s="16" t="s">
        <v>680</v>
      </c>
      <c r="S160" s="2" t="s">
        <v>341</v>
      </c>
      <c r="T160" s="2"/>
      <c r="U160" s="2"/>
      <c r="W160"/>
    </row>
    <row r="161" spans="1:25" s="72" customFormat="1" ht="16.5">
      <c r="A161" s="2">
        <f t="shared" si="3"/>
        <v>85</v>
      </c>
      <c r="B161" s="3" t="s">
        <v>491</v>
      </c>
      <c r="C161" s="17" t="s">
        <v>1696</v>
      </c>
      <c r="D161" s="17" t="s">
        <v>681</v>
      </c>
      <c r="E161" s="20" t="s">
        <v>75</v>
      </c>
      <c r="F161" s="46" t="s">
        <v>75</v>
      </c>
      <c r="G161" s="4" t="s">
        <v>54</v>
      </c>
      <c r="H161" s="4" t="s">
        <v>52</v>
      </c>
      <c r="I161" s="20" t="s">
        <v>53</v>
      </c>
      <c r="J161" s="21">
        <v>20</v>
      </c>
      <c r="K161" s="21" t="s">
        <v>54</v>
      </c>
      <c r="L161" s="5" t="s">
        <v>669</v>
      </c>
      <c r="M161" s="25"/>
      <c r="N161" s="20"/>
      <c r="O161" s="16"/>
      <c r="P161" s="16"/>
      <c r="Q161" s="16"/>
      <c r="R161" s="16" t="s">
        <v>680</v>
      </c>
      <c r="S161" s="2" t="s">
        <v>341</v>
      </c>
      <c r="T161" s="2"/>
      <c r="U161" s="2"/>
      <c r="W161"/>
    </row>
    <row r="162" spans="1:25" s="72" customFormat="1" ht="16.5">
      <c r="A162" s="2">
        <f t="shared" si="3"/>
        <v>1</v>
      </c>
      <c r="B162" s="3" t="s">
        <v>491</v>
      </c>
      <c r="C162" s="17" t="s">
        <v>1697</v>
      </c>
      <c r="D162" s="3" t="s">
        <v>682</v>
      </c>
      <c r="E162" s="3" t="s">
        <v>269</v>
      </c>
      <c r="F162" s="6" t="s">
        <v>494</v>
      </c>
      <c r="G162" s="4" t="s">
        <v>256</v>
      </c>
      <c r="H162" s="4" t="s">
        <v>257</v>
      </c>
      <c r="I162" s="3" t="s">
        <v>258</v>
      </c>
      <c r="J162" s="5">
        <v>12</v>
      </c>
      <c r="K162" s="5"/>
      <c r="L162" s="5" t="s">
        <v>669</v>
      </c>
      <c r="M162" s="25"/>
      <c r="N162" s="17"/>
      <c r="O162" s="16"/>
      <c r="P162" s="16"/>
      <c r="Q162" s="16"/>
      <c r="R162" s="16"/>
      <c r="S162" s="2"/>
      <c r="T162" s="2" t="s">
        <v>341</v>
      </c>
      <c r="U162" s="2"/>
      <c r="W162"/>
    </row>
    <row r="163" spans="1:25" s="72" customFormat="1" ht="16.5">
      <c r="A163" s="2">
        <f t="shared" si="3"/>
        <v>2</v>
      </c>
      <c r="B163" s="3" t="s">
        <v>491</v>
      </c>
      <c r="C163" s="17" t="s">
        <v>1697</v>
      </c>
      <c r="D163" s="3" t="s">
        <v>682</v>
      </c>
      <c r="E163" s="20" t="s">
        <v>260</v>
      </c>
      <c r="F163" s="46" t="s">
        <v>260</v>
      </c>
      <c r="G163" s="4" t="s">
        <v>51</v>
      </c>
      <c r="H163" s="4" t="s">
        <v>52</v>
      </c>
      <c r="I163" s="20" t="s">
        <v>53</v>
      </c>
      <c r="J163" s="21">
        <v>10</v>
      </c>
      <c r="K163" s="21" t="s">
        <v>54</v>
      </c>
      <c r="L163" s="5" t="s">
        <v>669</v>
      </c>
      <c r="M163" s="25"/>
      <c r="N163" s="20"/>
      <c r="O163" s="16" t="s">
        <v>327</v>
      </c>
      <c r="P163" s="16" t="s">
        <v>275</v>
      </c>
      <c r="Q163" s="16">
        <v>10</v>
      </c>
      <c r="R163" s="16" t="s">
        <v>260</v>
      </c>
      <c r="S163" s="2"/>
      <c r="T163" s="2" t="s">
        <v>341</v>
      </c>
      <c r="U163" s="2"/>
      <c r="W163"/>
    </row>
    <row r="164" spans="1:25" s="72" customFormat="1" ht="16.5">
      <c r="A164" s="2">
        <f t="shared" si="3"/>
        <v>3</v>
      </c>
      <c r="B164" s="3" t="s">
        <v>491</v>
      </c>
      <c r="C164" s="17" t="s">
        <v>1697</v>
      </c>
      <c r="D164" s="3" t="s">
        <v>682</v>
      </c>
      <c r="E164" s="20" t="s">
        <v>261</v>
      </c>
      <c r="F164" s="46" t="s">
        <v>261</v>
      </c>
      <c r="G164" s="4" t="s">
        <v>51</v>
      </c>
      <c r="H164" s="4" t="s">
        <v>52</v>
      </c>
      <c r="I164" s="20" t="s">
        <v>53</v>
      </c>
      <c r="J164" s="21">
        <v>5</v>
      </c>
      <c r="K164" s="21" t="s">
        <v>54</v>
      </c>
      <c r="L164" s="5" t="s">
        <v>669</v>
      </c>
      <c r="M164" s="25"/>
      <c r="N164" s="20"/>
      <c r="O164" s="16" t="s">
        <v>327</v>
      </c>
      <c r="P164" s="16" t="s">
        <v>275</v>
      </c>
      <c r="Q164" s="16">
        <v>5</v>
      </c>
      <c r="R164" s="16" t="s">
        <v>261</v>
      </c>
      <c r="S164" s="2"/>
      <c r="T164" s="2" t="s">
        <v>341</v>
      </c>
      <c r="U164" s="2"/>
      <c r="W164"/>
    </row>
    <row r="165" spans="1:25" s="72" customFormat="1" ht="16.5">
      <c r="A165" s="2">
        <f t="shared" si="3"/>
        <v>4</v>
      </c>
      <c r="B165" s="3" t="s">
        <v>491</v>
      </c>
      <c r="C165" s="17" t="s">
        <v>1697</v>
      </c>
      <c r="D165" s="3" t="s">
        <v>682</v>
      </c>
      <c r="E165" s="3" t="s">
        <v>270</v>
      </c>
      <c r="F165" s="6" t="s">
        <v>495</v>
      </c>
      <c r="G165" s="4"/>
      <c r="H165" s="4"/>
      <c r="I165" s="3" t="s">
        <v>258</v>
      </c>
      <c r="J165" s="5">
        <v>8</v>
      </c>
      <c r="K165" s="5"/>
      <c r="L165" s="5" t="s">
        <v>669</v>
      </c>
      <c r="M165" s="25"/>
      <c r="N165" s="17"/>
      <c r="O165" s="16"/>
      <c r="P165" s="16"/>
      <c r="Q165" s="16"/>
      <c r="R165" s="16"/>
      <c r="S165" s="2"/>
      <c r="T165" s="2" t="s">
        <v>341</v>
      </c>
      <c r="U165" s="2"/>
      <c r="W165"/>
    </row>
    <row r="166" spans="1:25" s="72" customFormat="1" ht="16.5">
      <c r="A166" s="2">
        <f t="shared" si="3"/>
        <v>5</v>
      </c>
      <c r="B166" s="3" t="s">
        <v>491</v>
      </c>
      <c r="C166" s="17" t="s">
        <v>1697</v>
      </c>
      <c r="D166" s="3" t="s">
        <v>682</v>
      </c>
      <c r="E166" s="3" t="s">
        <v>1</v>
      </c>
      <c r="F166" s="6" t="s">
        <v>1685</v>
      </c>
      <c r="G166" s="16"/>
      <c r="H166" s="16"/>
      <c r="I166" s="3" t="s">
        <v>53</v>
      </c>
      <c r="J166" s="2">
        <v>60</v>
      </c>
      <c r="K166" s="16"/>
      <c r="L166" s="5" t="s">
        <v>669</v>
      </c>
      <c r="M166" s="25"/>
      <c r="N166" s="16"/>
      <c r="O166" s="16" t="s">
        <v>327</v>
      </c>
      <c r="P166" s="16" t="s">
        <v>275</v>
      </c>
      <c r="Q166" s="16">
        <v>60</v>
      </c>
      <c r="R166" s="16" t="s">
        <v>1</v>
      </c>
      <c r="S166" s="2"/>
      <c r="T166" s="2" t="s">
        <v>341</v>
      </c>
      <c r="U166" s="2"/>
      <c r="W166"/>
      <c r="X166" s="148"/>
      <c r="Y166" s="174"/>
    </row>
    <row r="167" spans="1:25" s="72" customFormat="1" ht="16.5">
      <c r="A167" s="2">
        <f t="shared" si="3"/>
        <v>6</v>
      </c>
      <c r="B167" s="3" t="s">
        <v>491</v>
      </c>
      <c r="C167" s="17" t="s">
        <v>1697</v>
      </c>
      <c r="D167" s="3" t="s">
        <v>682</v>
      </c>
      <c r="E167" s="3" t="s">
        <v>2</v>
      </c>
      <c r="F167" s="6" t="s">
        <v>1635</v>
      </c>
      <c r="G167" s="16"/>
      <c r="H167" s="4" t="s">
        <v>257</v>
      </c>
      <c r="I167" s="3" t="s">
        <v>68</v>
      </c>
      <c r="J167" s="2">
        <v>15</v>
      </c>
      <c r="K167" s="16"/>
      <c r="L167" s="5" t="s">
        <v>669</v>
      </c>
      <c r="M167" s="25"/>
      <c r="N167" s="16"/>
      <c r="O167" s="16" t="s">
        <v>327</v>
      </c>
      <c r="P167" s="16" t="s">
        <v>279</v>
      </c>
      <c r="Q167" s="16">
        <v>15</v>
      </c>
      <c r="R167" s="16" t="s">
        <v>2</v>
      </c>
      <c r="S167" s="2"/>
      <c r="T167" s="2" t="s">
        <v>341</v>
      </c>
      <c r="U167" s="2"/>
      <c r="W167"/>
    </row>
    <row r="168" spans="1:25" s="72" customFormat="1" ht="16.5">
      <c r="A168" s="2">
        <f t="shared" si="3"/>
        <v>7</v>
      </c>
      <c r="B168" s="3" t="s">
        <v>491</v>
      </c>
      <c r="C168" s="17" t="s">
        <v>1697</v>
      </c>
      <c r="D168" s="3" t="s">
        <v>682</v>
      </c>
      <c r="E168" s="3" t="s">
        <v>3</v>
      </c>
      <c r="F168" s="6" t="s">
        <v>1636</v>
      </c>
      <c r="G168" s="16"/>
      <c r="H168" s="16"/>
      <c r="I168" s="3" t="s">
        <v>53</v>
      </c>
      <c r="J168" s="2">
        <v>1</v>
      </c>
      <c r="K168" s="16"/>
      <c r="L168" s="5" t="s">
        <v>669</v>
      </c>
      <c r="M168" s="25"/>
      <c r="N168" s="16"/>
      <c r="O168" s="16" t="s">
        <v>327</v>
      </c>
      <c r="P168" s="16" t="s">
        <v>275</v>
      </c>
      <c r="Q168" s="16">
        <v>1</v>
      </c>
      <c r="R168" s="16" t="s">
        <v>3</v>
      </c>
      <c r="S168" s="2"/>
      <c r="T168" s="2" t="s">
        <v>341</v>
      </c>
      <c r="U168" s="2"/>
      <c r="W168"/>
    </row>
    <row r="169" spans="1:25" s="72" customFormat="1" ht="16.5">
      <c r="A169" s="2">
        <f t="shared" si="3"/>
        <v>8</v>
      </c>
      <c r="B169" s="3" t="s">
        <v>491</v>
      </c>
      <c r="C169" s="17" t="s">
        <v>1697</v>
      </c>
      <c r="D169" s="3" t="s">
        <v>682</v>
      </c>
      <c r="E169" s="3" t="s">
        <v>244</v>
      </c>
      <c r="F169" s="6" t="s">
        <v>1637</v>
      </c>
      <c r="G169" s="16"/>
      <c r="H169" s="16"/>
      <c r="I169" s="3" t="s">
        <v>53</v>
      </c>
      <c r="J169" s="2">
        <v>2</v>
      </c>
      <c r="K169" s="16"/>
      <c r="L169" s="5" t="s">
        <v>669</v>
      </c>
      <c r="M169" s="25"/>
      <c r="N169" s="16"/>
      <c r="O169" s="16" t="s">
        <v>327</v>
      </c>
      <c r="P169" s="16" t="s">
        <v>275</v>
      </c>
      <c r="Q169" s="16">
        <v>2</v>
      </c>
      <c r="R169" s="16" t="s">
        <v>328</v>
      </c>
      <c r="S169" s="2"/>
      <c r="T169" s="2" t="s">
        <v>341</v>
      </c>
      <c r="U169" s="2"/>
      <c r="W169"/>
    </row>
    <row r="170" spans="1:25" s="72" customFormat="1" ht="16.5">
      <c r="A170" s="2">
        <f t="shared" si="3"/>
        <v>9</v>
      </c>
      <c r="B170" s="3" t="s">
        <v>491</v>
      </c>
      <c r="C170" s="17" t="s">
        <v>1697</v>
      </c>
      <c r="D170" s="3" t="s">
        <v>682</v>
      </c>
      <c r="E170" s="3" t="s">
        <v>245</v>
      </c>
      <c r="F170" s="6" t="s">
        <v>1638</v>
      </c>
      <c r="G170" s="16"/>
      <c r="H170" s="16"/>
      <c r="I170" s="3" t="s">
        <v>53</v>
      </c>
      <c r="J170" s="2">
        <v>1</v>
      </c>
      <c r="K170" s="16"/>
      <c r="L170" s="5" t="s">
        <v>669</v>
      </c>
      <c r="M170" s="25"/>
      <c r="N170" s="16"/>
      <c r="O170" s="16" t="s">
        <v>327</v>
      </c>
      <c r="P170" s="16" t="s">
        <v>275</v>
      </c>
      <c r="Q170" s="16">
        <v>1</v>
      </c>
      <c r="R170" s="16" t="s">
        <v>329</v>
      </c>
      <c r="S170" s="2"/>
      <c r="T170" s="2" t="s">
        <v>341</v>
      </c>
      <c r="U170" s="2"/>
      <c r="W170"/>
    </row>
    <row r="171" spans="1:25" s="72" customFormat="1" ht="16.5">
      <c r="A171" s="2">
        <f t="shared" si="3"/>
        <v>10</v>
      </c>
      <c r="B171" s="3" t="s">
        <v>491</v>
      </c>
      <c r="C171" s="17" t="s">
        <v>1697</v>
      </c>
      <c r="D171" s="3" t="s">
        <v>682</v>
      </c>
      <c r="E171" s="3" t="s">
        <v>246</v>
      </c>
      <c r="F171" s="6" t="s">
        <v>1639</v>
      </c>
      <c r="G171" s="16"/>
      <c r="H171" s="4" t="s">
        <v>257</v>
      </c>
      <c r="I171" s="3" t="s">
        <v>68</v>
      </c>
      <c r="J171" s="2">
        <v>15</v>
      </c>
      <c r="K171" s="16"/>
      <c r="L171" s="5" t="s">
        <v>669</v>
      </c>
      <c r="M171" s="25"/>
      <c r="N171" s="16"/>
      <c r="O171" s="16" t="s">
        <v>327</v>
      </c>
      <c r="P171" s="16" t="s">
        <v>279</v>
      </c>
      <c r="Q171" s="16">
        <v>15</v>
      </c>
      <c r="R171" s="16" t="s">
        <v>330</v>
      </c>
      <c r="S171" s="2"/>
      <c r="T171" s="2" t="s">
        <v>341</v>
      </c>
      <c r="U171" s="2"/>
      <c r="W171"/>
    </row>
    <row r="172" spans="1:25" s="72" customFormat="1" ht="16.5">
      <c r="A172" s="2">
        <f t="shared" si="3"/>
        <v>11</v>
      </c>
      <c r="B172" s="3" t="s">
        <v>491</v>
      </c>
      <c r="C172" s="17" t="s">
        <v>1697</v>
      </c>
      <c r="D172" s="3" t="s">
        <v>682</v>
      </c>
      <c r="E172" s="3" t="s">
        <v>247</v>
      </c>
      <c r="F172" s="6" t="s">
        <v>1640</v>
      </c>
      <c r="G172" s="16"/>
      <c r="H172" s="4" t="s">
        <v>257</v>
      </c>
      <c r="I172" s="3" t="s">
        <v>68</v>
      </c>
      <c r="J172" s="2">
        <v>5</v>
      </c>
      <c r="K172" s="16"/>
      <c r="L172" s="5" t="s">
        <v>669</v>
      </c>
      <c r="M172" s="25"/>
      <c r="N172" s="16"/>
      <c r="O172" s="16" t="s">
        <v>327</v>
      </c>
      <c r="P172" s="16" t="s">
        <v>279</v>
      </c>
      <c r="Q172" s="16">
        <v>5</v>
      </c>
      <c r="R172" s="16" t="s">
        <v>293</v>
      </c>
      <c r="S172" s="2"/>
      <c r="T172" s="2" t="s">
        <v>341</v>
      </c>
      <c r="U172" s="2"/>
      <c r="W172"/>
    </row>
    <row r="173" spans="1:25" s="72" customFormat="1" ht="16.5">
      <c r="A173" s="2">
        <f t="shared" si="3"/>
        <v>12</v>
      </c>
      <c r="B173" s="3" t="s">
        <v>491</v>
      </c>
      <c r="C173" s="17" t="s">
        <v>1697</v>
      </c>
      <c r="D173" s="3" t="s">
        <v>682</v>
      </c>
      <c r="E173" s="3" t="s">
        <v>248</v>
      </c>
      <c r="F173" s="6" t="s">
        <v>1641</v>
      </c>
      <c r="G173" s="16"/>
      <c r="H173" s="4" t="s">
        <v>257</v>
      </c>
      <c r="I173" s="3" t="s">
        <v>68</v>
      </c>
      <c r="J173" s="2">
        <v>5</v>
      </c>
      <c r="K173" s="16"/>
      <c r="L173" s="5" t="s">
        <v>669</v>
      </c>
      <c r="M173" s="25"/>
      <c r="N173" s="16"/>
      <c r="O173" s="16" t="s">
        <v>327</v>
      </c>
      <c r="P173" s="16" t="s">
        <v>279</v>
      </c>
      <c r="Q173" s="16">
        <v>5</v>
      </c>
      <c r="R173" s="16" t="s">
        <v>292</v>
      </c>
      <c r="S173" s="2"/>
      <c r="T173" s="2" t="s">
        <v>341</v>
      </c>
      <c r="U173" s="2"/>
      <c r="W173"/>
    </row>
    <row r="174" spans="1:25" s="72" customFormat="1" ht="16.5">
      <c r="A174" s="2">
        <f t="shared" si="3"/>
        <v>13</v>
      </c>
      <c r="B174" s="3" t="s">
        <v>491</v>
      </c>
      <c r="C174" s="17" t="s">
        <v>1697</v>
      </c>
      <c r="D174" s="3" t="s">
        <v>682</v>
      </c>
      <c r="E174" s="3" t="s">
        <v>4</v>
      </c>
      <c r="F174" s="6" t="s">
        <v>1686</v>
      </c>
      <c r="G174" s="16"/>
      <c r="H174" s="4" t="s">
        <v>257</v>
      </c>
      <c r="I174" s="3" t="s">
        <v>68</v>
      </c>
      <c r="J174" s="2">
        <v>15</v>
      </c>
      <c r="K174" s="16"/>
      <c r="L174" s="5" t="s">
        <v>669</v>
      </c>
      <c r="M174" s="25"/>
      <c r="N174" s="16"/>
      <c r="O174" s="16" t="s">
        <v>327</v>
      </c>
      <c r="P174" s="16" t="s">
        <v>279</v>
      </c>
      <c r="Q174" s="16">
        <v>15</v>
      </c>
      <c r="R174" s="16" t="s">
        <v>4</v>
      </c>
      <c r="S174" s="2"/>
      <c r="T174" s="2" t="s">
        <v>341</v>
      </c>
      <c r="U174" s="2"/>
      <c r="W174"/>
    </row>
    <row r="175" spans="1:25" s="72" customFormat="1" ht="16.5">
      <c r="A175" s="2">
        <f t="shared" si="3"/>
        <v>14</v>
      </c>
      <c r="B175" s="3" t="s">
        <v>491</v>
      </c>
      <c r="C175" s="17" t="s">
        <v>1697</v>
      </c>
      <c r="D175" s="3" t="s">
        <v>682</v>
      </c>
      <c r="E175" s="3" t="s">
        <v>249</v>
      </c>
      <c r="F175" s="6" t="s">
        <v>249</v>
      </c>
      <c r="G175" s="16"/>
      <c r="H175" s="16"/>
      <c r="I175" s="3" t="s">
        <v>53</v>
      </c>
      <c r="J175" s="2">
        <v>2</v>
      </c>
      <c r="K175" s="16"/>
      <c r="L175" s="5" t="s">
        <v>669</v>
      </c>
      <c r="M175" s="25"/>
      <c r="N175" s="16"/>
      <c r="O175" s="16" t="s">
        <v>327</v>
      </c>
      <c r="P175" s="16" t="s">
        <v>275</v>
      </c>
      <c r="Q175" s="16">
        <v>2</v>
      </c>
      <c r="R175" s="16" t="s">
        <v>331</v>
      </c>
      <c r="S175" s="2"/>
      <c r="T175" s="2" t="s">
        <v>341</v>
      </c>
      <c r="U175" s="2"/>
      <c r="W175"/>
    </row>
    <row r="176" spans="1:25" s="72" customFormat="1" ht="16.5">
      <c r="A176" s="2">
        <f t="shared" si="3"/>
        <v>15</v>
      </c>
      <c r="B176" s="3" t="s">
        <v>491</v>
      </c>
      <c r="C176" s="17" t="s">
        <v>1697</v>
      </c>
      <c r="D176" s="3" t="s">
        <v>682</v>
      </c>
      <c r="E176" s="3" t="s">
        <v>5</v>
      </c>
      <c r="F176" s="6" t="s">
        <v>1642</v>
      </c>
      <c r="G176" s="16"/>
      <c r="H176" s="16"/>
      <c r="I176" s="3" t="s">
        <v>53</v>
      </c>
      <c r="J176" s="2">
        <v>1</v>
      </c>
      <c r="K176" s="16"/>
      <c r="L176" s="5" t="s">
        <v>669</v>
      </c>
      <c r="M176" s="25"/>
      <c r="N176" s="16"/>
      <c r="O176" s="16" t="s">
        <v>327</v>
      </c>
      <c r="P176" s="16" t="s">
        <v>275</v>
      </c>
      <c r="Q176" s="16">
        <v>1</v>
      </c>
      <c r="R176" s="16" t="s">
        <v>5</v>
      </c>
      <c r="S176" s="2"/>
      <c r="T176" s="2" t="s">
        <v>341</v>
      </c>
      <c r="U176" s="2"/>
      <c r="W176"/>
    </row>
    <row r="177" spans="1:23 16362:16369" s="72" customFormat="1" ht="16.5">
      <c r="A177" s="2">
        <f t="shared" si="3"/>
        <v>16</v>
      </c>
      <c r="B177" s="3" t="s">
        <v>491</v>
      </c>
      <c r="C177" s="17" t="s">
        <v>1697</v>
      </c>
      <c r="D177" s="3" t="s">
        <v>682</v>
      </c>
      <c r="E177" s="3" t="s">
        <v>6</v>
      </c>
      <c r="F177" s="6" t="s">
        <v>6</v>
      </c>
      <c r="G177" s="16"/>
      <c r="H177" s="16"/>
      <c r="I177" s="3" t="s">
        <v>53</v>
      </c>
      <c r="J177" s="2">
        <v>1</v>
      </c>
      <c r="K177" s="16"/>
      <c r="L177" s="5" t="s">
        <v>669</v>
      </c>
      <c r="M177" s="25"/>
      <c r="N177" s="16"/>
      <c r="O177" s="16" t="s">
        <v>327</v>
      </c>
      <c r="P177" s="16" t="s">
        <v>275</v>
      </c>
      <c r="Q177" s="16">
        <v>1</v>
      </c>
      <c r="R177" s="16" t="s">
        <v>6</v>
      </c>
      <c r="S177" s="2"/>
      <c r="T177" s="2" t="s">
        <v>341</v>
      </c>
      <c r="U177" s="2"/>
      <c r="W177"/>
    </row>
    <row r="178" spans="1:23 16362:16369" s="72" customFormat="1" ht="16.5">
      <c r="A178" s="2">
        <f t="shared" si="3"/>
        <v>17</v>
      </c>
      <c r="B178" s="3" t="s">
        <v>491</v>
      </c>
      <c r="C178" s="17" t="s">
        <v>1697</v>
      </c>
      <c r="D178" s="3" t="s">
        <v>682</v>
      </c>
      <c r="E178" s="3" t="s">
        <v>7</v>
      </c>
      <c r="F178" s="6" t="s">
        <v>7</v>
      </c>
      <c r="G178" s="16"/>
      <c r="H178" s="16"/>
      <c r="I178" s="16" t="s">
        <v>53</v>
      </c>
      <c r="J178" s="2">
        <v>1</v>
      </c>
      <c r="K178" s="16"/>
      <c r="L178" s="5" t="s">
        <v>669</v>
      </c>
      <c r="M178" s="25"/>
      <c r="N178" s="16"/>
      <c r="O178" s="16" t="s">
        <v>327</v>
      </c>
      <c r="P178" s="16" t="s">
        <v>275</v>
      </c>
      <c r="Q178" s="16">
        <v>1</v>
      </c>
      <c r="R178" s="16" t="s">
        <v>7</v>
      </c>
      <c r="S178" s="2"/>
      <c r="T178" s="2" t="s">
        <v>341</v>
      </c>
      <c r="U178" s="2"/>
      <c r="W178"/>
    </row>
    <row r="179" spans="1:23 16362:16369" s="72" customFormat="1" ht="16.5">
      <c r="A179" s="2">
        <f t="shared" si="3"/>
        <v>18</v>
      </c>
      <c r="B179" s="3" t="s">
        <v>491</v>
      </c>
      <c r="C179" s="17" t="s">
        <v>1697</v>
      </c>
      <c r="D179" s="3" t="s">
        <v>682</v>
      </c>
      <c r="E179" s="3" t="s">
        <v>250</v>
      </c>
      <c r="F179" s="6" t="s">
        <v>1643</v>
      </c>
      <c r="G179" s="16"/>
      <c r="H179" s="4" t="s">
        <v>257</v>
      </c>
      <c r="I179" s="16" t="s">
        <v>68</v>
      </c>
      <c r="J179" s="2">
        <v>15</v>
      </c>
      <c r="K179" s="16"/>
      <c r="L179" s="5" t="s">
        <v>669</v>
      </c>
      <c r="M179" s="25"/>
      <c r="N179" s="16"/>
      <c r="O179" s="16" t="s">
        <v>327</v>
      </c>
      <c r="P179" s="16" t="s">
        <v>279</v>
      </c>
      <c r="Q179" s="16">
        <v>15</v>
      </c>
      <c r="R179" s="16" t="s">
        <v>332</v>
      </c>
      <c r="S179" s="2"/>
      <c r="T179" s="2" t="s">
        <v>341</v>
      </c>
      <c r="U179" s="2"/>
      <c r="W179"/>
    </row>
    <row r="180" spans="1:23 16362:16369" s="72" customFormat="1" ht="16.5">
      <c r="A180" s="2">
        <f t="shared" si="3"/>
        <v>19</v>
      </c>
      <c r="B180" s="3" t="s">
        <v>491</v>
      </c>
      <c r="C180" s="17" t="s">
        <v>1697</v>
      </c>
      <c r="D180" s="3" t="s">
        <v>682</v>
      </c>
      <c r="E180" s="3" t="s">
        <v>251</v>
      </c>
      <c r="F180" s="6" t="s">
        <v>251</v>
      </c>
      <c r="G180" s="16"/>
      <c r="H180" s="4" t="s">
        <v>257</v>
      </c>
      <c r="I180" s="16" t="s">
        <v>68</v>
      </c>
      <c r="J180" s="2">
        <v>9</v>
      </c>
      <c r="K180" s="2">
        <v>5</v>
      </c>
      <c r="L180" s="5" t="s">
        <v>669</v>
      </c>
      <c r="M180" s="25"/>
      <c r="N180" s="16"/>
      <c r="O180" s="16" t="s">
        <v>327</v>
      </c>
      <c r="P180" s="16" t="s">
        <v>279</v>
      </c>
      <c r="Q180" s="16">
        <v>9.5</v>
      </c>
      <c r="R180" s="16" t="s">
        <v>281</v>
      </c>
      <c r="S180" s="2"/>
      <c r="T180" s="2" t="s">
        <v>341</v>
      </c>
      <c r="U180" s="2"/>
      <c r="W180"/>
      <c r="XEN180" s="2"/>
      <c r="XEO180" s="3"/>
    </row>
    <row r="181" spans="1:23 16362:16369" s="72" customFormat="1" ht="16.5">
      <c r="A181" s="2">
        <f t="shared" si="3"/>
        <v>20</v>
      </c>
      <c r="B181" s="3" t="s">
        <v>491</v>
      </c>
      <c r="C181" s="17" t="s">
        <v>1697</v>
      </c>
      <c r="D181" s="3" t="s">
        <v>682</v>
      </c>
      <c r="E181" s="3" t="s">
        <v>252</v>
      </c>
      <c r="F181" s="104" t="s">
        <v>1694</v>
      </c>
      <c r="G181" s="16"/>
      <c r="H181" s="16"/>
      <c r="I181" s="16" t="s">
        <v>53</v>
      </c>
      <c r="J181" s="2">
        <v>2</v>
      </c>
      <c r="K181" s="16"/>
      <c r="L181" s="5" t="s">
        <v>669</v>
      </c>
      <c r="M181" s="25"/>
      <c r="N181" s="16"/>
      <c r="O181" s="16" t="s">
        <v>327</v>
      </c>
      <c r="P181" s="16" t="s">
        <v>275</v>
      </c>
      <c r="Q181" s="16">
        <v>2</v>
      </c>
      <c r="R181" s="16" t="s">
        <v>333</v>
      </c>
      <c r="S181" s="2"/>
      <c r="T181" s="2" t="s">
        <v>341</v>
      </c>
      <c r="U181" s="2"/>
      <c r="V181" s="72" t="s">
        <v>3553</v>
      </c>
      <c r="W181"/>
      <c r="XEH181" s="2"/>
      <c r="XEI181" s="3"/>
      <c r="XEN181" s="2"/>
      <c r="XEO181" s="3"/>
    </row>
    <row r="182" spans="1:23 16362:16369" s="74" customFormat="1" ht="16.5">
      <c r="A182" s="2">
        <f t="shared" si="3"/>
        <v>21</v>
      </c>
      <c r="B182" s="3" t="s">
        <v>491</v>
      </c>
      <c r="C182" s="17" t="s">
        <v>1697</v>
      </c>
      <c r="D182" s="3" t="s">
        <v>682</v>
      </c>
      <c r="E182" s="3" t="s">
        <v>253</v>
      </c>
      <c r="F182" s="6" t="s">
        <v>253</v>
      </c>
      <c r="G182" s="16"/>
      <c r="H182" s="4" t="s">
        <v>257</v>
      </c>
      <c r="I182" s="16" t="s">
        <v>68</v>
      </c>
      <c r="J182" s="2">
        <v>15</v>
      </c>
      <c r="K182" s="16"/>
      <c r="L182" s="5" t="s">
        <v>669</v>
      </c>
      <c r="M182" s="25"/>
      <c r="N182" s="16"/>
      <c r="O182" s="16" t="s">
        <v>327</v>
      </c>
      <c r="P182" s="16" t="s">
        <v>279</v>
      </c>
      <c r="Q182" s="16">
        <v>15</v>
      </c>
      <c r="R182" s="16" t="s">
        <v>334</v>
      </c>
      <c r="S182" s="2"/>
      <c r="T182" s="2" t="s">
        <v>341</v>
      </c>
      <c r="U182" s="2"/>
      <c r="V182" s="72"/>
      <c r="W182"/>
    </row>
    <row r="183" spans="1:23 16362:16369" s="72" customFormat="1" ht="16.5">
      <c r="A183" s="2">
        <f t="shared" si="3"/>
        <v>22</v>
      </c>
      <c r="B183" s="3" t="s">
        <v>491</v>
      </c>
      <c r="C183" s="17" t="s">
        <v>1697</v>
      </c>
      <c r="D183" s="3" t="s">
        <v>682</v>
      </c>
      <c r="E183" s="3" t="s">
        <v>254</v>
      </c>
      <c r="F183" s="6" t="s">
        <v>254</v>
      </c>
      <c r="G183" s="16"/>
      <c r="H183" s="4" t="s">
        <v>257</v>
      </c>
      <c r="I183" s="16" t="s">
        <v>68</v>
      </c>
      <c r="J183" s="2">
        <v>15</v>
      </c>
      <c r="K183" s="16"/>
      <c r="L183" s="5" t="s">
        <v>669</v>
      </c>
      <c r="M183" s="25"/>
      <c r="N183" s="16"/>
      <c r="O183" s="16" t="s">
        <v>327</v>
      </c>
      <c r="P183" s="16" t="s">
        <v>279</v>
      </c>
      <c r="Q183" s="16">
        <v>15</v>
      </c>
      <c r="R183" s="16" t="s">
        <v>335</v>
      </c>
      <c r="S183" s="2"/>
      <c r="T183" s="2" t="s">
        <v>341</v>
      </c>
      <c r="U183" s="2"/>
      <c r="W183"/>
    </row>
    <row r="184" spans="1:23 16362:16369" s="72" customFormat="1" ht="16.5">
      <c r="A184" s="2">
        <f t="shared" si="3"/>
        <v>23</v>
      </c>
      <c r="B184" s="3" t="s">
        <v>491</v>
      </c>
      <c r="C184" s="17" t="s">
        <v>1697</v>
      </c>
      <c r="D184" s="3" t="s">
        <v>682</v>
      </c>
      <c r="E184" s="3" t="s">
        <v>255</v>
      </c>
      <c r="F184" s="6" t="s">
        <v>255</v>
      </c>
      <c r="G184" s="16"/>
      <c r="H184" s="16"/>
      <c r="I184" s="16" t="s">
        <v>53</v>
      </c>
      <c r="J184" s="2">
        <v>2</v>
      </c>
      <c r="K184" s="16"/>
      <c r="L184" s="5" t="s">
        <v>669</v>
      </c>
      <c r="M184" s="25"/>
      <c r="N184" s="16"/>
      <c r="O184" s="16" t="s">
        <v>327</v>
      </c>
      <c r="P184" s="16" t="s">
        <v>275</v>
      </c>
      <c r="Q184" s="16">
        <v>2</v>
      </c>
      <c r="R184" s="16" t="s">
        <v>336</v>
      </c>
      <c r="S184" s="2"/>
      <c r="T184" s="2" t="s">
        <v>341</v>
      </c>
      <c r="U184" s="2"/>
      <c r="W184"/>
    </row>
    <row r="185" spans="1:23 16362:16369" s="72" customFormat="1" ht="16.5">
      <c r="A185" s="131" t="s">
        <v>499</v>
      </c>
      <c r="B185" s="161" t="s">
        <v>491</v>
      </c>
      <c r="C185" s="165" t="s">
        <v>1697</v>
      </c>
      <c r="D185" s="161" t="s">
        <v>682</v>
      </c>
      <c r="E185" s="144" t="s">
        <v>2705</v>
      </c>
      <c r="F185" s="164" t="s">
        <v>2818</v>
      </c>
      <c r="G185" s="155"/>
      <c r="H185" s="155"/>
      <c r="I185" s="160" t="s">
        <v>53</v>
      </c>
      <c r="J185" s="134">
        <v>1</v>
      </c>
      <c r="K185" s="155"/>
      <c r="L185" s="138"/>
      <c r="M185" s="139"/>
      <c r="N185" s="155"/>
      <c r="O185" s="134" t="s">
        <v>327</v>
      </c>
      <c r="P185" s="169" t="s">
        <v>275</v>
      </c>
      <c r="Q185" s="134">
        <v>1</v>
      </c>
      <c r="R185" s="144" t="s">
        <v>2705</v>
      </c>
      <c r="S185" s="156"/>
      <c r="T185" s="130" t="s">
        <v>341</v>
      </c>
      <c r="U185" s="156"/>
      <c r="W185"/>
    </row>
    <row r="186" spans="1:23 16362:16369" s="72" customFormat="1" ht="16.5">
      <c r="A186" s="131" t="s">
        <v>499</v>
      </c>
      <c r="B186" s="161" t="s">
        <v>491</v>
      </c>
      <c r="C186" s="165" t="s">
        <v>1697</v>
      </c>
      <c r="D186" s="161" t="s">
        <v>682</v>
      </c>
      <c r="E186" s="144" t="s">
        <v>2706</v>
      </c>
      <c r="F186" s="164" t="s">
        <v>2706</v>
      </c>
      <c r="G186" s="155"/>
      <c r="H186" s="155"/>
      <c r="I186" s="160" t="s">
        <v>53</v>
      </c>
      <c r="J186" s="134">
        <v>1</v>
      </c>
      <c r="K186" s="155"/>
      <c r="L186" s="138"/>
      <c r="M186" s="139"/>
      <c r="N186" s="155"/>
      <c r="O186" s="134" t="s">
        <v>327</v>
      </c>
      <c r="P186" s="169" t="s">
        <v>275</v>
      </c>
      <c r="Q186" s="134">
        <v>1</v>
      </c>
      <c r="R186" s="144" t="s">
        <v>2706</v>
      </c>
      <c r="S186" s="156"/>
      <c r="T186" s="130" t="s">
        <v>341</v>
      </c>
      <c r="U186" s="156"/>
      <c r="W186"/>
    </row>
    <row r="187" spans="1:23 16362:16369" s="72" customFormat="1" ht="16.5">
      <c r="A187" s="131" t="s">
        <v>499</v>
      </c>
      <c r="B187" s="161" t="s">
        <v>491</v>
      </c>
      <c r="C187" s="165" t="s">
        <v>1697</v>
      </c>
      <c r="D187" s="161" t="s">
        <v>682</v>
      </c>
      <c r="E187" s="144" t="s">
        <v>2707</v>
      </c>
      <c r="F187" s="164" t="s">
        <v>2819</v>
      </c>
      <c r="G187" s="155"/>
      <c r="H187" s="155"/>
      <c r="I187" s="160" t="s">
        <v>53</v>
      </c>
      <c r="J187" s="134">
        <v>1</v>
      </c>
      <c r="K187" s="155"/>
      <c r="L187" s="138"/>
      <c r="M187" s="139"/>
      <c r="N187" s="155"/>
      <c r="O187" s="134" t="s">
        <v>327</v>
      </c>
      <c r="P187" s="134" t="s">
        <v>275</v>
      </c>
      <c r="Q187" s="134">
        <v>1</v>
      </c>
      <c r="R187" s="144" t="s">
        <v>2707</v>
      </c>
      <c r="S187" s="156"/>
      <c r="T187" s="130" t="s">
        <v>341</v>
      </c>
      <c r="U187" s="156"/>
      <c r="W187"/>
    </row>
    <row r="188" spans="1:23 16362:16369" s="72" customFormat="1" ht="16.5">
      <c r="A188" s="131" t="s">
        <v>499</v>
      </c>
      <c r="B188" s="161" t="s">
        <v>491</v>
      </c>
      <c r="C188" s="165" t="s">
        <v>1697</v>
      </c>
      <c r="D188" s="161" t="s">
        <v>682</v>
      </c>
      <c r="E188" s="144" t="s">
        <v>2708</v>
      </c>
      <c r="F188" s="164" t="s">
        <v>2708</v>
      </c>
      <c r="G188" s="155"/>
      <c r="H188" s="155"/>
      <c r="I188" s="160" t="s">
        <v>53</v>
      </c>
      <c r="J188" s="134">
        <v>1</v>
      </c>
      <c r="K188" s="155"/>
      <c r="L188" s="138"/>
      <c r="M188" s="139"/>
      <c r="N188" s="155"/>
      <c r="O188" s="134" t="s">
        <v>327</v>
      </c>
      <c r="P188" s="134" t="s">
        <v>275</v>
      </c>
      <c r="Q188" s="134">
        <v>1</v>
      </c>
      <c r="R188" s="144" t="s">
        <v>2708</v>
      </c>
      <c r="S188" s="156"/>
      <c r="T188" s="130" t="s">
        <v>341</v>
      </c>
      <c r="U188" s="156"/>
      <c r="W188"/>
    </row>
    <row r="189" spans="1:23 16362:16369" s="72" customFormat="1" ht="16.5">
      <c r="A189" s="131" t="s">
        <v>499</v>
      </c>
      <c r="B189" s="161" t="s">
        <v>491</v>
      </c>
      <c r="C189" s="165" t="s">
        <v>1697</v>
      </c>
      <c r="D189" s="161" t="s">
        <v>682</v>
      </c>
      <c r="E189" s="144" t="s">
        <v>2709</v>
      </c>
      <c r="F189" s="164" t="s">
        <v>2820</v>
      </c>
      <c r="G189" s="155"/>
      <c r="H189" s="155"/>
      <c r="I189" s="160" t="s">
        <v>68</v>
      </c>
      <c r="J189" s="134">
        <v>15</v>
      </c>
      <c r="K189" s="155"/>
      <c r="L189" s="138"/>
      <c r="M189" s="139"/>
      <c r="N189" s="155"/>
      <c r="O189" s="134" t="s">
        <v>327</v>
      </c>
      <c r="P189" s="134" t="s">
        <v>279</v>
      </c>
      <c r="Q189" s="134">
        <v>15</v>
      </c>
      <c r="R189" s="144" t="s">
        <v>2709</v>
      </c>
      <c r="S189" s="156"/>
      <c r="T189" s="130" t="s">
        <v>341</v>
      </c>
      <c r="U189" s="156"/>
      <c r="W189"/>
    </row>
    <row r="190" spans="1:23 16362:16369" s="72" customFormat="1" ht="16.5">
      <c r="A190" s="131" t="s">
        <v>499</v>
      </c>
      <c r="B190" s="161" t="s">
        <v>491</v>
      </c>
      <c r="C190" s="165" t="s">
        <v>1697</v>
      </c>
      <c r="D190" s="161" t="s">
        <v>682</v>
      </c>
      <c r="E190" s="144" t="s">
        <v>2710</v>
      </c>
      <c r="F190" s="164" t="s">
        <v>2821</v>
      </c>
      <c r="G190" s="155"/>
      <c r="H190" s="155"/>
      <c r="I190" s="160" t="s">
        <v>68</v>
      </c>
      <c r="J190" s="134">
        <v>15</v>
      </c>
      <c r="K190" s="155"/>
      <c r="L190" s="138"/>
      <c r="M190" s="139"/>
      <c r="N190" s="155"/>
      <c r="O190" s="134" t="s">
        <v>327</v>
      </c>
      <c r="P190" s="134" t="s">
        <v>279</v>
      </c>
      <c r="Q190" s="134">
        <v>15</v>
      </c>
      <c r="R190" s="144" t="s">
        <v>2710</v>
      </c>
      <c r="S190" s="156"/>
      <c r="T190" s="130" t="s">
        <v>341</v>
      </c>
      <c r="U190" s="156"/>
      <c r="W190"/>
    </row>
    <row r="191" spans="1:23 16362:16369" s="72" customFormat="1" ht="16.5">
      <c r="A191" s="131" t="s">
        <v>499</v>
      </c>
      <c r="B191" s="161" t="s">
        <v>491</v>
      </c>
      <c r="C191" s="165" t="s">
        <v>1697</v>
      </c>
      <c r="D191" s="161" t="s">
        <v>682</v>
      </c>
      <c r="E191" s="144" t="s">
        <v>1975</v>
      </c>
      <c r="F191" s="164" t="s">
        <v>2822</v>
      </c>
      <c r="G191" s="155"/>
      <c r="H191" s="155"/>
      <c r="I191" s="160" t="s">
        <v>68</v>
      </c>
      <c r="J191" s="134">
        <v>15</v>
      </c>
      <c r="K191" s="155"/>
      <c r="L191" s="138"/>
      <c r="M191" s="139"/>
      <c r="N191" s="155"/>
      <c r="O191" s="134" t="s">
        <v>327</v>
      </c>
      <c r="P191" s="134" t="s">
        <v>279</v>
      </c>
      <c r="Q191" s="134">
        <v>15</v>
      </c>
      <c r="R191" s="144" t="s">
        <v>1975</v>
      </c>
      <c r="S191" s="156"/>
      <c r="T191" s="130" t="s">
        <v>341</v>
      </c>
      <c r="U191" s="156"/>
      <c r="W191"/>
    </row>
    <row r="192" spans="1:23 16362:16369" s="72" customFormat="1" ht="16.5">
      <c r="A192" s="131" t="s">
        <v>499</v>
      </c>
      <c r="B192" s="161" t="s">
        <v>491</v>
      </c>
      <c r="C192" s="165" t="s">
        <v>1697</v>
      </c>
      <c r="D192" s="161" t="s">
        <v>682</v>
      </c>
      <c r="E192" s="144" t="s">
        <v>1977</v>
      </c>
      <c r="F192" s="164" t="s">
        <v>2823</v>
      </c>
      <c r="G192" s="173"/>
      <c r="H192" s="173"/>
      <c r="I192" s="160" t="s">
        <v>68</v>
      </c>
      <c r="J192" s="134">
        <v>15</v>
      </c>
      <c r="K192" s="173"/>
      <c r="L192" s="151"/>
      <c r="M192" s="159"/>
      <c r="N192" s="173"/>
      <c r="O192" s="134" t="s">
        <v>327</v>
      </c>
      <c r="P192" s="134" t="s">
        <v>279</v>
      </c>
      <c r="Q192" s="134">
        <v>15</v>
      </c>
      <c r="R192" s="144" t="s">
        <v>1977</v>
      </c>
      <c r="S192" s="141"/>
      <c r="T192" s="130" t="s">
        <v>341</v>
      </c>
      <c r="U192" s="141"/>
      <c r="W192"/>
    </row>
    <row r="193" spans="1:23" s="72" customFormat="1" ht="16.5">
      <c r="A193" s="131" t="s">
        <v>499</v>
      </c>
      <c r="B193" s="161" t="s">
        <v>491</v>
      </c>
      <c r="C193" s="165" t="s">
        <v>1697</v>
      </c>
      <c r="D193" s="161" t="s">
        <v>682</v>
      </c>
      <c r="E193" s="144" t="s">
        <v>2711</v>
      </c>
      <c r="F193" s="164" t="s">
        <v>2824</v>
      </c>
      <c r="G193" s="173"/>
      <c r="H193" s="173"/>
      <c r="I193" s="160" t="s">
        <v>68</v>
      </c>
      <c r="J193" s="134">
        <v>15</v>
      </c>
      <c r="K193" s="173"/>
      <c r="L193" s="151"/>
      <c r="M193" s="159"/>
      <c r="N193" s="173"/>
      <c r="O193" s="134" t="s">
        <v>327</v>
      </c>
      <c r="P193" s="134" t="s">
        <v>279</v>
      </c>
      <c r="Q193" s="134">
        <v>15</v>
      </c>
      <c r="R193" s="144" t="s">
        <v>2711</v>
      </c>
      <c r="S193" s="141"/>
      <c r="T193" s="130" t="s">
        <v>341</v>
      </c>
      <c r="U193" s="141"/>
      <c r="W193"/>
    </row>
    <row r="194" spans="1:23" s="72" customFormat="1" ht="16.5">
      <c r="A194" s="131" t="s">
        <v>499</v>
      </c>
      <c r="B194" s="161" t="s">
        <v>491</v>
      </c>
      <c r="C194" s="165" t="s">
        <v>1697</v>
      </c>
      <c r="D194" s="161" t="s">
        <v>682</v>
      </c>
      <c r="E194" s="144" t="s">
        <v>2712</v>
      </c>
      <c r="F194" s="164" t="s">
        <v>2825</v>
      </c>
      <c r="G194" s="173"/>
      <c r="H194" s="173"/>
      <c r="I194" s="160" t="s">
        <v>68</v>
      </c>
      <c r="J194" s="134">
        <v>15</v>
      </c>
      <c r="K194" s="173"/>
      <c r="L194" s="151"/>
      <c r="M194" s="159"/>
      <c r="N194" s="173"/>
      <c r="O194" s="134" t="s">
        <v>327</v>
      </c>
      <c r="P194" s="134" t="s">
        <v>279</v>
      </c>
      <c r="Q194" s="134">
        <v>15</v>
      </c>
      <c r="R194" s="144" t="s">
        <v>2712</v>
      </c>
      <c r="S194" s="141"/>
      <c r="T194" s="130" t="s">
        <v>341</v>
      </c>
      <c r="U194" s="141"/>
      <c r="W194"/>
    </row>
    <row r="195" spans="1:23" s="72" customFormat="1" ht="16.5">
      <c r="A195" s="131" t="s">
        <v>499</v>
      </c>
      <c r="B195" s="161" t="s">
        <v>491</v>
      </c>
      <c r="C195" s="165" t="s">
        <v>1697</v>
      </c>
      <c r="D195" s="161" t="s">
        <v>682</v>
      </c>
      <c r="E195" s="144" t="s">
        <v>2713</v>
      </c>
      <c r="F195" s="164" t="s">
        <v>2826</v>
      </c>
      <c r="G195" s="173"/>
      <c r="H195" s="173"/>
      <c r="I195" s="160" t="s">
        <v>68</v>
      </c>
      <c r="J195" s="134">
        <v>15</v>
      </c>
      <c r="K195" s="173"/>
      <c r="L195" s="151"/>
      <c r="M195" s="159"/>
      <c r="N195" s="173"/>
      <c r="O195" s="134" t="s">
        <v>327</v>
      </c>
      <c r="P195" s="134" t="s">
        <v>279</v>
      </c>
      <c r="Q195" s="134">
        <v>15</v>
      </c>
      <c r="R195" s="144" t="s">
        <v>2713</v>
      </c>
      <c r="S195" s="141"/>
      <c r="T195" s="130" t="s">
        <v>341</v>
      </c>
      <c r="U195" s="141"/>
      <c r="W195"/>
    </row>
    <row r="196" spans="1:23" s="72" customFormat="1" ht="16.5">
      <c r="A196" s="131" t="s">
        <v>499</v>
      </c>
      <c r="B196" s="161" t="s">
        <v>491</v>
      </c>
      <c r="C196" s="165" t="s">
        <v>1697</v>
      </c>
      <c r="D196" s="161" t="s">
        <v>682</v>
      </c>
      <c r="E196" s="144" t="s">
        <v>1931</v>
      </c>
      <c r="F196" s="164" t="s">
        <v>2827</v>
      </c>
      <c r="G196" s="173"/>
      <c r="H196" s="173"/>
      <c r="I196" s="160" t="s">
        <v>68</v>
      </c>
      <c r="J196" s="134">
        <v>15</v>
      </c>
      <c r="K196" s="173"/>
      <c r="L196" s="151"/>
      <c r="M196" s="159"/>
      <c r="N196" s="173"/>
      <c r="O196" s="134" t="s">
        <v>327</v>
      </c>
      <c r="P196" s="134" t="s">
        <v>279</v>
      </c>
      <c r="Q196" s="134">
        <v>15</v>
      </c>
      <c r="R196" s="144" t="s">
        <v>1931</v>
      </c>
      <c r="S196" s="141"/>
      <c r="T196" s="130" t="s">
        <v>341</v>
      </c>
      <c r="U196" s="141"/>
      <c r="W196"/>
    </row>
    <row r="197" spans="1:23" s="72" customFormat="1" ht="16.5">
      <c r="A197" s="131" t="s">
        <v>499</v>
      </c>
      <c r="B197" s="161" t="s">
        <v>491</v>
      </c>
      <c r="C197" s="165" t="s">
        <v>1697</v>
      </c>
      <c r="D197" s="161" t="s">
        <v>682</v>
      </c>
      <c r="E197" s="144" t="s">
        <v>2714</v>
      </c>
      <c r="F197" s="164" t="s">
        <v>2828</v>
      </c>
      <c r="G197" s="173"/>
      <c r="H197" s="173"/>
      <c r="I197" s="160" t="s">
        <v>68</v>
      </c>
      <c r="J197" s="134">
        <v>15</v>
      </c>
      <c r="K197" s="173"/>
      <c r="L197" s="151"/>
      <c r="M197" s="159"/>
      <c r="N197" s="173"/>
      <c r="O197" s="134" t="s">
        <v>327</v>
      </c>
      <c r="P197" s="134" t="s">
        <v>279</v>
      </c>
      <c r="Q197" s="134">
        <v>15</v>
      </c>
      <c r="R197" s="144" t="s">
        <v>2714</v>
      </c>
      <c r="S197" s="141"/>
      <c r="T197" s="130" t="s">
        <v>341</v>
      </c>
      <c r="U197" s="141"/>
      <c r="W197"/>
    </row>
    <row r="198" spans="1:23" s="72" customFormat="1" ht="16.5">
      <c r="A198" s="131" t="s">
        <v>499</v>
      </c>
      <c r="B198" s="161" t="s">
        <v>491</v>
      </c>
      <c r="C198" s="165" t="s">
        <v>1697</v>
      </c>
      <c r="D198" s="161" t="s">
        <v>682</v>
      </c>
      <c r="E198" s="163" t="s">
        <v>2715</v>
      </c>
      <c r="F198" s="164" t="s">
        <v>2829</v>
      </c>
      <c r="G198" s="173"/>
      <c r="H198" s="173"/>
      <c r="I198" s="160" t="s">
        <v>68</v>
      </c>
      <c r="J198" s="167">
        <v>5</v>
      </c>
      <c r="K198" s="150">
        <v>2</v>
      </c>
      <c r="L198" s="151"/>
      <c r="M198" s="159"/>
      <c r="N198" s="173"/>
      <c r="O198" s="134" t="s">
        <v>327</v>
      </c>
      <c r="P198" s="167" t="s">
        <v>279</v>
      </c>
      <c r="Q198" s="167">
        <v>5.2</v>
      </c>
      <c r="R198" s="163" t="s">
        <v>2715</v>
      </c>
      <c r="S198" s="141"/>
      <c r="T198" s="130" t="s">
        <v>341</v>
      </c>
      <c r="U198" s="141"/>
      <c r="W198"/>
    </row>
    <row r="199" spans="1:23" s="72" customFormat="1" ht="16.5">
      <c r="A199" s="131" t="s">
        <v>499</v>
      </c>
      <c r="B199" s="161" t="s">
        <v>491</v>
      </c>
      <c r="C199" s="165" t="s">
        <v>1697</v>
      </c>
      <c r="D199" s="161" t="s">
        <v>682</v>
      </c>
      <c r="E199" s="163" t="s">
        <v>2568</v>
      </c>
      <c r="F199" s="164" t="s">
        <v>2830</v>
      </c>
      <c r="G199" s="173"/>
      <c r="H199" s="173"/>
      <c r="I199" s="160" t="s">
        <v>53</v>
      </c>
      <c r="J199" s="167">
        <v>2</v>
      </c>
      <c r="K199" s="173"/>
      <c r="L199" s="151"/>
      <c r="M199" s="159"/>
      <c r="N199" s="173"/>
      <c r="O199" s="134" t="s">
        <v>327</v>
      </c>
      <c r="P199" s="167" t="s">
        <v>275</v>
      </c>
      <c r="Q199" s="167">
        <v>2</v>
      </c>
      <c r="R199" s="163" t="s">
        <v>1331</v>
      </c>
      <c r="S199" s="141"/>
      <c r="T199" s="130" t="s">
        <v>341</v>
      </c>
      <c r="U199" s="141"/>
      <c r="W199"/>
    </row>
    <row r="200" spans="1:23" s="72" customFormat="1" ht="16.5">
      <c r="A200" s="131" t="s">
        <v>499</v>
      </c>
      <c r="B200" s="161" t="s">
        <v>491</v>
      </c>
      <c r="C200" s="165" t="s">
        <v>1697</v>
      </c>
      <c r="D200" s="161" t="s">
        <v>682</v>
      </c>
      <c r="E200" s="163" t="s">
        <v>2567</v>
      </c>
      <c r="F200" s="164" t="s">
        <v>1298</v>
      </c>
      <c r="G200" s="173"/>
      <c r="H200" s="173"/>
      <c r="I200" s="160" t="s">
        <v>68</v>
      </c>
      <c r="J200" s="167">
        <v>3</v>
      </c>
      <c r="K200" s="173"/>
      <c r="L200" s="151"/>
      <c r="M200" s="159"/>
      <c r="N200" s="173"/>
      <c r="O200" s="134" t="s">
        <v>327</v>
      </c>
      <c r="P200" s="167" t="s">
        <v>279</v>
      </c>
      <c r="Q200" s="167">
        <v>3</v>
      </c>
      <c r="R200" s="163" t="s">
        <v>1297</v>
      </c>
      <c r="S200" s="141"/>
      <c r="T200" s="130" t="s">
        <v>341</v>
      </c>
      <c r="U200" s="141"/>
      <c r="W200"/>
    </row>
    <row r="201" spans="1:23" s="72" customFormat="1" ht="16.5">
      <c r="A201" s="131" t="s">
        <v>499</v>
      </c>
      <c r="B201" s="161" t="s">
        <v>491</v>
      </c>
      <c r="C201" s="165" t="s">
        <v>1697</v>
      </c>
      <c r="D201" s="161" t="s">
        <v>682</v>
      </c>
      <c r="E201" s="163" t="s">
        <v>687</v>
      </c>
      <c r="F201" s="164" t="s">
        <v>687</v>
      </c>
      <c r="G201" s="173"/>
      <c r="H201" s="173"/>
      <c r="I201" s="160" t="s">
        <v>53</v>
      </c>
      <c r="J201" s="167">
        <v>1</v>
      </c>
      <c r="K201" s="173"/>
      <c r="L201" s="151"/>
      <c r="M201" s="159"/>
      <c r="N201" s="173"/>
      <c r="O201" s="134" t="s">
        <v>327</v>
      </c>
      <c r="P201" s="167" t="s">
        <v>275</v>
      </c>
      <c r="Q201" s="167">
        <v>1</v>
      </c>
      <c r="R201" s="163" t="s">
        <v>687</v>
      </c>
      <c r="S201" s="141"/>
      <c r="T201" s="130" t="s">
        <v>341</v>
      </c>
      <c r="U201" s="141"/>
      <c r="W201"/>
    </row>
    <row r="202" spans="1:23" s="72" customFormat="1" ht="16.5">
      <c r="A202" s="131" t="s">
        <v>499</v>
      </c>
      <c r="B202" s="161" t="s">
        <v>491</v>
      </c>
      <c r="C202" s="165" t="s">
        <v>1697</v>
      </c>
      <c r="D202" s="161" t="s">
        <v>682</v>
      </c>
      <c r="E202" s="163" t="s">
        <v>2716</v>
      </c>
      <c r="F202" s="164" t="s">
        <v>2831</v>
      </c>
      <c r="G202" s="173"/>
      <c r="H202" s="173"/>
      <c r="I202" s="160" t="s">
        <v>53</v>
      </c>
      <c r="J202" s="167">
        <v>1</v>
      </c>
      <c r="K202" s="173"/>
      <c r="L202" s="151"/>
      <c r="M202" s="159"/>
      <c r="N202" s="173"/>
      <c r="O202" s="134" t="s">
        <v>327</v>
      </c>
      <c r="P202" s="167" t="s">
        <v>275</v>
      </c>
      <c r="Q202" s="167">
        <v>1</v>
      </c>
      <c r="R202" s="163" t="s">
        <v>2716</v>
      </c>
      <c r="S202" s="141"/>
      <c r="T202" s="130" t="s">
        <v>341</v>
      </c>
      <c r="U202" s="141"/>
      <c r="W202"/>
    </row>
    <row r="203" spans="1:23" s="72" customFormat="1" ht="16.5">
      <c r="A203" s="131" t="s">
        <v>499</v>
      </c>
      <c r="B203" s="161" t="s">
        <v>491</v>
      </c>
      <c r="C203" s="165" t="s">
        <v>1697</v>
      </c>
      <c r="D203" s="161" t="s">
        <v>682</v>
      </c>
      <c r="E203" s="163" t="s">
        <v>2717</v>
      </c>
      <c r="F203" s="164" t="s">
        <v>2832</v>
      </c>
      <c r="G203" s="173"/>
      <c r="H203" s="173"/>
      <c r="I203" s="160" t="s">
        <v>53</v>
      </c>
      <c r="J203" s="167">
        <v>1</v>
      </c>
      <c r="K203" s="173"/>
      <c r="L203" s="151"/>
      <c r="M203" s="159"/>
      <c r="N203" s="173"/>
      <c r="O203" s="134" t="s">
        <v>327</v>
      </c>
      <c r="P203" s="167" t="s">
        <v>275</v>
      </c>
      <c r="Q203" s="167">
        <v>1</v>
      </c>
      <c r="R203" s="163" t="s">
        <v>2717</v>
      </c>
      <c r="S203" s="141"/>
      <c r="T203" s="130" t="s">
        <v>341</v>
      </c>
      <c r="U203" s="141"/>
      <c r="W203"/>
    </row>
    <row r="204" spans="1:23" s="72" customFormat="1" ht="16.5">
      <c r="A204" s="131" t="s">
        <v>499</v>
      </c>
      <c r="B204" s="161" t="s">
        <v>491</v>
      </c>
      <c r="C204" s="165" t="s">
        <v>1697</v>
      </c>
      <c r="D204" s="161" t="s">
        <v>682</v>
      </c>
      <c r="E204" s="163" t="s">
        <v>2718</v>
      </c>
      <c r="F204" s="164" t="s">
        <v>2833</v>
      </c>
      <c r="G204" s="173"/>
      <c r="H204" s="173"/>
      <c r="I204" s="160" t="s">
        <v>53</v>
      </c>
      <c r="J204" s="167">
        <v>1</v>
      </c>
      <c r="K204" s="173"/>
      <c r="L204" s="151"/>
      <c r="M204" s="159"/>
      <c r="N204" s="173"/>
      <c r="O204" s="134" t="s">
        <v>327</v>
      </c>
      <c r="P204" s="167" t="s">
        <v>275</v>
      </c>
      <c r="Q204" s="167">
        <v>1</v>
      </c>
      <c r="R204" s="163" t="s">
        <v>2718</v>
      </c>
      <c r="S204" s="141"/>
      <c r="T204" s="130" t="s">
        <v>341</v>
      </c>
      <c r="U204" s="141"/>
      <c r="W204"/>
    </row>
    <row r="205" spans="1:23" s="72" customFormat="1" ht="16.5">
      <c r="A205" s="131" t="s">
        <v>499</v>
      </c>
      <c r="B205" s="161" t="s">
        <v>491</v>
      </c>
      <c r="C205" s="165" t="s">
        <v>1697</v>
      </c>
      <c r="D205" s="161" t="s">
        <v>682</v>
      </c>
      <c r="E205" s="163" t="s">
        <v>2719</v>
      </c>
      <c r="F205" s="164" t="s">
        <v>2834</v>
      </c>
      <c r="G205" s="173"/>
      <c r="H205" s="173"/>
      <c r="I205" s="160" t="s">
        <v>53</v>
      </c>
      <c r="J205" s="167">
        <v>1</v>
      </c>
      <c r="K205" s="173"/>
      <c r="L205" s="151"/>
      <c r="M205" s="159"/>
      <c r="N205" s="173"/>
      <c r="O205" s="134" t="s">
        <v>327</v>
      </c>
      <c r="P205" s="167" t="s">
        <v>275</v>
      </c>
      <c r="Q205" s="167">
        <v>1</v>
      </c>
      <c r="R205" s="163" t="s">
        <v>2719</v>
      </c>
      <c r="S205" s="141"/>
      <c r="T205" s="130" t="s">
        <v>341</v>
      </c>
      <c r="U205" s="141"/>
      <c r="W205"/>
    </row>
    <row r="206" spans="1:23" s="72" customFormat="1" ht="16.5">
      <c r="A206" s="131" t="s">
        <v>499</v>
      </c>
      <c r="B206" s="161" t="s">
        <v>491</v>
      </c>
      <c r="C206" s="165" t="s">
        <v>1697</v>
      </c>
      <c r="D206" s="161" t="s">
        <v>682</v>
      </c>
      <c r="E206" s="163" t="s">
        <v>2720</v>
      </c>
      <c r="F206" s="164" t="s">
        <v>2835</v>
      </c>
      <c r="G206" s="173"/>
      <c r="H206" s="173"/>
      <c r="I206" s="160" t="s">
        <v>53</v>
      </c>
      <c r="J206" s="167">
        <v>1</v>
      </c>
      <c r="K206" s="173"/>
      <c r="L206" s="151"/>
      <c r="M206" s="159"/>
      <c r="N206" s="173"/>
      <c r="O206" s="134" t="s">
        <v>327</v>
      </c>
      <c r="P206" s="167" t="s">
        <v>275</v>
      </c>
      <c r="Q206" s="167">
        <v>1</v>
      </c>
      <c r="R206" s="163" t="s">
        <v>2720</v>
      </c>
      <c r="S206" s="141"/>
      <c r="T206" s="130" t="s">
        <v>341</v>
      </c>
      <c r="U206" s="141"/>
      <c r="W206"/>
    </row>
    <row r="207" spans="1:23" s="72" customFormat="1" ht="16.5">
      <c r="A207" s="131" t="s">
        <v>499</v>
      </c>
      <c r="B207" s="161" t="s">
        <v>491</v>
      </c>
      <c r="C207" s="165" t="s">
        <v>1697</v>
      </c>
      <c r="D207" s="161" t="s">
        <v>682</v>
      </c>
      <c r="E207" s="163" t="s">
        <v>2721</v>
      </c>
      <c r="F207" s="164" t="s">
        <v>2836</v>
      </c>
      <c r="G207" s="173"/>
      <c r="H207" s="173"/>
      <c r="I207" s="160" t="s">
        <v>53</v>
      </c>
      <c r="J207" s="167">
        <v>1</v>
      </c>
      <c r="K207" s="173"/>
      <c r="L207" s="151"/>
      <c r="M207" s="159"/>
      <c r="N207" s="173"/>
      <c r="O207" s="134" t="s">
        <v>327</v>
      </c>
      <c r="P207" s="167" t="s">
        <v>275</v>
      </c>
      <c r="Q207" s="167">
        <v>1</v>
      </c>
      <c r="R207" s="163" t="s">
        <v>2721</v>
      </c>
      <c r="S207" s="141"/>
      <c r="T207" s="130" t="s">
        <v>341</v>
      </c>
      <c r="U207" s="141"/>
      <c r="W207"/>
    </row>
    <row r="208" spans="1:23" s="72" customFormat="1" ht="16.5">
      <c r="A208" s="131" t="s">
        <v>499</v>
      </c>
      <c r="B208" s="161" t="s">
        <v>491</v>
      </c>
      <c r="C208" s="165" t="s">
        <v>1697</v>
      </c>
      <c r="D208" s="161" t="s">
        <v>682</v>
      </c>
      <c r="E208" s="163" t="s">
        <v>2722</v>
      </c>
      <c r="F208" s="164" t="s">
        <v>2837</v>
      </c>
      <c r="G208" s="173"/>
      <c r="H208" s="173"/>
      <c r="I208" s="160" t="s">
        <v>53</v>
      </c>
      <c r="J208" s="167">
        <v>1</v>
      </c>
      <c r="K208" s="173"/>
      <c r="L208" s="151"/>
      <c r="M208" s="159"/>
      <c r="N208" s="173"/>
      <c r="O208" s="134" t="s">
        <v>327</v>
      </c>
      <c r="P208" s="167" t="s">
        <v>275</v>
      </c>
      <c r="Q208" s="167">
        <v>1</v>
      </c>
      <c r="R208" s="163" t="s">
        <v>2722</v>
      </c>
      <c r="S208" s="141"/>
      <c r="T208" s="130" t="s">
        <v>341</v>
      </c>
      <c r="U208" s="141"/>
      <c r="W208"/>
    </row>
    <row r="209" spans="1:23" s="72" customFormat="1" ht="16.5">
      <c r="A209" s="131" t="s">
        <v>499</v>
      </c>
      <c r="B209" s="161" t="s">
        <v>491</v>
      </c>
      <c r="C209" s="165" t="s">
        <v>1697</v>
      </c>
      <c r="D209" s="161" t="s">
        <v>682</v>
      </c>
      <c r="E209" s="163" t="s">
        <v>2723</v>
      </c>
      <c r="F209" s="164" t="s">
        <v>2838</v>
      </c>
      <c r="G209" s="173"/>
      <c r="H209" s="173"/>
      <c r="I209" s="160" t="s">
        <v>68</v>
      </c>
      <c r="J209" s="167">
        <v>9</v>
      </c>
      <c r="K209" s="173"/>
      <c r="L209" s="151"/>
      <c r="M209" s="159"/>
      <c r="N209" s="173"/>
      <c r="O209" s="134" t="s">
        <v>327</v>
      </c>
      <c r="P209" s="167" t="s">
        <v>279</v>
      </c>
      <c r="Q209" s="167">
        <v>9</v>
      </c>
      <c r="R209" s="163" t="s">
        <v>2723</v>
      </c>
      <c r="S209" s="141"/>
      <c r="T209" s="130" t="s">
        <v>341</v>
      </c>
      <c r="U209" s="141"/>
      <c r="W209"/>
    </row>
    <row r="210" spans="1:23" s="72" customFormat="1" ht="16.5">
      <c r="A210" s="131" t="s">
        <v>499</v>
      </c>
      <c r="B210" s="161" t="s">
        <v>491</v>
      </c>
      <c r="C210" s="165" t="s">
        <v>1697</v>
      </c>
      <c r="D210" s="161" t="s">
        <v>682</v>
      </c>
      <c r="E210" s="163" t="s">
        <v>2724</v>
      </c>
      <c r="F210" s="164" t="s">
        <v>2839</v>
      </c>
      <c r="G210" s="173"/>
      <c r="H210" s="173"/>
      <c r="I210" s="160" t="s">
        <v>68</v>
      </c>
      <c r="J210" s="167">
        <v>5</v>
      </c>
      <c r="K210" s="173"/>
      <c r="L210" s="151"/>
      <c r="M210" s="159"/>
      <c r="N210" s="173"/>
      <c r="O210" s="134" t="s">
        <v>327</v>
      </c>
      <c r="P210" s="167" t="s">
        <v>279</v>
      </c>
      <c r="Q210" s="167">
        <v>5</v>
      </c>
      <c r="R210" s="163" t="s">
        <v>2724</v>
      </c>
      <c r="S210" s="141"/>
      <c r="T210" s="130" t="s">
        <v>341</v>
      </c>
      <c r="U210" s="141"/>
      <c r="W210"/>
    </row>
    <row r="211" spans="1:23" s="72" customFormat="1" ht="16.5">
      <c r="A211" s="131" t="s">
        <v>499</v>
      </c>
      <c r="B211" s="161" t="s">
        <v>491</v>
      </c>
      <c r="C211" s="165" t="s">
        <v>1697</v>
      </c>
      <c r="D211" s="161" t="s">
        <v>682</v>
      </c>
      <c r="E211" s="163" t="s">
        <v>2725</v>
      </c>
      <c r="F211" s="164" t="s">
        <v>2840</v>
      </c>
      <c r="G211" s="173"/>
      <c r="H211" s="173"/>
      <c r="I211" s="160" t="s">
        <v>68</v>
      </c>
      <c r="J211" s="167">
        <v>9</v>
      </c>
      <c r="K211" s="173"/>
      <c r="L211" s="151"/>
      <c r="M211" s="159"/>
      <c r="N211" s="173"/>
      <c r="O211" s="134" t="s">
        <v>327</v>
      </c>
      <c r="P211" s="167" t="s">
        <v>279</v>
      </c>
      <c r="Q211" s="167">
        <v>9</v>
      </c>
      <c r="R211" s="163" t="s">
        <v>2725</v>
      </c>
      <c r="S211" s="141"/>
      <c r="T211" s="130" t="s">
        <v>341</v>
      </c>
      <c r="U211" s="141"/>
      <c r="W211"/>
    </row>
    <row r="212" spans="1:23" s="72" customFormat="1" ht="16.5">
      <c r="A212" s="131" t="s">
        <v>499</v>
      </c>
      <c r="B212" s="161" t="s">
        <v>491</v>
      </c>
      <c r="C212" s="165" t="s">
        <v>1697</v>
      </c>
      <c r="D212" s="161" t="s">
        <v>682</v>
      </c>
      <c r="E212" s="163" t="s">
        <v>2726</v>
      </c>
      <c r="F212" s="164" t="s">
        <v>2841</v>
      </c>
      <c r="G212" s="173"/>
      <c r="H212" s="173"/>
      <c r="I212" s="160" t="s">
        <v>53</v>
      </c>
      <c r="J212" s="167">
        <v>2</v>
      </c>
      <c r="K212" s="173"/>
      <c r="L212" s="151"/>
      <c r="M212" s="159"/>
      <c r="N212" s="173"/>
      <c r="O212" s="134" t="s">
        <v>327</v>
      </c>
      <c r="P212" s="167" t="s">
        <v>275</v>
      </c>
      <c r="Q212" s="167">
        <v>2</v>
      </c>
      <c r="R212" s="163" t="s">
        <v>2726</v>
      </c>
      <c r="S212" s="141"/>
      <c r="T212" s="130" t="s">
        <v>341</v>
      </c>
      <c r="U212" s="141"/>
      <c r="W212"/>
    </row>
    <row r="213" spans="1:23" s="72" customFormat="1" ht="16.5">
      <c r="A213" s="131" t="s">
        <v>499</v>
      </c>
      <c r="B213" s="161" t="s">
        <v>491</v>
      </c>
      <c r="C213" s="165" t="s">
        <v>1697</v>
      </c>
      <c r="D213" s="161" t="s">
        <v>682</v>
      </c>
      <c r="E213" s="163" t="s">
        <v>2727</v>
      </c>
      <c r="F213" s="164" t="s">
        <v>2842</v>
      </c>
      <c r="G213" s="173"/>
      <c r="H213" s="173"/>
      <c r="I213" s="160" t="s">
        <v>53</v>
      </c>
      <c r="J213" s="167">
        <v>2</v>
      </c>
      <c r="K213" s="173"/>
      <c r="L213" s="151"/>
      <c r="M213" s="159"/>
      <c r="N213" s="173"/>
      <c r="O213" s="134" t="s">
        <v>327</v>
      </c>
      <c r="P213" s="167" t="s">
        <v>275</v>
      </c>
      <c r="Q213" s="167">
        <v>2</v>
      </c>
      <c r="R213" s="163" t="s">
        <v>2727</v>
      </c>
      <c r="S213" s="141"/>
      <c r="T213" s="130" t="s">
        <v>341</v>
      </c>
      <c r="U213" s="141"/>
      <c r="W213"/>
    </row>
    <row r="214" spans="1:23" s="72" customFormat="1" ht="16.5">
      <c r="A214" s="131" t="s">
        <v>499</v>
      </c>
      <c r="B214" s="161" t="s">
        <v>491</v>
      </c>
      <c r="C214" s="165" t="s">
        <v>1697</v>
      </c>
      <c r="D214" s="161" t="s">
        <v>682</v>
      </c>
      <c r="E214" s="163" t="s">
        <v>2728</v>
      </c>
      <c r="F214" s="164" t="s">
        <v>2728</v>
      </c>
      <c r="G214" s="173"/>
      <c r="H214" s="173"/>
      <c r="I214" s="160" t="s">
        <v>53</v>
      </c>
      <c r="J214" s="167">
        <v>4</v>
      </c>
      <c r="K214" s="173"/>
      <c r="L214" s="151"/>
      <c r="M214" s="159"/>
      <c r="N214" s="173"/>
      <c r="O214" s="134" t="s">
        <v>327</v>
      </c>
      <c r="P214" s="167" t="s">
        <v>275</v>
      </c>
      <c r="Q214" s="167">
        <v>4</v>
      </c>
      <c r="R214" s="163" t="s">
        <v>2728</v>
      </c>
      <c r="S214" s="141"/>
      <c r="T214" s="130" t="s">
        <v>341</v>
      </c>
      <c r="U214" s="141"/>
      <c r="W214"/>
    </row>
    <row r="215" spans="1:23" s="72" customFormat="1" ht="16.5" customHeight="1">
      <c r="A215" s="131" t="s">
        <v>499</v>
      </c>
      <c r="B215" s="161" t="s">
        <v>491</v>
      </c>
      <c r="C215" s="165" t="s">
        <v>1697</v>
      </c>
      <c r="D215" s="161" t="s">
        <v>682</v>
      </c>
      <c r="E215" s="163" t="s">
        <v>2729</v>
      </c>
      <c r="F215" s="164" t="s">
        <v>2843</v>
      </c>
      <c r="G215" s="173"/>
      <c r="H215" s="173"/>
      <c r="I215" s="160" t="s">
        <v>53</v>
      </c>
      <c r="J215" s="167">
        <v>1</v>
      </c>
      <c r="K215" s="173"/>
      <c r="L215" s="151"/>
      <c r="M215" s="159"/>
      <c r="N215" s="173"/>
      <c r="O215" s="134" t="s">
        <v>327</v>
      </c>
      <c r="P215" s="167" t="s">
        <v>275</v>
      </c>
      <c r="Q215" s="167">
        <v>1</v>
      </c>
      <c r="R215" s="163" t="s">
        <v>2729</v>
      </c>
      <c r="S215" s="141"/>
      <c r="T215" s="130" t="s">
        <v>341</v>
      </c>
      <c r="U215" s="141"/>
      <c r="W215"/>
    </row>
    <row r="216" spans="1:23" s="72" customFormat="1" ht="16.5">
      <c r="A216" s="131" t="s">
        <v>499</v>
      </c>
      <c r="B216" s="161" t="s">
        <v>491</v>
      </c>
      <c r="C216" s="165" t="s">
        <v>1697</v>
      </c>
      <c r="D216" s="161" t="s">
        <v>682</v>
      </c>
      <c r="E216" s="163" t="s">
        <v>2730</v>
      </c>
      <c r="F216" s="164" t="s">
        <v>2844</v>
      </c>
      <c r="G216" s="173"/>
      <c r="H216" s="173"/>
      <c r="I216" s="160" t="s">
        <v>53</v>
      </c>
      <c r="J216" s="167">
        <v>1</v>
      </c>
      <c r="K216" s="173"/>
      <c r="L216" s="151"/>
      <c r="M216" s="159"/>
      <c r="N216" s="173"/>
      <c r="O216" s="134" t="s">
        <v>327</v>
      </c>
      <c r="P216" s="167" t="s">
        <v>275</v>
      </c>
      <c r="Q216" s="167">
        <v>1</v>
      </c>
      <c r="R216" s="163" t="s">
        <v>2730</v>
      </c>
      <c r="S216" s="141"/>
      <c r="T216" s="130" t="s">
        <v>341</v>
      </c>
      <c r="U216" s="141"/>
      <c r="W216"/>
    </row>
    <row r="217" spans="1:23" s="72" customFormat="1" ht="16.5">
      <c r="A217" s="131" t="s">
        <v>499</v>
      </c>
      <c r="B217" s="161" t="s">
        <v>491</v>
      </c>
      <c r="C217" s="165" t="s">
        <v>1697</v>
      </c>
      <c r="D217" s="161" t="s">
        <v>682</v>
      </c>
      <c r="E217" s="163" t="s">
        <v>2731</v>
      </c>
      <c r="F217" s="164" t="s">
        <v>2845</v>
      </c>
      <c r="G217" s="173"/>
      <c r="H217" s="173"/>
      <c r="I217" s="160" t="s">
        <v>53</v>
      </c>
      <c r="J217" s="167">
        <v>1</v>
      </c>
      <c r="K217" s="173"/>
      <c r="L217" s="151"/>
      <c r="M217" s="159"/>
      <c r="N217" s="173"/>
      <c r="O217" s="134" t="s">
        <v>327</v>
      </c>
      <c r="P217" s="167" t="s">
        <v>275</v>
      </c>
      <c r="Q217" s="167">
        <v>1</v>
      </c>
      <c r="R217" s="163" t="s">
        <v>2731</v>
      </c>
      <c r="S217" s="141"/>
      <c r="T217" s="130" t="s">
        <v>341</v>
      </c>
      <c r="U217" s="141"/>
      <c r="W217"/>
    </row>
    <row r="218" spans="1:23" s="72" customFormat="1" ht="16.5">
      <c r="A218" s="131" t="s">
        <v>499</v>
      </c>
      <c r="B218" s="161" t="s">
        <v>491</v>
      </c>
      <c r="C218" s="165" t="s">
        <v>1697</v>
      </c>
      <c r="D218" s="161" t="s">
        <v>682</v>
      </c>
      <c r="E218" s="163" t="s">
        <v>2732</v>
      </c>
      <c r="F218" s="164" t="s">
        <v>2846</v>
      </c>
      <c r="G218" s="173"/>
      <c r="H218" s="173"/>
      <c r="I218" s="160" t="s">
        <v>53</v>
      </c>
      <c r="J218" s="167">
        <v>1</v>
      </c>
      <c r="K218" s="173"/>
      <c r="L218" s="151"/>
      <c r="M218" s="159"/>
      <c r="N218" s="173"/>
      <c r="O218" s="134" t="s">
        <v>327</v>
      </c>
      <c r="P218" s="167" t="s">
        <v>275</v>
      </c>
      <c r="Q218" s="167">
        <v>1</v>
      </c>
      <c r="R218" s="163" t="s">
        <v>2732</v>
      </c>
      <c r="S218" s="141"/>
      <c r="T218" s="130" t="s">
        <v>341</v>
      </c>
      <c r="U218" s="141"/>
      <c r="W218"/>
    </row>
    <row r="219" spans="1:23" s="72" customFormat="1" ht="16.5">
      <c r="A219" s="131" t="s">
        <v>499</v>
      </c>
      <c r="B219" s="161" t="s">
        <v>491</v>
      </c>
      <c r="C219" s="165" t="s">
        <v>1697</v>
      </c>
      <c r="D219" s="161" t="s">
        <v>682</v>
      </c>
      <c r="E219" s="163" t="s">
        <v>2733</v>
      </c>
      <c r="F219" s="164" t="s">
        <v>2847</v>
      </c>
      <c r="G219" s="173"/>
      <c r="H219" s="173"/>
      <c r="I219" s="160" t="s">
        <v>53</v>
      </c>
      <c r="J219" s="167">
        <v>1</v>
      </c>
      <c r="K219" s="173"/>
      <c r="L219" s="151"/>
      <c r="M219" s="159"/>
      <c r="N219" s="173"/>
      <c r="O219" s="134" t="s">
        <v>327</v>
      </c>
      <c r="P219" s="167" t="s">
        <v>275</v>
      </c>
      <c r="Q219" s="167">
        <v>1</v>
      </c>
      <c r="R219" s="163" t="s">
        <v>2733</v>
      </c>
      <c r="S219" s="141"/>
      <c r="T219" s="130" t="s">
        <v>341</v>
      </c>
      <c r="U219" s="141"/>
      <c r="W219"/>
    </row>
    <row r="220" spans="1:23" s="72" customFormat="1" ht="16.5">
      <c r="A220" s="131" t="s">
        <v>499</v>
      </c>
      <c r="B220" s="161" t="s">
        <v>491</v>
      </c>
      <c r="C220" s="165" t="s">
        <v>1697</v>
      </c>
      <c r="D220" s="161" t="s">
        <v>682</v>
      </c>
      <c r="E220" s="163" t="s">
        <v>2734</v>
      </c>
      <c r="F220" s="164" t="s">
        <v>2848</v>
      </c>
      <c r="G220" s="173"/>
      <c r="H220" s="173"/>
      <c r="I220" s="160" t="s">
        <v>53</v>
      </c>
      <c r="J220" s="167">
        <v>1</v>
      </c>
      <c r="K220" s="173"/>
      <c r="L220" s="151"/>
      <c r="M220" s="159"/>
      <c r="N220" s="173"/>
      <c r="O220" s="134" t="s">
        <v>327</v>
      </c>
      <c r="P220" s="167" t="s">
        <v>275</v>
      </c>
      <c r="Q220" s="167">
        <v>1</v>
      </c>
      <c r="R220" s="163" t="s">
        <v>2734</v>
      </c>
      <c r="S220" s="141"/>
      <c r="T220" s="130" t="s">
        <v>341</v>
      </c>
      <c r="U220" s="141"/>
      <c r="W220"/>
    </row>
    <row r="221" spans="1:23" s="72" customFormat="1" ht="16.5">
      <c r="A221" s="131" t="s">
        <v>499</v>
      </c>
      <c r="B221" s="161" t="s">
        <v>491</v>
      </c>
      <c r="C221" s="165" t="s">
        <v>1697</v>
      </c>
      <c r="D221" s="161" t="s">
        <v>682</v>
      </c>
      <c r="E221" s="163" t="s">
        <v>2735</v>
      </c>
      <c r="F221" s="164" t="s">
        <v>2849</v>
      </c>
      <c r="G221" s="173"/>
      <c r="H221" s="173"/>
      <c r="I221" s="160" t="s">
        <v>53</v>
      </c>
      <c r="J221" s="167">
        <v>1</v>
      </c>
      <c r="K221" s="173"/>
      <c r="L221" s="151"/>
      <c r="M221" s="159"/>
      <c r="N221" s="173"/>
      <c r="O221" s="134" t="s">
        <v>327</v>
      </c>
      <c r="P221" s="167" t="s">
        <v>275</v>
      </c>
      <c r="Q221" s="167">
        <v>1</v>
      </c>
      <c r="R221" s="163" t="s">
        <v>2735</v>
      </c>
      <c r="S221" s="141"/>
      <c r="T221" s="130" t="s">
        <v>341</v>
      </c>
      <c r="U221" s="141"/>
      <c r="W221"/>
    </row>
    <row r="222" spans="1:23" s="72" customFormat="1" ht="16.5">
      <c r="A222" s="131" t="s">
        <v>499</v>
      </c>
      <c r="B222" s="161" t="s">
        <v>491</v>
      </c>
      <c r="C222" s="165" t="s">
        <v>1697</v>
      </c>
      <c r="D222" s="161" t="s">
        <v>682</v>
      </c>
      <c r="E222" s="163" t="s">
        <v>2736</v>
      </c>
      <c r="F222" s="164" t="s">
        <v>2736</v>
      </c>
      <c r="G222" s="173"/>
      <c r="H222" s="173"/>
      <c r="I222" s="160" t="s">
        <v>53</v>
      </c>
      <c r="J222" s="167">
        <v>4</v>
      </c>
      <c r="K222" s="173"/>
      <c r="L222" s="151"/>
      <c r="M222" s="159"/>
      <c r="N222" s="173"/>
      <c r="O222" s="134" t="s">
        <v>327</v>
      </c>
      <c r="P222" s="167" t="s">
        <v>275</v>
      </c>
      <c r="Q222" s="167">
        <v>4</v>
      </c>
      <c r="R222" s="163" t="s">
        <v>2736</v>
      </c>
      <c r="S222" s="141"/>
      <c r="T222" s="130" t="s">
        <v>341</v>
      </c>
      <c r="U222" s="141"/>
      <c r="W222"/>
    </row>
    <row r="223" spans="1:23" s="72" customFormat="1" ht="16.5">
      <c r="A223" s="131" t="s">
        <v>499</v>
      </c>
      <c r="B223" s="161" t="s">
        <v>491</v>
      </c>
      <c r="C223" s="165" t="s">
        <v>1697</v>
      </c>
      <c r="D223" s="161" t="s">
        <v>682</v>
      </c>
      <c r="E223" s="163" t="s">
        <v>2737</v>
      </c>
      <c r="F223" s="164" t="s">
        <v>2850</v>
      </c>
      <c r="G223" s="173"/>
      <c r="H223" s="173"/>
      <c r="I223" s="160" t="s">
        <v>53</v>
      </c>
      <c r="J223" s="167">
        <v>2</v>
      </c>
      <c r="K223" s="173"/>
      <c r="L223" s="151"/>
      <c r="M223" s="159"/>
      <c r="N223" s="173"/>
      <c r="O223" s="134" t="s">
        <v>327</v>
      </c>
      <c r="P223" s="167" t="s">
        <v>275</v>
      </c>
      <c r="Q223" s="167">
        <v>2</v>
      </c>
      <c r="R223" s="163" t="s">
        <v>2737</v>
      </c>
      <c r="S223" s="141"/>
      <c r="T223" s="130" t="s">
        <v>341</v>
      </c>
      <c r="U223" s="141"/>
      <c r="W223"/>
    </row>
    <row r="224" spans="1:23" s="72" customFormat="1" ht="16.5">
      <c r="A224" s="131" t="s">
        <v>499</v>
      </c>
      <c r="B224" s="161" t="s">
        <v>491</v>
      </c>
      <c r="C224" s="165" t="s">
        <v>1697</v>
      </c>
      <c r="D224" s="161" t="s">
        <v>682</v>
      </c>
      <c r="E224" s="163" t="s">
        <v>2738</v>
      </c>
      <c r="F224" s="164" t="s">
        <v>2851</v>
      </c>
      <c r="G224" s="173"/>
      <c r="H224" s="173"/>
      <c r="I224" s="160" t="s">
        <v>68</v>
      </c>
      <c r="J224" s="167">
        <v>5</v>
      </c>
      <c r="K224" s="173"/>
      <c r="L224" s="151"/>
      <c r="M224" s="159"/>
      <c r="N224" s="173"/>
      <c r="O224" s="134" t="s">
        <v>327</v>
      </c>
      <c r="P224" s="167" t="s">
        <v>279</v>
      </c>
      <c r="Q224" s="167">
        <v>5</v>
      </c>
      <c r="R224" s="163" t="s">
        <v>2738</v>
      </c>
      <c r="S224" s="141"/>
      <c r="T224" s="130" t="s">
        <v>341</v>
      </c>
      <c r="U224" s="141"/>
      <c r="W224"/>
    </row>
    <row r="225" spans="1:23" s="72" customFormat="1" ht="16.5">
      <c r="A225" s="131" t="s">
        <v>499</v>
      </c>
      <c r="B225" s="161" t="s">
        <v>491</v>
      </c>
      <c r="C225" s="165" t="s">
        <v>1697</v>
      </c>
      <c r="D225" s="161" t="s">
        <v>682</v>
      </c>
      <c r="E225" s="163" t="s">
        <v>2739</v>
      </c>
      <c r="F225" s="164" t="s">
        <v>255</v>
      </c>
      <c r="G225" s="173"/>
      <c r="H225" s="173"/>
      <c r="I225" s="160" t="s">
        <v>53</v>
      </c>
      <c r="J225" s="167">
        <v>2</v>
      </c>
      <c r="K225" s="173"/>
      <c r="L225" s="151"/>
      <c r="M225" s="159"/>
      <c r="N225" s="173"/>
      <c r="O225" s="134" t="s">
        <v>327</v>
      </c>
      <c r="P225" s="167" t="s">
        <v>275</v>
      </c>
      <c r="Q225" s="167">
        <v>2</v>
      </c>
      <c r="R225" s="163" t="s">
        <v>2739</v>
      </c>
      <c r="S225" s="141"/>
      <c r="T225" s="130" t="s">
        <v>341</v>
      </c>
      <c r="U225" s="141"/>
      <c r="W225"/>
    </row>
    <row r="226" spans="1:23" s="72" customFormat="1" ht="16.5">
      <c r="A226" s="131" t="s">
        <v>499</v>
      </c>
      <c r="B226" s="161" t="s">
        <v>491</v>
      </c>
      <c r="C226" s="165" t="s">
        <v>1697</v>
      </c>
      <c r="D226" s="161" t="s">
        <v>682</v>
      </c>
      <c r="E226" s="163" t="s">
        <v>2740</v>
      </c>
      <c r="F226" s="164" t="s">
        <v>2740</v>
      </c>
      <c r="G226" s="173"/>
      <c r="H226" s="173"/>
      <c r="I226" s="160" t="s">
        <v>68</v>
      </c>
      <c r="J226" s="167">
        <v>5</v>
      </c>
      <c r="K226" s="173"/>
      <c r="L226" s="151"/>
      <c r="M226" s="159"/>
      <c r="N226" s="173"/>
      <c r="O226" s="134" t="s">
        <v>327</v>
      </c>
      <c r="P226" s="167" t="s">
        <v>279</v>
      </c>
      <c r="Q226" s="167">
        <v>5</v>
      </c>
      <c r="R226" s="163" t="s">
        <v>2740</v>
      </c>
      <c r="S226" s="141"/>
      <c r="T226" s="130" t="s">
        <v>341</v>
      </c>
      <c r="U226" s="141"/>
      <c r="W226"/>
    </row>
    <row r="227" spans="1:23" s="72" customFormat="1" ht="16.5">
      <c r="A227" s="131" t="s">
        <v>499</v>
      </c>
      <c r="B227" s="161" t="s">
        <v>491</v>
      </c>
      <c r="C227" s="165" t="s">
        <v>1697</v>
      </c>
      <c r="D227" s="161" t="s">
        <v>682</v>
      </c>
      <c r="E227" s="163" t="s">
        <v>2741</v>
      </c>
      <c r="F227" s="164" t="s">
        <v>2741</v>
      </c>
      <c r="G227" s="173"/>
      <c r="H227" s="173"/>
      <c r="I227" s="160" t="s">
        <v>53</v>
      </c>
      <c r="J227" s="167">
        <v>4</v>
      </c>
      <c r="K227" s="173"/>
      <c r="L227" s="151"/>
      <c r="M227" s="159"/>
      <c r="N227" s="173"/>
      <c r="O227" s="134" t="s">
        <v>327</v>
      </c>
      <c r="P227" s="167" t="s">
        <v>275</v>
      </c>
      <c r="Q227" s="167">
        <v>4</v>
      </c>
      <c r="R227" s="163" t="s">
        <v>2741</v>
      </c>
      <c r="S227" s="141"/>
      <c r="T227" s="130" t="s">
        <v>341</v>
      </c>
      <c r="U227" s="141"/>
      <c r="W227"/>
    </row>
    <row r="228" spans="1:23" s="72" customFormat="1" ht="16.5">
      <c r="A228" s="131" t="s">
        <v>499</v>
      </c>
      <c r="B228" s="161" t="s">
        <v>491</v>
      </c>
      <c r="C228" s="165" t="s">
        <v>1697</v>
      </c>
      <c r="D228" s="161" t="s">
        <v>682</v>
      </c>
      <c r="E228" s="163" t="s">
        <v>2742</v>
      </c>
      <c r="F228" s="164" t="s">
        <v>2742</v>
      </c>
      <c r="G228" s="173"/>
      <c r="H228" s="173"/>
      <c r="I228" s="160" t="s">
        <v>68</v>
      </c>
      <c r="J228" s="167">
        <v>5</v>
      </c>
      <c r="K228" s="173"/>
      <c r="L228" s="151"/>
      <c r="M228" s="159"/>
      <c r="N228" s="173"/>
      <c r="O228" s="134" t="s">
        <v>327</v>
      </c>
      <c r="P228" s="167" t="s">
        <v>279</v>
      </c>
      <c r="Q228" s="167">
        <v>5</v>
      </c>
      <c r="R228" s="163" t="s">
        <v>2742</v>
      </c>
      <c r="S228" s="141"/>
      <c r="T228" s="130" t="s">
        <v>341</v>
      </c>
      <c r="U228" s="141"/>
      <c r="W228"/>
    </row>
    <row r="229" spans="1:23" s="72" customFormat="1" ht="16.5">
      <c r="A229" s="131" t="s">
        <v>499</v>
      </c>
      <c r="B229" s="161" t="s">
        <v>491</v>
      </c>
      <c r="C229" s="165" t="s">
        <v>1697</v>
      </c>
      <c r="D229" s="161" t="s">
        <v>682</v>
      </c>
      <c r="E229" s="163" t="s">
        <v>2743</v>
      </c>
      <c r="F229" s="164" t="s">
        <v>92</v>
      </c>
      <c r="G229" s="173"/>
      <c r="H229" s="173"/>
      <c r="I229" s="160" t="s">
        <v>53</v>
      </c>
      <c r="J229" s="167">
        <v>4</v>
      </c>
      <c r="K229" s="173"/>
      <c r="L229" s="151"/>
      <c r="M229" s="159"/>
      <c r="N229" s="173"/>
      <c r="O229" s="134" t="s">
        <v>327</v>
      </c>
      <c r="P229" s="167" t="s">
        <v>275</v>
      </c>
      <c r="Q229" s="167">
        <v>4</v>
      </c>
      <c r="R229" s="163" t="s">
        <v>2743</v>
      </c>
      <c r="S229" s="141"/>
      <c r="T229" s="130" t="s">
        <v>341</v>
      </c>
      <c r="U229" s="141"/>
      <c r="W229"/>
    </row>
    <row r="230" spans="1:23" s="72" customFormat="1" ht="16.5">
      <c r="A230" s="131" t="s">
        <v>499</v>
      </c>
      <c r="B230" s="161" t="s">
        <v>491</v>
      </c>
      <c r="C230" s="165" t="s">
        <v>1697</v>
      </c>
      <c r="D230" s="161" t="s">
        <v>682</v>
      </c>
      <c r="E230" s="163" t="s">
        <v>2744</v>
      </c>
      <c r="F230" s="164" t="s">
        <v>2852</v>
      </c>
      <c r="G230" s="173"/>
      <c r="H230" s="173"/>
      <c r="I230" s="160" t="s">
        <v>53</v>
      </c>
      <c r="J230" s="167">
        <v>2</v>
      </c>
      <c r="K230" s="173"/>
      <c r="L230" s="151"/>
      <c r="M230" s="159"/>
      <c r="N230" s="173"/>
      <c r="O230" s="134" t="s">
        <v>327</v>
      </c>
      <c r="P230" s="167" t="s">
        <v>275</v>
      </c>
      <c r="Q230" s="167">
        <v>2</v>
      </c>
      <c r="R230" s="163" t="s">
        <v>2744</v>
      </c>
      <c r="S230" s="141"/>
      <c r="T230" s="130" t="s">
        <v>341</v>
      </c>
      <c r="U230" s="141"/>
      <c r="W230"/>
    </row>
    <row r="231" spans="1:23" s="72" customFormat="1" ht="16.5">
      <c r="A231" s="131" t="s">
        <v>499</v>
      </c>
      <c r="B231" s="161" t="s">
        <v>491</v>
      </c>
      <c r="C231" s="165" t="s">
        <v>1697</v>
      </c>
      <c r="D231" s="161" t="s">
        <v>682</v>
      </c>
      <c r="E231" s="163" t="s">
        <v>2745</v>
      </c>
      <c r="F231" s="164" t="s">
        <v>2853</v>
      </c>
      <c r="G231" s="173"/>
      <c r="H231" s="173"/>
      <c r="I231" s="160" t="s">
        <v>53</v>
      </c>
      <c r="J231" s="167">
        <v>2</v>
      </c>
      <c r="K231" s="173"/>
      <c r="L231" s="151"/>
      <c r="M231" s="159"/>
      <c r="N231" s="173"/>
      <c r="O231" s="134" t="s">
        <v>327</v>
      </c>
      <c r="P231" s="167" t="s">
        <v>275</v>
      </c>
      <c r="Q231" s="167">
        <v>2</v>
      </c>
      <c r="R231" s="163" t="s">
        <v>2745</v>
      </c>
      <c r="S231" s="141"/>
      <c r="T231" s="130" t="s">
        <v>341</v>
      </c>
      <c r="U231" s="141"/>
      <c r="W231"/>
    </row>
    <row r="232" spans="1:23" s="72" customFormat="1" ht="16.5">
      <c r="A232" s="131" t="s">
        <v>499</v>
      </c>
      <c r="B232" s="161" t="s">
        <v>491</v>
      </c>
      <c r="C232" s="165" t="s">
        <v>1697</v>
      </c>
      <c r="D232" s="161" t="s">
        <v>682</v>
      </c>
      <c r="E232" s="163" t="s">
        <v>2746</v>
      </c>
      <c r="F232" s="164" t="s">
        <v>2746</v>
      </c>
      <c r="G232" s="173"/>
      <c r="H232" s="173"/>
      <c r="I232" s="160" t="s">
        <v>68</v>
      </c>
      <c r="J232" s="167">
        <v>5</v>
      </c>
      <c r="K232" s="173"/>
      <c r="L232" s="151"/>
      <c r="M232" s="159"/>
      <c r="N232" s="173"/>
      <c r="O232" s="134" t="s">
        <v>327</v>
      </c>
      <c r="P232" s="167" t="s">
        <v>279</v>
      </c>
      <c r="Q232" s="167">
        <v>5</v>
      </c>
      <c r="R232" s="163" t="s">
        <v>2746</v>
      </c>
      <c r="S232" s="141"/>
      <c r="T232" s="130" t="s">
        <v>341</v>
      </c>
      <c r="U232" s="141"/>
      <c r="W232"/>
    </row>
    <row r="233" spans="1:23" s="72" customFormat="1" ht="16.5">
      <c r="A233" s="131" t="s">
        <v>499</v>
      </c>
      <c r="B233" s="161" t="s">
        <v>491</v>
      </c>
      <c r="C233" s="165" t="s">
        <v>1697</v>
      </c>
      <c r="D233" s="161" t="s">
        <v>682</v>
      </c>
      <c r="E233" s="163" t="s">
        <v>2747</v>
      </c>
      <c r="F233" s="164" t="s">
        <v>2854</v>
      </c>
      <c r="G233" s="173"/>
      <c r="H233" s="173"/>
      <c r="I233" s="160" t="s">
        <v>53</v>
      </c>
      <c r="J233" s="167">
        <v>9</v>
      </c>
      <c r="K233" s="173"/>
      <c r="L233" s="151"/>
      <c r="M233" s="159"/>
      <c r="N233" s="173"/>
      <c r="O233" s="134" t="s">
        <v>327</v>
      </c>
      <c r="P233" s="167" t="s">
        <v>275</v>
      </c>
      <c r="Q233" s="167">
        <v>9</v>
      </c>
      <c r="R233" s="163" t="s">
        <v>2747</v>
      </c>
      <c r="S233" s="141"/>
      <c r="T233" s="130" t="s">
        <v>341</v>
      </c>
      <c r="U233" s="141"/>
      <c r="W233"/>
    </row>
    <row r="234" spans="1:23" s="72" customFormat="1" ht="16.5">
      <c r="A234" s="131" t="s">
        <v>499</v>
      </c>
      <c r="B234" s="161" t="s">
        <v>491</v>
      </c>
      <c r="C234" s="165" t="s">
        <v>1697</v>
      </c>
      <c r="D234" s="161" t="s">
        <v>682</v>
      </c>
      <c r="E234" s="163" t="s">
        <v>2748</v>
      </c>
      <c r="F234" s="164" t="s">
        <v>2748</v>
      </c>
      <c r="G234" s="173"/>
      <c r="H234" s="173"/>
      <c r="I234" s="160" t="s">
        <v>53</v>
      </c>
      <c r="J234" s="167">
        <v>1</v>
      </c>
      <c r="K234" s="173"/>
      <c r="L234" s="151"/>
      <c r="M234" s="159"/>
      <c r="N234" s="173"/>
      <c r="O234" s="134" t="s">
        <v>327</v>
      </c>
      <c r="P234" s="167" t="s">
        <v>275</v>
      </c>
      <c r="Q234" s="167">
        <v>1</v>
      </c>
      <c r="R234" s="163" t="s">
        <v>2748</v>
      </c>
      <c r="S234" s="141"/>
      <c r="T234" s="130" t="s">
        <v>341</v>
      </c>
      <c r="U234" s="141"/>
      <c r="W234"/>
    </row>
    <row r="235" spans="1:23" s="72" customFormat="1" ht="16.5">
      <c r="A235" s="131" t="s">
        <v>499</v>
      </c>
      <c r="B235" s="161" t="s">
        <v>491</v>
      </c>
      <c r="C235" s="165" t="s">
        <v>1697</v>
      </c>
      <c r="D235" s="161" t="s">
        <v>682</v>
      </c>
      <c r="E235" s="163" t="s">
        <v>2749</v>
      </c>
      <c r="F235" s="164" t="s">
        <v>2749</v>
      </c>
      <c r="G235" s="173"/>
      <c r="H235" s="173"/>
      <c r="I235" s="160" t="s">
        <v>53</v>
      </c>
      <c r="J235" s="167">
        <v>1</v>
      </c>
      <c r="K235" s="173"/>
      <c r="L235" s="151"/>
      <c r="M235" s="159"/>
      <c r="N235" s="173"/>
      <c r="O235" s="134" t="s">
        <v>327</v>
      </c>
      <c r="P235" s="167" t="s">
        <v>275</v>
      </c>
      <c r="Q235" s="167">
        <v>1</v>
      </c>
      <c r="R235" s="163" t="s">
        <v>2749</v>
      </c>
      <c r="S235" s="141"/>
      <c r="T235" s="130" t="s">
        <v>341</v>
      </c>
      <c r="U235" s="141"/>
      <c r="W235"/>
    </row>
    <row r="236" spans="1:23" s="72" customFormat="1" ht="16.5">
      <c r="A236" s="131" t="s">
        <v>499</v>
      </c>
      <c r="B236" s="161" t="s">
        <v>491</v>
      </c>
      <c r="C236" s="165" t="s">
        <v>1697</v>
      </c>
      <c r="D236" s="161" t="s">
        <v>682</v>
      </c>
      <c r="E236" s="163" t="s">
        <v>2750</v>
      </c>
      <c r="F236" s="164" t="s">
        <v>2855</v>
      </c>
      <c r="G236" s="173"/>
      <c r="H236" s="173"/>
      <c r="I236" s="160" t="s">
        <v>68</v>
      </c>
      <c r="J236" s="167">
        <v>15</v>
      </c>
      <c r="K236" s="173"/>
      <c r="L236" s="151"/>
      <c r="M236" s="159"/>
      <c r="N236" s="173"/>
      <c r="O236" s="134" t="s">
        <v>327</v>
      </c>
      <c r="P236" s="167" t="s">
        <v>279</v>
      </c>
      <c r="Q236" s="167">
        <v>15</v>
      </c>
      <c r="R236" s="163" t="s">
        <v>2750</v>
      </c>
      <c r="S236" s="141"/>
      <c r="T236" s="130" t="s">
        <v>341</v>
      </c>
      <c r="U236" s="141"/>
      <c r="W236"/>
    </row>
    <row r="237" spans="1:23" s="72" customFormat="1" ht="16.5">
      <c r="A237" s="131" t="s">
        <v>499</v>
      </c>
      <c r="B237" s="161" t="s">
        <v>491</v>
      </c>
      <c r="C237" s="165" t="s">
        <v>1697</v>
      </c>
      <c r="D237" s="161" t="s">
        <v>682</v>
      </c>
      <c r="E237" s="163" t="s">
        <v>2751</v>
      </c>
      <c r="F237" s="164" t="s">
        <v>2856</v>
      </c>
      <c r="G237" s="173"/>
      <c r="H237" s="173"/>
      <c r="I237" s="160" t="s">
        <v>68</v>
      </c>
      <c r="J237" s="167">
        <v>15</v>
      </c>
      <c r="K237" s="173"/>
      <c r="L237" s="151"/>
      <c r="M237" s="159"/>
      <c r="N237" s="173"/>
      <c r="O237" s="134" t="s">
        <v>327</v>
      </c>
      <c r="P237" s="167" t="s">
        <v>279</v>
      </c>
      <c r="Q237" s="167">
        <v>15</v>
      </c>
      <c r="R237" s="163" t="s">
        <v>2751</v>
      </c>
      <c r="S237" s="141"/>
      <c r="T237" s="130" t="s">
        <v>341</v>
      </c>
      <c r="U237" s="141"/>
      <c r="W237"/>
    </row>
    <row r="238" spans="1:23" s="72" customFormat="1" ht="16.5">
      <c r="A238" s="131" t="s">
        <v>499</v>
      </c>
      <c r="B238" s="161" t="s">
        <v>491</v>
      </c>
      <c r="C238" s="165" t="s">
        <v>1697</v>
      </c>
      <c r="D238" s="161" t="s">
        <v>682</v>
      </c>
      <c r="E238" s="163" t="s">
        <v>1434</v>
      </c>
      <c r="F238" s="164" t="s">
        <v>2857</v>
      </c>
      <c r="G238" s="173"/>
      <c r="H238" s="173"/>
      <c r="I238" s="160" t="s">
        <v>68</v>
      </c>
      <c r="J238" s="167">
        <v>15</v>
      </c>
      <c r="K238" s="173"/>
      <c r="L238" s="151"/>
      <c r="M238" s="159"/>
      <c r="N238" s="173"/>
      <c r="O238" s="134" t="s">
        <v>327</v>
      </c>
      <c r="P238" s="167" t="s">
        <v>279</v>
      </c>
      <c r="Q238" s="167">
        <v>15</v>
      </c>
      <c r="R238" s="163" t="s">
        <v>1434</v>
      </c>
      <c r="S238" s="141"/>
      <c r="T238" s="130" t="s">
        <v>341</v>
      </c>
      <c r="U238" s="141"/>
      <c r="W238"/>
    </row>
    <row r="239" spans="1:23" s="72" customFormat="1" ht="16.5">
      <c r="A239" s="131" t="s">
        <v>499</v>
      </c>
      <c r="B239" s="161" t="s">
        <v>491</v>
      </c>
      <c r="C239" s="165" t="s">
        <v>1697</v>
      </c>
      <c r="D239" s="161" t="s">
        <v>682</v>
      </c>
      <c r="E239" s="163" t="s">
        <v>2752</v>
      </c>
      <c r="F239" s="164" t="s">
        <v>2858</v>
      </c>
      <c r="G239" s="173"/>
      <c r="H239" s="173"/>
      <c r="I239" s="160" t="s">
        <v>68</v>
      </c>
      <c r="J239" s="167">
        <v>15</v>
      </c>
      <c r="K239" s="173"/>
      <c r="L239" s="151"/>
      <c r="M239" s="159"/>
      <c r="N239" s="173"/>
      <c r="O239" s="134" t="s">
        <v>327</v>
      </c>
      <c r="P239" s="167" t="s">
        <v>279</v>
      </c>
      <c r="Q239" s="167">
        <v>15</v>
      </c>
      <c r="R239" s="163" t="s">
        <v>2752</v>
      </c>
      <c r="S239" s="141"/>
      <c r="T239" s="130" t="s">
        <v>341</v>
      </c>
      <c r="U239" s="141"/>
      <c r="W239"/>
    </row>
    <row r="240" spans="1:23" s="72" customFormat="1" ht="16.5">
      <c r="A240" s="131" t="s">
        <v>499</v>
      </c>
      <c r="B240" s="161" t="s">
        <v>491</v>
      </c>
      <c r="C240" s="165" t="s">
        <v>1697</v>
      </c>
      <c r="D240" s="161" t="s">
        <v>682</v>
      </c>
      <c r="E240" s="163" t="s">
        <v>182</v>
      </c>
      <c r="F240" s="164" t="s">
        <v>182</v>
      </c>
      <c r="G240" s="173"/>
      <c r="H240" s="173"/>
      <c r="I240" s="160" t="s">
        <v>68</v>
      </c>
      <c r="J240" s="167">
        <v>15</v>
      </c>
      <c r="K240" s="173"/>
      <c r="L240" s="151"/>
      <c r="M240" s="159"/>
      <c r="N240" s="173"/>
      <c r="O240" s="134" t="s">
        <v>327</v>
      </c>
      <c r="P240" s="167" t="s">
        <v>279</v>
      </c>
      <c r="Q240" s="167">
        <v>15</v>
      </c>
      <c r="R240" s="163" t="s">
        <v>182</v>
      </c>
      <c r="S240" s="141"/>
      <c r="T240" s="130" t="s">
        <v>341</v>
      </c>
      <c r="U240" s="141"/>
      <c r="V240" s="74"/>
      <c r="W240"/>
    </row>
    <row r="241" spans="1:23" s="72" customFormat="1" ht="16.5">
      <c r="A241" s="131" t="s">
        <v>499</v>
      </c>
      <c r="B241" s="161" t="s">
        <v>491</v>
      </c>
      <c r="C241" s="165" t="s">
        <v>1697</v>
      </c>
      <c r="D241" s="161" t="s">
        <v>682</v>
      </c>
      <c r="E241" s="163" t="s">
        <v>2753</v>
      </c>
      <c r="F241" s="164" t="s">
        <v>2753</v>
      </c>
      <c r="G241" s="173"/>
      <c r="H241" s="173"/>
      <c r="I241" s="160" t="s">
        <v>53</v>
      </c>
      <c r="J241" s="167">
        <v>1</v>
      </c>
      <c r="K241" s="173"/>
      <c r="L241" s="151"/>
      <c r="M241" s="159"/>
      <c r="N241" s="173"/>
      <c r="O241" s="134" t="s">
        <v>327</v>
      </c>
      <c r="P241" s="167" t="s">
        <v>275</v>
      </c>
      <c r="Q241" s="167">
        <v>1</v>
      </c>
      <c r="R241" s="163" t="s">
        <v>2753</v>
      </c>
      <c r="S241" s="141"/>
      <c r="T241" s="130" t="s">
        <v>341</v>
      </c>
      <c r="U241" s="141"/>
      <c r="W241"/>
    </row>
    <row r="242" spans="1:23" s="72" customFormat="1" ht="16.5">
      <c r="A242" s="131" t="s">
        <v>499</v>
      </c>
      <c r="B242" s="161" t="s">
        <v>491</v>
      </c>
      <c r="C242" s="165" t="s">
        <v>1697</v>
      </c>
      <c r="D242" s="161" t="s">
        <v>682</v>
      </c>
      <c r="E242" s="163" t="s">
        <v>2754</v>
      </c>
      <c r="F242" s="164" t="s">
        <v>2859</v>
      </c>
      <c r="G242" s="173"/>
      <c r="H242" s="173"/>
      <c r="I242" s="160" t="s">
        <v>53</v>
      </c>
      <c r="J242" s="167">
        <v>2</v>
      </c>
      <c r="K242" s="173"/>
      <c r="L242" s="151"/>
      <c r="M242" s="159"/>
      <c r="N242" s="173"/>
      <c r="O242" s="134" t="s">
        <v>327</v>
      </c>
      <c r="P242" s="167" t="s">
        <v>275</v>
      </c>
      <c r="Q242" s="167">
        <v>2</v>
      </c>
      <c r="R242" s="163" t="s">
        <v>2754</v>
      </c>
      <c r="S242" s="141"/>
      <c r="T242" s="130" t="s">
        <v>341</v>
      </c>
      <c r="U242" s="141"/>
      <c r="W242"/>
    </row>
    <row r="243" spans="1:23" s="72" customFormat="1" ht="16.5">
      <c r="A243" s="131" t="s">
        <v>499</v>
      </c>
      <c r="B243" s="161" t="s">
        <v>491</v>
      </c>
      <c r="C243" s="165" t="s">
        <v>1697</v>
      </c>
      <c r="D243" s="161" t="s">
        <v>682</v>
      </c>
      <c r="E243" s="163" t="s">
        <v>2755</v>
      </c>
      <c r="F243" s="164" t="s">
        <v>2860</v>
      </c>
      <c r="G243" s="173"/>
      <c r="H243" s="173"/>
      <c r="I243" s="160" t="s">
        <v>53</v>
      </c>
      <c r="J243" s="167">
        <v>1</v>
      </c>
      <c r="K243" s="173"/>
      <c r="L243" s="151"/>
      <c r="M243" s="159"/>
      <c r="N243" s="173"/>
      <c r="O243" s="134" t="s">
        <v>327</v>
      </c>
      <c r="P243" s="167" t="s">
        <v>275</v>
      </c>
      <c r="Q243" s="167">
        <v>1</v>
      </c>
      <c r="R243" s="163" t="s">
        <v>2755</v>
      </c>
      <c r="S243" s="141"/>
      <c r="T243" s="130" t="s">
        <v>341</v>
      </c>
      <c r="U243" s="141"/>
      <c r="W243"/>
    </row>
    <row r="244" spans="1:23" s="72" customFormat="1" ht="16.5">
      <c r="A244" s="131" t="s">
        <v>499</v>
      </c>
      <c r="B244" s="161" t="s">
        <v>491</v>
      </c>
      <c r="C244" s="165" t="s">
        <v>1697</v>
      </c>
      <c r="D244" s="161" t="s">
        <v>682</v>
      </c>
      <c r="E244" s="163" t="s">
        <v>2756</v>
      </c>
      <c r="F244" s="164" t="s">
        <v>2861</v>
      </c>
      <c r="G244" s="173"/>
      <c r="H244" s="173"/>
      <c r="I244" s="160" t="s">
        <v>53</v>
      </c>
      <c r="J244" s="167">
        <v>10</v>
      </c>
      <c r="K244" s="173"/>
      <c r="L244" s="151"/>
      <c r="M244" s="159"/>
      <c r="N244" s="173"/>
      <c r="O244" s="134" t="s">
        <v>327</v>
      </c>
      <c r="P244" s="167" t="s">
        <v>275</v>
      </c>
      <c r="Q244" s="167">
        <v>10</v>
      </c>
      <c r="R244" s="163" t="s">
        <v>2756</v>
      </c>
      <c r="S244" s="141"/>
      <c r="T244" s="130" t="s">
        <v>341</v>
      </c>
      <c r="U244" s="141"/>
      <c r="W244"/>
    </row>
    <row r="245" spans="1:23" s="72" customFormat="1" ht="16.5">
      <c r="A245" s="131" t="s">
        <v>499</v>
      </c>
      <c r="B245" s="161" t="s">
        <v>491</v>
      </c>
      <c r="C245" s="165" t="s">
        <v>1697</v>
      </c>
      <c r="D245" s="161" t="s">
        <v>682</v>
      </c>
      <c r="E245" s="163" t="s">
        <v>2757</v>
      </c>
      <c r="F245" s="164" t="s">
        <v>2862</v>
      </c>
      <c r="G245" s="173"/>
      <c r="H245" s="173"/>
      <c r="I245" s="160" t="s">
        <v>53</v>
      </c>
      <c r="J245" s="167">
        <v>1</v>
      </c>
      <c r="K245" s="173"/>
      <c r="L245" s="151"/>
      <c r="M245" s="159"/>
      <c r="N245" s="173"/>
      <c r="O245" s="134" t="s">
        <v>327</v>
      </c>
      <c r="P245" s="167" t="s">
        <v>275</v>
      </c>
      <c r="Q245" s="167">
        <v>1</v>
      </c>
      <c r="R245" s="163" t="s">
        <v>2757</v>
      </c>
      <c r="S245" s="141"/>
      <c r="T245" s="130" t="s">
        <v>341</v>
      </c>
      <c r="U245" s="141"/>
      <c r="W245"/>
    </row>
    <row r="246" spans="1:23" s="72" customFormat="1" ht="16.5">
      <c r="A246" s="131" t="s">
        <v>499</v>
      </c>
      <c r="B246" s="161" t="s">
        <v>491</v>
      </c>
      <c r="C246" s="165" t="s">
        <v>1697</v>
      </c>
      <c r="D246" s="161" t="s">
        <v>682</v>
      </c>
      <c r="E246" s="163" t="s">
        <v>2758</v>
      </c>
      <c r="F246" s="164" t="s">
        <v>2758</v>
      </c>
      <c r="G246" s="173"/>
      <c r="H246" s="173"/>
      <c r="I246" s="160" t="s">
        <v>53</v>
      </c>
      <c r="J246" s="167">
        <v>8</v>
      </c>
      <c r="K246" s="173"/>
      <c r="L246" s="151"/>
      <c r="M246" s="159"/>
      <c r="N246" s="173"/>
      <c r="O246" s="134" t="s">
        <v>327</v>
      </c>
      <c r="P246" s="167" t="s">
        <v>275</v>
      </c>
      <c r="Q246" s="167">
        <v>8</v>
      </c>
      <c r="R246" s="163" t="s">
        <v>2758</v>
      </c>
      <c r="S246" s="141"/>
      <c r="T246" s="130" t="s">
        <v>341</v>
      </c>
      <c r="U246" s="141"/>
      <c r="W246"/>
    </row>
    <row r="247" spans="1:23" s="72" customFormat="1" ht="16.5">
      <c r="A247" s="131" t="s">
        <v>499</v>
      </c>
      <c r="B247" s="161" t="s">
        <v>491</v>
      </c>
      <c r="C247" s="165" t="s">
        <v>1697</v>
      </c>
      <c r="D247" s="161" t="s">
        <v>682</v>
      </c>
      <c r="E247" s="163" t="s">
        <v>2759</v>
      </c>
      <c r="F247" s="164" t="s">
        <v>2863</v>
      </c>
      <c r="G247" s="173"/>
      <c r="H247" s="173"/>
      <c r="I247" s="160" t="s">
        <v>68</v>
      </c>
      <c r="J247" s="167">
        <v>15</v>
      </c>
      <c r="K247" s="173"/>
      <c r="L247" s="151"/>
      <c r="M247" s="159"/>
      <c r="N247" s="173"/>
      <c r="O247" s="134" t="s">
        <v>327</v>
      </c>
      <c r="P247" s="167" t="s">
        <v>279</v>
      </c>
      <c r="Q247" s="167">
        <v>15</v>
      </c>
      <c r="R247" s="163" t="s">
        <v>2759</v>
      </c>
      <c r="S247" s="141"/>
      <c r="T247" s="130" t="s">
        <v>341</v>
      </c>
      <c r="U247" s="141"/>
      <c r="W247"/>
    </row>
    <row r="248" spans="1:23" s="72" customFormat="1" ht="16.5">
      <c r="A248" s="131" t="s">
        <v>499</v>
      </c>
      <c r="B248" s="161" t="s">
        <v>491</v>
      </c>
      <c r="C248" s="165" t="s">
        <v>1697</v>
      </c>
      <c r="D248" s="161" t="s">
        <v>682</v>
      </c>
      <c r="E248" s="163" t="s">
        <v>2760</v>
      </c>
      <c r="F248" s="164" t="s">
        <v>2864</v>
      </c>
      <c r="G248" s="173"/>
      <c r="H248" s="173"/>
      <c r="I248" s="160" t="s">
        <v>68</v>
      </c>
      <c r="J248" s="167">
        <v>15</v>
      </c>
      <c r="K248" s="173"/>
      <c r="L248" s="151"/>
      <c r="M248" s="159"/>
      <c r="N248" s="173"/>
      <c r="O248" s="134" t="s">
        <v>327</v>
      </c>
      <c r="P248" s="167" t="s">
        <v>279</v>
      </c>
      <c r="Q248" s="167">
        <v>15</v>
      </c>
      <c r="R248" s="163" t="s">
        <v>2760</v>
      </c>
      <c r="S248" s="141"/>
      <c r="T248" s="130" t="s">
        <v>341</v>
      </c>
      <c r="U248" s="141"/>
      <c r="W248"/>
    </row>
    <row r="249" spans="1:23" s="72" customFormat="1" ht="16.5">
      <c r="A249" s="131" t="s">
        <v>499</v>
      </c>
      <c r="B249" s="161" t="s">
        <v>491</v>
      </c>
      <c r="C249" s="165" t="s">
        <v>1697</v>
      </c>
      <c r="D249" s="161" t="s">
        <v>682</v>
      </c>
      <c r="E249" s="163" t="s">
        <v>2761</v>
      </c>
      <c r="F249" s="164" t="s">
        <v>2865</v>
      </c>
      <c r="G249" s="173"/>
      <c r="H249" s="173"/>
      <c r="I249" s="160" t="s">
        <v>53</v>
      </c>
      <c r="J249" s="167">
        <v>2</v>
      </c>
      <c r="K249" s="173"/>
      <c r="L249" s="151"/>
      <c r="M249" s="159"/>
      <c r="N249" s="173"/>
      <c r="O249" s="134" t="s">
        <v>327</v>
      </c>
      <c r="P249" s="167" t="s">
        <v>275</v>
      </c>
      <c r="Q249" s="167">
        <v>2</v>
      </c>
      <c r="R249" s="163" t="s">
        <v>2761</v>
      </c>
      <c r="S249" s="141"/>
      <c r="T249" s="130" t="s">
        <v>341</v>
      </c>
      <c r="U249" s="141"/>
      <c r="W249"/>
    </row>
    <row r="250" spans="1:23" s="72" customFormat="1" ht="16.5">
      <c r="A250" s="131" t="s">
        <v>499</v>
      </c>
      <c r="B250" s="161" t="s">
        <v>491</v>
      </c>
      <c r="C250" s="165" t="s">
        <v>1697</v>
      </c>
      <c r="D250" s="161" t="s">
        <v>682</v>
      </c>
      <c r="E250" s="163" t="s">
        <v>2762</v>
      </c>
      <c r="F250" s="164" t="s">
        <v>2866</v>
      </c>
      <c r="G250" s="173"/>
      <c r="H250" s="173"/>
      <c r="I250" s="160" t="s">
        <v>53</v>
      </c>
      <c r="J250" s="167">
        <v>2</v>
      </c>
      <c r="K250" s="173"/>
      <c r="L250" s="151"/>
      <c r="M250" s="159"/>
      <c r="N250" s="173"/>
      <c r="O250" s="134" t="s">
        <v>327</v>
      </c>
      <c r="P250" s="167" t="s">
        <v>275</v>
      </c>
      <c r="Q250" s="167">
        <v>2</v>
      </c>
      <c r="R250" s="163" t="s">
        <v>2762</v>
      </c>
      <c r="S250" s="141"/>
      <c r="T250" s="130" t="s">
        <v>341</v>
      </c>
      <c r="U250" s="141"/>
      <c r="W250"/>
    </row>
    <row r="251" spans="1:23" s="72" customFormat="1" ht="16.5">
      <c r="A251" s="131" t="s">
        <v>499</v>
      </c>
      <c r="B251" s="161" t="s">
        <v>491</v>
      </c>
      <c r="C251" s="165" t="s">
        <v>1697</v>
      </c>
      <c r="D251" s="161" t="s">
        <v>682</v>
      </c>
      <c r="E251" s="163" t="s">
        <v>2763</v>
      </c>
      <c r="F251" s="164" t="s">
        <v>96</v>
      </c>
      <c r="G251" s="173"/>
      <c r="H251" s="173"/>
      <c r="I251" s="160" t="s">
        <v>53</v>
      </c>
      <c r="J251" s="167">
        <v>3</v>
      </c>
      <c r="K251" s="173"/>
      <c r="L251" s="151"/>
      <c r="M251" s="159"/>
      <c r="N251" s="173"/>
      <c r="O251" s="134" t="s">
        <v>327</v>
      </c>
      <c r="P251" s="167" t="s">
        <v>275</v>
      </c>
      <c r="Q251" s="167">
        <v>3</v>
      </c>
      <c r="R251" s="163" t="s">
        <v>2763</v>
      </c>
      <c r="S251" s="141"/>
      <c r="T251" s="130" t="s">
        <v>341</v>
      </c>
      <c r="U251" s="141"/>
      <c r="W251"/>
    </row>
    <row r="252" spans="1:23" s="72" customFormat="1" ht="16.5">
      <c r="A252" s="131" t="s">
        <v>499</v>
      </c>
      <c r="B252" s="161" t="s">
        <v>491</v>
      </c>
      <c r="C252" s="165" t="s">
        <v>1697</v>
      </c>
      <c r="D252" s="161" t="s">
        <v>682</v>
      </c>
      <c r="E252" s="163" t="s">
        <v>2764</v>
      </c>
      <c r="F252" s="164" t="s">
        <v>97</v>
      </c>
      <c r="G252" s="173"/>
      <c r="H252" s="173"/>
      <c r="I252" s="160" t="s">
        <v>53</v>
      </c>
      <c r="J252" s="167">
        <v>3</v>
      </c>
      <c r="K252" s="173"/>
      <c r="L252" s="151"/>
      <c r="M252" s="159"/>
      <c r="N252" s="173"/>
      <c r="O252" s="134" t="s">
        <v>327</v>
      </c>
      <c r="P252" s="167" t="s">
        <v>275</v>
      </c>
      <c r="Q252" s="167">
        <v>3</v>
      </c>
      <c r="R252" s="163" t="s">
        <v>2764</v>
      </c>
      <c r="S252" s="141"/>
      <c r="T252" s="130" t="s">
        <v>341</v>
      </c>
      <c r="U252" s="141"/>
      <c r="W252"/>
    </row>
    <row r="253" spans="1:23" s="72" customFormat="1" ht="16.5">
      <c r="A253" s="131" t="s">
        <v>499</v>
      </c>
      <c r="B253" s="161" t="s">
        <v>491</v>
      </c>
      <c r="C253" s="165" t="s">
        <v>1697</v>
      </c>
      <c r="D253" s="161" t="s">
        <v>682</v>
      </c>
      <c r="E253" s="163" t="s">
        <v>2765</v>
      </c>
      <c r="F253" s="164" t="s">
        <v>98</v>
      </c>
      <c r="G253" s="173"/>
      <c r="H253" s="173"/>
      <c r="I253" s="160" t="s">
        <v>53</v>
      </c>
      <c r="J253" s="167">
        <v>3</v>
      </c>
      <c r="K253" s="173"/>
      <c r="L253" s="151"/>
      <c r="M253" s="159"/>
      <c r="N253" s="173"/>
      <c r="O253" s="134" t="s">
        <v>327</v>
      </c>
      <c r="P253" s="167" t="s">
        <v>275</v>
      </c>
      <c r="Q253" s="167">
        <v>3</v>
      </c>
      <c r="R253" s="163" t="s">
        <v>2765</v>
      </c>
      <c r="S253" s="141"/>
      <c r="T253" s="130" t="s">
        <v>341</v>
      </c>
      <c r="U253" s="141"/>
      <c r="W253"/>
    </row>
    <row r="254" spans="1:23" s="72" customFormat="1" ht="16.5">
      <c r="A254" s="131" t="s">
        <v>499</v>
      </c>
      <c r="B254" s="161" t="s">
        <v>491</v>
      </c>
      <c r="C254" s="165" t="s">
        <v>1697</v>
      </c>
      <c r="D254" s="161" t="s">
        <v>682</v>
      </c>
      <c r="E254" s="163" t="s">
        <v>2766</v>
      </c>
      <c r="F254" s="164" t="s">
        <v>2766</v>
      </c>
      <c r="G254" s="173"/>
      <c r="H254" s="173"/>
      <c r="I254" s="160" t="s">
        <v>53</v>
      </c>
      <c r="J254" s="167">
        <v>4</v>
      </c>
      <c r="K254" s="173"/>
      <c r="L254" s="151"/>
      <c r="M254" s="159"/>
      <c r="N254" s="173"/>
      <c r="O254" s="134" t="s">
        <v>327</v>
      </c>
      <c r="P254" s="167" t="s">
        <v>275</v>
      </c>
      <c r="Q254" s="167">
        <v>4</v>
      </c>
      <c r="R254" s="163" t="s">
        <v>2766</v>
      </c>
      <c r="S254" s="141"/>
      <c r="T254" s="130" t="s">
        <v>341</v>
      </c>
      <c r="U254" s="141"/>
      <c r="W254"/>
    </row>
    <row r="255" spans="1:23" s="72" customFormat="1" ht="16.5">
      <c r="A255" s="131" t="s">
        <v>499</v>
      </c>
      <c r="B255" s="161" t="s">
        <v>491</v>
      </c>
      <c r="C255" s="165" t="s">
        <v>1697</v>
      </c>
      <c r="D255" s="161" t="s">
        <v>682</v>
      </c>
      <c r="E255" s="163" t="s">
        <v>2767</v>
      </c>
      <c r="F255" s="164" t="s">
        <v>2867</v>
      </c>
      <c r="G255" s="173"/>
      <c r="H255" s="173"/>
      <c r="I255" s="160" t="s">
        <v>53</v>
      </c>
      <c r="J255" s="167">
        <v>4</v>
      </c>
      <c r="K255" s="173"/>
      <c r="L255" s="151"/>
      <c r="M255" s="159"/>
      <c r="N255" s="173"/>
      <c r="O255" s="134" t="s">
        <v>327</v>
      </c>
      <c r="P255" s="167" t="s">
        <v>275</v>
      </c>
      <c r="Q255" s="167">
        <v>4</v>
      </c>
      <c r="R255" s="163" t="s">
        <v>2767</v>
      </c>
      <c r="S255" s="141"/>
      <c r="T255" s="130" t="s">
        <v>341</v>
      </c>
      <c r="U255" s="141"/>
      <c r="W255"/>
    </row>
    <row r="256" spans="1:23" s="72" customFormat="1" ht="16.5">
      <c r="A256" s="131" t="s">
        <v>499</v>
      </c>
      <c r="B256" s="161" t="s">
        <v>491</v>
      </c>
      <c r="C256" s="165" t="s">
        <v>1697</v>
      </c>
      <c r="D256" s="161" t="s">
        <v>682</v>
      </c>
      <c r="E256" s="163" t="s">
        <v>2768</v>
      </c>
      <c r="F256" s="164" t="s">
        <v>2868</v>
      </c>
      <c r="G256" s="173"/>
      <c r="H256" s="173"/>
      <c r="I256" s="160" t="s">
        <v>53</v>
      </c>
      <c r="J256" s="167">
        <v>4</v>
      </c>
      <c r="K256" s="173"/>
      <c r="L256" s="151"/>
      <c r="M256" s="159"/>
      <c r="N256" s="173"/>
      <c r="O256" s="134" t="s">
        <v>327</v>
      </c>
      <c r="P256" s="167" t="s">
        <v>275</v>
      </c>
      <c r="Q256" s="167">
        <v>4</v>
      </c>
      <c r="R256" s="163" t="s">
        <v>2768</v>
      </c>
      <c r="S256" s="141"/>
      <c r="T256" s="130" t="s">
        <v>341</v>
      </c>
      <c r="U256" s="141"/>
      <c r="W256"/>
    </row>
    <row r="257" spans="1:23" s="72" customFormat="1" ht="16.5">
      <c r="A257" s="131" t="s">
        <v>499</v>
      </c>
      <c r="B257" s="161" t="s">
        <v>491</v>
      </c>
      <c r="C257" s="165" t="s">
        <v>1697</v>
      </c>
      <c r="D257" s="161" t="s">
        <v>682</v>
      </c>
      <c r="E257" s="163" t="s">
        <v>2769</v>
      </c>
      <c r="F257" s="164" t="s">
        <v>2869</v>
      </c>
      <c r="G257" s="173"/>
      <c r="H257" s="173"/>
      <c r="I257" s="160" t="s">
        <v>68</v>
      </c>
      <c r="J257" s="167">
        <v>5</v>
      </c>
      <c r="K257" s="173"/>
      <c r="L257" s="151"/>
      <c r="M257" s="159"/>
      <c r="N257" s="173"/>
      <c r="O257" s="134" t="s">
        <v>327</v>
      </c>
      <c r="P257" s="167" t="s">
        <v>279</v>
      </c>
      <c r="Q257" s="167">
        <v>5</v>
      </c>
      <c r="R257" s="163" t="s">
        <v>2769</v>
      </c>
      <c r="S257" s="141"/>
      <c r="T257" s="130" t="s">
        <v>341</v>
      </c>
      <c r="U257" s="141"/>
      <c r="W257"/>
    </row>
    <row r="258" spans="1:23" s="72" customFormat="1" ht="16.5">
      <c r="A258" s="131" t="s">
        <v>499</v>
      </c>
      <c r="B258" s="161" t="s">
        <v>491</v>
      </c>
      <c r="C258" s="165" t="s">
        <v>1697</v>
      </c>
      <c r="D258" s="161" t="s">
        <v>682</v>
      </c>
      <c r="E258" s="163" t="s">
        <v>2770</v>
      </c>
      <c r="F258" s="164" t="s">
        <v>2870</v>
      </c>
      <c r="G258" s="173"/>
      <c r="H258" s="173"/>
      <c r="I258" s="160" t="s">
        <v>68</v>
      </c>
      <c r="J258" s="167">
        <v>3</v>
      </c>
      <c r="K258" s="173"/>
      <c r="L258" s="151"/>
      <c r="M258" s="159"/>
      <c r="N258" s="173"/>
      <c r="O258" s="134" t="s">
        <v>327</v>
      </c>
      <c r="P258" s="167" t="s">
        <v>279</v>
      </c>
      <c r="Q258" s="167">
        <v>3</v>
      </c>
      <c r="R258" s="163" t="s">
        <v>2770</v>
      </c>
      <c r="S258" s="141"/>
      <c r="T258" s="130" t="s">
        <v>341</v>
      </c>
      <c r="U258" s="141"/>
      <c r="W258"/>
    </row>
    <row r="259" spans="1:23" s="72" customFormat="1" ht="16.5">
      <c r="A259" s="131" t="s">
        <v>499</v>
      </c>
      <c r="B259" s="161" t="s">
        <v>491</v>
      </c>
      <c r="C259" s="165" t="s">
        <v>1697</v>
      </c>
      <c r="D259" s="161" t="s">
        <v>682</v>
      </c>
      <c r="E259" s="163" t="s">
        <v>2771</v>
      </c>
      <c r="F259" s="164" t="s">
        <v>2871</v>
      </c>
      <c r="G259" s="173"/>
      <c r="H259" s="173"/>
      <c r="I259" s="160" t="s">
        <v>68</v>
      </c>
      <c r="J259" s="167">
        <v>15</v>
      </c>
      <c r="K259" s="173"/>
      <c r="L259" s="151"/>
      <c r="M259" s="159"/>
      <c r="N259" s="173"/>
      <c r="O259" s="134" t="s">
        <v>327</v>
      </c>
      <c r="P259" s="167" t="s">
        <v>279</v>
      </c>
      <c r="Q259" s="167">
        <v>15</v>
      </c>
      <c r="R259" s="163" t="s">
        <v>2771</v>
      </c>
      <c r="S259" s="141"/>
      <c r="T259" s="130" t="s">
        <v>341</v>
      </c>
      <c r="U259" s="141"/>
      <c r="W259"/>
    </row>
    <row r="260" spans="1:23" s="72" customFormat="1" ht="16.5">
      <c r="A260" s="131" t="s">
        <v>499</v>
      </c>
      <c r="B260" s="161" t="s">
        <v>491</v>
      </c>
      <c r="C260" s="165" t="s">
        <v>1697</v>
      </c>
      <c r="D260" s="161" t="s">
        <v>682</v>
      </c>
      <c r="E260" s="163" t="s">
        <v>2772</v>
      </c>
      <c r="F260" s="164" t="s">
        <v>2872</v>
      </c>
      <c r="G260" s="173"/>
      <c r="H260" s="173"/>
      <c r="I260" s="160" t="s">
        <v>68</v>
      </c>
      <c r="J260" s="167">
        <v>5</v>
      </c>
      <c r="K260" s="173"/>
      <c r="L260" s="151"/>
      <c r="M260" s="159"/>
      <c r="N260" s="173"/>
      <c r="O260" s="134" t="s">
        <v>327</v>
      </c>
      <c r="P260" s="167" t="s">
        <v>279</v>
      </c>
      <c r="Q260" s="167">
        <v>5</v>
      </c>
      <c r="R260" s="163" t="s">
        <v>2772</v>
      </c>
      <c r="S260" s="141"/>
      <c r="T260" s="130" t="s">
        <v>341</v>
      </c>
      <c r="U260" s="141"/>
      <c r="W260"/>
    </row>
    <row r="261" spans="1:23" s="72" customFormat="1" ht="16.5">
      <c r="A261" s="131" t="s">
        <v>499</v>
      </c>
      <c r="B261" s="161" t="s">
        <v>491</v>
      </c>
      <c r="C261" s="165" t="s">
        <v>1697</v>
      </c>
      <c r="D261" s="161" t="s">
        <v>682</v>
      </c>
      <c r="E261" s="163" t="s">
        <v>2773</v>
      </c>
      <c r="F261" s="164" t="s">
        <v>2873</v>
      </c>
      <c r="G261" s="173"/>
      <c r="H261" s="173"/>
      <c r="I261" s="160" t="s">
        <v>68</v>
      </c>
      <c r="J261" s="167">
        <v>5</v>
      </c>
      <c r="K261" s="173"/>
      <c r="L261" s="151"/>
      <c r="M261" s="159"/>
      <c r="N261" s="173"/>
      <c r="O261" s="134" t="s">
        <v>327</v>
      </c>
      <c r="P261" s="167" t="s">
        <v>279</v>
      </c>
      <c r="Q261" s="167">
        <v>5</v>
      </c>
      <c r="R261" s="163" t="s">
        <v>2773</v>
      </c>
      <c r="S261" s="141"/>
      <c r="T261" s="130" t="s">
        <v>341</v>
      </c>
      <c r="U261" s="141"/>
      <c r="W261"/>
    </row>
    <row r="262" spans="1:23" s="72" customFormat="1" ht="16.5">
      <c r="A262" s="131" t="s">
        <v>499</v>
      </c>
      <c r="B262" s="161" t="s">
        <v>491</v>
      </c>
      <c r="C262" s="165" t="s">
        <v>1697</v>
      </c>
      <c r="D262" s="161" t="s">
        <v>682</v>
      </c>
      <c r="E262" s="163" t="s">
        <v>2774</v>
      </c>
      <c r="F262" s="164" t="s">
        <v>2874</v>
      </c>
      <c r="G262" s="173"/>
      <c r="H262" s="173"/>
      <c r="I262" s="160" t="s">
        <v>68</v>
      </c>
      <c r="J262" s="167">
        <v>5</v>
      </c>
      <c r="K262" s="173"/>
      <c r="L262" s="151"/>
      <c r="M262" s="159"/>
      <c r="N262" s="173"/>
      <c r="O262" s="134" t="s">
        <v>327</v>
      </c>
      <c r="P262" s="167" t="s">
        <v>279</v>
      </c>
      <c r="Q262" s="167">
        <v>5</v>
      </c>
      <c r="R262" s="163" t="s">
        <v>2774</v>
      </c>
      <c r="S262" s="141"/>
      <c r="T262" s="130" t="s">
        <v>341</v>
      </c>
      <c r="U262" s="141"/>
      <c r="W262"/>
    </row>
    <row r="263" spans="1:23" s="72" customFormat="1" ht="16.5">
      <c r="A263" s="131" t="s">
        <v>499</v>
      </c>
      <c r="B263" s="161" t="s">
        <v>491</v>
      </c>
      <c r="C263" s="165" t="s">
        <v>1697</v>
      </c>
      <c r="D263" s="161" t="s">
        <v>682</v>
      </c>
      <c r="E263" s="163" t="s">
        <v>2775</v>
      </c>
      <c r="F263" s="164" t="s">
        <v>2875</v>
      </c>
      <c r="G263" s="173"/>
      <c r="H263" s="173"/>
      <c r="I263" s="160" t="s">
        <v>68</v>
      </c>
      <c r="J263" s="167">
        <v>15</v>
      </c>
      <c r="K263" s="173"/>
      <c r="L263" s="151"/>
      <c r="M263" s="159"/>
      <c r="N263" s="173"/>
      <c r="O263" s="134" t="s">
        <v>327</v>
      </c>
      <c r="P263" s="167" t="s">
        <v>279</v>
      </c>
      <c r="Q263" s="167">
        <v>15</v>
      </c>
      <c r="R263" s="163" t="s">
        <v>2775</v>
      </c>
      <c r="S263" s="141"/>
      <c r="T263" s="130" t="s">
        <v>341</v>
      </c>
      <c r="U263" s="141"/>
      <c r="W263"/>
    </row>
    <row r="264" spans="1:23" s="72" customFormat="1" ht="16.5">
      <c r="A264" s="131" t="s">
        <v>499</v>
      </c>
      <c r="B264" s="161" t="s">
        <v>491</v>
      </c>
      <c r="C264" s="165" t="s">
        <v>1697</v>
      </c>
      <c r="D264" s="161" t="s">
        <v>682</v>
      </c>
      <c r="E264" s="163" t="s">
        <v>2776</v>
      </c>
      <c r="F264" s="164" t="s">
        <v>2876</v>
      </c>
      <c r="G264" s="173"/>
      <c r="H264" s="173"/>
      <c r="I264" s="160" t="s">
        <v>68</v>
      </c>
      <c r="J264" s="167">
        <v>5</v>
      </c>
      <c r="K264" s="173"/>
      <c r="L264" s="151"/>
      <c r="M264" s="159"/>
      <c r="N264" s="173"/>
      <c r="O264" s="134" t="s">
        <v>327</v>
      </c>
      <c r="P264" s="167" t="s">
        <v>279</v>
      </c>
      <c r="Q264" s="167">
        <v>5</v>
      </c>
      <c r="R264" s="163" t="s">
        <v>2776</v>
      </c>
      <c r="S264" s="141"/>
      <c r="T264" s="130" t="s">
        <v>341</v>
      </c>
      <c r="U264" s="141"/>
      <c r="W264"/>
    </row>
    <row r="265" spans="1:23" s="72" customFormat="1" ht="16.5">
      <c r="A265" s="131" t="s">
        <v>499</v>
      </c>
      <c r="B265" s="161" t="s">
        <v>491</v>
      </c>
      <c r="C265" s="165" t="s">
        <v>1697</v>
      </c>
      <c r="D265" s="161" t="s">
        <v>682</v>
      </c>
      <c r="E265" s="163" t="s">
        <v>2777</v>
      </c>
      <c r="F265" s="164" t="s">
        <v>2877</v>
      </c>
      <c r="G265" s="173"/>
      <c r="H265" s="173"/>
      <c r="I265" s="160" t="s">
        <v>68</v>
      </c>
      <c r="J265" s="167">
        <v>5</v>
      </c>
      <c r="K265" s="173"/>
      <c r="L265" s="151"/>
      <c r="M265" s="159"/>
      <c r="N265" s="173"/>
      <c r="O265" s="134" t="s">
        <v>327</v>
      </c>
      <c r="P265" s="167" t="s">
        <v>279</v>
      </c>
      <c r="Q265" s="167">
        <v>5</v>
      </c>
      <c r="R265" s="163" t="s">
        <v>2777</v>
      </c>
      <c r="S265" s="141"/>
      <c r="T265" s="130" t="s">
        <v>341</v>
      </c>
      <c r="U265" s="141"/>
      <c r="W265"/>
    </row>
    <row r="266" spans="1:23" s="72" customFormat="1" ht="16.5">
      <c r="A266" s="131" t="s">
        <v>499</v>
      </c>
      <c r="B266" s="161" t="s">
        <v>491</v>
      </c>
      <c r="C266" s="165" t="s">
        <v>1697</v>
      </c>
      <c r="D266" s="161" t="s">
        <v>682</v>
      </c>
      <c r="E266" s="163" t="s">
        <v>989</v>
      </c>
      <c r="F266" s="164" t="s">
        <v>989</v>
      </c>
      <c r="G266" s="173"/>
      <c r="H266" s="173"/>
      <c r="I266" s="160" t="s">
        <v>68</v>
      </c>
      <c r="J266" s="167">
        <v>5</v>
      </c>
      <c r="K266" s="173"/>
      <c r="L266" s="151"/>
      <c r="M266" s="159"/>
      <c r="N266" s="173"/>
      <c r="O266" s="134" t="s">
        <v>327</v>
      </c>
      <c r="P266" s="167" t="s">
        <v>279</v>
      </c>
      <c r="Q266" s="167">
        <v>5</v>
      </c>
      <c r="R266" s="163" t="s">
        <v>989</v>
      </c>
      <c r="S266" s="141"/>
      <c r="T266" s="130" t="s">
        <v>341</v>
      </c>
      <c r="U266" s="141"/>
      <c r="W266"/>
    </row>
    <row r="267" spans="1:23" s="72" customFormat="1" ht="16.5">
      <c r="A267" s="131" t="s">
        <v>499</v>
      </c>
      <c r="B267" s="161" t="s">
        <v>491</v>
      </c>
      <c r="C267" s="165" t="s">
        <v>1697</v>
      </c>
      <c r="D267" s="161" t="s">
        <v>682</v>
      </c>
      <c r="E267" s="163" t="s">
        <v>2778</v>
      </c>
      <c r="F267" s="164" t="s">
        <v>2878</v>
      </c>
      <c r="G267" s="173"/>
      <c r="H267" s="173"/>
      <c r="I267" s="160" t="s">
        <v>53</v>
      </c>
      <c r="J267" s="167">
        <v>4</v>
      </c>
      <c r="K267" s="173"/>
      <c r="L267" s="151"/>
      <c r="M267" s="159"/>
      <c r="N267" s="173"/>
      <c r="O267" s="134" t="s">
        <v>327</v>
      </c>
      <c r="P267" s="167" t="s">
        <v>275</v>
      </c>
      <c r="Q267" s="167">
        <v>4</v>
      </c>
      <c r="R267" s="163" t="s">
        <v>2778</v>
      </c>
      <c r="S267" s="141"/>
      <c r="T267" s="130" t="s">
        <v>341</v>
      </c>
      <c r="U267" s="141"/>
      <c r="W267"/>
    </row>
    <row r="268" spans="1:23" s="72" customFormat="1" ht="16.5">
      <c r="A268" s="131" t="s">
        <v>499</v>
      </c>
      <c r="B268" s="161" t="s">
        <v>491</v>
      </c>
      <c r="C268" s="165" t="s">
        <v>1697</v>
      </c>
      <c r="D268" s="161" t="s">
        <v>682</v>
      </c>
      <c r="E268" s="163" t="s">
        <v>2779</v>
      </c>
      <c r="F268" s="164" t="s">
        <v>2879</v>
      </c>
      <c r="G268" s="173"/>
      <c r="H268" s="173"/>
      <c r="I268" s="160" t="s">
        <v>68</v>
      </c>
      <c r="J268" s="167">
        <v>15</v>
      </c>
      <c r="K268" s="173"/>
      <c r="L268" s="151"/>
      <c r="M268" s="159"/>
      <c r="N268" s="173"/>
      <c r="O268" s="134" t="s">
        <v>327</v>
      </c>
      <c r="P268" s="167" t="s">
        <v>279</v>
      </c>
      <c r="Q268" s="167">
        <v>15</v>
      </c>
      <c r="R268" s="163" t="s">
        <v>2779</v>
      </c>
      <c r="S268" s="141"/>
      <c r="T268" s="130" t="s">
        <v>341</v>
      </c>
      <c r="U268" s="141"/>
      <c r="W268"/>
    </row>
    <row r="269" spans="1:23" s="72" customFormat="1" ht="16.5">
      <c r="A269" s="131" t="s">
        <v>499</v>
      </c>
      <c r="B269" s="161" t="s">
        <v>491</v>
      </c>
      <c r="C269" s="165" t="s">
        <v>1697</v>
      </c>
      <c r="D269" s="161" t="s">
        <v>682</v>
      </c>
      <c r="E269" s="163" t="s">
        <v>2780</v>
      </c>
      <c r="F269" s="164" t="s">
        <v>2880</v>
      </c>
      <c r="G269" s="173"/>
      <c r="H269" s="173"/>
      <c r="I269" s="160" t="s">
        <v>68</v>
      </c>
      <c r="J269" s="167">
        <v>15</v>
      </c>
      <c r="K269" s="173"/>
      <c r="L269" s="151"/>
      <c r="M269" s="159"/>
      <c r="N269" s="173"/>
      <c r="O269" s="134" t="s">
        <v>327</v>
      </c>
      <c r="P269" s="167" t="s">
        <v>279</v>
      </c>
      <c r="Q269" s="167">
        <v>15</v>
      </c>
      <c r="R269" s="163" t="s">
        <v>2780</v>
      </c>
      <c r="S269" s="141"/>
      <c r="T269" s="130" t="s">
        <v>341</v>
      </c>
      <c r="U269" s="141"/>
      <c r="W269"/>
    </row>
    <row r="270" spans="1:23" s="72" customFormat="1" ht="16.5">
      <c r="A270" s="131" t="s">
        <v>499</v>
      </c>
      <c r="B270" s="161" t="s">
        <v>491</v>
      </c>
      <c r="C270" s="165" t="s">
        <v>1697</v>
      </c>
      <c r="D270" s="161" t="s">
        <v>682</v>
      </c>
      <c r="E270" s="163" t="s">
        <v>2239</v>
      </c>
      <c r="F270" s="164" t="s">
        <v>2239</v>
      </c>
      <c r="G270" s="173"/>
      <c r="H270" s="173"/>
      <c r="I270" s="160" t="s">
        <v>53</v>
      </c>
      <c r="J270" s="167">
        <v>6</v>
      </c>
      <c r="K270" s="173"/>
      <c r="L270" s="151"/>
      <c r="M270" s="159"/>
      <c r="N270" s="173"/>
      <c r="O270" s="134" t="s">
        <v>327</v>
      </c>
      <c r="P270" s="167" t="s">
        <v>275</v>
      </c>
      <c r="Q270" s="167">
        <v>6</v>
      </c>
      <c r="R270" s="163" t="s">
        <v>2239</v>
      </c>
      <c r="S270" s="141"/>
      <c r="T270" s="130" t="s">
        <v>341</v>
      </c>
      <c r="U270" s="141"/>
      <c r="W270"/>
    </row>
    <row r="271" spans="1:23" s="72" customFormat="1" ht="16.5">
      <c r="A271" s="131" t="s">
        <v>499</v>
      </c>
      <c r="B271" s="161" t="s">
        <v>491</v>
      </c>
      <c r="C271" s="165" t="s">
        <v>1697</v>
      </c>
      <c r="D271" s="161" t="s">
        <v>682</v>
      </c>
      <c r="E271" s="163" t="s">
        <v>2781</v>
      </c>
      <c r="F271" s="164" t="s">
        <v>2881</v>
      </c>
      <c r="G271" s="173"/>
      <c r="H271" s="173"/>
      <c r="I271" s="160" t="s">
        <v>53</v>
      </c>
      <c r="J271" s="167">
        <v>1</v>
      </c>
      <c r="K271" s="173"/>
      <c r="L271" s="151"/>
      <c r="M271" s="159"/>
      <c r="N271" s="173"/>
      <c r="O271" s="134" t="s">
        <v>327</v>
      </c>
      <c r="P271" s="167" t="s">
        <v>275</v>
      </c>
      <c r="Q271" s="167">
        <v>1</v>
      </c>
      <c r="R271" s="163" t="s">
        <v>2781</v>
      </c>
      <c r="S271" s="141"/>
      <c r="T271" s="130" t="s">
        <v>341</v>
      </c>
      <c r="U271" s="141"/>
      <c r="W271"/>
    </row>
    <row r="272" spans="1:23" s="72" customFormat="1" ht="16.5">
      <c r="A272" s="131" t="s">
        <v>499</v>
      </c>
      <c r="B272" s="161" t="s">
        <v>491</v>
      </c>
      <c r="C272" s="165" t="s">
        <v>1697</v>
      </c>
      <c r="D272" s="161" t="s">
        <v>682</v>
      </c>
      <c r="E272" s="163" t="s">
        <v>2782</v>
      </c>
      <c r="F272" s="164" t="s">
        <v>2882</v>
      </c>
      <c r="G272" s="173"/>
      <c r="H272" s="173"/>
      <c r="I272" s="160" t="s">
        <v>68</v>
      </c>
      <c r="J272" s="167">
        <v>3</v>
      </c>
      <c r="K272" s="173"/>
      <c r="L272" s="151"/>
      <c r="M272" s="159"/>
      <c r="N272" s="173"/>
      <c r="O272" s="134" t="s">
        <v>327</v>
      </c>
      <c r="P272" s="167" t="s">
        <v>279</v>
      </c>
      <c r="Q272" s="167">
        <v>3</v>
      </c>
      <c r="R272" s="163" t="s">
        <v>2782</v>
      </c>
      <c r="S272" s="141"/>
      <c r="T272" s="130" t="s">
        <v>341</v>
      </c>
      <c r="U272" s="141"/>
      <c r="W272"/>
    </row>
    <row r="273" spans="1:23" s="72" customFormat="1" ht="16.5">
      <c r="A273" s="131" t="s">
        <v>499</v>
      </c>
      <c r="B273" s="161" t="s">
        <v>491</v>
      </c>
      <c r="C273" s="165" t="s">
        <v>1697</v>
      </c>
      <c r="D273" s="161" t="s">
        <v>682</v>
      </c>
      <c r="E273" s="163" t="s">
        <v>2783</v>
      </c>
      <c r="F273" s="164" t="s">
        <v>2883</v>
      </c>
      <c r="G273" s="173"/>
      <c r="H273" s="173"/>
      <c r="I273" s="160" t="s">
        <v>53</v>
      </c>
      <c r="J273" s="167">
        <v>1</v>
      </c>
      <c r="K273" s="173"/>
      <c r="L273" s="151"/>
      <c r="M273" s="159"/>
      <c r="N273" s="173"/>
      <c r="O273" s="134" t="s">
        <v>327</v>
      </c>
      <c r="P273" s="167" t="s">
        <v>275</v>
      </c>
      <c r="Q273" s="167">
        <v>1</v>
      </c>
      <c r="R273" s="163" t="s">
        <v>2783</v>
      </c>
      <c r="S273" s="141"/>
      <c r="T273" s="130" t="s">
        <v>341</v>
      </c>
      <c r="U273" s="141"/>
      <c r="W273"/>
    </row>
    <row r="274" spans="1:23" s="72" customFormat="1" ht="16.5">
      <c r="A274" s="131" t="s">
        <v>499</v>
      </c>
      <c r="B274" s="161" t="s">
        <v>491</v>
      </c>
      <c r="C274" s="165" t="s">
        <v>1697</v>
      </c>
      <c r="D274" s="161" t="s">
        <v>682</v>
      </c>
      <c r="E274" s="163" t="s">
        <v>2784</v>
      </c>
      <c r="F274" s="164" t="s">
        <v>2884</v>
      </c>
      <c r="G274" s="173"/>
      <c r="H274" s="173"/>
      <c r="I274" s="160" t="s">
        <v>53</v>
      </c>
      <c r="J274" s="167">
        <v>1</v>
      </c>
      <c r="K274" s="173"/>
      <c r="L274" s="151"/>
      <c r="M274" s="159"/>
      <c r="N274" s="173"/>
      <c r="O274" s="134" t="s">
        <v>327</v>
      </c>
      <c r="P274" s="167" t="s">
        <v>275</v>
      </c>
      <c r="Q274" s="167">
        <v>1</v>
      </c>
      <c r="R274" s="163" t="s">
        <v>2784</v>
      </c>
      <c r="S274" s="141"/>
      <c r="T274" s="130" t="s">
        <v>341</v>
      </c>
      <c r="U274" s="141"/>
      <c r="W274"/>
    </row>
    <row r="275" spans="1:23" s="72" customFormat="1" ht="16.5">
      <c r="A275" s="131" t="s">
        <v>499</v>
      </c>
      <c r="B275" s="161" t="s">
        <v>491</v>
      </c>
      <c r="C275" s="165" t="s">
        <v>1697</v>
      </c>
      <c r="D275" s="161" t="s">
        <v>682</v>
      </c>
      <c r="E275" s="163" t="s">
        <v>305</v>
      </c>
      <c r="F275" s="164" t="s">
        <v>2885</v>
      </c>
      <c r="G275" s="173"/>
      <c r="H275" s="173"/>
      <c r="I275" s="160" t="s">
        <v>53</v>
      </c>
      <c r="J275" s="167">
        <v>1</v>
      </c>
      <c r="K275" s="173"/>
      <c r="L275" s="151"/>
      <c r="M275" s="159"/>
      <c r="N275" s="173"/>
      <c r="O275" s="134" t="s">
        <v>327</v>
      </c>
      <c r="P275" s="167" t="s">
        <v>275</v>
      </c>
      <c r="Q275" s="167">
        <v>1</v>
      </c>
      <c r="R275" s="163" t="s">
        <v>305</v>
      </c>
      <c r="S275" s="141"/>
      <c r="T275" s="130" t="s">
        <v>341</v>
      </c>
      <c r="U275" s="141"/>
      <c r="W275"/>
    </row>
    <row r="276" spans="1:23" s="72" customFormat="1" ht="16.5">
      <c r="A276" s="131" t="s">
        <v>499</v>
      </c>
      <c r="B276" s="161" t="s">
        <v>491</v>
      </c>
      <c r="C276" s="165" t="s">
        <v>1697</v>
      </c>
      <c r="D276" s="161" t="s">
        <v>682</v>
      </c>
      <c r="E276" s="163" t="s">
        <v>734</v>
      </c>
      <c r="F276" s="164" t="s">
        <v>734</v>
      </c>
      <c r="G276" s="173"/>
      <c r="H276" s="173"/>
      <c r="I276" s="160" t="s">
        <v>68</v>
      </c>
      <c r="J276" s="167">
        <v>15</v>
      </c>
      <c r="K276" s="173"/>
      <c r="L276" s="151"/>
      <c r="M276" s="159"/>
      <c r="N276" s="173"/>
      <c r="O276" s="134" t="s">
        <v>327</v>
      </c>
      <c r="P276" s="167" t="s">
        <v>279</v>
      </c>
      <c r="Q276" s="167">
        <v>15</v>
      </c>
      <c r="R276" s="163" t="s">
        <v>734</v>
      </c>
      <c r="S276" s="141"/>
      <c r="T276" s="130" t="s">
        <v>341</v>
      </c>
      <c r="U276" s="141"/>
      <c r="W276"/>
    </row>
    <row r="277" spans="1:23" s="72" customFormat="1" ht="16.5">
      <c r="A277" s="131" t="s">
        <v>499</v>
      </c>
      <c r="B277" s="161" t="s">
        <v>491</v>
      </c>
      <c r="C277" s="165" t="s">
        <v>1697</v>
      </c>
      <c r="D277" s="161" t="s">
        <v>682</v>
      </c>
      <c r="E277" s="163" t="s">
        <v>2785</v>
      </c>
      <c r="F277" s="164" t="s">
        <v>2886</v>
      </c>
      <c r="G277" s="173"/>
      <c r="H277" s="173"/>
      <c r="I277" s="160" t="s">
        <v>68</v>
      </c>
      <c r="J277" s="167">
        <v>15</v>
      </c>
      <c r="K277" s="173"/>
      <c r="L277" s="151"/>
      <c r="M277" s="159"/>
      <c r="N277" s="173"/>
      <c r="O277" s="134" t="s">
        <v>327</v>
      </c>
      <c r="P277" s="167" t="s">
        <v>279</v>
      </c>
      <c r="Q277" s="167">
        <v>15</v>
      </c>
      <c r="R277" s="163" t="s">
        <v>2785</v>
      </c>
      <c r="S277" s="141"/>
      <c r="T277" s="130" t="s">
        <v>341</v>
      </c>
      <c r="U277" s="141"/>
      <c r="W277"/>
    </row>
    <row r="278" spans="1:23" s="72" customFormat="1" ht="16.5">
      <c r="A278" s="131" t="s">
        <v>499</v>
      </c>
      <c r="B278" s="161" t="s">
        <v>491</v>
      </c>
      <c r="C278" s="165" t="s">
        <v>1697</v>
      </c>
      <c r="D278" s="161" t="s">
        <v>682</v>
      </c>
      <c r="E278" s="163" t="s">
        <v>2786</v>
      </c>
      <c r="F278" s="164" t="s">
        <v>2887</v>
      </c>
      <c r="G278" s="173"/>
      <c r="H278" s="173"/>
      <c r="I278" s="160" t="s">
        <v>53</v>
      </c>
      <c r="J278" s="167">
        <v>1</v>
      </c>
      <c r="K278" s="173"/>
      <c r="L278" s="151"/>
      <c r="M278" s="159"/>
      <c r="N278" s="173"/>
      <c r="O278" s="134" t="s">
        <v>327</v>
      </c>
      <c r="P278" s="167" t="s">
        <v>275</v>
      </c>
      <c r="Q278" s="167">
        <v>1</v>
      </c>
      <c r="R278" s="163" t="s">
        <v>2786</v>
      </c>
      <c r="S278" s="141"/>
      <c r="T278" s="130" t="s">
        <v>341</v>
      </c>
      <c r="U278" s="141"/>
      <c r="W278"/>
    </row>
    <row r="279" spans="1:23" s="72" customFormat="1" ht="16.5">
      <c r="A279" s="131" t="s">
        <v>499</v>
      </c>
      <c r="B279" s="161" t="s">
        <v>491</v>
      </c>
      <c r="C279" s="165" t="s">
        <v>1697</v>
      </c>
      <c r="D279" s="161" t="s">
        <v>682</v>
      </c>
      <c r="E279" s="163" t="s">
        <v>2787</v>
      </c>
      <c r="F279" s="164" t="s">
        <v>2787</v>
      </c>
      <c r="G279" s="173"/>
      <c r="H279" s="173"/>
      <c r="I279" s="160" t="s">
        <v>68</v>
      </c>
      <c r="J279" s="167">
        <v>15</v>
      </c>
      <c r="K279" s="173"/>
      <c r="L279" s="151"/>
      <c r="M279" s="159"/>
      <c r="N279" s="173"/>
      <c r="O279" s="134" t="s">
        <v>327</v>
      </c>
      <c r="P279" s="167" t="s">
        <v>279</v>
      </c>
      <c r="Q279" s="167">
        <v>15</v>
      </c>
      <c r="R279" s="163" t="s">
        <v>2787</v>
      </c>
      <c r="S279" s="141"/>
      <c r="T279" s="130" t="s">
        <v>341</v>
      </c>
      <c r="U279" s="141"/>
      <c r="W279"/>
    </row>
    <row r="280" spans="1:23" s="72" customFormat="1" ht="16.5">
      <c r="A280" s="131" t="s">
        <v>499</v>
      </c>
      <c r="B280" s="161" t="s">
        <v>491</v>
      </c>
      <c r="C280" s="165" t="s">
        <v>1697</v>
      </c>
      <c r="D280" s="161" t="s">
        <v>682</v>
      </c>
      <c r="E280" s="163" t="s">
        <v>2788</v>
      </c>
      <c r="F280" s="164" t="s">
        <v>2888</v>
      </c>
      <c r="G280" s="173"/>
      <c r="H280" s="173"/>
      <c r="I280" s="160" t="s">
        <v>53</v>
      </c>
      <c r="J280" s="167">
        <v>1</v>
      </c>
      <c r="K280" s="173"/>
      <c r="L280" s="151"/>
      <c r="M280" s="159"/>
      <c r="N280" s="173"/>
      <c r="O280" s="134" t="s">
        <v>327</v>
      </c>
      <c r="P280" s="167" t="s">
        <v>275</v>
      </c>
      <c r="Q280" s="167">
        <v>1</v>
      </c>
      <c r="R280" s="163" t="s">
        <v>2788</v>
      </c>
      <c r="S280" s="141"/>
      <c r="T280" s="130" t="s">
        <v>341</v>
      </c>
      <c r="U280" s="141"/>
      <c r="W280"/>
    </row>
    <row r="281" spans="1:23" s="72" customFormat="1" ht="16.5">
      <c r="A281" s="131" t="s">
        <v>499</v>
      </c>
      <c r="B281" s="161" t="s">
        <v>491</v>
      </c>
      <c r="C281" s="165" t="s">
        <v>1697</v>
      </c>
      <c r="D281" s="161" t="s">
        <v>682</v>
      </c>
      <c r="E281" s="163" t="s">
        <v>2789</v>
      </c>
      <c r="F281" s="164" t="s">
        <v>2889</v>
      </c>
      <c r="G281" s="173"/>
      <c r="H281" s="173"/>
      <c r="I281" s="160" t="s">
        <v>53</v>
      </c>
      <c r="J281" s="167">
        <v>1</v>
      </c>
      <c r="K281" s="173"/>
      <c r="L281" s="151"/>
      <c r="M281" s="159"/>
      <c r="N281" s="173"/>
      <c r="O281" s="134" t="s">
        <v>327</v>
      </c>
      <c r="P281" s="167" t="s">
        <v>275</v>
      </c>
      <c r="Q281" s="167">
        <v>1</v>
      </c>
      <c r="R281" s="163" t="s">
        <v>2789</v>
      </c>
      <c r="S281" s="141"/>
      <c r="T281" s="130" t="s">
        <v>341</v>
      </c>
      <c r="U281" s="141"/>
      <c r="W281"/>
    </row>
    <row r="282" spans="1:23" s="72" customFormat="1" ht="16.5">
      <c r="A282" s="131" t="s">
        <v>499</v>
      </c>
      <c r="B282" s="161" t="s">
        <v>491</v>
      </c>
      <c r="C282" s="165" t="s">
        <v>1697</v>
      </c>
      <c r="D282" s="161" t="s">
        <v>682</v>
      </c>
      <c r="E282" s="163" t="s">
        <v>2790</v>
      </c>
      <c r="F282" s="164" t="s">
        <v>2890</v>
      </c>
      <c r="G282" s="173"/>
      <c r="H282" s="173"/>
      <c r="I282" s="160" t="s">
        <v>68</v>
      </c>
      <c r="J282" s="167">
        <v>15</v>
      </c>
      <c r="K282" s="173"/>
      <c r="L282" s="151"/>
      <c r="M282" s="159"/>
      <c r="N282" s="173"/>
      <c r="O282" s="134" t="s">
        <v>327</v>
      </c>
      <c r="P282" s="167" t="s">
        <v>279</v>
      </c>
      <c r="Q282" s="167">
        <v>15</v>
      </c>
      <c r="R282" s="163" t="s">
        <v>2790</v>
      </c>
      <c r="S282" s="141"/>
      <c r="T282" s="130" t="s">
        <v>341</v>
      </c>
      <c r="U282" s="141"/>
      <c r="W282"/>
    </row>
    <row r="283" spans="1:23" s="72" customFormat="1" ht="16.5">
      <c r="A283" s="131" t="s">
        <v>499</v>
      </c>
      <c r="B283" s="161" t="s">
        <v>491</v>
      </c>
      <c r="C283" s="165" t="s">
        <v>1697</v>
      </c>
      <c r="D283" s="161" t="s">
        <v>682</v>
      </c>
      <c r="E283" s="163" t="s">
        <v>2791</v>
      </c>
      <c r="F283" s="164" t="s">
        <v>2891</v>
      </c>
      <c r="G283" s="173"/>
      <c r="H283" s="173"/>
      <c r="I283" s="160" t="s">
        <v>53</v>
      </c>
      <c r="J283" s="167">
        <v>1</v>
      </c>
      <c r="K283" s="173"/>
      <c r="L283" s="151"/>
      <c r="M283" s="159"/>
      <c r="N283" s="173"/>
      <c r="O283" s="134" t="s">
        <v>327</v>
      </c>
      <c r="P283" s="167" t="s">
        <v>275</v>
      </c>
      <c r="Q283" s="167">
        <v>1</v>
      </c>
      <c r="R283" s="163" t="s">
        <v>2791</v>
      </c>
      <c r="S283" s="141"/>
      <c r="T283" s="130" t="s">
        <v>341</v>
      </c>
      <c r="U283" s="141"/>
      <c r="W283"/>
    </row>
    <row r="284" spans="1:23" s="72" customFormat="1" ht="16.5">
      <c r="A284" s="131" t="s">
        <v>499</v>
      </c>
      <c r="B284" s="161" t="s">
        <v>491</v>
      </c>
      <c r="C284" s="165" t="s">
        <v>1697</v>
      </c>
      <c r="D284" s="161" t="s">
        <v>682</v>
      </c>
      <c r="E284" s="163" t="s">
        <v>2523</v>
      </c>
      <c r="F284" s="164" t="s">
        <v>2892</v>
      </c>
      <c r="G284" s="173"/>
      <c r="H284" s="173"/>
      <c r="I284" s="160" t="s">
        <v>53</v>
      </c>
      <c r="J284" s="167">
        <v>1</v>
      </c>
      <c r="K284" s="173"/>
      <c r="L284" s="151"/>
      <c r="M284" s="159"/>
      <c r="N284" s="173"/>
      <c r="O284" s="134" t="s">
        <v>327</v>
      </c>
      <c r="P284" s="167" t="s">
        <v>275</v>
      </c>
      <c r="Q284" s="167">
        <v>1</v>
      </c>
      <c r="R284" s="163" t="s">
        <v>2523</v>
      </c>
      <c r="S284" s="141"/>
      <c r="T284" s="130" t="s">
        <v>341</v>
      </c>
      <c r="U284" s="141"/>
      <c r="W284"/>
    </row>
    <row r="285" spans="1:23" s="72" customFormat="1" ht="16.5">
      <c r="A285" s="131" t="s">
        <v>499</v>
      </c>
      <c r="B285" s="161" t="s">
        <v>491</v>
      </c>
      <c r="C285" s="165" t="s">
        <v>1697</v>
      </c>
      <c r="D285" s="161" t="s">
        <v>682</v>
      </c>
      <c r="E285" s="163" t="s">
        <v>2792</v>
      </c>
      <c r="F285" s="164" t="s">
        <v>2893</v>
      </c>
      <c r="G285" s="173"/>
      <c r="H285" s="173"/>
      <c r="I285" s="160" t="s">
        <v>68</v>
      </c>
      <c r="J285" s="167">
        <v>15</v>
      </c>
      <c r="K285" s="173"/>
      <c r="L285" s="151"/>
      <c r="M285" s="159"/>
      <c r="N285" s="173"/>
      <c r="O285" s="134" t="s">
        <v>327</v>
      </c>
      <c r="P285" s="167" t="s">
        <v>279</v>
      </c>
      <c r="Q285" s="167">
        <v>15</v>
      </c>
      <c r="R285" s="163" t="s">
        <v>2792</v>
      </c>
      <c r="S285" s="141"/>
      <c r="T285" s="130" t="s">
        <v>341</v>
      </c>
      <c r="U285" s="141"/>
      <c r="W285"/>
    </row>
    <row r="286" spans="1:23" s="72" customFormat="1" ht="16.5">
      <c r="A286" s="131" t="s">
        <v>499</v>
      </c>
      <c r="B286" s="161" t="s">
        <v>491</v>
      </c>
      <c r="C286" s="165" t="s">
        <v>1697</v>
      </c>
      <c r="D286" s="161" t="s">
        <v>682</v>
      </c>
      <c r="E286" s="163" t="s">
        <v>2524</v>
      </c>
      <c r="F286" s="164" t="s">
        <v>2894</v>
      </c>
      <c r="G286" s="173"/>
      <c r="H286" s="173"/>
      <c r="I286" s="160" t="s">
        <v>68</v>
      </c>
      <c r="J286" s="167">
        <v>15</v>
      </c>
      <c r="K286" s="173"/>
      <c r="L286" s="151"/>
      <c r="M286" s="159"/>
      <c r="N286" s="173"/>
      <c r="O286" s="134" t="s">
        <v>327</v>
      </c>
      <c r="P286" s="167" t="s">
        <v>279</v>
      </c>
      <c r="Q286" s="167">
        <v>15</v>
      </c>
      <c r="R286" s="163" t="s">
        <v>2524</v>
      </c>
      <c r="S286" s="141"/>
      <c r="T286" s="130" t="s">
        <v>341</v>
      </c>
      <c r="U286" s="141"/>
      <c r="W286"/>
    </row>
    <row r="287" spans="1:23" s="72" customFormat="1" ht="16.5">
      <c r="A287" s="131" t="s">
        <v>499</v>
      </c>
      <c r="B287" s="161" t="s">
        <v>491</v>
      </c>
      <c r="C287" s="165" t="s">
        <v>1697</v>
      </c>
      <c r="D287" s="161" t="s">
        <v>682</v>
      </c>
      <c r="E287" s="163" t="s">
        <v>2525</v>
      </c>
      <c r="F287" s="164" t="s">
        <v>2895</v>
      </c>
      <c r="G287" s="173"/>
      <c r="H287" s="173"/>
      <c r="I287" s="160" t="s">
        <v>68</v>
      </c>
      <c r="J287" s="167">
        <v>5</v>
      </c>
      <c r="K287" s="173"/>
      <c r="L287" s="151"/>
      <c r="M287" s="159"/>
      <c r="N287" s="173"/>
      <c r="O287" s="134" t="s">
        <v>327</v>
      </c>
      <c r="P287" s="167" t="s">
        <v>279</v>
      </c>
      <c r="Q287" s="167">
        <v>5</v>
      </c>
      <c r="R287" s="163" t="s">
        <v>2525</v>
      </c>
      <c r="S287" s="141"/>
      <c r="T287" s="130" t="s">
        <v>341</v>
      </c>
      <c r="U287" s="141"/>
      <c r="W287"/>
    </row>
    <row r="288" spans="1:23" s="72" customFormat="1" ht="16.5">
      <c r="A288" s="131" t="s">
        <v>499</v>
      </c>
      <c r="B288" s="161" t="s">
        <v>491</v>
      </c>
      <c r="C288" s="165" t="s">
        <v>1697</v>
      </c>
      <c r="D288" s="161" t="s">
        <v>682</v>
      </c>
      <c r="E288" s="163" t="s">
        <v>2526</v>
      </c>
      <c r="F288" s="164" t="s">
        <v>2896</v>
      </c>
      <c r="G288" s="173"/>
      <c r="H288" s="173"/>
      <c r="I288" s="160" t="s">
        <v>68</v>
      </c>
      <c r="J288" s="167">
        <v>5</v>
      </c>
      <c r="K288" s="173"/>
      <c r="L288" s="151"/>
      <c r="M288" s="159"/>
      <c r="N288" s="173"/>
      <c r="O288" s="134" t="s">
        <v>327</v>
      </c>
      <c r="P288" s="167" t="s">
        <v>279</v>
      </c>
      <c r="Q288" s="167">
        <v>5</v>
      </c>
      <c r="R288" s="163" t="s">
        <v>2526</v>
      </c>
      <c r="S288" s="141"/>
      <c r="T288" s="130" t="s">
        <v>341</v>
      </c>
      <c r="U288" s="141"/>
      <c r="W288"/>
    </row>
    <row r="289" spans="1:23" s="72" customFormat="1" ht="16.5">
      <c r="A289" s="131" t="s">
        <v>499</v>
      </c>
      <c r="B289" s="161" t="s">
        <v>491</v>
      </c>
      <c r="C289" s="165" t="s">
        <v>1697</v>
      </c>
      <c r="D289" s="161" t="s">
        <v>682</v>
      </c>
      <c r="E289" s="163" t="s">
        <v>2527</v>
      </c>
      <c r="F289" s="164" t="s">
        <v>2897</v>
      </c>
      <c r="G289" s="173"/>
      <c r="H289" s="173"/>
      <c r="I289" s="160" t="s">
        <v>68</v>
      </c>
      <c r="J289" s="167">
        <v>5</v>
      </c>
      <c r="K289" s="173"/>
      <c r="L289" s="151"/>
      <c r="M289" s="159"/>
      <c r="N289" s="173"/>
      <c r="O289" s="134" t="s">
        <v>327</v>
      </c>
      <c r="P289" s="167" t="s">
        <v>279</v>
      </c>
      <c r="Q289" s="167">
        <v>5</v>
      </c>
      <c r="R289" s="163" t="s">
        <v>2527</v>
      </c>
      <c r="S289" s="141"/>
      <c r="T289" s="130" t="s">
        <v>341</v>
      </c>
      <c r="U289" s="141"/>
      <c r="W289"/>
    </row>
    <row r="290" spans="1:23" s="84" customFormat="1" ht="16.5">
      <c r="A290" s="131" t="s">
        <v>499</v>
      </c>
      <c r="B290" s="161" t="s">
        <v>491</v>
      </c>
      <c r="C290" s="165" t="s">
        <v>1697</v>
      </c>
      <c r="D290" s="161" t="s">
        <v>682</v>
      </c>
      <c r="E290" s="163" t="s">
        <v>2528</v>
      </c>
      <c r="F290" s="164" t="s">
        <v>2898</v>
      </c>
      <c r="G290" s="173"/>
      <c r="H290" s="173"/>
      <c r="I290" s="160" t="s">
        <v>68</v>
      </c>
      <c r="J290" s="167">
        <v>5</v>
      </c>
      <c r="K290" s="173"/>
      <c r="L290" s="151"/>
      <c r="M290" s="159"/>
      <c r="N290" s="173"/>
      <c r="O290" s="134" t="s">
        <v>327</v>
      </c>
      <c r="P290" s="167" t="s">
        <v>279</v>
      </c>
      <c r="Q290" s="167">
        <v>5</v>
      </c>
      <c r="R290" s="163" t="s">
        <v>2528</v>
      </c>
      <c r="S290" s="141"/>
      <c r="T290" s="130" t="s">
        <v>341</v>
      </c>
      <c r="U290" s="141"/>
      <c r="V290" s="72"/>
      <c r="W290"/>
    </row>
    <row r="291" spans="1:23" s="72" customFormat="1" ht="16.5">
      <c r="A291" s="131" t="s">
        <v>499</v>
      </c>
      <c r="B291" s="161" t="s">
        <v>491</v>
      </c>
      <c r="C291" s="165" t="s">
        <v>1697</v>
      </c>
      <c r="D291" s="161" t="s">
        <v>682</v>
      </c>
      <c r="E291" s="163" t="s">
        <v>2529</v>
      </c>
      <c r="F291" s="164" t="s">
        <v>2899</v>
      </c>
      <c r="G291" s="173"/>
      <c r="H291" s="173"/>
      <c r="I291" s="160" t="s">
        <v>68</v>
      </c>
      <c r="J291" s="167">
        <v>5</v>
      </c>
      <c r="K291" s="173"/>
      <c r="L291" s="151"/>
      <c r="M291" s="159"/>
      <c r="N291" s="173"/>
      <c r="O291" s="134" t="s">
        <v>327</v>
      </c>
      <c r="P291" s="167" t="s">
        <v>279</v>
      </c>
      <c r="Q291" s="167">
        <v>5</v>
      </c>
      <c r="R291" s="163" t="s">
        <v>2529</v>
      </c>
      <c r="S291" s="141"/>
      <c r="T291" s="130" t="s">
        <v>341</v>
      </c>
      <c r="U291" s="141"/>
      <c r="W291"/>
    </row>
    <row r="292" spans="1:23" s="72" customFormat="1" ht="16.5">
      <c r="A292" s="131" t="s">
        <v>499</v>
      </c>
      <c r="B292" s="161" t="s">
        <v>491</v>
      </c>
      <c r="C292" s="165" t="s">
        <v>1697</v>
      </c>
      <c r="D292" s="161" t="s">
        <v>682</v>
      </c>
      <c r="E292" s="163" t="s">
        <v>2530</v>
      </c>
      <c r="F292" s="164" t="s">
        <v>2900</v>
      </c>
      <c r="G292" s="173"/>
      <c r="H292" s="173"/>
      <c r="I292" s="160" t="s">
        <v>68</v>
      </c>
      <c r="J292" s="167">
        <v>5</v>
      </c>
      <c r="K292" s="173"/>
      <c r="L292" s="151"/>
      <c r="M292" s="159"/>
      <c r="N292" s="173"/>
      <c r="O292" s="134" t="s">
        <v>327</v>
      </c>
      <c r="P292" s="167" t="s">
        <v>279</v>
      </c>
      <c r="Q292" s="167">
        <v>5</v>
      </c>
      <c r="R292" s="163" t="s">
        <v>2530</v>
      </c>
      <c r="S292" s="141"/>
      <c r="T292" s="130" t="s">
        <v>341</v>
      </c>
      <c r="U292" s="141"/>
      <c r="W292"/>
    </row>
    <row r="293" spans="1:23" s="72" customFormat="1" ht="16.5">
      <c r="A293" s="131" t="s">
        <v>499</v>
      </c>
      <c r="B293" s="161" t="s">
        <v>491</v>
      </c>
      <c r="C293" s="165" t="s">
        <v>1697</v>
      </c>
      <c r="D293" s="161" t="s">
        <v>682</v>
      </c>
      <c r="E293" s="163" t="s">
        <v>2531</v>
      </c>
      <c r="F293" s="164" t="s">
        <v>2901</v>
      </c>
      <c r="G293" s="173"/>
      <c r="H293" s="173"/>
      <c r="I293" s="160" t="s">
        <v>68</v>
      </c>
      <c r="J293" s="167">
        <v>5</v>
      </c>
      <c r="K293" s="173"/>
      <c r="L293" s="151"/>
      <c r="M293" s="159"/>
      <c r="N293" s="173"/>
      <c r="O293" s="134" t="s">
        <v>327</v>
      </c>
      <c r="P293" s="167" t="s">
        <v>279</v>
      </c>
      <c r="Q293" s="167">
        <v>5</v>
      </c>
      <c r="R293" s="163" t="s">
        <v>2531</v>
      </c>
      <c r="S293" s="141"/>
      <c r="T293" s="130" t="s">
        <v>341</v>
      </c>
      <c r="U293" s="141"/>
      <c r="W293"/>
    </row>
    <row r="294" spans="1:23" s="72" customFormat="1" ht="16.5">
      <c r="A294" s="131" t="s">
        <v>499</v>
      </c>
      <c r="B294" s="161" t="s">
        <v>491</v>
      </c>
      <c r="C294" s="165" t="s">
        <v>1697</v>
      </c>
      <c r="D294" s="161" t="s">
        <v>682</v>
      </c>
      <c r="E294" s="163" t="s">
        <v>2532</v>
      </c>
      <c r="F294" s="164" t="s">
        <v>2902</v>
      </c>
      <c r="G294" s="173"/>
      <c r="H294" s="173"/>
      <c r="I294" s="160" t="s">
        <v>53</v>
      </c>
      <c r="J294" s="167">
        <v>1</v>
      </c>
      <c r="K294" s="173"/>
      <c r="L294" s="151"/>
      <c r="M294" s="159"/>
      <c r="N294" s="173"/>
      <c r="O294" s="134" t="s">
        <v>327</v>
      </c>
      <c r="P294" s="167" t="s">
        <v>275</v>
      </c>
      <c r="Q294" s="167">
        <v>1</v>
      </c>
      <c r="R294" s="163" t="s">
        <v>2532</v>
      </c>
      <c r="S294" s="141"/>
      <c r="T294" s="130" t="s">
        <v>341</v>
      </c>
      <c r="U294" s="141"/>
      <c r="W294"/>
    </row>
    <row r="295" spans="1:23" s="72" customFormat="1" ht="16.5">
      <c r="A295" s="131" t="s">
        <v>499</v>
      </c>
      <c r="B295" s="161" t="s">
        <v>491</v>
      </c>
      <c r="C295" s="165" t="s">
        <v>1697</v>
      </c>
      <c r="D295" s="161" t="s">
        <v>682</v>
      </c>
      <c r="E295" s="163" t="s">
        <v>2533</v>
      </c>
      <c r="F295" s="164" t="s">
        <v>2903</v>
      </c>
      <c r="G295" s="173"/>
      <c r="H295" s="173"/>
      <c r="I295" s="160" t="s">
        <v>53</v>
      </c>
      <c r="J295" s="167">
        <v>1</v>
      </c>
      <c r="K295" s="173"/>
      <c r="L295" s="151"/>
      <c r="M295" s="159"/>
      <c r="N295" s="173"/>
      <c r="O295" s="134" t="s">
        <v>327</v>
      </c>
      <c r="P295" s="167" t="s">
        <v>275</v>
      </c>
      <c r="Q295" s="167">
        <v>1</v>
      </c>
      <c r="R295" s="163" t="s">
        <v>2533</v>
      </c>
      <c r="S295" s="141"/>
      <c r="T295" s="130" t="s">
        <v>341</v>
      </c>
      <c r="U295" s="141"/>
      <c r="W295"/>
    </row>
    <row r="296" spans="1:23" s="72" customFormat="1" ht="16.5">
      <c r="A296" s="131" t="s">
        <v>499</v>
      </c>
      <c r="B296" s="161" t="s">
        <v>491</v>
      </c>
      <c r="C296" s="165" t="s">
        <v>1697</v>
      </c>
      <c r="D296" s="161" t="s">
        <v>682</v>
      </c>
      <c r="E296" s="163" t="s">
        <v>2793</v>
      </c>
      <c r="F296" s="164" t="s">
        <v>2904</v>
      </c>
      <c r="G296" s="173"/>
      <c r="H296" s="173"/>
      <c r="I296" s="160" t="s">
        <v>68</v>
      </c>
      <c r="J296" s="167">
        <v>15</v>
      </c>
      <c r="K296" s="173"/>
      <c r="L296" s="151"/>
      <c r="M296" s="159"/>
      <c r="N296" s="173"/>
      <c r="O296" s="134" t="s">
        <v>327</v>
      </c>
      <c r="P296" s="167" t="s">
        <v>279</v>
      </c>
      <c r="Q296" s="167">
        <v>15</v>
      </c>
      <c r="R296" s="163" t="s">
        <v>2793</v>
      </c>
      <c r="S296" s="141"/>
      <c r="T296" s="130" t="s">
        <v>341</v>
      </c>
      <c r="U296" s="141"/>
      <c r="W296"/>
    </row>
    <row r="297" spans="1:23" s="72" customFormat="1" ht="16.5">
      <c r="A297" s="131" t="s">
        <v>499</v>
      </c>
      <c r="B297" s="161" t="s">
        <v>491</v>
      </c>
      <c r="C297" s="165" t="s">
        <v>1697</v>
      </c>
      <c r="D297" s="161" t="s">
        <v>682</v>
      </c>
      <c r="E297" s="163" t="s">
        <v>2794</v>
      </c>
      <c r="F297" s="164" t="s">
        <v>2794</v>
      </c>
      <c r="G297" s="173"/>
      <c r="H297" s="173"/>
      <c r="I297" s="160" t="s">
        <v>68</v>
      </c>
      <c r="J297" s="167">
        <v>15</v>
      </c>
      <c r="K297" s="173"/>
      <c r="L297" s="151"/>
      <c r="M297" s="159"/>
      <c r="N297" s="173"/>
      <c r="O297" s="134" t="s">
        <v>327</v>
      </c>
      <c r="P297" s="167" t="s">
        <v>279</v>
      </c>
      <c r="Q297" s="167">
        <v>15</v>
      </c>
      <c r="R297" s="163" t="s">
        <v>2794</v>
      </c>
      <c r="S297" s="141"/>
      <c r="T297" s="130" t="s">
        <v>341</v>
      </c>
      <c r="U297" s="141"/>
      <c r="W297"/>
    </row>
    <row r="298" spans="1:23" s="72" customFormat="1" ht="16.5">
      <c r="A298" s="131" t="s">
        <v>499</v>
      </c>
      <c r="B298" s="161" t="s">
        <v>491</v>
      </c>
      <c r="C298" s="165" t="s">
        <v>1697</v>
      </c>
      <c r="D298" s="161" t="s">
        <v>682</v>
      </c>
      <c r="E298" s="163" t="s">
        <v>2536</v>
      </c>
      <c r="F298" s="164" t="s">
        <v>2905</v>
      </c>
      <c r="G298" s="173"/>
      <c r="H298" s="173"/>
      <c r="I298" s="160" t="s">
        <v>53</v>
      </c>
      <c r="J298" s="167">
        <v>3</v>
      </c>
      <c r="K298" s="173"/>
      <c r="L298" s="151"/>
      <c r="M298" s="159"/>
      <c r="N298" s="173"/>
      <c r="O298" s="134" t="s">
        <v>327</v>
      </c>
      <c r="P298" s="167" t="s">
        <v>275</v>
      </c>
      <c r="Q298" s="167">
        <v>3</v>
      </c>
      <c r="R298" s="163" t="s">
        <v>2536</v>
      </c>
      <c r="S298" s="141"/>
      <c r="T298" s="130" t="s">
        <v>341</v>
      </c>
      <c r="U298" s="141"/>
      <c r="W298"/>
    </row>
    <row r="299" spans="1:23" s="72" customFormat="1" ht="16.5">
      <c r="A299" s="131" t="s">
        <v>499</v>
      </c>
      <c r="B299" s="161" t="s">
        <v>491</v>
      </c>
      <c r="C299" s="165" t="s">
        <v>1697</v>
      </c>
      <c r="D299" s="161" t="s">
        <v>682</v>
      </c>
      <c r="E299" s="163" t="s">
        <v>2795</v>
      </c>
      <c r="F299" s="164" t="s">
        <v>2906</v>
      </c>
      <c r="G299" s="173"/>
      <c r="H299" s="173"/>
      <c r="I299" s="160" t="s">
        <v>53</v>
      </c>
      <c r="J299" s="167">
        <v>1</v>
      </c>
      <c r="K299" s="173"/>
      <c r="L299" s="151"/>
      <c r="M299" s="159"/>
      <c r="N299" s="173"/>
      <c r="O299" s="134" t="s">
        <v>327</v>
      </c>
      <c r="P299" s="167" t="s">
        <v>275</v>
      </c>
      <c r="Q299" s="167">
        <v>1</v>
      </c>
      <c r="R299" s="163" t="s">
        <v>2795</v>
      </c>
      <c r="S299" s="141"/>
      <c r="T299" s="130" t="s">
        <v>341</v>
      </c>
      <c r="U299" s="141"/>
      <c r="W299"/>
    </row>
    <row r="300" spans="1:23" s="72" customFormat="1" ht="16.5">
      <c r="A300" s="131" t="s">
        <v>499</v>
      </c>
      <c r="B300" s="161" t="s">
        <v>491</v>
      </c>
      <c r="C300" s="165" t="s">
        <v>1697</v>
      </c>
      <c r="D300" s="161" t="s">
        <v>682</v>
      </c>
      <c r="E300" s="163" t="s">
        <v>2796</v>
      </c>
      <c r="F300" s="164" t="s">
        <v>2796</v>
      </c>
      <c r="G300" s="173"/>
      <c r="H300" s="173"/>
      <c r="I300" s="160" t="s">
        <v>53</v>
      </c>
      <c r="J300" s="167">
        <v>1</v>
      </c>
      <c r="K300" s="173"/>
      <c r="L300" s="151"/>
      <c r="M300" s="159"/>
      <c r="N300" s="173"/>
      <c r="O300" s="134" t="s">
        <v>327</v>
      </c>
      <c r="P300" s="167" t="s">
        <v>275</v>
      </c>
      <c r="Q300" s="167">
        <v>1</v>
      </c>
      <c r="R300" s="163" t="s">
        <v>2796</v>
      </c>
      <c r="S300" s="141"/>
      <c r="T300" s="130" t="s">
        <v>341</v>
      </c>
      <c r="U300" s="141"/>
      <c r="W300"/>
    </row>
    <row r="301" spans="1:23" s="72" customFormat="1" ht="16.5">
      <c r="A301" s="131" t="s">
        <v>499</v>
      </c>
      <c r="B301" s="161" t="s">
        <v>491</v>
      </c>
      <c r="C301" s="165" t="s">
        <v>1697</v>
      </c>
      <c r="D301" s="161" t="s">
        <v>682</v>
      </c>
      <c r="E301" s="163" t="s">
        <v>2797</v>
      </c>
      <c r="F301" s="164" t="s">
        <v>2907</v>
      </c>
      <c r="G301" s="173"/>
      <c r="H301" s="173"/>
      <c r="I301" s="160" t="s">
        <v>53</v>
      </c>
      <c r="J301" s="167">
        <v>1</v>
      </c>
      <c r="K301" s="173"/>
      <c r="L301" s="151"/>
      <c r="M301" s="159"/>
      <c r="N301" s="173"/>
      <c r="O301" s="134" t="s">
        <v>327</v>
      </c>
      <c r="P301" s="167" t="s">
        <v>275</v>
      </c>
      <c r="Q301" s="167">
        <v>1</v>
      </c>
      <c r="R301" s="163" t="s">
        <v>2797</v>
      </c>
      <c r="S301" s="141"/>
      <c r="T301" s="130" t="s">
        <v>341</v>
      </c>
      <c r="U301" s="141"/>
      <c r="W301"/>
    </row>
    <row r="302" spans="1:23" s="72" customFormat="1" ht="16.5">
      <c r="A302" s="131" t="s">
        <v>499</v>
      </c>
      <c r="B302" s="161" t="s">
        <v>491</v>
      </c>
      <c r="C302" s="165" t="s">
        <v>1697</v>
      </c>
      <c r="D302" s="161" t="s">
        <v>682</v>
      </c>
      <c r="E302" s="163" t="s">
        <v>2798</v>
      </c>
      <c r="F302" s="164" t="s">
        <v>2908</v>
      </c>
      <c r="G302" s="173"/>
      <c r="H302" s="173"/>
      <c r="I302" s="160" t="s">
        <v>53</v>
      </c>
      <c r="J302" s="167">
        <v>1</v>
      </c>
      <c r="K302" s="173"/>
      <c r="L302" s="151"/>
      <c r="M302" s="159"/>
      <c r="N302" s="173"/>
      <c r="O302" s="134" t="s">
        <v>327</v>
      </c>
      <c r="P302" s="167" t="s">
        <v>275</v>
      </c>
      <c r="Q302" s="167">
        <v>1</v>
      </c>
      <c r="R302" s="163" t="s">
        <v>2798</v>
      </c>
      <c r="S302" s="141"/>
      <c r="T302" s="130" t="s">
        <v>341</v>
      </c>
      <c r="U302" s="141"/>
      <c r="W302"/>
    </row>
    <row r="303" spans="1:23" s="72" customFormat="1" ht="16.5">
      <c r="A303" s="131" t="s">
        <v>499</v>
      </c>
      <c r="B303" s="161" t="s">
        <v>491</v>
      </c>
      <c r="C303" s="165" t="s">
        <v>1697</v>
      </c>
      <c r="D303" s="161" t="s">
        <v>682</v>
      </c>
      <c r="E303" s="163" t="s">
        <v>2799</v>
      </c>
      <c r="F303" s="164" t="s">
        <v>2799</v>
      </c>
      <c r="G303" s="173"/>
      <c r="H303" s="173"/>
      <c r="I303" s="160" t="s">
        <v>53</v>
      </c>
      <c r="J303" s="167">
        <v>1</v>
      </c>
      <c r="K303" s="173"/>
      <c r="L303" s="151"/>
      <c r="M303" s="159"/>
      <c r="N303" s="173"/>
      <c r="O303" s="134" t="s">
        <v>327</v>
      </c>
      <c r="P303" s="167" t="s">
        <v>275</v>
      </c>
      <c r="Q303" s="167">
        <v>1</v>
      </c>
      <c r="R303" s="163" t="s">
        <v>2799</v>
      </c>
      <c r="S303" s="141"/>
      <c r="T303" s="130" t="s">
        <v>341</v>
      </c>
      <c r="U303" s="141"/>
      <c r="W303"/>
    </row>
    <row r="304" spans="1:23" s="72" customFormat="1" ht="16.5">
      <c r="A304" s="131" t="s">
        <v>499</v>
      </c>
      <c r="B304" s="161" t="s">
        <v>491</v>
      </c>
      <c r="C304" s="165" t="s">
        <v>1697</v>
      </c>
      <c r="D304" s="161" t="s">
        <v>682</v>
      </c>
      <c r="E304" s="163" t="s">
        <v>2800</v>
      </c>
      <c r="F304" s="164" t="s">
        <v>2909</v>
      </c>
      <c r="G304" s="173"/>
      <c r="H304" s="173"/>
      <c r="I304" s="160" t="s">
        <v>53</v>
      </c>
      <c r="J304" s="167">
        <v>2</v>
      </c>
      <c r="K304" s="173"/>
      <c r="L304" s="151"/>
      <c r="M304" s="159"/>
      <c r="N304" s="173"/>
      <c r="O304" s="134" t="s">
        <v>327</v>
      </c>
      <c r="P304" s="167" t="s">
        <v>275</v>
      </c>
      <c r="Q304" s="167">
        <v>2</v>
      </c>
      <c r="R304" s="163" t="s">
        <v>2800</v>
      </c>
      <c r="S304" s="141"/>
      <c r="T304" s="130" t="s">
        <v>341</v>
      </c>
      <c r="U304" s="141"/>
      <c r="W304"/>
    </row>
    <row r="305" spans="1:23" s="84" customFormat="1" ht="16.5">
      <c r="A305" s="131" t="s">
        <v>499</v>
      </c>
      <c r="B305" s="161" t="s">
        <v>491</v>
      </c>
      <c r="C305" s="165" t="s">
        <v>1697</v>
      </c>
      <c r="D305" s="161" t="s">
        <v>682</v>
      </c>
      <c r="E305" s="163" t="s">
        <v>2801</v>
      </c>
      <c r="F305" s="164" t="s">
        <v>2910</v>
      </c>
      <c r="G305" s="173"/>
      <c r="H305" s="173"/>
      <c r="I305" s="160" t="s">
        <v>53</v>
      </c>
      <c r="J305" s="167">
        <v>2</v>
      </c>
      <c r="K305" s="173"/>
      <c r="L305" s="151"/>
      <c r="M305" s="159"/>
      <c r="N305" s="173"/>
      <c r="O305" s="134" t="s">
        <v>327</v>
      </c>
      <c r="P305" s="167" t="s">
        <v>275</v>
      </c>
      <c r="Q305" s="167">
        <v>2</v>
      </c>
      <c r="R305" s="163" t="s">
        <v>2801</v>
      </c>
      <c r="S305" s="141"/>
      <c r="T305" s="130" t="s">
        <v>341</v>
      </c>
      <c r="U305" s="141"/>
      <c r="V305" s="72"/>
      <c r="W305"/>
    </row>
    <row r="306" spans="1:23" s="72" customFormat="1" ht="16.5">
      <c r="A306" s="131" t="s">
        <v>499</v>
      </c>
      <c r="B306" s="161" t="s">
        <v>491</v>
      </c>
      <c r="C306" s="165" t="s">
        <v>1697</v>
      </c>
      <c r="D306" s="161" t="s">
        <v>682</v>
      </c>
      <c r="E306" s="164" t="s">
        <v>3565</v>
      </c>
      <c r="F306" s="164" t="s">
        <v>3565</v>
      </c>
      <c r="G306" s="173"/>
      <c r="H306" s="173"/>
      <c r="I306" s="160" t="s">
        <v>68</v>
      </c>
      <c r="J306" s="167">
        <v>5</v>
      </c>
      <c r="K306" s="173"/>
      <c r="L306" s="151"/>
      <c r="M306" s="159"/>
      <c r="N306" s="173"/>
      <c r="O306" s="134" t="s">
        <v>327</v>
      </c>
      <c r="P306" s="167" t="s">
        <v>279</v>
      </c>
      <c r="Q306" s="167">
        <v>5</v>
      </c>
      <c r="R306" s="163" t="s">
        <v>3565</v>
      </c>
      <c r="S306" s="141"/>
      <c r="T306" s="130" t="s">
        <v>341</v>
      </c>
      <c r="U306" s="141"/>
      <c r="V306" s="72" t="s">
        <v>3575</v>
      </c>
      <c r="W306"/>
    </row>
    <row r="307" spans="1:23" s="72" customFormat="1" ht="16.5">
      <c r="A307" s="131" t="s">
        <v>499</v>
      </c>
      <c r="B307" s="161" t="s">
        <v>491</v>
      </c>
      <c r="C307" s="165" t="s">
        <v>1697</v>
      </c>
      <c r="D307" s="161" t="s">
        <v>682</v>
      </c>
      <c r="E307" s="164" t="s">
        <v>3576</v>
      </c>
      <c r="F307" s="164" t="s">
        <v>3576</v>
      </c>
      <c r="G307" s="173"/>
      <c r="H307" s="173"/>
      <c r="I307" s="160" t="s">
        <v>53</v>
      </c>
      <c r="J307" s="167">
        <v>2</v>
      </c>
      <c r="K307" s="173"/>
      <c r="L307" s="151"/>
      <c r="M307" s="159"/>
      <c r="N307" s="173"/>
      <c r="O307" s="134" t="s">
        <v>327</v>
      </c>
      <c r="P307" s="167" t="s">
        <v>275</v>
      </c>
      <c r="Q307" s="167">
        <v>2</v>
      </c>
      <c r="R307" s="163" t="s">
        <v>3566</v>
      </c>
      <c r="S307" s="141"/>
      <c r="T307" s="130" t="s">
        <v>341</v>
      </c>
      <c r="U307" s="141"/>
      <c r="V307" s="72" t="s">
        <v>3575</v>
      </c>
      <c r="W307"/>
    </row>
    <row r="308" spans="1:23" s="72" customFormat="1" ht="16.5">
      <c r="A308" s="131" t="s">
        <v>499</v>
      </c>
      <c r="B308" s="161" t="s">
        <v>491</v>
      </c>
      <c r="C308" s="165" t="s">
        <v>1697</v>
      </c>
      <c r="D308" s="161" t="s">
        <v>682</v>
      </c>
      <c r="E308" s="164" t="s">
        <v>3486</v>
      </c>
      <c r="F308" s="164" t="s">
        <v>3486</v>
      </c>
      <c r="G308" s="173"/>
      <c r="H308" s="173"/>
      <c r="I308" s="160" t="s">
        <v>53</v>
      </c>
      <c r="J308" s="167">
        <v>2</v>
      </c>
      <c r="K308" s="173"/>
      <c r="L308" s="151"/>
      <c r="M308" s="159"/>
      <c r="N308" s="173"/>
      <c r="O308" s="134" t="s">
        <v>327</v>
      </c>
      <c r="P308" s="167" t="s">
        <v>275</v>
      </c>
      <c r="Q308" s="167">
        <v>2</v>
      </c>
      <c r="R308" s="163" t="s">
        <v>3475</v>
      </c>
      <c r="S308" s="141"/>
      <c r="T308" s="130" t="s">
        <v>341</v>
      </c>
      <c r="U308" s="141"/>
      <c r="V308" s="72" t="s">
        <v>3575</v>
      </c>
      <c r="W308"/>
    </row>
    <row r="309" spans="1:23" s="72" customFormat="1" ht="16.5">
      <c r="A309" s="131" t="s">
        <v>499</v>
      </c>
      <c r="B309" s="161" t="s">
        <v>491</v>
      </c>
      <c r="C309" s="165" t="s">
        <v>1697</v>
      </c>
      <c r="D309" s="161" t="s">
        <v>682</v>
      </c>
      <c r="E309" s="164" t="s">
        <v>3476</v>
      </c>
      <c r="F309" s="164" t="s">
        <v>3476</v>
      </c>
      <c r="G309" s="173"/>
      <c r="H309" s="173"/>
      <c r="I309" s="160" t="s">
        <v>68</v>
      </c>
      <c r="J309" s="167">
        <v>5</v>
      </c>
      <c r="K309" s="173"/>
      <c r="L309" s="151"/>
      <c r="M309" s="159"/>
      <c r="N309" s="173"/>
      <c r="O309" s="134" t="s">
        <v>327</v>
      </c>
      <c r="P309" s="167" t="s">
        <v>279</v>
      </c>
      <c r="Q309" s="167">
        <v>5</v>
      </c>
      <c r="R309" s="163" t="s">
        <v>3567</v>
      </c>
      <c r="S309" s="141"/>
      <c r="T309" s="130" t="s">
        <v>341</v>
      </c>
      <c r="U309" s="141"/>
      <c r="V309" s="72" t="s">
        <v>3575</v>
      </c>
      <c r="W309"/>
    </row>
    <row r="310" spans="1:23" s="72" customFormat="1" ht="16.5">
      <c r="A310" s="131" t="s">
        <v>499</v>
      </c>
      <c r="B310" s="161" t="s">
        <v>491</v>
      </c>
      <c r="C310" s="165" t="s">
        <v>1697</v>
      </c>
      <c r="D310" s="161" t="s">
        <v>682</v>
      </c>
      <c r="E310" s="164" t="s">
        <v>3577</v>
      </c>
      <c r="F310" s="164" t="s">
        <v>3577</v>
      </c>
      <c r="G310" s="173"/>
      <c r="H310" s="173"/>
      <c r="I310" s="160" t="s">
        <v>53</v>
      </c>
      <c r="J310" s="167">
        <v>1</v>
      </c>
      <c r="K310" s="173"/>
      <c r="L310" s="151"/>
      <c r="M310" s="159"/>
      <c r="N310" s="173"/>
      <c r="O310" s="134" t="s">
        <v>327</v>
      </c>
      <c r="P310" s="167" t="s">
        <v>275</v>
      </c>
      <c r="Q310" s="167">
        <v>1</v>
      </c>
      <c r="R310" s="163" t="s">
        <v>3568</v>
      </c>
      <c r="S310" s="141"/>
      <c r="T310" s="130" t="s">
        <v>341</v>
      </c>
      <c r="U310" s="141"/>
      <c r="V310" s="72" t="s">
        <v>3575</v>
      </c>
      <c r="W310"/>
    </row>
    <row r="311" spans="1:23" s="72" customFormat="1" ht="16.5">
      <c r="A311" s="131" t="s">
        <v>499</v>
      </c>
      <c r="B311" s="161" t="s">
        <v>491</v>
      </c>
      <c r="C311" s="165" t="s">
        <v>1697</v>
      </c>
      <c r="D311" s="161" t="s">
        <v>682</v>
      </c>
      <c r="E311" s="164" t="s">
        <v>3569</v>
      </c>
      <c r="F311" s="164" t="s">
        <v>3569</v>
      </c>
      <c r="G311" s="173"/>
      <c r="H311" s="173"/>
      <c r="I311" s="160" t="s">
        <v>68</v>
      </c>
      <c r="J311" s="167" t="s">
        <v>3574</v>
      </c>
      <c r="K311" s="173"/>
      <c r="L311" s="151"/>
      <c r="M311" s="159"/>
      <c r="N311" s="173"/>
      <c r="O311" s="134" t="s">
        <v>327</v>
      </c>
      <c r="P311" s="167" t="s">
        <v>279</v>
      </c>
      <c r="Q311" s="167" t="s">
        <v>3573</v>
      </c>
      <c r="R311" s="163" t="s">
        <v>3569</v>
      </c>
      <c r="S311" s="141"/>
      <c r="T311" s="130" t="s">
        <v>341</v>
      </c>
      <c r="U311" s="141"/>
      <c r="V311" s="72" t="s">
        <v>3575</v>
      </c>
      <c r="W311"/>
    </row>
    <row r="312" spans="1:23" s="72" customFormat="1" ht="16.5">
      <c r="A312" s="131" t="s">
        <v>499</v>
      </c>
      <c r="B312" s="161" t="s">
        <v>491</v>
      </c>
      <c r="C312" s="165" t="s">
        <v>1697</v>
      </c>
      <c r="D312" s="161" t="s">
        <v>682</v>
      </c>
      <c r="E312" s="164" t="s">
        <v>3578</v>
      </c>
      <c r="F312" s="164" t="s">
        <v>3578</v>
      </c>
      <c r="G312" s="173"/>
      <c r="H312" s="173"/>
      <c r="I312" s="160" t="s">
        <v>68</v>
      </c>
      <c r="J312" s="167">
        <v>15</v>
      </c>
      <c r="K312" s="173"/>
      <c r="L312" s="151"/>
      <c r="M312" s="159"/>
      <c r="N312" s="173"/>
      <c r="O312" s="134" t="s">
        <v>327</v>
      </c>
      <c r="P312" s="167" t="s">
        <v>279</v>
      </c>
      <c r="Q312" s="167">
        <v>15</v>
      </c>
      <c r="R312" s="163" t="s">
        <v>3570</v>
      </c>
      <c r="S312" s="141"/>
      <c r="T312" s="130" t="s">
        <v>341</v>
      </c>
      <c r="U312" s="141"/>
      <c r="V312" s="72" t="s">
        <v>3575</v>
      </c>
      <c r="W312"/>
    </row>
    <row r="313" spans="1:23" s="72" customFormat="1" ht="16.5">
      <c r="A313" s="131" t="s">
        <v>499</v>
      </c>
      <c r="B313" s="161" t="s">
        <v>491</v>
      </c>
      <c r="C313" s="165" t="s">
        <v>1697</v>
      </c>
      <c r="D313" s="161" t="s">
        <v>682</v>
      </c>
      <c r="E313" s="164" t="s">
        <v>1055</v>
      </c>
      <c r="F313" s="164" t="s">
        <v>1055</v>
      </c>
      <c r="G313" s="173"/>
      <c r="H313" s="173"/>
      <c r="I313" s="160" t="s">
        <v>68</v>
      </c>
      <c r="J313" s="167">
        <v>15</v>
      </c>
      <c r="K313" s="173"/>
      <c r="L313" s="151"/>
      <c r="M313" s="159"/>
      <c r="N313" s="173"/>
      <c r="O313" s="134" t="s">
        <v>327</v>
      </c>
      <c r="P313" s="167" t="s">
        <v>279</v>
      </c>
      <c r="Q313" s="167">
        <v>15</v>
      </c>
      <c r="R313" s="163" t="s">
        <v>3571</v>
      </c>
      <c r="S313" s="141"/>
      <c r="T313" s="130" t="s">
        <v>341</v>
      </c>
      <c r="U313" s="141"/>
      <c r="V313" s="72" t="s">
        <v>3575</v>
      </c>
      <c r="W313"/>
    </row>
    <row r="314" spans="1:23" s="72" customFormat="1" ht="16.5">
      <c r="A314" s="131" t="s">
        <v>499</v>
      </c>
      <c r="B314" s="161" t="s">
        <v>491</v>
      </c>
      <c r="C314" s="165" t="s">
        <v>1697</v>
      </c>
      <c r="D314" s="161" t="s">
        <v>682</v>
      </c>
      <c r="E314" s="164" t="s">
        <v>3579</v>
      </c>
      <c r="F314" s="164" t="s">
        <v>3579</v>
      </c>
      <c r="G314" s="173"/>
      <c r="H314" s="173"/>
      <c r="I314" s="160" t="s">
        <v>68</v>
      </c>
      <c r="J314" s="167">
        <v>15</v>
      </c>
      <c r="K314" s="173"/>
      <c r="L314" s="151"/>
      <c r="M314" s="159"/>
      <c r="N314" s="173"/>
      <c r="O314" s="134" t="s">
        <v>327</v>
      </c>
      <c r="P314" s="167" t="s">
        <v>279</v>
      </c>
      <c r="Q314" s="167">
        <v>15</v>
      </c>
      <c r="R314" s="163" t="s">
        <v>3572</v>
      </c>
      <c r="S314" s="141"/>
      <c r="T314" s="130" t="s">
        <v>341</v>
      </c>
      <c r="U314" s="141"/>
      <c r="V314" s="72" t="s">
        <v>3575</v>
      </c>
      <c r="W314"/>
    </row>
    <row r="315" spans="1:23" s="72" customFormat="1" ht="16.5">
      <c r="A315" s="2">
        <f>IF(D184=D315,A184+1,1)</f>
        <v>24</v>
      </c>
      <c r="B315" s="3" t="s">
        <v>491</v>
      </c>
      <c r="C315" s="17" t="s">
        <v>1697</v>
      </c>
      <c r="D315" s="3" t="s">
        <v>682</v>
      </c>
      <c r="E315" s="20" t="s">
        <v>72</v>
      </c>
      <c r="F315" s="46" t="s">
        <v>72</v>
      </c>
      <c r="G315" s="4" t="s">
        <v>54</v>
      </c>
      <c r="H315" s="4" t="s">
        <v>52</v>
      </c>
      <c r="I315" s="20" t="s">
        <v>73</v>
      </c>
      <c r="J315" s="21" t="s">
        <v>54</v>
      </c>
      <c r="K315" s="21" t="s">
        <v>54</v>
      </c>
      <c r="L315" s="5" t="s">
        <v>669</v>
      </c>
      <c r="M315" s="25"/>
      <c r="N315" s="20"/>
      <c r="O315" s="16"/>
      <c r="P315" s="16"/>
      <c r="Q315" s="16"/>
      <c r="R315" s="16" t="s">
        <v>680</v>
      </c>
      <c r="S315" s="2"/>
      <c r="T315" s="2" t="s">
        <v>341</v>
      </c>
      <c r="U315" s="2"/>
      <c r="W315"/>
    </row>
    <row r="316" spans="1:23" s="72" customFormat="1" ht="16.5">
      <c r="A316" s="2">
        <f t="shared" ref="A316:A317" si="4">IF(D315=D316,A315+1,1)</f>
        <v>25</v>
      </c>
      <c r="B316" s="3" t="s">
        <v>491</v>
      </c>
      <c r="C316" s="17" t="s">
        <v>1697</v>
      </c>
      <c r="D316" s="3" t="s">
        <v>682</v>
      </c>
      <c r="E316" s="20" t="s">
        <v>74</v>
      </c>
      <c r="F316" s="46" t="s">
        <v>74</v>
      </c>
      <c r="G316" s="4" t="s">
        <v>54</v>
      </c>
      <c r="H316" s="4" t="s">
        <v>52</v>
      </c>
      <c r="I316" s="20" t="s">
        <v>53</v>
      </c>
      <c r="J316" s="21">
        <v>12</v>
      </c>
      <c r="K316" s="21" t="s">
        <v>54</v>
      </c>
      <c r="L316" s="5" t="s">
        <v>669</v>
      </c>
      <c r="M316" s="25"/>
      <c r="N316" s="20"/>
      <c r="O316" s="16"/>
      <c r="P316" s="16"/>
      <c r="Q316" s="16"/>
      <c r="R316" s="16" t="s">
        <v>680</v>
      </c>
      <c r="S316" s="2"/>
      <c r="T316" s="2" t="s">
        <v>341</v>
      </c>
      <c r="U316" s="2"/>
      <c r="W316"/>
    </row>
    <row r="317" spans="1:23" s="72" customFormat="1" ht="16.5">
      <c r="A317" s="2">
        <f t="shared" si="4"/>
        <v>26</v>
      </c>
      <c r="B317" s="3" t="s">
        <v>491</v>
      </c>
      <c r="C317" s="17" t="s">
        <v>1697</v>
      </c>
      <c r="D317" s="3" t="s">
        <v>682</v>
      </c>
      <c r="E317" s="20" t="s">
        <v>75</v>
      </c>
      <c r="F317" s="46" t="s">
        <v>75</v>
      </c>
      <c r="G317" s="4" t="s">
        <v>54</v>
      </c>
      <c r="H317" s="4" t="s">
        <v>52</v>
      </c>
      <c r="I317" s="20" t="s">
        <v>53</v>
      </c>
      <c r="J317" s="21">
        <v>20</v>
      </c>
      <c r="K317" s="21" t="s">
        <v>54</v>
      </c>
      <c r="L317" s="5" t="s">
        <v>669</v>
      </c>
      <c r="M317" s="25"/>
      <c r="N317" s="20"/>
      <c r="O317" s="16"/>
      <c r="P317" s="16"/>
      <c r="Q317" s="16"/>
      <c r="R317" s="16" t="s">
        <v>680</v>
      </c>
      <c r="S317" s="2"/>
      <c r="T317" s="2" t="s">
        <v>341</v>
      </c>
      <c r="U317" s="2"/>
      <c r="W317"/>
    </row>
    <row r="318" spans="1:23" ht="16.5">
      <c r="W318"/>
    </row>
    <row r="319" spans="1:23" ht="16.5">
      <c r="W319"/>
    </row>
    <row r="320" spans="1:23" ht="16.5">
      <c r="W320"/>
    </row>
    <row r="321" spans="23:23" ht="16.5">
      <c r="W321"/>
    </row>
    <row r="322" spans="23:23" ht="16.5">
      <c r="W322"/>
    </row>
    <row r="323" spans="23:23" ht="16.5">
      <c r="W323"/>
    </row>
    <row r="324" spans="23:23" ht="16.5">
      <c r="W324"/>
    </row>
    <row r="325" spans="23:23" ht="16.5">
      <c r="W325"/>
    </row>
    <row r="326" spans="23:23" ht="16.5">
      <c r="W326"/>
    </row>
    <row r="327" spans="23:23" ht="16.5">
      <c r="W327"/>
    </row>
    <row r="328" spans="23:23" ht="16.5">
      <c r="W328"/>
    </row>
    <row r="329" spans="23:23" ht="16.5">
      <c r="W329"/>
    </row>
    <row r="330" spans="23:23" ht="16.5">
      <c r="W330"/>
    </row>
    <row r="331" spans="23:23" ht="16.5">
      <c r="W331"/>
    </row>
    <row r="332" spans="23:23" ht="16.5">
      <c r="W332"/>
    </row>
    <row r="333" spans="23:23" ht="16.5">
      <c r="W333"/>
    </row>
    <row r="334" spans="23:23" ht="16.5">
      <c r="W334"/>
    </row>
    <row r="335" spans="23:23" ht="16.5">
      <c r="W335"/>
    </row>
    <row r="336" spans="23:23" ht="16.5">
      <c r="W336"/>
    </row>
    <row r="337" spans="23:23" ht="16.5">
      <c r="W337"/>
    </row>
    <row r="338" spans="23:23" ht="16.5">
      <c r="W338"/>
    </row>
    <row r="339" spans="23:23" ht="16.5">
      <c r="W339"/>
    </row>
    <row r="340" spans="23:23" ht="16.5">
      <c r="W340"/>
    </row>
    <row r="341" spans="23:23" ht="16.5">
      <c r="W341"/>
    </row>
    <row r="342" spans="23:23" ht="16.5">
      <c r="W342"/>
    </row>
    <row r="343" spans="23:23" ht="16.5">
      <c r="W343"/>
    </row>
    <row r="344" spans="23:23" ht="16.5">
      <c r="W344"/>
    </row>
    <row r="345" spans="23:23" ht="16.5">
      <c r="W345"/>
    </row>
    <row r="346" spans="23:23" ht="16.5">
      <c r="W346"/>
    </row>
    <row r="347" spans="23:23" ht="16.5">
      <c r="W347"/>
    </row>
    <row r="348" spans="23:23" ht="16.5">
      <c r="W348"/>
    </row>
    <row r="349" spans="23:23" ht="16.5">
      <c r="W349"/>
    </row>
    <row r="350" spans="23:23" ht="16.5">
      <c r="W350"/>
    </row>
    <row r="351" spans="23:23" ht="16.5">
      <c r="W351"/>
    </row>
    <row r="352" spans="23:23" ht="16.5">
      <c r="W352"/>
    </row>
    <row r="353" spans="23:23" ht="16.5">
      <c r="W353"/>
    </row>
    <row r="354" spans="23:23" ht="16.5">
      <c r="W354"/>
    </row>
    <row r="355" spans="23:23" ht="16.5">
      <c r="W355"/>
    </row>
    <row r="356" spans="23:23" ht="16.5">
      <c r="W356"/>
    </row>
    <row r="357" spans="23:23" ht="16.5">
      <c r="W357"/>
    </row>
    <row r="358" spans="23:23" ht="16.5">
      <c r="W358"/>
    </row>
    <row r="359" spans="23:23" ht="16.5">
      <c r="W359"/>
    </row>
    <row r="360" spans="23:23" ht="16.5">
      <c r="W360"/>
    </row>
    <row r="361" spans="23:23" ht="16.5">
      <c r="W361"/>
    </row>
    <row r="362" spans="23:23" ht="16.5">
      <c r="W362"/>
    </row>
    <row r="363" spans="23:23" ht="16.5">
      <c r="W363"/>
    </row>
    <row r="364" spans="23:23" ht="16.5">
      <c r="W364"/>
    </row>
    <row r="365" spans="23:23" ht="16.5">
      <c r="W365"/>
    </row>
    <row r="366" spans="23:23" ht="16.5">
      <c r="W366"/>
    </row>
    <row r="367" spans="23:23" ht="16.5">
      <c r="W367"/>
    </row>
    <row r="368" spans="23:23" ht="16.5">
      <c r="W368"/>
    </row>
    <row r="369" spans="23:23" ht="16.5">
      <c r="W369"/>
    </row>
    <row r="370" spans="23:23" ht="16.5">
      <c r="W370"/>
    </row>
    <row r="371" spans="23:23" ht="16.5">
      <c r="W371"/>
    </row>
    <row r="372" spans="23:23" ht="16.5">
      <c r="W372"/>
    </row>
    <row r="373" spans="23:23" ht="16.5">
      <c r="W373"/>
    </row>
    <row r="374" spans="23:23" ht="16.5">
      <c r="W374"/>
    </row>
    <row r="375" spans="23:23" ht="16.5">
      <c r="W375"/>
    </row>
    <row r="376" spans="23:23" ht="16.5">
      <c r="W376"/>
    </row>
    <row r="377" spans="23:23" ht="16.5">
      <c r="W377"/>
    </row>
    <row r="378" spans="23:23" ht="16.5">
      <c r="W378"/>
    </row>
    <row r="379" spans="23:23" ht="16.5">
      <c r="W379"/>
    </row>
    <row r="380" spans="23:23" ht="16.5">
      <c r="W380"/>
    </row>
    <row r="381" spans="23:23" ht="16.5">
      <c r="W381"/>
    </row>
    <row r="382" spans="23:23" ht="16.5">
      <c r="W382"/>
    </row>
    <row r="383" spans="23:23" ht="16.5">
      <c r="W383"/>
    </row>
    <row r="384" spans="23:23" ht="16.5">
      <c r="W384"/>
    </row>
    <row r="385" spans="23:23" ht="16.5">
      <c r="W385"/>
    </row>
    <row r="386" spans="23:23" ht="16.5">
      <c r="W386"/>
    </row>
    <row r="387" spans="23:23" ht="16.5">
      <c r="W387"/>
    </row>
    <row r="388" spans="23:23" ht="16.5">
      <c r="W388"/>
    </row>
    <row r="389" spans="23:23" ht="16.5">
      <c r="W389"/>
    </row>
    <row r="390" spans="23:23" ht="16.5">
      <c r="W390"/>
    </row>
    <row r="391" spans="23:23" ht="16.5">
      <c r="W391"/>
    </row>
    <row r="392" spans="23:23" ht="16.5">
      <c r="W392"/>
    </row>
    <row r="393" spans="23:23" ht="16.5">
      <c r="W393"/>
    </row>
    <row r="394" spans="23:23" ht="16.5">
      <c r="W394"/>
    </row>
    <row r="395" spans="23:23" ht="16.5">
      <c r="W395"/>
    </row>
    <row r="396" spans="23:23" ht="16.5">
      <c r="W396"/>
    </row>
    <row r="397" spans="23:23" ht="16.5">
      <c r="W397"/>
    </row>
    <row r="398" spans="23:23" ht="16.5">
      <c r="W398"/>
    </row>
    <row r="399" spans="23:23" ht="16.5">
      <c r="W399"/>
    </row>
    <row r="400" spans="23:23" ht="16.5">
      <c r="W400"/>
    </row>
    <row r="401" spans="23:23" ht="16.5">
      <c r="W401"/>
    </row>
    <row r="402" spans="23:23" ht="16.5">
      <c r="W402"/>
    </row>
    <row r="403" spans="23:23" ht="16.5">
      <c r="W403"/>
    </row>
    <row r="404" spans="23:23" ht="16.5">
      <c r="W404"/>
    </row>
    <row r="405" spans="23:23" ht="16.5">
      <c r="W405"/>
    </row>
    <row r="406" spans="23:23" ht="16.5">
      <c r="W406"/>
    </row>
    <row r="407" spans="23:23" ht="16.5">
      <c r="W407"/>
    </row>
    <row r="408" spans="23:23" ht="16.5">
      <c r="W408"/>
    </row>
    <row r="409" spans="23:23" ht="16.5">
      <c r="W409"/>
    </row>
    <row r="410" spans="23:23" ht="16.5">
      <c r="W410"/>
    </row>
    <row r="411" spans="23:23" ht="16.5">
      <c r="W411"/>
    </row>
    <row r="412" spans="23:23" ht="16.5">
      <c r="W412"/>
    </row>
    <row r="413" spans="23:23" ht="16.5">
      <c r="W413"/>
    </row>
    <row r="414" spans="23:23" ht="16.5">
      <c r="W414"/>
    </row>
    <row r="415" spans="23:23" ht="16.5">
      <c r="W415"/>
    </row>
    <row r="416" spans="23:23" ht="16.5">
      <c r="W416"/>
    </row>
    <row r="417" spans="23:23" ht="16.5">
      <c r="W417"/>
    </row>
    <row r="418" spans="23:23" ht="16.5">
      <c r="W418"/>
    </row>
    <row r="419" spans="23:23" ht="16.5">
      <c r="W419"/>
    </row>
    <row r="420" spans="23:23" ht="16.5">
      <c r="W420"/>
    </row>
    <row r="421" spans="23:23" ht="16.5">
      <c r="W421"/>
    </row>
    <row r="422" spans="23:23" ht="16.5">
      <c r="W422"/>
    </row>
    <row r="423" spans="23:23" ht="16.5">
      <c r="W423"/>
    </row>
    <row r="424" spans="23:23" ht="16.5">
      <c r="W424"/>
    </row>
    <row r="425" spans="23:23" ht="16.5">
      <c r="W425"/>
    </row>
    <row r="426" spans="23:23" ht="16.5">
      <c r="W426"/>
    </row>
    <row r="427" spans="23:23" ht="16.5">
      <c r="W427"/>
    </row>
    <row r="428" spans="23:23" ht="16.5">
      <c r="W428"/>
    </row>
    <row r="429" spans="23:23" ht="16.5">
      <c r="W429"/>
    </row>
    <row r="430" spans="23:23" ht="16.5">
      <c r="W430"/>
    </row>
    <row r="431" spans="23:23" ht="16.5">
      <c r="W431"/>
    </row>
    <row r="432" spans="23:23" ht="16.5">
      <c r="W432"/>
    </row>
    <row r="433" spans="23:23" ht="16.5">
      <c r="W433"/>
    </row>
    <row r="434" spans="23:23" ht="16.5">
      <c r="W434"/>
    </row>
    <row r="435" spans="23:23" ht="16.5">
      <c r="W435"/>
    </row>
    <row r="436" spans="23:23" ht="16.5">
      <c r="W436"/>
    </row>
    <row r="437" spans="23:23" ht="16.5">
      <c r="W437"/>
    </row>
    <row r="438" spans="23:23" ht="16.5">
      <c r="W438"/>
    </row>
    <row r="439" spans="23:23" ht="16.5">
      <c r="W439"/>
    </row>
    <row r="440" spans="23:23" ht="16.5">
      <c r="W440"/>
    </row>
    <row r="441" spans="23:23" ht="16.5">
      <c r="W441"/>
    </row>
    <row r="442" spans="23:23" ht="16.5">
      <c r="W442"/>
    </row>
    <row r="443" spans="23:23" ht="16.5">
      <c r="W443"/>
    </row>
    <row r="444" spans="23:23" ht="16.5">
      <c r="W444"/>
    </row>
    <row r="445" spans="23:23" ht="16.5">
      <c r="W445"/>
    </row>
    <row r="446" spans="23:23" ht="16.5">
      <c r="W446"/>
    </row>
    <row r="447" spans="23:23" ht="16.5">
      <c r="W447"/>
    </row>
    <row r="448" spans="23:23" ht="16.5">
      <c r="W448"/>
    </row>
    <row r="449" spans="23:23" ht="16.5">
      <c r="W449"/>
    </row>
    <row r="450" spans="23:23" ht="16.5">
      <c r="W450"/>
    </row>
    <row r="451" spans="23:23" ht="16.5">
      <c r="W451"/>
    </row>
    <row r="452" spans="23:23" ht="16.5">
      <c r="W452"/>
    </row>
    <row r="453" spans="23:23" ht="16.5">
      <c r="W453"/>
    </row>
    <row r="454" spans="23:23" ht="16.5">
      <c r="W454"/>
    </row>
    <row r="455" spans="23:23" ht="16.5">
      <c r="W455"/>
    </row>
    <row r="456" spans="23:23" ht="16.5">
      <c r="W456"/>
    </row>
    <row r="457" spans="23:23" ht="16.5">
      <c r="W457"/>
    </row>
    <row r="458" spans="23:23" ht="16.5">
      <c r="W458"/>
    </row>
    <row r="459" spans="23:23" ht="16.5">
      <c r="W459"/>
    </row>
    <row r="460" spans="23:23" ht="16.5">
      <c r="W460"/>
    </row>
    <row r="461" spans="23:23" ht="16.5">
      <c r="W461"/>
    </row>
    <row r="462" spans="23:23" ht="16.5">
      <c r="W462"/>
    </row>
    <row r="463" spans="23:23" ht="16.5">
      <c r="W463"/>
    </row>
    <row r="464" spans="23:23" ht="16.5">
      <c r="W464"/>
    </row>
    <row r="465" spans="23:23" ht="16.5">
      <c r="W465"/>
    </row>
    <row r="466" spans="23:23" ht="16.5">
      <c r="W466"/>
    </row>
    <row r="467" spans="23:23" ht="16.5">
      <c r="W467"/>
    </row>
    <row r="468" spans="23:23" ht="16.5">
      <c r="W468"/>
    </row>
    <row r="469" spans="23:23" ht="16.5">
      <c r="W469"/>
    </row>
    <row r="470" spans="23:23" ht="16.5">
      <c r="W470"/>
    </row>
    <row r="471" spans="23:23" ht="16.5">
      <c r="W471"/>
    </row>
    <row r="472" spans="23:23" ht="16.5">
      <c r="W472"/>
    </row>
    <row r="473" spans="23:23" ht="16.5">
      <c r="W473"/>
    </row>
    <row r="474" spans="23:23" ht="16.5">
      <c r="W474"/>
    </row>
    <row r="475" spans="23:23" ht="16.5">
      <c r="W475"/>
    </row>
    <row r="476" spans="23:23" ht="16.5">
      <c r="W476"/>
    </row>
    <row r="477" spans="23:23" ht="16.5">
      <c r="W477"/>
    </row>
    <row r="478" spans="23:23" ht="16.5">
      <c r="W478"/>
    </row>
    <row r="479" spans="23:23" ht="16.5">
      <c r="W479"/>
    </row>
    <row r="480" spans="23:23" ht="16.5">
      <c r="W480"/>
    </row>
    <row r="481" spans="23:23" ht="16.5">
      <c r="W481"/>
    </row>
    <row r="482" spans="23:23" ht="16.5">
      <c r="W482"/>
    </row>
    <row r="483" spans="23:23" ht="16.5">
      <c r="W483"/>
    </row>
    <row r="484" spans="23:23" ht="16.5">
      <c r="W484"/>
    </row>
    <row r="485" spans="23:23" ht="16.5">
      <c r="W485"/>
    </row>
    <row r="486" spans="23:23" ht="16.5">
      <c r="W486"/>
    </row>
    <row r="487" spans="23:23" ht="16.5">
      <c r="W487"/>
    </row>
    <row r="488" spans="23:23" ht="16.5">
      <c r="W488"/>
    </row>
    <row r="489" spans="23:23" ht="16.5">
      <c r="W489"/>
    </row>
    <row r="490" spans="23:23" ht="16.5">
      <c r="W490"/>
    </row>
    <row r="491" spans="23:23" ht="16.5">
      <c r="W491"/>
    </row>
    <row r="492" spans="23:23" ht="16.5">
      <c r="W492"/>
    </row>
    <row r="493" spans="23:23" ht="16.5">
      <c r="W493"/>
    </row>
    <row r="494" spans="23:23" ht="16.5">
      <c r="W494"/>
    </row>
    <row r="495" spans="23:23" ht="16.5">
      <c r="W495"/>
    </row>
    <row r="496" spans="23:23" ht="16.5">
      <c r="W496"/>
    </row>
    <row r="497" spans="23:23" ht="16.5">
      <c r="W497"/>
    </row>
    <row r="498" spans="23:23" ht="16.5">
      <c r="W498"/>
    </row>
    <row r="499" spans="23:23" ht="16.5">
      <c r="W499"/>
    </row>
    <row r="500" spans="23:23" ht="16.5">
      <c r="W500"/>
    </row>
    <row r="501" spans="23:23" ht="16.5">
      <c r="W501"/>
    </row>
    <row r="502" spans="23:23" ht="16.5">
      <c r="W502"/>
    </row>
    <row r="503" spans="23:23" ht="16.5">
      <c r="W503"/>
    </row>
    <row r="504" spans="23:23" ht="16.5">
      <c r="W504"/>
    </row>
    <row r="505" spans="23:23" ht="16.5">
      <c r="W505"/>
    </row>
    <row r="506" spans="23:23" ht="16.5">
      <c r="W506"/>
    </row>
    <row r="507" spans="23:23" ht="16.5">
      <c r="W507"/>
    </row>
    <row r="508" spans="23:23" ht="16.5">
      <c r="W508"/>
    </row>
    <row r="509" spans="23:23" ht="16.5">
      <c r="W509"/>
    </row>
    <row r="510" spans="23:23" ht="16.5">
      <c r="W510"/>
    </row>
    <row r="511" spans="23:23" ht="16.5">
      <c r="W511"/>
    </row>
    <row r="512" spans="23:23" ht="16.5">
      <c r="W512"/>
    </row>
    <row r="513" spans="23:23" ht="16.5">
      <c r="W513"/>
    </row>
    <row r="514" spans="23:23" ht="16.5">
      <c r="W514"/>
    </row>
    <row r="515" spans="23:23" ht="16.5">
      <c r="W515"/>
    </row>
    <row r="516" spans="23:23" ht="16.5">
      <c r="W516"/>
    </row>
    <row r="517" spans="23:23" ht="16.5">
      <c r="W517"/>
    </row>
    <row r="518" spans="23:23" ht="16.5">
      <c r="W518"/>
    </row>
    <row r="519" spans="23:23" ht="16.5">
      <c r="W519"/>
    </row>
    <row r="520" spans="23:23" ht="16.5">
      <c r="W520"/>
    </row>
    <row r="521" spans="23:23" ht="16.5">
      <c r="W521"/>
    </row>
    <row r="522" spans="23:23" ht="16.5">
      <c r="W522"/>
    </row>
    <row r="523" spans="23:23" ht="16.5">
      <c r="W523"/>
    </row>
    <row r="524" spans="23:23" ht="16.5">
      <c r="W524"/>
    </row>
    <row r="525" spans="23:23" ht="16.5">
      <c r="W525"/>
    </row>
    <row r="526" spans="23:23" ht="16.5">
      <c r="W526"/>
    </row>
    <row r="527" spans="23:23" ht="16.5">
      <c r="W527"/>
    </row>
    <row r="528" spans="23:23" ht="16.5">
      <c r="W528"/>
    </row>
    <row r="529" spans="23:23" ht="16.5">
      <c r="W529"/>
    </row>
    <row r="530" spans="23:23" ht="16.5">
      <c r="W530"/>
    </row>
    <row r="531" spans="23:23" ht="16.5">
      <c r="W531"/>
    </row>
    <row r="532" spans="23:23" ht="16.5">
      <c r="W532"/>
    </row>
    <row r="533" spans="23:23" ht="16.5">
      <c r="W533"/>
    </row>
    <row r="534" spans="23:23" ht="16.5">
      <c r="W534"/>
    </row>
    <row r="535" spans="23:23" ht="16.5">
      <c r="W535"/>
    </row>
    <row r="536" spans="23:23" ht="16.5">
      <c r="W536"/>
    </row>
    <row r="537" spans="23:23" ht="16.5">
      <c r="W537"/>
    </row>
    <row r="538" spans="23:23" ht="16.5">
      <c r="W538"/>
    </row>
    <row r="539" spans="23:23" ht="16.5">
      <c r="W539"/>
    </row>
    <row r="540" spans="23:23" ht="16.5">
      <c r="W540"/>
    </row>
    <row r="541" spans="23:23" ht="16.5">
      <c r="W541"/>
    </row>
    <row r="542" spans="23:23" ht="16.5">
      <c r="W542"/>
    </row>
    <row r="543" spans="23:23" ht="16.5">
      <c r="W543"/>
    </row>
    <row r="544" spans="23:23" ht="16.5">
      <c r="W544"/>
    </row>
    <row r="545" spans="23:23" ht="16.5">
      <c r="W545"/>
    </row>
    <row r="546" spans="23:23" ht="16.5">
      <c r="W546"/>
    </row>
    <row r="547" spans="23:23" ht="16.5">
      <c r="W547"/>
    </row>
    <row r="548" spans="23:23" ht="16.5">
      <c r="W548"/>
    </row>
    <row r="549" spans="23:23" ht="16.5">
      <c r="W549"/>
    </row>
    <row r="550" spans="23:23" ht="16.5">
      <c r="W550"/>
    </row>
    <row r="551" spans="23:23" ht="16.5">
      <c r="W551"/>
    </row>
    <row r="552" spans="23:23" ht="16.5">
      <c r="W552"/>
    </row>
    <row r="553" spans="23:23" ht="16.5">
      <c r="W553"/>
    </row>
    <row r="554" spans="23:23" ht="16.5">
      <c r="W554"/>
    </row>
    <row r="555" spans="23:23" ht="16.5">
      <c r="W555"/>
    </row>
    <row r="556" spans="23:23" ht="16.5">
      <c r="W556"/>
    </row>
    <row r="557" spans="23:23" ht="16.5">
      <c r="W557"/>
    </row>
    <row r="558" spans="23:23" ht="16.5">
      <c r="W558"/>
    </row>
    <row r="559" spans="23:23" ht="16.5">
      <c r="W559"/>
    </row>
    <row r="560" spans="23:23" ht="16.5">
      <c r="W560"/>
    </row>
    <row r="561" spans="23:23" ht="16.5">
      <c r="W561"/>
    </row>
    <row r="562" spans="23:23" ht="16.5">
      <c r="W562"/>
    </row>
    <row r="563" spans="23:23" ht="16.5">
      <c r="W563"/>
    </row>
    <row r="564" spans="23:23" ht="16.5">
      <c r="W564"/>
    </row>
    <row r="565" spans="23:23" ht="16.5">
      <c r="W565"/>
    </row>
    <row r="566" spans="23:23" ht="16.5">
      <c r="W566"/>
    </row>
    <row r="567" spans="23:23" ht="16.5">
      <c r="W567"/>
    </row>
    <row r="568" spans="23:23" ht="16.5">
      <c r="W568"/>
    </row>
    <row r="569" spans="23:23" ht="16.5">
      <c r="W569"/>
    </row>
    <row r="570" spans="23:23" ht="16.5">
      <c r="W570"/>
    </row>
    <row r="571" spans="23:23" ht="16.5">
      <c r="W571"/>
    </row>
    <row r="572" spans="23:23" ht="16.5">
      <c r="W572"/>
    </row>
    <row r="573" spans="23:23" ht="16.5">
      <c r="W573"/>
    </row>
    <row r="574" spans="23:23" ht="16.5">
      <c r="W574"/>
    </row>
    <row r="575" spans="23:23" ht="16.5">
      <c r="W575"/>
    </row>
    <row r="576" spans="23:23" ht="16.5">
      <c r="W576"/>
    </row>
    <row r="577" spans="23:23" ht="16.5">
      <c r="W577"/>
    </row>
    <row r="578" spans="23:23" ht="16.5">
      <c r="W578"/>
    </row>
    <row r="579" spans="23:23" ht="16.5">
      <c r="W579"/>
    </row>
    <row r="580" spans="23:23" ht="16.5">
      <c r="W580"/>
    </row>
    <row r="581" spans="23:23" ht="16.5">
      <c r="W581"/>
    </row>
    <row r="582" spans="23:23" ht="16.5">
      <c r="W582"/>
    </row>
    <row r="583" spans="23:23" ht="16.5">
      <c r="W583"/>
    </row>
    <row r="584" spans="23:23" ht="16.5">
      <c r="W584"/>
    </row>
    <row r="585" spans="23:23" ht="16.5">
      <c r="W585"/>
    </row>
    <row r="586" spans="23:23" ht="16.5">
      <c r="W586"/>
    </row>
    <row r="587" spans="23:23" ht="16.5">
      <c r="W587"/>
    </row>
    <row r="588" spans="23:23" ht="16.5">
      <c r="W588"/>
    </row>
    <row r="589" spans="23:23" ht="16.5">
      <c r="W589"/>
    </row>
    <row r="590" spans="23:23" ht="16.5">
      <c r="W590"/>
    </row>
    <row r="591" spans="23:23" ht="16.5">
      <c r="W591"/>
    </row>
    <row r="592" spans="23:23" ht="16.5">
      <c r="W592"/>
    </row>
    <row r="593" spans="23:23" ht="16.5">
      <c r="W593"/>
    </row>
    <row r="594" spans="23:23" ht="16.5">
      <c r="W594"/>
    </row>
    <row r="595" spans="23:23" ht="16.5">
      <c r="W595"/>
    </row>
    <row r="596" spans="23:23" ht="16.5">
      <c r="W596"/>
    </row>
    <row r="597" spans="23:23" ht="16.5">
      <c r="W597"/>
    </row>
    <row r="598" spans="23:23" ht="16.5">
      <c r="W598"/>
    </row>
    <row r="599" spans="23:23" ht="16.5">
      <c r="W599"/>
    </row>
    <row r="600" spans="23:23" ht="16.5">
      <c r="W600"/>
    </row>
    <row r="601" spans="23:23" ht="16.5">
      <c r="W601"/>
    </row>
    <row r="602" spans="23:23" ht="16.5">
      <c r="W602"/>
    </row>
    <row r="603" spans="23:23" ht="16.5">
      <c r="W603"/>
    </row>
    <row r="604" spans="23:23" ht="16.5">
      <c r="W604"/>
    </row>
    <row r="605" spans="23:23" ht="16.5">
      <c r="W605"/>
    </row>
    <row r="606" spans="23:23" ht="16.5">
      <c r="W606"/>
    </row>
    <row r="607" spans="23:23" ht="16.5">
      <c r="W607"/>
    </row>
    <row r="608" spans="23:23" ht="16.5">
      <c r="W608"/>
    </row>
    <row r="609" spans="23:23" ht="16.5">
      <c r="W609"/>
    </row>
    <row r="610" spans="23:23" ht="16.5">
      <c r="W610"/>
    </row>
    <row r="611" spans="23:23" ht="16.5">
      <c r="W611"/>
    </row>
    <row r="612" spans="23:23" ht="16.5">
      <c r="W612"/>
    </row>
    <row r="613" spans="23:23" ht="16.5">
      <c r="W613"/>
    </row>
    <row r="614" spans="23:23" ht="16.5">
      <c r="W614"/>
    </row>
    <row r="615" spans="23:23" ht="16.5">
      <c r="W615"/>
    </row>
    <row r="616" spans="23:23" ht="16.5">
      <c r="W616"/>
    </row>
    <row r="617" spans="23:23" ht="16.5">
      <c r="W617"/>
    </row>
  </sheetData>
  <autoFilter ref="A2:XEO317" xr:uid="{00000000-0009-0000-0000-000002000000}"/>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시트복사">
                <anchor moveWithCells="1" sizeWithCells="1">
                  <from>
                    <xdr:col>24</xdr:col>
                    <xdr:colOff>66675</xdr:colOff>
                    <xdr:row>1</xdr:row>
                    <xdr:rowOff>0</xdr:rowOff>
                  </from>
                  <to>
                    <xdr:col>24</xdr:col>
                    <xdr:colOff>1057275</xdr:colOff>
                    <xdr:row>1</xdr:row>
                    <xdr:rowOff>257175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Q670"/>
  <sheetViews>
    <sheetView zoomScaleNormal="100" workbookViewId="0">
      <pane xSplit="9" ySplit="1" topLeftCell="J543" activePane="bottomRight" state="frozen"/>
      <selection pane="topRight" activeCell="J1" sqref="J1"/>
      <selection pane="bottomLeft" activeCell="A2" sqref="A2"/>
      <selection pane="bottomRight" activeCell="L567" sqref="L567"/>
    </sheetView>
  </sheetViews>
  <sheetFormatPr defaultRowHeight="11.25"/>
  <cols>
    <col min="1" max="1" width="3.25" style="178" customWidth="1"/>
    <col min="2" max="2" width="6.875" style="178" customWidth="1"/>
    <col min="3" max="3" width="6.625" style="195" customWidth="1"/>
    <col min="4" max="4" width="4.875" style="195" customWidth="1"/>
    <col min="5" max="5" width="33.25" style="196" customWidth="1"/>
    <col min="6" max="6" width="12.125" style="178" customWidth="1"/>
    <col min="7" max="7" width="4.375" style="178" customWidth="1"/>
    <col min="8" max="8" width="18" style="178" customWidth="1"/>
    <col min="9" max="9" width="26.75" style="178" customWidth="1"/>
    <col min="10" max="10" width="28.75" style="196" customWidth="1"/>
    <col min="11" max="11" width="45.125" style="196" customWidth="1"/>
    <col min="12" max="12" width="16.375" style="178" customWidth="1"/>
    <col min="13" max="13" width="13.75" style="178" customWidth="1"/>
    <col min="14" max="14" width="9" style="178"/>
    <col min="15" max="15" width="10.75" style="178" customWidth="1"/>
    <col min="16" max="16" width="31.125" style="178" customWidth="1"/>
    <col min="17" max="17" width="24.5" style="178" customWidth="1"/>
    <col min="18" max="16384" width="9" style="178"/>
  </cols>
  <sheetData>
    <row r="1" spans="1:17" s="193" customFormat="1">
      <c r="A1" s="207" t="s">
        <v>1332</v>
      </c>
      <c r="B1" s="207" t="s">
        <v>2960</v>
      </c>
      <c r="C1" s="207" t="s">
        <v>748</v>
      </c>
      <c r="D1" s="207" t="s">
        <v>749</v>
      </c>
      <c r="E1" s="207" t="s">
        <v>2985</v>
      </c>
      <c r="F1" s="208" t="s">
        <v>3132</v>
      </c>
      <c r="G1" s="207" t="s">
        <v>3198</v>
      </c>
      <c r="H1" s="192" t="s">
        <v>3199</v>
      </c>
      <c r="I1" s="192" t="s">
        <v>3028</v>
      </c>
      <c r="J1" s="236" t="s">
        <v>3200</v>
      </c>
      <c r="K1" s="236" t="s">
        <v>3201</v>
      </c>
      <c r="L1" s="192" t="s">
        <v>3320</v>
      </c>
      <c r="M1" s="192" t="s">
        <v>3202</v>
      </c>
      <c r="N1" s="192" t="s">
        <v>3203</v>
      </c>
      <c r="O1" s="209" t="s">
        <v>3197</v>
      </c>
      <c r="P1" s="209" t="s">
        <v>3037</v>
      </c>
      <c r="Q1" s="322" t="s">
        <v>3452</v>
      </c>
    </row>
    <row r="2" spans="1:17" s="252" customFormat="1">
      <c r="A2" s="239">
        <f>ROW()-1</f>
        <v>1</v>
      </c>
      <c r="B2" s="239" t="s">
        <v>3128</v>
      </c>
      <c r="C2" s="240" t="s">
        <v>275</v>
      </c>
      <c r="D2" s="240">
        <v>20</v>
      </c>
      <c r="E2" s="197" t="s">
        <v>3130</v>
      </c>
      <c r="F2" s="239"/>
      <c r="G2" s="239"/>
      <c r="H2" s="237"/>
      <c r="I2" s="239"/>
      <c r="J2" s="197"/>
      <c r="K2" s="254"/>
      <c r="L2" s="239"/>
      <c r="M2" s="197"/>
      <c r="N2" s="238"/>
      <c r="O2" s="239"/>
      <c r="P2" s="239"/>
      <c r="Q2" s="320"/>
    </row>
    <row r="3" spans="1:17" s="252" customFormat="1">
      <c r="A3" s="239">
        <f t="shared" ref="A3:A79" si="0">ROW()-1</f>
        <v>2</v>
      </c>
      <c r="B3" s="239" t="s">
        <v>3129</v>
      </c>
      <c r="C3" s="240" t="s">
        <v>279</v>
      </c>
      <c r="D3" s="240">
        <v>3</v>
      </c>
      <c r="E3" s="197" t="s">
        <v>3131</v>
      </c>
      <c r="F3" s="239"/>
      <c r="G3" s="239" t="s">
        <v>3135</v>
      </c>
      <c r="H3" s="237"/>
      <c r="I3" s="239"/>
      <c r="J3" s="197"/>
      <c r="K3" s="254"/>
      <c r="L3" s="239"/>
      <c r="M3" s="197"/>
      <c r="N3" s="238"/>
      <c r="O3" s="239"/>
      <c r="P3" s="239"/>
      <c r="Q3" s="320"/>
    </row>
    <row r="4" spans="1:17" s="252" customFormat="1">
      <c r="A4" s="239">
        <f t="shared" ref="A4:A276" si="1">ROW()-1</f>
        <v>3</v>
      </c>
      <c r="B4" s="239" t="s">
        <v>2119</v>
      </c>
      <c r="C4" s="240" t="s">
        <v>275</v>
      </c>
      <c r="D4" s="240">
        <v>14</v>
      </c>
      <c r="E4" s="197" t="s">
        <v>688</v>
      </c>
      <c r="F4" s="239" t="s">
        <v>3133</v>
      </c>
      <c r="G4" s="239"/>
      <c r="H4" s="239" t="s">
        <v>3330</v>
      </c>
      <c r="I4" s="239" t="s">
        <v>683</v>
      </c>
      <c r="J4" s="197" t="s">
        <v>3395</v>
      </c>
      <c r="K4" s="197" t="s">
        <v>50</v>
      </c>
      <c r="L4" s="239"/>
      <c r="M4" s="197"/>
      <c r="N4" s="241"/>
      <c r="O4" s="239"/>
      <c r="P4" s="239"/>
      <c r="Q4" s="320"/>
    </row>
    <row r="5" spans="1:17" s="252" customFormat="1">
      <c r="A5" s="239">
        <f t="shared" si="1"/>
        <v>4</v>
      </c>
      <c r="B5" s="239" t="s">
        <v>2116</v>
      </c>
      <c r="C5" s="240" t="s">
        <v>275</v>
      </c>
      <c r="D5" s="240">
        <v>2</v>
      </c>
      <c r="E5" s="197" t="s">
        <v>445</v>
      </c>
      <c r="F5" s="239" t="s">
        <v>3133</v>
      </c>
      <c r="G5" s="239"/>
      <c r="H5" s="239" t="s">
        <v>3329</v>
      </c>
      <c r="I5" s="239" t="s">
        <v>683</v>
      </c>
      <c r="J5" s="197" t="s">
        <v>3395</v>
      </c>
      <c r="K5" s="197" t="s">
        <v>3396</v>
      </c>
      <c r="L5" s="239"/>
      <c r="M5" s="197"/>
      <c r="N5" s="241"/>
      <c r="O5" s="239"/>
      <c r="P5" s="239"/>
      <c r="Q5" s="320"/>
    </row>
    <row r="6" spans="1:17" s="252" customFormat="1">
      <c r="A6" s="239">
        <f t="shared" si="1"/>
        <v>5</v>
      </c>
      <c r="B6" s="239" t="s">
        <v>2117</v>
      </c>
      <c r="C6" s="240" t="s">
        <v>279</v>
      </c>
      <c r="D6" s="240">
        <v>5</v>
      </c>
      <c r="E6" s="197" t="s">
        <v>1297</v>
      </c>
      <c r="F6" s="239" t="s">
        <v>3133</v>
      </c>
      <c r="G6" s="239"/>
      <c r="H6" s="239" t="s">
        <v>3329</v>
      </c>
      <c r="I6" s="239" t="s">
        <v>683</v>
      </c>
      <c r="J6" s="197" t="s">
        <v>3395</v>
      </c>
      <c r="K6" s="197" t="s">
        <v>3397</v>
      </c>
      <c r="L6" s="239"/>
      <c r="M6" s="197"/>
      <c r="N6" s="241"/>
      <c r="O6" s="239" t="s">
        <v>2330</v>
      </c>
      <c r="P6" s="239"/>
      <c r="Q6" s="320"/>
    </row>
    <row r="7" spans="1:17" s="252" customFormat="1">
      <c r="A7" s="239">
        <f t="shared" si="1"/>
        <v>6</v>
      </c>
      <c r="B7" s="239" t="s">
        <v>2118</v>
      </c>
      <c r="C7" s="240" t="s">
        <v>275</v>
      </c>
      <c r="D7" s="240">
        <v>1</v>
      </c>
      <c r="E7" s="197" t="s">
        <v>687</v>
      </c>
      <c r="F7" s="239" t="s">
        <v>3133</v>
      </c>
      <c r="G7" s="239"/>
      <c r="H7" s="239" t="s">
        <v>3329</v>
      </c>
      <c r="I7" s="239" t="s">
        <v>683</v>
      </c>
      <c r="J7" s="197" t="s">
        <v>3398</v>
      </c>
      <c r="K7" s="197" t="s">
        <v>3065</v>
      </c>
      <c r="L7" s="239"/>
      <c r="M7" s="197"/>
      <c r="N7" s="241"/>
      <c r="O7" s="239" t="s">
        <v>3106</v>
      </c>
      <c r="P7" s="239"/>
      <c r="Q7" s="320"/>
    </row>
    <row r="8" spans="1:17" s="278" customFormat="1">
      <c r="A8" s="272">
        <f t="shared" ref="A8:A326" si="2">ROW()-1</f>
        <v>7</v>
      </c>
      <c r="B8" s="325" t="s">
        <v>3511</v>
      </c>
      <c r="C8" s="279" t="s">
        <v>279</v>
      </c>
      <c r="D8" s="279">
        <v>15</v>
      </c>
      <c r="E8" s="276" t="s">
        <v>3509</v>
      </c>
      <c r="F8" s="325" t="s">
        <v>3133</v>
      </c>
      <c r="G8" s="272" t="s">
        <v>3600</v>
      </c>
      <c r="H8" s="272" t="s">
        <v>3329</v>
      </c>
      <c r="I8" s="272" t="s">
        <v>683</v>
      </c>
      <c r="J8" s="276" t="s">
        <v>3335</v>
      </c>
      <c r="K8" s="276" t="s">
        <v>3512</v>
      </c>
      <c r="L8" s="326"/>
      <c r="M8" s="276"/>
      <c r="N8" s="327"/>
      <c r="O8" s="272" t="s">
        <v>2329</v>
      </c>
      <c r="P8" s="272" t="s">
        <v>3519</v>
      </c>
      <c r="Q8" s="275"/>
    </row>
    <row r="9" spans="1:17" s="252" customFormat="1">
      <c r="A9" s="239">
        <f t="shared" si="1"/>
        <v>8</v>
      </c>
      <c r="B9" s="239" t="s">
        <v>2120</v>
      </c>
      <c r="C9" s="240" t="s">
        <v>275</v>
      </c>
      <c r="D9" s="240">
        <v>1</v>
      </c>
      <c r="E9" s="197" t="s">
        <v>689</v>
      </c>
      <c r="F9" s="239" t="s">
        <v>3133</v>
      </c>
      <c r="G9" s="342">
        <v>103</v>
      </c>
      <c r="H9" s="239" t="s">
        <v>3329</v>
      </c>
      <c r="I9" s="239" t="s">
        <v>683</v>
      </c>
      <c r="J9" s="197" t="s">
        <v>3335</v>
      </c>
      <c r="K9" s="197" t="s">
        <v>3399</v>
      </c>
      <c r="L9" s="239"/>
      <c r="M9" s="197"/>
      <c r="N9" s="241"/>
      <c r="O9" s="239"/>
      <c r="P9" s="239"/>
      <c r="Q9" s="320"/>
    </row>
    <row r="10" spans="1:17" s="252" customFormat="1">
      <c r="A10" s="239">
        <f t="shared" si="1"/>
        <v>9</v>
      </c>
      <c r="B10" s="239" t="s">
        <v>2121</v>
      </c>
      <c r="C10" s="240" t="s">
        <v>275</v>
      </c>
      <c r="D10" s="240">
        <v>1</v>
      </c>
      <c r="E10" s="197" t="s">
        <v>690</v>
      </c>
      <c r="F10" s="239" t="s">
        <v>3133</v>
      </c>
      <c r="G10" s="342" t="s">
        <v>3588</v>
      </c>
      <c r="H10" s="239" t="s">
        <v>3329</v>
      </c>
      <c r="I10" s="239" t="s">
        <v>683</v>
      </c>
      <c r="J10" s="197" t="s">
        <v>3335</v>
      </c>
      <c r="K10" s="197" t="s">
        <v>3400</v>
      </c>
      <c r="L10" s="239"/>
      <c r="M10" s="197"/>
      <c r="N10" s="241"/>
      <c r="O10" s="239"/>
      <c r="P10" s="239"/>
      <c r="Q10" s="320"/>
    </row>
    <row r="11" spans="1:17" s="252" customFormat="1">
      <c r="A11" s="239">
        <f t="shared" si="1"/>
        <v>10</v>
      </c>
      <c r="B11" s="239" t="s">
        <v>2122</v>
      </c>
      <c r="C11" s="240" t="s">
        <v>275</v>
      </c>
      <c r="D11" s="240">
        <v>1</v>
      </c>
      <c r="E11" s="197" t="s">
        <v>691</v>
      </c>
      <c r="F11" s="239" t="s">
        <v>3133</v>
      </c>
      <c r="G11" s="342" t="s">
        <v>3589</v>
      </c>
      <c r="H11" s="239" t="s">
        <v>3329</v>
      </c>
      <c r="I11" s="239" t="s">
        <v>683</v>
      </c>
      <c r="J11" s="197" t="s">
        <v>3335</v>
      </c>
      <c r="K11" s="197" t="s">
        <v>3401</v>
      </c>
      <c r="L11" s="239"/>
      <c r="M11" s="197"/>
      <c r="N11" s="241"/>
      <c r="O11" s="239"/>
      <c r="P11" s="239"/>
      <c r="Q11" s="320"/>
    </row>
    <row r="12" spans="1:17" s="252" customFormat="1">
      <c r="A12" s="239">
        <f t="shared" si="1"/>
        <v>11</v>
      </c>
      <c r="B12" s="242" t="s">
        <v>3136</v>
      </c>
      <c r="C12" s="243" t="s">
        <v>275</v>
      </c>
      <c r="D12" s="243">
        <v>1</v>
      </c>
      <c r="E12" s="248" t="s">
        <v>692</v>
      </c>
      <c r="F12" s="242" t="s">
        <v>3133</v>
      </c>
      <c r="G12" s="342"/>
      <c r="H12" s="242" t="s">
        <v>3329</v>
      </c>
      <c r="I12" s="242" t="s">
        <v>683</v>
      </c>
      <c r="J12" s="197" t="e">
        <v>#N/A</v>
      </c>
      <c r="K12" s="197" t="e">
        <v>#N/A</v>
      </c>
      <c r="L12" s="242"/>
      <c r="M12" s="248"/>
      <c r="N12" s="242"/>
      <c r="O12" s="239" t="s">
        <v>2330</v>
      </c>
      <c r="P12" s="239" t="s">
        <v>3126</v>
      </c>
      <c r="Q12" s="320"/>
    </row>
    <row r="13" spans="1:17" s="252" customFormat="1">
      <c r="A13" s="239">
        <f t="shared" si="1"/>
        <v>12</v>
      </c>
      <c r="B13" s="242" t="s">
        <v>3136</v>
      </c>
      <c r="C13" s="243" t="s">
        <v>275</v>
      </c>
      <c r="D13" s="243">
        <v>1</v>
      </c>
      <c r="E13" s="248" t="s">
        <v>693</v>
      </c>
      <c r="F13" s="242" t="s">
        <v>3133</v>
      </c>
      <c r="G13" s="342"/>
      <c r="H13" s="242" t="s">
        <v>3329</v>
      </c>
      <c r="I13" s="242" t="s">
        <v>683</v>
      </c>
      <c r="J13" s="197" t="e">
        <v>#N/A</v>
      </c>
      <c r="K13" s="197" t="e">
        <v>#N/A</v>
      </c>
      <c r="L13" s="242"/>
      <c r="M13" s="248"/>
      <c r="N13" s="242"/>
      <c r="O13" s="239" t="s">
        <v>2330</v>
      </c>
      <c r="P13" s="239" t="s">
        <v>3126</v>
      </c>
      <c r="Q13" s="320"/>
    </row>
    <row r="14" spans="1:17" s="252" customFormat="1">
      <c r="A14" s="239">
        <f t="shared" si="1"/>
        <v>13</v>
      </c>
      <c r="B14" s="239" t="s">
        <v>2123</v>
      </c>
      <c r="C14" s="240" t="s">
        <v>275</v>
      </c>
      <c r="D14" s="240">
        <v>1</v>
      </c>
      <c r="E14" s="197" t="s">
        <v>694</v>
      </c>
      <c r="F14" s="239" t="s">
        <v>3133</v>
      </c>
      <c r="G14" s="342" t="s">
        <v>3590</v>
      </c>
      <c r="H14" s="239" t="s">
        <v>3329</v>
      </c>
      <c r="I14" s="239" t="s">
        <v>683</v>
      </c>
      <c r="J14" s="197" t="s">
        <v>3335</v>
      </c>
      <c r="K14" s="197" t="s">
        <v>3402</v>
      </c>
      <c r="L14" s="239"/>
      <c r="M14" s="197"/>
      <c r="N14" s="241"/>
      <c r="O14" s="239"/>
      <c r="P14" s="239"/>
      <c r="Q14" s="320"/>
    </row>
    <row r="15" spans="1:17" s="252" customFormat="1">
      <c r="A15" s="239">
        <f t="shared" si="1"/>
        <v>14</v>
      </c>
      <c r="B15" s="239" t="s">
        <v>2124</v>
      </c>
      <c r="C15" s="240" t="s">
        <v>275</v>
      </c>
      <c r="D15" s="240">
        <v>1</v>
      </c>
      <c r="E15" s="197" t="s">
        <v>695</v>
      </c>
      <c r="F15" s="239" t="s">
        <v>3133</v>
      </c>
      <c r="G15" s="342" t="s">
        <v>3591</v>
      </c>
      <c r="H15" s="239" t="s">
        <v>3329</v>
      </c>
      <c r="I15" s="239" t="s">
        <v>683</v>
      </c>
      <c r="J15" s="197" t="s">
        <v>3335</v>
      </c>
      <c r="K15" s="197" t="s">
        <v>3403</v>
      </c>
      <c r="L15" s="239"/>
      <c r="M15" s="197"/>
      <c r="N15" s="241"/>
      <c r="O15" s="239"/>
      <c r="P15" s="239"/>
      <c r="Q15" s="320"/>
    </row>
    <row r="16" spans="1:17" s="252" customFormat="1">
      <c r="A16" s="239">
        <f t="shared" si="1"/>
        <v>15</v>
      </c>
      <c r="B16" s="239" t="s">
        <v>2125</v>
      </c>
      <c r="C16" s="240" t="s">
        <v>275</v>
      </c>
      <c r="D16" s="240">
        <v>1</v>
      </c>
      <c r="E16" s="197" t="s">
        <v>696</v>
      </c>
      <c r="F16" s="239" t="s">
        <v>3133</v>
      </c>
      <c r="G16" s="342" t="s">
        <v>3592</v>
      </c>
      <c r="H16" s="239" t="s">
        <v>3329</v>
      </c>
      <c r="I16" s="239" t="s">
        <v>683</v>
      </c>
      <c r="J16" s="197" t="s">
        <v>3335</v>
      </c>
      <c r="K16" s="197" t="s">
        <v>3404</v>
      </c>
      <c r="L16" s="239"/>
      <c r="M16" s="197"/>
      <c r="N16" s="241"/>
      <c r="O16" s="239"/>
      <c r="P16" s="239"/>
      <c r="Q16" s="320"/>
    </row>
    <row r="17" spans="1:17" s="252" customFormat="1">
      <c r="A17" s="239">
        <f t="shared" si="1"/>
        <v>16</v>
      </c>
      <c r="B17" s="239" t="s">
        <v>2126</v>
      </c>
      <c r="C17" s="240" t="s">
        <v>275</v>
      </c>
      <c r="D17" s="240">
        <v>1</v>
      </c>
      <c r="E17" s="197" t="s">
        <v>697</v>
      </c>
      <c r="F17" s="239" t="s">
        <v>3133</v>
      </c>
      <c r="G17" s="342" t="s">
        <v>3593</v>
      </c>
      <c r="H17" s="239" t="s">
        <v>3329</v>
      </c>
      <c r="I17" s="239" t="s">
        <v>683</v>
      </c>
      <c r="J17" s="197" t="s">
        <v>3335</v>
      </c>
      <c r="K17" s="197" t="s">
        <v>3405</v>
      </c>
      <c r="L17" s="239"/>
      <c r="M17" s="197"/>
      <c r="N17" s="241"/>
      <c r="O17" s="239"/>
      <c r="P17" s="239"/>
      <c r="Q17" s="320"/>
    </row>
    <row r="18" spans="1:17" s="252" customFormat="1">
      <c r="A18" s="239">
        <f t="shared" si="1"/>
        <v>17</v>
      </c>
      <c r="B18" s="239" t="s">
        <v>2127</v>
      </c>
      <c r="C18" s="240" t="s">
        <v>275</v>
      </c>
      <c r="D18" s="240">
        <v>1</v>
      </c>
      <c r="E18" s="197" t="s">
        <v>698</v>
      </c>
      <c r="F18" s="239" t="s">
        <v>3133</v>
      </c>
      <c r="G18" s="342" t="s">
        <v>3594</v>
      </c>
      <c r="H18" s="239" t="s">
        <v>3329</v>
      </c>
      <c r="I18" s="239" t="s">
        <v>683</v>
      </c>
      <c r="J18" s="197" t="s">
        <v>3335</v>
      </c>
      <c r="K18" s="197" t="s">
        <v>3406</v>
      </c>
      <c r="L18" s="239"/>
      <c r="M18" s="197"/>
      <c r="N18" s="241"/>
      <c r="O18" s="239"/>
      <c r="P18" s="239"/>
      <c r="Q18" s="320"/>
    </row>
    <row r="19" spans="1:17" s="252" customFormat="1">
      <c r="A19" s="239">
        <f t="shared" si="1"/>
        <v>18</v>
      </c>
      <c r="B19" s="239" t="s">
        <v>2128</v>
      </c>
      <c r="C19" s="240" t="s">
        <v>275</v>
      </c>
      <c r="D19" s="240">
        <v>1</v>
      </c>
      <c r="E19" s="197" t="s">
        <v>699</v>
      </c>
      <c r="F19" s="239" t="s">
        <v>3133</v>
      </c>
      <c r="G19" s="342" t="s">
        <v>3595</v>
      </c>
      <c r="H19" s="239" t="s">
        <v>3329</v>
      </c>
      <c r="I19" s="239" t="s">
        <v>683</v>
      </c>
      <c r="J19" s="197" t="s">
        <v>3335</v>
      </c>
      <c r="K19" s="197" t="s">
        <v>3407</v>
      </c>
      <c r="L19" s="239"/>
      <c r="M19" s="197"/>
      <c r="N19" s="241"/>
      <c r="O19" s="239"/>
      <c r="P19" s="239"/>
      <c r="Q19" s="320"/>
    </row>
    <row r="20" spans="1:17" s="252" customFormat="1">
      <c r="A20" s="239">
        <f t="shared" si="1"/>
        <v>19</v>
      </c>
      <c r="B20" s="239" t="s">
        <v>2129</v>
      </c>
      <c r="C20" s="240" t="s">
        <v>275</v>
      </c>
      <c r="D20" s="240">
        <v>1</v>
      </c>
      <c r="E20" s="197" t="s">
        <v>700</v>
      </c>
      <c r="F20" s="239" t="s">
        <v>3133</v>
      </c>
      <c r="G20" s="342" t="s">
        <v>3596</v>
      </c>
      <c r="H20" s="239" t="s">
        <v>3329</v>
      </c>
      <c r="I20" s="239" t="s">
        <v>683</v>
      </c>
      <c r="J20" s="197" t="s">
        <v>3335</v>
      </c>
      <c r="K20" s="197" t="s">
        <v>3408</v>
      </c>
      <c r="L20" s="239"/>
      <c r="M20" s="197"/>
      <c r="N20" s="241"/>
      <c r="O20" s="239"/>
      <c r="P20" s="239"/>
      <c r="Q20" s="320"/>
    </row>
    <row r="21" spans="1:17" s="252" customFormat="1">
      <c r="A21" s="239">
        <f t="shared" si="1"/>
        <v>20</v>
      </c>
      <c r="B21" s="239" t="s">
        <v>2130</v>
      </c>
      <c r="C21" s="240" t="s">
        <v>275</v>
      </c>
      <c r="D21" s="240">
        <v>1</v>
      </c>
      <c r="E21" s="197" t="s">
        <v>701</v>
      </c>
      <c r="F21" s="239" t="s">
        <v>3133</v>
      </c>
      <c r="G21" s="342" t="s">
        <v>3597</v>
      </c>
      <c r="H21" s="239" t="s">
        <v>3329</v>
      </c>
      <c r="I21" s="239" t="s">
        <v>683</v>
      </c>
      <c r="J21" s="197" t="s">
        <v>3335</v>
      </c>
      <c r="K21" s="197" t="s">
        <v>3409</v>
      </c>
      <c r="L21" s="239"/>
      <c r="M21" s="197"/>
      <c r="N21" s="241"/>
      <c r="O21" s="239"/>
      <c r="P21" s="239"/>
      <c r="Q21" s="320"/>
    </row>
    <row r="22" spans="1:17" s="252" customFormat="1">
      <c r="A22" s="239">
        <f t="shared" si="2"/>
        <v>21</v>
      </c>
      <c r="B22" s="239" t="s">
        <v>2138</v>
      </c>
      <c r="C22" s="240" t="s">
        <v>279</v>
      </c>
      <c r="D22" s="240">
        <v>15</v>
      </c>
      <c r="E22" s="197" t="s">
        <v>177</v>
      </c>
      <c r="F22" s="239" t="s">
        <v>3133</v>
      </c>
      <c r="G22" s="239" t="s">
        <v>3598</v>
      </c>
      <c r="H22" s="239" t="s">
        <v>3329</v>
      </c>
      <c r="I22" s="239" t="s">
        <v>683</v>
      </c>
      <c r="J22" s="197" t="s">
        <v>3335</v>
      </c>
      <c r="K22" s="197" t="s">
        <v>177</v>
      </c>
      <c r="L22" s="197"/>
      <c r="M22" s="197"/>
      <c r="N22" s="241"/>
      <c r="O22" s="239"/>
      <c r="P22" s="239"/>
      <c r="Q22" s="320"/>
    </row>
    <row r="23" spans="1:17" s="252" customFormat="1">
      <c r="A23" s="239">
        <f t="shared" si="2"/>
        <v>22</v>
      </c>
      <c r="B23" s="239" t="s">
        <v>2139</v>
      </c>
      <c r="C23" s="240" t="s">
        <v>279</v>
      </c>
      <c r="D23" s="240">
        <v>15</v>
      </c>
      <c r="E23" s="197" t="s">
        <v>178</v>
      </c>
      <c r="F23" s="239" t="s">
        <v>3133</v>
      </c>
      <c r="G23" s="239" t="s">
        <v>3599</v>
      </c>
      <c r="H23" s="239" t="s">
        <v>3329</v>
      </c>
      <c r="I23" s="239" t="s">
        <v>683</v>
      </c>
      <c r="J23" s="197" t="s">
        <v>3335</v>
      </c>
      <c r="K23" s="197" t="s">
        <v>178</v>
      </c>
      <c r="L23" s="197"/>
      <c r="M23" s="197"/>
      <c r="N23" s="241"/>
      <c r="O23" s="239"/>
      <c r="P23" s="239"/>
      <c r="Q23" s="320"/>
    </row>
    <row r="24" spans="1:17" s="252" customFormat="1">
      <c r="A24" s="239">
        <f t="shared" si="2"/>
        <v>23</v>
      </c>
      <c r="B24" s="239" t="s">
        <v>2140</v>
      </c>
      <c r="C24" s="240" t="s">
        <v>279</v>
      </c>
      <c r="D24" s="240">
        <v>15</v>
      </c>
      <c r="E24" s="197" t="s">
        <v>179</v>
      </c>
      <c r="F24" s="239" t="s">
        <v>3133</v>
      </c>
      <c r="G24" s="239" t="s">
        <v>3598</v>
      </c>
      <c r="H24" s="239" t="s">
        <v>3329</v>
      </c>
      <c r="I24" s="239" t="s">
        <v>683</v>
      </c>
      <c r="J24" s="197" t="s">
        <v>3335</v>
      </c>
      <c r="K24" s="197" t="s">
        <v>179</v>
      </c>
      <c r="L24" s="197"/>
      <c r="M24" s="197"/>
      <c r="N24" s="241"/>
      <c r="O24" s="239"/>
      <c r="P24" s="239"/>
      <c r="Q24" s="320"/>
    </row>
    <row r="25" spans="1:17" s="252" customFormat="1">
      <c r="A25" s="239">
        <f t="shared" si="2"/>
        <v>24</v>
      </c>
      <c r="B25" s="239" t="s">
        <v>2141</v>
      </c>
      <c r="C25" s="240" t="s">
        <v>279</v>
      </c>
      <c r="D25" s="240">
        <v>15</v>
      </c>
      <c r="E25" s="197" t="s">
        <v>180</v>
      </c>
      <c r="F25" s="239" t="s">
        <v>3133</v>
      </c>
      <c r="G25" s="239" t="s">
        <v>3598</v>
      </c>
      <c r="H25" s="239" t="s">
        <v>3329</v>
      </c>
      <c r="I25" s="239" t="s">
        <v>683</v>
      </c>
      <c r="J25" s="197" t="s">
        <v>3335</v>
      </c>
      <c r="K25" s="197" t="s">
        <v>180</v>
      </c>
      <c r="L25" s="197"/>
      <c r="M25" s="197"/>
      <c r="N25" s="241"/>
      <c r="O25" s="239"/>
      <c r="P25" s="239"/>
      <c r="Q25" s="320"/>
    </row>
    <row r="26" spans="1:17" s="252" customFormat="1">
      <c r="A26" s="239">
        <f t="shared" si="2"/>
        <v>25</v>
      </c>
      <c r="B26" s="239" t="s">
        <v>2142</v>
      </c>
      <c r="C26" s="240" t="s">
        <v>279</v>
      </c>
      <c r="D26" s="240">
        <v>15</v>
      </c>
      <c r="E26" s="197" t="s">
        <v>1318</v>
      </c>
      <c r="F26" s="239" t="s">
        <v>3133</v>
      </c>
      <c r="G26" s="239" t="s">
        <v>3598</v>
      </c>
      <c r="H26" s="239" t="s">
        <v>3329</v>
      </c>
      <c r="I26" s="239" t="s">
        <v>683</v>
      </c>
      <c r="J26" s="197" t="s">
        <v>3335</v>
      </c>
      <c r="K26" s="197" t="s">
        <v>3080</v>
      </c>
      <c r="L26" s="197"/>
      <c r="M26" s="197"/>
      <c r="N26" s="241"/>
      <c r="O26" s="239"/>
      <c r="P26" s="239"/>
      <c r="Q26" s="320"/>
    </row>
    <row r="27" spans="1:17" s="252" customFormat="1">
      <c r="A27" s="239">
        <f t="shared" si="2"/>
        <v>26</v>
      </c>
      <c r="B27" s="239" t="s">
        <v>2144</v>
      </c>
      <c r="C27" s="240" t="s">
        <v>279</v>
      </c>
      <c r="D27" s="240">
        <v>15</v>
      </c>
      <c r="E27" s="197" t="s">
        <v>342</v>
      </c>
      <c r="F27" s="239" t="s">
        <v>3133</v>
      </c>
      <c r="G27" s="256" t="s">
        <v>3601</v>
      </c>
      <c r="H27" s="239" t="s">
        <v>3329</v>
      </c>
      <c r="I27" s="239" t="s">
        <v>683</v>
      </c>
      <c r="J27" s="197" t="s">
        <v>3335</v>
      </c>
      <c r="K27" s="197" t="s">
        <v>3410</v>
      </c>
      <c r="L27" s="197"/>
      <c r="M27" s="197"/>
      <c r="N27" s="241"/>
      <c r="O27" s="239"/>
      <c r="P27" s="239"/>
      <c r="Q27" s="320"/>
    </row>
    <row r="28" spans="1:17" s="252" customFormat="1">
      <c r="A28" s="239">
        <f t="shared" si="1"/>
        <v>27</v>
      </c>
      <c r="B28" s="239" t="s">
        <v>2131</v>
      </c>
      <c r="C28" s="240" t="s">
        <v>275</v>
      </c>
      <c r="D28" s="240">
        <v>1</v>
      </c>
      <c r="E28" s="197" t="s">
        <v>731</v>
      </c>
      <c r="F28" s="239" t="s">
        <v>3133</v>
      </c>
      <c r="G28" s="239"/>
      <c r="H28" s="239" t="s">
        <v>3329</v>
      </c>
      <c r="I28" s="239" t="s">
        <v>683</v>
      </c>
      <c r="J28" s="197" t="s">
        <v>3335</v>
      </c>
      <c r="K28" s="197" t="s">
        <v>174</v>
      </c>
      <c r="L28" s="197"/>
      <c r="M28" s="197"/>
      <c r="N28" s="241"/>
      <c r="O28" s="239"/>
      <c r="P28" s="239"/>
      <c r="Q28" s="320"/>
    </row>
    <row r="29" spans="1:17" s="252" customFormat="1">
      <c r="A29" s="239">
        <f t="shared" si="2"/>
        <v>28</v>
      </c>
      <c r="B29" s="239" t="s">
        <v>2132</v>
      </c>
      <c r="C29" s="240" t="s">
        <v>275</v>
      </c>
      <c r="D29" s="240">
        <v>1</v>
      </c>
      <c r="E29" s="197" t="s">
        <v>730</v>
      </c>
      <c r="F29" s="239" t="s">
        <v>3133</v>
      </c>
      <c r="G29" s="239" t="s">
        <v>3605</v>
      </c>
      <c r="H29" s="239" t="s">
        <v>3329</v>
      </c>
      <c r="I29" s="239" t="s">
        <v>683</v>
      </c>
      <c r="J29" s="197" t="s">
        <v>3335</v>
      </c>
      <c r="K29" s="197" t="s">
        <v>173</v>
      </c>
      <c r="L29" s="197"/>
      <c r="M29" s="197"/>
      <c r="N29" s="241"/>
      <c r="O29" s="239"/>
      <c r="P29" s="239"/>
      <c r="Q29" s="320"/>
    </row>
    <row r="30" spans="1:17" s="252" customFormat="1">
      <c r="A30" s="239">
        <f t="shared" si="2"/>
        <v>29</v>
      </c>
      <c r="B30" s="239" t="s">
        <v>2133</v>
      </c>
      <c r="C30" s="240" t="s">
        <v>275</v>
      </c>
      <c r="D30" s="240">
        <v>1</v>
      </c>
      <c r="E30" s="197" t="s">
        <v>732</v>
      </c>
      <c r="F30" s="239" t="s">
        <v>3133</v>
      </c>
      <c r="G30" s="239" t="s">
        <v>3606</v>
      </c>
      <c r="H30" s="239" t="s">
        <v>3329</v>
      </c>
      <c r="I30" s="239" t="s">
        <v>683</v>
      </c>
      <c r="J30" s="197" t="s">
        <v>3335</v>
      </c>
      <c r="K30" s="197" t="s">
        <v>175</v>
      </c>
      <c r="L30" s="197"/>
      <c r="M30" s="197"/>
      <c r="N30" s="241"/>
      <c r="O30" s="239"/>
      <c r="P30" s="239"/>
      <c r="Q30" s="320"/>
    </row>
    <row r="31" spans="1:17" s="252" customFormat="1">
      <c r="A31" s="239">
        <f t="shared" si="2"/>
        <v>30</v>
      </c>
      <c r="B31" s="239" t="s">
        <v>2134</v>
      </c>
      <c r="C31" s="240" t="s">
        <v>275</v>
      </c>
      <c r="D31" s="240">
        <v>1</v>
      </c>
      <c r="E31" s="197" t="s">
        <v>733</v>
      </c>
      <c r="F31" s="239" t="s">
        <v>3133</v>
      </c>
      <c r="G31" s="239" t="s">
        <v>3602</v>
      </c>
      <c r="H31" s="239" t="s">
        <v>3329</v>
      </c>
      <c r="I31" s="239" t="s">
        <v>683</v>
      </c>
      <c r="J31" s="197" t="s">
        <v>3335</v>
      </c>
      <c r="K31" s="197" t="s">
        <v>176</v>
      </c>
      <c r="L31" s="197"/>
      <c r="M31" s="197"/>
      <c r="N31" s="241"/>
      <c r="O31" s="239"/>
      <c r="P31" s="239"/>
      <c r="Q31" s="320"/>
    </row>
    <row r="32" spans="1:17" s="252" customFormat="1">
      <c r="A32" s="239">
        <f t="shared" si="2"/>
        <v>31</v>
      </c>
      <c r="B32" s="239" t="s">
        <v>2135</v>
      </c>
      <c r="C32" s="240" t="s">
        <v>275</v>
      </c>
      <c r="D32" s="240">
        <v>1</v>
      </c>
      <c r="E32" s="197" t="s">
        <v>181</v>
      </c>
      <c r="F32" s="239" t="s">
        <v>3133</v>
      </c>
      <c r="G32" s="239" t="s">
        <v>3607</v>
      </c>
      <c r="H32" s="239" t="s">
        <v>3329</v>
      </c>
      <c r="I32" s="239" t="s">
        <v>683</v>
      </c>
      <c r="J32" s="197" t="s">
        <v>3335</v>
      </c>
      <c r="K32" s="197" t="s">
        <v>181</v>
      </c>
      <c r="L32" s="197"/>
      <c r="M32" s="197"/>
      <c r="N32" s="241"/>
      <c r="O32" s="239"/>
      <c r="P32" s="239"/>
      <c r="Q32" s="320"/>
    </row>
    <row r="33" spans="1:17" s="338" customFormat="1">
      <c r="A33" s="333">
        <f t="shared" si="2"/>
        <v>32</v>
      </c>
      <c r="B33" s="333" t="s">
        <v>2136</v>
      </c>
      <c r="C33" s="334" t="s">
        <v>275</v>
      </c>
      <c r="D33" s="334">
        <v>2</v>
      </c>
      <c r="E33" s="335" t="s">
        <v>685</v>
      </c>
      <c r="F33" s="333" t="s">
        <v>3133</v>
      </c>
      <c r="G33" s="333"/>
      <c r="H33" s="333" t="s">
        <v>3329</v>
      </c>
      <c r="I33" s="333" t="s">
        <v>683</v>
      </c>
      <c r="J33" s="335" t="s">
        <v>3550</v>
      </c>
      <c r="K33" s="335" t="s">
        <v>3411</v>
      </c>
      <c r="L33" s="335"/>
      <c r="M33" s="335"/>
      <c r="N33" s="336"/>
      <c r="O33" s="333"/>
      <c r="P33" s="333"/>
      <c r="Q33" s="337"/>
    </row>
    <row r="34" spans="1:17" s="252" customFormat="1">
      <c r="A34" s="239">
        <f t="shared" si="2"/>
        <v>33</v>
      </c>
      <c r="B34" s="239" t="s">
        <v>2137</v>
      </c>
      <c r="C34" s="240" t="s">
        <v>279</v>
      </c>
      <c r="D34" s="240">
        <v>15</v>
      </c>
      <c r="E34" s="197" t="s">
        <v>686</v>
      </c>
      <c r="F34" s="239" t="s">
        <v>3133</v>
      </c>
      <c r="G34" s="239" t="s">
        <v>3603</v>
      </c>
      <c r="H34" s="239" t="s">
        <v>3329</v>
      </c>
      <c r="I34" s="239" t="s">
        <v>683</v>
      </c>
      <c r="J34" s="197" t="s">
        <v>3548</v>
      </c>
      <c r="K34" s="197" t="s">
        <v>3549</v>
      </c>
      <c r="L34" s="197"/>
      <c r="M34" s="197"/>
      <c r="N34" s="241"/>
      <c r="O34" s="239"/>
      <c r="P34" s="239"/>
      <c r="Q34" s="320"/>
    </row>
    <row r="35" spans="1:17" s="252" customFormat="1">
      <c r="A35" s="239">
        <f t="shared" si="2"/>
        <v>34</v>
      </c>
      <c r="B35" s="239" t="s">
        <v>2145</v>
      </c>
      <c r="C35" s="240" t="s">
        <v>279</v>
      </c>
      <c r="D35" s="240">
        <v>15</v>
      </c>
      <c r="E35" s="197" t="s">
        <v>1322</v>
      </c>
      <c r="F35" s="239" t="s">
        <v>3133</v>
      </c>
      <c r="G35" s="256" t="s">
        <v>3601</v>
      </c>
      <c r="H35" s="239" t="s">
        <v>3329</v>
      </c>
      <c r="I35" s="239" t="s">
        <v>683</v>
      </c>
      <c r="J35" s="197" t="s">
        <v>3335</v>
      </c>
      <c r="K35" s="197" t="s">
        <v>3413</v>
      </c>
      <c r="L35" s="197"/>
      <c r="M35" s="197"/>
      <c r="N35" s="241"/>
      <c r="O35" s="239"/>
      <c r="P35" s="239"/>
      <c r="Q35" s="320"/>
    </row>
    <row r="36" spans="1:17" s="252" customFormat="1">
      <c r="A36" s="239">
        <f t="shared" si="2"/>
        <v>35</v>
      </c>
      <c r="B36" s="239" t="s">
        <v>2146</v>
      </c>
      <c r="C36" s="240" t="s">
        <v>279</v>
      </c>
      <c r="D36" s="240">
        <v>15</v>
      </c>
      <c r="E36" s="197" t="s">
        <v>343</v>
      </c>
      <c r="F36" s="239" t="s">
        <v>3133</v>
      </c>
      <c r="G36" s="239" t="s">
        <v>3608</v>
      </c>
      <c r="H36" s="239" t="s">
        <v>3329</v>
      </c>
      <c r="I36" s="239" t="s">
        <v>683</v>
      </c>
      <c r="J36" s="197" t="s">
        <v>3335</v>
      </c>
      <c r="K36" s="197" t="s">
        <v>3086</v>
      </c>
      <c r="L36" s="197"/>
      <c r="M36" s="197"/>
      <c r="N36" s="241"/>
      <c r="O36" s="239"/>
      <c r="P36" s="239"/>
      <c r="Q36" s="320"/>
    </row>
    <row r="37" spans="1:17" s="252" customFormat="1">
      <c r="A37" s="239">
        <f t="shared" si="2"/>
        <v>36</v>
      </c>
      <c r="B37" s="239" t="s">
        <v>2147</v>
      </c>
      <c r="C37" s="240" t="s">
        <v>279</v>
      </c>
      <c r="D37" s="240">
        <v>15</v>
      </c>
      <c r="E37" s="197" t="s">
        <v>344</v>
      </c>
      <c r="F37" s="239" t="s">
        <v>3133</v>
      </c>
      <c r="G37" s="239" t="s">
        <v>3604</v>
      </c>
      <c r="H37" s="239" t="s">
        <v>3329</v>
      </c>
      <c r="I37" s="239" t="s">
        <v>683</v>
      </c>
      <c r="J37" s="197" t="s">
        <v>3335</v>
      </c>
      <c r="K37" s="197" t="s">
        <v>3087</v>
      </c>
      <c r="L37" s="197"/>
      <c r="M37" s="197"/>
      <c r="N37" s="241"/>
      <c r="O37" s="239"/>
      <c r="P37" s="239"/>
      <c r="Q37" s="320"/>
    </row>
    <row r="38" spans="1:17" s="252" customFormat="1">
      <c r="A38" s="239">
        <f t="shared" si="2"/>
        <v>37</v>
      </c>
      <c r="B38" s="239" t="s">
        <v>2143</v>
      </c>
      <c r="C38" s="240" t="s">
        <v>279</v>
      </c>
      <c r="D38" s="240">
        <v>15</v>
      </c>
      <c r="E38" s="197" t="s">
        <v>1319</v>
      </c>
      <c r="F38" s="239" t="s">
        <v>3133</v>
      </c>
      <c r="G38" s="239" t="s">
        <v>3610</v>
      </c>
      <c r="H38" s="239" t="s">
        <v>3329</v>
      </c>
      <c r="I38" s="239" t="s">
        <v>683</v>
      </c>
      <c r="J38" s="197" t="s">
        <v>3335</v>
      </c>
      <c r="K38" s="197" t="s">
        <v>3089</v>
      </c>
      <c r="L38" s="197"/>
      <c r="M38" s="197"/>
      <c r="N38" s="241"/>
      <c r="O38" s="239"/>
      <c r="P38" s="239"/>
      <c r="Q38" s="320"/>
    </row>
    <row r="39" spans="1:17" s="252" customFormat="1">
      <c r="A39" s="239">
        <f t="shared" si="2"/>
        <v>38</v>
      </c>
      <c r="B39" s="239" t="s">
        <v>2148</v>
      </c>
      <c r="C39" s="240" t="s">
        <v>279</v>
      </c>
      <c r="D39" s="240">
        <v>15</v>
      </c>
      <c r="E39" s="197" t="s">
        <v>345</v>
      </c>
      <c r="F39" s="239" t="s">
        <v>3133</v>
      </c>
      <c r="G39" s="239" t="s">
        <v>3609</v>
      </c>
      <c r="H39" s="239" t="s">
        <v>3329</v>
      </c>
      <c r="I39" s="239" t="s">
        <v>683</v>
      </c>
      <c r="J39" s="197" t="s">
        <v>3335</v>
      </c>
      <c r="K39" s="197" t="s">
        <v>1326</v>
      </c>
      <c r="L39" s="197"/>
      <c r="M39" s="197"/>
      <c r="N39" s="241"/>
      <c r="O39" s="239"/>
      <c r="P39" s="239"/>
      <c r="Q39" s="320"/>
    </row>
    <row r="40" spans="1:17" s="252" customFormat="1">
      <c r="A40" s="239">
        <f t="shared" si="2"/>
        <v>39</v>
      </c>
      <c r="B40" s="239" t="s">
        <v>2149</v>
      </c>
      <c r="C40" s="240" t="s">
        <v>279</v>
      </c>
      <c r="D40" s="240">
        <v>15</v>
      </c>
      <c r="E40" s="197" t="s">
        <v>346</v>
      </c>
      <c r="F40" s="239" t="s">
        <v>3133</v>
      </c>
      <c r="G40" s="239" t="s">
        <v>3611</v>
      </c>
      <c r="H40" s="239" t="s">
        <v>3329</v>
      </c>
      <c r="I40" s="239" t="s">
        <v>683</v>
      </c>
      <c r="J40" s="197" t="s">
        <v>3547</v>
      </c>
      <c r="K40" s="197" t="s">
        <v>739</v>
      </c>
      <c r="L40" s="197"/>
      <c r="M40" s="197"/>
      <c r="N40" s="241"/>
      <c r="O40" s="239"/>
      <c r="P40" s="239"/>
      <c r="Q40" s="320"/>
    </row>
    <row r="41" spans="1:17" s="252" customFormat="1">
      <c r="A41" s="239">
        <f t="shared" si="2"/>
        <v>40</v>
      </c>
      <c r="B41" s="239" t="s">
        <v>2150</v>
      </c>
      <c r="C41" s="240" t="s">
        <v>279</v>
      </c>
      <c r="D41" s="240">
        <v>15</v>
      </c>
      <c r="E41" s="197" t="s">
        <v>642</v>
      </c>
      <c r="F41" s="239" t="s">
        <v>3133</v>
      </c>
      <c r="G41" s="239">
        <v>0</v>
      </c>
      <c r="H41" s="239" t="s">
        <v>3329</v>
      </c>
      <c r="I41" s="239" t="s">
        <v>683</v>
      </c>
      <c r="J41" s="197" t="s">
        <v>3546</v>
      </c>
      <c r="K41" s="197" t="s">
        <v>3546</v>
      </c>
      <c r="L41" s="197"/>
      <c r="M41" s="197"/>
      <c r="N41" s="255"/>
      <c r="O41" s="239"/>
      <c r="P41" s="239"/>
      <c r="Q41" s="320"/>
    </row>
    <row r="42" spans="1:17" s="252" customFormat="1">
      <c r="A42" s="239">
        <f t="shared" si="2"/>
        <v>41</v>
      </c>
      <c r="B42" s="239" t="s">
        <v>2151</v>
      </c>
      <c r="C42" s="240" t="s">
        <v>279</v>
      </c>
      <c r="D42" s="240">
        <v>15</v>
      </c>
      <c r="E42" s="197" t="s">
        <v>643</v>
      </c>
      <c r="F42" s="239" t="s">
        <v>3133</v>
      </c>
      <c r="G42" s="239">
        <v>0</v>
      </c>
      <c r="H42" s="239" t="s">
        <v>3329</v>
      </c>
      <c r="I42" s="239" t="s">
        <v>683</v>
      </c>
      <c r="J42" s="197" t="s">
        <v>3546</v>
      </c>
      <c r="K42" s="197" t="s">
        <v>3546</v>
      </c>
      <c r="L42" s="197"/>
      <c r="M42" s="197"/>
      <c r="N42" s="255"/>
      <c r="O42" s="239"/>
      <c r="P42" s="239"/>
      <c r="Q42" s="320"/>
    </row>
    <row r="43" spans="1:17" s="252" customFormat="1">
      <c r="A43" s="239">
        <f t="shared" si="2"/>
        <v>42</v>
      </c>
      <c r="B43" s="239" t="s">
        <v>2152</v>
      </c>
      <c r="C43" s="240" t="s">
        <v>275</v>
      </c>
      <c r="D43" s="240">
        <v>1</v>
      </c>
      <c r="E43" s="197" t="s">
        <v>1327</v>
      </c>
      <c r="F43" s="239" t="s">
        <v>3133</v>
      </c>
      <c r="G43" s="239" t="s">
        <v>3612</v>
      </c>
      <c r="H43" s="239" t="s">
        <v>3329</v>
      </c>
      <c r="I43" s="239" t="s">
        <v>683</v>
      </c>
      <c r="J43" s="197" t="s">
        <v>3542</v>
      </c>
      <c r="K43" s="197" t="s">
        <v>3613</v>
      </c>
      <c r="L43" s="197"/>
      <c r="M43" s="197"/>
      <c r="N43" s="255"/>
      <c r="O43" s="239"/>
      <c r="P43" s="239"/>
      <c r="Q43" s="320"/>
    </row>
    <row r="44" spans="1:17" s="252" customFormat="1">
      <c r="A44" s="239">
        <f t="shared" si="2"/>
        <v>43</v>
      </c>
      <c r="B44" s="239" t="s">
        <v>2153</v>
      </c>
      <c r="C44" s="240" t="s">
        <v>275</v>
      </c>
      <c r="D44" s="240">
        <v>2</v>
      </c>
      <c r="E44" s="197" t="s">
        <v>300</v>
      </c>
      <c r="F44" s="239" t="s">
        <v>3133</v>
      </c>
      <c r="G44" s="239" t="s">
        <v>3614</v>
      </c>
      <c r="H44" s="239" t="s">
        <v>3329</v>
      </c>
      <c r="I44" s="239" t="s">
        <v>683</v>
      </c>
      <c r="J44" s="197" t="s">
        <v>3543</v>
      </c>
      <c r="K44" s="197" t="s">
        <v>208</v>
      </c>
      <c r="L44" s="197"/>
      <c r="M44" s="197"/>
      <c r="N44" s="241"/>
      <c r="O44" s="239"/>
      <c r="P44" s="239"/>
      <c r="Q44" s="320"/>
    </row>
    <row r="45" spans="1:17" s="252" customFormat="1">
      <c r="A45" s="239">
        <f t="shared" si="2"/>
        <v>44</v>
      </c>
      <c r="B45" s="244" t="s">
        <v>2154</v>
      </c>
      <c r="C45" s="240" t="s">
        <v>275</v>
      </c>
      <c r="D45" s="240">
        <v>3</v>
      </c>
      <c r="E45" s="197" t="s">
        <v>299</v>
      </c>
      <c r="F45" s="244" t="s">
        <v>3133</v>
      </c>
      <c r="G45" s="239" t="s">
        <v>3615</v>
      </c>
      <c r="H45" s="239" t="s">
        <v>3329</v>
      </c>
      <c r="I45" s="239" t="s">
        <v>683</v>
      </c>
      <c r="J45" s="197" t="s">
        <v>3543</v>
      </c>
      <c r="K45" s="197" t="s">
        <v>207</v>
      </c>
      <c r="L45" s="197"/>
      <c r="M45" s="197"/>
      <c r="N45" s="241"/>
      <c r="O45" s="239" t="s">
        <v>2329</v>
      </c>
      <c r="P45" s="239" t="s">
        <v>3127</v>
      </c>
      <c r="Q45" s="320"/>
    </row>
    <row r="46" spans="1:17" s="252" customFormat="1">
      <c r="A46" s="239">
        <f t="shared" si="2"/>
        <v>45</v>
      </c>
      <c r="B46" s="239" t="s">
        <v>2155</v>
      </c>
      <c r="C46" s="240" t="s">
        <v>279</v>
      </c>
      <c r="D46" s="240">
        <v>4</v>
      </c>
      <c r="E46" s="197" t="s">
        <v>297</v>
      </c>
      <c r="F46" s="239" t="s">
        <v>3133</v>
      </c>
      <c r="G46" s="239" t="s">
        <v>3614</v>
      </c>
      <c r="H46" s="239" t="s">
        <v>3329</v>
      </c>
      <c r="I46" s="239" t="s">
        <v>683</v>
      </c>
      <c r="J46" s="197" t="s">
        <v>3543</v>
      </c>
      <c r="K46" s="197" t="s">
        <v>205</v>
      </c>
      <c r="L46" s="197"/>
      <c r="M46" s="197"/>
      <c r="N46" s="241"/>
      <c r="O46" s="239"/>
      <c r="P46" s="239"/>
      <c r="Q46" s="320"/>
    </row>
    <row r="47" spans="1:17" s="252" customFormat="1">
      <c r="A47" s="239">
        <f t="shared" si="2"/>
        <v>46</v>
      </c>
      <c r="B47" s="239" t="s">
        <v>2156</v>
      </c>
      <c r="C47" s="240" t="s">
        <v>275</v>
      </c>
      <c r="D47" s="240">
        <v>2</v>
      </c>
      <c r="E47" s="197" t="s">
        <v>298</v>
      </c>
      <c r="F47" s="239" t="s">
        <v>3133</v>
      </c>
      <c r="G47" s="239" t="s">
        <v>3614</v>
      </c>
      <c r="H47" s="239" t="s">
        <v>3329</v>
      </c>
      <c r="I47" s="239" t="s">
        <v>683</v>
      </c>
      <c r="J47" s="197" t="s">
        <v>3543</v>
      </c>
      <c r="K47" s="197" t="s">
        <v>206</v>
      </c>
      <c r="L47" s="197"/>
      <c r="M47" s="197"/>
      <c r="N47" s="241"/>
      <c r="O47" s="239"/>
      <c r="P47" s="239"/>
      <c r="Q47" s="320" t="s">
        <v>3508</v>
      </c>
    </row>
    <row r="48" spans="1:17" s="252" customFormat="1">
      <c r="A48" s="239">
        <f t="shared" si="2"/>
        <v>47</v>
      </c>
      <c r="B48" s="239" t="s">
        <v>2157</v>
      </c>
      <c r="C48" s="240" t="s">
        <v>275</v>
      </c>
      <c r="D48" s="240">
        <v>3</v>
      </c>
      <c r="E48" s="197" t="s">
        <v>295</v>
      </c>
      <c r="F48" s="239" t="s">
        <v>3133</v>
      </c>
      <c r="G48" s="239" t="s">
        <v>3614</v>
      </c>
      <c r="H48" s="239" t="s">
        <v>3329</v>
      </c>
      <c r="I48" s="239" t="s">
        <v>683</v>
      </c>
      <c r="J48" s="197" t="s">
        <v>3543</v>
      </c>
      <c r="K48" s="197" t="s">
        <v>203</v>
      </c>
      <c r="L48" s="197"/>
      <c r="M48" s="197"/>
      <c r="N48" s="241"/>
      <c r="O48" s="239"/>
      <c r="P48" s="239"/>
      <c r="Q48" s="320"/>
    </row>
    <row r="49" spans="1:17" s="252" customFormat="1">
      <c r="A49" s="239">
        <f t="shared" si="2"/>
        <v>48</v>
      </c>
      <c r="B49" s="245" t="s">
        <v>2158</v>
      </c>
      <c r="C49" s="246" t="s">
        <v>275</v>
      </c>
      <c r="D49" s="240">
        <v>2</v>
      </c>
      <c r="E49" s="197" t="s">
        <v>645</v>
      </c>
      <c r="F49" s="245" t="s">
        <v>3133</v>
      </c>
      <c r="G49" s="239" t="s">
        <v>3540</v>
      </c>
      <c r="H49" s="239" t="s">
        <v>3329</v>
      </c>
      <c r="I49" s="239" t="s">
        <v>683</v>
      </c>
      <c r="J49" s="197" t="s">
        <v>3545</v>
      </c>
      <c r="K49" s="197" t="s">
        <v>741</v>
      </c>
      <c r="L49" s="247"/>
      <c r="M49" s="197"/>
      <c r="N49" s="246"/>
      <c r="O49" s="239" t="s">
        <v>2329</v>
      </c>
      <c r="P49" s="239" t="s">
        <v>3127</v>
      </c>
      <c r="Q49" s="320"/>
    </row>
    <row r="50" spans="1:17" s="252" customFormat="1">
      <c r="A50" s="239">
        <f t="shared" si="2"/>
        <v>49</v>
      </c>
      <c r="B50" s="245" t="s">
        <v>2159</v>
      </c>
      <c r="C50" s="246" t="s">
        <v>275</v>
      </c>
      <c r="D50" s="240">
        <v>1</v>
      </c>
      <c r="E50" s="197" t="s">
        <v>347</v>
      </c>
      <c r="F50" s="245" t="s">
        <v>3133</v>
      </c>
      <c r="G50" s="239" t="s">
        <v>3541</v>
      </c>
      <c r="H50" s="239" t="s">
        <v>3329</v>
      </c>
      <c r="I50" s="239" t="s">
        <v>683</v>
      </c>
      <c r="J50" s="197" t="s">
        <v>3543</v>
      </c>
      <c r="K50" s="197" t="s">
        <v>3617</v>
      </c>
      <c r="L50" s="247"/>
      <c r="M50" s="197"/>
      <c r="N50" s="246"/>
      <c r="O50" s="239" t="s">
        <v>2329</v>
      </c>
      <c r="P50" s="239" t="s">
        <v>3127</v>
      </c>
      <c r="Q50" s="320"/>
    </row>
    <row r="51" spans="1:17" s="278" customFormat="1">
      <c r="A51" s="272">
        <f t="shared" si="2"/>
        <v>50</v>
      </c>
      <c r="B51" s="325" t="s">
        <v>2607</v>
      </c>
      <c r="C51" s="330" t="s">
        <v>275</v>
      </c>
      <c r="D51" s="273">
        <v>2</v>
      </c>
      <c r="E51" s="274" t="s">
        <v>296</v>
      </c>
      <c r="F51" s="329" t="s">
        <v>3133</v>
      </c>
      <c r="G51" s="275" t="s">
        <v>3616</v>
      </c>
      <c r="H51" s="272" t="s">
        <v>3329</v>
      </c>
      <c r="I51" s="272" t="s">
        <v>683</v>
      </c>
      <c r="J51" s="276" t="s">
        <v>3544</v>
      </c>
      <c r="K51" s="274" t="s">
        <v>204</v>
      </c>
      <c r="L51" s="331"/>
      <c r="M51" s="274"/>
      <c r="N51" s="330"/>
      <c r="O51" s="275" t="s">
        <v>3516</v>
      </c>
      <c r="P51" s="275" t="s">
        <v>3517</v>
      </c>
      <c r="Q51" s="275"/>
    </row>
    <row r="52" spans="1:17" s="328" customFormat="1">
      <c r="A52" s="277">
        <f t="shared" si="2"/>
        <v>51</v>
      </c>
      <c r="B52" s="325" t="s">
        <v>2608</v>
      </c>
      <c r="C52" s="332" t="s">
        <v>275</v>
      </c>
      <c r="D52" s="332">
        <v>2</v>
      </c>
      <c r="E52" s="277" t="s">
        <v>3532</v>
      </c>
      <c r="F52" s="277" t="s">
        <v>3134</v>
      </c>
      <c r="G52" s="277" t="s">
        <v>3537</v>
      </c>
      <c r="H52" s="272" t="s">
        <v>3329</v>
      </c>
      <c r="I52" s="272" t="s">
        <v>683</v>
      </c>
      <c r="J52" s="276" t="s">
        <v>3544</v>
      </c>
      <c r="K52" s="276" t="s">
        <v>3532</v>
      </c>
      <c r="L52" s="277"/>
      <c r="M52" s="277"/>
      <c r="N52" s="277"/>
      <c r="O52" s="277" t="s">
        <v>2956</v>
      </c>
      <c r="P52" s="277" t="s">
        <v>3539</v>
      </c>
      <c r="Q52" s="277"/>
    </row>
    <row r="53" spans="1:17" s="328" customFormat="1">
      <c r="A53" s="277">
        <f t="shared" si="2"/>
        <v>52</v>
      </c>
      <c r="B53" s="325" t="s">
        <v>2609</v>
      </c>
      <c r="C53" s="332" t="s">
        <v>279</v>
      </c>
      <c r="D53" s="332">
        <v>15</v>
      </c>
      <c r="E53" s="277" t="s">
        <v>3533</v>
      </c>
      <c r="F53" s="277" t="s">
        <v>3134</v>
      </c>
      <c r="G53" s="277" t="s">
        <v>3537</v>
      </c>
      <c r="H53" s="272" t="s">
        <v>3329</v>
      </c>
      <c r="I53" s="272" t="s">
        <v>683</v>
      </c>
      <c r="J53" s="276" t="s">
        <v>3544</v>
      </c>
      <c r="K53" s="276" t="s">
        <v>3533</v>
      </c>
      <c r="L53" s="277"/>
      <c r="M53" s="277"/>
      <c r="N53" s="277"/>
      <c r="O53" s="277" t="s">
        <v>2956</v>
      </c>
      <c r="P53" s="277" t="s">
        <v>3539</v>
      </c>
      <c r="Q53" s="277"/>
    </row>
    <row r="54" spans="1:17" s="328" customFormat="1">
      <c r="A54" s="277">
        <f t="shared" si="2"/>
        <v>53</v>
      </c>
      <c r="B54" s="325" t="s">
        <v>2610</v>
      </c>
      <c r="C54" s="332" t="s">
        <v>279</v>
      </c>
      <c r="D54" s="332">
        <v>15</v>
      </c>
      <c r="E54" s="277" t="s">
        <v>3534</v>
      </c>
      <c r="F54" s="277" t="s">
        <v>3134</v>
      </c>
      <c r="G54" s="277" t="s">
        <v>3537</v>
      </c>
      <c r="H54" s="272" t="s">
        <v>3329</v>
      </c>
      <c r="I54" s="272" t="s">
        <v>683</v>
      </c>
      <c r="J54" s="276" t="s">
        <v>3544</v>
      </c>
      <c r="K54" s="276" t="s">
        <v>3534</v>
      </c>
      <c r="L54" s="277"/>
      <c r="M54" s="277"/>
      <c r="N54" s="277"/>
      <c r="O54" s="277" t="s">
        <v>2956</v>
      </c>
      <c r="P54" s="277" t="s">
        <v>3539</v>
      </c>
      <c r="Q54" s="277"/>
    </row>
    <row r="55" spans="1:17" s="328" customFormat="1">
      <c r="A55" s="277">
        <f t="shared" si="2"/>
        <v>54</v>
      </c>
      <c r="B55" s="325" t="s">
        <v>2611</v>
      </c>
      <c r="C55" s="332" t="s">
        <v>279</v>
      </c>
      <c r="D55" s="332">
        <v>15</v>
      </c>
      <c r="E55" s="277" t="s">
        <v>3535</v>
      </c>
      <c r="F55" s="277" t="s">
        <v>3134</v>
      </c>
      <c r="G55" s="277" t="s">
        <v>3537</v>
      </c>
      <c r="H55" s="272" t="s">
        <v>3329</v>
      </c>
      <c r="I55" s="272" t="s">
        <v>683</v>
      </c>
      <c r="J55" s="276" t="s">
        <v>3544</v>
      </c>
      <c r="K55" s="276" t="s">
        <v>3535</v>
      </c>
      <c r="L55" s="277"/>
      <c r="M55" s="277"/>
      <c r="N55" s="277"/>
      <c r="O55" s="277" t="s">
        <v>2956</v>
      </c>
      <c r="P55" s="277" t="s">
        <v>3539</v>
      </c>
      <c r="Q55" s="277"/>
    </row>
    <row r="56" spans="1:17" s="328" customFormat="1">
      <c r="A56" s="277">
        <f t="shared" si="2"/>
        <v>55</v>
      </c>
      <c r="B56" s="325" t="s">
        <v>2612</v>
      </c>
      <c r="C56" s="332" t="s">
        <v>279</v>
      </c>
      <c r="D56" s="332">
        <v>15</v>
      </c>
      <c r="E56" s="277" t="s">
        <v>3536</v>
      </c>
      <c r="F56" s="277" t="s">
        <v>3134</v>
      </c>
      <c r="G56" s="277" t="s">
        <v>3537</v>
      </c>
      <c r="H56" s="272" t="s">
        <v>3329</v>
      </c>
      <c r="I56" s="272" t="s">
        <v>683</v>
      </c>
      <c r="J56" s="276" t="s">
        <v>3544</v>
      </c>
      <c r="K56" s="276" t="s">
        <v>3536</v>
      </c>
      <c r="L56" s="277"/>
      <c r="M56" s="277"/>
      <c r="N56" s="277"/>
      <c r="O56" s="277" t="s">
        <v>2956</v>
      </c>
      <c r="P56" s="277" t="s">
        <v>3642</v>
      </c>
      <c r="Q56" s="277"/>
    </row>
    <row r="57" spans="1:17" s="328" customFormat="1">
      <c r="A57" s="277">
        <f t="shared" si="2"/>
        <v>56</v>
      </c>
      <c r="B57" s="325" t="s">
        <v>3639</v>
      </c>
      <c r="C57" s="332" t="s">
        <v>279</v>
      </c>
      <c r="D57" s="332">
        <v>15</v>
      </c>
      <c r="E57" s="277" t="s">
        <v>3640</v>
      </c>
      <c r="F57" s="277" t="s">
        <v>3134</v>
      </c>
      <c r="G57" s="277" t="s">
        <v>3537</v>
      </c>
      <c r="H57" s="272" t="s">
        <v>3329</v>
      </c>
      <c r="I57" s="272" t="s">
        <v>683</v>
      </c>
      <c r="J57" s="276" t="s">
        <v>3544</v>
      </c>
      <c r="K57" s="274" t="s">
        <v>3640</v>
      </c>
      <c r="L57" s="277"/>
      <c r="M57" s="277"/>
      <c r="N57" s="277"/>
      <c r="O57" s="277"/>
      <c r="P57" s="277" t="s">
        <v>3641</v>
      </c>
      <c r="Q57" s="277"/>
    </row>
    <row r="58" spans="1:17" s="286" customFormat="1" ht="22.5">
      <c r="A58" s="280">
        <f t="shared" si="2"/>
        <v>57</v>
      </c>
      <c r="C58" s="281" t="s">
        <v>3414</v>
      </c>
      <c r="D58" s="282">
        <v>20</v>
      </c>
      <c r="E58" s="283" t="s">
        <v>3418</v>
      </c>
      <c r="F58" s="284" t="s">
        <v>3133</v>
      </c>
      <c r="G58" s="285"/>
      <c r="H58" s="285"/>
      <c r="I58" s="285" t="s">
        <v>3421</v>
      </c>
      <c r="J58" s="283"/>
      <c r="K58" s="285" t="s">
        <v>3421</v>
      </c>
      <c r="L58" s="285" t="s">
        <v>3421</v>
      </c>
      <c r="M58" s="285" t="s">
        <v>3421</v>
      </c>
      <c r="N58" s="285" t="s">
        <v>3421</v>
      </c>
      <c r="O58" s="285" t="s">
        <v>2330</v>
      </c>
      <c r="P58" s="287" t="s">
        <v>3459</v>
      </c>
      <c r="Q58" s="285"/>
    </row>
    <row r="59" spans="1:17" s="286" customFormat="1" ht="22.5">
      <c r="A59" s="280">
        <f t="shared" si="2"/>
        <v>58</v>
      </c>
      <c r="C59" s="281" t="s">
        <v>3415</v>
      </c>
      <c r="D59" s="282">
        <v>20</v>
      </c>
      <c r="E59" s="283" t="s">
        <v>3419</v>
      </c>
      <c r="F59" s="284" t="s">
        <v>3133</v>
      </c>
      <c r="G59" s="285"/>
      <c r="H59" s="285"/>
      <c r="I59" s="285" t="s">
        <v>3421</v>
      </c>
      <c r="J59" s="283"/>
      <c r="K59" s="285" t="s">
        <v>3421</v>
      </c>
      <c r="L59" s="285" t="s">
        <v>3421</v>
      </c>
      <c r="M59" s="285" t="s">
        <v>3421</v>
      </c>
      <c r="N59" s="285" t="s">
        <v>3421</v>
      </c>
      <c r="O59" s="285" t="s">
        <v>3460</v>
      </c>
      <c r="P59" s="287" t="s">
        <v>3459</v>
      </c>
      <c r="Q59" s="285"/>
    </row>
    <row r="60" spans="1:17" s="286" customFormat="1" ht="22.5">
      <c r="A60" s="280">
        <f t="shared" si="2"/>
        <v>59</v>
      </c>
      <c r="C60" s="281" t="s">
        <v>3416</v>
      </c>
      <c r="D60" s="282">
        <v>20</v>
      </c>
      <c r="E60" s="283" t="s">
        <v>3420</v>
      </c>
      <c r="F60" s="284" t="s">
        <v>3133</v>
      </c>
      <c r="G60" s="285"/>
      <c r="H60" s="285"/>
      <c r="I60" s="285" t="s">
        <v>3421</v>
      </c>
      <c r="J60" s="283"/>
      <c r="K60" s="285" t="s">
        <v>3421</v>
      </c>
      <c r="L60" s="285" t="s">
        <v>3421</v>
      </c>
      <c r="M60" s="285" t="s">
        <v>3421</v>
      </c>
      <c r="N60" s="285" t="s">
        <v>3421</v>
      </c>
      <c r="O60" s="285" t="s">
        <v>3461</v>
      </c>
      <c r="P60" s="287" t="s">
        <v>3459</v>
      </c>
      <c r="Q60" s="285"/>
    </row>
    <row r="61" spans="1:17" s="252" customFormat="1">
      <c r="A61" s="239">
        <f t="shared" si="2"/>
        <v>60</v>
      </c>
      <c r="C61" s="239" t="s">
        <v>2331</v>
      </c>
      <c r="D61" s="240">
        <v>5</v>
      </c>
      <c r="E61" s="197" t="s">
        <v>754</v>
      </c>
      <c r="F61" s="239" t="s">
        <v>3133</v>
      </c>
      <c r="G61" s="239"/>
      <c r="H61" s="237"/>
      <c r="I61" s="239" t="s">
        <v>626</v>
      </c>
      <c r="J61" s="197" t="s">
        <v>2987</v>
      </c>
      <c r="K61" s="197" t="s">
        <v>1394</v>
      </c>
      <c r="L61" s="239" t="s">
        <v>755</v>
      </c>
      <c r="M61" s="197" t="s">
        <v>29</v>
      </c>
      <c r="N61" s="238" t="s">
        <v>760</v>
      </c>
      <c r="O61" s="239" t="s">
        <v>7030</v>
      </c>
      <c r="P61" s="239"/>
      <c r="Q61" s="320"/>
    </row>
    <row r="62" spans="1:17" s="252" customFormat="1">
      <c r="A62" s="239">
        <f t="shared" si="2"/>
        <v>61</v>
      </c>
      <c r="C62" s="239" t="s">
        <v>2332</v>
      </c>
      <c r="D62" s="240">
        <v>5</v>
      </c>
      <c r="E62" s="197" t="s">
        <v>757</v>
      </c>
      <c r="F62" s="239" t="s">
        <v>3133</v>
      </c>
      <c r="G62" s="239"/>
      <c r="H62" s="237"/>
      <c r="I62" s="239" t="s">
        <v>626</v>
      </c>
      <c r="J62" s="197" t="s">
        <v>2987</v>
      </c>
      <c r="K62" s="197" t="s">
        <v>1397</v>
      </c>
      <c r="L62" s="239" t="s">
        <v>759</v>
      </c>
      <c r="M62" s="197" t="s">
        <v>29</v>
      </c>
      <c r="N62" s="238" t="s">
        <v>760</v>
      </c>
      <c r="O62" s="239" t="s">
        <v>7030</v>
      </c>
      <c r="P62" s="239"/>
      <c r="Q62" s="320"/>
    </row>
    <row r="63" spans="1:17" s="252" customFormat="1">
      <c r="A63" s="239">
        <f t="shared" si="2"/>
        <v>62</v>
      </c>
      <c r="C63" s="239" t="s">
        <v>2333</v>
      </c>
      <c r="D63" s="240">
        <v>1</v>
      </c>
      <c r="E63" s="197" t="s">
        <v>1337</v>
      </c>
      <c r="F63" s="239" t="s">
        <v>3133</v>
      </c>
      <c r="G63" s="239"/>
      <c r="H63" s="237"/>
      <c r="I63" s="239" t="s">
        <v>626</v>
      </c>
      <c r="J63" s="197" t="s">
        <v>2987</v>
      </c>
      <c r="K63" s="197" t="s">
        <v>2988</v>
      </c>
      <c r="L63" s="239" t="s">
        <v>762</v>
      </c>
      <c r="M63" s="197" t="s">
        <v>29</v>
      </c>
      <c r="N63" s="238" t="s">
        <v>760</v>
      </c>
      <c r="O63" s="239" t="s">
        <v>7030</v>
      </c>
      <c r="P63" s="239"/>
      <c r="Q63" s="320"/>
    </row>
    <row r="64" spans="1:17" s="252" customFormat="1">
      <c r="A64" s="239">
        <f t="shared" si="0"/>
        <v>63</v>
      </c>
      <c r="C64" s="239" t="s">
        <v>2334</v>
      </c>
      <c r="D64" s="240">
        <v>5</v>
      </c>
      <c r="E64" s="197" t="s">
        <v>764</v>
      </c>
      <c r="F64" s="239" t="s">
        <v>3133</v>
      </c>
      <c r="G64" s="239"/>
      <c r="H64" s="237"/>
      <c r="I64" s="239" t="s">
        <v>626</v>
      </c>
      <c r="J64" s="197" t="s">
        <v>2987</v>
      </c>
      <c r="K64" s="197" t="s">
        <v>1406</v>
      </c>
      <c r="L64" s="239" t="s">
        <v>765</v>
      </c>
      <c r="M64" s="197" t="s">
        <v>29</v>
      </c>
      <c r="N64" s="238" t="s">
        <v>760</v>
      </c>
      <c r="O64" s="239" t="s">
        <v>7030</v>
      </c>
      <c r="P64" s="239"/>
      <c r="Q64" s="320"/>
    </row>
    <row r="65" spans="1:17" s="252" customFormat="1">
      <c r="A65" s="239">
        <f t="shared" si="0"/>
        <v>64</v>
      </c>
      <c r="C65" s="239" t="s">
        <v>2335</v>
      </c>
      <c r="D65" s="240">
        <v>1</v>
      </c>
      <c r="E65" s="197" t="s">
        <v>767</v>
      </c>
      <c r="F65" s="239" t="s">
        <v>3133</v>
      </c>
      <c r="G65" s="239"/>
      <c r="H65" s="237"/>
      <c r="I65" s="239" t="s">
        <v>626</v>
      </c>
      <c r="J65" s="197" t="s">
        <v>2987</v>
      </c>
      <c r="K65" s="197" t="s">
        <v>2989</v>
      </c>
      <c r="L65" s="239" t="s">
        <v>768</v>
      </c>
      <c r="M65" s="197" t="s">
        <v>29</v>
      </c>
      <c r="N65" s="238" t="s">
        <v>760</v>
      </c>
      <c r="O65" s="239" t="s">
        <v>7030</v>
      </c>
      <c r="P65" s="239"/>
      <c r="Q65" s="320"/>
    </row>
    <row r="66" spans="1:17" s="252" customFormat="1">
      <c r="A66" s="239">
        <f t="shared" si="0"/>
        <v>65</v>
      </c>
      <c r="C66" s="239" t="s">
        <v>2336</v>
      </c>
      <c r="D66" s="240">
        <v>1</v>
      </c>
      <c r="E66" s="197" t="s">
        <v>770</v>
      </c>
      <c r="F66" s="239" t="s">
        <v>3133</v>
      </c>
      <c r="G66" s="239"/>
      <c r="H66" s="237"/>
      <c r="I66" s="239" t="s">
        <v>626</v>
      </c>
      <c r="J66" s="197" t="s">
        <v>2987</v>
      </c>
      <c r="K66" s="197" t="s">
        <v>2990</v>
      </c>
      <c r="L66" s="239" t="s">
        <v>771</v>
      </c>
      <c r="M66" s="197" t="s">
        <v>29</v>
      </c>
      <c r="N66" s="238" t="s">
        <v>760</v>
      </c>
      <c r="O66" s="239" t="s">
        <v>7030</v>
      </c>
      <c r="P66" s="239"/>
      <c r="Q66" s="320"/>
    </row>
    <row r="67" spans="1:17" s="252" customFormat="1">
      <c r="A67" s="239">
        <f t="shared" si="0"/>
        <v>66</v>
      </c>
      <c r="C67" s="239" t="s">
        <v>2337</v>
      </c>
      <c r="D67" s="240">
        <v>5</v>
      </c>
      <c r="E67" s="197" t="s">
        <v>1346</v>
      </c>
      <c r="F67" s="239" t="s">
        <v>3133</v>
      </c>
      <c r="G67" s="239"/>
      <c r="H67" s="237"/>
      <c r="I67" s="239" t="s">
        <v>626</v>
      </c>
      <c r="J67" s="197" t="s">
        <v>2987</v>
      </c>
      <c r="K67" s="197" t="s">
        <v>2991</v>
      </c>
      <c r="L67" s="239" t="s">
        <v>773</v>
      </c>
      <c r="M67" s="197" t="s">
        <v>29</v>
      </c>
      <c r="N67" s="238" t="s">
        <v>760</v>
      </c>
      <c r="O67" s="239" t="s">
        <v>7030</v>
      </c>
      <c r="P67" s="239"/>
      <c r="Q67" s="320"/>
    </row>
    <row r="68" spans="1:17" s="252" customFormat="1">
      <c r="A68" s="239">
        <f t="shared" si="0"/>
        <v>67</v>
      </c>
      <c r="C68" s="239" t="s">
        <v>2338</v>
      </c>
      <c r="D68" s="240">
        <v>5</v>
      </c>
      <c r="E68" s="197" t="s">
        <v>775</v>
      </c>
      <c r="F68" s="239" t="s">
        <v>3133</v>
      </c>
      <c r="G68" s="239"/>
      <c r="H68" s="237"/>
      <c r="I68" s="239" t="s">
        <v>626</v>
      </c>
      <c r="J68" s="197" t="s">
        <v>2987</v>
      </c>
      <c r="K68" s="197" t="s">
        <v>2992</v>
      </c>
      <c r="L68" s="239" t="s">
        <v>776</v>
      </c>
      <c r="M68" s="197" t="s">
        <v>29</v>
      </c>
      <c r="N68" s="238" t="s">
        <v>760</v>
      </c>
      <c r="O68" s="239" t="s">
        <v>7030</v>
      </c>
      <c r="P68" s="239"/>
      <c r="Q68" s="320"/>
    </row>
    <row r="69" spans="1:17" s="252" customFormat="1">
      <c r="A69" s="239">
        <f t="shared" si="0"/>
        <v>68</v>
      </c>
      <c r="C69" s="239" t="s">
        <v>2339</v>
      </c>
      <c r="D69" s="240">
        <v>15</v>
      </c>
      <c r="E69" s="197" t="s">
        <v>3111</v>
      </c>
      <c r="F69" s="239" t="s">
        <v>3133</v>
      </c>
      <c r="G69" s="239"/>
      <c r="H69" s="237"/>
      <c r="I69" s="239" t="s">
        <v>626</v>
      </c>
      <c r="J69" s="197" t="s">
        <v>2987</v>
      </c>
      <c r="K69" s="197" t="s">
        <v>2993</v>
      </c>
      <c r="L69" s="239" t="s">
        <v>778</v>
      </c>
      <c r="M69" s="197" t="s">
        <v>29</v>
      </c>
      <c r="N69" s="238" t="s">
        <v>760</v>
      </c>
      <c r="O69" s="239" t="s">
        <v>7030</v>
      </c>
      <c r="P69" s="239"/>
      <c r="Q69" s="320"/>
    </row>
    <row r="70" spans="1:17" s="252" customFormat="1">
      <c r="A70" s="239">
        <f t="shared" si="0"/>
        <v>69</v>
      </c>
      <c r="C70" s="239" t="s">
        <v>2340</v>
      </c>
      <c r="D70" s="240">
        <v>15</v>
      </c>
      <c r="E70" s="197" t="s">
        <v>780</v>
      </c>
      <c r="F70" s="239" t="s">
        <v>3133</v>
      </c>
      <c r="G70" s="239"/>
      <c r="H70" s="237"/>
      <c r="I70" s="239" t="s">
        <v>626</v>
      </c>
      <c r="J70" s="197" t="s">
        <v>2987</v>
      </c>
      <c r="K70" s="197" t="s">
        <v>2994</v>
      </c>
      <c r="L70" s="239" t="s">
        <v>781</v>
      </c>
      <c r="M70" s="197" t="s">
        <v>29</v>
      </c>
      <c r="N70" s="238" t="s">
        <v>760</v>
      </c>
      <c r="O70" s="239" t="s">
        <v>7030</v>
      </c>
      <c r="P70" s="239"/>
      <c r="Q70" s="320"/>
    </row>
    <row r="71" spans="1:17" s="252" customFormat="1">
      <c r="A71" s="239">
        <f t="shared" si="0"/>
        <v>70</v>
      </c>
      <c r="C71" s="239" t="s">
        <v>2341</v>
      </c>
      <c r="D71" s="240">
        <v>5</v>
      </c>
      <c r="E71" s="197" t="s">
        <v>783</v>
      </c>
      <c r="F71" s="239" t="s">
        <v>3133</v>
      </c>
      <c r="G71" s="239"/>
      <c r="H71" s="237"/>
      <c r="I71" s="239" t="s">
        <v>626</v>
      </c>
      <c r="J71" s="197" t="s">
        <v>2987</v>
      </c>
      <c r="K71" s="197" t="s">
        <v>2995</v>
      </c>
      <c r="L71" s="239" t="s">
        <v>784</v>
      </c>
      <c r="M71" s="197" t="s">
        <v>29</v>
      </c>
      <c r="N71" s="238" t="s">
        <v>760</v>
      </c>
      <c r="O71" s="239" t="s">
        <v>7030</v>
      </c>
      <c r="P71" s="239"/>
      <c r="Q71" s="320"/>
    </row>
    <row r="72" spans="1:17" s="252" customFormat="1">
      <c r="A72" s="239">
        <f t="shared" si="0"/>
        <v>71</v>
      </c>
      <c r="C72" s="239" t="s">
        <v>2342</v>
      </c>
      <c r="D72" s="240">
        <v>1</v>
      </c>
      <c r="E72" s="197" t="s">
        <v>786</v>
      </c>
      <c r="F72" s="239" t="s">
        <v>3133</v>
      </c>
      <c r="G72" s="239"/>
      <c r="H72" s="237"/>
      <c r="I72" s="239" t="s">
        <v>626</v>
      </c>
      <c r="J72" s="197" t="s">
        <v>2987</v>
      </c>
      <c r="K72" s="197" t="s">
        <v>2996</v>
      </c>
      <c r="L72" s="239" t="s">
        <v>787</v>
      </c>
      <c r="M72" s="197" t="s">
        <v>29</v>
      </c>
      <c r="N72" s="238" t="s">
        <v>760</v>
      </c>
      <c r="O72" s="239" t="s">
        <v>7030</v>
      </c>
      <c r="P72" s="239"/>
      <c r="Q72" s="320"/>
    </row>
    <row r="73" spans="1:17" s="252" customFormat="1">
      <c r="A73" s="239">
        <f t="shared" si="0"/>
        <v>72</v>
      </c>
      <c r="C73" s="239" t="s">
        <v>2343</v>
      </c>
      <c r="D73" s="240">
        <v>1</v>
      </c>
      <c r="E73" s="197" t="s">
        <v>789</v>
      </c>
      <c r="F73" s="239" t="s">
        <v>3133</v>
      </c>
      <c r="G73" s="239"/>
      <c r="H73" s="237"/>
      <c r="I73" s="239" t="s">
        <v>626</v>
      </c>
      <c r="J73" s="197" t="s">
        <v>2987</v>
      </c>
      <c r="K73" s="197" t="s">
        <v>803</v>
      </c>
      <c r="L73" s="239" t="s">
        <v>790</v>
      </c>
      <c r="M73" s="197" t="s">
        <v>29</v>
      </c>
      <c r="N73" s="238" t="s">
        <v>760</v>
      </c>
      <c r="O73" s="239" t="s">
        <v>7030</v>
      </c>
      <c r="P73" s="239"/>
      <c r="Q73" s="320"/>
    </row>
    <row r="74" spans="1:17" s="252" customFormat="1">
      <c r="A74" s="239">
        <f t="shared" si="0"/>
        <v>73</v>
      </c>
      <c r="C74" s="242" t="s">
        <v>3136</v>
      </c>
      <c r="D74" s="243">
        <v>1</v>
      </c>
      <c r="E74" s="248" t="s">
        <v>792</v>
      </c>
      <c r="F74" s="242" t="s">
        <v>3133</v>
      </c>
      <c r="G74" s="239"/>
      <c r="H74" s="249"/>
      <c r="I74" s="242" t="s">
        <v>626</v>
      </c>
      <c r="J74" s="197" t="e">
        <v>#N/A</v>
      </c>
      <c r="K74" s="197" t="e">
        <v>#N/A</v>
      </c>
      <c r="L74" s="242" t="s">
        <v>793</v>
      </c>
      <c r="M74" s="248" t="s">
        <v>29</v>
      </c>
      <c r="N74" s="238" t="s">
        <v>760</v>
      </c>
      <c r="O74" s="239" t="s">
        <v>2330</v>
      </c>
      <c r="P74" s="239" t="s">
        <v>3126</v>
      </c>
      <c r="Q74" s="320"/>
    </row>
    <row r="75" spans="1:17" s="252" customFormat="1">
      <c r="A75" s="239">
        <f t="shared" si="0"/>
        <v>74</v>
      </c>
      <c r="C75" s="242" t="s">
        <v>3136</v>
      </c>
      <c r="D75" s="243">
        <v>1</v>
      </c>
      <c r="E75" s="248" t="s">
        <v>795</v>
      </c>
      <c r="F75" s="242" t="s">
        <v>3133</v>
      </c>
      <c r="G75" s="239"/>
      <c r="H75" s="249"/>
      <c r="I75" s="242" t="s">
        <v>626</v>
      </c>
      <c r="J75" s="197" t="e">
        <v>#N/A</v>
      </c>
      <c r="K75" s="197" t="e">
        <v>#N/A</v>
      </c>
      <c r="L75" s="242" t="s">
        <v>796</v>
      </c>
      <c r="M75" s="248" t="s">
        <v>29</v>
      </c>
      <c r="N75" s="238" t="s">
        <v>760</v>
      </c>
      <c r="O75" s="239" t="s">
        <v>2330</v>
      </c>
      <c r="P75" s="239" t="s">
        <v>3126</v>
      </c>
      <c r="Q75" s="320"/>
    </row>
    <row r="76" spans="1:17" s="252" customFormat="1">
      <c r="A76" s="239">
        <f t="shared" si="0"/>
        <v>75</v>
      </c>
      <c r="B76" s="239" t="s">
        <v>2344</v>
      </c>
      <c r="C76" s="240" t="s">
        <v>279</v>
      </c>
      <c r="D76" s="240">
        <v>5</v>
      </c>
      <c r="E76" s="197" t="s">
        <v>798</v>
      </c>
      <c r="F76" s="239" t="s">
        <v>3133</v>
      </c>
      <c r="G76" s="239"/>
      <c r="H76" s="237" t="s">
        <v>2964</v>
      </c>
      <c r="I76" s="239" t="s">
        <v>626</v>
      </c>
      <c r="J76" s="197" t="s">
        <v>2987</v>
      </c>
      <c r="K76" s="197" t="s">
        <v>892</v>
      </c>
      <c r="L76" s="239" t="s">
        <v>799</v>
      </c>
      <c r="M76" s="197" t="s">
        <v>29</v>
      </c>
      <c r="N76" s="238" t="s">
        <v>760</v>
      </c>
      <c r="O76" s="239"/>
      <c r="P76" s="239"/>
      <c r="Q76" s="320"/>
    </row>
    <row r="77" spans="1:17" s="252" customFormat="1">
      <c r="A77" s="239">
        <f t="shared" si="0"/>
        <v>76</v>
      </c>
      <c r="B77" s="239" t="s">
        <v>2345</v>
      </c>
      <c r="C77" s="240" t="s">
        <v>279</v>
      </c>
      <c r="D77" s="240">
        <v>5</v>
      </c>
      <c r="E77" s="197" t="s">
        <v>801</v>
      </c>
      <c r="F77" s="239" t="s">
        <v>3133</v>
      </c>
      <c r="G77" s="239"/>
      <c r="H77" s="237" t="s">
        <v>2964</v>
      </c>
      <c r="I77" s="239" t="s">
        <v>626</v>
      </c>
      <c r="J77" s="197" t="s">
        <v>2987</v>
      </c>
      <c r="K77" s="197" t="s">
        <v>2997</v>
      </c>
      <c r="L77" s="239" t="s">
        <v>802</v>
      </c>
      <c r="M77" s="197" t="s">
        <v>29</v>
      </c>
      <c r="N77" s="238" t="s">
        <v>760</v>
      </c>
      <c r="O77" s="239"/>
      <c r="P77" s="239"/>
      <c r="Q77" s="320"/>
    </row>
    <row r="78" spans="1:17" s="252" customFormat="1">
      <c r="A78" s="239">
        <f t="shared" si="0"/>
        <v>77</v>
      </c>
      <c r="C78" s="239" t="s">
        <v>2346</v>
      </c>
      <c r="D78" s="240">
        <v>5</v>
      </c>
      <c r="E78" s="197" t="s">
        <v>804</v>
      </c>
      <c r="F78" s="239" t="s">
        <v>3133</v>
      </c>
      <c r="G78" s="239"/>
      <c r="H78" s="237"/>
      <c r="I78" s="239" t="s">
        <v>626</v>
      </c>
      <c r="J78" s="197" t="s">
        <v>2987</v>
      </c>
      <c r="K78" s="197" t="s">
        <v>1415</v>
      </c>
      <c r="L78" s="239" t="s">
        <v>805</v>
      </c>
      <c r="M78" s="197" t="s">
        <v>29</v>
      </c>
      <c r="N78" s="238" t="s">
        <v>760</v>
      </c>
      <c r="O78" s="239" t="s">
        <v>7030</v>
      </c>
      <c r="P78" s="239"/>
      <c r="Q78" s="320"/>
    </row>
    <row r="79" spans="1:17" s="252" customFormat="1">
      <c r="A79" s="239">
        <f t="shared" si="0"/>
        <v>78</v>
      </c>
      <c r="C79" s="239" t="s">
        <v>2347</v>
      </c>
      <c r="D79" s="240">
        <v>1</v>
      </c>
      <c r="E79" s="197" t="s">
        <v>807</v>
      </c>
      <c r="F79" s="239" t="s">
        <v>3133</v>
      </c>
      <c r="G79" s="239"/>
      <c r="H79" s="237"/>
      <c r="I79" s="239" t="s">
        <v>626</v>
      </c>
      <c r="J79" s="197" t="s">
        <v>2987</v>
      </c>
      <c r="K79" s="197" t="s">
        <v>1416</v>
      </c>
      <c r="L79" s="239" t="s">
        <v>808</v>
      </c>
      <c r="M79" s="197" t="s">
        <v>29</v>
      </c>
      <c r="N79" s="238" t="s">
        <v>760</v>
      </c>
      <c r="O79" s="239" t="s">
        <v>7030</v>
      </c>
      <c r="P79" s="239"/>
      <c r="Q79" s="320"/>
    </row>
    <row r="80" spans="1:17" s="252" customFormat="1">
      <c r="A80" s="239">
        <f t="shared" ref="A80:A156" si="3">ROW()-1</f>
        <v>79</v>
      </c>
      <c r="C80" s="239" t="s">
        <v>2348</v>
      </c>
      <c r="D80" s="240">
        <v>15</v>
      </c>
      <c r="E80" s="197" t="s">
        <v>810</v>
      </c>
      <c r="F80" s="239" t="s">
        <v>3133</v>
      </c>
      <c r="G80" s="239"/>
      <c r="H80" s="237"/>
      <c r="I80" s="239" t="s">
        <v>626</v>
      </c>
      <c r="J80" s="197" t="s">
        <v>2987</v>
      </c>
      <c r="K80" s="197" t="s">
        <v>1417</v>
      </c>
      <c r="L80" s="239" t="s">
        <v>811</v>
      </c>
      <c r="M80" s="197" t="s">
        <v>29</v>
      </c>
      <c r="N80" s="238" t="s">
        <v>760</v>
      </c>
      <c r="O80" s="239" t="s">
        <v>7030</v>
      </c>
      <c r="P80" s="239"/>
      <c r="Q80" s="320"/>
    </row>
    <row r="81" spans="1:17" s="252" customFormat="1">
      <c r="A81" s="239">
        <f t="shared" si="3"/>
        <v>80</v>
      </c>
      <c r="C81" s="239" t="s">
        <v>2349</v>
      </c>
      <c r="D81" s="240">
        <v>5</v>
      </c>
      <c r="E81" s="197" t="s">
        <v>813</v>
      </c>
      <c r="F81" s="239" t="s">
        <v>3133</v>
      </c>
      <c r="G81" s="239"/>
      <c r="H81" s="237"/>
      <c r="I81" s="239" t="s">
        <v>626</v>
      </c>
      <c r="J81" s="197" t="s">
        <v>2987</v>
      </c>
      <c r="K81" s="197" t="s">
        <v>766</v>
      </c>
      <c r="L81" s="239" t="s">
        <v>814</v>
      </c>
      <c r="M81" s="197" t="s">
        <v>29</v>
      </c>
      <c r="N81" s="238" t="s">
        <v>760</v>
      </c>
      <c r="O81" s="239" t="s">
        <v>7030</v>
      </c>
      <c r="P81" s="239"/>
      <c r="Q81" s="320"/>
    </row>
    <row r="82" spans="1:17" s="252" customFormat="1">
      <c r="A82" s="239">
        <f t="shared" si="3"/>
        <v>81</v>
      </c>
      <c r="C82" s="239" t="s">
        <v>2350</v>
      </c>
      <c r="D82" s="240">
        <v>1</v>
      </c>
      <c r="E82" s="197" t="s">
        <v>816</v>
      </c>
      <c r="F82" s="239" t="s">
        <v>3133</v>
      </c>
      <c r="G82" s="239"/>
      <c r="H82" s="237"/>
      <c r="I82" s="239" t="s">
        <v>626</v>
      </c>
      <c r="J82" s="197" t="s">
        <v>2987</v>
      </c>
      <c r="K82" s="197" t="s">
        <v>2998</v>
      </c>
      <c r="L82" s="239" t="s">
        <v>817</v>
      </c>
      <c r="M82" s="197" t="s">
        <v>29</v>
      </c>
      <c r="N82" s="238" t="s">
        <v>760</v>
      </c>
      <c r="O82" s="239" t="s">
        <v>7030</v>
      </c>
      <c r="P82" s="239"/>
      <c r="Q82" s="320"/>
    </row>
    <row r="83" spans="1:17" s="252" customFormat="1">
      <c r="A83" s="239">
        <f t="shared" si="3"/>
        <v>82</v>
      </c>
      <c r="C83" s="239" t="s">
        <v>2351</v>
      </c>
      <c r="D83" s="240">
        <v>2</v>
      </c>
      <c r="E83" s="197" t="s">
        <v>819</v>
      </c>
      <c r="F83" s="239" t="s">
        <v>3133</v>
      </c>
      <c r="G83" s="239"/>
      <c r="H83" s="237"/>
      <c r="I83" s="239" t="s">
        <v>626</v>
      </c>
      <c r="J83" s="197" t="s">
        <v>2987</v>
      </c>
      <c r="K83" s="197" t="s">
        <v>785</v>
      </c>
      <c r="L83" s="239" t="s">
        <v>820</v>
      </c>
      <c r="M83" s="250" t="s">
        <v>29</v>
      </c>
      <c r="N83" s="238" t="s">
        <v>760</v>
      </c>
      <c r="O83" s="239" t="s">
        <v>7030</v>
      </c>
      <c r="P83" s="239"/>
      <c r="Q83" s="320"/>
    </row>
    <row r="84" spans="1:17" s="252" customFormat="1">
      <c r="A84" s="239">
        <f t="shared" si="3"/>
        <v>83</v>
      </c>
      <c r="C84" s="239" t="s">
        <v>2352</v>
      </c>
      <c r="D84" s="240">
        <v>1</v>
      </c>
      <c r="E84" s="197" t="s">
        <v>822</v>
      </c>
      <c r="F84" s="239" t="s">
        <v>3133</v>
      </c>
      <c r="G84" s="239"/>
      <c r="H84" s="237"/>
      <c r="I84" s="239" t="s">
        <v>626</v>
      </c>
      <c r="J84" s="197" t="s">
        <v>2987</v>
      </c>
      <c r="K84" s="197" t="s">
        <v>2999</v>
      </c>
      <c r="L84" s="239" t="s">
        <v>823</v>
      </c>
      <c r="M84" s="197" t="s">
        <v>29</v>
      </c>
      <c r="N84" s="238" t="s">
        <v>760</v>
      </c>
      <c r="O84" s="239" t="s">
        <v>7030</v>
      </c>
      <c r="P84" s="239"/>
      <c r="Q84" s="320"/>
    </row>
    <row r="85" spans="1:17" s="252" customFormat="1">
      <c r="A85" s="239">
        <f t="shared" si="3"/>
        <v>84</v>
      </c>
      <c r="C85" s="239" t="s">
        <v>2353</v>
      </c>
      <c r="D85" s="240">
        <v>2</v>
      </c>
      <c r="E85" s="197" t="s">
        <v>825</v>
      </c>
      <c r="F85" s="239" t="s">
        <v>3133</v>
      </c>
      <c r="G85" s="239"/>
      <c r="H85" s="237"/>
      <c r="I85" s="239" t="s">
        <v>626</v>
      </c>
      <c r="J85" s="197" t="s">
        <v>2987</v>
      </c>
      <c r="K85" s="197" t="s">
        <v>3000</v>
      </c>
      <c r="L85" s="239" t="s">
        <v>826</v>
      </c>
      <c r="M85" s="197" t="s">
        <v>29</v>
      </c>
      <c r="N85" s="238" t="s">
        <v>760</v>
      </c>
      <c r="O85" s="239" t="s">
        <v>7030</v>
      </c>
      <c r="P85" s="239"/>
      <c r="Q85" s="320"/>
    </row>
    <row r="86" spans="1:17" s="252" customFormat="1">
      <c r="A86" s="239">
        <f t="shared" si="3"/>
        <v>85</v>
      </c>
      <c r="C86" s="239" t="s">
        <v>2354</v>
      </c>
      <c r="D86" s="240">
        <v>2</v>
      </c>
      <c r="E86" s="197" t="s">
        <v>828</v>
      </c>
      <c r="F86" s="239" t="s">
        <v>3133</v>
      </c>
      <c r="G86" s="239"/>
      <c r="H86" s="237"/>
      <c r="I86" s="239" t="s">
        <v>626</v>
      </c>
      <c r="J86" s="197" t="s">
        <v>2987</v>
      </c>
      <c r="K86" s="197" t="s">
        <v>3001</v>
      </c>
      <c r="L86" s="239" t="s">
        <v>829</v>
      </c>
      <c r="M86" s="197" t="s">
        <v>29</v>
      </c>
      <c r="N86" s="238" t="s">
        <v>760</v>
      </c>
      <c r="O86" s="239" t="s">
        <v>7030</v>
      </c>
      <c r="P86" s="239"/>
      <c r="Q86" s="320"/>
    </row>
    <row r="87" spans="1:17" s="252" customFormat="1">
      <c r="A87" s="239">
        <f t="shared" si="3"/>
        <v>86</v>
      </c>
      <c r="C87" s="239" t="s">
        <v>2355</v>
      </c>
      <c r="D87" s="240">
        <v>5</v>
      </c>
      <c r="E87" s="197" t="s">
        <v>831</v>
      </c>
      <c r="F87" s="239" t="s">
        <v>3133</v>
      </c>
      <c r="G87" s="239"/>
      <c r="H87" s="237"/>
      <c r="I87" s="239" t="s">
        <v>626</v>
      </c>
      <c r="J87" s="197" t="s">
        <v>2987</v>
      </c>
      <c r="K87" s="197" t="s">
        <v>3002</v>
      </c>
      <c r="L87" s="239" t="s">
        <v>832</v>
      </c>
      <c r="M87" s="197" t="s">
        <v>29</v>
      </c>
      <c r="N87" s="238" t="s">
        <v>760</v>
      </c>
      <c r="O87" s="239" t="s">
        <v>7030</v>
      </c>
      <c r="P87" s="239"/>
      <c r="Q87" s="320"/>
    </row>
    <row r="88" spans="1:17" s="252" customFormat="1">
      <c r="A88" s="239">
        <f t="shared" si="3"/>
        <v>87</v>
      </c>
      <c r="B88" s="239" t="s">
        <v>2356</v>
      </c>
      <c r="C88" s="240" t="s">
        <v>279</v>
      </c>
      <c r="D88" s="240">
        <v>15</v>
      </c>
      <c r="E88" s="197" t="s">
        <v>834</v>
      </c>
      <c r="F88" s="239" t="s">
        <v>3133</v>
      </c>
      <c r="G88" s="239"/>
      <c r="H88" s="237" t="s">
        <v>2964</v>
      </c>
      <c r="I88" s="239" t="s">
        <v>626</v>
      </c>
      <c r="J88" s="197" t="s">
        <v>2987</v>
      </c>
      <c r="K88" s="197" t="s">
        <v>756</v>
      </c>
      <c r="L88" s="239" t="s">
        <v>835</v>
      </c>
      <c r="M88" s="197" t="s">
        <v>29</v>
      </c>
      <c r="N88" s="238" t="s">
        <v>760</v>
      </c>
      <c r="O88" s="239"/>
      <c r="P88" s="239"/>
      <c r="Q88" s="320"/>
    </row>
    <row r="89" spans="1:17" s="252" customFormat="1">
      <c r="A89" s="239">
        <f t="shared" si="3"/>
        <v>88</v>
      </c>
      <c r="C89" s="239" t="s">
        <v>2357</v>
      </c>
      <c r="D89" s="240">
        <v>15</v>
      </c>
      <c r="E89" s="197" t="s">
        <v>837</v>
      </c>
      <c r="F89" s="239" t="s">
        <v>3133</v>
      </c>
      <c r="G89" s="239"/>
      <c r="H89" s="237"/>
      <c r="I89" s="239" t="s">
        <v>626</v>
      </c>
      <c r="J89" s="197" t="s">
        <v>2987</v>
      </c>
      <c r="K89" s="197" t="s">
        <v>800</v>
      </c>
      <c r="L89" s="239" t="s">
        <v>838</v>
      </c>
      <c r="M89" s="197" t="s">
        <v>29</v>
      </c>
      <c r="N89" s="238" t="s">
        <v>760</v>
      </c>
      <c r="O89" s="239" t="s">
        <v>7030</v>
      </c>
      <c r="P89" s="239"/>
      <c r="Q89" s="320"/>
    </row>
    <row r="90" spans="1:17" s="252" customFormat="1">
      <c r="A90" s="239">
        <f t="shared" si="3"/>
        <v>89</v>
      </c>
      <c r="B90" s="239" t="s">
        <v>2358</v>
      </c>
      <c r="C90" s="240" t="s">
        <v>279</v>
      </c>
      <c r="D90" s="240">
        <v>15</v>
      </c>
      <c r="E90" s="197" t="s">
        <v>840</v>
      </c>
      <c r="F90" s="239" t="s">
        <v>3133</v>
      </c>
      <c r="G90" s="239"/>
      <c r="H90" s="237" t="s">
        <v>2964</v>
      </c>
      <c r="I90" s="239" t="s">
        <v>626</v>
      </c>
      <c r="J90" s="197" t="s">
        <v>2987</v>
      </c>
      <c r="K90" s="197" t="s">
        <v>769</v>
      </c>
      <c r="L90" s="239" t="s">
        <v>841</v>
      </c>
      <c r="M90" s="197" t="s">
        <v>29</v>
      </c>
      <c r="N90" s="238" t="s">
        <v>760</v>
      </c>
      <c r="O90" s="239"/>
      <c r="P90" s="239"/>
      <c r="Q90" s="320" t="s">
        <v>3500</v>
      </c>
    </row>
    <row r="91" spans="1:17" s="252" customFormat="1">
      <c r="A91" s="239">
        <f t="shared" si="3"/>
        <v>90</v>
      </c>
      <c r="C91" s="239" t="s">
        <v>2359</v>
      </c>
      <c r="D91" s="240">
        <v>15</v>
      </c>
      <c r="E91" s="197" t="s">
        <v>843</v>
      </c>
      <c r="F91" s="239" t="s">
        <v>3133</v>
      </c>
      <c r="G91" s="239"/>
      <c r="H91" s="237"/>
      <c r="I91" s="239" t="s">
        <v>626</v>
      </c>
      <c r="J91" s="197" t="s">
        <v>2987</v>
      </c>
      <c r="K91" s="197" t="s">
        <v>763</v>
      </c>
      <c r="L91" s="239" t="s">
        <v>844</v>
      </c>
      <c r="M91" s="197" t="s">
        <v>29</v>
      </c>
      <c r="N91" s="238" t="s">
        <v>760</v>
      </c>
      <c r="O91" s="239" t="s">
        <v>7030</v>
      </c>
      <c r="P91" s="239"/>
      <c r="Q91" s="320"/>
    </row>
    <row r="92" spans="1:17" s="252" customFormat="1">
      <c r="A92" s="239">
        <f t="shared" si="3"/>
        <v>91</v>
      </c>
      <c r="C92" s="239" t="s">
        <v>2360</v>
      </c>
      <c r="D92" s="240">
        <v>15</v>
      </c>
      <c r="E92" s="197" t="s">
        <v>846</v>
      </c>
      <c r="F92" s="239" t="s">
        <v>3133</v>
      </c>
      <c r="G92" s="239"/>
      <c r="H92" s="237"/>
      <c r="I92" s="239" t="s">
        <v>626</v>
      </c>
      <c r="J92" s="197" t="s">
        <v>2987</v>
      </c>
      <c r="K92" s="197" t="s">
        <v>772</v>
      </c>
      <c r="L92" s="239" t="s">
        <v>847</v>
      </c>
      <c r="M92" s="197" t="s">
        <v>29</v>
      </c>
      <c r="N92" s="238" t="s">
        <v>760</v>
      </c>
      <c r="O92" s="239" t="s">
        <v>7030</v>
      </c>
      <c r="P92" s="239"/>
      <c r="Q92" s="320"/>
    </row>
    <row r="93" spans="1:17" s="252" customFormat="1">
      <c r="A93" s="239">
        <f t="shared" si="3"/>
        <v>92</v>
      </c>
      <c r="C93" s="239" t="s">
        <v>2361</v>
      </c>
      <c r="D93" s="240">
        <v>15</v>
      </c>
      <c r="E93" s="197" t="s">
        <v>849</v>
      </c>
      <c r="F93" s="239" t="s">
        <v>3133</v>
      </c>
      <c r="G93" s="239"/>
      <c r="H93" s="237"/>
      <c r="I93" s="239" t="s">
        <v>626</v>
      </c>
      <c r="J93" s="197" t="s">
        <v>2987</v>
      </c>
      <c r="K93" s="197" t="s">
        <v>788</v>
      </c>
      <c r="L93" s="239" t="s">
        <v>850</v>
      </c>
      <c r="M93" s="197" t="s">
        <v>29</v>
      </c>
      <c r="N93" s="238" t="s">
        <v>760</v>
      </c>
      <c r="O93" s="239" t="s">
        <v>7030</v>
      </c>
      <c r="P93" s="239"/>
      <c r="Q93" s="320"/>
    </row>
    <row r="94" spans="1:17" s="252" customFormat="1">
      <c r="A94" s="239">
        <f t="shared" si="3"/>
        <v>93</v>
      </c>
      <c r="B94" s="239" t="s">
        <v>2362</v>
      </c>
      <c r="C94" s="240" t="s">
        <v>279</v>
      </c>
      <c r="D94" s="240">
        <v>5</v>
      </c>
      <c r="E94" s="197" t="s">
        <v>852</v>
      </c>
      <c r="F94" s="239" t="s">
        <v>3133</v>
      </c>
      <c r="G94" s="239"/>
      <c r="H94" s="237" t="s">
        <v>2964</v>
      </c>
      <c r="I94" s="239" t="s">
        <v>626</v>
      </c>
      <c r="J94" s="197" t="s">
        <v>2987</v>
      </c>
      <c r="K94" s="197" t="s">
        <v>791</v>
      </c>
      <c r="L94" s="239" t="s">
        <v>853</v>
      </c>
      <c r="M94" s="197" t="s">
        <v>29</v>
      </c>
      <c r="N94" s="238" t="s">
        <v>760</v>
      </c>
      <c r="O94" s="239"/>
      <c r="P94" s="239"/>
      <c r="Q94" s="320"/>
    </row>
    <row r="95" spans="1:17" s="252" customFormat="1">
      <c r="A95" s="239">
        <f t="shared" si="3"/>
        <v>94</v>
      </c>
      <c r="B95" s="239" t="s">
        <v>2363</v>
      </c>
      <c r="C95" s="240" t="s">
        <v>275</v>
      </c>
      <c r="D95" s="240">
        <v>1</v>
      </c>
      <c r="E95" s="197" t="s">
        <v>855</v>
      </c>
      <c r="F95" s="239" t="s">
        <v>3133</v>
      </c>
      <c r="G95" s="239"/>
      <c r="H95" s="237" t="s">
        <v>2964</v>
      </c>
      <c r="I95" s="239" t="s">
        <v>626</v>
      </c>
      <c r="J95" s="197" t="s">
        <v>2987</v>
      </c>
      <c r="K95" s="197" t="s">
        <v>797</v>
      </c>
      <c r="L95" s="239" t="s">
        <v>856</v>
      </c>
      <c r="M95" s="197" t="s">
        <v>29</v>
      </c>
      <c r="N95" s="238" t="s">
        <v>760</v>
      </c>
      <c r="O95" s="239"/>
      <c r="P95" s="239"/>
      <c r="Q95" s="320"/>
    </row>
    <row r="96" spans="1:17" s="252" customFormat="1">
      <c r="A96" s="239">
        <f t="shared" si="3"/>
        <v>95</v>
      </c>
      <c r="B96" s="239" t="s">
        <v>2364</v>
      </c>
      <c r="C96" s="240" t="s">
        <v>279</v>
      </c>
      <c r="D96" s="240">
        <v>15</v>
      </c>
      <c r="E96" s="197" t="s">
        <v>858</v>
      </c>
      <c r="F96" s="239" t="s">
        <v>3133</v>
      </c>
      <c r="G96" s="239"/>
      <c r="H96" s="237" t="s">
        <v>2964</v>
      </c>
      <c r="I96" s="239" t="s">
        <v>626</v>
      </c>
      <c r="J96" s="197" t="s">
        <v>2987</v>
      </c>
      <c r="K96" s="197" t="s">
        <v>794</v>
      </c>
      <c r="L96" s="239" t="s">
        <v>859</v>
      </c>
      <c r="M96" s="197" t="s">
        <v>29</v>
      </c>
      <c r="N96" s="238" t="s">
        <v>760</v>
      </c>
      <c r="O96" s="239"/>
      <c r="P96" s="239"/>
      <c r="Q96" s="320"/>
    </row>
    <row r="97" spans="1:17" s="252" customFormat="1">
      <c r="A97" s="239">
        <f t="shared" si="3"/>
        <v>96</v>
      </c>
      <c r="B97" s="239" t="s">
        <v>2365</v>
      </c>
      <c r="C97" s="240" t="s">
        <v>279</v>
      </c>
      <c r="D97" s="240">
        <v>15</v>
      </c>
      <c r="E97" s="197" t="s">
        <v>860</v>
      </c>
      <c r="F97" s="239" t="s">
        <v>3133</v>
      </c>
      <c r="G97" s="239"/>
      <c r="H97" s="237" t="s">
        <v>2964</v>
      </c>
      <c r="I97" s="239" t="s">
        <v>626</v>
      </c>
      <c r="J97" s="197" t="s">
        <v>2987</v>
      </c>
      <c r="K97" s="197" t="s">
        <v>857</v>
      </c>
      <c r="L97" s="239" t="s">
        <v>861</v>
      </c>
      <c r="M97" s="197" t="s">
        <v>29</v>
      </c>
      <c r="N97" s="238" t="s">
        <v>760</v>
      </c>
      <c r="O97" s="239"/>
      <c r="P97" s="239"/>
      <c r="Q97" s="320"/>
    </row>
    <row r="98" spans="1:17" s="252" customFormat="1">
      <c r="A98" s="239">
        <f t="shared" si="3"/>
        <v>97</v>
      </c>
      <c r="C98" s="239" t="s">
        <v>2366</v>
      </c>
      <c r="D98" s="240">
        <v>15</v>
      </c>
      <c r="E98" s="197" t="s">
        <v>863</v>
      </c>
      <c r="F98" s="239" t="s">
        <v>3133</v>
      </c>
      <c r="G98" s="239"/>
      <c r="H98" s="237"/>
      <c r="I98" s="239" t="s">
        <v>626</v>
      </c>
      <c r="J98" s="197" t="s">
        <v>3003</v>
      </c>
      <c r="K98" s="197" t="s">
        <v>1336</v>
      </c>
      <c r="L98" s="239" t="s">
        <v>864</v>
      </c>
      <c r="M98" s="197" t="s">
        <v>29</v>
      </c>
      <c r="N98" s="238" t="s">
        <v>760</v>
      </c>
      <c r="O98" s="239" t="s">
        <v>7030</v>
      </c>
      <c r="P98" s="239"/>
      <c r="Q98" s="320"/>
    </row>
    <row r="99" spans="1:17" s="252" customFormat="1">
      <c r="A99" s="239">
        <f t="shared" si="3"/>
        <v>98</v>
      </c>
      <c r="B99" s="239" t="s">
        <v>2367</v>
      </c>
      <c r="C99" s="240" t="s">
        <v>279</v>
      </c>
      <c r="D99" s="240">
        <v>5</v>
      </c>
      <c r="E99" s="197" t="s">
        <v>866</v>
      </c>
      <c r="F99" s="239" t="s">
        <v>3133</v>
      </c>
      <c r="G99" s="239"/>
      <c r="H99" s="237" t="s">
        <v>2964</v>
      </c>
      <c r="I99" s="239" t="s">
        <v>626</v>
      </c>
      <c r="J99" s="197" t="s">
        <v>2987</v>
      </c>
      <c r="K99" s="197" t="s">
        <v>873</v>
      </c>
      <c r="L99" s="239" t="s">
        <v>867</v>
      </c>
      <c r="M99" s="197" t="s">
        <v>29</v>
      </c>
      <c r="N99" s="238" t="s">
        <v>760</v>
      </c>
      <c r="O99" s="239"/>
      <c r="P99" s="239"/>
      <c r="Q99" s="320"/>
    </row>
    <row r="100" spans="1:17" s="252" customFormat="1">
      <c r="A100" s="239">
        <f t="shared" si="3"/>
        <v>99</v>
      </c>
      <c r="B100" s="239" t="s">
        <v>2368</v>
      </c>
      <c r="C100" s="240" t="s">
        <v>279</v>
      </c>
      <c r="D100" s="240">
        <v>15</v>
      </c>
      <c r="E100" s="197" t="s">
        <v>868</v>
      </c>
      <c r="F100" s="239" t="s">
        <v>3133</v>
      </c>
      <c r="G100" s="239"/>
      <c r="H100" s="237" t="s">
        <v>2964</v>
      </c>
      <c r="I100" s="239" t="s">
        <v>626</v>
      </c>
      <c r="J100" s="197" t="s">
        <v>2987</v>
      </c>
      <c r="K100" s="197" t="s">
        <v>3004</v>
      </c>
      <c r="L100" s="239" t="s">
        <v>869</v>
      </c>
      <c r="M100" s="197" t="s">
        <v>29</v>
      </c>
      <c r="N100" s="238" t="s">
        <v>760</v>
      </c>
      <c r="O100" s="239"/>
      <c r="P100" s="239"/>
      <c r="Q100" s="320"/>
    </row>
    <row r="101" spans="1:17" s="252" customFormat="1">
      <c r="A101" s="239">
        <f t="shared" si="3"/>
        <v>100</v>
      </c>
      <c r="C101" s="239" t="s">
        <v>2369</v>
      </c>
      <c r="D101" s="240">
        <v>15</v>
      </c>
      <c r="E101" s="197" t="s">
        <v>871</v>
      </c>
      <c r="F101" s="239" t="s">
        <v>3133</v>
      </c>
      <c r="G101" s="239"/>
      <c r="H101" s="237"/>
      <c r="I101" s="239" t="s">
        <v>626</v>
      </c>
      <c r="J101" s="197" t="s">
        <v>2987</v>
      </c>
      <c r="K101" s="197" t="s">
        <v>774</v>
      </c>
      <c r="L101" s="239" t="s">
        <v>872</v>
      </c>
      <c r="M101" s="197" t="s">
        <v>29</v>
      </c>
      <c r="N101" s="238" t="s">
        <v>760</v>
      </c>
      <c r="O101" s="239" t="s">
        <v>7030</v>
      </c>
      <c r="P101" s="239"/>
      <c r="Q101" s="320"/>
    </row>
    <row r="102" spans="1:17" s="252" customFormat="1">
      <c r="A102" s="239">
        <f t="shared" si="3"/>
        <v>101</v>
      </c>
      <c r="C102" s="239" t="s">
        <v>2370</v>
      </c>
      <c r="D102" s="240">
        <v>5</v>
      </c>
      <c r="E102" s="197" t="s">
        <v>874</v>
      </c>
      <c r="F102" s="239" t="s">
        <v>3133</v>
      </c>
      <c r="G102" s="239"/>
      <c r="H102" s="237"/>
      <c r="I102" s="239" t="s">
        <v>626</v>
      </c>
      <c r="J102" s="197" t="s">
        <v>2987</v>
      </c>
      <c r="K102" s="197" t="s">
        <v>3005</v>
      </c>
      <c r="L102" s="239" t="s">
        <v>875</v>
      </c>
      <c r="M102" s="197" t="s">
        <v>29</v>
      </c>
      <c r="N102" s="238" t="s">
        <v>760</v>
      </c>
      <c r="O102" s="239" t="s">
        <v>7030</v>
      </c>
      <c r="P102" s="239"/>
      <c r="Q102" s="320"/>
    </row>
    <row r="103" spans="1:17" s="252" customFormat="1">
      <c r="A103" s="239">
        <f t="shared" si="3"/>
        <v>102</v>
      </c>
      <c r="C103" s="239" t="s">
        <v>2371</v>
      </c>
      <c r="D103" s="240">
        <v>5</v>
      </c>
      <c r="E103" s="197" t="s">
        <v>877</v>
      </c>
      <c r="F103" s="239" t="s">
        <v>3133</v>
      </c>
      <c r="G103" s="239"/>
      <c r="H103" s="237"/>
      <c r="I103" s="239" t="s">
        <v>626</v>
      </c>
      <c r="J103" s="197" t="s">
        <v>2987</v>
      </c>
      <c r="K103" s="197" t="s">
        <v>3006</v>
      </c>
      <c r="L103" s="239" t="s">
        <v>878</v>
      </c>
      <c r="M103" s="197" t="s">
        <v>29</v>
      </c>
      <c r="N103" s="238" t="s">
        <v>760</v>
      </c>
      <c r="O103" s="239" t="s">
        <v>7030</v>
      </c>
      <c r="P103" s="239"/>
      <c r="Q103" s="320"/>
    </row>
    <row r="104" spans="1:17" s="252" customFormat="1">
      <c r="A104" s="239">
        <f t="shared" si="3"/>
        <v>103</v>
      </c>
      <c r="C104" s="239" t="s">
        <v>2372</v>
      </c>
      <c r="D104" s="240">
        <v>15</v>
      </c>
      <c r="E104" s="197" t="s">
        <v>879</v>
      </c>
      <c r="F104" s="239" t="s">
        <v>3133</v>
      </c>
      <c r="G104" s="239"/>
      <c r="H104" s="237"/>
      <c r="I104" s="239" t="s">
        <v>626</v>
      </c>
      <c r="J104" s="197" t="s">
        <v>2987</v>
      </c>
      <c r="K104" s="197" t="s">
        <v>3007</v>
      </c>
      <c r="L104" s="239" t="s">
        <v>880</v>
      </c>
      <c r="M104" s="197" t="s">
        <v>29</v>
      </c>
      <c r="N104" s="238" t="s">
        <v>760</v>
      </c>
      <c r="O104" s="239" t="s">
        <v>7030</v>
      </c>
      <c r="P104" s="239"/>
      <c r="Q104" s="320"/>
    </row>
    <row r="105" spans="1:17" s="252" customFormat="1">
      <c r="A105" s="239">
        <f t="shared" si="3"/>
        <v>104</v>
      </c>
      <c r="C105" s="239" t="s">
        <v>2373</v>
      </c>
      <c r="D105" s="240">
        <v>5</v>
      </c>
      <c r="E105" s="197" t="s">
        <v>882</v>
      </c>
      <c r="F105" s="239" t="s">
        <v>3133</v>
      </c>
      <c r="G105" s="239"/>
      <c r="H105" s="237"/>
      <c r="I105" s="239" t="s">
        <v>626</v>
      </c>
      <c r="J105" s="197" t="s">
        <v>2987</v>
      </c>
      <c r="K105" s="197" t="s">
        <v>2875</v>
      </c>
      <c r="L105" s="239" t="s">
        <v>883</v>
      </c>
      <c r="M105" s="197" t="s">
        <v>29</v>
      </c>
      <c r="N105" s="238" t="s">
        <v>760</v>
      </c>
      <c r="O105" s="239" t="s">
        <v>7030</v>
      </c>
      <c r="P105" s="239"/>
      <c r="Q105" s="320"/>
    </row>
    <row r="106" spans="1:17" s="252" customFormat="1">
      <c r="A106" s="239">
        <f t="shared" si="3"/>
        <v>105</v>
      </c>
      <c r="C106" s="239" t="s">
        <v>2374</v>
      </c>
      <c r="D106" s="240">
        <v>5</v>
      </c>
      <c r="E106" s="197" t="s">
        <v>884</v>
      </c>
      <c r="F106" s="239" t="s">
        <v>3133</v>
      </c>
      <c r="G106" s="239"/>
      <c r="H106" s="237"/>
      <c r="I106" s="239" t="s">
        <v>626</v>
      </c>
      <c r="J106" s="197" t="s">
        <v>2987</v>
      </c>
      <c r="K106" s="197" t="s">
        <v>3008</v>
      </c>
      <c r="L106" s="239" t="s">
        <v>885</v>
      </c>
      <c r="M106" s="250" t="s">
        <v>29</v>
      </c>
      <c r="N106" s="238" t="s">
        <v>760</v>
      </c>
      <c r="O106" s="239" t="s">
        <v>7030</v>
      </c>
      <c r="P106" s="239"/>
      <c r="Q106" s="320"/>
    </row>
    <row r="107" spans="1:17" s="252" customFormat="1">
      <c r="A107" s="239">
        <f t="shared" si="3"/>
        <v>106</v>
      </c>
      <c r="C107" s="239" t="s">
        <v>2375</v>
      </c>
      <c r="D107" s="240">
        <v>15</v>
      </c>
      <c r="E107" s="197" t="s">
        <v>886</v>
      </c>
      <c r="F107" s="239" t="s">
        <v>3133</v>
      </c>
      <c r="G107" s="239"/>
      <c r="H107" s="237"/>
      <c r="I107" s="239" t="s">
        <v>626</v>
      </c>
      <c r="J107" s="197" t="s">
        <v>2987</v>
      </c>
      <c r="K107" s="197" t="s">
        <v>3009</v>
      </c>
      <c r="L107" s="239" t="s">
        <v>887</v>
      </c>
      <c r="M107" s="197" t="s">
        <v>29</v>
      </c>
      <c r="N107" s="238" t="s">
        <v>760</v>
      </c>
      <c r="O107" s="239" t="s">
        <v>7030</v>
      </c>
      <c r="P107" s="239"/>
      <c r="Q107" s="320"/>
    </row>
    <row r="108" spans="1:17" s="252" customFormat="1">
      <c r="A108" s="239">
        <f t="shared" si="3"/>
        <v>107</v>
      </c>
      <c r="C108" s="239" t="s">
        <v>2376</v>
      </c>
      <c r="D108" s="240">
        <v>5</v>
      </c>
      <c r="E108" s="197" t="s">
        <v>889</v>
      </c>
      <c r="F108" s="239" t="s">
        <v>3133</v>
      </c>
      <c r="G108" s="239"/>
      <c r="H108" s="237"/>
      <c r="I108" s="239" t="s">
        <v>626</v>
      </c>
      <c r="J108" s="197" t="s">
        <v>2987</v>
      </c>
      <c r="K108" s="197" t="s">
        <v>761</v>
      </c>
      <c r="L108" s="239" t="s">
        <v>890</v>
      </c>
      <c r="M108" s="197" t="s">
        <v>29</v>
      </c>
      <c r="N108" s="238" t="s">
        <v>760</v>
      </c>
      <c r="O108" s="239" t="s">
        <v>7030</v>
      </c>
      <c r="P108" s="239"/>
      <c r="Q108" s="320"/>
    </row>
    <row r="109" spans="1:17" s="252" customFormat="1">
      <c r="A109" s="239">
        <f t="shared" si="3"/>
        <v>108</v>
      </c>
      <c r="C109" s="239" t="s">
        <v>2377</v>
      </c>
      <c r="D109" s="240">
        <v>5</v>
      </c>
      <c r="E109" s="197" t="s">
        <v>1411</v>
      </c>
      <c r="F109" s="239" t="s">
        <v>3133</v>
      </c>
      <c r="G109" s="239"/>
      <c r="H109" s="237"/>
      <c r="I109" s="239" t="s">
        <v>626</v>
      </c>
      <c r="J109" s="197" t="s">
        <v>2987</v>
      </c>
      <c r="K109" s="197" t="s">
        <v>3010</v>
      </c>
      <c r="L109" s="239" t="s">
        <v>891</v>
      </c>
      <c r="M109" s="197" t="s">
        <v>29</v>
      </c>
      <c r="N109" s="238" t="s">
        <v>760</v>
      </c>
      <c r="O109" s="239" t="s">
        <v>7030</v>
      </c>
      <c r="P109" s="239"/>
      <c r="Q109" s="320"/>
    </row>
    <row r="110" spans="1:17" s="252" customFormat="1">
      <c r="A110" s="239">
        <f t="shared" si="3"/>
        <v>109</v>
      </c>
      <c r="C110" s="239" t="s">
        <v>2378</v>
      </c>
      <c r="D110" s="240">
        <v>15</v>
      </c>
      <c r="E110" s="197" t="s">
        <v>893</v>
      </c>
      <c r="F110" s="239" t="s">
        <v>3133</v>
      </c>
      <c r="G110" s="239"/>
      <c r="H110" s="237"/>
      <c r="I110" s="239" t="s">
        <v>626</v>
      </c>
      <c r="J110" s="197" t="s">
        <v>2987</v>
      </c>
      <c r="K110" s="197" t="s">
        <v>3011</v>
      </c>
      <c r="L110" s="239" t="s">
        <v>894</v>
      </c>
      <c r="M110" s="197" t="s">
        <v>29</v>
      </c>
      <c r="N110" s="238" t="s">
        <v>760</v>
      </c>
      <c r="O110" s="239" t="s">
        <v>7030</v>
      </c>
      <c r="P110" s="239"/>
      <c r="Q110" s="320"/>
    </row>
    <row r="111" spans="1:17" s="252" customFormat="1">
      <c r="A111" s="239">
        <f t="shared" si="3"/>
        <v>110</v>
      </c>
      <c r="C111" s="239" t="s">
        <v>2379</v>
      </c>
      <c r="D111" s="240">
        <v>5</v>
      </c>
      <c r="E111" s="197" t="s">
        <v>896</v>
      </c>
      <c r="F111" s="239" t="s">
        <v>3133</v>
      </c>
      <c r="G111" s="239"/>
      <c r="H111" s="237"/>
      <c r="I111" s="239" t="s">
        <v>626</v>
      </c>
      <c r="J111" s="197" t="s">
        <v>2987</v>
      </c>
      <c r="K111" s="197" t="s">
        <v>865</v>
      </c>
      <c r="L111" s="239" t="s">
        <v>897</v>
      </c>
      <c r="M111" s="250" t="s">
        <v>29</v>
      </c>
      <c r="N111" s="238" t="s">
        <v>760</v>
      </c>
      <c r="O111" s="239" t="s">
        <v>7030</v>
      </c>
      <c r="P111" s="239"/>
      <c r="Q111" s="320"/>
    </row>
    <row r="112" spans="1:17" s="473" customFormat="1">
      <c r="A112" s="239">
        <f t="shared" si="3"/>
        <v>111</v>
      </c>
      <c r="B112" s="239" t="s">
        <v>2380</v>
      </c>
      <c r="C112" s="240" t="s">
        <v>275</v>
      </c>
      <c r="D112" s="240">
        <v>4</v>
      </c>
      <c r="E112" s="197" t="s">
        <v>3112</v>
      </c>
      <c r="F112" s="239" t="s">
        <v>3133</v>
      </c>
      <c r="G112" s="239"/>
      <c r="H112" s="237" t="s">
        <v>2964</v>
      </c>
      <c r="I112" s="239" t="s">
        <v>625</v>
      </c>
      <c r="J112" s="197" t="s">
        <v>2987</v>
      </c>
      <c r="K112" s="197" t="s">
        <v>895</v>
      </c>
      <c r="L112" s="239" t="s">
        <v>899</v>
      </c>
      <c r="M112" s="197" t="s">
        <v>29</v>
      </c>
      <c r="N112" s="238" t="s">
        <v>903</v>
      </c>
      <c r="O112" s="414"/>
      <c r="P112" s="414"/>
      <c r="Q112" s="472"/>
    </row>
    <row r="113" spans="1:17" s="473" customFormat="1">
      <c r="A113" s="239">
        <f t="shared" si="3"/>
        <v>112</v>
      </c>
      <c r="B113" s="239" t="s">
        <v>2381</v>
      </c>
      <c r="C113" s="240" t="s">
        <v>275</v>
      </c>
      <c r="D113" s="240">
        <v>4</v>
      </c>
      <c r="E113" s="197" t="s">
        <v>901</v>
      </c>
      <c r="F113" s="239" t="s">
        <v>3133</v>
      </c>
      <c r="G113" s="239"/>
      <c r="H113" s="237" t="s">
        <v>2964</v>
      </c>
      <c r="I113" s="239" t="s">
        <v>625</v>
      </c>
      <c r="J113" s="197" t="s">
        <v>3012</v>
      </c>
      <c r="K113" s="197" t="s">
        <v>92</v>
      </c>
      <c r="L113" s="239" t="s">
        <v>902</v>
      </c>
      <c r="M113" s="197" t="s">
        <v>29</v>
      </c>
      <c r="N113" s="238" t="s">
        <v>903</v>
      </c>
      <c r="O113" s="414"/>
      <c r="P113" s="414"/>
      <c r="Q113" s="472"/>
    </row>
    <row r="114" spans="1:17" s="473" customFormat="1">
      <c r="A114" s="239">
        <f t="shared" si="3"/>
        <v>113</v>
      </c>
      <c r="B114" s="239" t="s">
        <v>2382</v>
      </c>
      <c r="C114" s="240" t="s">
        <v>275</v>
      </c>
      <c r="D114" s="240">
        <v>4</v>
      </c>
      <c r="E114" s="197" t="s">
        <v>905</v>
      </c>
      <c r="F114" s="239" t="s">
        <v>3133</v>
      </c>
      <c r="G114" s="239"/>
      <c r="H114" s="237" t="s">
        <v>2964</v>
      </c>
      <c r="I114" s="239" t="s">
        <v>625</v>
      </c>
      <c r="J114" s="197" t="s">
        <v>3012</v>
      </c>
      <c r="K114" s="197" t="s">
        <v>3013</v>
      </c>
      <c r="L114" s="239" t="s">
        <v>906</v>
      </c>
      <c r="M114" s="197" t="s">
        <v>29</v>
      </c>
      <c r="N114" s="238" t="s">
        <v>903</v>
      </c>
      <c r="O114" s="414"/>
      <c r="P114" s="414"/>
      <c r="Q114" s="472"/>
    </row>
    <row r="115" spans="1:17" s="473" customFormat="1">
      <c r="A115" s="239">
        <f t="shared" si="3"/>
        <v>114</v>
      </c>
      <c r="B115" s="239" t="s">
        <v>2383</v>
      </c>
      <c r="C115" s="240" t="s">
        <v>275</v>
      </c>
      <c r="D115" s="240">
        <v>4</v>
      </c>
      <c r="E115" s="197" t="s">
        <v>908</v>
      </c>
      <c r="F115" s="239" t="s">
        <v>3133</v>
      </c>
      <c r="G115" s="239"/>
      <c r="H115" s="237" t="s">
        <v>2964</v>
      </c>
      <c r="I115" s="239" t="s">
        <v>625</v>
      </c>
      <c r="J115" s="197" t="s">
        <v>3012</v>
      </c>
      <c r="K115" s="197" t="s">
        <v>3014</v>
      </c>
      <c r="L115" s="239" t="s">
        <v>909</v>
      </c>
      <c r="M115" s="197" t="s">
        <v>29</v>
      </c>
      <c r="N115" s="238" t="s">
        <v>903</v>
      </c>
      <c r="O115" s="414"/>
      <c r="P115" s="414"/>
      <c r="Q115" s="472"/>
    </row>
    <row r="116" spans="1:17" s="473" customFormat="1">
      <c r="A116" s="239">
        <f t="shared" si="3"/>
        <v>115</v>
      </c>
      <c r="B116" s="239" t="s">
        <v>2384</v>
      </c>
      <c r="C116" s="240" t="s">
        <v>275</v>
      </c>
      <c r="D116" s="240">
        <v>4</v>
      </c>
      <c r="E116" s="197" t="s">
        <v>911</v>
      </c>
      <c r="F116" s="239" t="s">
        <v>3133</v>
      </c>
      <c r="G116" s="239"/>
      <c r="H116" s="237" t="s">
        <v>2964</v>
      </c>
      <c r="I116" s="239" t="s">
        <v>625</v>
      </c>
      <c r="J116" s="197" t="s">
        <v>3012</v>
      </c>
      <c r="K116" s="197" t="s">
        <v>2736</v>
      </c>
      <c r="L116" s="239" t="s">
        <v>912</v>
      </c>
      <c r="M116" s="197" t="s">
        <v>29</v>
      </c>
      <c r="N116" s="238" t="s">
        <v>903</v>
      </c>
      <c r="O116" s="414"/>
      <c r="P116" s="414"/>
      <c r="Q116" s="472"/>
    </row>
    <row r="117" spans="1:17" s="473" customFormat="1">
      <c r="A117" s="239">
        <f t="shared" si="3"/>
        <v>116</v>
      </c>
      <c r="B117" s="239" t="s">
        <v>2385</v>
      </c>
      <c r="C117" s="240" t="s">
        <v>275</v>
      </c>
      <c r="D117" s="240">
        <v>4</v>
      </c>
      <c r="E117" s="197" t="s">
        <v>914</v>
      </c>
      <c r="F117" s="239" t="s">
        <v>3133</v>
      </c>
      <c r="G117" s="239"/>
      <c r="H117" s="237" t="s">
        <v>2964</v>
      </c>
      <c r="I117" s="239" t="s">
        <v>625</v>
      </c>
      <c r="J117" s="197" t="s">
        <v>3012</v>
      </c>
      <c r="K117" s="197" t="s">
        <v>3015</v>
      </c>
      <c r="L117" s="239" t="s">
        <v>915</v>
      </c>
      <c r="M117" s="197" t="s">
        <v>29</v>
      </c>
      <c r="N117" s="238" t="s">
        <v>903</v>
      </c>
      <c r="O117" s="414"/>
      <c r="P117" s="414"/>
      <c r="Q117" s="472"/>
    </row>
    <row r="118" spans="1:17" s="473" customFormat="1">
      <c r="A118" s="239">
        <f t="shared" si="3"/>
        <v>117</v>
      </c>
      <c r="B118" s="239" t="s">
        <v>2386</v>
      </c>
      <c r="C118" s="240" t="s">
        <v>275</v>
      </c>
      <c r="D118" s="240">
        <v>4</v>
      </c>
      <c r="E118" s="197" t="s">
        <v>917</v>
      </c>
      <c r="F118" s="239" t="s">
        <v>3133</v>
      </c>
      <c r="G118" s="239"/>
      <c r="H118" s="237" t="s">
        <v>2964</v>
      </c>
      <c r="I118" s="239" t="s">
        <v>625</v>
      </c>
      <c r="J118" s="197" t="s">
        <v>3412</v>
      </c>
      <c r="K118" s="197" t="s">
        <v>3016</v>
      </c>
      <c r="L118" s="239" t="s">
        <v>918</v>
      </c>
      <c r="M118" s="197" t="s">
        <v>29</v>
      </c>
      <c r="N118" s="238" t="s">
        <v>903</v>
      </c>
      <c r="O118" s="414"/>
      <c r="P118" s="414"/>
      <c r="Q118" s="472"/>
    </row>
    <row r="119" spans="1:17" s="473" customFormat="1">
      <c r="A119" s="239">
        <f t="shared" si="3"/>
        <v>118</v>
      </c>
      <c r="B119" s="239" t="s">
        <v>2387</v>
      </c>
      <c r="C119" s="240" t="s">
        <v>275</v>
      </c>
      <c r="D119" s="240">
        <v>4</v>
      </c>
      <c r="E119" s="197" t="s">
        <v>919</v>
      </c>
      <c r="F119" s="239" t="s">
        <v>3133</v>
      </c>
      <c r="G119" s="239"/>
      <c r="H119" s="237" t="s">
        <v>2964</v>
      </c>
      <c r="I119" s="239" t="s">
        <v>625</v>
      </c>
      <c r="J119" s="197" t="s">
        <v>2987</v>
      </c>
      <c r="K119" s="197" t="s">
        <v>191</v>
      </c>
      <c r="L119" s="239" t="s">
        <v>920</v>
      </c>
      <c r="M119" s="197" t="s">
        <v>29</v>
      </c>
      <c r="N119" s="238" t="s">
        <v>903</v>
      </c>
      <c r="O119" s="414"/>
      <c r="P119" s="414"/>
      <c r="Q119" s="472"/>
    </row>
    <row r="120" spans="1:17" s="252" customFormat="1">
      <c r="A120" s="239">
        <f t="shared" si="3"/>
        <v>119</v>
      </c>
      <c r="C120" s="239" t="s">
        <v>2388</v>
      </c>
      <c r="D120" s="240">
        <v>4</v>
      </c>
      <c r="E120" s="197" t="s">
        <v>922</v>
      </c>
      <c r="F120" s="239" t="s">
        <v>3133</v>
      </c>
      <c r="G120" s="239"/>
      <c r="H120" s="237"/>
      <c r="I120" s="239" t="s">
        <v>625</v>
      </c>
      <c r="J120" s="197" t="s">
        <v>2987</v>
      </c>
      <c r="K120" s="197" t="s">
        <v>842</v>
      </c>
      <c r="L120" s="239" t="s">
        <v>923</v>
      </c>
      <c r="M120" s="197" t="s">
        <v>29</v>
      </c>
      <c r="N120" s="238" t="s">
        <v>903</v>
      </c>
      <c r="O120" s="239" t="s">
        <v>7030</v>
      </c>
      <c r="P120" s="239"/>
      <c r="Q120" s="320"/>
    </row>
    <row r="121" spans="1:17" s="473" customFormat="1">
      <c r="A121" s="239">
        <f t="shared" si="3"/>
        <v>120</v>
      </c>
      <c r="B121" s="239" t="s">
        <v>2389</v>
      </c>
      <c r="C121" s="240" t="s">
        <v>275</v>
      </c>
      <c r="D121" s="240">
        <v>4</v>
      </c>
      <c r="E121" s="197" t="s">
        <v>925</v>
      </c>
      <c r="F121" s="239" t="s">
        <v>3133</v>
      </c>
      <c r="G121" s="239"/>
      <c r="H121" s="237" t="s">
        <v>2964</v>
      </c>
      <c r="I121" s="239" t="s">
        <v>625</v>
      </c>
      <c r="J121" s="197" t="s">
        <v>3012</v>
      </c>
      <c r="K121" s="197" t="s">
        <v>1419</v>
      </c>
      <c r="L121" s="239" t="s">
        <v>3108</v>
      </c>
      <c r="M121" s="197" t="s">
        <v>29</v>
      </c>
      <c r="N121" s="238" t="s">
        <v>903</v>
      </c>
      <c r="O121" s="414"/>
      <c r="P121" s="414"/>
      <c r="Q121" s="472"/>
    </row>
    <row r="122" spans="1:17" s="252" customFormat="1">
      <c r="A122" s="239">
        <f t="shared" si="3"/>
        <v>121</v>
      </c>
      <c r="C122" s="239" t="s">
        <v>2390</v>
      </c>
      <c r="D122" s="240">
        <v>4</v>
      </c>
      <c r="E122" s="197" t="s">
        <v>284</v>
      </c>
      <c r="F122" s="239" t="s">
        <v>3133</v>
      </c>
      <c r="G122" s="239"/>
      <c r="H122" s="237"/>
      <c r="I122" s="239" t="s">
        <v>625</v>
      </c>
      <c r="J122" s="197" t="s">
        <v>3012</v>
      </c>
      <c r="K122" s="197" t="s">
        <v>924</v>
      </c>
      <c r="L122" s="239" t="s">
        <v>927</v>
      </c>
      <c r="M122" s="197" t="s">
        <v>29</v>
      </c>
      <c r="N122" s="238" t="s">
        <v>903</v>
      </c>
      <c r="O122" s="239"/>
      <c r="P122" s="239"/>
      <c r="Q122" s="320"/>
    </row>
    <row r="123" spans="1:17" s="252" customFormat="1">
      <c r="A123" s="239">
        <f t="shared" si="3"/>
        <v>122</v>
      </c>
      <c r="B123" s="245" t="s">
        <v>2391</v>
      </c>
      <c r="C123" s="240" t="s">
        <v>275</v>
      </c>
      <c r="D123" s="240">
        <v>4</v>
      </c>
      <c r="E123" s="197" t="s">
        <v>3113</v>
      </c>
      <c r="F123" s="245" t="s">
        <v>3133</v>
      </c>
      <c r="G123" s="239"/>
      <c r="H123" s="237" t="s">
        <v>2964</v>
      </c>
      <c r="I123" s="239" t="s">
        <v>625</v>
      </c>
      <c r="J123" s="197" t="s">
        <v>3012</v>
      </c>
      <c r="K123" s="197" t="s">
        <v>1421</v>
      </c>
      <c r="L123" s="239" t="s">
        <v>3109</v>
      </c>
      <c r="M123" s="197"/>
      <c r="N123" s="238">
        <v>64</v>
      </c>
      <c r="O123" s="239" t="s">
        <v>2329</v>
      </c>
      <c r="P123" s="239" t="s">
        <v>3127</v>
      </c>
      <c r="Q123" s="320"/>
    </row>
    <row r="124" spans="1:17" s="252" customFormat="1" ht="22.5">
      <c r="A124" s="239">
        <f t="shared" si="1"/>
        <v>123</v>
      </c>
      <c r="B124" s="239" t="s">
        <v>2519</v>
      </c>
      <c r="C124" s="240" t="s">
        <v>275</v>
      </c>
      <c r="D124" s="240">
        <v>1</v>
      </c>
      <c r="E124" s="197" t="s">
        <v>1295</v>
      </c>
      <c r="F124" s="239" t="s">
        <v>3133</v>
      </c>
      <c r="G124" s="239"/>
      <c r="H124" s="237" t="s">
        <v>2964</v>
      </c>
      <c r="I124" s="251" t="s">
        <v>3322</v>
      </c>
      <c r="J124" s="197" t="s">
        <v>3012</v>
      </c>
      <c r="K124" s="197" t="s">
        <v>1423</v>
      </c>
      <c r="L124" s="239"/>
      <c r="M124" s="197" t="s">
        <v>3120</v>
      </c>
      <c r="N124" s="255"/>
      <c r="O124" s="239"/>
      <c r="P124" s="239"/>
      <c r="Q124" s="320"/>
    </row>
    <row r="125" spans="1:17" s="252" customFormat="1">
      <c r="A125" s="239">
        <f t="shared" si="3"/>
        <v>124</v>
      </c>
      <c r="B125" s="245" t="s">
        <v>2961</v>
      </c>
      <c r="C125" s="240" t="s">
        <v>275</v>
      </c>
      <c r="D125" s="240">
        <v>1</v>
      </c>
      <c r="E125" s="197" t="s">
        <v>3114</v>
      </c>
      <c r="F125" s="245" t="s">
        <v>3133</v>
      </c>
      <c r="G125" s="239"/>
      <c r="H125" s="237" t="s">
        <v>2964</v>
      </c>
      <c r="I125" s="239" t="s">
        <v>625</v>
      </c>
      <c r="J125" s="197" t="s">
        <v>3012</v>
      </c>
      <c r="K125" s="197" t="s">
        <v>1425</v>
      </c>
      <c r="L125" s="239"/>
      <c r="M125" s="197"/>
      <c r="N125" s="238">
        <v>18</v>
      </c>
      <c r="O125" s="239" t="s">
        <v>2329</v>
      </c>
      <c r="P125" s="239" t="s">
        <v>3127</v>
      </c>
      <c r="Q125" s="320"/>
    </row>
    <row r="126" spans="1:17" s="252" customFormat="1">
      <c r="A126" s="239">
        <f t="shared" si="1"/>
        <v>125</v>
      </c>
      <c r="B126" s="239" t="s">
        <v>2962</v>
      </c>
      <c r="C126" s="240" t="s">
        <v>279</v>
      </c>
      <c r="D126" s="240">
        <v>15</v>
      </c>
      <c r="E126" s="344" t="s">
        <v>842</v>
      </c>
      <c r="F126" s="245" t="s">
        <v>3133</v>
      </c>
      <c r="G126" s="320"/>
      <c r="H126" s="237" t="s">
        <v>2964</v>
      </c>
      <c r="I126" s="239" t="s">
        <v>626</v>
      </c>
      <c r="J126" s="197" t="s">
        <v>2987</v>
      </c>
      <c r="K126" s="344" t="s">
        <v>842</v>
      </c>
      <c r="L126" s="320" t="s">
        <v>3653</v>
      </c>
      <c r="M126" s="344"/>
      <c r="N126" s="238" t="s">
        <v>760</v>
      </c>
      <c r="O126" s="320"/>
      <c r="P126" s="320" t="s">
        <v>3652</v>
      </c>
      <c r="Q126" s="320"/>
    </row>
    <row r="127" spans="1:17" s="252" customFormat="1">
      <c r="A127" s="239">
        <f t="shared" si="3"/>
        <v>126</v>
      </c>
      <c r="B127" s="245" t="s">
        <v>3643</v>
      </c>
      <c r="C127" s="240" t="s">
        <v>279</v>
      </c>
      <c r="D127" s="240">
        <v>15</v>
      </c>
      <c r="E127" s="344" t="s">
        <v>3665</v>
      </c>
      <c r="F127" s="245" t="s">
        <v>3133</v>
      </c>
      <c r="G127" s="320"/>
      <c r="H127" s="237" t="s">
        <v>2964</v>
      </c>
      <c r="I127" s="239" t="s">
        <v>626</v>
      </c>
      <c r="J127" s="197" t="s">
        <v>2987</v>
      </c>
      <c r="K127" s="344" t="s">
        <v>3665</v>
      </c>
      <c r="L127" s="320" t="s">
        <v>3654</v>
      </c>
      <c r="M127" s="344" t="s">
        <v>3655</v>
      </c>
      <c r="N127" s="238" t="s">
        <v>760</v>
      </c>
      <c r="O127" s="320"/>
      <c r="P127" s="320" t="s">
        <v>3652</v>
      </c>
      <c r="Q127" s="320"/>
    </row>
    <row r="128" spans="1:17" s="252" customFormat="1">
      <c r="A128" s="239">
        <f t="shared" si="1"/>
        <v>127</v>
      </c>
      <c r="B128" s="239" t="s">
        <v>3644</v>
      </c>
      <c r="C128" s="240" t="s">
        <v>279</v>
      </c>
      <c r="D128" s="240">
        <v>15</v>
      </c>
      <c r="E128" s="344" t="s">
        <v>3666</v>
      </c>
      <c r="F128" s="245" t="s">
        <v>3133</v>
      </c>
      <c r="G128" s="320" t="s">
        <v>3664</v>
      </c>
      <c r="H128" s="237" t="s">
        <v>2964</v>
      </c>
      <c r="I128" s="239" t="s">
        <v>626</v>
      </c>
      <c r="J128" s="197" t="s">
        <v>2987</v>
      </c>
      <c r="K128" s="344" t="s">
        <v>3666</v>
      </c>
      <c r="L128" s="320" t="s">
        <v>3656</v>
      </c>
      <c r="M128" s="344"/>
      <c r="N128" s="238" t="s">
        <v>760</v>
      </c>
      <c r="O128" s="320"/>
      <c r="P128" s="320" t="s">
        <v>3652</v>
      </c>
      <c r="Q128" s="320"/>
    </row>
    <row r="129" spans="1:17" s="252" customFormat="1">
      <c r="A129" s="239">
        <f t="shared" si="3"/>
        <v>128</v>
      </c>
      <c r="B129" s="245" t="s">
        <v>3645</v>
      </c>
      <c r="C129" s="240" t="s">
        <v>279</v>
      </c>
      <c r="D129" s="240">
        <v>15</v>
      </c>
      <c r="E129" s="344" t="s">
        <v>3667</v>
      </c>
      <c r="F129" s="245" t="s">
        <v>3133</v>
      </c>
      <c r="G129" s="320"/>
      <c r="H129" s="237" t="s">
        <v>2964</v>
      </c>
      <c r="I129" s="239" t="s">
        <v>626</v>
      </c>
      <c r="J129" s="197" t="s">
        <v>2987</v>
      </c>
      <c r="K129" s="344" t="s">
        <v>3667</v>
      </c>
      <c r="L129" s="320" t="s">
        <v>3657</v>
      </c>
      <c r="M129" s="344"/>
      <c r="N129" s="238" t="s">
        <v>760</v>
      </c>
      <c r="O129" s="320"/>
      <c r="P129" s="320" t="s">
        <v>3652</v>
      </c>
      <c r="Q129" s="320"/>
    </row>
    <row r="130" spans="1:17" s="252" customFormat="1">
      <c r="A130" s="239">
        <f t="shared" si="1"/>
        <v>129</v>
      </c>
      <c r="B130" s="239" t="s">
        <v>3646</v>
      </c>
      <c r="C130" s="240" t="s">
        <v>279</v>
      </c>
      <c r="D130" s="240">
        <v>15</v>
      </c>
      <c r="E130" s="344" t="s">
        <v>3668</v>
      </c>
      <c r="F130" s="245" t="s">
        <v>3133</v>
      </c>
      <c r="G130" s="320"/>
      <c r="H130" s="237" t="s">
        <v>2964</v>
      </c>
      <c r="I130" s="239" t="s">
        <v>626</v>
      </c>
      <c r="J130" s="197" t="s">
        <v>2987</v>
      </c>
      <c r="K130" s="344" t="s">
        <v>3668</v>
      </c>
      <c r="L130" s="320" t="s">
        <v>3658</v>
      </c>
      <c r="M130" s="344"/>
      <c r="N130" s="238" t="s">
        <v>760</v>
      </c>
      <c r="O130" s="320"/>
      <c r="P130" s="320" t="s">
        <v>3652</v>
      </c>
      <c r="Q130" s="320"/>
    </row>
    <row r="131" spans="1:17" s="252" customFormat="1">
      <c r="A131" s="239">
        <f t="shared" si="3"/>
        <v>130</v>
      </c>
      <c r="B131" s="245" t="s">
        <v>3647</v>
      </c>
      <c r="C131" s="240" t="s">
        <v>279</v>
      </c>
      <c r="D131" s="240">
        <v>15</v>
      </c>
      <c r="E131" s="344" t="s">
        <v>3669</v>
      </c>
      <c r="F131" s="245" t="s">
        <v>3133</v>
      </c>
      <c r="G131" s="320"/>
      <c r="H131" s="237" t="s">
        <v>2964</v>
      </c>
      <c r="I131" s="239" t="s">
        <v>626</v>
      </c>
      <c r="J131" s="197" t="s">
        <v>2987</v>
      </c>
      <c r="K131" s="344" t="s">
        <v>3669</v>
      </c>
      <c r="L131" s="320" t="s">
        <v>3659</v>
      </c>
      <c r="M131" s="344"/>
      <c r="N131" s="238" t="s">
        <v>760</v>
      </c>
      <c r="O131" s="320"/>
      <c r="P131" s="320" t="s">
        <v>3652</v>
      </c>
      <c r="Q131" s="320"/>
    </row>
    <row r="132" spans="1:17" s="252" customFormat="1">
      <c r="A132" s="239">
        <f t="shared" si="1"/>
        <v>131</v>
      </c>
      <c r="B132" s="239" t="s">
        <v>3648</v>
      </c>
      <c r="C132" s="240" t="s">
        <v>279</v>
      </c>
      <c r="D132" s="240">
        <v>15</v>
      </c>
      <c r="E132" s="344" t="s">
        <v>3670</v>
      </c>
      <c r="F132" s="245" t="s">
        <v>3133</v>
      </c>
      <c r="G132" s="320"/>
      <c r="H132" s="237" t="s">
        <v>2964</v>
      </c>
      <c r="I132" s="239" t="s">
        <v>626</v>
      </c>
      <c r="J132" s="197" t="s">
        <v>2987</v>
      </c>
      <c r="K132" s="344" t="s">
        <v>3670</v>
      </c>
      <c r="L132" s="320" t="s">
        <v>3660</v>
      </c>
      <c r="M132" s="344"/>
      <c r="N132" s="238" t="s">
        <v>760</v>
      </c>
      <c r="O132" s="320"/>
      <c r="P132" s="320" t="s">
        <v>3652</v>
      </c>
      <c r="Q132" s="320"/>
    </row>
    <row r="133" spans="1:17" s="252" customFormat="1">
      <c r="A133" s="239">
        <f t="shared" si="3"/>
        <v>132</v>
      </c>
      <c r="B133" s="239" t="s">
        <v>3649</v>
      </c>
      <c r="C133" s="240" t="s">
        <v>279</v>
      </c>
      <c r="D133" s="240">
        <v>15</v>
      </c>
      <c r="E133" s="344" t="s">
        <v>3671</v>
      </c>
      <c r="F133" s="245" t="s">
        <v>3133</v>
      </c>
      <c r="G133" s="320"/>
      <c r="H133" s="237" t="s">
        <v>2964</v>
      </c>
      <c r="I133" s="239" t="s">
        <v>626</v>
      </c>
      <c r="J133" s="197" t="s">
        <v>2987</v>
      </c>
      <c r="K133" s="344" t="s">
        <v>3671</v>
      </c>
      <c r="L133" s="320" t="s">
        <v>3661</v>
      </c>
      <c r="M133" s="344"/>
      <c r="N133" s="238" t="s">
        <v>760</v>
      </c>
      <c r="O133" s="320"/>
      <c r="P133" s="320" t="s">
        <v>3652</v>
      </c>
      <c r="Q133" s="320"/>
    </row>
    <row r="134" spans="1:17" s="252" customFormat="1">
      <c r="A134" s="239">
        <f t="shared" si="1"/>
        <v>133</v>
      </c>
      <c r="B134" s="245" t="s">
        <v>3650</v>
      </c>
      <c r="C134" s="240" t="s">
        <v>279</v>
      </c>
      <c r="D134" s="240">
        <v>15</v>
      </c>
      <c r="E134" s="344" t="s">
        <v>3672</v>
      </c>
      <c r="F134" s="245" t="s">
        <v>3133</v>
      </c>
      <c r="G134" s="320"/>
      <c r="H134" s="237" t="s">
        <v>2964</v>
      </c>
      <c r="I134" s="239" t="s">
        <v>626</v>
      </c>
      <c r="J134" s="197" t="s">
        <v>2987</v>
      </c>
      <c r="K134" s="344" t="s">
        <v>3672</v>
      </c>
      <c r="L134" s="320" t="s">
        <v>3662</v>
      </c>
      <c r="M134" s="344"/>
      <c r="N134" s="238" t="s">
        <v>760</v>
      </c>
      <c r="O134" s="320"/>
      <c r="P134" s="320" t="s">
        <v>3652</v>
      </c>
      <c r="Q134" s="320"/>
    </row>
    <row r="135" spans="1:17" s="252" customFormat="1">
      <c r="A135" s="239">
        <f t="shared" si="3"/>
        <v>134</v>
      </c>
      <c r="B135" s="239" t="s">
        <v>3651</v>
      </c>
      <c r="C135" s="240" t="s">
        <v>279</v>
      </c>
      <c r="D135" s="240">
        <v>15</v>
      </c>
      <c r="E135" s="344" t="s">
        <v>3673</v>
      </c>
      <c r="F135" s="245" t="s">
        <v>3133</v>
      </c>
      <c r="G135" s="320"/>
      <c r="H135" s="237" t="s">
        <v>2964</v>
      </c>
      <c r="I135" s="239" t="s">
        <v>626</v>
      </c>
      <c r="J135" s="197" t="s">
        <v>2987</v>
      </c>
      <c r="K135" s="344" t="s">
        <v>3673</v>
      </c>
      <c r="L135" s="320" t="s">
        <v>3663</v>
      </c>
      <c r="M135" s="344"/>
      <c r="N135" s="238" t="s">
        <v>760</v>
      </c>
      <c r="O135" s="320"/>
      <c r="P135" s="320" t="s">
        <v>3652</v>
      </c>
      <c r="Q135" s="320"/>
    </row>
    <row r="136" spans="1:17" s="252" customFormat="1">
      <c r="A136" s="239">
        <f t="shared" si="1"/>
        <v>135</v>
      </c>
      <c r="B136" s="245" t="s">
        <v>3712</v>
      </c>
      <c r="C136" s="240" t="s">
        <v>279</v>
      </c>
      <c r="D136" s="240">
        <v>15</v>
      </c>
      <c r="E136" s="344" t="s">
        <v>3717</v>
      </c>
      <c r="F136" s="245" t="s">
        <v>3133</v>
      </c>
      <c r="G136" s="320"/>
      <c r="H136" s="237" t="s">
        <v>2964</v>
      </c>
      <c r="I136" s="239" t="s">
        <v>625</v>
      </c>
      <c r="J136" s="197" t="s">
        <v>3012</v>
      </c>
      <c r="K136" s="344" t="s">
        <v>3717</v>
      </c>
      <c r="L136" s="320" t="s">
        <v>3714</v>
      </c>
      <c r="M136" s="344"/>
      <c r="N136" s="347"/>
      <c r="O136" s="320"/>
      <c r="P136" s="320"/>
      <c r="Q136" s="320"/>
    </row>
    <row r="137" spans="1:17" s="252" customFormat="1">
      <c r="A137" s="239">
        <f t="shared" si="3"/>
        <v>136</v>
      </c>
      <c r="B137" s="239" t="s">
        <v>3713</v>
      </c>
      <c r="C137" s="240" t="s">
        <v>275</v>
      </c>
      <c r="D137" s="343">
        <v>4</v>
      </c>
      <c r="E137" s="344" t="s">
        <v>3719</v>
      </c>
      <c r="F137" s="245" t="s">
        <v>3133</v>
      </c>
      <c r="G137" s="320"/>
      <c r="H137" s="237" t="s">
        <v>2964</v>
      </c>
      <c r="I137" s="239" t="s">
        <v>625</v>
      </c>
      <c r="J137" s="197" t="s">
        <v>3012</v>
      </c>
      <c r="K137" s="344" t="s">
        <v>3718</v>
      </c>
      <c r="L137" s="320" t="s">
        <v>3715</v>
      </c>
      <c r="M137" s="344"/>
      <c r="N137" s="347"/>
      <c r="O137" s="320"/>
      <c r="P137" s="320" t="s">
        <v>3716</v>
      </c>
      <c r="Q137" s="320"/>
    </row>
    <row r="138" spans="1:17" s="252" customFormat="1">
      <c r="A138" s="239">
        <f t="shared" si="3"/>
        <v>137</v>
      </c>
      <c r="C138" s="239" t="s">
        <v>2392</v>
      </c>
      <c r="D138" s="240">
        <v>5</v>
      </c>
      <c r="E138" s="197" t="s">
        <v>928</v>
      </c>
      <c r="F138" s="239" t="s">
        <v>3133</v>
      </c>
      <c r="G138" s="239"/>
      <c r="H138" s="237"/>
      <c r="I138" s="239" t="s">
        <v>3030</v>
      </c>
      <c r="J138" s="197" t="s">
        <v>3018</v>
      </c>
      <c r="K138" s="197" t="s">
        <v>104</v>
      </c>
      <c r="L138" s="239" t="s">
        <v>929</v>
      </c>
      <c r="M138" s="197" t="s">
        <v>932</v>
      </c>
      <c r="N138" s="253"/>
      <c r="O138" s="239"/>
      <c r="P138" s="239" t="s">
        <v>7030</v>
      </c>
      <c r="Q138" s="320"/>
    </row>
    <row r="139" spans="1:17" s="252" customFormat="1">
      <c r="A139" s="239">
        <f t="shared" si="3"/>
        <v>138</v>
      </c>
      <c r="C139" s="239" t="s">
        <v>2393</v>
      </c>
      <c r="D139" s="240">
        <v>15</v>
      </c>
      <c r="E139" s="197" t="s">
        <v>931</v>
      </c>
      <c r="F139" s="239" t="s">
        <v>3133</v>
      </c>
      <c r="G139" s="239"/>
      <c r="H139" s="237"/>
      <c r="I139" s="239" t="s">
        <v>3030</v>
      </c>
      <c r="J139" s="197" t="s">
        <v>3018</v>
      </c>
      <c r="K139" s="197" t="s">
        <v>105</v>
      </c>
      <c r="L139" s="239" t="s">
        <v>933</v>
      </c>
      <c r="M139" s="197" t="s">
        <v>932</v>
      </c>
      <c r="N139" s="253"/>
      <c r="O139" s="239"/>
      <c r="P139" s="239" t="s">
        <v>7030</v>
      </c>
      <c r="Q139" s="320"/>
    </row>
    <row r="140" spans="1:17" s="252" customFormat="1">
      <c r="A140" s="239">
        <f t="shared" si="3"/>
        <v>139</v>
      </c>
      <c r="C140" s="239" t="s">
        <v>2394</v>
      </c>
      <c r="D140" s="240">
        <v>15</v>
      </c>
      <c r="E140" s="197" t="s">
        <v>935</v>
      </c>
      <c r="F140" s="239" t="s">
        <v>3133</v>
      </c>
      <c r="G140" s="239"/>
      <c r="H140" s="237"/>
      <c r="I140" s="239" t="s">
        <v>3030</v>
      </c>
      <c r="J140" s="197" t="s">
        <v>3019</v>
      </c>
      <c r="K140" s="197" t="s">
        <v>989</v>
      </c>
      <c r="L140" s="239" t="s">
        <v>936</v>
      </c>
      <c r="M140" s="197" t="s">
        <v>932</v>
      </c>
      <c r="N140" s="253"/>
      <c r="O140" s="239"/>
      <c r="P140" s="239" t="s">
        <v>7030</v>
      </c>
      <c r="Q140" s="320"/>
    </row>
    <row r="141" spans="1:17" s="252" customFormat="1">
      <c r="A141" s="239">
        <f t="shared" si="3"/>
        <v>140</v>
      </c>
      <c r="C141" s="239" t="s">
        <v>2395</v>
      </c>
      <c r="D141" s="240">
        <v>5</v>
      </c>
      <c r="E141" s="197" t="s">
        <v>938</v>
      </c>
      <c r="F141" s="239" t="s">
        <v>3133</v>
      </c>
      <c r="G141" s="239"/>
      <c r="H141" s="237"/>
      <c r="I141" s="239" t="s">
        <v>3030</v>
      </c>
      <c r="J141" s="197" t="s">
        <v>3019</v>
      </c>
      <c r="K141" s="197" t="s">
        <v>981</v>
      </c>
      <c r="L141" s="239" t="s">
        <v>939</v>
      </c>
      <c r="M141" s="197" t="s">
        <v>932</v>
      </c>
      <c r="N141" s="253"/>
      <c r="O141" s="239"/>
      <c r="P141" s="239" t="s">
        <v>7030</v>
      </c>
      <c r="Q141" s="320"/>
    </row>
    <row r="142" spans="1:17" s="252" customFormat="1">
      <c r="A142" s="239">
        <f t="shared" si="3"/>
        <v>141</v>
      </c>
      <c r="C142" s="239" t="s">
        <v>2396</v>
      </c>
      <c r="D142" s="240">
        <v>15</v>
      </c>
      <c r="E142" s="197" t="s">
        <v>941</v>
      </c>
      <c r="F142" s="239" t="s">
        <v>3133</v>
      </c>
      <c r="G142" s="239"/>
      <c r="H142" s="237"/>
      <c r="I142" s="239" t="s">
        <v>3030</v>
      </c>
      <c r="J142" s="197" t="s">
        <v>3019</v>
      </c>
      <c r="K142" s="197" t="s">
        <v>983</v>
      </c>
      <c r="L142" s="239" t="s">
        <v>942</v>
      </c>
      <c r="M142" s="197" t="s">
        <v>932</v>
      </c>
      <c r="N142" s="253"/>
      <c r="O142" s="239"/>
      <c r="P142" s="239" t="s">
        <v>7030</v>
      </c>
      <c r="Q142" s="320"/>
    </row>
    <row r="143" spans="1:17" s="252" customFormat="1">
      <c r="A143" s="239">
        <f t="shared" si="3"/>
        <v>142</v>
      </c>
      <c r="C143" s="239" t="s">
        <v>2397</v>
      </c>
      <c r="D143" s="240">
        <v>5</v>
      </c>
      <c r="E143" s="197" t="s">
        <v>944</v>
      </c>
      <c r="F143" s="239" t="s">
        <v>3133</v>
      </c>
      <c r="G143" s="239"/>
      <c r="H143" s="237"/>
      <c r="I143" s="239" t="s">
        <v>3030</v>
      </c>
      <c r="J143" s="197" t="s">
        <v>3019</v>
      </c>
      <c r="K143" s="197" t="s">
        <v>963</v>
      </c>
      <c r="L143" s="239" t="s">
        <v>945</v>
      </c>
      <c r="M143" s="197" t="s">
        <v>932</v>
      </c>
      <c r="N143" s="253"/>
      <c r="O143" s="239"/>
      <c r="P143" s="239" t="s">
        <v>7030</v>
      </c>
      <c r="Q143" s="320"/>
    </row>
    <row r="144" spans="1:17" s="252" customFormat="1">
      <c r="A144" s="239">
        <f t="shared" si="3"/>
        <v>143</v>
      </c>
      <c r="C144" s="239" t="s">
        <v>2398</v>
      </c>
      <c r="D144" s="240">
        <v>5</v>
      </c>
      <c r="E144" s="197" t="s">
        <v>947</v>
      </c>
      <c r="F144" s="239" t="s">
        <v>3133</v>
      </c>
      <c r="G144" s="239"/>
      <c r="H144" s="237"/>
      <c r="I144" s="239" t="s">
        <v>3030</v>
      </c>
      <c r="J144" s="197" t="s">
        <v>3019</v>
      </c>
      <c r="K144" s="197" t="s">
        <v>966</v>
      </c>
      <c r="L144" s="239" t="s">
        <v>948</v>
      </c>
      <c r="M144" s="197" t="s">
        <v>932</v>
      </c>
      <c r="N144" s="253"/>
      <c r="O144" s="239"/>
      <c r="P144" s="239" t="s">
        <v>7030</v>
      </c>
      <c r="Q144" s="320"/>
    </row>
    <row r="145" spans="1:17" s="252" customFormat="1">
      <c r="A145" s="239">
        <f t="shared" si="3"/>
        <v>144</v>
      </c>
      <c r="C145" s="239" t="s">
        <v>2399</v>
      </c>
      <c r="D145" s="240">
        <v>15</v>
      </c>
      <c r="E145" s="197" t="s">
        <v>950</v>
      </c>
      <c r="F145" s="239" t="s">
        <v>3133</v>
      </c>
      <c r="G145" s="239"/>
      <c r="H145" s="237"/>
      <c r="I145" s="239" t="s">
        <v>3030</v>
      </c>
      <c r="J145" s="197" t="s">
        <v>3019</v>
      </c>
      <c r="K145" s="197" t="s">
        <v>2839</v>
      </c>
      <c r="L145" s="239" t="s">
        <v>951</v>
      </c>
      <c r="M145" s="197" t="s">
        <v>932</v>
      </c>
      <c r="N145" s="253"/>
      <c r="O145" s="239"/>
      <c r="P145" s="239" t="s">
        <v>7030</v>
      </c>
      <c r="Q145" s="320"/>
    </row>
    <row r="146" spans="1:17" s="252" customFormat="1">
      <c r="A146" s="239">
        <f t="shared" si="3"/>
        <v>145</v>
      </c>
      <c r="C146" s="239" t="s">
        <v>2400</v>
      </c>
      <c r="D146" s="240">
        <v>5</v>
      </c>
      <c r="E146" s="197" t="s">
        <v>953</v>
      </c>
      <c r="F146" s="239" t="s">
        <v>3133</v>
      </c>
      <c r="G146" s="239"/>
      <c r="H146" s="237"/>
      <c r="I146" s="239" t="s">
        <v>3030</v>
      </c>
      <c r="J146" s="197" t="s">
        <v>3019</v>
      </c>
      <c r="K146" s="197" t="s">
        <v>1052</v>
      </c>
      <c r="L146" s="239" t="s">
        <v>954</v>
      </c>
      <c r="M146" s="197" t="s">
        <v>932</v>
      </c>
      <c r="N146" s="253"/>
      <c r="O146" s="239"/>
      <c r="P146" s="239" t="s">
        <v>7030</v>
      </c>
      <c r="Q146" s="320"/>
    </row>
    <row r="147" spans="1:17" s="252" customFormat="1">
      <c r="A147" s="239">
        <f t="shared" si="3"/>
        <v>146</v>
      </c>
      <c r="C147" s="239" t="s">
        <v>2401</v>
      </c>
      <c r="D147" s="240">
        <v>5</v>
      </c>
      <c r="E147" s="197" t="s">
        <v>956</v>
      </c>
      <c r="F147" s="239" t="s">
        <v>3133</v>
      </c>
      <c r="G147" s="239"/>
      <c r="H147" s="237"/>
      <c r="I147" s="239" t="s">
        <v>3030</v>
      </c>
      <c r="J147" s="197" t="s">
        <v>3019</v>
      </c>
      <c r="K147" s="197" t="s">
        <v>3020</v>
      </c>
      <c r="L147" s="239" t="s">
        <v>957</v>
      </c>
      <c r="M147" s="197" t="s">
        <v>932</v>
      </c>
      <c r="N147" s="253"/>
      <c r="O147" s="239"/>
      <c r="P147" s="239" t="s">
        <v>7030</v>
      </c>
      <c r="Q147" s="320"/>
    </row>
    <row r="148" spans="1:17" s="252" customFormat="1">
      <c r="A148" s="239">
        <f t="shared" si="3"/>
        <v>147</v>
      </c>
      <c r="C148" s="239" t="s">
        <v>2402</v>
      </c>
      <c r="D148" s="240">
        <v>5</v>
      </c>
      <c r="E148" s="197" t="s">
        <v>958</v>
      </c>
      <c r="F148" s="239" t="s">
        <v>3133</v>
      </c>
      <c r="G148" s="239"/>
      <c r="H148" s="237"/>
      <c r="I148" s="239" t="s">
        <v>3030</v>
      </c>
      <c r="J148" s="197" t="s">
        <v>3019</v>
      </c>
      <c r="K148" s="197" t="s">
        <v>3021</v>
      </c>
      <c r="L148" s="239" t="s">
        <v>959</v>
      </c>
      <c r="M148" s="197" t="s">
        <v>932</v>
      </c>
      <c r="N148" s="253"/>
      <c r="O148" s="239"/>
      <c r="P148" s="239" t="s">
        <v>7030</v>
      </c>
      <c r="Q148" s="320"/>
    </row>
    <row r="149" spans="1:17" s="252" customFormat="1">
      <c r="A149" s="239">
        <f t="shared" si="3"/>
        <v>148</v>
      </c>
      <c r="B149" s="239" t="s">
        <v>2403</v>
      </c>
      <c r="C149" s="240" t="s">
        <v>279</v>
      </c>
      <c r="D149" s="240">
        <v>15</v>
      </c>
      <c r="E149" s="197" t="s">
        <v>961</v>
      </c>
      <c r="F149" s="239" t="s">
        <v>3133</v>
      </c>
      <c r="G149" s="239"/>
      <c r="H149" s="237" t="s">
        <v>2965</v>
      </c>
      <c r="I149" s="239" t="s">
        <v>3030</v>
      </c>
      <c r="J149" s="197" t="s">
        <v>3019</v>
      </c>
      <c r="K149" s="197" t="s">
        <v>3022</v>
      </c>
      <c r="L149" s="239" t="s">
        <v>962</v>
      </c>
      <c r="M149" s="197" t="s">
        <v>932</v>
      </c>
      <c r="N149" s="253"/>
      <c r="O149" s="239"/>
      <c r="P149" s="239"/>
      <c r="Q149" s="320"/>
    </row>
    <row r="150" spans="1:17" s="252" customFormat="1">
      <c r="A150" s="239">
        <f t="shared" si="3"/>
        <v>149</v>
      </c>
      <c r="B150" s="239" t="s">
        <v>2404</v>
      </c>
      <c r="C150" s="240" t="s">
        <v>279</v>
      </c>
      <c r="D150" s="240">
        <v>15</v>
      </c>
      <c r="E150" s="197" t="s">
        <v>964</v>
      </c>
      <c r="F150" s="239" t="s">
        <v>3133</v>
      </c>
      <c r="G150" s="239"/>
      <c r="H150" s="237" t="s">
        <v>2965</v>
      </c>
      <c r="I150" s="239" t="s">
        <v>3030</v>
      </c>
      <c r="J150" s="197" t="s">
        <v>3019</v>
      </c>
      <c r="K150" s="197" t="s">
        <v>3023</v>
      </c>
      <c r="L150" s="239" t="s">
        <v>965</v>
      </c>
      <c r="M150" s="197" t="s">
        <v>932</v>
      </c>
      <c r="N150" s="253"/>
      <c r="O150" s="239"/>
      <c r="P150" s="239"/>
      <c r="Q150" s="320"/>
    </row>
    <row r="151" spans="1:17" s="252" customFormat="1">
      <c r="A151" s="239">
        <f t="shared" si="3"/>
        <v>150</v>
      </c>
      <c r="C151" s="239" t="s">
        <v>2405</v>
      </c>
      <c r="D151" s="240">
        <v>15</v>
      </c>
      <c r="E151" s="197" t="s">
        <v>967</v>
      </c>
      <c r="F151" s="239" t="s">
        <v>3133</v>
      </c>
      <c r="G151" s="239"/>
      <c r="H151" s="237"/>
      <c r="I151" s="239" t="s">
        <v>3030</v>
      </c>
      <c r="J151" s="197" t="s">
        <v>3336</v>
      </c>
      <c r="K151" s="197" t="s">
        <v>969</v>
      </c>
      <c r="L151" s="239" t="s">
        <v>968</v>
      </c>
      <c r="M151" s="197" t="s">
        <v>932</v>
      </c>
      <c r="N151" s="253"/>
      <c r="O151" s="239"/>
      <c r="P151" s="239" t="s">
        <v>7030</v>
      </c>
      <c r="Q151" s="320"/>
    </row>
    <row r="152" spans="1:17" s="252" customFormat="1">
      <c r="A152" s="239">
        <f t="shared" si="3"/>
        <v>151</v>
      </c>
      <c r="B152" s="239" t="s">
        <v>2406</v>
      </c>
      <c r="C152" s="240" t="s">
        <v>279</v>
      </c>
      <c r="D152" s="240">
        <v>5</v>
      </c>
      <c r="E152" s="197" t="s">
        <v>970</v>
      </c>
      <c r="F152" s="239" t="s">
        <v>3133</v>
      </c>
      <c r="G152" s="239"/>
      <c r="H152" s="237" t="s">
        <v>2965</v>
      </c>
      <c r="I152" s="239" t="s">
        <v>3030</v>
      </c>
      <c r="J152" s="197" t="s">
        <v>3336</v>
      </c>
      <c r="K152" s="197" t="s">
        <v>972</v>
      </c>
      <c r="L152" s="239" t="s">
        <v>971</v>
      </c>
      <c r="M152" s="197" t="s">
        <v>932</v>
      </c>
      <c r="N152" s="253"/>
      <c r="O152" s="239"/>
      <c r="P152" s="239"/>
      <c r="Q152" s="320"/>
    </row>
    <row r="153" spans="1:17" s="252" customFormat="1">
      <c r="A153" s="239">
        <f t="shared" si="3"/>
        <v>152</v>
      </c>
      <c r="B153" s="239" t="s">
        <v>2407</v>
      </c>
      <c r="C153" s="240" t="s">
        <v>279</v>
      </c>
      <c r="D153" s="240">
        <v>5</v>
      </c>
      <c r="E153" s="197" t="s">
        <v>973</v>
      </c>
      <c r="F153" s="239" t="s">
        <v>3133</v>
      </c>
      <c r="G153" s="239"/>
      <c r="H153" s="237" t="s">
        <v>2965</v>
      </c>
      <c r="I153" s="239" t="s">
        <v>3030</v>
      </c>
      <c r="J153" s="197" t="s">
        <v>3336</v>
      </c>
      <c r="K153" s="197" t="s">
        <v>975</v>
      </c>
      <c r="L153" s="239" t="s">
        <v>974</v>
      </c>
      <c r="M153" s="197" t="s">
        <v>932</v>
      </c>
      <c r="N153" s="253"/>
      <c r="O153" s="239"/>
      <c r="P153" s="239"/>
      <c r="Q153" s="320"/>
    </row>
    <row r="154" spans="1:17" s="480" customFormat="1">
      <c r="A154" s="474">
        <f t="shared" si="3"/>
        <v>153</v>
      </c>
      <c r="B154" s="474" t="s">
        <v>2408</v>
      </c>
      <c r="C154" s="475" t="s">
        <v>279</v>
      </c>
      <c r="D154" s="475">
        <v>5</v>
      </c>
      <c r="E154" s="476" t="s">
        <v>976</v>
      </c>
      <c r="F154" s="474" t="s">
        <v>3133</v>
      </c>
      <c r="G154" s="474"/>
      <c r="H154" s="477" t="s">
        <v>2965</v>
      </c>
      <c r="I154" s="474" t="s">
        <v>3030</v>
      </c>
      <c r="J154" s="476" t="s">
        <v>3336</v>
      </c>
      <c r="K154" s="476" t="s">
        <v>978</v>
      </c>
      <c r="L154" s="474" t="s">
        <v>977</v>
      </c>
      <c r="M154" s="476" t="s">
        <v>932</v>
      </c>
      <c r="N154" s="478"/>
      <c r="O154" s="474"/>
      <c r="P154" s="474" t="s">
        <v>7034</v>
      </c>
      <c r="Q154" s="479"/>
    </row>
    <row r="155" spans="1:17" s="252" customFormat="1">
      <c r="A155" s="239">
        <f t="shared" si="3"/>
        <v>154</v>
      </c>
      <c r="B155" s="239" t="s">
        <v>2409</v>
      </c>
      <c r="C155" s="240" t="s">
        <v>279</v>
      </c>
      <c r="D155" s="240">
        <v>5</v>
      </c>
      <c r="E155" s="197" t="s">
        <v>979</v>
      </c>
      <c r="F155" s="239" t="s">
        <v>3133</v>
      </c>
      <c r="G155" s="239"/>
      <c r="H155" s="237" t="s">
        <v>2965</v>
      </c>
      <c r="I155" s="239" t="s">
        <v>3030</v>
      </c>
      <c r="J155" s="197" t="s">
        <v>3336</v>
      </c>
      <c r="K155" s="197" t="s">
        <v>981</v>
      </c>
      <c r="L155" s="239" t="s">
        <v>980</v>
      </c>
      <c r="M155" s="197" t="s">
        <v>932</v>
      </c>
      <c r="N155" s="253"/>
      <c r="O155" s="239"/>
      <c r="P155" s="239"/>
      <c r="Q155" s="320"/>
    </row>
    <row r="156" spans="1:17" s="252" customFormat="1">
      <c r="A156" s="239">
        <f t="shared" si="3"/>
        <v>155</v>
      </c>
      <c r="B156" s="239" t="s">
        <v>2410</v>
      </c>
      <c r="C156" s="240" t="s">
        <v>279</v>
      </c>
      <c r="D156" s="240">
        <v>15</v>
      </c>
      <c r="E156" s="197" t="s">
        <v>1429</v>
      </c>
      <c r="F156" s="239" t="s">
        <v>3133</v>
      </c>
      <c r="G156" s="239"/>
      <c r="H156" s="237" t="s">
        <v>2965</v>
      </c>
      <c r="I156" s="239" t="s">
        <v>3030</v>
      </c>
      <c r="J156" s="197" t="s">
        <v>3336</v>
      </c>
      <c r="K156" s="197" t="s">
        <v>983</v>
      </c>
      <c r="L156" s="239" t="s">
        <v>982</v>
      </c>
      <c r="M156" s="197" t="s">
        <v>932</v>
      </c>
      <c r="N156" s="253"/>
      <c r="O156" s="239"/>
      <c r="P156" s="239"/>
      <c r="Q156" s="320"/>
    </row>
    <row r="157" spans="1:17" s="252" customFormat="1">
      <c r="A157" s="239">
        <f t="shared" ref="A157:A230" si="4">ROW()-1</f>
        <v>156</v>
      </c>
      <c r="C157" s="239" t="s">
        <v>2411</v>
      </c>
      <c r="D157" s="240">
        <v>5</v>
      </c>
      <c r="E157" s="197" t="s">
        <v>984</v>
      </c>
      <c r="F157" s="239" t="s">
        <v>3133</v>
      </c>
      <c r="G157" s="239"/>
      <c r="H157" s="237"/>
      <c r="I157" s="239" t="s">
        <v>3030</v>
      </c>
      <c r="J157" s="197" t="s">
        <v>3336</v>
      </c>
      <c r="K157" s="197" t="s">
        <v>986</v>
      </c>
      <c r="L157" s="239" t="s">
        <v>985</v>
      </c>
      <c r="M157" s="197" t="s">
        <v>932</v>
      </c>
      <c r="N157" s="253"/>
      <c r="O157" s="239"/>
      <c r="P157" s="239" t="s">
        <v>7030</v>
      </c>
      <c r="Q157" s="320"/>
    </row>
    <row r="158" spans="1:17" s="252" customFormat="1">
      <c r="A158" s="239">
        <f t="shared" si="4"/>
        <v>157</v>
      </c>
      <c r="C158" s="239" t="s">
        <v>2412</v>
      </c>
      <c r="D158" s="240">
        <v>5</v>
      </c>
      <c r="E158" s="197" t="s">
        <v>987</v>
      </c>
      <c r="F158" s="239" t="s">
        <v>3133</v>
      </c>
      <c r="G158" s="239"/>
      <c r="H158" s="237"/>
      <c r="I158" s="239" t="s">
        <v>3030</v>
      </c>
      <c r="J158" s="197" t="s">
        <v>3336</v>
      </c>
      <c r="K158" s="197" t="s">
        <v>989</v>
      </c>
      <c r="L158" s="239" t="s">
        <v>988</v>
      </c>
      <c r="M158" s="197" t="s">
        <v>932</v>
      </c>
      <c r="N158" s="253"/>
      <c r="O158" s="239"/>
      <c r="P158" s="239" t="s">
        <v>7030</v>
      </c>
      <c r="Q158" s="320"/>
    </row>
    <row r="159" spans="1:17" s="252" customFormat="1">
      <c r="A159" s="239">
        <f t="shared" si="4"/>
        <v>158</v>
      </c>
      <c r="B159" s="239" t="s">
        <v>2413</v>
      </c>
      <c r="C159" s="240" t="s">
        <v>279</v>
      </c>
      <c r="D159" s="240">
        <v>5</v>
      </c>
      <c r="E159" s="197" t="s">
        <v>990</v>
      </c>
      <c r="F159" s="239" t="s">
        <v>3133</v>
      </c>
      <c r="G159" s="239"/>
      <c r="H159" s="237" t="s">
        <v>2965</v>
      </c>
      <c r="I159" s="239" t="s">
        <v>3030</v>
      </c>
      <c r="J159" s="197" t="s">
        <v>3336</v>
      </c>
      <c r="K159" s="197" t="s">
        <v>992</v>
      </c>
      <c r="L159" s="239" t="s">
        <v>991</v>
      </c>
      <c r="M159" s="197" t="s">
        <v>932</v>
      </c>
      <c r="N159" s="253"/>
      <c r="O159" s="239"/>
      <c r="P159" s="239"/>
      <c r="Q159" s="320"/>
    </row>
    <row r="160" spans="1:17" s="252" customFormat="1">
      <c r="A160" s="239">
        <f t="shared" si="4"/>
        <v>159</v>
      </c>
      <c r="B160" s="239" t="s">
        <v>2414</v>
      </c>
      <c r="C160" s="240" t="s">
        <v>279</v>
      </c>
      <c r="D160" s="240">
        <v>5</v>
      </c>
      <c r="E160" s="197" t="s">
        <v>993</v>
      </c>
      <c r="F160" s="239" t="s">
        <v>3133</v>
      </c>
      <c r="G160" s="239"/>
      <c r="H160" s="237" t="s">
        <v>2965</v>
      </c>
      <c r="I160" s="239" t="s">
        <v>3030</v>
      </c>
      <c r="J160" s="197" t="s">
        <v>3336</v>
      </c>
      <c r="K160" s="197" t="s">
        <v>995</v>
      </c>
      <c r="L160" s="239" t="s">
        <v>994</v>
      </c>
      <c r="M160" s="197" t="s">
        <v>932</v>
      </c>
      <c r="N160" s="253"/>
      <c r="O160" s="239"/>
      <c r="P160" s="239"/>
      <c r="Q160" s="320"/>
    </row>
    <row r="161" spans="1:17" s="252" customFormat="1">
      <c r="A161" s="239">
        <f t="shared" si="4"/>
        <v>160</v>
      </c>
      <c r="B161" s="239" t="s">
        <v>2415</v>
      </c>
      <c r="C161" s="240" t="s">
        <v>279</v>
      </c>
      <c r="D161" s="240">
        <v>5</v>
      </c>
      <c r="E161" s="197" t="s">
        <v>996</v>
      </c>
      <c r="F161" s="239" t="s">
        <v>3133</v>
      </c>
      <c r="G161" s="239"/>
      <c r="H161" s="237" t="s">
        <v>2965</v>
      </c>
      <c r="I161" s="239" t="s">
        <v>3030</v>
      </c>
      <c r="J161" s="197" t="s">
        <v>3336</v>
      </c>
      <c r="K161" s="197" t="s">
        <v>998</v>
      </c>
      <c r="L161" s="239" t="s">
        <v>997</v>
      </c>
      <c r="M161" s="197" t="s">
        <v>932</v>
      </c>
      <c r="N161" s="253"/>
      <c r="O161" s="239"/>
      <c r="P161" s="239"/>
      <c r="Q161" s="320"/>
    </row>
    <row r="162" spans="1:17" s="252" customFormat="1">
      <c r="A162" s="239">
        <f t="shared" si="4"/>
        <v>161</v>
      </c>
      <c r="B162" s="239" t="s">
        <v>2416</v>
      </c>
      <c r="C162" s="240" t="s">
        <v>279</v>
      </c>
      <c r="D162" s="240">
        <v>5</v>
      </c>
      <c r="E162" s="197" t="s">
        <v>999</v>
      </c>
      <c r="F162" s="239" t="s">
        <v>3133</v>
      </c>
      <c r="G162" s="239"/>
      <c r="H162" s="237" t="s">
        <v>2965</v>
      </c>
      <c r="I162" s="239" t="s">
        <v>3030</v>
      </c>
      <c r="J162" s="197" t="s">
        <v>3336</v>
      </c>
      <c r="K162" s="197" t="s">
        <v>1001</v>
      </c>
      <c r="L162" s="239" t="s">
        <v>1000</v>
      </c>
      <c r="M162" s="197" t="s">
        <v>932</v>
      </c>
      <c r="N162" s="253"/>
      <c r="O162" s="239"/>
      <c r="P162" s="239"/>
      <c r="Q162" s="320"/>
    </row>
    <row r="163" spans="1:17" s="252" customFormat="1">
      <c r="A163" s="239">
        <f t="shared" si="4"/>
        <v>162</v>
      </c>
      <c r="B163" s="239" t="s">
        <v>2417</v>
      </c>
      <c r="C163" s="240" t="s">
        <v>279</v>
      </c>
      <c r="D163" s="240">
        <v>5</v>
      </c>
      <c r="E163" s="197" t="s">
        <v>1002</v>
      </c>
      <c r="F163" s="239" t="s">
        <v>3133</v>
      </c>
      <c r="G163" s="239"/>
      <c r="H163" s="237" t="s">
        <v>2965</v>
      </c>
      <c r="I163" s="239" t="s">
        <v>3030</v>
      </c>
      <c r="J163" s="197" t="s">
        <v>3336</v>
      </c>
      <c r="K163" s="197" t="s">
        <v>1004</v>
      </c>
      <c r="L163" s="239" t="s">
        <v>1003</v>
      </c>
      <c r="M163" s="197" t="s">
        <v>932</v>
      </c>
      <c r="N163" s="253"/>
      <c r="O163" s="239"/>
      <c r="P163" s="239"/>
      <c r="Q163" s="320"/>
    </row>
    <row r="164" spans="1:17" s="252" customFormat="1">
      <c r="A164" s="239">
        <f t="shared" si="4"/>
        <v>163</v>
      </c>
      <c r="B164" s="239" t="s">
        <v>2418</v>
      </c>
      <c r="C164" s="240" t="s">
        <v>279</v>
      </c>
      <c r="D164" s="240">
        <v>5</v>
      </c>
      <c r="E164" s="197" t="s">
        <v>1005</v>
      </c>
      <c r="F164" s="239" t="s">
        <v>3133</v>
      </c>
      <c r="G164" s="239"/>
      <c r="H164" s="237" t="s">
        <v>2965</v>
      </c>
      <c r="I164" s="239" t="s">
        <v>3030</v>
      </c>
      <c r="J164" s="197" t="s">
        <v>3336</v>
      </c>
      <c r="K164" s="197" t="s">
        <v>1007</v>
      </c>
      <c r="L164" s="239" t="s">
        <v>1006</v>
      </c>
      <c r="M164" s="197" t="s">
        <v>932</v>
      </c>
      <c r="N164" s="253"/>
      <c r="O164" s="239"/>
      <c r="P164" s="239"/>
      <c r="Q164" s="320"/>
    </row>
    <row r="165" spans="1:17" s="252" customFormat="1">
      <c r="A165" s="239">
        <f t="shared" si="4"/>
        <v>164</v>
      </c>
      <c r="B165" s="239" t="s">
        <v>2419</v>
      </c>
      <c r="C165" s="240" t="s">
        <v>279</v>
      </c>
      <c r="D165" s="240">
        <v>5</v>
      </c>
      <c r="E165" s="197" t="s">
        <v>1008</v>
      </c>
      <c r="F165" s="239" t="s">
        <v>3133</v>
      </c>
      <c r="G165" s="239"/>
      <c r="H165" s="237" t="s">
        <v>2965</v>
      </c>
      <c r="I165" s="239" t="s">
        <v>3030</v>
      </c>
      <c r="J165" s="197" t="s">
        <v>3336</v>
      </c>
      <c r="K165" s="197" t="s">
        <v>1010</v>
      </c>
      <c r="L165" s="239" t="s">
        <v>1009</v>
      </c>
      <c r="M165" s="197" t="s">
        <v>932</v>
      </c>
      <c r="N165" s="253"/>
      <c r="O165" s="239"/>
      <c r="P165" s="239"/>
      <c r="Q165" s="320"/>
    </row>
    <row r="166" spans="1:17" s="252" customFormat="1">
      <c r="A166" s="239">
        <f t="shared" si="4"/>
        <v>165</v>
      </c>
      <c r="B166" s="239" t="s">
        <v>2420</v>
      </c>
      <c r="C166" s="240" t="s">
        <v>279</v>
      </c>
      <c r="D166" s="240">
        <v>5</v>
      </c>
      <c r="E166" s="197" t="s">
        <v>1011</v>
      </c>
      <c r="F166" s="239" t="s">
        <v>3133</v>
      </c>
      <c r="G166" s="239"/>
      <c r="H166" s="237" t="s">
        <v>2965</v>
      </c>
      <c r="I166" s="239" t="s">
        <v>3030</v>
      </c>
      <c r="J166" s="197" t="s">
        <v>3336</v>
      </c>
      <c r="K166" s="197" t="s">
        <v>1013</v>
      </c>
      <c r="L166" s="239" t="s">
        <v>1012</v>
      </c>
      <c r="M166" s="197" t="s">
        <v>932</v>
      </c>
      <c r="N166" s="253"/>
      <c r="O166" s="239"/>
      <c r="P166" s="239"/>
      <c r="Q166" s="320"/>
    </row>
    <row r="167" spans="1:17" s="252" customFormat="1">
      <c r="A167" s="239">
        <f t="shared" si="4"/>
        <v>166</v>
      </c>
      <c r="B167" s="239" t="s">
        <v>2421</v>
      </c>
      <c r="C167" s="240" t="s">
        <v>279</v>
      </c>
      <c r="D167" s="240">
        <v>5</v>
      </c>
      <c r="E167" s="197" t="s">
        <v>1014</v>
      </c>
      <c r="F167" s="239" t="s">
        <v>3133</v>
      </c>
      <c r="G167" s="239"/>
      <c r="H167" s="237" t="s">
        <v>2965</v>
      </c>
      <c r="I167" s="239" t="s">
        <v>3030</v>
      </c>
      <c r="J167" s="197" t="s">
        <v>3336</v>
      </c>
      <c r="K167" s="197" t="s">
        <v>1016</v>
      </c>
      <c r="L167" s="239" t="s">
        <v>1015</v>
      </c>
      <c r="M167" s="197" t="s">
        <v>932</v>
      </c>
      <c r="N167" s="253"/>
      <c r="O167" s="239"/>
      <c r="P167" s="239"/>
      <c r="Q167" s="320"/>
    </row>
    <row r="168" spans="1:17" s="252" customFormat="1">
      <c r="A168" s="239">
        <f t="shared" si="4"/>
        <v>167</v>
      </c>
      <c r="B168" s="239" t="s">
        <v>2422</v>
      </c>
      <c r="C168" s="240" t="s">
        <v>279</v>
      </c>
      <c r="D168" s="240">
        <v>5</v>
      </c>
      <c r="E168" s="197" t="s">
        <v>1017</v>
      </c>
      <c r="F168" s="239" t="s">
        <v>3133</v>
      </c>
      <c r="G168" s="239"/>
      <c r="H168" s="237" t="s">
        <v>2965</v>
      </c>
      <c r="I168" s="239" t="s">
        <v>3030</v>
      </c>
      <c r="J168" s="197" t="s">
        <v>3336</v>
      </c>
      <c r="K168" s="197" t="s">
        <v>1019</v>
      </c>
      <c r="L168" s="239" t="s">
        <v>1018</v>
      </c>
      <c r="M168" s="197" t="s">
        <v>932</v>
      </c>
      <c r="N168" s="253"/>
      <c r="O168" s="239"/>
      <c r="P168" s="239"/>
      <c r="Q168" s="320"/>
    </row>
    <row r="169" spans="1:17" s="252" customFormat="1">
      <c r="A169" s="239">
        <f t="shared" si="4"/>
        <v>168</v>
      </c>
      <c r="B169" s="239" t="s">
        <v>2423</v>
      </c>
      <c r="C169" s="240" t="s">
        <v>279</v>
      </c>
      <c r="D169" s="240">
        <v>5</v>
      </c>
      <c r="E169" s="197" t="s">
        <v>1020</v>
      </c>
      <c r="F169" s="239" t="s">
        <v>3133</v>
      </c>
      <c r="G169" s="239"/>
      <c r="H169" s="237" t="s">
        <v>2965</v>
      </c>
      <c r="I169" s="239" t="s">
        <v>3030</v>
      </c>
      <c r="J169" s="197" t="s">
        <v>3336</v>
      </c>
      <c r="K169" s="197" t="s">
        <v>1022</v>
      </c>
      <c r="L169" s="239" t="s">
        <v>1021</v>
      </c>
      <c r="M169" s="197" t="s">
        <v>932</v>
      </c>
      <c r="N169" s="253"/>
      <c r="O169" s="239"/>
      <c r="P169" s="239"/>
      <c r="Q169" s="320"/>
    </row>
    <row r="170" spans="1:17" s="252" customFormat="1">
      <c r="A170" s="239">
        <f t="shared" si="4"/>
        <v>169</v>
      </c>
      <c r="B170" s="239" t="s">
        <v>2425</v>
      </c>
      <c r="C170" s="240" t="s">
        <v>279</v>
      </c>
      <c r="D170" s="240">
        <v>4</v>
      </c>
      <c r="E170" s="197" t="s">
        <v>1023</v>
      </c>
      <c r="F170" s="239" t="s">
        <v>3133</v>
      </c>
      <c r="G170" s="239"/>
      <c r="H170" s="237" t="s">
        <v>2965</v>
      </c>
      <c r="I170" s="239" t="s">
        <v>3030</v>
      </c>
      <c r="J170" s="197" t="s">
        <v>3337</v>
      </c>
      <c r="K170" s="197" t="s">
        <v>104</v>
      </c>
      <c r="L170" s="239" t="s">
        <v>2424</v>
      </c>
      <c r="M170" s="197" t="s">
        <v>932</v>
      </c>
      <c r="N170" s="253"/>
      <c r="O170" s="239"/>
      <c r="P170" s="239"/>
      <c r="Q170" s="320"/>
    </row>
    <row r="171" spans="1:17" s="252" customFormat="1">
      <c r="A171" s="239">
        <f t="shared" si="4"/>
        <v>170</v>
      </c>
      <c r="B171" s="239" t="s">
        <v>2427</v>
      </c>
      <c r="C171" s="240" t="s">
        <v>275</v>
      </c>
      <c r="D171" s="240">
        <v>2</v>
      </c>
      <c r="E171" s="197" t="s">
        <v>1026</v>
      </c>
      <c r="F171" s="239" t="s">
        <v>3133</v>
      </c>
      <c r="G171" s="239"/>
      <c r="H171" s="237" t="s">
        <v>2965</v>
      </c>
      <c r="I171" s="239" t="s">
        <v>3030</v>
      </c>
      <c r="J171" s="197" t="s">
        <v>3337</v>
      </c>
      <c r="K171" s="197" t="s">
        <v>105</v>
      </c>
      <c r="L171" s="239" t="s">
        <v>2426</v>
      </c>
      <c r="M171" s="197" t="s">
        <v>932</v>
      </c>
      <c r="N171" s="253"/>
      <c r="O171" s="239"/>
      <c r="P171" s="239"/>
      <c r="Q171" s="320"/>
    </row>
    <row r="172" spans="1:17" s="252" customFormat="1">
      <c r="A172" s="239">
        <f t="shared" si="4"/>
        <v>171</v>
      </c>
      <c r="B172" s="242"/>
      <c r="C172" s="243" t="s">
        <v>275</v>
      </c>
      <c r="D172" s="243">
        <v>2</v>
      </c>
      <c r="E172" s="248" t="s">
        <v>1028</v>
      </c>
      <c r="F172" s="242" t="s">
        <v>3133</v>
      </c>
      <c r="G172" s="239"/>
      <c r="H172" s="249"/>
      <c r="I172" s="242" t="s">
        <v>3030</v>
      </c>
      <c r="J172" s="197" t="e">
        <v>#N/A</v>
      </c>
      <c r="K172" s="197" t="e">
        <v>#N/A</v>
      </c>
      <c r="L172" s="242" t="s">
        <v>1029</v>
      </c>
      <c r="M172" s="248" t="s">
        <v>932</v>
      </c>
      <c r="N172" s="253"/>
      <c r="O172" s="239" t="s">
        <v>2330</v>
      </c>
      <c r="P172" s="239" t="s">
        <v>3126</v>
      </c>
      <c r="Q172" s="320"/>
    </row>
    <row r="173" spans="1:17" s="252" customFormat="1">
      <c r="A173" s="239">
        <f t="shared" si="4"/>
        <v>172</v>
      </c>
      <c r="C173" s="239" t="s">
        <v>2428</v>
      </c>
      <c r="D173" s="240">
        <v>4</v>
      </c>
      <c r="E173" s="197" t="s">
        <v>1031</v>
      </c>
      <c r="F173" s="239" t="s">
        <v>3133</v>
      </c>
      <c r="G173" s="239"/>
      <c r="H173" s="237"/>
      <c r="I173" s="239" t="s">
        <v>3030</v>
      </c>
      <c r="J173" s="197" t="s">
        <v>3336</v>
      </c>
      <c r="K173" s="197" t="s">
        <v>1033</v>
      </c>
      <c r="L173" s="239" t="s">
        <v>1032</v>
      </c>
      <c r="M173" s="197" t="s">
        <v>932</v>
      </c>
      <c r="N173" s="253"/>
      <c r="O173" s="239"/>
      <c r="P173" s="239"/>
      <c r="Q173" s="320"/>
    </row>
    <row r="174" spans="1:17" s="252" customFormat="1">
      <c r="A174" s="239">
        <f t="shared" si="4"/>
        <v>173</v>
      </c>
      <c r="B174" s="239" t="s">
        <v>2429</v>
      </c>
      <c r="C174" s="240" t="s">
        <v>275</v>
      </c>
      <c r="D174" s="240">
        <v>2</v>
      </c>
      <c r="E174" s="197" t="s">
        <v>1034</v>
      </c>
      <c r="F174" s="239" t="s">
        <v>3133</v>
      </c>
      <c r="G174" s="239"/>
      <c r="H174" s="237" t="s">
        <v>2965</v>
      </c>
      <c r="I174" s="239" t="s">
        <v>3030</v>
      </c>
      <c r="J174" s="197" t="s">
        <v>3336</v>
      </c>
      <c r="K174" s="197" t="s">
        <v>3338</v>
      </c>
      <c r="L174" s="239" t="s">
        <v>1035</v>
      </c>
      <c r="M174" s="197" t="s">
        <v>932</v>
      </c>
      <c r="N174" s="253"/>
      <c r="O174" s="239"/>
      <c r="P174" s="239"/>
      <c r="Q174" s="320"/>
    </row>
    <row r="175" spans="1:17" s="252" customFormat="1">
      <c r="A175" s="239">
        <f t="shared" si="4"/>
        <v>174</v>
      </c>
      <c r="C175" s="239" t="s">
        <v>2430</v>
      </c>
      <c r="D175" s="240">
        <v>4</v>
      </c>
      <c r="E175" s="197" t="s">
        <v>1037</v>
      </c>
      <c r="F175" s="239" t="s">
        <v>3133</v>
      </c>
      <c r="G175" s="239"/>
      <c r="H175" s="237"/>
      <c r="I175" s="239" t="s">
        <v>3030</v>
      </c>
      <c r="J175" s="197" t="s">
        <v>3336</v>
      </c>
      <c r="K175" s="197" t="s">
        <v>1039</v>
      </c>
      <c r="L175" s="239" t="s">
        <v>1038</v>
      </c>
      <c r="M175" s="239" t="s">
        <v>932</v>
      </c>
      <c r="N175" s="253"/>
      <c r="O175" s="239"/>
      <c r="P175" s="239"/>
      <c r="Q175" s="320"/>
    </row>
    <row r="176" spans="1:17" s="252" customFormat="1">
      <c r="A176" s="239">
        <f t="shared" si="4"/>
        <v>175</v>
      </c>
      <c r="B176" s="239" t="s">
        <v>2431</v>
      </c>
      <c r="C176" s="240" t="s">
        <v>275</v>
      </c>
      <c r="D176" s="240">
        <v>2</v>
      </c>
      <c r="E176" s="197" t="s">
        <v>1040</v>
      </c>
      <c r="F176" s="239" t="s">
        <v>3133</v>
      </c>
      <c r="G176" s="239"/>
      <c r="H176" s="237" t="s">
        <v>2965</v>
      </c>
      <c r="I176" s="239" t="s">
        <v>3030</v>
      </c>
      <c r="J176" s="197" t="s">
        <v>3336</v>
      </c>
      <c r="K176" s="197" t="s">
        <v>1042</v>
      </c>
      <c r="L176" s="239" t="s">
        <v>1041</v>
      </c>
      <c r="M176" s="239" t="s">
        <v>932</v>
      </c>
      <c r="N176" s="253"/>
      <c r="O176" s="239"/>
      <c r="P176" s="239"/>
      <c r="Q176" s="320"/>
    </row>
    <row r="177" spans="1:17" s="252" customFormat="1">
      <c r="A177" s="239">
        <f t="shared" si="4"/>
        <v>176</v>
      </c>
      <c r="C177" s="239" t="s">
        <v>2432</v>
      </c>
      <c r="D177" s="240">
        <v>4</v>
      </c>
      <c r="E177" s="197" t="s">
        <v>1043</v>
      </c>
      <c r="F177" s="239" t="s">
        <v>3133</v>
      </c>
      <c r="G177" s="239"/>
      <c r="H177" s="237"/>
      <c r="I177" s="239" t="s">
        <v>3030</v>
      </c>
      <c r="J177" s="197" t="s">
        <v>3336</v>
      </c>
      <c r="K177" s="197" t="s">
        <v>1045</v>
      </c>
      <c r="L177" s="239" t="s">
        <v>1044</v>
      </c>
      <c r="M177" s="239" t="s">
        <v>932</v>
      </c>
      <c r="N177" s="253"/>
      <c r="O177" s="239"/>
      <c r="P177" s="239"/>
      <c r="Q177" s="320"/>
    </row>
    <row r="178" spans="1:17" s="252" customFormat="1">
      <c r="A178" s="239">
        <f t="shared" si="4"/>
        <v>177</v>
      </c>
      <c r="B178" s="239" t="s">
        <v>2433</v>
      </c>
      <c r="C178" s="240" t="s">
        <v>275</v>
      </c>
      <c r="D178" s="240">
        <v>2</v>
      </c>
      <c r="E178" s="197" t="s">
        <v>1046</v>
      </c>
      <c r="F178" s="239" t="s">
        <v>3133</v>
      </c>
      <c r="G178" s="239"/>
      <c r="H178" s="237" t="s">
        <v>2965</v>
      </c>
      <c r="I178" s="239" t="s">
        <v>3030</v>
      </c>
      <c r="J178" s="197" t="s">
        <v>3336</v>
      </c>
      <c r="K178" s="197" t="s">
        <v>1048</v>
      </c>
      <c r="L178" s="239" t="s">
        <v>1047</v>
      </c>
      <c r="M178" s="239" t="s">
        <v>932</v>
      </c>
      <c r="N178" s="253"/>
      <c r="O178" s="239"/>
      <c r="P178" s="239"/>
      <c r="Q178" s="320"/>
    </row>
    <row r="179" spans="1:17" s="252" customFormat="1">
      <c r="A179" s="239">
        <f t="shared" si="4"/>
        <v>178</v>
      </c>
      <c r="B179" s="239" t="s">
        <v>2434</v>
      </c>
      <c r="C179" s="240" t="s">
        <v>275</v>
      </c>
      <c r="D179" s="240">
        <v>9</v>
      </c>
      <c r="E179" s="197" t="s">
        <v>1049</v>
      </c>
      <c r="F179" s="239" t="s">
        <v>3133</v>
      </c>
      <c r="G179" s="239"/>
      <c r="H179" s="237" t="s">
        <v>2965</v>
      </c>
      <c r="I179" s="239" t="s">
        <v>3030</v>
      </c>
      <c r="J179" s="197" t="s">
        <v>3336</v>
      </c>
      <c r="K179" s="197" t="s">
        <v>1050</v>
      </c>
      <c r="L179" s="239" t="s">
        <v>3110</v>
      </c>
      <c r="M179" s="197" t="s">
        <v>932</v>
      </c>
      <c r="N179" s="253"/>
      <c r="O179" s="239"/>
      <c r="P179" s="239"/>
      <c r="Q179" s="320"/>
    </row>
    <row r="180" spans="1:17" s="252" customFormat="1">
      <c r="A180" s="239">
        <f t="shared" si="4"/>
        <v>179</v>
      </c>
      <c r="B180" s="239" t="s">
        <v>2435</v>
      </c>
      <c r="C180" s="240" t="s">
        <v>279</v>
      </c>
      <c r="D180" s="240">
        <v>15</v>
      </c>
      <c r="E180" s="197" t="s">
        <v>1433</v>
      </c>
      <c r="F180" s="239" t="s">
        <v>3133</v>
      </c>
      <c r="G180" s="239"/>
      <c r="H180" s="237" t="s">
        <v>2965</v>
      </c>
      <c r="I180" s="239" t="s">
        <v>3030</v>
      </c>
      <c r="J180" s="197" t="s">
        <v>3336</v>
      </c>
      <c r="K180" s="197" t="s">
        <v>1052</v>
      </c>
      <c r="L180" s="239" t="s">
        <v>1051</v>
      </c>
      <c r="M180" s="239" t="s">
        <v>932</v>
      </c>
      <c r="N180" s="253"/>
      <c r="O180" s="239"/>
      <c r="P180" s="239"/>
      <c r="Q180" s="320" t="s">
        <v>3501</v>
      </c>
    </row>
    <row r="181" spans="1:17" s="252" customFormat="1">
      <c r="A181" s="239">
        <f t="shared" si="4"/>
        <v>180</v>
      </c>
      <c r="B181" s="239" t="s">
        <v>2436</v>
      </c>
      <c r="C181" s="240" t="s">
        <v>279</v>
      </c>
      <c r="D181" s="240">
        <v>15</v>
      </c>
      <c r="E181" s="197" t="s">
        <v>1053</v>
      </c>
      <c r="F181" s="239" t="s">
        <v>3133</v>
      </c>
      <c r="G181" s="239"/>
      <c r="H181" s="237" t="s">
        <v>2965</v>
      </c>
      <c r="I181" s="239" t="s">
        <v>3030</v>
      </c>
      <c r="J181" s="197" t="s">
        <v>3336</v>
      </c>
      <c r="K181" s="197" t="s">
        <v>1055</v>
      </c>
      <c r="L181" s="239" t="s">
        <v>1054</v>
      </c>
      <c r="M181" s="197" t="s">
        <v>932</v>
      </c>
      <c r="N181" s="253"/>
      <c r="O181" s="239"/>
      <c r="P181" s="239"/>
      <c r="Q181" s="320" t="s">
        <v>3501</v>
      </c>
    </row>
    <row r="182" spans="1:17" s="252" customFormat="1">
      <c r="A182" s="239">
        <f t="shared" si="4"/>
        <v>181</v>
      </c>
      <c r="B182" s="239" t="s">
        <v>2437</v>
      </c>
      <c r="C182" s="240" t="s">
        <v>279</v>
      </c>
      <c r="D182" s="240">
        <v>9.1999999999999993</v>
      </c>
      <c r="E182" s="197" t="s">
        <v>1056</v>
      </c>
      <c r="F182" s="239" t="s">
        <v>3133</v>
      </c>
      <c r="G182" s="239"/>
      <c r="H182" s="237" t="s">
        <v>2965</v>
      </c>
      <c r="I182" s="239" t="s">
        <v>3030</v>
      </c>
      <c r="J182" s="197" t="s">
        <v>3336</v>
      </c>
      <c r="K182" s="197" t="s">
        <v>1058</v>
      </c>
      <c r="L182" s="239" t="s">
        <v>1057</v>
      </c>
      <c r="M182" s="197" t="s">
        <v>932</v>
      </c>
      <c r="N182" s="253"/>
      <c r="O182" s="239"/>
      <c r="P182" s="239"/>
      <c r="Q182" s="320"/>
    </row>
    <row r="183" spans="1:17" s="252" customFormat="1">
      <c r="A183" s="239">
        <f t="shared" si="4"/>
        <v>182</v>
      </c>
      <c r="B183" s="239" t="s">
        <v>2438</v>
      </c>
      <c r="C183" s="240" t="s">
        <v>275</v>
      </c>
      <c r="D183" s="240">
        <v>2</v>
      </c>
      <c r="E183" s="197" t="s">
        <v>1059</v>
      </c>
      <c r="F183" s="239" t="s">
        <v>3133</v>
      </c>
      <c r="G183" s="239"/>
      <c r="H183" s="237" t="s">
        <v>2965</v>
      </c>
      <c r="I183" s="239" t="s">
        <v>3030</v>
      </c>
      <c r="J183" s="197" t="s">
        <v>3336</v>
      </c>
      <c r="K183" s="197" t="s">
        <v>1061</v>
      </c>
      <c r="L183" s="239" t="s">
        <v>1060</v>
      </c>
      <c r="M183" s="239" t="s">
        <v>932</v>
      </c>
      <c r="N183" s="253"/>
      <c r="O183" s="239"/>
      <c r="P183" s="239"/>
      <c r="Q183" s="320"/>
    </row>
    <row r="184" spans="1:17" s="252" customFormat="1">
      <c r="A184" s="239">
        <f t="shared" si="4"/>
        <v>183</v>
      </c>
      <c r="C184" s="239" t="s">
        <v>2439</v>
      </c>
      <c r="D184" s="240">
        <v>4</v>
      </c>
      <c r="E184" s="197" t="s">
        <v>1062</v>
      </c>
      <c r="F184" s="239" t="s">
        <v>3133</v>
      </c>
      <c r="G184" s="239"/>
      <c r="H184" s="237"/>
      <c r="I184" s="239" t="s">
        <v>3030</v>
      </c>
      <c r="J184" s="197" t="s">
        <v>3336</v>
      </c>
      <c r="K184" s="197" t="s">
        <v>1064</v>
      </c>
      <c r="L184" s="239" t="s">
        <v>1063</v>
      </c>
      <c r="M184" s="239" t="s">
        <v>932</v>
      </c>
      <c r="N184" s="253"/>
      <c r="O184" s="239"/>
      <c r="P184" s="239"/>
      <c r="Q184" s="320"/>
    </row>
    <row r="185" spans="1:17" s="252" customFormat="1">
      <c r="A185" s="239">
        <f t="shared" si="4"/>
        <v>184</v>
      </c>
      <c r="B185" s="239" t="s">
        <v>2440</v>
      </c>
      <c r="C185" s="240" t="s">
        <v>275</v>
      </c>
      <c r="D185" s="240">
        <v>2</v>
      </c>
      <c r="E185" s="197" t="s">
        <v>1065</v>
      </c>
      <c r="F185" s="239" t="s">
        <v>3133</v>
      </c>
      <c r="G185" s="239"/>
      <c r="H185" s="237" t="s">
        <v>2965</v>
      </c>
      <c r="I185" s="239" t="s">
        <v>3030</v>
      </c>
      <c r="J185" s="197" t="s">
        <v>3336</v>
      </c>
      <c r="K185" s="197" t="s">
        <v>1067</v>
      </c>
      <c r="L185" s="239" t="s">
        <v>1066</v>
      </c>
      <c r="M185" s="239" t="s">
        <v>932</v>
      </c>
      <c r="N185" s="253"/>
      <c r="O185" s="239"/>
      <c r="P185" s="239"/>
      <c r="Q185" s="320"/>
    </row>
    <row r="186" spans="1:17" s="252" customFormat="1">
      <c r="A186" s="239">
        <f t="shared" si="1"/>
        <v>185</v>
      </c>
      <c r="B186" s="239" t="s">
        <v>2520</v>
      </c>
      <c r="C186" s="240" t="s">
        <v>275</v>
      </c>
      <c r="D186" s="240">
        <v>1</v>
      </c>
      <c r="E186" s="197" t="s">
        <v>1295</v>
      </c>
      <c r="F186" s="239" t="s">
        <v>3133</v>
      </c>
      <c r="G186" s="239"/>
      <c r="H186" s="237" t="s">
        <v>2965</v>
      </c>
      <c r="I186" s="256" t="s">
        <v>3124</v>
      </c>
      <c r="J186" s="197" t="s">
        <v>3340</v>
      </c>
      <c r="K186" s="197" t="s">
        <v>3339</v>
      </c>
      <c r="L186" s="239" t="s">
        <v>7029</v>
      </c>
      <c r="M186" s="197" t="s">
        <v>3121</v>
      </c>
      <c r="N186" s="255"/>
      <c r="O186" s="239"/>
      <c r="P186" s="239"/>
      <c r="Q186" s="320"/>
    </row>
    <row r="187" spans="1:17" s="252" customFormat="1" ht="22.5">
      <c r="A187" s="239">
        <f t="shared" si="1"/>
        <v>186</v>
      </c>
      <c r="C187" s="239" t="s">
        <v>3422</v>
      </c>
      <c r="D187" s="343">
        <v>4</v>
      </c>
      <c r="E187" s="344" t="s">
        <v>3522</v>
      </c>
      <c r="F187" s="320" t="s">
        <v>3133</v>
      </c>
      <c r="G187" s="320"/>
      <c r="H187" s="324"/>
      <c r="I187" s="239" t="s">
        <v>3030</v>
      </c>
      <c r="J187" s="197" t="s">
        <v>3336</v>
      </c>
      <c r="K187" s="344" t="s">
        <v>3458</v>
      </c>
      <c r="L187" s="345" t="s">
        <v>3454</v>
      </c>
      <c r="M187" s="197" t="s">
        <v>932</v>
      </c>
      <c r="N187" s="346">
        <v>103</v>
      </c>
      <c r="O187" s="320" t="s">
        <v>3417</v>
      </c>
      <c r="P187" s="340" t="s">
        <v>3499</v>
      </c>
      <c r="Q187" s="320"/>
    </row>
    <row r="188" spans="1:17" s="252" customFormat="1">
      <c r="A188" s="239">
        <f t="shared" si="1"/>
        <v>187</v>
      </c>
      <c r="B188" s="239" t="s">
        <v>3423</v>
      </c>
      <c r="C188" s="343" t="s">
        <v>275</v>
      </c>
      <c r="D188" s="343">
        <v>2</v>
      </c>
      <c r="E188" s="344" t="s">
        <v>3523</v>
      </c>
      <c r="F188" s="320" t="s">
        <v>3133</v>
      </c>
      <c r="G188" s="320"/>
      <c r="H188" s="324" t="s">
        <v>3425</v>
      </c>
      <c r="I188" s="239" t="s">
        <v>3030</v>
      </c>
      <c r="J188" s="197" t="s">
        <v>3336</v>
      </c>
      <c r="K188" s="344" t="s">
        <v>3525</v>
      </c>
      <c r="L188" s="345" t="s">
        <v>3455</v>
      </c>
      <c r="M188" s="197" t="s">
        <v>932</v>
      </c>
      <c r="N188" s="346">
        <v>103</v>
      </c>
      <c r="O188" s="320" t="s">
        <v>3417</v>
      </c>
      <c r="P188" s="339" t="s">
        <v>3427</v>
      </c>
      <c r="Q188" s="320"/>
    </row>
    <row r="189" spans="1:17" s="252" customFormat="1">
      <c r="A189" s="239">
        <f t="shared" si="1"/>
        <v>188</v>
      </c>
      <c r="C189" s="239" t="s">
        <v>3424</v>
      </c>
      <c r="D189" s="343">
        <v>1</v>
      </c>
      <c r="E189" s="344" t="s">
        <v>3524</v>
      </c>
      <c r="F189" s="320" t="s">
        <v>3133</v>
      </c>
      <c r="G189" s="320"/>
      <c r="H189" s="324"/>
      <c r="I189" s="239" t="s">
        <v>3030</v>
      </c>
      <c r="J189" s="197" t="s">
        <v>3336</v>
      </c>
      <c r="K189" s="344" t="s">
        <v>3457</v>
      </c>
      <c r="L189" s="345" t="s">
        <v>3456</v>
      </c>
      <c r="M189" s="197" t="s">
        <v>932</v>
      </c>
      <c r="N189" s="346">
        <v>103</v>
      </c>
      <c r="O189" s="320" t="s">
        <v>3417</v>
      </c>
      <c r="P189" s="339" t="s">
        <v>3427</v>
      </c>
      <c r="Q189" s="320"/>
    </row>
    <row r="190" spans="1:17" s="252" customFormat="1">
      <c r="A190" s="239">
        <f t="shared" si="1"/>
        <v>189</v>
      </c>
      <c r="B190" s="239" t="s">
        <v>3462</v>
      </c>
      <c r="C190" s="240" t="s">
        <v>3218</v>
      </c>
      <c r="D190" s="343">
        <v>15</v>
      </c>
      <c r="E190" s="344" t="s">
        <v>3464</v>
      </c>
      <c r="F190" s="320" t="s">
        <v>3133</v>
      </c>
      <c r="G190" s="320"/>
      <c r="H190" s="324" t="s">
        <v>3331</v>
      </c>
      <c r="I190" s="239" t="s">
        <v>3030</v>
      </c>
      <c r="J190" s="197" t="s">
        <v>3336</v>
      </c>
      <c r="K190" s="344" t="s">
        <v>3473</v>
      </c>
      <c r="L190" s="345" t="s">
        <v>3467</v>
      </c>
      <c r="M190" s="197" t="s">
        <v>932</v>
      </c>
      <c r="N190" s="346">
        <v>103</v>
      </c>
      <c r="O190" s="320" t="s">
        <v>499</v>
      </c>
      <c r="P190" s="339" t="s">
        <v>3469</v>
      </c>
      <c r="Q190" s="320"/>
    </row>
    <row r="191" spans="1:17" s="252" customFormat="1">
      <c r="A191" s="239">
        <f t="shared" si="1"/>
        <v>190</v>
      </c>
      <c r="B191" s="239" t="s">
        <v>3463</v>
      </c>
      <c r="C191" s="240" t="s">
        <v>3218</v>
      </c>
      <c r="D191" s="343">
        <v>15</v>
      </c>
      <c r="E191" s="344" t="s">
        <v>3465</v>
      </c>
      <c r="F191" s="320" t="s">
        <v>3133</v>
      </c>
      <c r="G191" s="320"/>
      <c r="H191" s="324" t="s">
        <v>3331</v>
      </c>
      <c r="I191" s="239" t="s">
        <v>3030</v>
      </c>
      <c r="J191" s="197" t="s">
        <v>3336</v>
      </c>
      <c r="K191" s="344" t="s">
        <v>3466</v>
      </c>
      <c r="L191" s="345" t="s">
        <v>5461</v>
      </c>
      <c r="M191" s="197" t="s">
        <v>932</v>
      </c>
      <c r="N191" s="346">
        <v>103</v>
      </c>
      <c r="O191" s="320" t="s">
        <v>499</v>
      </c>
      <c r="P191" s="339" t="s">
        <v>3469</v>
      </c>
      <c r="Q191" s="320" t="s">
        <v>7031</v>
      </c>
    </row>
    <row r="192" spans="1:17" s="252" customFormat="1">
      <c r="A192" s="239">
        <f t="shared" si="1"/>
        <v>191</v>
      </c>
      <c r="B192" s="320" t="s">
        <v>3674</v>
      </c>
      <c r="C192" s="240" t="s">
        <v>279</v>
      </c>
      <c r="D192" s="240">
        <v>5</v>
      </c>
      <c r="E192" s="344" t="s">
        <v>3678</v>
      </c>
      <c r="F192" s="320" t="s">
        <v>3133</v>
      </c>
      <c r="G192" s="320"/>
      <c r="H192" s="324" t="s">
        <v>3328</v>
      </c>
      <c r="I192" s="239" t="s">
        <v>3030</v>
      </c>
      <c r="J192" s="197" t="s">
        <v>3336</v>
      </c>
      <c r="K192" s="344" t="s">
        <v>3679</v>
      </c>
      <c r="L192" s="345" t="s">
        <v>3685</v>
      </c>
      <c r="M192" s="344"/>
      <c r="N192" s="346"/>
      <c r="O192" s="320" t="s">
        <v>3689</v>
      </c>
      <c r="P192" s="339" t="s">
        <v>3690</v>
      </c>
      <c r="Q192" s="320"/>
    </row>
    <row r="193" spans="1:17" s="252" customFormat="1">
      <c r="A193" s="239">
        <f t="shared" si="1"/>
        <v>192</v>
      </c>
      <c r="B193" s="320" t="s">
        <v>3675</v>
      </c>
      <c r="C193" s="240" t="s">
        <v>279</v>
      </c>
      <c r="D193" s="240">
        <v>5</v>
      </c>
      <c r="E193" s="344" t="s">
        <v>3680</v>
      </c>
      <c r="F193" s="320" t="s">
        <v>3133</v>
      </c>
      <c r="G193" s="320"/>
      <c r="H193" s="324" t="s">
        <v>3328</v>
      </c>
      <c r="I193" s="239" t="s">
        <v>3030</v>
      </c>
      <c r="J193" s="197" t="s">
        <v>3336</v>
      </c>
      <c r="K193" s="344" t="s">
        <v>3681</v>
      </c>
      <c r="L193" s="345" t="s">
        <v>3686</v>
      </c>
      <c r="M193" s="344"/>
      <c r="N193" s="346"/>
      <c r="O193" s="320" t="s">
        <v>3689</v>
      </c>
      <c r="P193" s="339" t="s">
        <v>3690</v>
      </c>
      <c r="Q193" s="320"/>
    </row>
    <row r="194" spans="1:17" s="252" customFormat="1">
      <c r="A194" s="239">
        <f t="shared" si="1"/>
        <v>193</v>
      </c>
      <c r="B194" s="320" t="s">
        <v>3676</v>
      </c>
      <c r="C194" s="240" t="s">
        <v>279</v>
      </c>
      <c r="D194" s="240">
        <v>5</v>
      </c>
      <c r="E194" s="344" t="s">
        <v>3682</v>
      </c>
      <c r="F194" s="320" t="s">
        <v>3133</v>
      </c>
      <c r="G194" s="320"/>
      <c r="H194" s="324" t="s">
        <v>3328</v>
      </c>
      <c r="I194" s="239" t="s">
        <v>3030</v>
      </c>
      <c r="J194" s="197" t="s">
        <v>3336</v>
      </c>
      <c r="K194" s="344" t="s">
        <v>3683</v>
      </c>
      <c r="L194" s="345" t="s">
        <v>3687</v>
      </c>
      <c r="M194" s="344"/>
      <c r="N194" s="346"/>
      <c r="O194" s="320" t="s">
        <v>3689</v>
      </c>
      <c r="P194" s="339" t="s">
        <v>3690</v>
      </c>
      <c r="Q194" s="320"/>
    </row>
    <row r="195" spans="1:17" s="252" customFormat="1">
      <c r="A195" s="239">
        <f t="shared" si="1"/>
        <v>194</v>
      </c>
      <c r="B195" s="320" t="s">
        <v>3677</v>
      </c>
      <c r="C195" s="240" t="s">
        <v>279</v>
      </c>
      <c r="D195" s="240">
        <v>5</v>
      </c>
      <c r="E195" s="344" t="s">
        <v>3684</v>
      </c>
      <c r="F195" s="320" t="s">
        <v>3133</v>
      </c>
      <c r="G195" s="320"/>
      <c r="H195" s="324" t="s">
        <v>3328</v>
      </c>
      <c r="I195" s="239" t="s">
        <v>3030</v>
      </c>
      <c r="J195" s="197" t="s">
        <v>3336</v>
      </c>
      <c r="K195" s="344" t="s">
        <v>3684</v>
      </c>
      <c r="L195" s="345" t="s">
        <v>3688</v>
      </c>
      <c r="M195" s="344"/>
      <c r="N195" s="346"/>
      <c r="O195" s="320" t="s">
        <v>3689</v>
      </c>
      <c r="P195" s="339" t="s">
        <v>3690</v>
      </c>
      <c r="Q195" s="320"/>
    </row>
    <row r="196" spans="1:17" s="443" customFormat="1" ht="33.75">
      <c r="A196" s="242">
        <f t="shared" si="4"/>
        <v>195</v>
      </c>
      <c r="C196" s="242" t="s">
        <v>2441</v>
      </c>
      <c r="D196" s="243">
        <v>1</v>
      </c>
      <c r="E196" s="248" t="s">
        <v>1068</v>
      </c>
      <c r="F196" s="242" t="s">
        <v>3133</v>
      </c>
      <c r="G196" s="242"/>
      <c r="H196" s="249"/>
      <c r="I196" s="249" t="s">
        <v>3324</v>
      </c>
      <c r="J196" s="248" t="s">
        <v>3325</v>
      </c>
      <c r="K196" s="248" t="s">
        <v>1070</v>
      </c>
      <c r="L196" s="242" t="s">
        <v>1069</v>
      </c>
      <c r="M196" s="248" t="s">
        <v>32</v>
      </c>
      <c r="N196" s="441"/>
      <c r="O196" s="242"/>
      <c r="P196" s="242"/>
      <c r="Q196" s="442"/>
    </row>
    <row r="197" spans="1:17" s="443" customFormat="1">
      <c r="A197" s="242">
        <f t="shared" si="4"/>
        <v>196</v>
      </c>
      <c r="C197" s="242" t="s">
        <v>2442</v>
      </c>
      <c r="D197" s="243">
        <v>1</v>
      </c>
      <c r="E197" s="248" t="s">
        <v>3115</v>
      </c>
      <c r="F197" s="242" t="s">
        <v>3133</v>
      </c>
      <c r="G197" s="242"/>
      <c r="H197" s="249"/>
      <c r="I197" s="242" t="s">
        <v>3122</v>
      </c>
      <c r="J197" s="248" t="s">
        <v>3325</v>
      </c>
      <c r="K197" s="248" t="s">
        <v>3211</v>
      </c>
      <c r="L197" s="242" t="s">
        <v>1071</v>
      </c>
      <c r="M197" s="242" t="s">
        <v>32</v>
      </c>
      <c r="N197" s="441"/>
      <c r="O197" s="242"/>
      <c r="P197" s="242"/>
      <c r="Q197" s="442"/>
    </row>
    <row r="198" spans="1:17" s="443" customFormat="1">
      <c r="A198" s="242">
        <f t="shared" si="4"/>
        <v>197</v>
      </c>
      <c r="C198" s="242" t="s">
        <v>2443</v>
      </c>
      <c r="D198" s="243">
        <v>1</v>
      </c>
      <c r="E198" s="248" t="s">
        <v>1072</v>
      </c>
      <c r="F198" s="242" t="s">
        <v>3133</v>
      </c>
      <c r="G198" s="242"/>
      <c r="H198" s="249"/>
      <c r="I198" s="242" t="s">
        <v>3122</v>
      </c>
      <c r="J198" s="248" t="s">
        <v>3325</v>
      </c>
      <c r="K198" s="248" t="s">
        <v>3212</v>
      </c>
      <c r="L198" s="242" t="s">
        <v>1073</v>
      </c>
      <c r="M198" s="242" t="s">
        <v>32</v>
      </c>
      <c r="N198" s="441"/>
      <c r="O198" s="242"/>
      <c r="P198" s="242"/>
      <c r="Q198" s="442"/>
    </row>
    <row r="199" spans="1:17" s="443" customFormat="1">
      <c r="A199" s="242">
        <f t="shared" si="4"/>
        <v>198</v>
      </c>
      <c r="C199" s="242" t="s">
        <v>2444</v>
      </c>
      <c r="D199" s="243">
        <v>1</v>
      </c>
      <c r="E199" s="248" t="s">
        <v>1074</v>
      </c>
      <c r="F199" s="242" t="s">
        <v>3133</v>
      </c>
      <c r="G199" s="242"/>
      <c r="H199" s="249"/>
      <c r="I199" s="242" t="s">
        <v>3122</v>
      </c>
      <c r="J199" s="248" t="s">
        <v>3325</v>
      </c>
      <c r="K199" s="248" t="s">
        <v>3213</v>
      </c>
      <c r="L199" s="242" t="s">
        <v>1075</v>
      </c>
      <c r="M199" s="242" t="s">
        <v>32</v>
      </c>
      <c r="N199" s="441"/>
      <c r="O199" s="242"/>
      <c r="P199" s="242"/>
      <c r="Q199" s="442"/>
    </row>
    <row r="200" spans="1:17" s="443" customFormat="1">
      <c r="A200" s="242">
        <f t="shared" si="4"/>
        <v>199</v>
      </c>
      <c r="C200" s="242" t="s">
        <v>2445</v>
      </c>
      <c r="D200" s="243">
        <v>1</v>
      </c>
      <c r="E200" s="248" t="s">
        <v>1076</v>
      </c>
      <c r="F200" s="242" t="s">
        <v>3133</v>
      </c>
      <c r="G200" s="242"/>
      <c r="H200" s="249"/>
      <c r="I200" s="242" t="s">
        <v>3122</v>
      </c>
      <c r="J200" s="248" t="s">
        <v>3325</v>
      </c>
      <c r="K200" s="248" t="s">
        <v>1078</v>
      </c>
      <c r="L200" s="242" t="s">
        <v>1077</v>
      </c>
      <c r="M200" s="242" t="s">
        <v>32</v>
      </c>
      <c r="N200" s="441"/>
      <c r="O200" s="242"/>
      <c r="P200" s="242"/>
      <c r="Q200" s="442"/>
    </row>
    <row r="201" spans="1:17" s="443" customFormat="1">
      <c r="A201" s="242">
        <f t="shared" si="4"/>
        <v>200</v>
      </c>
      <c r="C201" s="242" t="s">
        <v>2446</v>
      </c>
      <c r="D201" s="243">
        <v>1</v>
      </c>
      <c r="E201" s="248" t="s">
        <v>1079</v>
      </c>
      <c r="F201" s="242" t="s">
        <v>3133</v>
      </c>
      <c r="G201" s="242"/>
      <c r="H201" s="249"/>
      <c r="I201" s="242" t="s">
        <v>3122</v>
      </c>
      <c r="J201" s="248" t="s">
        <v>3325</v>
      </c>
      <c r="K201" s="248" t="s">
        <v>1081</v>
      </c>
      <c r="L201" s="242" t="s">
        <v>1080</v>
      </c>
      <c r="M201" s="242" t="s">
        <v>32</v>
      </c>
      <c r="N201" s="441"/>
      <c r="O201" s="242"/>
      <c r="P201" s="242"/>
      <c r="Q201" s="442"/>
    </row>
    <row r="202" spans="1:17" s="443" customFormat="1">
      <c r="A202" s="242">
        <f t="shared" si="4"/>
        <v>201</v>
      </c>
      <c r="C202" s="242" t="s">
        <v>2447</v>
      </c>
      <c r="D202" s="243">
        <v>1</v>
      </c>
      <c r="E202" s="248" t="s">
        <v>1082</v>
      </c>
      <c r="F202" s="242" t="s">
        <v>3133</v>
      </c>
      <c r="G202" s="242"/>
      <c r="H202" s="249"/>
      <c r="I202" s="242" t="s">
        <v>3122</v>
      </c>
      <c r="J202" s="248" t="s">
        <v>3325</v>
      </c>
      <c r="K202" s="248" t="s">
        <v>1084</v>
      </c>
      <c r="L202" s="242" t="s">
        <v>1083</v>
      </c>
      <c r="M202" s="242" t="s">
        <v>32</v>
      </c>
      <c r="N202" s="441"/>
      <c r="O202" s="242"/>
      <c r="P202" s="242"/>
      <c r="Q202" s="442"/>
    </row>
    <row r="203" spans="1:17" s="443" customFormat="1">
      <c r="A203" s="242">
        <f t="shared" si="4"/>
        <v>202</v>
      </c>
      <c r="C203" s="242" t="s">
        <v>2448</v>
      </c>
      <c r="D203" s="243">
        <v>1</v>
      </c>
      <c r="E203" s="248" t="s">
        <v>1085</v>
      </c>
      <c r="F203" s="242" t="s">
        <v>3133</v>
      </c>
      <c r="G203" s="242"/>
      <c r="H203" s="249"/>
      <c r="I203" s="242" t="s">
        <v>3122</v>
      </c>
      <c r="J203" s="248" t="s">
        <v>3325</v>
      </c>
      <c r="K203" s="248" t="s">
        <v>1087</v>
      </c>
      <c r="L203" s="242" t="s">
        <v>1086</v>
      </c>
      <c r="M203" s="242" t="s">
        <v>32</v>
      </c>
      <c r="N203" s="441"/>
      <c r="O203" s="242"/>
      <c r="P203" s="242"/>
      <c r="Q203" s="442"/>
    </row>
    <row r="204" spans="1:17" s="443" customFormat="1">
      <c r="A204" s="242">
        <f t="shared" si="4"/>
        <v>203</v>
      </c>
      <c r="C204" s="242" t="s">
        <v>2449</v>
      </c>
      <c r="D204" s="243">
        <v>1</v>
      </c>
      <c r="E204" s="248" t="s">
        <v>1088</v>
      </c>
      <c r="F204" s="242" t="s">
        <v>3133</v>
      </c>
      <c r="G204" s="242"/>
      <c r="H204" s="249"/>
      <c r="I204" s="242" t="s">
        <v>3122</v>
      </c>
      <c r="J204" s="248" t="s">
        <v>3325</v>
      </c>
      <c r="K204" s="248" t="s">
        <v>1090</v>
      </c>
      <c r="L204" s="242" t="s">
        <v>1089</v>
      </c>
      <c r="M204" s="242" t="s">
        <v>32</v>
      </c>
      <c r="N204" s="441"/>
      <c r="O204" s="242"/>
      <c r="P204" s="242"/>
      <c r="Q204" s="442"/>
    </row>
    <row r="205" spans="1:17" s="443" customFormat="1">
      <c r="A205" s="242">
        <f t="shared" si="4"/>
        <v>204</v>
      </c>
      <c r="C205" s="242" t="s">
        <v>2450</v>
      </c>
      <c r="D205" s="243">
        <v>1</v>
      </c>
      <c r="E205" s="248" t="s">
        <v>1091</v>
      </c>
      <c r="F205" s="242" t="s">
        <v>3133</v>
      </c>
      <c r="G205" s="242"/>
      <c r="H205" s="249"/>
      <c r="I205" s="242" t="s">
        <v>3122</v>
      </c>
      <c r="J205" s="248" t="s">
        <v>3325</v>
      </c>
      <c r="K205" s="248" t="s">
        <v>1093</v>
      </c>
      <c r="L205" s="242" t="s">
        <v>1092</v>
      </c>
      <c r="M205" s="242" t="s">
        <v>32</v>
      </c>
      <c r="N205" s="441"/>
      <c r="O205" s="242"/>
      <c r="P205" s="242"/>
      <c r="Q205" s="442"/>
    </row>
    <row r="206" spans="1:17" s="443" customFormat="1">
      <c r="A206" s="242">
        <f t="shared" si="4"/>
        <v>205</v>
      </c>
      <c r="C206" s="242" t="s">
        <v>2451</v>
      </c>
      <c r="D206" s="243">
        <v>1</v>
      </c>
      <c r="E206" s="248" t="s">
        <v>1094</v>
      </c>
      <c r="F206" s="242" t="s">
        <v>3133</v>
      </c>
      <c r="G206" s="242"/>
      <c r="H206" s="249"/>
      <c r="I206" s="242" t="s">
        <v>3122</v>
      </c>
      <c r="J206" s="248" t="s">
        <v>3325</v>
      </c>
      <c r="K206" s="248" t="s">
        <v>1096</v>
      </c>
      <c r="L206" s="242" t="s">
        <v>1095</v>
      </c>
      <c r="M206" s="248" t="s">
        <v>32</v>
      </c>
      <c r="N206" s="441"/>
      <c r="O206" s="242"/>
      <c r="P206" s="242"/>
      <c r="Q206" s="442"/>
    </row>
    <row r="207" spans="1:17" s="443" customFormat="1">
      <c r="A207" s="242">
        <f t="shared" si="4"/>
        <v>206</v>
      </c>
      <c r="C207" s="242" t="s">
        <v>2452</v>
      </c>
      <c r="D207" s="243">
        <v>1</v>
      </c>
      <c r="E207" s="248" t="s">
        <v>1097</v>
      </c>
      <c r="F207" s="242" t="s">
        <v>3133</v>
      </c>
      <c r="G207" s="242"/>
      <c r="H207" s="249"/>
      <c r="I207" s="242" t="s">
        <v>3122</v>
      </c>
      <c r="J207" s="248" t="s">
        <v>3325</v>
      </c>
      <c r="K207" s="248" t="s">
        <v>1099</v>
      </c>
      <c r="L207" s="242" t="s">
        <v>1098</v>
      </c>
      <c r="M207" s="248" t="s">
        <v>32</v>
      </c>
      <c r="N207" s="441"/>
      <c r="O207" s="242"/>
      <c r="P207" s="242"/>
      <c r="Q207" s="442"/>
    </row>
    <row r="208" spans="1:17" s="443" customFormat="1">
      <c r="A208" s="242">
        <f t="shared" si="4"/>
        <v>207</v>
      </c>
      <c r="C208" s="242" t="s">
        <v>2453</v>
      </c>
      <c r="D208" s="243">
        <v>1</v>
      </c>
      <c r="E208" s="248" t="s">
        <v>1100</v>
      </c>
      <c r="F208" s="242" t="s">
        <v>3133</v>
      </c>
      <c r="G208" s="242"/>
      <c r="H208" s="249"/>
      <c r="I208" s="242" t="s">
        <v>3122</v>
      </c>
      <c r="J208" s="248" t="s">
        <v>3325</v>
      </c>
      <c r="K208" s="248" t="s">
        <v>1102</v>
      </c>
      <c r="L208" s="242" t="s">
        <v>1101</v>
      </c>
      <c r="M208" s="248" t="s">
        <v>32</v>
      </c>
      <c r="N208" s="441"/>
      <c r="O208" s="242"/>
      <c r="P208" s="242"/>
      <c r="Q208" s="442"/>
    </row>
    <row r="209" spans="1:17" s="443" customFormat="1">
      <c r="A209" s="242">
        <f t="shared" si="4"/>
        <v>208</v>
      </c>
      <c r="C209" s="242" t="s">
        <v>2454</v>
      </c>
      <c r="D209" s="243">
        <v>1</v>
      </c>
      <c r="E209" s="248" t="s">
        <v>1103</v>
      </c>
      <c r="F209" s="242" t="s">
        <v>3133</v>
      </c>
      <c r="G209" s="242"/>
      <c r="H209" s="249"/>
      <c r="I209" s="242" t="s">
        <v>3122</v>
      </c>
      <c r="J209" s="248" t="s">
        <v>3325</v>
      </c>
      <c r="K209" s="248" t="s">
        <v>1105</v>
      </c>
      <c r="L209" s="242" t="s">
        <v>1104</v>
      </c>
      <c r="M209" s="248" t="s">
        <v>32</v>
      </c>
      <c r="N209" s="441"/>
      <c r="O209" s="242"/>
      <c r="P209" s="242"/>
      <c r="Q209" s="442"/>
    </row>
    <row r="210" spans="1:17" s="443" customFormat="1">
      <c r="A210" s="242">
        <f t="shared" si="4"/>
        <v>209</v>
      </c>
      <c r="C210" s="242" t="s">
        <v>2455</v>
      </c>
      <c r="D210" s="243">
        <v>1</v>
      </c>
      <c r="E210" s="248" t="s">
        <v>1106</v>
      </c>
      <c r="F210" s="242" t="s">
        <v>3133</v>
      </c>
      <c r="G210" s="242"/>
      <c r="H210" s="249"/>
      <c r="I210" s="242" t="s">
        <v>3122</v>
      </c>
      <c r="J210" s="248" t="s">
        <v>3325</v>
      </c>
      <c r="K210" s="248" t="s">
        <v>1108</v>
      </c>
      <c r="L210" s="242" t="s">
        <v>1107</v>
      </c>
      <c r="M210" s="248" t="s">
        <v>32</v>
      </c>
      <c r="N210" s="441"/>
      <c r="O210" s="242"/>
      <c r="P210" s="242"/>
      <c r="Q210" s="442"/>
    </row>
    <row r="211" spans="1:17" s="443" customFormat="1">
      <c r="A211" s="242">
        <f t="shared" si="4"/>
        <v>210</v>
      </c>
      <c r="C211" s="242" t="s">
        <v>2456</v>
      </c>
      <c r="D211" s="243">
        <v>1</v>
      </c>
      <c r="E211" s="248" t="s">
        <v>1109</v>
      </c>
      <c r="F211" s="242" t="s">
        <v>3133</v>
      </c>
      <c r="G211" s="242"/>
      <c r="H211" s="249"/>
      <c r="I211" s="242" t="s">
        <v>3122</v>
      </c>
      <c r="J211" s="248" t="s">
        <v>3325</v>
      </c>
      <c r="K211" s="248" t="s">
        <v>1111</v>
      </c>
      <c r="L211" s="242" t="s">
        <v>1110</v>
      </c>
      <c r="M211" s="248" t="s">
        <v>32</v>
      </c>
      <c r="N211" s="441"/>
      <c r="O211" s="242"/>
      <c r="P211" s="242"/>
      <c r="Q211" s="442"/>
    </row>
    <row r="212" spans="1:17" s="443" customFormat="1">
      <c r="A212" s="242">
        <f t="shared" si="4"/>
        <v>211</v>
      </c>
      <c r="C212" s="242" t="s">
        <v>2457</v>
      </c>
      <c r="D212" s="243">
        <v>1</v>
      </c>
      <c r="E212" s="248" t="s">
        <v>1112</v>
      </c>
      <c r="F212" s="242" t="s">
        <v>3133</v>
      </c>
      <c r="G212" s="242"/>
      <c r="H212" s="249"/>
      <c r="I212" s="242" t="s">
        <v>3122</v>
      </c>
      <c r="J212" s="248" t="s">
        <v>3325</v>
      </c>
      <c r="K212" s="248" t="s">
        <v>1114</v>
      </c>
      <c r="L212" s="242" t="s">
        <v>1113</v>
      </c>
      <c r="M212" s="248" t="s">
        <v>32</v>
      </c>
      <c r="N212" s="441"/>
      <c r="O212" s="242"/>
      <c r="P212" s="242"/>
      <c r="Q212" s="442"/>
    </row>
    <row r="213" spans="1:17" s="443" customFormat="1">
      <c r="A213" s="242">
        <f t="shared" si="4"/>
        <v>212</v>
      </c>
      <c r="C213" s="242" t="s">
        <v>2458</v>
      </c>
      <c r="D213" s="243">
        <v>1</v>
      </c>
      <c r="E213" s="248" t="s">
        <v>1115</v>
      </c>
      <c r="F213" s="242" t="s">
        <v>3133</v>
      </c>
      <c r="G213" s="242"/>
      <c r="H213" s="249"/>
      <c r="I213" s="242" t="s">
        <v>3122</v>
      </c>
      <c r="J213" s="248" t="s">
        <v>3325</v>
      </c>
      <c r="K213" s="248" t="s">
        <v>1117</v>
      </c>
      <c r="L213" s="242" t="s">
        <v>1116</v>
      </c>
      <c r="M213" s="248" t="s">
        <v>32</v>
      </c>
      <c r="N213" s="441"/>
      <c r="O213" s="242"/>
      <c r="P213" s="242"/>
      <c r="Q213" s="442"/>
    </row>
    <row r="214" spans="1:17" s="443" customFormat="1">
      <c r="A214" s="242">
        <f t="shared" si="4"/>
        <v>213</v>
      </c>
      <c r="C214" s="242" t="s">
        <v>2459</v>
      </c>
      <c r="D214" s="243">
        <v>1</v>
      </c>
      <c r="E214" s="248" t="s">
        <v>1118</v>
      </c>
      <c r="F214" s="242" t="s">
        <v>3133</v>
      </c>
      <c r="G214" s="242"/>
      <c r="H214" s="249"/>
      <c r="I214" s="242" t="s">
        <v>3122</v>
      </c>
      <c r="J214" s="248" t="s">
        <v>3325</v>
      </c>
      <c r="K214" s="248" t="s">
        <v>1120</v>
      </c>
      <c r="L214" s="242" t="s">
        <v>1119</v>
      </c>
      <c r="M214" s="248" t="s">
        <v>32</v>
      </c>
      <c r="N214" s="441"/>
      <c r="O214" s="242"/>
      <c r="P214" s="242"/>
      <c r="Q214" s="442"/>
    </row>
    <row r="215" spans="1:17" s="443" customFormat="1">
      <c r="A215" s="242">
        <f t="shared" si="4"/>
        <v>214</v>
      </c>
      <c r="C215" s="242" t="s">
        <v>2460</v>
      </c>
      <c r="D215" s="243">
        <v>1</v>
      </c>
      <c r="E215" s="248" t="s">
        <v>1121</v>
      </c>
      <c r="F215" s="242" t="s">
        <v>3133</v>
      </c>
      <c r="G215" s="242"/>
      <c r="H215" s="249"/>
      <c r="I215" s="242" t="s">
        <v>3122</v>
      </c>
      <c r="J215" s="248" t="s">
        <v>3325</v>
      </c>
      <c r="K215" s="248" t="s">
        <v>1123</v>
      </c>
      <c r="L215" s="242" t="s">
        <v>1122</v>
      </c>
      <c r="M215" s="248" t="s">
        <v>32</v>
      </c>
      <c r="N215" s="441"/>
      <c r="O215" s="242"/>
      <c r="P215" s="242"/>
      <c r="Q215" s="442"/>
    </row>
    <row r="216" spans="1:17" s="443" customFormat="1">
      <c r="A216" s="242">
        <f t="shared" si="4"/>
        <v>215</v>
      </c>
      <c r="C216" s="242" t="s">
        <v>2461</v>
      </c>
      <c r="D216" s="243">
        <v>1</v>
      </c>
      <c r="E216" s="248" t="s">
        <v>1124</v>
      </c>
      <c r="F216" s="242" t="s">
        <v>3133</v>
      </c>
      <c r="G216" s="242"/>
      <c r="H216" s="249"/>
      <c r="I216" s="242" t="s">
        <v>3122</v>
      </c>
      <c r="J216" s="248" t="s">
        <v>3325</v>
      </c>
      <c r="K216" s="248" t="s">
        <v>1126</v>
      </c>
      <c r="L216" s="242" t="s">
        <v>1125</v>
      </c>
      <c r="M216" s="248" t="s">
        <v>32</v>
      </c>
      <c r="N216" s="441"/>
      <c r="O216" s="242"/>
      <c r="P216" s="242"/>
      <c r="Q216" s="442"/>
    </row>
    <row r="217" spans="1:17" s="443" customFormat="1">
      <c r="A217" s="242">
        <f t="shared" si="4"/>
        <v>216</v>
      </c>
      <c r="C217" s="242" t="s">
        <v>2462</v>
      </c>
      <c r="D217" s="243">
        <v>1</v>
      </c>
      <c r="E217" s="248" t="s">
        <v>1127</v>
      </c>
      <c r="F217" s="242" t="s">
        <v>3133</v>
      </c>
      <c r="G217" s="242"/>
      <c r="H217" s="249"/>
      <c r="I217" s="242" t="s">
        <v>3122</v>
      </c>
      <c r="J217" s="248" t="s">
        <v>3325</v>
      </c>
      <c r="K217" s="248" t="s">
        <v>1129</v>
      </c>
      <c r="L217" s="242" t="s">
        <v>1128</v>
      </c>
      <c r="M217" s="248" t="s">
        <v>32</v>
      </c>
      <c r="N217" s="441"/>
      <c r="O217" s="242"/>
      <c r="P217" s="242"/>
      <c r="Q217" s="442"/>
    </row>
    <row r="218" spans="1:17" s="443" customFormat="1">
      <c r="A218" s="242">
        <f t="shared" si="4"/>
        <v>217</v>
      </c>
      <c r="C218" s="242" t="s">
        <v>2463</v>
      </c>
      <c r="D218" s="243">
        <v>1</v>
      </c>
      <c r="E218" s="248" t="s">
        <v>1130</v>
      </c>
      <c r="F218" s="242" t="s">
        <v>3133</v>
      </c>
      <c r="G218" s="242"/>
      <c r="H218" s="249"/>
      <c r="I218" s="242" t="s">
        <v>3122</v>
      </c>
      <c r="J218" s="248" t="s">
        <v>3325</v>
      </c>
      <c r="K218" s="248" t="s">
        <v>1132</v>
      </c>
      <c r="L218" s="242" t="s">
        <v>1131</v>
      </c>
      <c r="M218" s="248" t="s">
        <v>32</v>
      </c>
      <c r="N218" s="441"/>
      <c r="O218" s="242"/>
      <c r="P218" s="242"/>
      <c r="Q218" s="442"/>
    </row>
    <row r="219" spans="1:17" s="443" customFormat="1">
      <c r="A219" s="242">
        <f t="shared" si="4"/>
        <v>218</v>
      </c>
      <c r="C219" s="242" t="s">
        <v>2464</v>
      </c>
      <c r="D219" s="243">
        <v>1</v>
      </c>
      <c r="E219" s="248" t="s">
        <v>1133</v>
      </c>
      <c r="F219" s="242" t="s">
        <v>3133</v>
      </c>
      <c r="G219" s="242"/>
      <c r="H219" s="249"/>
      <c r="I219" s="242" t="s">
        <v>3122</v>
      </c>
      <c r="J219" s="248" t="s">
        <v>3325</v>
      </c>
      <c r="K219" s="248" t="s">
        <v>1135</v>
      </c>
      <c r="L219" s="242" t="s">
        <v>1134</v>
      </c>
      <c r="M219" s="248" t="s">
        <v>32</v>
      </c>
      <c r="N219" s="441"/>
      <c r="O219" s="242"/>
      <c r="P219" s="242"/>
      <c r="Q219" s="442"/>
    </row>
    <row r="220" spans="1:17" s="443" customFormat="1">
      <c r="A220" s="242">
        <f t="shared" si="4"/>
        <v>219</v>
      </c>
      <c r="C220" s="242" t="s">
        <v>2465</v>
      </c>
      <c r="D220" s="243">
        <v>1</v>
      </c>
      <c r="E220" s="248" t="s">
        <v>1136</v>
      </c>
      <c r="F220" s="242" t="s">
        <v>3133</v>
      </c>
      <c r="G220" s="242"/>
      <c r="H220" s="249"/>
      <c r="I220" s="242" t="s">
        <v>3122</v>
      </c>
      <c r="J220" s="248" t="s">
        <v>3325</v>
      </c>
      <c r="K220" s="248" t="s">
        <v>1138</v>
      </c>
      <c r="L220" s="242" t="s">
        <v>1137</v>
      </c>
      <c r="M220" s="248" t="s">
        <v>32</v>
      </c>
      <c r="N220" s="441"/>
      <c r="O220" s="242"/>
      <c r="P220" s="242"/>
      <c r="Q220" s="442"/>
    </row>
    <row r="221" spans="1:17" s="443" customFormat="1">
      <c r="A221" s="242">
        <f t="shared" si="4"/>
        <v>220</v>
      </c>
      <c r="C221" s="242" t="s">
        <v>2466</v>
      </c>
      <c r="D221" s="243">
        <v>1</v>
      </c>
      <c r="E221" s="248" t="s">
        <v>1139</v>
      </c>
      <c r="F221" s="242" t="s">
        <v>3133</v>
      </c>
      <c r="G221" s="242"/>
      <c r="H221" s="249"/>
      <c r="I221" s="242" t="s">
        <v>3122</v>
      </c>
      <c r="J221" s="248" t="s">
        <v>3325</v>
      </c>
      <c r="K221" s="248" t="s">
        <v>1141</v>
      </c>
      <c r="L221" s="242" t="s">
        <v>1140</v>
      </c>
      <c r="M221" s="248" t="s">
        <v>32</v>
      </c>
      <c r="N221" s="441"/>
      <c r="O221" s="242"/>
      <c r="P221" s="242"/>
      <c r="Q221" s="442"/>
    </row>
    <row r="222" spans="1:17" s="443" customFormat="1">
      <c r="A222" s="242">
        <f t="shared" si="4"/>
        <v>221</v>
      </c>
      <c r="C222" s="242" t="s">
        <v>2467</v>
      </c>
      <c r="D222" s="243">
        <v>1</v>
      </c>
      <c r="E222" s="248" t="s">
        <v>1142</v>
      </c>
      <c r="F222" s="242" t="s">
        <v>3133</v>
      </c>
      <c r="G222" s="242"/>
      <c r="H222" s="249"/>
      <c r="I222" s="242" t="s">
        <v>3122</v>
      </c>
      <c r="J222" s="248" t="s">
        <v>3325</v>
      </c>
      <c r="K222" s="248" t="s">
        <v>1144</v>
      </c>
      <c r="L222" s="242" t="s">
        <v>1143</v>
      </c>
      <c r="M222" s="248" t="s">
        <v>32</v>
      </c>
      <c r="N222" s="441"/>
      <c r="O222" s="242"/>
      <c r="P222" s="242"/>
      <c r="Q222" s="442"/>
    </row>
    <row r="223" spans="1:17" s="443" customFormat="1">
      <c r="A223" s="242">
        <f t="shared" si="4"/>
        <v>222</v>
      </c>
      <c r="C223" s="242" t="s">
        <v>2468</v>
      </c>
      <c r="D223" s="243">
        <v>1</v>
      </c>
      <c r="E223" s="248" t="s">
        <v>1145</v>
      </c>
      <c r="F223" s="242" t="s">
        <v>3133</v>
      </c>
      <c r="G223" s="242"/>
      <c r="H223" s="249"/>
      <c r="I223" s="242" t="s">
        <v>3122</v>
      </c>
      <c r="J223" s="248" t="s">
        <v>3325</v>
      </c>
      <c r="K223" s="248" t="s">
        <v>1147</v>
      </c>
      <c r="L223" s="242" t="s">
        <v>1146</v>
      </c>
      <c r="M223" s="248" t="s">
        <v>32</v>
      </c>
      <c r="N223" s="441"/>
      <c r="O223" s="242"/>
      <c r="P223" s="242"/>
      <c r="Q223" s="442"/>
    </row>
    <row r="224" spans="1:17" s="443" customFormat="1">
      <c r="A224" s="242">
        <f t="shared" si="4"/>
        <v>223</v>
      </c>
      <c r="C224" s="242" t="s">
        <v>2469</v>
      </c>
      <c r="D224" s="243">
        <v>1</v>
      </c>
      <c r="E224" s="248" t="s">
        <v>1148</v>
      </c>
      <c r="F224" s="242" t="s">
        <v>3133</v>
      </c>
      <c r="G224" s="242"/>
      <c r="H224" s="249"/>
      <c r="I224" s="242" t="s">
        <v>3122</v>
      </c>
      <c r="J224" s="248" t="s">
        <v>3325</v>
      </c>
      <c r="K224" s="248" t="s">
        <v>1150</v>
      </c>
      <c r="L224" s="242" t="s">
        <v>1149</v>
      </c>
      <c r="M224" s="248" t="s">
        <v>32</v>
      </c>
      <c r="N224" s="441"/>
      <c r="O224" s="242"/>
      <c r="P224" s="242"/>
      <c r="Q224" s="442"/>
    </row>
    <row r="225" spans="1:17" s="443" customFormat="1">
      <c r="A225" s="242">
        <f t="shared" si="4"/>
        <v>224</v>
      </c>
      <c r="C225" s="242" t="s">
        <v>2470</v>
      </c>
      <c r="D225" s="243">
        <v>1</v>
      </c>
      <c r="E225" s="248" t="s">
        <v>1151</v>
      </c>
      <c r="F225" s="242" t="s">
        <v>3133</v>
      </c>
      <c r="G225" s="242"/>
      <c r="H225" s="249"/>
      <c r="I225" s="242" t="s">
        <v>3122</v>
      </c>
      <c r="J225" s="248" t="s">
        <v>3325</v>
      </c>
      <c r="K225" s="248" t="s">
        <v>1153</v>
      </c>
      <c r="L225" s="242" t="s">
        <v>1152</v>
      </c>
      <c r="M225" s="248" t="s">
        <v>32</v>
      </c>
      <c r="N225" s="441"/>
      <c r="O225" s="242"/>
      <c r="P225" s="242"/>
      <c r="Q225" s="442"/>
    </row>
    <row r="226" spans="1:17" s="443" customFormat="1">
      <c r="A226" s="242">
        <f t="shared" si="4"/>
        <v>225</v>
      </c>
      <c r="C226" s="242" t="s">
        <v>2471</v>
      </c>
      <c r="D226" s="243">
        <v>1</v>
      </c>
      <c r="E226" s="248" t="s">
        <v>1154</v>
      </c>
      <c r="F226" s="242" t="s">
        <v>3133</v>
      </c>
      <c r="G226" s="242"/>
      <c r="H226" s="249"/>
      <c r="I226" s="242" t="s">
        <v>3122</v>
      </c>
      <c r="J226" s="248" t="s">
        <v>3325</v>
      </c>
      <c r="K226" s="248" t="s">
        <v>1156</v>
      </c>
      <c r="L226" s="242" t="s">
        <v>1155</v>
      </c>
      <c r="M226" s="248" t="s">
        <v>32</v>
      </c>
      <c r="N226" s="441"/>
      <c r="O226" s="242"/>
      <c r="P226" s="242"/>
      <c r="Q226" s="442"/>
    </row>
    <row r="227" spans="1:17" s="443" customFormat="1">
      <c r="A227" s="242">
        <f t="shared" si="4"/>
        <v>226</v>
      </c>
      <c r="C227" s="242" t="s">
        <v>2472</v>
      </c>
      <c r="D227" s="243">
        <v>1</v>
      </c>
      <c r="E227" s="248" t="s">
        <v>1157</v>
      </c>
      <c r="F227" s="242" t="s">
        <v>3133</v>
      </c>
      <c r="G227" s="242"/>
      <c r="H227" s="249"/>
      <c r="I227" s="242" t="s">
        <v>3122</v>
      </c>
      <c r="J227" s="248" t="s">
        <v>3325</v>
      </c>
      <c r="K227" s="248" t="s">
        <v>1159</v>
      </c>
      <c r="L227" s="242" t="s">
        <v>1158</v>
      </c>
      <c r="M227" s="248" t="s">
        <v>32</v>
      </c>
      <c r="N227" s="441"/>
      <c r="O227" s="242"/>
      <c r="P227" s="242"/>
      <c r="Q227" s="442"/>
    </row>
    <row r="228" spans="1:17" s="443" customFormat="1">
      <c r="A228" s="242">
        <f t="shared" si="4"/>
        <v>227</v>
      </c>
      <c r="C228" s="242" t="s">
        <v>2473</v>
      </c>
      <c r="D228" s="243">
        <v>1</v>
      </c>
      <c r="E228" s="248" t="s">
        <v>1160</v>
      </c>
      <c r="F228" s="242" t="s">
        <v>3133</v>
      </c>
      <c r="G228" s="242"/>
      <c r="H228" s="249"/>
      <c r="I228" s="242" t="s">
        <v>3122</v>
      </c>
      <c r="J228" s="248" t="s">
        <v>3325</v>
      </c>
      <c r="K228" s="248" t="s">
        <v>3326</v>
      </c>
      <c r="L228" s="242" t="s">
        <v>1161</v>
      </c>
      <c r="M228" s="248" t="s">
        <v>32</v>
      </c>
      <c r="N228" s="441"/>
      <c r="O228" s="242"/>
      <c r="P228" s="242"/>
      <c r="Q228" s="442"/>
    </row>
    <row r="229" spans="1:17" s="443" customFormat="1">
      <c r="A229" s="242">
        <f t="shared" si="4"/>
        <v>228</v>
      </c>
      <c r="C229" s="242" t="s">
        <v>2474</v>
      </c>
      <c r="D229" s="243">
        <v>1</v>
      </c>
      <c r="E229" s="248" t="s">
        <v>1162</v>
      </c>
      <c r="F229" s="242" t="s">
        <v>3133</v>
      </c>
      <c r="G229" s="242"/>
      <c r="H229" s="249"/>
      <c r="I229" s="242" t="s">
        <v>3122</v>
      </c>
      <c r="J229" s="248" t="s">
        <v>3325</v>
      </c>
      <c r="K229" s="248" t="s">
        <v>1164</v>
      </c>
      <c r="L229" s="242" t="s">
        <v>1163</v>
      </c>
      <c r="M229" s="248" t="s">
        <v>32</v>
      </c>
      <c r="N229" s="441"/>
      <c r="O229" s="242"/>
      <c r="P229" s="242"/>
      <c r="Q229" s="442"/>
    </row>
    <row r="230" spans="1:17" s="443" customFormat="1" ht="33.75">
      <c r="A230" s="242">
        <f t="shared" si="4"/>
        <v>229</v>
      </c>
      <c r="C230" s="242" t="s">
        <v>2475</v>
      </c>
      <c r="D230" s="243">
        <v>1</v>
      </c>
      <c r="E230" s="248" t="s">
        <v>1165</v>
      </c>
      <c r="F230" s="242" t="s">
        <v>3133</v>
      </c>
      <c r="G230" s="242"/>
      <c r="H230" s="249"/>
      <c r="I230" s="249" t="s">
        <v>3323</v>
      </c>
      <c r="J230" s="248" t="s">
        <v>3325</v>
      </c>
      <c r="K230" s="248" t="s">
        <v>1167</v>
      </c>
      <c r="L230" s="242" t="s">
        <v>1166</v>
      </c>
      <c r="M230" s="248" t="s">
        <v>32</v>
      </c>
      <c r="N230" s="441"/>
      <c r="O230" s="242"/>
      <c r="P230" s="242"/>
      <c r="Q230" s="442"/>
    </row>
    <row r="231" spans="1:17" s="443" customFormat="1">
      <c r="A231" s="242">
        <f t="shared" si="1"/>
        <v>230</v>
      </c>
      <c r="C231" s="242" t="s">
        <v>2476</v>
      </c>
      <c r="D231" s="243">
        <v>1</v>
      </c>
      <c r="E231" s="248" t="s">
        <v>1168</v>
      </c>
      <c r="F231" s="242" t="s">
        <v>3133</v>
      </c>
      <c r="G231" s="242"/>
      <c r="H231" s="249"/>
      <c r="I231" s="242" t="s">
        <v>3122</v>
      </c>
      <c r="J231" s="248" t="s">
        <v>3325</v>
      </c>
      <c r="K231" s="248" t="s">
        <v>1170</v>
      </c>
      <c r="L231" s="242" t="s">
        <v>1169</v>
      </c>
      <c r="M231" s="248" t="s">
        <v>32</v>
      </c>
      <c r="N231" s="441"/>
      <c r="O231" s="242"/>
      <c r="P231" s="242"/>
      <c r="Q231" s="442"/>
    </row>
    <row r="232" spans="1:17" s="443" customFormat="1">
      <c r="A232" s="242">
        <f t="shared" si="1"/>
        <v>231</v>
      </c>
      <c r="C232" s="242" t="s">
        <v>2477</v>
      </c>
      <c r="D232" s="243">
        <v>1</v>
      </c>
      <c r="E232" s="248" t="s">
        <v>1171</v>
      </c>
      <c r="F232" s="242" t="s">
        <v>3133</v>
      </c>
      <c r="G232" s="242"/>
      <c r="H232" s="249"/>
      <c r="I232" s="242" t="s">
        <v>3122</v>
      </c>
      <c r="J232" s="248" t="s">
        <v>3325</v>
      </c>
      <c r="K232" s="248" t="s">
        <v>1173</v>
      </c>
      <c r="L232" s="242" t="s">
        <v>1172</v>
      </c>
      <c r="M232" s="248" t="s">
        <v>32</v>
      </c>
      <c r="N232" s="441"/>
      <c r="O232" s="242"/>
      <c r="P232" s="242"/>
      <c r="Q232" s="442"/>
    </row>
    <row r="233" spans="1:17" s="443" customFormat="1">
      <c r="A233" s="242">
        <f t="shared" si="1"/>
        <v>232</v>
      </c>
      <c r="C233" s="242" t="s">
        <v>2478</v>
      </c>
      <c r="D233" s="243">
        <v>1</v>
      </c>
      <c r="E233" s="248" t="s">
        <v>1174</v>
      </c>
      <c r="F233" s="242" t="s">
        <v>3133</v>
      </c>
      <c r="G233" s="242"/>
      <c r="H233" s="249"/>
      <c r="I233" s="242" t="s">
        <v>3122</v>
      </c>
      <c r="J233" s="248" t="s">
        <v>3325</v>
      </c>
      <c r="K233" s="248" t="s">
        <v>1176</v>
      </c>
      <c r="L233" s="242" t="s">
        <v>1175</v>
      </c>
      <c r="M233" s="248" t="s">
        <v>32</v>
      </c>
      <c r="N233" s="441"/>
      <c r="O233" s="242"/>
      <c r="P233" s="242"/>
      <c r="Q233" s="442"/>
    </row>
    <row r="234" spans="1:17" s="443" customFormat="1">
      <c r="A234" s="242">
        <f t="shared" si="1"/>
        <v>233</v>
      </c>
      <c r="C234" s="242" t="s">
        <v>2479</v>
      </c>
      <c r="D234" s="243">
        <v>1</v>
      </c>
      <c r="E234" s="248" t="s">
        <v>1177</v>
      </c>
      <c r="F234" s="242" t="s">
        <v>3133</v>
      </c>
      <c r="G234" s="242"/>
      <c r="H234" s="249"/>
      <c r="I234" s="242" t="s">
        <v>3122</v>
      </c>
      <c r="J234" s="248" t="s">
        <v>3325</v>
      </c>
      <c r="K234" s="248" t="s">
        <v>1179</v>
      </c>
      <c r="L234" s="242" t="s">
        <v>1178</v>
      </c>
      <c r="M234" s="248" t="s">
        <v>32</v>
      </c>
      <c r="N234" s="441"/>
      <c r="O234" s="242"/>
      <c r="P234" s="242"/>
      <c r="Q234" s="442"/>
    </row>
    <row r="235" spans="1:17" s="443" customFormat="1">
      <c r="A235" s="242">
        <f t="shared" si="1"/>
        <v>234</v>
      </c>
      <c r="C235" s="242" t="s">
        <v>2480</v>
      </c>
      <c r="D235" s="243">
        <v>1</v>
      </c>
      <c r="E235" s="248" t="s">
        <v>1180</v>
      </c>
      <c r="F235" s="242" t="s">
        <v>3133</v>
      </c>
      <c r="G235" s="242"/>
      <c r="H235" s="249"/>
      <c r="I235" s="242" t="s">
        <v>3122</v>
      </c>
      <c r="J235" s="248" t="s">
        <v>3325</v>
      </c>
      <c r="K235" s="248" t="s">
        <v>1182</v>
      </c>
      <c r="L235" s="242" t="s">
        <v>1181</v>
      </c>
      <c r="M235" s="248" t="s">
        <v>32</v>
      </c>
      <c r="N235" s="441"/>
      <c r="O235" s="242"/>
      <c r="P235" s="242"/>
      <c r="Q235" s="442"/>
    </row>
    <row r="236" spans="1:17" s="443" customFormat="1">
      <c r="A236" s="242">
        <f t="shared" si="1"/>
        <v>235</v>
      </c>
      <c r="C236" s="242" t="s">
        <v>2481</v>
      </c>
      <c r="D236" s="243">
        <v>1</v>
      </c>
      <c r="E236" s="248" t="s">
        <v>1183</v>
      </c>
      <c r="F236" s="242" t="s">
        <v>3133</v>
      </c>
      <c r="G236" s="242"/>
      <c r="H236" s="249"/>
      <c r="I236" s="242" t="s">
        <v>3123</v>
      </c>
      <c r="J236" s="248" t="s">
        <v>3341</v>
      </c>
      <c r="K236" s="248" t="s">
        <v>1185</v>
      </c>
      <c r="L236" s="242" t="s">
        <v>1184</v>
      </c>
      <c r="M236" s="248" t="s">
        <v>3119</v>
      </c>
      <c r="N236" s="441"/>
      <c r="O236" s="242"/>
      <c r="P236" s="242"/>
      <c r="Q236" s="442"/>
    </row>
    <row r="237" spans="1:17" s="443" customFormat="1">
      <c r="A237" s="242">
        <f t="shared" si="1"/>
        <v>236</v>
      </c>
      <c r="C237" s="242" t="s">
        <v>2482</v>
      </c>
      <c r="D237" s="243">
        <v>1</v>
      </c>
      <c r="E237" s="248" t="s">
        <v>1186</v>
      </c>
      <c r="F237" s="242" t="s">
        <v>3133</v>
      </c>
      <c r="G237" s="242"/>
      <c r="H237" s="249"/>
      <c r="I237" s="242" t="s">
        <v>3123</v>
      </c>
      <c r="J237" s="248" t="s">
        <v>3341</v>
      </c>
      <c r="K237" s="248" t="s">
        <v>1188</v>
      </c>
      <c r="L237" s="242" t="s">
        <v>1187</v>
      </c>
      <c r="M237" s="248" t="s">
        <v>3119</v>
      </c>
      <c r="N237" s="441"/>
      <c r="O237" s="242"/>
      <c r="P237" s="242"/>
      <c r="Q237" s="442"/>
    </row>
    <row r="238" spans="1:17" s="443" customFormat="1">
      <c r="A238" s="242">
        <f t="shared" si="1"/>
        <v>237</v>
      </c>
      <c r="C238" s="242" t="s">
        <v>2483</v>
      </c>
      <c r="D238" s="243">
        <v>1</v>
      </c>
      <c r="E238" s="248" t="s">
        <v>1189</v>
      </c>
      <c r="F238" s="242" t="s">
        <v>3133</v>
      </c>
      <c r="G238" s="242"/>
      <c r="H238" s="249"/>
      <c r="I238" s="242" t="s">
        <v>3123</v>
      </c>
      <c r="J238" s="248" t="s">
        <v>3341</v>
      </c>
      <c r="K238" s="248" t="s">
        <v>1191</v>
      </c>
      <c r="L238" s="242" t="s">
        <v>1190</v>
      </c>
      <c r="M238" s="248" t="s">
        <v>3119</v>
      </c>
      <c r="N238" s="441"/>
      <c r="O238" s="242"/>
      <c r="P238" s="242"/>
      <c r="Q238" s="442"/>
    </row>
    <row r="239" spans="1:17" s="443" customFormat="1">
      <c r="A239" s="242">
        <f t="shared" si="1"/>
        <v>238</v>
      </c>
      <c r="C239" s="242" t="s">
        <v>2484</v>
      </c>
      <c r="D239" s="243">
        <v>1</v>
      </c>
      <c r="E239" s="248" t="s">
        <v>1192</v>
      </c>
      <c r="F239" s="242" t="s">
        <v>3133</v>
      </c>
      <c r="G239" s="242"/>
      <c r="H239" s="249"/>
      <c r="I239" s="242" t="s">
        <v>3123</v>
      </c>
      <c r="J239" s="248" t="s">
        <v>3341</v>
      </c>
      <c r="K239" s="248" t="s">
        <v>1194</v>
      </c>
      <c r="L239" s="242" t="s">
        <v>1193</v>
      </c>
      <c r="M239" s="248" t="s">
        <v>3119</v>
      </c>
      <c r="N239" s="441"/>
      <c r="O239" s="242"/>
      <c r="P239" s="242"/>
      <c r="Q239" s="442"/>
    </row>
    <row r="240" spans="1:17" s="443" customFormat="1">
      <c r="A240" s="242">
        <f t="shared" si="1"/>
        <v>239</v>
      </c>
      <c r="C240" s="242" t="s">
        <v>2485</v>
      </c>
      <c r="D240" s="243">
        <v>1</v>
      </c>
      <c r="E240" s="248" t="s">
        <v>1195</v>
      </c>
      <c r="F240" s="242" t="s">
        <v>3133</v>
      </c>
      <c r="G240" s="242"/>
      <c r="H240" s="249"/>
      <c r="I240" s="242" t="s">
        <v>3123</v>
      </c>
      <c r="J240" s="248" t="s">
        <v>3341</v>
      </c>
      <c r="K240" s="248" t="s">
        <v>1197</v>
      </c>
      <c r="L240" s="242" t="s">
        <v>1196</v>
      </c>
      <c r="M240" s="248" t="s">
        <v>3119</v>
      </c>
      <c r="N240" s="441"/>
      <c r="O240" s="242"/>
      <c r="P240" s="242"/>
      <c r="Q240" s="442"/>
    </row>
    <row r="241" spans="1:17" s="443" customFormat="1">
      <c r="A241" s="242">
        <f t="shared" si="1"/>
        <v>240</v>
      </c>
      <c r="C241" s="242" t="s">
        <v>2486</v>
      </c>
      <c r="D241" s="243">
        <v>1</v>
      </c>
      <c r="E241" s="248" t="s">
        <v>1198</v>
      </c>
      <c r="F241" s="242" t="s">
        <v>3133</v>
      </c>
      <c r="G241" s="242"/>
      <c r="H241" s="249"/>
      <c r="I241" s="242" t="s">
        <v>3123</v>
      </c>
      <c r="J241" s="248" t="s">
        <v>3341</v>
      </c>
      <c r="K241" s="248" t="s">
        <v>1200</v>
      </c>
      <c r="L241" s="242" t="s">
        <v>1199</v>
      </c>
      <c r="M241" s="248" t="s">
        <v>3119</v>
      </c>
      <c r="N241" s="441"/>
      <c r="O241" s="242"/>
      <c r="P241" s="242"/>
      <c r="Q241" s="442"/>
    </row>
    <row r="242" spans="1:17" s="443" customFormat="1">
      <c r="A242" s="242">
        <f t="shared" si="1"/>
        <v>241</v>
      </c>
      <c r="C242" s="242" t="s">
        <v>2487</v>
      </c>
      <c r="D242" s="243">
        <v>1</v>
      </c>
      <c r="E242" s="248" t="s">
        <v>1201</v>
      </c>
      <c r="F242" s="242" t="s">
        <v>3133</v>
      </c>
      <c r="G242" s="242"/>
      <c r="H242" s="249"/>
      <c r="I242" s="242" t="s">
        <v>3123</v>
      </c>
      <c r="J242" s="248" t="s">
        <v>3341</v>
      </c>
      <c r="K242" s="248" t="s">
        <v>1203</v>
      </c>
      <c r="L242" s="242" t="s">
        <v>1202</v>
      </c>
      <c r="M242" s="248" t="s">
        <v>3119</v>
      </c>
      <c r="N242" s="441"/>
      <c r="O242" s="242"/>
      <c r="P242" s="242"/>
      <c r="Q242" s="442"/>
    </row>
    <row r="243" spans="1:17" s="443" customFormat="1">
      <c r="A243" s="242">
        <f t="shared" si="1"/>
        <v>242</v>
      </c>
      <c r="C243" s="242" t="s">
        <v>2488</v>
      </c>
      <c r="D243" s="243">
        <v>1</v>
      </c>
      <c r="E243" s="248" t="s">
        <v>1204</v>
      </c>
      <c r="F243" s="242" t="s">
        <v>3133</v>
      </c>
      <c r="G243" s="242"/>
      <c r="H243" s="249"/>
      <c r="I243" s="242" t="s">
        <v>3123</v>
      </c>
      <c r="J243" s="248" t="s">
        <v>3341</v>
      </c>
      <c r="K243" s="248" t="s">
        <v>1206</v>
      </c>
      <c r="L243" s="242" t="s">
        <v>1205</v>
      </c>
      <c r="M243" s="248" t="s">
        <v>3119</v>
      </c>
      <c r="N243" s="441"/>
      <c r="O243" s="242"/>
      <c r="P243" s="242"/>
      <c r="Q243" s="442"/>
    </row>
    <row r="244" spans="1:17" s="443" customFormat="1">
      <c r="A244" s="242">
        <f t="shared" si="1"/>
        <v>243</v>
      </c>
      <c r="C244" s="242" t="s">
        <v>2489</v>
      </c>
      <c r="D244" s="243">
        <v>1</v>
      </c>
      <c r="E244" s="248" t="s">
        <v>1207</v>
      </c>
      <c r="F244" s="242" t="s">
        <v>3133</v>
      </c>
      <c r="G244" s="242"/>
      <c r="H244" s="249"/>
      <c r="I244" s="242" t="s">
        <v>3123</v>
      </c>
      <c r="J244" s="248" t="s">
        <v>3341</v>
      </c>
      <c r="K244" s="248" t="s">
        <v>1209</v>
      </c>
      <c r="L244" s="242" t="s">
        <v>1208</v>
      </c>
      <c r="M244" s="248" t="s">
        <v>3119</v>
      </c>
      <c r="N244" s="441"/>
      <c r="O244" s="242"/>
      <c r="P244" s="242"/>
      <c r="Q244" s="442"/>
    </row>
    <row r="245" spans="1:17" s="443" customFormat="1">
      <c r="A245" s="242">
        <f t="shared" si="1"/>
        <v>244</v>
      </c>
      <c r="C245" s="242" t="s">
        <v>2490</v>
      </c>
      <c r="D245" s="243">
        <v>1</v>
      </c>
      <c r="E245" s="248" t="s">
        <v>1210</v>
      </c>
      <c r="F245" s="242" t="s">
        <v>3133</v>
      </c>
      <c r="G245" s="242"/>
      <c r="H245" s="249"/>
      <c r="I245" s="242" t="s">
        <v>3123</v>
      </c>
      <c r="J245" s="248" t="s">
        <v>3341</v>
      </c>
      <c r="K245" s="248" t="s">
        <v>1212</v>
      </c>
      <c r="L245" s="242" t="s">
        <v>1211</v>
      </c>
      <c r="M245" s="248" t="s">
        <v>3119</v>
      </c>
      <c r="N245" s="441"/>
      <c r="O245" s="242"/>
      <c r="P245" s="242"/>
      <c r="Q245" s="442"/>
    </row>
    <row r="246" spans="1:17" s="443" customFormat="1">
      <c r="A246" s="242">
        <f t="shared" si="1"/>
        <v>245</v>
      </c>
      <c r="C246" s="242" t="s">
        <v>2491</v>
      </c>
      <c r="D246" s="243">
        <v>1</v>
      </c>
      <c r="E246" s="248" t="s">
        <v>1213</v>
      </c>
      <c r="F246" s="242" t="s">
        <v>3133</v>
      </c>
      <c r="G246" s="242"/>
      <c r="H246" s="249"/>
      <c r="I246" s="242" t="s">
        <v>3123</v>
      </c>
      <c r="J246" s="248" t="s">
        <v>3341</v>
      </c>
      <c r="K246" s="248" t="s">
        <v>1215</v>
      </c>
      <c r="L246" s="242" t="s">
        <v>1214</v>
      </c>
      <c r="M246" s="248" t="s">
        <v>3119</v>
      </c>
      <c r="N246" s="441"/>
      <c r="O246" s="242"/>
      <c r="P246" s="242"/>
      <c r="Q246" s="442"/>
    </row>
    <row r="247" spans="1:17" s="443" customFormat="1">
      <c r="A247" s="242">
        <f t="shared" si="1"/>
        <v>246</v>
      </c>
      <c r="C247" s="242" t="s">
        <v>2492</v>
      </c>
      <c r="D247" s="243">
        <v>1</v>
      </c>
      <c r="E247" s="248" t="s">
        <v>1216</v>
      </c>
      <c r="F247" s="242" t="s">
        <v>3133</v>
      </c>
      <c r="G247" s="242"/>
      <c r="H247" s="249"/>
      <c r="I247" s="242" t="s">
        <v>3123</v>
      </c>
      <c r="J247" s="248" t="s">
        <v>3341</v>
      </c>
      <c r="K247" s="248" t="s">
        <v>1218</v>
      </c>
      <c r="L247" s="242" t="s">
        <v>1217</v>
      </c>
      <c r="M247" s="248" t="s">
        <v>3119</v>
      </c>
      <c r="N247" s="441"/>
      <c r="O247" s="242"/>
      <c r="P247" s="242"/>
      <c r="Q247" s="442"/>
    </row>
    <row r="248" spans="1:17" s="443" customFormat="1">
      <c r="A248" s="242">
        <f t="shared" si="1"/>
        <v>247</v>
      </c>
      <c r="C248" s="242" t="s">
        <v>2493</v>
      </c>
      <c r="D248" s="243">
        <v>1</v>
      </c>
      <c r="E248" s="248" t="s">
        <v>1219</v>
      </c>
      <c r="F248" s="242" t="s">
        <v>3133</v>
      </c>
      <c r="G248" s="242"/>
      <c r="H248" s="249"/>
      <c r="I248" s="242" t="s">
        <v>3123</v>
      </c>
      <c r="J248" s="248" t="s">
        <v>3341</v>
      </c>
      <c r="K248" s="248" t="s">
        <v>1221</v>
      </c>
      <c r="L248" s="242" t="s">
        <v>1220</v>
      </c>
      <c r="M248" s="248" t="s">
        <v>3119</v>
      </c>
      <c r="N248" s="441"/>
      <c r="O248" s="242"/>
      <c r="P248" s="242"/>
      <c r="Q248" s="442"/>
    </row>
    <row r="249" spans="1:17" s="443" customFormat="1">
      <c r="A249" s="242">
        <f t="shared" si="1"/>
        <v>248</v>
      </c>
      <c r="C249" s="242" t="s">
        <v>2494</v>
      </c>
      <c r="D249" s="243">
        <v>1</v>
      </c>
      <c r="E249" s="248" t="s">
        <v>1222</v>
      </c>
      <c r="F249" s="242" t="s">
        <v>3133</v>
      </c>
      <c r="G249" s="242"/>
      <c r="H249" s="249"/>
      <c r="I249" s="242" t="s">
        <v>3123</v>
      </c>
      <c r="J249" s="248" t="s">
        <v>3341</v>
      </c>
      <c r="K249" s="248" t="s">
        <v>1224</v>
      </c>
      <c r="L249" s="242" t="s">
        <v>1223</v>
      </c>
      <c r="M249" s="248" t="s">
        <v>3119</v>
      </c>
      <c r="N249" s="441"/>
      <c r="O249" s="242"/>
      <c r="P249" s="242"/>
      <c r="Q249" s="442"/>
    </row>
    <row r="250" spans="1:17" s="443" customFormat="1">
      <c r="A250" s="242">
        <f t="shared" si="1"/>
        <v>249</v>
      </c>
      <c r="C250" s="242" t="s">
        <v>2495</v>
      </c>
      <c r="D250" s="243">
        <v>1</v>
      </c>
      <c r="E250" s="248" t="s">
        <v>1225</v>
      </c>
      <c r="F250" s="242" t="s">
        <v>3133</v>
      </c>
      <c r="G250" s="242"/>
      <c r="H250" s="249"/>
      <c r="I250" s="242" t="s">
        <v>3123</v>
      </c>
      <c r="J250" s="248" t="s">
        <v>3341</v>
      </c>
      <c r="K250" s="248" t="s">
        <v>1227</v>
      </c>
      <c r="L250" s="242" t="s">
        <v>1226</v>
      </c>
      <c r="M250" s="248" t="s">
        <v>3119</v>
      </c>
      <c r="N250" s="441"/>
      <c r="O250" s="242"/>
      <c r="P250" s="242"/>
      <c r="Q250" s="442"/>
    </row>
    <row r="251" spans="1:17" s="443" customFormat="1">
      <c r="A251" s="242">
        <f t="shared" si="1"/>
        <v>250</v>
      </c>
      <c r="C251" s="242" t="s">
        <v>2496</v>
      </c>
      <c r="D251" s="243">
        <v>1</v>
      </c>
      <c r="E251" s="248" t="s">
        <v>1228</v>
      </c>
      <c r="F251" s="242" t="s">
        <v>3133</v>
      </c>
      <c r="G251" s="242"/>
      <c r="H251" s="249"/>
      <c r="I251" s="242" t="s">
        <v>3123</v>
      </c>
      <c r="J251" s="248" t="s">
        <v>3341</v>
      </c>
      <c r="K251" s="248" t="s">
        <v>1230</v>
      </c>
      <c r="L251" s="242" t="s">
        <v>1229</v>
      </c>
      <c r="M251" s="248" t="s">
        <v>3119</v>
      </c>
      <c r="N251" s="441"/>
      <c r="O251" s="242"/>
      <c r="P251" s="242"/>
      <c r="Q251" s="442"/>
    </row>
    <row r="252" spans="1:17" s="443" customFormat="1">
      <c r="A252" s="242">
        <f t="shared" si="1"/>
        <v>251</v>
      </c>
      <c r="C252" s="242" t="s">
        <v>2497</v>
      </c>
      <c r="D252" s="243">
        <v>1</v>
      </c>
      <c r="E252" s="248" t="s">
        <v>1231</v>
      </c>
      <c r="F252" s="242" t="s">
        <v>3133</v>
      </c>
      <c r="G252" s="242"/>
      <c r="H252" s="249"/>
      <c r="I252" s="242" t="s">
        <v>3123</v>
      </c>
      <c r="J252" s="248" t="s">
        <v>3341</v>
      </c>
      <c r="K252" s="248" t="s">
        <v>1233</v>
      </c>
      <c r="L252" s="242" t="s">
        <v>1232</v>
      </c>
      <c r="M252" s="248" t="s">
        <v>3119</v>
      </c>
      <c r="N252" s="441"/>
      <c r="O252" s="242"/>
      <c r="P252" s="242"/>
      <c r="Q252" s="442"/>
    </row>
    <row r="253" spans="1:17" s="443" customFormat="1">
      <c r="A253" s="242">
        <f t="shared" si="1"/>
        <v>252</v>
      </c>
      <c r="C253" s="242" t="s">
        <v>2498</v>
      </c>
      <c r="D253" s="243">
        <v>1</v>
      </c>
      <c r="E253" s="248" t="s">
        <v>1234</v>
      </c>
      <c r="F253" s="242" t="s">
        <v>3133</v>
      </c>
      <c r="G253" s="242"/>
      <c r="H253" s="249"/>
      <c r="I253" s="242" t="s">
        <v>3123</v>
      </c>
      <c r="J253" s="248" t="s">
        <v>3341</v>
      </c>
      <c r="K253" s="248" t="s">
        <v>1236</v>
      </c>
      <c r="L253" s="242" t="s">
        <v>1235</v>
      </c>
      <c r="M253" s="248" t="s">
        <v>3119</v>
      </c>
      <c r="N253" s="441"/>
      <c r="O253" s="242"/>
      <c r="P253" s="242"/>
      <c r="Q253" s="442"/>
    </row>
    <row r="254" spans="1:17" s="443" customFormat="1">
      <c r="A254" s="242">
        <f t="shared" si="1"/>
        <v>253</v>
      </c>
      <c r="C254" s="242" t="s">
        <v>2499</v>
      </c>
      <c r="D254" s="243">
        <v>1</v>
      </c>
      <c r="E254" s="248" t="s">
        <v>1237</v>
      </c>
      <c r="F254" s="242" t="s">
        <v>3133</v>
      </c>
      <c r="G254" s="242"/>
      <c r="H254" s="249"/>
      <c r="I254" s="242" t="s">
        <v>3123</v>
      </c>
      <c r="J254" s="248" t="s">
        <v>3341</v>
      </c>
      <c r="K254" s="248" t="s">
        <v>1239</v>
      </c>
      <c r="L254" s="242" t="s">
        <v>1238</v>
      </c>
      <c r="M254" s="248" t="s">
        <v>3119</v>
      </c>
      <c r="N254" s="441"/>
      <c r="O254" s="242"/>
      <c r="P254" s="242"/>
      <c r="Q254" s="442"/>
    </row>
    <row r="255" spans="1:17" s="443" customFormat="1">
      <c r="A255" s="242">
        <f t="shared" si="1"/>
        <v>254</v>
      </c>
      <c r="C255" s="242" t="s">
        <v>2500</v>
      </c>
      <c r="D255" s="243">
        <v>1</v>
      </c>
      <c r="E255" s="248" t="s">
        <v>1240</v>
      </c>
      <c r="F255" s="242" t="s">
        <v>3133</v>
      </c>
      <c r="G255" s="242"/>
      <c r="H255" s="249"/>
      <c r="I255" s="242" t="s">
        <v>3123</v>
      </c>
      <c r="J255" s="248" t="s">
        <v>3341</v>
      </c>
      <c r="K255" s="248" t="s">
        <v>1242</v>
      </c>
      <c r="L255" s="242" t="s">
        <v>1241</v>
      </c>
      <c r="M255" s="248" t="s">
        <v>3119</v>
      </c>
      <c r="N255" s="441"/>
      <c r="O255" s="242"/>
      <c r="P255" s="242"/>
      <c r="Q255" s="442"/>
    </row>
    <row r="256" spans="1:17" s="443" customFormat="1">
      <c r="A256" s="242">
        <f t="shared" si="1"/>
        <v>255</v>
      </c>
      <c r="C256" s="242" t="s">
        <v>2501</v>
      </c>
      <c r="D256" s="243">
        <v>1</v>
      </c>
      <c r="E256" s="248" t="s">
        <v>1243</v>
      </c>
      <c r="F256" s="242" t="s">
        <v>3133</v>
      </c>
      <c r="G256" s="242"/>
      <c r="H256" s="249"/>
      <c r="I256" s="242" t="s">
        <v>3123</v>
      </c>
      <c r="J256" s="248" t="s">
        <v>3341</v>
      </c>
      <c r="K256" s="248" t="s">
        <v>1245</v>
      </c>
      <c r="L256" s="242" t="s">
        <v>1244</v>
      </c>
      <c r="M256" s="248" t="s">
        <v>3119</v>
      </c>
      <c r="N256" s="441"/>
      <c r="O256" s="242"/>
      <c r="P256" s="242"/>
      <c r="Q256" s="442"/>
    </row>
    <row r="257" spans="1:17" s="443" customFormat="1">
      <c r="A257" s="242">
        <f t="shared" si="1"/>
        <v>256</v>
      </c>
      <c r="C257" s="242" t="s">
        <v>2502</v>
      </c>
      <c r="D257" s="243">
        <v>1</v>
      </c>
      <c r="E257" s="248" t="s">
        <v>1246</v>
      </c>
      <c r="F257" s="242" t="s">
        <v>3133</v>
      </c>
      <c r="G257" s="242"/>
      <c r="H257" s="249"/>
      <c r="I257" s="242" t="s">
        <v>3123</v>
      </c>
      <c r="J257" s="248" t="s">
        <v>3341</v>
      </c>
      <c r="K257" s="248" t="s">
        <v>1248</v>
      </c>
      <c r="L257" s="242" t="s">
        <v>1247</v>
      </c>
      <c r="M257" s="248" t="s">
        <v>3119</v>
      </c>
      <c r="N257" s="441"/>
      <c r="O257" s="242"/>
      <c r="P257" s="242"/>
      <c r="Q257" s="442"/>
    </row>
    <row r="258" spans="1:17" s="443" customFormat="1">
      <c r="A258" s="242">
        <f t="shared" si="1"/>
        <v>257</v>
      </c>
      <c r="C258" s="242" t="s">
        <v>2503</v>
      </c>
      <c r="D258" s="243">
        <v>1</v>
      </c>
      <c r="E258" s="248" t="s">
        <v>1249</v>
      </c>
      <c r="F258" s="242" t="s">
        <v>3133</v>
      </c>
      <c r="G258" s="242"/>
      <c r="H258" s="249"/>
      <c r="I258" s="242" t="s">
        <v>3123</v>
      </c>
      <c r="J258" s="248" t="s">
        <v>3341</v>
      </c>
      <c r="K258" s="248" t="s">
        <v>1251</v>
      </c>
      <c r="L258" s="242" t="s">
        <v>1250</v>
      </c>
      <c r="M258" s="248" t="s">
        <v>3119</v>
      </c>
      <c r="N258" s="441"/>
      <c r="O258" s="242"/>
      <c r="P258" s="242"/>
      <c r="Q258" s="442"/>
    </row>
    <row r="259" spans="1:17" s="443" customFormat="1">
      <c r="A259" s="242">
        <f t="shared" si="1"/>
        <v>258</v>
      </c>
      <c r="C259" s="242" t="s">
        <v>2504</v>
      </c>
      <c r="D259" s="243">
        <v>1</v>
      </c>
      <c r="E259" s="248" t="s">
        <v>1252</v>
      </c>
      <c r="F259" s="242" t="s">
        <v>3133</v>
      </c>
      <c r="G259" s="242"/>
      <c r="H259" s="249"/>
      <c r="I259" s="242" t="s">
        <v>3123</v>
      </c>
      <c r="J259" s="248" t="s">
        <v>3341</v>
      </c>
      <c r="K259" s="248" t="s">
        <v>1254</v>
      </c>
      <c r="L259" s="242" t="s">
        <v>1253</v>
      </c>
      <c r="M259" s="248" t="s">
        <v>3119</v>
      </c>
      <c r="N259" s="441"/>
      <c r="O259" s="242"/>
      <c r="P259" s="242"/>
      <c r="Q259" s="442"/>
    </row>
    <row r="260" spans="1:17" s="443" customFormat="1">
      <c r="A260" s="242">
        <f t="shared" si="1"/>
        <v>259</v>
      </c>
      <c r="C260" s="242" t="s">
        <v>2505</v>
      </c>
      <c r="D260" s="243">
        <v>1</v>
      </c>
      <c r="E260" s="248" t="s">
        <v>1255</v>
      </c>
      <c r="F260" s="242" t="s">
        <v>3133</v>
      </c>
      <c r="G260" s="242"/>
      <c r="H260" s="249"/>
      <c r="I260" s="242" t="s">
        <v>3123</v>
      </c>
      <c r="J260" s="248" t="s">
        <v>3341</v>
      </c>
      <c r="K260" s="248" t="s">
        <v>1257</v>
      </c>
      <c r="L260" s="242" t="s">
        <v>1256</v>
      </c>
      <c r="M260" s="248" t="s">
        <v>3119</v>
      </c>
      <c r="N260" s="441"/>
      <c r="O260" s="242"/>
      <c r="P260" s="242"/>
      <c r="Q260" s="442"/>
    </row>
    <row r="261" spans="1:17" s="443" customFormat="1">
      <c r="A261" s="242">
        <f t="shared" si="1"/>
        <v>260</v>
      </c>
      <c r="C261" s="242" t="s">
        <v>2506</v>
      </c>
      <c r="D261" s="243">
        <v>1</v>
      </c>
      <c r="E261" s="248" t="s">
        <v>1258</v>
      </c>
      <c r="F261" s="242" t="s">
        <v>3133</v>
      </c>
      <c r="G261" s="242"/>
      <c r="H261" s="249"/>
      <c r="I261" s="242" t="s">
        <v>3123</v>
      </c>
      <c r="J261" s="248" t="s">
        <v>3341</v>
      </c>
      <c r="K261" s="248" t="s">
        <v>3214</v>
      </c>
      <c r="L261" s="242" t="s">
        <v>1259</v>
      </c>
      <c r="M261" s="248" t="s">
        <v>3119</v>
      </c>
      <c r="N261" s="441"/>
      <c r="O261" s="242"/>
      <c r="P261" s="242"/>
      <c r="Q261" s="442"/>
    </row>
    <row r="262" spans="1:17" s="443" customFormat="1">
      <c r="A262" s="242">
        <f t="shared" si="1"/>
        <v>261</v>
      </c>
      <c r="C262" s="242" t="s">
        <v>2507</v>
      </c>
      <c r="D262" s="243">
        <v>1</v>
      </c>
      <c r="E262" s="248" t="s">
        <v>1260</v>
      </c>
      <c r="F262" s="242" t="s">
        <v>3133</v>
      </c>
      <c r="G262" s="242"/>
      <c r="H262" s="249"/>
      <c r="I262" s="242" t="s">
        <v>3123</v>
      </c>
      <c r="J262" s="248" t="s">
        <v>3341</v>
      </c>
      <c r="K262" s="248" t="s">
        <v>1262</v>
      </c>
      <c r="L262" s="242" t="s">
        <v>1261</v>
      </c>
      <c r="M262" s="248" t="s">
        <v>3119</v>
      </c>
      <c r="N262" s="441"/>
      <c r="O262" s="242"/>
      <c r="P262" s="242"/>
      <c r="Q262" s="442"/>
    </row>
    <row r="263" spans="1:17" s="443" customFormat="1">
      <c r="A263" s="242">
        <f t="shared" si="1"/>
        <v>262</v>
      </c>
      <c r="C263" s="242" t="s">
        <v>2508</v>
      </c>
      <c r="D263" s="243">
        <v>1</v>
      </c>
      <c r="E263" s="248" t="s">
        <v>1263</v>
      </c>
      <c r="F263" s="242" t="s">
        <v>3133</v>
      </c>
      <c r="G263" s="242"/>
      <c r="H263" s="249"/>
      <c r="I263" s="242" t="s">
        <v>3123</v>
      </c>
      <c r="J263" s="248" t="s">
        <v>3341</v>
      </c>
      <c r="K263" s="248" t="s">
        <v>1265</v>
      </c>
      <c r="L263" s="242" t="s">
        <v>1264</v>
      </c>
      <c r="M263" s="248" t="s">
        <v>3119</v>
      </c>
      <c r="N263" s="441"/>
      <c r="O263" s="242"/>
      <c r="P263" s="242"/>
      <c r="Q263" s="442"/>
    </row>
    <row r="264" spans="1:17" s="443" customFormat="1">
      <c r="A264" s="242">
        <f t="shared" si="1"/>
        <v>263</v>
      </c>
      <c r="C264" s="242" t="s">
        <v>2509</v>
      </c>
      <c r="D264" s="243">
        <v>1</v>
      </c>
      <c r="E264" s="248" t="s">
        <v>1266</v>
      </c>
      <c r="F264" s="242" t="s">
        <v>3133</v>
      </c>
      <c r="G264" s="242"/>
      <c r="H264" s="249"/>
      <c r="I264" s="242" t="s">
        <v>3123</v>
      </c>
      <c r="J264" s="248" t="s">
        <v>3341</v>
      </c>
      <c r="K264" s="248" t="s">
        <v>1268</v>
      </c>
      <c r="L264" s="242" t="s">
        <v>1267</v>
      </c>
      <c r="M264" s="248" t="s">
        <v>3119</v>
      </c>
      <c r="N264" s="441"/>
      <c r="O264" s="242"/>
      <c r="P264" s="242"/>
      <c r="Q264" s="442"/>
    </row>
    <row r="265" spans="1:17" s="443" customFormat="1">
      <c r="A265" s="242">
        <f t="shared" si="1"/>
        <v>264</v>
      </c>
      <c r="C265" s="242" t="s">
        <v>2510</v>
      </c>
      <c r="D265" s="243">
        <v>1</v>
      </c>
      <c r="E265" s="248" t="s">
        <v>1269</v>
      </c>
      <c r="F265" s="242" t="s">
        <v>3133</v>
      </c>
      <c r="G265" s="242"/>
      <c r="H265" s="249"/>
      <c r="I265" s="242" t="s">
        <v>3123</v>
      </c>
      <c r="J265" s="248" t="s">
        <v>3341</v>
      </c>
      <c r="K265" s="248" t="s">
        <v>3215</v>
      </c>
      <c r="L265" s="242" t="s">
        <v>1270</v>
      </c>
      <c r="M265" s="248" t="s">
        <v>3119</v>
      </c>
      <c r="N265" s="441"/>
      <c r="O265" s="242"/>
      <c r="P265" s="242"/>
      <c r="Q265" s="442"/>
    </row>
    <row r="266" spans="1:17" s="443" customFormat="1">
      <c r="A266" s="242">
        <f t="shared" si="1"/>
        <v>265</v>
      </c>
      <c r="C266" s="242" t="s">
        <v>2511</v>
      </c>
      <c r="D266" s="243">
        <v>1</v>
      </c>
      <c r="E266" s="248" t="s">
        <v>1271</v>
      </c>
      <c r="F266" s="242" t="s">
        <v>3133</v>
      </c>
      <c r="G266" s="242"/>
      <c r="H266" s="249"/>
      <c r="I266" s="242" t="s">
        <v>3123</v>
      </c>
      <c r="J266" s="248" t="s">
        <v>3341</v>
      </c>
      <c r="K266" s="248" t="s">
        <v>1273</v>
      </c>
      <c r="L266" s="242" t="s">
        <v>1272</v>
      </c>
      <c r="M266" s="248" t="s">
        <v>3119</v>
      </c>
      <c r="N266" s="441"/>
      <c r="O266" s="242"/>
      <c r="P266" s="242"/>
      <c r="Q266" s="442"/>
    </row>
    <row r="267" spans="1:17" s="443" customFormat="1">
      <c r="A267" s="242">
        <f t="shared" si="1"/>
        <v>266</v>
      </c>
      <c r="C267" s="242" t="s">
        <v>2512</v>
      </c>
      <c r="D267" s="243">
        <v>1</v>
      </c>
      <c r="E267" s="248" t="s">
        <v>1274</v>
      </c>
      <c r="F267" s="242" t="s">
        <v>3133</v>
      </c>
      <c r="G267" s="242"/>
      <c r="H267" s="249"/>
      <c r="I267" s="242" t="s">
        <v>3123</v>
      </c>
      <c r="J267" s="248" t="s">
        <v>3341</v>
      </c>
      <c r="K267" s="248" t="s">
        <v>1276</v>
      </c>
      <c r="L267" s="242" t="s">
        <v>1275</v>
      </c>
      <c r="M267" s="248" t="s">
        <v>3119</v>
      </c>
      <c r="N267" s="441"/>
      <c r="O267" s="242"/>
      <c r="P267" s="242"/>
      <c r="Q267" s="442"/>
    </row>
    <row r="268" spans="1:17" s="443" customFormat="1">
      <c r="A268" s="242">
        <f t="shared" si="1"/>
        <v>267</v>
      </c>
      <c r="C268" s="242" t="s">
        <v>2513</v>
      </c>
      <c r="D268" s="243">
        <v>1</v>
      </c>
      <c r="E268" s="248" t="s">
        <v>1277</v>
      </c>
      <c r="F268" s="242" t="s">
        <v>3133</v>
      </c>
      <c r="G268" s="242"/>
      <c r="H268" s="249"/>
      <c r="I268" s="242" t="s">
        <v>3123</v>
      </c>
      <c r="J268" s="248" t="s">
        <v>3341</v>
      </c>
      <c r="K268" s="248" t="s">
        <v>1279</v>
      </c>
      <c r="L268" s="242" t="s">
        <v>1278</v>
      </c>
      <c r="M268" s="248" t="s">
        <v>3119</v>
      </c>
      <c r="N268" s="441"/>
      <c r="O268" s="242"/>
      <c r="P268" s="242"/>
      <c r="Q268" s="442"/>
    </row>
    <row r="269" spans="1:17" s="443" customFormat="1">
      <c r="A269" s="242">
        <f t="shared" si="1"/>
        <v>268</v>
      </c>
      <c r="C269" s="242" t="s">
        <v>2514</v>
      </c>
      <c r="D269" s="243">
        <v>1</v>
      </c>
      <c r="E269" s="248" t="s">
        <v>1280</v>
      </c>
      <c r="F269" s="242" t="s">
        <v>3133</v>
      </c>
      <c r="G269" s="242"/>
      <c r="H269" s="249"/>
      <c r="I269" s="242" t="s">
        <v>3123</v>
      </c>
      <c r="J269" s="248" t="s">
        <v>3341</v>
      </c>
      <c r="K269" s="248" t="s">
        <v>1282</v>
      </c>
      <c r="L269" s="242" t="s">
        <v>1281</v>
      </c>
      <c r="M269" s="248" t="s">
        <v>3119</v>
      </c>
      <c r="N269" s="441"/>
      <c r="O269" s="242"/>
      <c r="P269" s="242"/>
      <c r="Q269" s="442"/>
    </row>
    <row r="270" spans="1:17" s="443" customFormat="1">
      <c r="A270" s="242">
        <f t="shared" si="1"/>
        <v>269</v>
      </c>
      <c r="C270" s="242" t="s">
        <v>2515</v>
      </c>
      <c r="D270" s="243">
        <v>1</v>
      </c>
      <c r="E270" s="248" t="s">
        <v>1283</v>
      </c>
      <c r="F270" s="242" t="s">
        <v>3133</v>
      </c>
      <c r="G270" s="242"/>
      <c r="H270" s="249"/>
      <c r="I270" s="242" t="s">
        <v>3123</v>
      </c>
      <c r="J270" s="248" t="s">
        <v>3341</v>
      </c>
      <c r="K270" s="248" t="s">
        <v>1285</v>
      </c>
      <c r="L270" s="242" t="s">
        <v>1284</v>
      </c>
      <c r="M270" s="248" t="s">
        <v>3119</v>
      </c>
      <c r="N270" s="441"/>
      <c r="O270" s="242"/>
      <c r="P270" s="242"/>
      <c r="Q270" s="442"/>
    </row>
    <row r="271" spans="1:17" s="443" customFormat="1">
      <c r="A271" s="242">
        <f t="shared" si="1"/>
        <v>270</v>
      </c>
      <c r="C271" s="242" t="s">
        <v>2516</v>
      </c>
      <c r="D271" s="243">
        <v>1</v>
      </c>
      <c r="E271" s="248" t="s">
        <v>1286</v>
      </c>
      <c r="F271" s="242" t="s">
        <v>3133</v>
      </c>
      <c r="G271" s="242"/>
      <c r="H271" s="249"/>
      <c r="I271" s="242" t="s">
        <v>3123</v>
      </c>
      <c r="J271" s="248" t="s">
        <v>3341</v>
      </c>
      <c r="K271" s="248" t="s">
        <v>1288</v>
      </c>
      <c r="L271" s="242" t="s">
        <v>1287</v>
      </c>
      <c r="M271" s="248" t="s">
        <v>3119</v>
      </c>
      <c r="N271" s="441"/>
      <c r="O271" s="242"/>
      <c r="P271" s="242"/>
      <c r="Q271" s="442"/>
    </row>
    <row r="272" spans="1:17" s="443" customFormat="1">
      <c r="A272" s="242">
        <f t="shared" si="1"/>
        <v>271</v>
      </c>
      <c r="C272" s="242" t="s">
        <v>2517</v>
      </c>
      <c r="D272" s="243">
        <v>1</v>
      </c>
      <c r="E272" s="248" t="s">
        <v>1289</v>
      </c>
      <c r="F272" s="242" t="s">
        <v>3133</v>
      </c>
      <c r="G272" s="242"/>
      <c r="H272" s="249"/>
      <c r="I272" s="242" t="s">
        <v>3123</v>
      </c>
      <c r="J272" s="248" t="s">
        <v>3341</v>
      </c>
      <c r="K272" s="248" t="s">
        <v>1291</v>
      </c>
      <c r="L272" s="242" t="s">
        <v>1290</v>
      </c>
      <c r="M272" s="248" t="s">
        <v>3119</v>
      </c>
      <c r="N272" s="441"/>
      <c r="O272" s="242"/>
      <c r="P272" s="242"/>
      <c r="Q272" s="442"/>
    </row>
    <row r="273" spans="1:17" s="443" customFormat="1">
      <c r="A273" s="242">
        <f t="shared" si="1"/>
        <v>272</v>
      </c>
      <c r="C273" s="242" t="s">
        <v>2518</v>
      </c>
      <c r="D273" s="243">
        <v>1</v>
      </c>
      <c r="E273" s="248" t="s">
        <v>1292</v>
      </c>
      <c r="F273" s="242" t="s">
        <v>3133</v>
      </c>
      <c r="G273" s="242"/>
      <c r="H273" s="249"/>
      <c r="I273" s="242" t="s">
        <v>3123</v>
      </c>
      <c r="J273" s="248" t="s">
        <v>3341</v>
      </c>
      <c r="K273" s="248" t="s">
        <v>1294</v>
      </c>
      <c r="L273" s="242" t="s">
        <v>1293</v>
      </c>
      <c r="M273" s="248" t="s">
        <v>3119</v>
      </c>
      <c r="N273" s="441"/>
      <c r="O273" s="242"/>
      <c r="P273" s="242"/>
      <c r="Q273" s="442"/>
    </row>
    <row r="274" spans="1:17" s="252" customFormat="1">
      <c r="A274" s="239">
        <f t="shared" si="1"/>
        <v>273</v>
      </c>
      <c r="B274" s="239" t="s">
        <v>3107</v>
      </c>
      <c r="C274" s="240" t="s">
        <v>279</v>
      </c>
      <c r="D274" s="240">
        <v>12</v>
      </c>
      <c r="E274" s="197" t="s">
        <v>3116</v>
      </c>
      <c r="F274" s="239" t="s">
        <v>3133</v>
      </c>
      <c r="G274" s="239"/>
      <c r="H274" s="237" t="s">
        <v>3332</v>
      </c>
      <c r="I274" s="256" t="s">
        <v>3125</v>
      </c>
      <c r="J274" s="197" t="s">
        <v>3342</v>
      </c>
      <c r="K274" s="197" t="s">
        <v>3343</v>
      </c>
      <c r="L274" s="239" t="s">
        <v>3711</v>
      </c>
      <c r="M274" s="197"/>
      <c r="N274" s="255"/>
      <c r="O274" s="239" t="s">
        <v>2329</v>
      </c>
      <c r="P274" s="239" t="s">
        <v>3127</v>
      </c>
      <c r="Q274" s="320"/>
    </row>
    <row r="275" spans="1:17" s="252" customFormat="1">
      <c r="A275" s="239">
        <f t="shared" si="1"/>
        <v>274</v>
      </c>
      <c r="B275" s="239" t="s">
        <v>3618</v>
      </c>
      <c r="C275" s="240" t="s">
        <v>279</v>
      </c>
      <c r="D275" s="343">
        <v>2</v>
      </c>
      <c r="E275" s="344" t="s">
        <v>3619</v>
      </c>
      <c r="F275" s="239" t="s">
        <v>3133</v>
      </c>
      <c r="G275" s="239"/>
      <c r="H275" s="237" t="s">
        <v>3332</v>
      </c>
      <c r="I275" s="256" t="s">
        <v>3125</v>
      </c>
      <c r="J275" s="197" t="s">
        <v>3342</v>
      </c>
      <c r="K275" s="344" t="s">
        <v>3619</v>
      </c>
      <c r="L275" s="320" t="s">
        <v>3711</v>
      </c>
      <c r="M275" s="344"/>
      <c r="N275" s="346"/>
      <c r="O275" s="320" t="s">
        <v>3620</v>
      </c>
      <c r="P275" s="320" t="s">
        <v>3621</v>
      </c>
      <c r="Q275" s="320"/>
    </row>
    <row r="276" spans="1:17" s="252" customFormat="1">
      <c r="A276" s="239">
        <f t="shared" si="1"/>
        <v>275</v>
      </c>
      <c r="B276" s="239" t="s">
        <v>3720</v>
      </c>
      <c r="C276" s="240" t="s">
        <v>279</v>
      </c>
      <c r="D276" s="240">
        <v>15</v>
      </c>
      <c r="E276" s="359" t="s">
        <v>3749</v>
      </c>
      <c r="F276" s="239" t="s">
        <v>3133</v>
      </c>
      <c r="G276" s="320"/>
      <c r="H276" s="237" t="s">
        <v>3332</v>
      </c>
      <c r="I276" s="256" t="s">
        <v>3125</v>
      </c>
      <c r="J276" s="197" t="s">
        <v>3342</v>
      </c>
      <c r="K276" s="344" t="s">
        <v>3728</v>
      </c>
      <c r="L276" s="320" t="s">
        <v>3711</v>
      </c>
      <c r="M276" s="344"/>
      <c r="N276" s="346"/>
      <c r="O276" s="320"/>
      <c r="P276" s="320"/>
      <c r="Q276" s="320"/>
    </row>
    <row r="277" spans="1:17" s="252" customFormat="1">
      <c r="A277" s="239">
        <f t="shared" ref="A277:A290" si="5">ROW()-1</f>
        <v>276</v>
      </c>
      <c r="B277" s="239" t="s">
        <v>3721</v>
      </c>
      <c r="C277" s="240" t="s">
        <v>279</v>
      </c>
      <c r="D277" s="240">
        <v>15</v>
      </c>
      <c r="E277" s="359" t="s">
        <v>3750</v>
      </c>
      <c r="F277" s="239" t="s">
        <v>3133</v>
      </c>
      <c r="G277" s="320"/>
      <c r="H277" s="237" t="s">
        <v>3332</v>
      </c>
      <c r="I277" s="256" t="s">
        <v>3125</v>
      </c>
      <c r="J277" s="197" t="s">
        <v>3342</v>
      </c>
      <c r="K277" s="344" t="s">
        <v>3729</v>
      </c>
      <c r="L277" s="320" t="s">
        <v>3711</v>
      </c>
      <c r="M277" s="344"/>
      <c r="N277" s="346"/>
      <c r="O277" s="320"/>
      <c r="P277" s="320"/>
      <c r="Q277" s="320"/>
    </row>
    <row r="278" spans="1:17" s="252" customFormat="1">
      <c r="A278" s="239">
        <f t="shared" si="5"/>
        <v>277</v>
      </c>
      <c r="B278" s="239" t="s">
        <v>3722</v>
      </c>
      <c r="C278" s="240" t="s">
        <v>279</v>
      </c>
      <c r="D278" s="240">
        <v>15</v>
      </c>
      <c r="E278" s="359" t="s">
        <v>3751</v>
      </c>
      <c r="F278" s="239" t="s">
        <v>3133</v>
      </c>
      <c r="G278" s="320"/>
      <c r="H278" s="237" t="s">
        <v>3332</v>
      </c>
      <c r="I278" s="256" t="s">
        <v>3125</v>
      </c>
      <c r="J278" s="197" t="s">
        <v>3342</v>
      </c>
      <c r="K278" s="344" t="s">
        <v>3730</v>
      </c>
      <c r="L278" s="320" t="s">
        <v>3711</v>
      </c>
      <c r="M278" s="344"/>
      <c r="N278" s="346"/>
      <c r="O278" s="320"/>
      <c r="P278" s="320"/>
      <c r="Q278" s="320"/>
    </row>
    <row r="279" spans="1:17" s="252" customFormat="1">
      <c r="A279" s="239">
        <f t="shared" si="5"/>
        <v>278</v>
      </c>
      <c r="B279" s="239" t="s">
        <v>3723</v>
      </c>
      <c r="C279" s="240" t="s">
        <v>279</v>
      </c>
      <c r="D279" s="240">
        <v>15</v>
      </c>
      <c r="E279" s="359" t="s">
        <v>3752</v>
      </c>
      <c r="F279" s="239" t="s">
        <v>3133</v>
      </c>
      <c r="G279" s="320"/>
      <c r="H279" s="237" t="s">
        <v>3332</v>
      </c>
      <c r="I279" s="256" t="s">
        <v>3125</v>
      </c>
      <c r="J279" s="197" t="s">
        <v>3342</v>
      </c>
      <c r="K279" s="344" t="s">
        <v>3728</v>
      </c>
      <c r="L279" s="320" t="s">
        <v>3711</v>
      </c>
      <c r="M279" s="344"/>
      <c r="N279" s="346"/>
      <c r="O279" s="320"/>
      <c r="P279" s="320"/>
      <c r="Q279" s="320"/>
    </row>
    <row r="280" spans="1:17" s="252" customFormat="1">
      <c r="A280" s="239">
        <f t="shared" si="5"/>
        <v>279</v>
      </c>
      <c r="B280" s="239" t="s">
        <v>3724</v>
      </c>
      <c r="C280" s="240" t="s">
        <v>279</v>
      </c>
      <c r="D280" s="240">
        <v>15</v>
      </c>
      <c r="E280" s="359" t="s">
        <v>3753</v>
      </c>
      <c r="F280" s="239" t="s">
        <v>3133</v>
      </c>
      <c r="G280" s="320"/>
      <c r="H280" s="237" t="s">
        <v>3332</v>
      </c>
      <c r="I280" s="256" t="s">
        <v>3125</v>
      </c>
      <c r="J280" s="197" t="s">
        <v>3342</v>
      </c>
      <c r="K280" s="344" t="s">
        <v>3729</v>
      </c>
      <c r="L280" s="320" t="s">
        <v>3711</v>
      </c>
      <c r="M280" s="344"/>
      <c r="N280" s="346"/>
      <c r="O280" s="320"/>
      <c r="P280" s="320"/>
      <c r="Q280" s="320"/>
    </row>
    <row r="281" spans="1:17" s="252" customFormat="1">
      <c r="A281" s="239">
        <f t="shared" si="5"/>
        <v>280</v>
      </c>
      <c r="B281" s="239" t="s">
        <v>3725</v>
      </c>
      <c r="C281" s="240" t="s">
        <v>279</v>
      </c>
      <c r="D281" s="240">
        <v>15</v>
      </c>
      <c r="E281" s="359" t="s">
        <v>3754</v>
      </c>
      <c r="F281" s="239" t="s">
        <v>3133</v>
      </c>
      <c r="G281" s="320"/>
      <c r="H281" s="237" t="s">
        <v>3332</v>
      </c>
      <c r="I281" s="256" t="s">
        <v>3125</v>
      </c>
      <c r="J281" s="197" t="s">
        <v>3342</v>
      </c>
      <c r="K281" s="344" t="s">
        <v>3735</v>
      </c>
      <c r="L281" s="320" t="s">
        <v>3711</v>
      </c>
      <c r="M281" s="344"/>
      <c r="N281" s="346"/>
      <c r="O281" s="320"/>
      <c r="P281" s="320"/>
      <c r="Q281" s="320"/>
    </row>
    <row r="282" spans="1:17" s="252" customFormat="1">
      <c r="A282" s="239">
        <f t="shared" si="5"/>
        <v>281</v>
      </c>
      <c r="B282" s="239" t="s">
        <v>3740</v>
      </c>
      <c r="C282" s="240" t="s">
        <v>279</v>
      </c>
      <c r="D282" s="240">
        <v>15</v>
      </c>
      <c r="E282" s="359" t="s">
        <v>3755</v>
      </c>
      <c r="F282" s="239" t="s">
        <v>3133</v>
      </c>
      <c r="G282" s="320"/>
      <c r="H282" s="237" t="s">
        <v>3332</v>
      </c>
      <c r="I282" s="256" t="s">
        <v>3125</v>
      </c>
      <c r="J282" s="197" t="s">
        <v>3342</v>
      </c>
      <c r="K282" s="344" t="s">
        <v>3736</v>
      </c>
      <c r="L282" s="320" t="s">
        <v>3711</v>
      </c>
      <c r="M282" s="344"/>
      <c r="N282" s="346"/>
      <c r="O282" s="320"/>
      <c r="P282" s="320"/>
      <c r="Q282" s="320"/>
    </row>
    <row r="283" spans="1:17" s="252" customFormat="1">
      <c r="A283" s="239">
        <f t="shared" si="5"/>
        <v>282</v>
      </c>
      <c r="B283" s="239" t="s">
        <v>3726</v>
      </c>
      <c r="C283" s="240" t="s">
        <v>279</v>
      </c>
      <c r="D283" s="240">
        <v>15</v>
      </c>
      <c r="E283" s="359" t="s">
        <v>3756</v>
      </c>
      <c r="F283" s="239" t="s">
        <v>3133</v>
      </c>
      <c r="G283" s="320"/>
      <c r="H283" s="237" t="s">
        <v>3332</v>
      </c>
      <c r="I283" s="256" t="s">
        <v>3125</v>
      </c>
      <c r="J283" s="197" t="s">
        <v>3342</v>
      </c>
      <c r="K283" s="344" t="s">
        <v>3737</v>
      </c>
      <c r="L283" s="320" t="s">
        <v>3711</v>
      </c>
      <c r="M283" s="344"/>
      <c r="N283" s="346"/>
      <c r="O283" s="320"/>
      <c r="P283" s="320"/>
      <c r="Q283" s="320"/>
    </row>
    <row r="284" spans="1:17" s="252" customFormat="1">
      <c r="A284" s="239">
        <f t="shared" si="5"/>
        <v>283</v>
      </c>
      <c r="B284" s="239" t="s">
        <v>3727</v>
      </c>
      <c r="C284" s="240" t="s">
        <v>279</v>
      </c>
      <c r="D284" s="240">
        <v>15</v>
      </c>
      <c r="E284" s="359" t="s">
        <v>3757</v>
      </c>
      <c r="F284" s="239" t="s">
        <v>3133</v>
      </c>
      <c r="G284" s="320"/>
      <c r="H284" s="237" t="s">
        <v>3332</v>
      </c>
      <c r="I284" s="256" t="s">
        <v>3125</v>
      </c>
      <c r="J284" s="197" t="s">
        <v>3342</v>
      </c>
      <c r="K284" s="344" t="s">
        <v>3738</v>
      </c>
      <c r="L284" s="320" t="s">
        <v>3711</v>
      </c>
      <c r="M284" s="344"/>
      <c r="N284" s="346"/>
      <c r="O284" s="320"/>
      <c r="P284" s="320"/>
      <c r="Q284" s="320"/>
    </row>
    <row r="285" spans="1:17" s="252" customFormat="1">
      <c r="A285" s="239">
        <f t="shared" si="5"/>
        <v>284</v>
      </c>
      <c r="B285" s="239" t="s">
        <v>3731</v>
      </c>
      <c r="C285" s="240" t="s">
        <v>279</v>
      </c>
      <c r="D285" s="240">
        <v>15</v>
      </c>
      <c r="E285" s="359" t="s">
        <v>3758</v>
      </c>
      <c r="F285" s="239" t="s">
        <v>3133</v>
      </c>
      <c r="G285" s="320"/>
      <c r="H285" s="237" t="s">
        <v>3332</v>
      </c>
      <c r="I285" s="256" t="s">
        <v>3125</v>
      </c>
      <c r="J285" s="197" t="s">
        <v>3342</v>
      </c>
      <c r="K285" s="344" t="s">
        <v>3739</v>
      </c>
      <c r="L285" s="320" t="s">
        <v>3711</v>
      </c>
      <c r="M285" s="344"/>
      <c r="N285" s="346"/>
      <c r="O285" s="320"/>
      <c r="P285" s="320"/>
      <c r="Q285" s="320"/>
    </row>
    <row r="286" spans="1:17" s="252" customFormat="1">
      <c r="A286" s="239">
        <f t="shared" si="5"/>
        <v>285</v>
      </c>
      <c r="B286" s="239" t="s">
        <v>3732</v>
      </c>
      <c r="C286" s="240" t="s">
        <v>275</v>
      </c>
      <c r="D286" s="240">
        <v>1</v>
      </c>
      <c r="E286" s="344" t="s">
        <v>3746</v>
      </c>
      <c r="F286" s="239" t="s">
        <v>3133</v>
      </c>
      <c r="G286" s="320"/>
      <c r="H286" s="324"/>
      <c r="I286" s="197" t="s">
        <v>3744</v>
      </c>
      <c r="J286" s="197"/>
      <c r="K286" s="252" t="s">
        <v>3741</v>
      </c>
      <c r="L286" s="324" t="s">
        <v>3745</v>
      </c>
      <c r="M286" s="344"/>
      <c r="N286" s="346"/>
      <c r="O286" s="320"/>
      <c r="P286" s="320"/>
      <c r="Q286" s="320"/>
    </row>
    <row r="287" spans="1:17" s="252" customFormat="1">
      <c r="A287" s="239">
        <f t="shared" si="5"/>
        <v>286</v>
      </c>
      <c r="B287" s="239" t="s">
        <v>3733</v>
      </c>
      <c r="C287" s="240" t="s">
        <v>279</v>
      </c>
      <c r="D287" s="240">
        <v>15</v>
      </c>
      <c r="E287" s="344" t="s">
        <v>3747</v>
      </c>
      <c r="F287" s="239" t="s">
        <v>3133</v>
      </c>
      <c r="G287" s="320"/>
      <c r="H287" s="324"/>
      <c r="I287" s="197" t="s">
        <v>3744</v>
      </c>
      <c r="J287" s="197"/>
      <c r="K287" s="344" t="s">
        <v>3742</v>
      </c>
      <c r="L287" s="324" t="s">
        <v>3745</v>
      </c>
      <c r="M287" s="344"/>
      <c r="N287" s="346"/>
      <c r="O287" s="320"/>
      <c r="P287" s="320"/>
      <c r="Q287" s="320"/>
    </row>
    <row r="288" spans="1:17" s="252" customFormat="1">
      <c r="A288" s="239">
        <f t="shared" si="5"/>
        <v>287</v>
      </c>
      <c r="B288" s="239" t="s">
        <v>3734</v>
      </c>
      <c r="C288" s="240" t="s">
        <v>279</v>
      </c>
      <c r="D288" s="240">
        <v>15</v>
      </c>
      <c r="E288" s="344" t="s">
        <v>3748</v>
      </c>
      <c r="F288" s="239" t="s">
        <v>3133</v>
      </c>
      <c r="G288" s="320"/>
      <c r="H288" s="324"/>
      <c r="I288" s="197" t="s">
        <v>3744</v>
      </c>
      <c r="J288" s="197"/>
      <c r="K288" s="344" t="s">
        <v>3743</v>
      </c>
      <c r="L288" s="324" t="s">
        <v>3745</v>
      </c>
      <c r="M288" s="344"/>
      <c r="N288" s="346"/>
      <c r="O288" s="320"/>
      <c r="P288" s="320"/>
      <c r="Q288" s="320"/>
    </row>
    <row r="289" spans="1:17" s="252" customFormat="1">
      <c r="A289" s="239">
        <f t="shared" si="5"/>
        <v>288</v>
      </c>
      <c r="B289" s="239" t="s">
        <v>5442</v>
      </c>
      <c r="C289" s="240" t="s">
        <v>279</v>
      </c>
      <c r="D289" s="240">
        <v>15</v>
      </c>
      <c r="E289" s="344" t="s">
        <v>5451</v>
      </c>
      <c r="F289" s="239" t="s">
        <v>3133</v>
      </c>
      <c r="G289" s="320"/>
      <c r="H289" s="237" t="s">
        <v>3332</v>
      </c>
      <c r="I289" s="256" t="s">
        <v>3125</v>
      </c>
      <c r="J289" s="197" t="s">
        <v>3342</v>
      </c>
      <c r="K289" s="344" t="s">
        <v>5449</v>
      </c>
      <c r="L289" s="324"/>
      <c r="M289" s="344"/>
      <c r="N289" s="346"/>
      <c r="O289" s="320"/>
      <c r="P289" s="320"/>
      <c r="Q289" s="320"/>
    </row>
    <row r="290" spans="1:17" s="252" customFormat="1">
      <c r="A290" s="239">
        <f t="shared" si="5"/>
        <v>289</v>
      </c>
      <c r="B290" s="239" t="s">
        <v>5443</v>
      </c>
      <c r="C290" s="240" t="s">
        <v>279</v>
      </c>
      <c r="D290" s="240">
        <v>15</v>
      </c>
      <c r="E290" s="344" t="s">
        <v>5452</v>
      </c>
      <c r="F290" s="239" t="s">
        <v>3133</v>
      </c>
      <c r="G290" s="320"/>
      <c r="H290" s="237" t="s">
        <v>3332</v>
      </c>
      <c r="I290" s="256" t="s">
        <v>3125</v>
      </c>
      <c r="J290" s="197" t="s">
        <v>3342</v>
      </c>
      <c r="K290" s="344" t="s">
        <v>5450</v>
      </c>
      <c r="L290" s="324"/>
      <c r="M290" s="344"/>
      <c r="N290" s="346"/>
      <c r="O290" s="320"/>
      <c r="P290" s="320">
        <v>20240425</v>
      </c>
      <c r="Q290" s="320"/>
    </row>
    <row r="291" spans="1:17" s="252" customFormat="1">
      <c r="A291" s="239">
        <f t="shared" si="2"/>
        <v>290</v>
      </c>
      <c r="B291" s="239" t="s">
        <v>2160</v>
      </c>
      <c r="C291" s="240" t="s">
        <v>275</v>
      </c>
      <c r="D291" s="240">
        <v>60</v>
      </c>
      <c r="E291" s="197" t="s">
        <v>276</v>
      </c>
      <c r="F291" s="239" t="s">
        <v>3133</v>
      </c>
      <c r="G291" s="239"/>
      <c r="H291" s="239" t="s">
        <v>3334</v>
      </c>
      <c r="I291" s="239" t="s">
        <v>681</v>
      </c>
      <c r="J291" s="197" t="s">
        <v>3344</v>
      </c>
      <c r="K291" s="197" t="s">
        <v>276</v>
      </c>
      <c r="L291" s="197"/>
      <c r="M291" s="197"/>
      <c r="N291" s="255"/>
      <c r="O291" s="239"/>
      <c r="P291" s="239">
        <v>20240830</v>
      </c>
      <c r="Q291" s="320"/>
    </row>
    <row r="292" spans="1:17" s="252" customFormat="1">
      <c r="A292" s="239">
        <f t="shared" si="2"/>
        <v>291</v>
      </c>
      <c r="B292" s="239" t="s">
        <v>2161</v>
      </c>
      <c r="C292" s="240" t="s">
        <v>275</v>
      </c>
      <c r="D292" s="240">
        <v>60</v>
      </c>
      <c r="E292" s="197" t="s">
        <v>8</v>
      </c>
      <c r="F292" s="239" t="s">
        <v>3133</v>
      </c>
      <c r="G292" s="239"/>
      <c r="H292" s="239" t="s">
        <v>3333</v>
      </c>
      <c r="I292" s="239" t="s">
        <v>681</v>
      </c>
      <c r="J292" s="197" t="s">
        <v>3344</v>
      </c>
      <c r="K292" s="197" t="s">
        <v>3345</v>
      </c>
      <c r="L292" s="197"/>
      <c r="M292" s="197"/>
      <c r="N292" s="255"/>
      <c r="O292" s="239"/>
      <c r="P292" s="239"/>
      <c r="Q292" s="320"/>
    </row>
    <row r="293" spans="1:17" s="252" customFormat="1">
      <c r="A293" s="239">
        <f t="shared" si="2"/>
        <v>292</v>
      </c>
      <c r="B293" s="239" t="s">
        <v>2162</v>
      </c>
      <c r="C293" s="240" t="s">
        <v>275</v>
      </c>
      <c r="D293" s="240">
        <v>8</v>
      </c>
      <c r="E293" s="197" t="s">
        <v>277</v>
      </c>
      <c r="F293" s="239" t="s">
        <v>3133</v>
      </c>
      <c r="G293" s="239"/>
      <c r="H293" s="239" t="s">
        <v>3333</v>
      </c>
      <c r="I293" s="239" t="s">
        <v>681</v>
      </c>
      <c r="J293" s="197" t="s">
        <v>3344</v>
      </c>
      <c r="K293" s="197" t="s">
        <v>187</v>
      </c>
      <c r="L293" s="197"/>
      <c r="M293" s="197"/>
      <c r="N293" s="255"/>
      <c r="O293" s="239"/>
      <c r="P293" s="239"/>
      <c r="Q293" s="320"/>
    </row>
    <row r="294" spans="1:17" s="252" customFormat="1">
      <c r="A294" s="239">
        <f t="shared" si="2"/>
        <v>293</v>
      </c>
      <c r="B294" s="239" t="s">
        <v>2163</v>
      </c>
      <c r="C294" s="240" t="s">
        <v>275</v>
      </c>
      <c r="D294" s="240">
        <v>4</v>
      </c>
      <c r="E294" s="197" t="s">
        <v>9</v>
      </c>
      <c r="F294" s="239" t="s">
        <v>3133</v>
      </c>
      <c r="G294" s="239"/>
      <c r="H294" s="239" t="s">
        <v>3333</v>
      </c>
      <c r="I294" s="239" t="s">
        <v>681</v>
      </c>
      <c r="J294" s="197" t="s">
        <v>3344</v>
      </c>
      <c r="K294" s="197" t="s">
        <v>1027</v>
      </c>
      <c r="L294" s="197"/>
      <c r="M294" s="197"/>
      <c r="N294" s="255"/>
      <c r="O294" s="239"/>
      <c r="P294" s="239"/>
      <c r="Q294" s="320"/>
    </row>
    <row r="295" spans="1:17" s="252" customFormat="1">
      <c r="A295" s="239">
        <f t="shared" si="2"/>
        <v>294</v>
      </c>
      <c r="B295" s="239" t="s">
        <v>2164</v>
      </c>
      <c r="C295" s="240" t="s">
        <v>275</v>
      </c>
      <c r="D295" s="240">
        <v>5</v>
      </c>
      <c r="E295" s="197" t="s">
        <v>278</v>
      </c>
      <c r="F295" s="239" t="s">
        <v>3133</v>
      </c>
      <c r="G295" s="239"/>
      <c r="H295" s="239" t="s">
        <v>3333</v>
      </c>
      <c r="I295" s="239" t="s">
        <v>681</v>
      </c>
      <c r="J295" s="197" t="s">
        <v>3344</v>
      </c>
      <c r="K295" s="197" t="s">
        <v>188</v>
      </c>
      <c r="L295" s="197"/>
      <c r="M295" s="197"/>
      <c r="N295" s="255"/>
      <c r="O295" s="239"/>
      <c r="P295" s="239"/>
      <c r="Q295" s="320"/>
    </row>
    <row r="296" spans="1:17" s="252" customFormat="1">
      <c r="A296" s="239">
        <f t="shared" si="2"/>
        <v>295</v>
      </c>
      <c r="B296" s="239" t="s">
        <v>2165</v>
      </c>
      <c r="C296" s="240" t="s">
        <v>279</v>
      </c>
      <c r="D296" s="240">
        <v>15</v>
      </c>
      <c r="E296" s="197" t="s">
        <v>280</v>
      </c>
      <c r="F296" s="239" t="s">
        <v>3133</v>
      </c>
      <c r="G296" s="239"/>
      <c r="H296" s="239" t="s">
        <v>3333</v>
      </c>
      <c r="I296" s="239" t="s">
        <v>681</v>
      </c>
      <c r="J296" s="197" t="s">
        <v>3344</v>
      </c>
      <c r="K296" s="197" t="s">
        <v>189</v>
      </c>
      <c r="L296" s="197"/>
      <c r="M296" s="197"/>
      <c r="N296" s="255"/>
      <c r="O296" s="239"/>
      <c r="P296" s="239"/>
      <c r="Q296" s="320"/>
    </row>
    <row r="297" spans="1:17" s="252" customFormat="1">
      <c r="A297" s="239">
        <f t="shared" si="2"/>
        <v>296</v>
      </c>
      <c r="B297" s="239" t="s">
        <v>2166</v>
      </c>
      <c r="C297" s="240" t="s">
        <v>279</v>
      </c>
      <c r="D297" s="240">
        <v>9.5</v>
      </c>
      <c r="E297" s="197" t="s">
        <v>281</v>
      </c>
      <c r="F297" s="239" t="s">
        <v>3133</v>
      </c>
      <c r="G297" s="239"/>
      <c r="H297" s="239" t="s">
        <v>3333</v>
      </c>
      <c r="I297" s="239" t="s">
        <v>681</v>
      </c>
      <c r="J297" s="197" t="s">
        <v>3344</v>
      </c>
      <c r="K297" s="197" t="s">
        <v>190</v>
      </c>
      <c r="L297" s="197"/>
      <c r="M297" s="197"/>
      <c r="N297" s="255"/>
      <c r="O297" s="239"/>
      <c r="P297" s="239"/>
      <c r="Q297" s="320"/>
    </row>
    <row r="298" spans="1:17" s="252" customFormat="1">
      <c r="A298" s="239">
        <f t="shared" si="2"/>
        <v>297</v>
      </c>
      <c r="B298" s="239" t="s">
        <v>2167</v>
      </c>
      <c r="C298" s="240" t="s">
        <v>279</v>
      </c>
      <c r="D298" s="240">
        <v>15</v>
      </c>
      <c r="E298" s="197" t="s">
        <v>282</v>
      </c>
      <c r="F298" s="239" t="s">
        <v>3133</v>
      </c>
      <c r="G298" s="239"/>
      <c r="H298" s="239" t="s">
        <v>3333</v>
      </c>
      <c r="I298" s="239" t="s">
        <v>681</v>
      </c>
      <c r="J298" s="197" t="s">
        <v>3344</v>
      </c>
      <c r="K298" s="197" t="s">
        <v>191</v>
      </c>
      <c r="L298" s="197"/>
      <c r="M298" s="197"/>
      <c r="N298" s="255"/>
      <c r="O298" s="239"/>
      <c r="P298" s="239"/>
      <c r="Q298" s="320"/>
    </row>
    <row r="299" spans="1:17" s="252" customFormat="1">
      <c r="A299" s="239">
        <f t="shared" si="2"/>
        <v>298</v>
      </c>
      <c r="B299" s="239" t="s">
        <v>2168</v>
      </c>
      <c r="C299" s="240" t="s">
        <v>275</v>
      </c>
      <c r="D299" s="240">
        <v>1</v>
      </c>
      <c r="E299" s="197" t="s">
        <v>10</v>
      </c>
      <c r="F299" s="239" t="s">
        <v>3133</v>
      </c>
      <c r="G299" s="239"/>
      <c r="H299" s="239" t="s">
        <v>3333</v>
      </c>
      <c r="I299" s="239" t="s">
        <v>681</v>
      </c>
      <c r="J299" s="197" t="s">
        <v>3344</v>
      </c>
      <c r="K299" s="197" t="s">
        <v>10</v>
      </c>
      <c r="L299" s="197"/>
      <c r="M299" s="197"/>
      <c r="N299" s="255"/>
      <c r="O299" s="239"/>
      <c r="P299" s="239"/>
      <c r="Q299" s="320"/>
    </row>
    <row r="300" spans="1:17" s="252" customFormat="1">
      <c r="A300" s="239">
        <f t="shared" si="2"/>
        <v>299</v>
      </c>
      <c r="B300" s="239" t="s">
        <v>2169</v>
      </c>
      <c r="C300" s="240" t="s">
        <v>275</v>
      </c>
      <c r="D300" s="240">
        <v>1</v>
      </c>
      <c r="E300" s="197" t="s">
        <v>11</v>
      </c>
      <c r="F300" s="239" t="s">
        <v>3133</v>
      </c>
      <c r="G300" s="239"/>
      <c r="H300" s="239" t="s">
        <v>3333</v>
      </c>
      <c r="I300" s="239" t="s">
        <v>681</v>
      </c>
      <c r="J300" s="197" t="s">
        <v>3344</v>
      </c>
      <c r="K300" s="197" t="s">
        <v>11</v>
      </c>
      <c r="L300" s="197"/>
      <c r="M300" s="197"/>
      <c r="N300" s="255"/>
      <c r="O300" s="239"/>
      <c r="P300" s="239"/>
      <c r="Q300" s="320"/>
    </row>
    <row r="301" spans="1:17" s="252" customFormat="1">
      <c r="A301" s="239">
        <f t="shared" si="2"/>
        <v>300</v>
      </c>
      <c r="B301" s="239" t="s">
        <v>2170</v>
      </c>
      <c r="C301" s="240" t="s">
        <v>275</v>
      </c>
      <c r="D301" s="240">
        <v>2</v>
      </c>
      <c r="E301" s="197" t="s">
        <v>284</v>
      </c>
      <c r="F301" s="239" t="s">
        <v>3133</v>
      </c>
      <c r="G301" s="239"/>
      <c r="H301" s="239" t="s">
        <v>3333</v>
      </c>
      <c r="I301" s="239" t="s">
        <v>681</v>
      </c>
      <c r="J301" s="197" t="s">
        <v>3344</v>
      </c>
      <c r="K301" s="197" t="s">
        <v>3346</v>
      </c>
      <c r="L301" s="197"/>
      <c r="M301" s="197"/>
      <c r="N301" s="255"/>
      <c r="O301" s="239"/>
      <c r="P301" s="239"/>
      <c r="Q301" s="320"/>
    </row>
    <row r="302" spans="1:17" s="252" customFormat="1">
      <c r="A302" s="239">
        <f t="shared" si="2"/>
        <v>301</v>
      </c>
      <c r="B302" s="239" t="s">
        <v>2171</v>
      </c>
      <c r="C302" s="240" t="s">
        <v>275</v>
      </c>
      <c r="D302" s="240">
        <v>4</v>
      </c>
      <c r="E302" s="197" t="s">
        <v>12</v>
      </c>
      <c r="F302" s="239" t="s">
        <v>3133</v>
      </c>
      <c r="G302" s="239"/>
      <c r="H302" s="239" t="s">
        <v>3333</v>
      </c>
      <c r="I302" s="239" t="s">
        <v>681</v>
      </c>
      <c r="J302" s="197" t="s">
        <v>3344</v>
      </c>
      <c r="K302" s="197" t="s">
        <v>12</v>
      </c>
      <c r="L302" s="197"/>
      <c r="M302" s="197"/>
      <c r="N302" s="255"/>
      <c r="O302" s="239"/>
      <c r="P302" s="239"/>
      <c r="Q302" s="320"/>
    </row>
    <row r="303" spans="1:17" s="252" customFormat="1">
      <c r="A303" s="239">
        <f t="shared" si="2"/>
        <v>302</v>
      </c>
      <c r="B303" s="239" t="s">
        <v>2172</v>
      </c>
      <c r="C303" s="240" t="s">
        <v>279</v>
      </c>
      <c r="D303" s="240">
        <v>4</v>
      </c>
      <c r="E303" s="197" t="s">
        <v>285</v>
      </c>
      <c r="F303" s="239" t="s">
        <v>3133</v>
      </c>
      <c r="G303" s="239"/>
      <c r="H303" s="239" t="s">
        <v>3333</v>
      </c>
      <c r="I303" s="239" t="s">
        <v>681</v>
      </c>
      <c r="J303" s="197" t="s">
        <v>3344</v>
      </c>
      <c r="K303" s="197" t="s">
        <v>104</v>
      </c>
      <c r="L303" s="197"/>
      <c r="M303" s="197"/>
      <c r="N303" s="255"/>
      <c r="O303" s="239"/>
      <c r="P303" s="239"/>
      <c r="Q303" s="320"/>
    </row>
    <row r="304" spans="1:17" s="252" customFormat="1">
      <c r="A304" s="239">
        <f t="shared" si="2"/>
        <v>303</v>
      </c>
      <c r="B304" s="239" t="s">
        <v>2173</v>
      </c>
      <c r="C304" s="240" t="s">
        <v>279</v>
      </c>
      <c r="D304" s="240">
        <v>15</v>
      </c>
      <c r="E304" s="197" t="s">
        <v>286</v>
      </c>
      <c r="F304" s="239" t="s">
        <v>3133</v>
      </c>
      <c r="G304" s="239"/>
      <c r="H304" s="239" t="s">
        <v>3333</v>
      </c>
      <c r="I304" s="239" t="s">
        <v>681</v>
      </c>
      <c r="J304" s="197" t="s">
        <v>3344</v>
      </c>
      <c r="K304" s="197" t="s">
        <v>3347</v>
      </c>
      <c r="L304" s="197"/>
      <c r="M304" s="197"/>
      <c r="N304" s="255"/>
      <c r="O304" s="239"/>
      <c r="P304" s="239"/>
      <c r="Q304" s="320"/>
    </row>
    <row r="305" spans="1:17" s="252" customFormat="1">
      <c r="A305" s="239">
        <f t="shared" si="2"/>
        <v>304</v>
      </c>
      <c r="B305" s="239" t="s">
        <v>2174</v>
      </c>
      <c r="C305" s="240" t="s">
        <v>275</v>
      </c>
      <c r="D305" s="240">
        <v>1</v>
      </c>
      <c r="E305" s="197" t="s">
        <v>287</v>
      </c>
      <c r="F305" s="239" t="s">
        <v>3133</v>
      </c>
      <c r="G305" s="239"/>
      <c r="H305" s="239" t="s">
        <v>3333</v>
      </c>
      <c r="I305" s="239" t="s">
        <v>681</v>
      </c>
      <c r="J305" s="197" t="s">
        <v>3344</v>
      </c>
      <c r="K305" s="197" t="s">
        <v>3348</v>
      </c>
      <c r="L305" s="197"/>
      <c r="M305" s="197"/>
      <c r="N305" s="255"/>
      <c r="O305" s="239"/>
      <c r="P305" s="239"/>
      <c r="Q305" s="320"/>
    </row>
    <row r="306" spans="1:17" s="252" customFormat="1">
      <c r="A306" s="239">
        <f t="shared" si="2"/>
        <v>305</v>
      </c>
      <c r="B306" s="239" t="s">
        <v>2175</v>
      </c>
      <c r="C306" s="240" t="s">
        <v>279</v>
      </c>
      <c r="D306" s="240">
        <v>15</v>
      </c>
      <c r="E306" s="197" t="s">
        <v>13</v>
      </c>
      <c r="F306" s="239" t="s">
        <v>3133</v>
      </c>
      <c r="G306" s="239"/>
      <c r="H306" s="239" t="s">
        <v>3333</v>
      </c>
      <c r="I306" s="239" t="s">
        <v>681</v>
      </c>
      <c r="J306" s="197" t="s">
        <v>3344</v>
      </c>
      <c r="K306" s="197" t="s">
        <v>3349</v>
      </c>
      <c r="L306" s="197"/>
      <c r="M306" s="197"/>
      <c r="N306" s="255"/>
      <c r="O306" s="239"/>
      <c r="P306" s="239"/>
      <c r="Q306" s="320"/>
    </row>
    <row r="307" spans="1:17" s="252" customFormat="1">
      <c r="A307" s="239">
        <f t="shared" si="2"/>
        <v>306</v>
      </c>
      <c r="B307" s="239" t="s">
        <v>2176</v>
      </c>
      <c r="C307" s="240" t="s">
        <v>279</v>
      </c>
      <c r="D307" s="240">
        <v>15</v>
      </c>
      <c r="E307" s="197" t="s">
        <v>14</v>
      </c>
      <c r="F307" s="239" t="s">
        <v>3133</v>
      </c>
      <c r="G307" s="239"/>
      <c r="H307" s="239" t="s">
        <v>3333</v>
      </c>
      <c r="I307" s="239" t="s">
        <v>681</v>
      </c>
      <c r="J307" s="197" t="s">
        <v>3344</v>
      </c>
      <c r="K307" s="197" t="s">
        <v>14</v>
      </c>
      <c r="L307" s="197"/>
      <c r="M307" s="197"/>
      <c r="N307" s="255"/>
      <c r="O307" s="239"/>
      <c r="P307" s="239"/>
      <c r="Q307" s="320"/>
    </row>
    <row r="308" spans="1:17" s="252" customFormat="1">
      <c r="A308" s="239">
        <f t="shared" si="2"/>
        <v>307</v>
      </c>
      <c r="B308" s="239" t="s">
        <v>2177</v>
      </c>
      <c r="C308" s="240" t="s">
        <v>279</v>
      </c>
      <c r="D308" s="240">
        <v>15</v>
      </c>
      <c r="E308" s="197" t="s">
        <v>288</v>
      </c>
      <c r="F308" s="239" t="s">
        <v>3133</v>
      </c>
      <c r="G308" s="239"/>
      <c r="H308" s="239" t="s">
        <v>3333</v>
      </c>
      <c r="I308" s="239" t="s">
        <v>681</v>
      </c>
      <c r="J308" s="197" t="s">
        <v>3344</v>
      </c>
      <c r="K308" s="197" t="s">
        <v>3350</v>
      </c>
      <c r="L308" s="197"/>
      <c r="M308" s="197"/>
      <c r="N308" s="255"/>
      <c r="O308" s="239"/>
      <c r="P308" s="239"/>
      <c r="Q308" s="320"/>
    </row>
    <row r="309" spans="1:17" s="252" customFormat="1">
      <c r="A309" s="239">
        <f t="shared" si="2"/>
        <v>308</v>
      </c>
      <c r="B309" s="239" t="s">
        <v>2178</v>
      </c>
      <c r="C309" s="240" t="s">
        <v>279</v>
      </c>
      <c r="D309" s="240">
        <v>15</v>
      </c>
      <c r="E309" s="197" t="s">
        <v>289</v>
      </c>
      <c r="F309" s="239" t="s">
        <v>3133</v>
      </c>
      <c r="G309" s="239"/>
      <c r="H309" s="239" t="s">
        <v>3333</v>
      </c>
      <c r="I309" s="239" t="s">
        <v>681</v>
      </c>
      <c r="J309" s="197" t="s">
        <v>3344</v>
      </c>
      <c r="K309" s="197" t="s">
        <v>196</v>
      </c>
      <c r="L309" s="197"/>
      <c r="M309" s="197"/>
      <c r="N309" s="255"/>
      <c r="O309" s="239"/>
      <c r="P309" s="239"/>
      <c r="Q309" s="320"/>
    </row>
    <row r="310" spans="1:17" s="252" customFormat="1">
      <c r="A310" s="239">
        <f t="shared" si="2"/>
        <v>309</v>
      </c>
      <c r="B310" s="239" t="s">
        <v>2179</v>
      </c>
      <c r="C310" s="240" t="s">
        <v>279</v>
      </c>
      <c r="D310" s="240">
        <v>15</v>
      </c>
      <c r="E310" s="197" t="s">
        <v>15</v>
      </c>
      <c r="F310" s="239" t="s">
        <v>3133</v>
      </c>
      <c r="G310" s="239"/>
      <c r="H310" s="239" t="s">
        <v>3333</v>
      </c>
      <c r="I310" s="239" t="s">
        <v>681</v>
      </c>
      <c r="J310" s="197" t="s">
        <v>3344</v>
      </c>
      <c r="K310" s="197" t="s">
        <v>15</v>
      </c>
      <c r="L310" s="197"/>
      <c r="M310" s="197"/>
      <c r="N310" s="255"/>
      <c r="O310" s="239"/>
      <c r="P310" s="239"/>
      <c r="Q310" s="320"/>
    </row>
    <row r="311" spans="1:17" s="252" customFormat="1">
      <c r="A311" s="239">
        <f t="shared" si="2"/>
        <v>310</v>
      </c>
      <c r="B311" s="239" t="s">
        <v>2180</v>
      </c>
      <c r="C311" s="240" t="s">
        <v>279</v>
      </c>
      <c r="D311" s="240">
        <v>15</v>
      </c>
      <c r="E311" s="197" t="s">
        <v>16</v>
      </c>
      <c r="F311" s="239" t="s">
        <v>3133</v>
      </c>
      <c r="G311" s="239"/>
      <c r="H311" s="239" t="s">
        <v>3333</v>
      </c>
      <c r="I311" s="239" t="s">
        <v>681</v>
      </c>
      <c r="J311" s="197" t="s">
        <v>3344</v>
      </c>
      <c r="K311" s="197" t="s">
        <v>16</v>
      </c>
      <c r="L311" s="197"/>
      <c r="M311" s="197"/>
      <c r="N311" s="255"/>
      <c r="O311" s="239"/>
      <c r="P311" s="239"/>
      <c r="Q311" s="320"/>
    </row>
    <row r="312" spans="1:17" s="252" customFormat="1">
      <c r="A312" s="239">
        <f t="shared" si="2"/>
        <v>311</v>
      </c>
      <c r="B312" s="239" t="s">
        <v>2181</v>
      </c>
      <c r="C312" s="240" t="s">
        <v>279</v>
      </c>
      <c r="D312" s="240">
        <v>15</v>
      </c>
      <c r="E312" s="197" t="s">
        <v>290</v>
      </c>
      <c r="F312" s="239" t="s">
        <v>3133</v>
      </c>
      <c r="G312" s="239"/>
      <c r="H312" s="239" t="s">
        <v>3333</v>
      </c>
      <c r="I312" s="239" t="s">
        <v>681</v>
      </c>
      <c r="J312" s="197" t="s">
        <v>3344</v>
      </c>
      <c r="K312" s="197" t="s">
        <v>3351</v>
      </c>
      <c r="L312" s="197"/>
      <c r="M312" s="197"/>
      <c r="N312" s="255"/>
      <c r="O312" s="239"/>
      <c r="P312" s="239"/>
      <c r="Q312" s="320"/>
    </row>
    <row r="313" spans="1:17" s="252" customFormat="1">
      <c r="A313" s="239">
        <f t="shared" si="2"/>
        <v>312</v>
      </c>
      <c r="B313" s="239" t="s">
        <v>2182</v>
      </c>
      <c r="C313" s="240" t="s">
        <v>275</v>
      </c>
      <c r="D313" s="240">
        <v>1</v>
      </c>
      <c r="E313" s="197" t="s">
        <v>291</v>
      </c>
      <c r="F313" s="239" t="s">
        <v>3133</v>
      </c>
      <c r="G313" s="239"/>
      <c r="H313" s="239" t="s">
        <v>3333</v>
      </c>
      <c r="I313" s="239" t="s">
        <v>681</v>
      </c>
      <c r="J313" s="197" t="s">
        <v>3344</v>
      </c>
      <c r="K313" s="197" t="s">
        <v>3352</v>
      </c>
      <c r="L313" s="197"/>
      <c r="M313" s="197"/>
      <c r="N313" s="255"/>
      <c r="O313" s="239"/>
      <c r="P313" s="239"/>
      <c r="Q313" s="320"/>
    </row>
    <row r="314" spans="1:17" s="252" customFormat="1">
      <c r="A314" s="239">
        <f t="shared" si="2"/>
        <v>313</v>
      </c>
      <c r="B314" s="239" t="s">
        <v>2183</v>
      </c>
      <c r="C314" s="240" t="s">
        <v>275</v>
      </c>
      <c r="D314" s="240">
        <v>1</v>
      </c>
      <c r="E314" s="197" t="s">
        <v>3</v>
      </c>
      <c r="F314" s="239" t="s">
        <v>3133</v>
      </c>
      <c r="G314" s="239"/>
      <c r="H314" s="239" t="s">
        <v>3333</v>
      </c>
      <c r="I314" s="239" t="s">
        <v>681</v>
      </c>
      <c r="J314" s="197" t="s">
        <v>3344</v>
      </c>
      <c r="K314" s="197" t="s">
        <v>3353</v>
      </c>
      <c r="L314" s="197"/>
      <c r="M314" s="197"/>
      <c r="N314" s="255"/>
      <c r="O314" s="239"/>
      <c r="P314" s="239"/>
      <c r="Q314" s="320" t="s">
        <v>3498</v>
      </c>
    </row>
    <row r="315" spans="1:17" s="252" customFormat="1">
      <c r="A315" s="239">
        <f t="shared" si="2"/>
        <v>314</v>
      </c>
      <c r="B315" s="239" t="s">
        <v>2184</v>
      </c>
      <c r="C315" s="240" t="s">
        <v>279</v>
      </c>
      <c r="D315" s="240">
        <v>5</v>
      </c>
      <c r="E315" s="197" t="s">
        <v>292</v>
      </c>
      <c r="F315" s="239" t="s">
        <v>3133</v>
      </c>
      <c r="G315" s="239"/>
      <c r="H315" s="239" t="s">
        <v>3333</v>
      </c>
      <c r="I315" s="239" t="s">
        <v>681</v>
      </c>
      <c r="J315" s="197" t="s">
        <v>3344</v>
      </c>
      <c r="K315" s="197" t="s">
        <v>3354</v>
      </c>
      <c r="L315" s="197"/>
      <c r="M315" s="197"/>
      <c r="N315" s="255"/>
      <c r="O315" s="239"/>
      <c r="P315" s="239"/>
      <c r="Q315" s="320"/>
    </row>
    <row r="316" spans="1:17" s="252" customFormat="1">
      <c r="A316" s="239">
        <f t="shared" si="2"/>
        <v>315</v>
      </c>
      <c r="B316" s="239" t="s">
        <v>2185</v>
      </c>
      <c r="C316" s="240" t="s">
        <v>279</v>
      </c>
      <c r="D316" s="240">
        <v>5</v>
      </c>
      <c r="E316" s="197" t="s">
        <v>293</v>
      </c>
      <c r="F316" s="239" t="s">
        <v>3133</v>
      </c>
      <c r="G316" s="239"/>
      <c r="H316" s="239" t="s">
        <v>3333</v>
      </c>
      <c r="I316" s="239" t="s">
        <v>681</v>
      </c>
      <c r="J316" s="197" t="s">
        <v>3344</v>
      </c>
      <c r="K316" s="197" t="s">
        <v>3355</v>
      </c>
      <c r="L316" s="197"/>
      <c r="M316" s="197"/>
      <c r="N316" s="255"/>
      <c r="O316" s="239"/>
      <c r="P316" s="239"/>
      <c r="Q316" s="320"/>
    </row>
    <row r="317" spans="1:17" s="252" customFormat="1">
      <c r="A317" s="239">
        <f t="shared" si="2"/>
        <v>316</v>
      </c>
      <c r="B317" s="239" t="s">
        <v>2186</v>
      </c>
      <c r="C317" s="240" t="s">
        <v>275</v>
      </c>
      <c r="D317" s="240">
        <v>6</v>
      </c>
      <c r="E317" s="197" t="s">
        <v>17</v>
      </c>
      <c r="F317" s="239" t="s">
        <v>3133</v>
      </c>
      <c r="G317" s="239"/>
      <c r="H317" s="239" t="s">
        <v>3333</v>
      </c>
      <c r="I317" s="239" t="s">
        <v>681</v>
      </c>
      <c r="J317" s="197" t="s">
        <v>3344</v>
      </c>
      <c r="K317" s="197" t="s">
        <v>3356</v>
      </c>
      <c r="L317" s="197"/>
      <c r="M317" s="197"/>
      <c r="N317" s="255"/>
      <c r="O317" s="239"/>
      <c r="P317" s="239"/>
      <c r="Q317" s="320"/>
    </row>
    <row r="318" spans="1:17" s="252" customFormat="1">
      <c r="A318" s="239">
        <f t="shared" si="2"/>
        <v>317</v>
      </c>
      <c r="B318" s="239" t="s">
        <v>2187</v>
      </c>
      <c r="C318" s="240" t="s">
        <v>279</v>
      </c>
      <c r="D318" s="240">
        <v>15</v>
      </c>
      <c r="E318" s="197" t="s">
        <v>18</v>
      </c>
      <c r="F318" s="239" t="s">
        <v>3133</v>
      </c>
      <c r="G318" s="239"/>
      <c r="H318" s="239" t="s">
        <v>3333</v>
      </c>
      <c r="I318" s="239" t="s">
        <v>681</v>
      </c>
      <c r="J318" s="197" t="s">
        <v>3344</v>
      </c>
      <c r="K318" s="197" t="s">
        <v>3357</v>
      </c>
      <c r="L318" s="197"/>
      <c r="M318" s="197"/>
      <c r="N318" s="255"/>
      <c r="O318" s="239"/>
      <c r="P318" s="239"/>
      <c r="Q318" s="320"/>
    </row>
    <row r="319" spans="1:17" s="252" customFormat="1">
      <c r="A319" s="239">
        <f t="shared" si="2"/>
        <v>318</v>
      </c>
      <c r="B319" s="239" t="s">
        <v>2188</v>
      </c>
      <c r="C319" s="240" t="s">
        <v>279</v>
      </c>
      <c r="D319" s="240">
        <v>15</v>
      </c>
      <c r="E319" s="197" t="s">
        <v>294</v>
      </c>
      <c r="F319" s="239" t="s">
        <v>3133</v>
      </c>
      <c r="G319" s="239"/>
      <c r="H319" s="239" t="s">
        <v>3333</v>
      </c>
      <c r="I319" s="239" t="s">
        <v>681</v>
      </c>
      <c r="J319" s="197" t="s">
        <v>3344</v>
      </c>
      <c r="K319" s="197" t="s">
        <v>3358</v>
      </c>
      <c r="L319" s="197"/>
      <c r="M319" s="197"/>
      <c r="N319" s="255"/>
      <c r="O319" s="239"/>
      <c r="P319" s="239"/>
      <c r="Q319" s="320"/>
    </row>
    <row r="320" spans="1:17" s="252" customFormat="1">
      <c r="A320" s="239">
        <f t="shared" si="2"/>
        <v>319</v>
      </c>
      <c r="B320" s="239" t="s">
        <v>2189</v>
      </c>
      <c r="C320" s="240" t="s">
        <v>275</v>
      </c>
      <c r="D320" s="240">
        <v>3</v>
      </c>
      <c r="E320" s="197" t="s">
        <v>295</v>
      </c>
      <c r="F320" s="239" t="s">
        <v>3133</v>
      </c>
      <c r="G320" s="239"/>
      <c r="H320" s="239" t="s">
        <v>3333</v>
      </c>
      <c r="I320" s="239" t="s">
        <v>681</v>
      </c>
      <c r="J320" s="197" t="s">
        <v>3344</v>
      </c>
      <c r="K320" s="197" t="s">
        <v>203</v>
      </c>
      <c r="L320" s="197"/>
      <c r="M320" s="197"/>
      <c r="N320" s="255"/>
      <c r="O320" s="239"/>
      <c r="P320" s="239"/>
      <c r="Q320" s="320"/>
    </row>
    <row r="321" spans="1:17" s="252" customFormat="1">
      <c r="A321" s="239">
        <f t="shared" si="2"/>
        <v>320</v>
      </c>
      <c r="B321" s="239" t="s">
        <v>2190</v>
      </c>
      <c r="C321" s="240" t="s">
        <v>275</v>
      </c>
      <c r="D321" s="240">
        <v>2</v>
      </c>
      <c r="E321" s="197" t="s">
        <v>3521</v>
      </c>
      <c r="F321" s="239" t="s">
        <v>3133</v>
      </c>
      <c r="G321" s="239"/>
      <c r="H321" s="239" t="s">
        <v>3333</v>
      </c>
      <c r="I321" s="239" t="s">
        <v>681</v>
      </c>
      <c r="J321" s="197" t="s">
        <v>3344</v>
      </c>
      <c r="K321" s="197" t="s">
        <v>204</v>
      </c>
      <c r="L321" s="197"/>
      <c r="M321" s="197"/>
      <c r="N321" s="255"/>
      <c r="O321" s="239"/>
      <c r="P321" s="239"/>
      <c r="Q321" s="320"/>
    </row>
    <row r="322" spans="1:17" s="252" customFormat="1">
      <c r="A322" s="239">
        <f t="shared" si="2"/>
        <v>321</v>
      </c>
      <c r="B322" s="239" t="s">
        <v>2191</v>
      </c>
      <c r="C322" s="240" t="s">
        <v>279</v>
      </c>
      <c r="D322" s="240">
        <v>5</v>
      </c>
      <c r="E322" s="197" t="s">
        <v>297</v>
      </c>
      <c r="F322" s="239" t="s">
        <v>3133</v>
      </c>
      <c r="G322" s="239"/>
      <c r="H322" s="239" t="s">
        <v>3333</v>
      </c>
      <c r="I322" s="239" t="s">
        <v>681</v>
      </c>
      <c r="J322" s="197" t="s">
        <v>3344</v>
      </c>
      <c r="K322" s="197" t="s">
        <v>205</v>
      </c>
      <c r="L322" s="197"/>
      <c r="M322" s="197"/>
      <c r="N322" s="255"/>
      <c r="O322" s="239"/>
      <c r="P322" s="239"/>
      <c r="Q322" s="320"/>
    </row>
    <row r="323" spans="1:17" s="252" customFormat="1">
      <c r="A323" s="239">
        <f t="shared" si="2"/>
        <v>322</v>
      </c>
      <c r="B323" s="239" t="s">
        <v>2192</v>
      </c>
      <c r="C323" s="240" t="s">
        <v>275</v>
      </c>
      <c r="D323" s="240">
        <v>2</v>
      </c>
      <c r="E323" s="197" t="s">
        <v>298</v>
      </c>
      <c r="F323" s="239" t="s">
        <v>3133</v>
      </c>
      <c r="G323" s="239"/>
      <c r="H323" s="239" t="s">
        <v>3333</v>
      </c>
      <c r="I323" s="239" t="s">
        <v>681</v>
      </c>
      <c r="J323" s="197" t="s">
        <v>3344</v>
      </c>
      <c r="K323" s="197" t="s">
        <v>206</v>
      </c>
      <c r="L323" s="197"/>
      <c r="M323" s="197"/>
      <c r="N323" s="255"/>
      <c r="O323" s="239"/>
      <c r="P323" s="239"/>
      <c r="Q323" s="320"/>
    </row>
    <row r="324" spans="1:17" s="252" customFormat="1">
      <c r="A324" s="239">
        <f t="shared" si="2"/>
        <v>323</v>
      </c>
      <c r="B324" s="239" t="s">
        <v>2193</v>
      </c>
      <c r="C324" s="240" t="s">
        <v>275</v>
      </c>
      <c r="D324" s="240">
        <v>2</v>
      </c>
      <c r="E324" s="197" t="s">
        <v>299</v>
      </c>
      <c r="F324" s="239" t="s">
        <v>3133</v>
      </c>
      <c r="G324" s="239"/>
      <c r="H324" s="239" t="s">
        <v>3333</v>
      </c>
      <c r="I324" s="239" t="s">
        <v>681</v>
      </c>
      <c r="J324" s="197" t="s">
        <v>3344</v>
      </c>
      <c r="K324" s="197" t="s">
        <v>207</v>
      </c>
      <c r="L324" s="197"/>
      <c r="M324" s="197"/>
      <c r="N324" s="255"/>
      <c r="O324" s="239"/>
      <c r="P324" s="239"/>
      <c r="Q324" s="320"/>
    </row>
    <row r="325" spans="1:17" s="252" customFormat="1">
      <c r="A325" s="239">
        <f t="shared" si="2"/>
        <v>324</v>
      </c>
      <c r="B325" s="239" t="s">
        <v>2194</v>
      </c>
      <c r="C325" s="240" t="s">
        <v>275</v>
      </c>
      <c r="D325" s="240">
        <v>2</v>
      </c>
      <c r="E325" s="197" t="s">
        <v>300</v>
      </c>
      <c r="F325" s="239" t="s">
        <v>3133</v>
      </c>
      <c r="G325" s="239"/>
      <c r="H325" s="239" t="s">
        <v>3333</v>
      </c>
      <c r="I325" s="239" t="s">
        <v>681</v>
      </c>
      <c r="J325" s="197" t="s">
        <v>3344</v>
      </c>
      <c r="K325" s="197" t="s">
        <v>208</v>
      </c>
      <c r="L325" s="197"/>
      <c r="M325" s="197"/>
      <c r="N325" s="255"/>
      <c r="O325" s="239"/>
      <c r="P325" s="239"/>
      <c r="Q325" s="320"/>
    </row>
    <row r="326" spans="1:17" s="252" customFormat="1">
      <c r="A326" s="239">
        <f t="shared" si="2"/>
        <v>325</v>
      </c>
      <c r="B326" s="239" t="s">
        <v>2195</v>
      </c>
      <c r="C326" s="240" t="s">
        <v>275</v>
      </c>
      <c r="D326" s="240">
        <v>2</v>
      </c>
      <c r="E326" s="197" t="s">
        <v>301</v>
      </c>
      <c r="F326" s="239" t="s">
        <v>3133</v>
      </c>
      <c r="G326" s="239"/>
      <c r="H326" s="239" t="s">
        <v>3333</v>
      </c>
      <c r="I326" s="239" t="s">
        <v>681</v>
      </c>
      <c r="J326" s="197" t="s">
        <v>3344</v>
      </c>
      <c r="K326" s="197" t="s">
        <v>209</v>
      </c>
      <c r="L326" s="197"/>
      <c r="M326" s="197"/>
      <c r="N326" s="255"/>
      <c r="O326" s="239"/>
      <c r="P326" s="239"/>
      <c r="Q326" s="320"/>
    </row>
    <row r="327" spans="1:17" s="252" customFormat="1">
      <c r="A327" s="239">
        <f t="shared" ref="A327:A390" si="6">ROW()-1</f>
        <v>326</v>
      </c>
      <c r="B327" s="239" t="s">
        <v>2196</v>
      </c>
      <c r="C327" s="240" t="s">
        <v>279</v>
      </c>
      <c r="D327" s="240">
        <v>15</v>
      </c>
      <c r="E327" s="197" t="s">
        <v>19</v>
      </c>
      <c r="F327" s="239" t="s">
        <v>3133</v>
      </c>
      <c r="G327" s="239"/>
      <c r="H327" s="239" t="s">
        <v>3333</v>
      </c>
      <c r="I327" s="239" t="s">
        <v>681</v>
      </c>
      <c r="J327" s="197" t="s">
        <v>3344</v>
      </c>
      <c r="K327" s="197" t="s">
        <v>19</v>
      </c>
      <c r="L327" s="197"/>
      <c r="M327" s="197"/>
      <c r="N327" s="255"/>
      <c r="O327" s="239"/>
      <c r="P327" s="239"/>
      <c r="Q327" s="320"/>
    </row>
    <row r="328" spans="1:17" s="252" customFormat="1">
      <c r="A328" s="239">
        <f t="shared" si="6"/>
        <v>327</v>
      </c>
      <c r="B328" s="239" t="s">
        <v>2197</v>
      </c>
      <c r="C328" s="240" t="s">
        <v>279</v>
      </c>
      <c r="D328" s="240">
        <v>15</v>
      </c>
      <c r="E328" s="197" t="s">
        <v>20</v>
      </c>
      <c r="F328" s="239" t="s">
        <v>3133</v>
      </c>
      <c r="G328" s="239"/>
      <c r="H328" s="239" t="s">
        <v>3333</v>
      </c>
      <c r="I328" s="239" t="s">
        <v>681</v>
      </c>
      <c r="J328" s="197" t="s">
        <v>3344</v>
      </c>
      <c r="K328" s="197" t="s">
        <v>3359</v>
      </c>
      <c r="L328" s="197"/>
      <c r="M328" s="197"/>
      <c r="N328" s="255"/>
      <c r="O328" s="239"/>
      <c r="P328" s="239"/>
      <c r="Q328" s="320"/>
    </row>
    <row r="329" spans="1:17" s="252" customFormat="1">
      <c r="A329" s="239">
        <f t="shared" si="6"/>
        <v>328</v>
      </c>
      <c r="B329" s="239" t="s">
        <v>2198</v>
      </c>
      <c r="C329" s="240" t="s">
        <v>279</v>
      </c>
      <c r="D329" s="240">
        <v>15</v>
      </c>
      <c r="E329" s="197" t="s">
        <v>302</v>
      </c>
      <c r="F329" s="239" t="s">
        <v>3133</v>
      </c>
      <c r="G329" s="239"/>
      <c r="H329" s="239" t="s">
        <v>3333</v>
      </c>
      <c r="I329" s="239" t="s">
        <v>681</v>
      </c>
      <c r="J329" s="197" t="s">
        <v>3344</v>
      </c>
      <c r="K329" s="197" t="s">
        <v>3360</v>
      </c>
      <c r="L329" s="197"/>
      <c r="M329" s="197"/>
      <c r="N329" s="255"/>
      <c r="O329" s="239"/>
      <c r="P329" s="239"/>
      <c r="Q329" s="320"/>
    </row>
    <row r="330" spans="1:17" s="252" customFormat="1">
      <c r="A330" s="239">
        <f t="shared" si="6"/>
        <v>329</v>
      </c>
      <c r="B330" s="239" t="s">
        <v>2199</v>
      </c>
      <c r="C330" s="240" t="s">
        <v>279</v>
      </c>
      <c r="D330" s="240">
        <v>15</v>
      </c>
      <c r="E330" s="197" t="s">
        <v>303</v>
      </c>
      <c r="F330" s="239" t="s">
        <v>3133</v>
      </c>
      <c r="G330" s="239"/>
      <c r="H330" s="239" t="s">
        <v>3333</v>
      </c>
      <c r="I330" s="239" t="s">
        <v>681</v>
      </c>
      <c r="J330" s="197" t="s">
        <v>3344</v>
      </c>
      <c r="K330" s="197" t="s">
        <v>3361</v>
      </c>
      <c r="L330" s="197"/>
      <c r="M330" s="197"/>
      <c r="N330" s="255"/>
      <c r="O330" s="239"/>
      <c r="P330" s="239"/>
      <c r="Q330" s="320"/>
    </row>
    <row r="331" spans="1:17" s="252" customFormat="1">
      <c r="A331" s="239">
        <f t="shared" si="6"/>
        <v>330</v>
      </c>
      <c r="B331" s="239" t="s">
        <v>2200</v>
      </c>
      <c r="C331" s="240" t="s">
        <v>279</v>
      </c>
      <c r="D331" s="240">
        <v>15</v>
      </c>
      <c r="E331" s="197" t="s">
        <v>21</v>
      </c>
      <c r="F331" s="239" t="s">
        <v>3133</v>
      </c>
      <c r="G331" s="239"/>
      <c r="H331" s="239" t="s">
        <v>3333</v>
      </c>
      <c r="I331" s="239" t="s">
        <v>681</v>
      </c>
      <c r="J331" s="197" t="s">
        <v>3344</v>
      </c>
      <c r="K331" s="197" t="s">
        <v>21</v>
      </c>
      <c r="L331" s="197"/>
      <c r="M331" s="197"/>
      <c r="N331" s="255"/>
      <c r="O331" s="239"/>
      <c r="P331" s="239"/>
      <c r="Q331" s="320"/>
    </row>
    <row r="332" spans="1:17" s="252" customFormat="1">
      <c r="A332" s="239">
        <f t="shared" si="6"/>
        <v>331</v>
      </c>
      <c r="B332" s="239" t="s">
        <v>2201</v>
      </c>
      <c r="C332" s="240" t="s">
        <v>275</v>
      </c>
      <c r="D332" s="240">
        <v>2</v>
      </c>
      <c r="E332" s="197" t="s">
        <v>304</v>
      </c>
      <c r="F332" s="239" t="s">
        <v>3133</v>
      </c>
      <c r="G332" s="239"/>
      <c r="H332" s="239" t="s">
        <v>3333</v>
      </c>
      <c r="I332" s="239" t="s">
        <v>681</v>
      </c>
      <c r="J332" s="197" t="s">
        <v>3344</v>
      </c>
      <c r="K332" s="197" t="s">
        <v>212</v>
      </c>
      <c r="L332" s="197"/>
      <c r="M332" s="197"/>
      <c r="N332" s="255"/>
      <c r="O332" s="239"/>
      <c r="P332" s="239"/>
      <c r="Q332" s="320"/>
    </row>
    <row r="333" spans="1:17" s="252" customFormat="1">
      <c r="A333" s="239">
        <f t="shared" si="6"/>
        <v>332</v>
      </c>
      <c r="B333" s="239" t="s">
        <v>2202</v>
      </c>
      <c r="C333" s="240" t="s">
        <v>275</v>
      </c>
      <c r="D333" s="240">
        <v>1</v>
      </c>
      <c r="E333" s="197" t="s">
        <v>305</v>
      </c>
      <c r="F333" s="239" t="s">
        <v>3133</v>
      </c>
      <c r="G333" s="239"/>
      <c r="H333" s="239" t="s">
        <v>3333</v>
      </c>
      <c r="I333" s="239" t="s">
        <v>681</v>
      </c>
      <c r="J333" s="197" t="s">
        <v>3344</v>
      </c>
      <c r="K333" s="197" t="s">
        <v>213</v>
      </c>
      <c r="L333" s="197"/>
      <c r="M333" s="197"/>
      <c r="N333" s="255"/>
      <c r="O333" s="239"/>
      <c r="P333" s="239"/>
      <c r="Q333" s="320"/>
    </row>
    <row r="334" spans="1:17" s="252" customFormat="1">
      <c r="A334" s="239">
        <f t="shared" si="6"/>
        <v>333</v>
      </c>
      <c r="B334" s="239" t="s">
        <v>2203</v>
      </c>
      <c r="C334" s="240" t="s">
        <v>275</v>
      </c>
      <c r="D334" s="240">
        <v>2</v>
      </c>
      <c r="E334" s="197" t="s">
        <v>306</v>
      </c>
      <c r="F334" s="239" t="s">
        <v>3133</v>
      </c>
      <c r="G334" s="239"/>
      <c r="H334" s="239" t="s">
        <v>3333</v>
      </c>
      <c r="I334" s="239" t="s">
        <v>681</v>
      </c>
      <c r="J334" s="197" t="s">
        <v>3344</v>
      </c>
      <c r="K334" s="197" t="s">
        <v>214</v>
      </c>
      <c r="L334" s="197"/>
      <c r="M334" s="197"/>
      <c r="N334" s="255"/>
      <c r="O334" s="239"/>
      <c r="P334" s="239"/>
      <c r="Q334" s="320"/>
    </row>
    <row r="335" spans="1:17" s="252" customFormat="1">
      <c r="A335" s="239">
        <f t="shared" si="6"/>
        <v>334</v>
      </c>
      <c r="B335" s="239" t="s">
        <v>2204</v>
      </c>
      <c r="C335" s="240" t="s">
        <v>275</v>
      </c>
      <c r="D335" s="240">
        <v>1</v>
      </c>
      <c r="E335" s="197" t="s">
        <v>307</v>
      </c>
      <c r="F335" s="239" t="s">
        <v>3133</v>
      </c>
      <c r="G335" s="239"/>
      <c r="H335" s="239" t="s">
        <v>3333</v>
      </c>
      <c r="I335" s="239" t="s">
        <v>681</v>
      </c>
      <c r="J335" s="197" t="s">
        <v>3344</v>
      </c>
      <c r="K335" s="197" t="s">
        <v>307</v>
      </c>
      <c r="L335" s="197"/>
      <c r="M335" s="197"/>
      <c r="N335" s="255"/>
      <c r="O335" s="239"/>
      <c r="P335" s="239"/>
      <c r="Q335" s="320"/>
    </row>
    <row r="336" spans="1:17" s="252" customFormat="1">
      <c r="A336" s="239">
        <f t="shared" si="6"/>
        <v>335</v>
      </c>
      <c r="B336" s="239" t="s">
        <v>2205</v>
      </c>
      <c r="C336" s="240" t="s">
        <v>275</v>
      </c>
      <c r="D336" s="240">
        <v>2</v>
      </c>
      <c r="E336" s="197" t="s">
        <v>308</v>
      </c>
      <c r="F336" s="239" t="s">
        <v>3133</v>
      </c>
      <c r="G336" s="239"/>
      <c r="H336" s="239" t="s">
        <v>3333</v>
      </c>
      <c r="I336" s="239" t="s">
        <v>681</v>
      </c>
      <c r="J336" s="197" t="s">
        <v>3344</v>
      </c>
      <c r="K336" s="197" t="s">
        <v>3362</v>
      </c>
      <c r="L336" s="197"/>
      <c r="M336" s="197"/>
      <c r="N336" s="255"/>
      <c r="O336" s="239"/>
      <c r="P336" s="239"/>
      <c r="Q336" s="320"/>
    </row>
    <row r="337" spans="1:17" s="252" customFormat="1">
      <c r="A337" s="239">
        <f t="shared" si="6"/>
        <v>336</v>
      </c>
      <c r="B337" s="239" t="s">
        <v>2206</v>
      </c>
      <c r="C337" s="240" t="s">
        <v>279</v>
      </c>
      <c r="D337" s="240">
        <v>15</v>
      </c>
      <c r="E337" s="197" t="s">
        <v>22</v>
      </c>
      <c r="F337" s="239" t="s">
        <v>3133</v>
      </c>
      <c r="G337" s="239"/>
      <c r="H337" s="239" t="s">
        <v>3333</v>
      </c>
      <c r="I337" s="239" t="s">
        <v>681</v>
      </c>
      <c r="J337" s="197" t="s">
        <v>3344</v>
      </c>
      <c r="K337" s="197" t="s">
        <v>22</v>
      </c>
      <c r="L337" s="197"/>
      <c r="M337" s="197"/>
      <c r="N337" s="255"/>
      <c r="O337" s="239"/>
      <c r="P337" s="239"/>
      <c r="Q337" s="320"/>
    </row>
    <row r="338" spans="1:17" s="252" customFormat="1">
      <c r="A338" s="239">
        <f t="shared" si="6"/>
        <v>337</v>
      </c>
      <c r="B338" s="245" t="s">
        <v>2207</v>
      </c>
      <c r="C338" s="240" t="s">
        <v>275</v>
      </c>
      <c r="D338" s="240">
        <v>4</v>
      </c>
      <c r="E338" s="197" t="s">
        <v>2521</v>
      </c>
      <c r="F338" s="245" t="s">
        <v>3133</v>
      </c>
      <c r="G338" s="239"/>
      <c r="H338" s="239" t="s">
        <v>3333</v>
      </c>
      <c r="I338" s="239" t="s">
        <v>681</v>
      </c>
      <c r="J338" s="197" t="s">
        <v>3344</v>
      </c>
      <c r="K338" s="197" t="s">
        <v>3363</v>
      </c>
      <c r="L338" s="197"/>
      <c r="M338" s="197"/>
      <c r="N338" s="255"/>
      <c r="O338" s="239" t="s">
        <v>2329</v>
      </c>
      <c r="P338" s="239" t="s">
        <v>3127</v>
      </c>
      <c r="Q338" s="320"/>
    </row>
    <row r="339" spans="1:17" s="252" customFormat="1">
      <c r="A339" s="239">
        <f t="shared" si="6"/>
        <v>338</v>
      </c>
      <c r="B339" s="245" t="s">
        <v>2208</v>
      </c>
      <c r="C339" s="240" t="s">
        <v>275</v>
      </c>
      <c r="D339" s="240">
        <v>2</v>
      </c>
      <c r="E339" s="197" t="s">
        <v>2522</v>
      </c>
      <c r="F339" s="245" t="s">
        <v>3133</v>
      </c>
      <c r="G339" s="239"/>
      <c r="H339" s="239" t="s">
        <v>3333</v>
      </c>
      <c r="I339" s="239" t="s">
        <v>681</v>
      </c>
      <c r="J339" s="197" t="s">
        <v>3344</v>
      </c>
      <c r="K339" s="197" t="s">
        <v>2927</v>
      </c>
      <c r="L339" s="197"/>
      <c r="M339" s="197"/>
      <c r="N339" s="255"/>
      <c r="O339" s="239" t="s">
        <v>2329</v>
      </c>
      <c r="P339" s="239" t="s">
        <v>3127</v>
      </c>
      <c r="Q339" s="320"/>
    </row>
    <row r="340" spans="1:17" s="252" customFormat="1">
      <c r="A340" s="239">
        <f t="shared" si="6"/>
        <v>339</v>
      </c>
      <c r="B340" s="245" t="s">
        <v>2209</v>
      </c>
      <c r="C340" s="240" t="s">
        <v>275</v>
      </c>
      <c r="D340" s="240">
        <v>1</v>
      </c>
      <c r="E340" s="197" t="s">
        <v>2523</v>
      </c>
      <c r="F340" s="245" t="s">
        <v>3133</v>
      </c>
      <c r="G340" s="239"/>
      <c r="H340" s="239" t="s">
        <v>3333</v>
      </c>
      <c r="I340" s="239" t="s">
        <v>681</v>
      </c>
      <c r="J340" s="197" t="s">
        <v>3344</v>
      </c>
      <c r="K340" s="197" t="s">
        <v>2892</v>
      </c>
      <c r="L340" s="197"/>
      <c r="M340" s="197"/>
      <c r="N340" s="255"/>
      <c r="O340" s="239" t="s">
        <v>2329</v>
      </c>
      <c r="P340" s="239" t="s">
        <v>3127</v>
      </c>
      <c r="Q340" s="320"/>
    </row>
    <row r="341" spans="1:17" s="252" customFormat="1">
      <c r="A341" s="239">
        <f t="shared" si="6"/>
        <v>340</v>
      </c>
      <c r="B341" s="245" t="s">
        <v>2210</v>
      </c>
      <c r="C341" s="240" t="s">
        <v>279</v>
      </c>
      <c r="D341" s="240">
        <v>15</v>
      </c>
      <c r="E341" s="197" t="s">
        <v>2524</v>
      </c>
      <c r="F341" s="245" t="s">
        <v>3133</v>
      </c>
      <c r="G341" s="239"/>
      <c r="H341" s="239" t="s">
        <v>3333</v>
      </c>
      <c r="I341" s="239" t="s">
        <v>681</v>
      </c>
      <c r="J341" s="197" t="s">
        <v>3344</v>
      </c>
      <c r="K341" s="197" t="s">
        <v>2894</v>
      </c>
      <c r="L341" s="197"/>
      <c r="M341" s="197"/>
      <c r="N341" s="255"/>
      <c r="O341" s="239" t="s">
        <v>2329</v>
      </c>
      <c r="P341" s="239" t="s">
        <v>3127</v>
      </c>
      <c r="Q341" s="320"/>
    </row>
    <row r="342" spans="1:17" s="252" customFormat="1">
      <c r="A342" s="239">
        <f t="shared" si="6"/>
        <v>341</v>
      </c>
      <c r="B342" s="245" t="s">
        <v>2211</v>
      </c>
      <c r="C342" s="240" t="s">
        <v>279</v>
      </c>
      <c r="D342" s="240">
        <v>5</v>
      </c>
      <c r="E342" s="197" t="s">
        <v>2525</v>
      </c>
      <c r="F342" s="245" t="s">
        <v>3133</v>
      </c>
      <c r="G342" s="239"/>
      <c r="H342" s="239" t="s">
        <v>3333</v>
      </c>
      <c r="I342" s="239" t="s">
        <v>681</v>
      </c>
      <c r="J342" s="197" t="s">
        <v>3344</v>
      </c>
      <c r="K342" s="197" t="s">
        <v>2895</v>
      </c>
      <c r="L342" s="197"/>
      <c r="M342" s="197"/>
      <c r="N342" s="255"/>
      <c r="O342" s="239" t="s">
        <v>2329</v>
      </c>
      <c r="P342" s="239" t="s">
        <v>3127</v>
      </c>
      <c r="Q342" s="320"/>
    </row>
    <row r="343" spans="1:17" s="252" customFormat="1">
      <c r="A343" s="239">
        <f t="shared" si="6"/>
        <v>342</v>
      </c>
      <c r="B343" s="245" t="s">
        <v>2212</v>
      </c>
      <c r="C343" s="240" t="s">
        <v>279</v>
      </c>
      <c r="D343" s="240">
        <v>5</v>
      </c>
      <c r="E343" s="197" t="s">
        <v>2526</v>
      </c>
      <c r="F343" s="245" t="s">
        <v>3133</v>
      </c>
      <c r="G343" s="239"/>
      <c r="H343" s="239" t="s">
        <v>3333</v>
      </c>
      <c r="I343" s="239" t="s">
        <v>681</v>
      </c>
      <c r="J343" s="197" t="s">
        <v>3344</v>
      </c>
      <c r="K343" s="197" t="s">
        <v>2896</v>
      </c>
      <c r="L343" s="197"/>
      <c r="M343" s="197"/>
      <c r="N343" s="255"/>
      <c r="O343" s="239" t="s">
        <v>2329</v>
      </c>
      <c r="P343" s="239" t="s">
        <v>3127</v>
      </c>
      <c r="Q343" s="320"/>
    </row>
    <row r="344" spans="1:17" s="252" customFormat="1">
      <c r="A344" s="239">
        <f t="shared" si="6"/>
        <v>343</v>
      </c>
      <c r="B344" s="245" t="s">
        <v>2213</v>
      </c>
      <c r="C344" s="240" t="s">
        <v>279</v>
      </c>
      <c r="D344" s="240">
        <v>5</v>
      </c>
      <c r="E344" s="197" t="s">
        <v>2527</v>
      </c>
      <c r="F344" s="245" t="s">
        <v>3133</v>
      </c>
      <c r="G344" s="239"/>
      <c r="H344" s="239" t="s">
        <v>3333</v>
      </c>
      <c r="I344" s="239" t="s">
        <v>681</v>
      </c>
      <c r="J344" s="197" t="s">
        <v>3344</v>
      </c>
      <c r="K344" s="197" t="s">
        <v>2897</v>
      </c>
      <c r="L344" s="197"/>
      <c r="M344" s="197"/>
      <c r="N344" s="255"/>
      <c r="O344" s="239" t="s">
        <v>2329</v>
      </c>
      <c r="P344" s="239" t="s">
        <v>3127</v>
      </c>
      <c r="Q344" s="320"/>
    </row>
    <row r="345" spans="1:17" s="252" customFormat="1">
      <c r="A345" s="239">
        <f t="shared" si="6"/>
        <v>344</v>
      </c>
      <c r="B345" s="245" t="s">
        <v>2214</v>
      </c>
      <c r="C345" s="240" t="s">
        <v>279</v>
      </c>
      <c r="D345" s="240">
        <v>5</v>
      </c>
      <c r="E345" s="197" t="s">
        <v>2528</v>
      </c>
      <c r="F345" s="245" t="s">
        <v>3133</v>
      </c>
      <c r="G345" s="239"/>
      <c r="H345" s="239" t="s">
        <v>3333</v>
      </c>
      <c r="I345" s="239" t="s">
        <v>681</v>
      </c>
      <c r="J345" s="197" t="s">
        <v>3344</v>
      </c>
      <c r="K345" s="197" t="s">
        <v>2898</v>
      </c>
      <c r="L345" s="197"/>
      <c r="M345" s="197"/>
      <c r="N345" s="255"/>
      <c r="O345" s="239" t="s">
        <v>2329</v>
      </c>
      <c r="P345" s="239" t="s">
        <v>3127</v>
      </c>
      <c r="Q345" s="320"/>
    </row>
    <row r="346" spans="1:17" s="252" customFormat="1">
      <c r="A346" s="239">
        <f t="shared" si="6"/>
        <v>345</v>
      </c>
      <c r="B346" s="245" t="s">
        <v>2215</v>
      </c>
      <c r="C346" s="240" t="s">
        <v>279</v>
      </c>
      <c r="D346" s="240">
        <v>5</v>
      </c>
      <c r="E346" s="197" t="s">
        <v>2529</v>
      </c>
      <c r="F346" s="245" t="s">
        <v>3133</v>
      </c>
      <c r="G346" s="239"/>
      <c r="H346" s="239" t="s">
        <v>3333</v>
      </c>
      <c r="I346" s="239" t="s">
        <v>681</v>
      </c>
      <c r="J346" s="197" t="s">
        <v>3344</v>
      </c>
      <c r="K346" s="197" t="s">
        <v>2899</v>
      </c>
      <c r="L346" s="197"/>
      <c r="M346" s="197"/>
      <c r="N346" s="255"/>
      <c r="O346" s="239" t="s">
        <v>2329</v>
      </c>
      <c r="P346" s="239" t="s">
        <v>3127</v>
      </c>
      <c r="Q346" s="320"/>
    </row>
    <row r="347" spans="1:17" s="252" customFormat="1">
      <c r="A347" s="239">
        <f t="shared" si="6"/>
        <v>346</v>
      </c>
      <c r="B347" s="245" t="s">
        <v>2216</v>
      </c>
      <c r="C347" s="240" t="s">
        <v>279</v>
      </c>
      <c r="D347" s="240">
        <v>5</v>
      </c>
      <c r="E347" s="197" t="s">
        <v>2530</v>
      </c>
      <c r="F347" s="245" t="s">
        <v>3133</v>
      </c>
      <c r="G347" s="239"/>
      <c r="H347" s="239" t="s">
        <v>3333</v>
      </c>
      <c r="I347" s="239" t="s">
        <v>681</v>
      </c>
      <c r="J347" s="197" t="s">
        <v>3344</v>
      </c>
      <c r="K347" s="197" t="s">
        <v>2900</v>
      </c>
      <c r="L347" s="197"/>
      <c r="M347" s="197"/>
      <c r="N347" s="255"/>
      <c r="O347" s="239" t="s">
        <v>2329</v>
      </c>
      <c r="P347" s="239" t="s">
        <v>3127</v>
      </c>
      <c r="Q347" s="320"/>
    </row>
    <row r="348" spans="1:17" s="252" customFormat="1">
      <c r="A348" s="239">
        <f t="shared" si="6"/>
        <v>347</v>
      </c>
      <c r="B348" s="245" t="s">
        <v>2217</v>
      </c>
      <c r="C348" s="240" t="s">
        <v>279</v>
      </c>
      <c r="D348" s="240">
        <v>5</v>
      </c>
      <c r="E348" s="197" t="s">
        <v>2531</v>
      </c>
      <c r="F348" s="245" t="s">
        <v>3133</v>
      </c>
      <c r="G348" s="239"/>
      <c r="H348" s="239" t="s">
        <v>3333</v>
      </c>
      <c r="I348" s="239" t="s">
        <v>681</v>
      </c>
      <c r="J348" s="197" t="s">
        <v>3344</v>
      </c>
      <c r="K348" s="197" t="s">
        <v>2901</v>
      </c>
      <c r="L348" s="197"/>
      <c r="M348" s="197"/>
      <c r="N348" s="255"/>
      <c r="O348" s="239" t="s">
        <v>2329</v>
      </c>
      <c r="P348" s="239" t="s">
        <v>3127</v>
      </c>
      <c r="Q348" s="320"/>
    </row>
    <row r="349" spans="1:17" s="252" customFormat="1">
      <c r="A349" s="239">
        <f t="shared" si="6"/>
        <v>348</v>
      </c>
      <c r="B349" s="245" t="s">
        <v>2218</v>
      </c>
      <c r="C349" s="240" t="s">
        <v>275</v>
      </c>
      <c r="D349" s="240">
        <v>1</v>
      </c>
      <c r="E349" s="197" t="s">
        <v>2532</v>
      </c>
      <c r="F349" s="245" t="s">
        <v>3133</v>
      </c>
      <c r="G349" s="239"/>
      <c r="H349" s="239" t="s">
        <v>3333</v>
      </c>
      <c r="I349" s="239" t="s">
        <v>681</v>
      </c>
      <c r="J349" s="197" t="s">
        <v>3344</v>
      </c>
      <c r="K349" s="197" t="s">
        <v>2902</v>
      </c>
      <c r="L349" s="197"/>
      <c r="M349" s="197"/>
      <c r="N349" s="255"/>
      <c r="O349" s="239" t="s">
        <v>2329</v>
      </c>
      <c r="P349" s="239" t="s">
        <v>3127</v>
      </c>
      <c r="Q349" s="320"/>
    </row>
    <row r="350" spans="1:17" s="252" customFormat="1">
      <c r="A350" s="239">
        <f t="shared" si="6"/>
        <v>349</v>
      </c>
      <c r="B350" s="245" t="s">
        <v>2219</v>
      </c>
      <c r="C350" s="240" t="s">
        <v>275</v>
      </c>
      <c r="D350" s="240">
        <v>1</v>
      </c>
      <c r="E350" s="197" t="s">
        <v>2533</v>
      </c>
      <c r="F350" s="245" t="s">
        <v>3133</v>
      </c>
      <c r="G350" s="239"/>
      <c r="H350" s="239" t="s">
        <v>3333</v>
      </c>
      <c r="I350" s="239" t="s">
        <v>681</v>
      </c>
      <c r="J350" s="197" t="s">
        <v>3344</v>
      </c>
      <c r="K350" s="197" t="s">
        <v>2903</v>
      </c>
      <c r="L350" s="197"/>
      <c r="M350" s="197"/>
      <c r="N350" s="255"/>
      <c r="O350" s="239" t="s">
        <v>2329</v>
      </c>
      <c r="P350" s="239" t="s">
        <v>3127</v>
      </c>
      <c r="Q350" s="320"/>
    </row>
    <row r="351" spans="1:17" s="252" customFormat="1">
      <c r="A351" s="239">
        <f t="shared" si="6"/>
        <v>350</v>
      </c>
      <c r="B351" s="245" t="s">
        <v>2220</v>
      </c>
      <c r="C351" s="240" t="s">
        <v>275</v>
      </c>
      <c r="D351" s="240">
        <v>4</v>
      </c>
      <c r="E351" s="197" t="s">
        <v>2534</v>
      </c>
      <c r="F351" s="245" t="s">
        <v>3133</v>
      </c>
      <c r="G351" s="239"/>
      <c r="H351" s="239" t="s">
        <v>3333</v>
      </c>
      <c r="I351" s="239" t="s">
        <v>681</v>
      </c>
      <c r="J351" s="197" t="s">
        <v>3344</v>
      </c>
      <c r="K351" s="197" t="s">
        <v>2534</v>
      </c>
      <c r="L351" s="197"/>
      <c r="M351" s="197"/>
      <c r="N351" s="255"/>
      <c r="O351" s="239" t="s">
        <v>2329</v>
      </c>
      <c r="P351" s="239" t="s">
        <v>3127</v>
      </c>
      <c r="Q351" s="320"/>
    </row>
    <row r="352" spans="1:17" s="252" customFormat="1">
      <c r="A352" s="239">
        <f t="shared" si="6"/>
        <v>351</v>
      </c>
      <c r="B352" s="245" t="s">
        <v>2221</v>
      </c>
      <c r="C352" s="240" t="s">
        <v>279</v>
      </c>
      <c r="D352" s="240">
        <v>15</v>
      </c>
      <c r="E352" s="197" t="s">
        <v>2535</v>
      </c>
      <c r="F352" s="245" t="s">
        <v>3133</v>
      </c>
      <c r="G352" s="239"/>
      <c r="H352" s="239" t="s">
        <v>3333</v>
      </c>
      <c r="I352" s="239" t="s">
        <v>681</v>
      </c>
      <c r="J352" s="197" t="s">
        <v>3344</v>
      </c>
      <c r="K352" s="197" t="s">
        <v>2928</v>
      </c>
      <c r="L352" s="197"/>
      <c r="M352" s="197"/>
      <c r="N352" s="255"/>
      <c r="O352" s="239" t="s">
        <v>2329</v>
      </c>
      <c r="P352" s="239" t="s">
        <v>3127</v>
      </c>
      <c r="Q352" s="320"/>
    </row>
    <row r="353" spans="1:17" s="252" customFormat="1">
      <c r="A353" s="239">
        <f t="shared" si="6"/>
        <v>352</v>
      </c>
      <c r="B353" s="257" t="s">
        <v>2223</v>
      </c>
      <c r="C353" s="240" t="s">
        <v>275</v>
      </c>
      <c r="D353" s="240">
        <v>1</v>
      </c>
      <c r="E353" s="197" t="s">
        <v>2222</v>
      </c>
      <c r="F353" s="257" t="s">
        <v>3133</v>
      </c>
      <c r="G353" s="239"/>
      <c r="H353" s="239" t="s">
        <v>3333</v>
      </c>
      <c r="I353" s="239" t="s">
        <v>681</v>
      </c>
      <c r="J353" s="197" t="s">
        <v>3344</v>
      </c>
      <c r="K353" s="197" t="s">
        <v>2929</v>
      </c>
      <c r="L353" s="197"/>
      <c r="M353" s="197"/>
      <c r="N353" s="255"/>
      <c r="O353" s="239" t="s">
        <v>2329</v>
      </c>
      <c r="P353" s="239" t="s">
        <v>3127</v>
      </c>
      <c r="Q353" s="320"/>
    </row>
    <row r="354" spans="1:17" s="252" customFormat="1">
      <c r="A354" s="239">
        <f t="shared" si="6"/>
        <v>353</v>
      </c>
      <c r="B354" s="257" t="s">
        <v>2225</v>
      </c>
      <c r="C354" s="240" t="s">
        <v>275</v>
      </c>
      <c r="D354" s="240">
        <v>3</v>
      </c>
      <c r="E354" s="197" t="s">
        <v>2224</v>
      </c>
      <c r="F354" s="257" t="s">
        <v>3133</v>
      </c>
      <c r="G354" s="239"/>
      <c r="H354" s="239" t="s">
        <v>3333</v>
      </c>
      <c r="I354" s="239" t="s">
        <v>681</v>
      </c>
      <c r="J354" s="197" t="s">
        <v>3344</v>
      </c>
      <c r="K354" s="197" t="s">
        <v>2930</v>
      </c>
      <c r="L354" s="197"/>
      <c r="M354" s="197"/>
      <c r="N354" s="255"/>
      <c r="O354" s="239" t="s">
        <v>2329</v>
      </c>
      <c r="P354" s="239" t="s">
        <v>3127</v>
      </c>
      <c r="Q354" s="320"/>
    </row>
    <row r="355" spans="1:17" s="252" customFormat="1">
      <c r="A355" s="239">
        <f t="shared" si="6"/>
        <v>354</v>
      </c>
      <c r="B355" s="257" t="s">
        <v>2227</v>
      </c>
      <c r="C355" s="240" t="s">
        <v>279</v>
      </c>
      <c r="D355" s="240">
        <v>15</v>
      </c>
      <c r="E355" s="197" t="s">
        <v>2226</v>
      </c>
      <c r="F355" s="257" t="s">
        <v>3133</v>
      </c>
      <c r="G355" s="239"/>
      <c r="H355" s="239" t="s">
        <v>3333</v>
      </c>
      <c r="I355" s="239" t="s">
        <v>681</v>
      </c>
      <c r="J355" s="197" t="s">
        <v>3344</v>
      </c>
      <c r="K355" s="197" t="s">
        <v>2931</v>
      </c>
      <c r="L355" s="197"/>
      <c r="M355" s="197"/>
      <c r="N355" s="255"/>
      <c r="O355" s="239" t="s">
        <v>2329</v>
      </c>
      <c r="P355" s="239" t="s">
        <v>3127</v>
      </c>
      <c r="Q355" s="320"/>
    </row>
    <row r="356" spans="1:17" s="252" customFormat="1">
      <c r="A356" s="239">
        <f t="shared" si="6"/>
        <v>355</v>
      </c>
      <c r="B356" s="257" t="s">
        <v>2229</v>
      </c>
      <c r="C356" s="240" t="s">
        <v>275</v>
      </c>
      <c r="D356" s="240">
        <v>1</v>
      </c>
      <c r="E356" s="197" t="s">
        <v>2228</v>
      </c>
      <c r="F356" s="257" t="s">
        <v>3133</v>
      </c>
      <c r="G356" s="239"/>
      <c r="H356" s="239" t="s">
        <v>3333</v>
      </c>
      <c r="I356" s="239" t="s">
        <v>681</v>
      </c>
      <c r="J356" s="197" t="s">
        <v>3344</v>
      </c>
      <c r="K356" s="197" t="s">
        <v>2923</v>
      </c>
      <c r="L356" s="197"/>
      <c r="M356" s="197"/>
      <c r="N356" s="255"/>
      <c r="O356" s="239" t="s">
        <v>2329</v>
      </c>
      <c r="P356" s="239" t="s">
        <v>3127</v>
      </c>
      <c r="Q356" s="320"/>
    </row>
    <row r="357" spans="1:17" s="252" customFormat="1">
      <c r="A357" s="239">
        <f t="shared" si="6"/>
        <v>356</v>
      </c>
      <c r="B357" s="257" t="s">
        <v>2231</v>
      </c>
      <c r="C357" s="240" t="s">
        <v>279</v>
      </c>
      <c r="D357" s="240">
        <v>9</v>
      </c>
      <c r="E357" s="197" t="s">
        <v>2230</v>
      </c>
      <c r="F357" s="257" t="s">
        <v>3133</v>
      </c>
      <c r="G357" s="239"/>
      <c r="H357" s="239" t="s">
        <v>3333</v>
      </c>
      <c r="I357" s="239" t="s">
        <v>681</v>
      </c>
      <c r="J357" s="197" t="s">
        <v>3344</v>
      </c>
      <c r="K357" s="197" t="s">
        <v>2932</v>
      </c>
      <c r="L357" s="197"/>
      <c r="M357" s="197"/>
      <c r="N357" s="255"/>
      <c r="O357" s="239" t="s">
        <v>2329</v>
      </c>
      <c r="P357" s="239" t="s">
        <v>3127</v>
      </c>
      <c r="Q357" s="320"/>
    </row>
    <row r="358" spans="1:17" s="252" customFormat="1">
      <c r="A358" s="239">
        <f t="shared" si="6"/>
        <v>357</v>
      </c>
      <c r="B358" s="257" t="s">
        <v>2233</v>
      </c>
      <c r="C358" s="240" t="s">
        <v>275</v>
      </c>
      <c r="D358" s="240">
        <v>1</v>
      </c>
      <c r="E358" s="197" t="s">
        <v>2232</v>
      </c>
      <c r="F358" s="257" t="s">
        <v>3133</v>
      </c>
      <c r="G358" s="239"/>
      <c r="H358" s="239" t="s">
        <v>3333</v>
      </c>
      <c r="I358" s="239" t="s">
        <v>681</v>
      </c>
      <c r="J358" s="197" t="s">
        <v>3344</v>
      </c>
      <c r="K358" s="197" t="s">
        <v>2933</v>
      </c>
      <c r="L358" s="197"/>
      <c r="M358" s="197"/>
      <c r="N358" s="255"/>
      <c r="O358" s="239" t="s">
        <v>2329</v>
      </c>
      <c r="P358" s="239" t="s">
        <v>3127</v>
      </c>
      <c r="Q358" s="320"/>
    </row>
    <row r="359" spans="1:17" s="252" customFormat="1">
      <c r="A359" s="239">
        <f t="shared" si="6"/>
        <v>358</v>
      </c>
      <c r="B359" s="257" t="s">
        <v>2235</v>
      </c>
      <c r="C359" s="240" t="s">
        <v>275</v>
      </c>
      <c r="D359" s="240">
        <v>1</v>
      </c>
      <c r="E359" s="197" t="s">
        <v>2234</v>
      </c>
      <c r="F359" s="257" t="s">
        <v>3133</v>
      </c>
      <c r="G359" s="239"/>
      <c r="H359" s="239" t="s">
        <v>3333</v>
      </c>
      <c r="I359" s="239" t="s">
        <v>681</v>
      </c>
      <c r="J359" s="197" t="s">
        <v>3344</v>
      </c>
      <c r="K359" s="197" t="s">
        <v>2934</v>
      </c>
      <c r="L359" s="197"/>
      <c r="M359" s="197"/>
      <c r="N359" s="255"/>
      <c r="O359" s="239" t="s">
        <v>2329</v>
      </c>
      <c r="P359" s="239" t="s">
        <v>3127</v>
      </c>
      <c r="Q359" s="320"/>
    </row>
    <row r="360" spans="1:17" s="252" customFormat="1">
      <c r="A360" s="239">
        <f t="shared" si="6"/>
        <v>359</v>
      </c>
      <c r="B360" s="257" t="s">
        <v>2237</v>
      </c>
      <c r="C360" s="240" t="s">
        <v>275</v>
      </c>
      <c r="D360" s="240">
        <v>1</v>
      </c>
      <c r="E360" s="197" t="s">
        <v>2236</v>
      </c>
      <c r="F360" s="257" t="s">
        <v>3133</v>
      </c>
      <c r="G360" s="239"/>
      <c r="H360" s="239" t="s">
        <v>3333</v>
      </c>
      <c r="I360" s="239" t="s">
        <v>681</v>
      </c>
      <c r="J360" s="197" t="s">
        <v>3344</v>
      </c>
      <c r="K360" s="197" t="s">
        <v>2935</v>
      </c>
      <c r="L360" s="197"/>
      <c r="M360" s="197"/>
      <c r="N360" s="255"/>
      <c r="O360" s="239" t="s">
        <v>2329</v>
      </c>
      <c r="P360" s="239" t="s">
        <v>3127</v>
      </c>
      <c r="Q360" s="320"/>
    </row>
    <row r="361" spans="1:17" s="252" customFormat="1">
      <c r="A361" s="239">
        <f t="shared" si="6"/>
        <v>360</v>
      </c>
      <c r="B361" s="257" t="s">
        <v>2238</v>
      </c>
      <c r="C361" s="240" t="s">
        <v>279</v>
      </c>
      <c r="D361" s="240">
        <v>3</v>
      </c>
      <c r="E361" s="197" t="s">
        <v>1297</v>
      </c>
      <c r="F361" s="257" t="s">
        <v>3133</v>
      </c>
      <c r="G361" s="239"/>
      <c r="H361" s="239" t="s">
        <v>3333</v>
      </c>
      <c r="I361" s="239" t="s">
        <v>681</v>
      </c>
      <c r="J361" s="197" t="s">
        <v>3344</v>
      </c>
      <c r="K361" s="197" t="s">
        <v>1298</v>
      </c>
      <c r="L361" s="197"/>
      <c r="M361" s="197"/>
      <c r="N361" s="255"/>
      <c r="O361" s="239" t="s">
        <v>2329</v>
      </c>
      <c r="P361" s="239" t="s">
        <v>3127</v>
      </c>
      <c r="Q361" s="320"/>
    </row>
    <row r="362" spans="1:17" s="252" customFormat="1">
      <c r="A362" s="239">
        <f t="shared" si="6"/>
        <v>361</v>
      </c>
      <c r="B362" s="257" t="s">
        <v>2240</v>
      </c>
      <c r="C362" s="240" t="s">
        <v>275</v>
      </c>
      <c r="D362" s="240">
        <v>6</v>
      </c>
      <c r="E362" s="197" t="s">
        <v>2239</v>
      </c>
      <c r="F362" s="257" t="s">
        <v>3133</v>
      </c>
      <c r="G362" s="239"/>
      <c r="H362" s="239" t="s">
        <v>3333</v>
      </c>
      <c r="I362" s="239" t="s">
        <v>681</v>
      </c>
      <c r="J362" s="197" t="s">
        <v>3344</v>
      </c>
      <c r="K362" s="197" t="s">
        <v>2239</v>
      </c>
      <c r="L362" s="197"/>
      <c r="M362" s="197"/>
      <c r="N362" s="255"/>
      <c r="O362" s="239" t="s">
        <v>2329</v>
      </c>
      <c r="P362" s="239" t="s">
        <v>3127</v>
      </c>
      <c r="Q362" s="320"/>
    </row>
    <row r="363" spans="1:17" s="252" customFormat="1">
      <c r="A363" s="239">
        <f t="shared" si="6"/>
        <v>362</v>
      </c>
      <c r="B363" s="257" t="s">
        <v>2242</v>
      </c>
      <c r="C363" s="240" t="s">
        <v>279</v>
      </c>
      <c r="D363" s="240">
        <v>15</v>
      </c>
      <c r="E363" s="197" t="s">
        <v>2241</v>
      </c>
      <c r="F363" s="257" t="s">
        <v>3133</v>
      </c>
      <c r="G363" s="239"/>
      <c r="H363" s="239" t="s">
        <v>3333</v>
      </c>
      <c r="I363" s="239" t="s">
        <v>681</v>
      </c>
      <c r="J363" s="197" t="s">
        <v>3344</v>
      </c>
      <c r="K363" s="197" t="s">
        <v>2785</v>
      </c>
      <c r="L363" s="197"/>
      <c r="M363" s="197"/>
      <c r="N363" s="255"/>
      <c r="O363" s="239" t="s">
        <v>2329</v>
      </c>
      <c r="P363" s="239" t="s">
        <v>3127</v>
      </c>
      <c r="Q363" s="320"/>
    </row>
    <row r="364" spans="1:17" s="252" customFormat="1">
      <c r="A364" s="239">
        <f t="shared" si="6"/>
        <v>363</v>
      </c>
      <c r="B364" s="257" t="s">
        <v>2244</v>
      </c>
      <c r="C364" s="240" t="s">
        <v>279</v>
      </c>
      <c r="D364" s="240">
        <v>9.5</v>
      </c>
      <c r="E364" s="197" t="s">
        <v>2243</v>
      </c>
      <c r="F364" s="257" t="s">
        <v>3133</v>
      </c>
      <c r="G364" s="239"/>
      <c r="H364" s="239" t="s">
        <v>3333</v>
      </c>
      <c r="I364" s="239" t="s">
        <v>681</v>
      </c>
      <c r="J364" s="197" t="s">
        <v>3344</v>
      </c>
      <c r="K364" s="197" t="s">
        <v>2936</v>
      </c>
      <c r="L364" s="197"/>
      <c r="M364" s="197"/>
      <c r="N364" s="255"/>
      <c r="O364" s="239" t="s">
        <v>2329</v>
      </c>
      <c r="P364" s="239" t="s">
        <v>3127</v>
      </c>
      <c r="Q364" s="320"/>
    </row>
    <row r="365" spans="1:17" s="252" customFormat="1">
      <c r="A365" s="239">
        <f t="shared" si="6"/>
        <v>364</v>
      </c>
      <c r="B365" s="257" t="s">
        <v>2246</v>
      </c>
      <c r="C365" s="240" t="s">
        <v>275</v>
      </c>
      <c r="D365" s="240">
        <v>1</v>
      </c>
      <c r="E365" s="197" t="s">
        <v>2245</v>
      </c>
      <c r="F365" s="257" t="s">
        <v>3133</v>
      </c>
      <c r="G365" s="239"/>
      <c r="H365" s="239" t="s">
        <v>3333</v>
      </c>
      <c r="I365" s="239" t="s">
        <v>681</v>
      </c>
      <c r="J365" s="197" t="s">
        <v>3344</v>
      </c>
      <c r="K365" s="197" t="s">
        <v>3364</v>
      </c>
      <c r="L365" s="197"/>
      <c r="M365" s="197"/>
      <c r="N365" s="255"/>
      <c r="O365" s="239" t="s">
        <v>2329</v>
      </c>
      <c r="P365" s="239" t="s">
        <v>3127</v>
      </c>
      <c r="Q365" s="320"/>
    </row>
    <row r="366" spans="1:17" s="252" customFormat="1">
      <c r="A366" s="239">
        <f t="shared" si="6"/>
        <v>365</v>
      </c>
      <c r="B366" s="257" t="s">
        <v>2248</v>
      </c>
      <c r="C366" s="240" t="s">
        <v>275</v>
      </c>
      <c r="D366" s="240">
        <v>2</v>
      </c>
      <c r="E366" s="197" t="s">
        <v>2247</v>
      </c>
      <c r="F366" s="257" t="s">
        <v>3133</v>
      </c>
      <c r="G366" s="239"/>
      <c r="H366" s="239" t="s">
        <v>3333</v>
      </c>
      <c r="I366" s="239" t="s">
        <v>681</v>
      </c>
      <c r="J366" s="197" t="s">
        <v>3344</v>
      </c>
      <c r="K366" s="197" t="s">
        <v>2850</v>
      </c>
      <c r="L366" s="197"/>
      <c r="M366" s="197"/>
      <c r="N366" s="255"/>
      <c r="O366" s="239" t="s">
        <v>2329</v>
      </c>
      <c r="P366" s="239" t="s">
        <v>3127</v>
      </c>
      <c r="Q366" s="320"/>
    </row>
    <row r="367" spans="1:17" s="252" customFormat="1">
      <c r="A367" s="239">
        <f t="shared" si="6"/>
        <v>366</v>
      </c>
      <c r="B367" s="257" t="s">
        <v>2250</v>
      </c>
      <c r="C367" s="240" t="s">
        <v>279</v>
      </c>
      <c r="D367" s="240">
        <v>15</v>
      </c>
      <c r="E367" s="197" t="s">
        <v>2249</v>
      </c>
      <c r="F367" s="257" t="s">
        <v>3133</v>
      </c>
      <c r="G367" s="239"/>
      <c r="H367" s="239" t="s">
        <v>3333</v>
      </c>
      <c r="I367" s="239" t="s">
        <v>681</v>
      </c>
      <c r="J367" s="197" t="s">
        <v>3344</v>
      </c>
      <c r="K367" s="197" t="s">
        <v>2249</v>
      </c>
      <c r="L367" s="197"/>
      <c r="M367" s="197"/>
      <c r="N367" s="255"/>
      <c r="O367" s="239" t="s">
        <v>2329</v>
      </c>
      <c r="P367" s="239" t="s">
        <v>3127</v>
      </c>
      <c r="Q367" s="320"/>
    </row>
    <row r="368" spans="1:17" s="252" customFormat="1">
      <c r="A368" s="239">
        <f t="shared" si="6"/>
        <v>367</v>
      </c>
      <c r="B368" s="257" t="s">
        <v>2252</v>
      </c>
      <c r="C368" s="240" t="s">
        <v>275</v>
      </c>
      <c r="D368" s="240">
        <v>1</v>
      </c>
      <c r="E368" s="197" t="s">
        <v>2251</v>
      </c>
      <c r="F368" s="257" t="s">
        <v>3133</v>
      </c>
      <c r="G368" s="239"/>
      <c r="H368" s="239" t="s">
        <v>3333</v>
      </c>
      <c r="I368" s="239" t="s">
        <v>681</v>
      </c>
      <c r="J368" s="197" t="s">
        <v>3344</v>
      </c>
      <c r="K368" s="197" t="s">
        <v>2938</v>
      </c>
      <c r="L368" s="197"/>
      <c r="M368" s="197"/>
      <c r="N368" s="255"/>
      <c r="O368" s="239" t="s">
        <v>2329</v>
      </c>
      <c r="P368" s="239" t="s">
        <v>3127</v>
      </c>
      <c r="Q368" s="320"/>
    </row>
    <row r="369" spans="1:17" s="252" customFormat="1">
      <c r="A369" s="239">
        <f t="shared" si="6"/>
        <v>368</v>
      </c>
      <c r="B369" s="257" t="s">
        <v>2254</v>
      </c>
      <c r="C369" s="240" t="s">
        <v>279</v>
      </c>
      <c r="D369" s="240">
        <v>15</v>
      </c>
      <c r="E369" s="197" t="s">
        <v>2253</v>
      </c>
      <c r="F369" s="257" t="s">
        <v>3133</v>
      </c>
      <c r="G369" s="239"/>
      <c r="H369" s="239" t="s">
        <v>3333</v>
      </c>
      <c r="I369" s="239" t="s">
        <v>681</v>
      </c>
      <c r="J369" s="197" t="s">
        <v>3344</v>
      </c>
      <c r="K369" s="197" t="s">
        <v>2939</v>
      </c>
      <c r="L369" s="197"/>
      <c r="M369" s="197"/>
      <c r="N369" s="255"/>
      <c r="O369" s="239" t="s">
        <v>2329</v>
      </c>
      <c r="P369" s="239" t="s">
        <v>3127</v>
      </c>
      <c r="Q369" s="320"/>
    </row>
    <row r="370" spans="1:17" s="252" customFormat="1">
      <c r="A370" s="239">
        <f t="shared" si="6"/>
        <v>369</v>
      </c>
      <c r="B370" s="257" t="s">
        <v>2256</v>
      </c>
      <c r="C370" s="240" t="s">
        <v>275</v>
      </c>
      <c r="D370" s="240">
        <v>1</v>
      </c>
      <c r="E370" s="197" t="s">
        <v>2255</v>
      </c>
      <c r="F370" s="257" t="s">
        <v>3133</v>
      </c>
      <c r="G370" s="239"/>
      <c r="H370" s="239" t="s">
        <v>3333</v>
      </c>
      <c r="I370" s="239" t="s">
        <v>681</v>
      </c>
      <c r="J370" s="197" t="s">
        <v>3344</v>
      </c>
      <c r="K370" s="197" t="s">
        <v>2940</v>
      </c>
      <c r="L370" s="197"/>
      <c r="M370" s="197"/>
      <c r="N370" s="255"/>
      <c r="O370" s="239" t="s">
        <v>2329</v>
      </c>
      <c r="P370" s="239" t="s">
        <v>3127</v>
      </c>
      <c r="Q370" s="320"/>
    </row>
    <row r="371" spans="1:17" s="252" customFormat="1">
      <c r="A371" s="239">
        <f t="shared" si="6"/>
        <v>370</v>
      </c>
      <c r="B371" s="257" t="s">
        <v>2258</v>
      </c>
      <c r="C371" s="240" t="s">
        <v>279</v>
      </c>
      <c r="D371" s="240">
        <v>15</v>
      </c>
      <c r="E371" s="197" t="s">
        <v>2257</v>
      </c>
      <c r="F371" s="257" t="s">
        <v>3133</v>
      </c>
      <c r="G371" s="239"/>
      <c r="H371" s="239" t="s">
        <v>3333</v>
      </c>
      <c r="I371" s="239" t="s">
        <v>681</v>
      </c>
      <c r="J371" s="197" t="s">
        <v>3344</v>
      </c>
      <c r="K371" s="197" t="s">
        <v>3365</v>
      </c>
      <c r="L371" s="197"/>
      <c r="M371" s="197"/>
      <c r="N371" s="255"/>
      <c r="O371" s="239" t="s">
        <v>2329</v>
      </c>
      <c r="P371" s="239" t="s">
        <v>3127</v>
      </c>
      <c r="Q371" s="320"/>
    </row>
    <row r="372" spans="1:17" s="252" customFormat="1">
      <c r="A372" s="239">
        <f t="shared" si="6"/>
        <v>371</v>
      </c>
      <c r="B372" s="257" t="s">
        <v>2260</v>
      </c>
      <c r="C372" s="240" t="s">
        <v>275</v>
      </c>
      <c r="D372" s="240">
        <v>1</v>
      </c>
      <c r="E372" s="197" t="s">
        <v>2259</v>
      </c>
      <c r="F372" s="257" t="s">
        <v>3133</v>
      </c>
      <c r="G372" s="239"/>
      <c r="H372" s="239" t="s">
        <v>3333</v>
      </c>
      <c r="I372" s="239" t="s">
        <v>681</v>
      </c>
      <c r="J372" s="197" t="s">
        <v>3344</v>
      </c>
      <c r="K372" s="197" t="s">
        <v>6</v>
      </c>
      <c r="L372" s="197"/>
      <c r="M372" s="197"/>
      <c r="N372" s="255"/>
      <c r="O372" s="239" t="s">
        <v>2329</v>
      </c>
      <c r="P372" s="239" t="s">
        <v>3127</v>
      </c>
      <c r="Q372" s="320"/>
    </row>
    <row r="373" spans="1:17" s="252" customFormat="1">
      <c r="A373" s="239">
        <f t="shared" si="6"/>
        <v>372</v>
      </c>
      <c r="B373" s="257" t="s">
        <v>2262</v>
      </c>
      <c r="C373" s="240" t="s">
        <v>275</v>
      </c>
      <c r="D373" s="240">
        <v>1</v>
      </c>
      <c r="E373" s="197" t="s">
        <v>2261</v>
      </c>
      <c r="F373" s="257" t="s">
        <v>3133</v>
      </c>
      <c r="G373" s="239"/>
      <c r="H373" s="239" t="s">
        <v>3333</v>
      </c>
      <c r="I373" s="239" t="s">
        <v>681</v>
      </c>
      <c r="J373" s="197" t="s">
        <v>3344</v>
      </c>
      <c r="K373" s="197" t="s">
        <v>7</v>
      </c>
      <c r="L373" s="197"/>
      <c r="M373" s="197"/>
      <c r="N373" s="255"/>
      <c r="O373" s="239" t="s">
        <v>2329</v>
      </c>
      <c r="P373" s="239" t="s">
        <v>3127</v>
      </c>
      <c r="Q373" s="320"/>
    </row>
    <row r="374" spans="1:17" s="252" customFormat="1">
      <c r="A374" s="239">
        <f t="shared" si="6"/>
        <v>373</v>
      </c>
      <c r="B374" s="257" t="s">
        <v>2264</v>
      </c>
      <c r="C374" s="240" t="s">
        <v>279</v>
      </c>
      <c r="D374" s="240">
        <v>15</v>
      </c>
      <c r="E374" s="197" t="s">
        <v>2263</v>
      </c>
      <c r="F374" s="257" t="s">
        <v>3133</v>
      </c>
      <c r="G374" s="239"/>
      <c r="H374" s="239" t="s">
        <v>3333</v>
      </c>
      <c r="I374" s="239" t="s">
        <v>681</v>
      </c>
      <c r="J374" s="197" t="s">
        <v>3344</v>
      </c>
      <c r="K374" s="197" t="s">
        <v>735</v>
      </c>
      <c r="L374" s="197"/>
      <c r="M374" s="197"/>
      <c r="N374" s="255"/>
      <c r="O374" s="239" t="s">
        <v>2329</v>
      </c>
      <c r="P374" s="239" t="s">
        <v>3127</v>
      </c>
      <c r="Q374" s="320"/>
    </row>
    <row r="375" spans="1:17" s="252" customFormat="1">
      <c r="A375" s="239">
        <f t="shared" si="6"/>
        <v>374</v>
      </c>
      <c r="B375" s="257" t="s">
        <v>2266</v>
      </c>
      <c r="C375" s="240" t="s">
        <v>279</v>
      </c>
      <c r="D375" s="240">
        <v>15</v>
      </c>
      <c r="E375" s="197" t="s">
        <v>2265</v>
      </c>
      <c r="F375" s="257" t="s">
        <v>3133</v>
      </c>
      <c r="G375" s="239"/>
      <c r="H375" s="239" t="s">
        <v>3333</v>
      </c>
      <c r="I375" s="239" t="s">
        <v>681</v>
      </c>
      <c r="J375" s="197" t="s">
        <v>3344</v>
      </c>
      <c r="K375" s="197" t="s">
        <v>3366</v>
      </c>
      <c r="L375" s="197"/>
      <c r="M375" s="197"/>
      <c r="N375" s="255"/>
      <c r="O375" s="239" t="s">
        <v>2329</v>
      </c>
      <c r="P375" s="239" t="s">
        <v>3127</v>
      </c>
      <c r="Q375" s="320"/>
    </row>
    <row r="376" spans="1:17" s="252" customFormat="1">
      <c r="A376" s="239">
        <f t="shared" si="6"/>
        <v>375</v>
      </c>
      <c r="B376" s="257" t="s">
        <v>2267</v>
      </c>
      <c r="C376" s="240" t="s">
        <v>275</v>
      </c>
      <c r="D376" s="240">
        <v>3</v>
      </c>
      <c r="E376" s="197" t="s">
        <v>2536</v>
      </c>
      <c r="F376" s="257" t="s">
        <v>3133</v>
      </c>
      <c r="G376" s="239"/>
      <c r="H376" s="239" t="s">
        <v>3333</v>
      </c>
      <c r="I376" s="239" t="s">
        <v>681</v>
      </c>
      <c r="J376" s="197" t="s">
        <v>3344</v>
      </c>
      <c r="K376" s="197" t="s">
        <v>2905</v>
      </c>
      <c r="L376" s="197"/>
      <c r="M376" s="197"/>
      <c r="N376" s="255"/>
      <c r="O376" s="239" t="s">
        <v>2329</v>
      </c>
      <c r="P376" s="239" t="s">
        <v>3127</v>
      </c>
      <c r="Q376" s="324" t="s">
        <v>7434</v>
      </c>
    </row>
    <row r="377" spans="1:17" s="252" customFormat="1">
      <c r="A377" s="239">
        <f t="shared" si="6"/>
        <v>376</v>
      </c>
      <c r="B377" s="257" t="s">
        <v>2268</v>
      </c>
      <c r="C377" s="240" t="s">
        <v>279</v>
      </c>
      <c r="D377" s="240">
        <v>5</v>
      </c>
      <c r="E377" s="197" t="s">
        <v>2537</v>
      </c>
      <c r="F377" s="257" t="s">
        <v>3133</v>
      </c>
      <c r="G377" s="239"/>
      <c r="H377" s="239" t="s">
        <v>3333</v>
      </c>
      <c r="I377" s="239" t="s">
        <v>681</v>
      </c>
      <c r="J377" s="197" t="s">
        <v>3344</v>
      </c>
      <c r="K377" s="197" t="s">
        <v>2944</v>
      </c>
      <c r="L377" s="197"/>
      <c r="M377" s="197"/>
      <c r="N377" s="255"/>
      <c r="O377" s="239" t="s">
        <v>2329</v>
      </c>
      <c r="P377" s="239" t="s">
        <v>3127</v>
      </c>
      <c r="Q377" s="320"/>
    </row>
    <row r="378" spans="1:17" s="252" customFormat="1">
      <c r="A378" s="239">
        <f t="shared" si="6"/>
        <v>377</v>
      </c>
      <c r="B378" s="257" t="s">
        <v>2269</v>
      </c>
      <c r="C378" s="240" t="s">
        <v>279</v>
      </c>
      <c r="D378" s="240">
        <v>15</v>
      </c>
      <c r="E378" s="197" t="s">
        <v>2538</v>
      </c>
      <c r="F378" s="257" t="s">
        <v>3133</v>
      </c>
      <c r="G378" s="239"/>
      <c r="H378" s="239" t="s">
        <v>3333</v>
      </c>
      <c r="I378" s="239" t="s">
        <v>681</v>
      </c>
      <c r="J378" s="197" t="s">
        <v>3344</v>
      </c>
      <c r="K378" s="197" t="s">
        <v>2945</v>
      </c>
      <c r="L378" s="197"/>
      <c r="M378" s="197"/>
      <c r="N378" s="255"/>
      <c r="O378" s="239" t="s">
        <v>2329</v>
      </c>
      <c r="P378" s="239" t="s">
        <v>3127</v>
      </c>
      <c r="Q378" s="320"/>
    </row>
    <row r="379" spans="1:17" s="252" customFormat="1">
      <c r="A379" s="239">
        <f t="shared" si="6"/>
        <v>378</v>
      </c>
      <c r="B379" s="257" t="s">
        <v>2270</v>
      </c>
      <c r="C379" s="240" t="s">
        <v>275</v>
      </c>
      <c r="D379" s="240">
        <v>1</v>
      </c>
      <c r="E379" s="197" t="s">
        <v>2539</v>
      </c>
      <c r="F379" s="257" t="s">
        <v>3133</v>
      </c>
      <c r="G379" s="239"/>
      <c r="H379" s="239" t="s">
        <v>3333</v>
      </c>
      <c r="I379" s="239" t="s">
        <v>681</v>
      </c>
      <c r="J379" s="197" t="s">
        <v>3344</v>
      </c>
      <c r="K379" s="197" t="s">
        <v>2946</v>
      </c>
      <c r="L379" s="197"/>
      <c r="M379" s="197"/>
      <c r="N379" s="255"/>
      <c r="O379" s="239" t="s">
        <v>2329</v>
      </c>
      <c r="P379" s="239" t="s">
        <v>3127</v>
      </c>
      <c r="Q379" s="320"/>
    </row>
    <row r="380" spans="1:17" s="252" customFormat="1">
      <c r="A380" s="239">
        <f t="shared" si="6"/>
        <v>379</v>
      </c>
      <c r="B380" s="257" t="s">
        <v>2271</v>
      </c>
      <c r="C380" s="240" t="s">
        <v>279</v>
      </c>
      <c r="D380" s="240">
        <v>15</v>
      </c>
      <c r="E380" s="197" t="s">
        <v>734</v>
      </c>
      <c r="F380" s="257" t="s">
        <v>3133</v>
      </c>
      <c r="G380" s="239"/>
      <c r="H380" s="239" t="s">
        <v>3333</v>
      </c>
      <c r="I380" s="239" t="s">
        <v>681</v>
      </c>
      <c r="J380" s="197" t="s">
        <v>3344</v>
      </c>
      <c r="K380" s="197" t="s">
        <v>734</v>
      </c>
      <c r="L380" s="197"/>
      <c r="M380" s="197"/>
      <c r="N380" s="255"/>
      <c r="O380" s="239" t="s">
        <v>2329</v>
      </c>
      <c r="P380" s="239" t="s">
        <v>3127</v>
      </c>
      <c r="Q380" s="320"/>
    </row>
    <row r="381" spans="1:17" s="252" customFormat="1">
      <c r="A381" s="239">
        <f t="shared" si="6"/>
        <v>380</v>
      </c>
      <c r="B381" s="245" t="s">
        <v>2272</v>
      </c>
      <c r="C381" s="240" t="s">
        <v>275</v>
      </c>
      <c r="D381" s="240">
        <v>2</v>
      </c>
      <c r="E381" s="197" t="s">
        <v>2540</v>
      </c>
      <c r="F381" s="245" t="s">
        <v>3133</v>
      </c>
      <c r="G381" s="239"/>
      <c r="H381" s="239" t="s">
        <v>3333</v>
      </c>
      <c r="I381" s="239" t="s">
        <v>681</v>
      </c>
      <c r="J381" s="197" t="s">
        <v>3344</v>
      </c>
      <c r="K381" s="197" t="s">
        <v>2947</v>
      </c>
      <c r="L381" s="197"/>
      <c r="M381" s="197"/>
      <c r="N381" s="255"/>
      <c r="O381" s="239" t="s">
        <v>2329</v>
      </c>
      <c r="P381" s="239" t="s">
        <v>3127</v>
      </c>
      <c r="Q381" s="320"/>
    </row>
    <row r="382" spans="1:17" s="252" customFormat="1">
      <c r="A382" s="239">
        <f t="shared" si="6"/>
        <v>381</v>
      </c>
      <c r="B382" s="257" t="s">
        <v>2273</v>
      </c>
      <c r="C382" s="240" t="s">
        <v>275</v>
      </c>
      <c r="D382" s="240">
        <v>2</v>
      </c>
      <c r="E382" s="197" t="s">
        <v>3117</v>
      </c>
      <c r="F382" s="257" t="s">
        <v>3133</v>
      </c>
      <c r="G382" s="239"/>
      <c r="H382" s="239" t="s">
        <v>3333</v>
      </c>
      <c r="I382" s="239" t="s">
        <v>681</v>
      </c>
      <c r="J382" s="197" t="s">
        <v>3344</v>
      </c>
      <c r="K382" s="197" t="s">
        <v>2948</v>
      </c>
      <c r="L382" s="197"/>
      <c r="M382" s="197"/>
      <c r="N382" s="255"/>
      <c r="O382" s="239" t="s">
        <v>2329</v>
      </c>
      <c r="P382" s="239" t="s">
        <v>3127</v>
      </c>
      <c r="Q382" s="320"/>
    </row>
    <row r="383" spans="1:17" s="252" customFormat="1">
      <c r="A383" s="239">
        <f t="shared" si="6"/>
        <v>382</v>
      </c>
      <c r="B383" s="257" t="s">
        <v>2274</v>
      </c>
      <c r="C383" s="240" t="s">
        <v>275</v>
      </c>
      <c r="D383" s="240">
        <v>2</v>
      </c>
      <c r="E383" s="197" t="s">
        <v>3118</v>
      </c>
      <c r="F383" s="257" t="s">
        <v>3133</v>
      </c>
      <c r="G383" s="239"/>
      <c r="H383" s="239" t="s">
        <v>3333</v>
      </c>
      <c r="I383" s="239" t="s">
        <v>681</v>
      </c>
      <c r="J383" s="197" t="s">
        <v>3344</v>
      </c>
      <c r="K383" s="197" t="s">
        <v>2949</v>
      </c>
      <c r="L383" s="197"/>
      <c r="M383" s="197"/>
      <c r="N383" s="255"/>
      <c r="O383" s="239" t="s">
        <v>2329</v>
      </c>
      <c r="P383" s="239" t="s">
        <v>3127</v>
      </c>
      <c r="Q383" s="320"/>
    </row>
    <row r="384" spans="1:17" s="252" customFormat="1">
      <c r="A384" s="239">
        <f t="shared" si="6"/>
        <v>383</v>
      </c>
      <c r="B384" s="245" t="s">
        <v>2275</v>
      </c>
      <c r="C384" s="240" t="s">
        <v>275</v>
      </c>
      <c r="D384" s="240">
        <v>2</v>
      </c>
      <c r="E384" s="197" t="s">
        <v>2543</v>
      </c>
      <c r="F384" s="245" t="s">
        <v>3133</v>
      </c>
      <c r="G384" s="239"/>
      <c r="H384" s="239" t="s">
        <v>3333</v>
      </c>
      <c r="I384" s="239" t="s">
        <v>681</v>
      </c>
      <c r="J384" s="197" t="s">
        <v>3344</v>
      </c>
      <c r="K384" s="197" t="s">
        <v>2950</v>
      </c>
      <c r="L384" s="197"/>
      <c r="M384" s="197"/>
      <c r="N384" s="255"/>
      <c r="O384" s="239" t="s">
        <v>2329</v>
      </c>
      <c r="P384" s="239" t="s">
        <v>3127</v>
      </c>
      <c r="Q384" s="320"/>
    </row>
    <row r="385" spans="1:17" s="252" customFormat="1">
      <c r="A385" s="239">
        <f t="shared" si="6"/>
        <v>384</v>
      </c>
      <c r="B385" s="245" t="s">
        <v>2276</v>
      </c>
      <c r="C385" s="240" t="s">
        <v>275</v>
      </c>
      <c r="D385" s="240">
        <v>2</v>
      </c>
      <c r="E385" s="197" t="s">
        <v>2544</v>
      </c>
      <c r="F385" s="245" t="s">
        <v>3133</v>
      </c>
      <c r="G385" s="239"/>
      <c r="H385" s="239" t="s">
        <v>3333</v>
      </c>
      <c r="I385" s="239" t="s">
        <v>681</v>
      </c>
      <c r="J385" s="197" t="s">
        <v>3344</v>
      </c>
      <c r="K385" s="197" t="s">
        <v>2951</v>
      </c>
      <c r="L385" s="197"/>
      <c r="M385" s="197"/>
      <c r="N385" s="255"/>
      <c r="O385" s="239" t="s">
        <v>2329</v>
      </c>
      <c r="P385" s="239" t="s">
        <v>3127</v>
      </c>
      <c r="Q385" s="320"/>
    </row>
    <row r="386" spans="1:17" s="252" customFormat="1">
      <c r="A386" s="239">
        <f t="shared" si="6"/>
        <v>385</v>
      </c>
      <c r="B386" s="245" t="s">
        <v>2277</v>
      </c>
      <c r="C386" s="240" t="s">
        <v>275</v>
      </c>
      <c r="D386" s="240">
        <v>2</v>
      </c>
      <c r="E386" s="197" t="s">
        <v>2545</v>
      </c>
      <c r="F386" s="245" t="s">
        <v>3133</v>
      </c>
      <c r="G386" s="239"/>
      <c r="H386" s="239" t="s">
        <v>3333</v>
      </c>
      <c r="I386" s="239" t="s">
        <v>681</v>
      </c>
      <c r="J386" s="197" t="s">
        <v>3344</v>
      </c>
      <c r="K386" s="197" t="s">
        <v>2952</v>
      </c>
      <c r="L386" s="197"/>
      <c r="M386" s="197"/>
      <c r="N386" s="255"/>
      <c r="O386" s="239" t="s">
        <v>2329</v>
      </c>
      <c r="P386" s="239" t="s">
        <v>3127</v>
      </c>
      <c r="Q386" s="320"/>
    </row>
    <row r="387" spans="1:17" s="252" customFormat="1">
      <c r="A387" s="239">
        <f t="shared" si="6"/>
        <v>386</v>
      </c>
      <c r="B387" s="245" t="s">
        <v>2278</v>
      </c>
      <c r="C387" s="240" t="s">
        <v>275</v>
      </c>
      <c r="D387" s="240">
        <v>1</v>
      </c>
      <c r="E387" s="197" t="s">
        <v>2546</v>
      </c>
      <c r="F387" s="245" t="s">
        <v>3133</v>
      </c>
      <c r="G387" s="239"/>
      <c r="H387" s="239" t="s">
        <v>3333</v>
      </c>
      <c r="I387" s="239" t="s">
        <v>681</v>
      </c>
      <c r="J387" s="197" t="s">
        <v>3344</v>
      </c>
      <c r="K387" s="197" t="s">
        <v>2953</v>
      </c>
      <c r="L387" s="197"/>
      <c r="M387" s="197"/>
      <c r="N387" s="255"/>
      <c r="O387" s="239" t="s">
        <v>2329</v>
      </c>
      <c r="P387" s="239" t="s">
        <v>3127</v>
      </c>
      <c r="Q387" s="320"/>
    </row>
    <row r="388" spans="1:17" s="252" customFormat="1">
      <c r="A388" s="239">
        <f t="shared" si="6"/>
        <v>387</v>
      </c>
      <c r="B388" s="245" t="s">
        <v>2279</v>
      </c>
      <c r="C388" s="240" t="s">
        <v>279</v>
      </c>
      <c r="D388" s="240">
        <v>15</v>
      </c>
      <c r="E388" s="197" t="s">
        <v>2547</v>
      </c>
      <c r="F388" s="245" t="s">
        <v>3133</v>
      </c>
      <c r="G388" s="239"/>
      <c r="H388" s="239" t="s">
        <v>3333</v>
      </c>
      <c r="I388" s="239" t="s">
        <v>681</v>
      </c>
      <c r="J388" s="197" t="s">
        <v>3344</v>
      </c>
      <c r="K388" s="197" t="s">
        <v>2954</v>
      </c>
      <c r="L388" s="197"/>
      <c r="M388" s="197"/>
      <c r="N388" s="255"/>
      <c r="O388" s="239" t="s">
        <v>2329</v>
      </c>
      <c r="P388" s="239" t="s">
        <v>3127</v>
      </c>
      <c r="Q388" s="320"/>
    </row>
    <row r="389" spans="1:17" s="252" customFormat="1">
      <c r="A389" s="239">
        <f t="shared" si="6"/>
        <v>388</v>
      </c>
      <c r="B389" s="245" t="s">
        <v>2280</v>
      </c>
      <c r="C389" s="240" t="s">
        <v>279</v>
      </c>
      <c r="D389" s="240">
        <v>15</v>
      </c>
      <c r="E389" s="197" t="s">
        <v>2548</v>
      </c>
      <c r="F389" s="245" t="s">
        <v>3133</v>
      </c>
      <c r="G389" s="239"/>
      <c r="H389" s="239" t="s">
        <v>3333</v>
      </c>
      <c r="I389" s="239" t="s">
        <v>681</v>
      </c>
      <c r="J389" s="197" t="s">
        <v>3344</v>
      </c>
      <c r="K389" s="197" t="s">
        <v>2548</v>
      </c>
      <c r="L389" s="197"/>
      <c r="M389" s="197"/>
      <c r="N389" s="255"/>
      <c r="O389" s="239" t="s">
        <v>2329</v>
      </c>
      <c r="P389" s="239" t="s">
        <v>3127</v>
      </c>
      <c r="Q389" s="320"/>
    </row>
    <row r="390" spans="1:17" s="252" customFormat="1">
      <c r="A390" s="239">
        <f t="shared" si="6"/>
        <v>389</v>
      </c>
      <c r="B390" s="239" t="s">
        <v>2281</v>
      </c>
      <c r="C390" s="240" t="s">
        <v>279</v>
      </c>
      <c r="D390" s="240">
        <v>9.5</v>
      </c>
      <c r="E390" s="197" t="s">
        <v>281</v>
      </c>
      <c r="F390" s="239" t="s">
        <v>3133</v>
      </c>
      <c r="G390" s="239"/>
      <c r="H390" s="239" t="s">
        <v>3333</v>
      </c>
      <c r="I390" s="239" t="s">
        <v>681</v>
      </c>
      <c r="J390" s="197" t="s">
        <v>3344</v>
      </c>
      <c r="K390" s="197" t="s">
        <v>217</v>
      </c>
      <c r="L390" s="197"/>
      <c r="M390" s="197"/>
      <c r="N390" s="255"/>
      <c r="O390" s="239"/>
      <c r="P390" s="239"/>
      <c r="Q390" s="320"/>
    </row>
    <row r="391" spans="1:17" s="252" customFormat="1">
      <c r="A391" s="239">
        <f t="shared" ref="A391:A454" si="7">ROW()-1</f>
        <v>390</v>
      </c>
      <c r="B391" s="239" t="s">
        <v>2282</v>
      </c>
      <c r="C391" s="240" t="s">
        <v>275</v>
      </c>
      <c r="D391" s="240">
        <v>1</v>
      </c>
      <c r="E391" s="197" t="s">
        <v>310</v>
      </c>
      <c r="F391" s="239" t="s">
        <v>3133</v>
      </c>
      <c r="G391" s="239"/>
      <c r="H391" s="239" t="s">
        <v>3333</v>
      </c>
      <c r="I391" s="239" t="s">
        <v>681</v>
      </c>
      <c r="J391" s="197" t="s">
        <v>3344</v>
      </c>
      <c r="K391" s="197" t="s">
        <v>218</v>
      </c>
      <c r="L391" s="197"/>
      <c r="M391" s="197"/>
      <c r="N391" s="255"/>
      <c r="O391" s="239"/>
      <c r="P391" s="239"/>
      <c r="Q391" s="320"/>
    </row>
    <row r="392" spans="1:17" s="252" customFormat="1">
      <c r="A392" s="239">
        <f t="shared" si="7"/>
        <v>391</v>
      </c>
      <c r="B392" s="239" t="s">
        <v>2283</v>
      </c>
      <c r="C392" s="240" t="s">
        <v>275</v>
      </c>
      <c r="D392" s="240">
        <v>1</v>
      </c>
      <c r="E392" s="197" t="s">
        <v>23</v>
      </c>
      <c r="F392" s="239" t="s">
        <v>3133</v>
      </c>
      <c r="G392" s="239"/>
      <c r="H392" s="239" t="s">
        <v>3333</v>
      </c>
      <c r="I392" s="239" t="s">
        <v>681</v>
      </c>
      <c r="J392" s="197" t="s">
        <v>3344</v>
      </c>
      <c r="K392" s="197" t="s">
        <v>3367</v>
      </c>
      <c r="L392" s="197"/>
      <c r="M392" s="197"/>
      <c r="N392" s="255"/>
      <c r="O392" s="239"/>
      <c r="P392" s="239"/>
      <c r="Q392" s="320"/>
    </row>
    <row r="393" spans="1:17" s="252" customFormat="1">
      <c r="A393" s="239">
        <f t="shared" si="7"/>
        <v>392</v>
      </c>
      <c r="B393" s="239" t="s">
        <v>2284</v>
      </c>
      <c r="C393" s="240" t="s">
        <v>279</v>
      </c>
      <c r="D393" s="240">
        <v>15</v>
      </c>
      <c r="E393" s="197" t="s">
        <v>311</v>
      </c>
      <c r="F393" s="239" t="s">
        <v>3133</v>
      </c>
      <c r="G393" s="239"/>
      <c r="H393" s="239" t="s">
        <v>3333</v>
      </c>
      <c r="I393" s="239" t="s">
        <v>681</v>
      </c>
      <c r="J393" s="197" t="s">
        <v>3344</v>
      </c>
      <c r="K393" s="197" t="s">
        <v>3368</v>
      </c>
      <c r="L393" s="197"/>
      <c r="M393" s="197"/>
      <c r="N393" s="255"/>
      <c r="O393" s="239"/>
      <c r="P393" s="239"/>
      <c r="Q393" s="320"/>
    </row>
    <row r="394" spans="1:17" s="252" customFormat="1">
      <c r="A394" s="239">
        <f t="shared" si="7"/>
        <v>393</v>
      </c>
      <c r="B394" s="239" t="s">
        <v>2285</v>
      </c>
      <c r="C394" s="240" t="s">
        <v>279</v>
      </c>
      <c r="D394" s="240">
        <v>15</v>
      </c>
      <c r="E394" s="197" t="s">
        <v>312</v>
      </c>
      <c r="F394" s="239" t="s">
        <v>3133</v>
      </c>
      <c r="G394" s="239"/>
      <c r="H394" s="239" t="s">
        <v>3333</v>
      </c>
      <c r="I394" s="239" t="s">
        <v>681</v>
      </c>
      <c r="J394" s="197" t="s">
        <v>3344</v>
      </c>
      <c r="K394" s="197" t="s">
        <v>3369</v>
      </c>
      <c r="L394" s="197"/>
      <c r="M394" s="197"/>
      <c r="N394" s="255"/>
      <c r="O394" s="239"/>
      <c r="P394" s="239"/>
      <c r="Q394" s="320"/>
    </row>
    <row r="395" spans="1:17" s="252" customFormat="1">
      <c r="A395" s="239">
        <f t="shared" si="7"/>
        <v>394</v>
      </c>
      <c r="B395" s="239" t="s">
        <v>2286</v>
      </c>
      <c r="C395" s="240" t="s">
        <v>275</v>
      </c>
      <c r="D395" s="240">
        <v>2</v>
      </c>
      <c r="E395" s="197" t="s">
        <v>313</v>
      </c>
      <c r="F395" s="239" t="s">
        <v>3133</v>
      </c>
      <c r="G395" s="239"/>
      <c r="H395" s="239" t="s">
        <v>3333</v>
      </c>
      <c r="I395" s="239" t="s">
        <v>681</v>
      </c>
      <c r="J395" s="197" t="s">
        <v>3344</v>
      </c>
      <c r="K395" s="197" t="s">
        <v>3370</v>
      </c>
      <c r="L395" s="197"/>
      <c r="M395" s="197"/>
      <c r="N395" s="255"/>
      <c r="O395" s="239"/>
      <c r="P395" s="239"/>
      <c r="Q395" s="320"/>
    </row>
    <row r="396" spans="1:17" s="252" customFormat="1">
      <c r="A396" s="239">
        <f t="shared" si="7"/>
        <v>395</v>
      </c>
      <c r="B396" s="239" t="s">
        <v>2287</v>
      </c>
      <c r="C396" s="240" t="s">
        <v>279</v>
      </c>
      <c r="D396" s="240">
        <v>5</v>
      </c>
      <c r="E396" s="197" t="s">
        <v>293</v>
      </c>
      <c r="F396" s="239" t="s">
        <v>3133</v>
      </c>
      <c r="G396" s="239"/>
      <c r="H396" s="239" t="s">
        <v>3333</v>
      </c>
      <c r="I396" s="239" t="s">
        <v>681</v>
      </c>
      <c r="J396" s="197" t="s">
        <v>3344</v>
      </c>
      <c r="K396" s="197" t="s">
        <v>3371</v>
      </c>
      <c r="L396" s="197"/>
      <c r="M396" s="197"/>
      <c r="N396" s="255"/>
      <c r="O396" s="239"/>
      <c r="P396" s="239"/>
      <c r="Q396" s="320"/>
    </row>
    <row r="397" spans="1:17" s="252" customFormat="1">
      <c r="A397" s="239">
        <f t="shared" si="7"/>
        <v>396</v>
      </c>
      <c r="B397" s="239" t="s">
        <v>2288</v>
      </c>
      <c r="C397" s="240" t="s">
        <v>275</v>
      </c>
      <c r="D397" s="240">
        <v>2</v>
      </c>
      <c r="E397" s="197" t="s">
        <v>314</v>
      </c>
      <c r="F397" s="239" t="s">
        <v>3133</v>
      </c>
      <c r="G397" s="239"/>
      <c r="H397" s="239" t="s">
        <v>3333</v>
      </c>
      <c r="I397" s="239" t="s">
        <v>681</v>
      </c>
      <c r="J397" s="197" t="s">
        <v>3344</v>
      </c>
      <c r="K397" s="197" t="s">
        <v>3372</v>
      </c>
      <c r="L397" s="197"/>
      <c r="M397" s="197"/>
      <c r="N397" s="255"/>
      <c r="O397" s="239"/>
      <c r="P397" s="239"/>
      <c r="Q397" s="320"/>
    </row>
    <row r="398" spans="1:17" s="252" customFormat="1">
      <c r="A398" s="239">
        <f t="shared" si="7"/>
        <v>397</v>
      </c>
      <c r="B398" s="239" t="s">
        <v>2289</v>
      </c>
      <c r="C398" s="240" t="s">
        <v>275</v>
      </c>
      <c r="D398" s="240">
        <v>1</v>
      </c>
      <c r="E398" s="197" t="s">
        <v>24</v>
      </c>
      <c r="F398" s="239" t="s">
        <v>3133</v>
      </c>
      <c r="G398" s="239"/>
      <c r="H398" s="239" t="s">
        <v>3333</v>
      </c>
      <c r="I398" s="239" t="s">
        <v>681</v>
      </c>
      <c r="J398" s="197" t="s">
        <v>3344</v>
      </c>
      <c r="K398" s="197" t="s">
        <v>3373</v>
      </c>
      <c r="L398" s="197"/>
      <c r="M398" s="197"/>
      <c r="N398" s="255"/>
      <c r="O398" s="239"/>
      <c r="P398" s="239"/>
      <c r="Q398" s="320"/>
    </row>
    <row r="399" spans="1:17" s="252" customFormat="1">
      <c r="A399" s="239">
        <f t="shared" si="7"/>
        <v>398</v>
      </c>
      <c r="B399" s="239" t="s">
        <v>2290</v>
      </c>
      <c r="C399" s="240" t="s">
        <v>275</v>
      </c>
      <c r="D399" s="240">
        <v>1</v>
      </c>
      <c r="E399" s="197" t="s">
        <v>25</v>
      </c>
      <c r="F399" s="239" t="s">
        <v>3133</v>
      </c>
      <c r="G399" s="239"/>
      <c r="H399" s="239" t="s">
        <v>3333</v>
      </c>
      <c r="I399" s="239" t="s">
        <v>681</v>
      </c>
      <c r="J399" s="197" t="s">
        <v>3344</v>
      </c>
      <c r="K399" s="197" t="s">
        <v>3374</v>
      </c>
      <c r="L399" s="197"/>
      <c r="M399" s="197"/>
      <c r="N399" s="255"/>
      <c r="O399" s="239"/>
      <c r="P399" s="239"/>
      <c r="Q399" s="320"/>
    </row>
    <row r="400" spans="1:17" s="252" customFormat="1">
      <c r="A400" s="239">
        <f t="shared" si="7"/>
        <v>399</v>
      </c>
      <c r="B400" s="239" t="s">
        <v>2291</v>
      </c>
      <c r="C400" s="240" t="s">
        <v>279</v>
      </c>
      <c r="D400" s="240">
        <v>15</v>
      </c>
      <c r="E400" s="197" t="s">
        <v>315</v>
      </c>
      <c r="F400" s="239" t="s">
        <v>3133</v>
      </c>
      <c r="G400" s="239"/>
      <c r="H400" s="239" t="s">
        <v>3333</v>
      </c>
      <c r="I400" s="239" t="s">
        <v>681</v>
      </c>
      <c r="J400" s="197" t="s">
        <v>3344</v>
      </c>
      <c r="K400" s="197" t="s">
        <v>3375</v>
      </c>
      <c r="L400" s="197"/>
      <c r="M400" s="197"/>
      <c r="N400" s="255"/>
      <c r="O400" s="239"/>
      <c r="P400" s="239"/>
      <c r="Q400" s="320"/>
    </row>
    <row r="401" spans="1:17" s="252" customFormat="1">
      <c r="A401" s="239">
        <f t="shared" si="7"/>
        <v>400</v>
      </c>
      <c r="B401" s="239" t="s">
        <v>2292</v>
      </c>
      <c r="C401" s="240" t="s">
        <v>279</v>
      </c>
      <c r="D401" s="240">
        <v>15</v>
      </c>
      <c r="E401" s="197" t="s">
        <v>316</v>
      </c>
      <c r="F401" s="239" t="s">
        <v>3133</v>
      </c>
      <c r="G401" s="239"/>
      <c r="H401" s="239" t="s">
        <v>3333</v>
      </c>
      <c r="I401" s="239" t="s">
        <v>681</v>
      </c>
      <c r="J401" s="197" t="s">
        <v>3344</v>
      </c>
      <c r="K401" s="197" t="s">
        <v>3376</v>
      </c>
      <c r="L401" s="197"/>
      <c r="M401" s="197"/>
      <c r="N401" s="255"/>
      <c r="O401" s="239"/>
      <c r="P401" s="239"/>
      <c r="Q401" s="320"/>
    </row>
    <row r="402" spans="1:17" s="252" customFormat="1">
      <c r="A402" s="239">
        <f t="shared" si="7"/>
        <v>401</v>
      </c>
      <c r="B402" s="239" t="s">
        <v>2293</v>
      </c>
      <c r="C402" s="240" t="s">
        <v>275</v>
      </c>
      <c r="D402" s="240">
        <v>2</v>
      </c>
      <c r="E402" s="197" t="s">
        <v>317</v>
      </c>
      <c r="F402" s="239" t="s">
        <v>3133</v>
      </c>
      <c r="G402" s="239"/>
      <c r="H402" s="239" t="s">
        <v>3333</v>
      </c>
      <c r="I402" s="239" t="s">
        <v>681</v>
      </c>
      <c r="J402" s="197" t="s">
        <v>3344</v>
      </c>
      <c r="K402" s="197" t="s">
        <v>3377</v>
      </c>
      <c r="L402" s="197"/>
      <c r="M402" s="197"/>
      <c r="N402" s="255"/>
      <c r="O402" s="239"/>
      <c r="P402" s="239"/>
      <c r="Q402" s="320"/>
    </row>
    <row r="403" spans="1:17" s="252" customFormat="1">
      <c r="A403" s="239">
        <f t="shared" si="7"/>
        <v>402</v>
      </c>
      <c r="B403" s="239" t="s">
        <v>2294</v>
      </c>
      <c r="C403" s="240" t="s">
        <v>279</v>
      </c>
      <c r="D403" s="240">
        <v>5</v>
      </c>
      <c r="E403" s="197" t="s">
        <v>293</v>
      </c>
      <c r="F403" s="239" t="s">
        <v>3133</v>
      </c>
      <c r="G403" s="239"/>
      <c r="H403" s="239" t="s">
        <v>3333</v>
      </c>
      <c r="I403" s="239" t="s">
        <v>681</v>
      </c>
      <c r="J403" s="197" t="s">
        <v>3344</v>
      </c>
      <c r="K403" s="197" t="s">
        <v>3378</v>
      </c>
      <c r="L403" s="197"/>
      <c r="M403" s="197"/>
      <c r="N403" s="255"/>
      <c r="O403" s="239"/>
      <c r="P403" s="239"/>
      <c r="Q403" s="320"/>
    </row>
    <row r="404" spans="1:17" s="252" customFormat="1">
      <c r="A404" s="239">
        <f t="shared" si="7"/>
        <v>403</v>
      </c>
      <c r="B404" s="239" t="s">
        <v>2295</v>
      </c>
      <c r="C404" s="240" t="s">
        <v>279</v>
      </c>
      <c r="D404" s="240">
        <v>9.5</v>
      </c>
      <c r="E404" s="197" t="s">
        <v>281</v>
      </c>
      <c r="F404" s="239" t="s">
        <v>3133</v>
      </c>
      <c r="G404" s="239"/>
      <c r="H404" s="239" t="s">
        <v>3333</v>
      </c>
      <c r="I404" s="239" t="s">
        <v>681</v>
      </c>
      <c r="J404" s="197" t="s">
        <v>3344</v>
      </c>
      <c r="K404" s="197" t="s">
        <v>228</v>
      </c>
      <c r="L404" s="197"/>
      <c r="M404" s="197"/>
      <c r="N404" s="255"/>
      <c r="O404" s="239"/>
      <c r="P404" s="239"/>
      <c r="Q404" s="320"/>
    </row>
    <row r="405" spans="1:17" s="252" customFormat="1">
      <c r="A405" s="239">
        <f t="shared" si="7"/>
        <v>404</v>
      </c>
      <c r="B405" s="257" t="s">
        <v>2296</v>
      </c>
      <c r="C405" s="240" t="s">
        <v>275</v>
      </c>
      <c r="D405" s="238">
        <v>1</v>
      </c>
      <c r="E405" s="258" t="s">
        <v>2549</v>
      </c>
      <c r="F405" s="257" t="s">
        <v>3133</v>
      </c>
      <c r="G405" s="239"/>
      <c r="H405" s="239" t="s">
        <v>3333</v>
      </c>
      <c r="I405" s="239" t="s">
        <v>681</v>
      </c>
      <c r="J405" s="197" t="s">
        <v>3344</v>
      </c>
      <c r="K405" s="197" t="s">
        <v>2921</v>
      </c>
      <c r="L405" s="197"/>
      <c r="M405" s="197"/>
      <c r="N405" s="255"/>
      <c r="O405" s="239" t="s">
        <v>2329</v>
      </c>
      <c r="P405" s="239" t="s">
        <v>3127</v>
      </c>
      <c r="Q405" s="320"/>
    </row>
    <row r="406" spans="1:17" s="252" customFormat="1">
      <c r="A406" s="239">
        <f t="shared" si="7"/>
        <v>405</v>
      </c>
      <c r="B406" s="257" t="s">
        <v>2297</v>
      </c>
      <c r="C406" s="240" t="s">
        <v>275</v>
      </c>
      <c r="D406" s="238">
        <v>8</v>
      </c>
      <c r="E406" s="258" t="s">
        <v>2550</v>
      </c>
      <c r="F406" s="257" t="s">
        <v>3133</v>
      </c>
      <c r="G406" s="239"/>
      <c r="H406" s="239" t="s">
        <v>3333</v>
      </c>
      <c r="I406" s="239" t="s">
        <v>681</v>
      </c>
      <c r="J406" s="197" t="s">
        <v>3344</v>
      </c>
      <c r="K406" s="197" t="s">
        <v>2922</v>
      </c>
      <c r="L406" s="197"/>
      <c r="M406" s="197"/>
      <c r="N406" s="255"/>
      <c r="O406" s="239" t="s">
        <v>2329</v>
      </c>
      <c r="P406" s="239" t="s">
        <v>3127</v>
      </c>
      <c r="Q406" s="320"/>
    </row>
    <row r="407" spans="1:17" s="252" customFormat="1">
      <c r="A407" s="239">
        <f t="shared" si="7"/>
        <v>406</v>
      </c>
      <c r="B407" s="257" t="s">
        <v>2298</v>
      </c>
      <c r="C407" s="240" t="s">
        <v>275</v>
      </c>
      <c r="D407" s="238">
        <v>8</v>
      </c>
      <c r="E407" s="258" t="s">
        <v>2551</v>
      </c>
      <c r="F407" s="257" t="s">
        <v>3133</v>
      </c>
      <c r="G407" s="239"/>
      <c r="H407" s="239" t="s">
        <v>3333</v>
      </c>
      <c r="I407" s="239" t="s">
        <v>681</v>
      </c>
      <c r="J407" s="197" t="s">
        <v>3344</v>
      </c>
      <c r="K407" s="197" t="s">
        <v>2551</v>
      </c>
      <c r="L407" s="197"/>
      <c r="M407" s="197"/>
      <c r="N407" s="255"/>
      <c r="O407" s="239" t="s">
        <v>2329</v>
      </c>
      <c r="P407" s="239" t="s">
        <v>3127</v>
      </c>
      <c r="Q407" s="320"/>
    </row>
    <row r="408" spans="1:17" s="252" customFormat="1">
      <c r="A408" s="239">
        <f t="shared" si="7"/>
        <v>407</v>
      </c>
      <c r="B408" s="257" t="s">
        <v>2299</v>
      </c>
      <c r="C408" s="240" t="s">
        <v>275</v>
      </c>
      <c r="D408" s="238">
        <v>1</v>
      </c>
      <c r="E408" s="258" t="s">
        <v>2228</v>
      </c>
      <c r="F408" s="257" t="s">
        <v>3133</v>
      </c>
      <c r="G408" s="239"/>
      <c r="H408" s="239" t="s">
        <v>3333</v>
      </c>
      <c r="I408" s="239" t="s">
        <v>681</v>
      </c>
      <c r="J408" s="197" t="s">
        <v>3344</v>
      </c>
      <c r="K408" s="197" t="s">
        <v>2923</v>
      </c>
      <c r="L408" s="197"/>
      <c r="M408" s="197"/>
      <c r="N408" s="255"/>
      <c r="O408" s="239" t="s">
        <v>2329</v>
      </c>
      <c r="P408" s="239" t="s">
        <v>3127</v>
      </c>
      <c r="Q408" s="320"/>
    </row>
    <row r="409" spans="1:17" s="252" customFormat="1">
      <c r="A409" s="239">
        <f t="shared" si="7"/>
        <v>408</v>
      </c>
      <c r="B409" s="257" t="s">
        <v>2300</v>
      </c>
      <c r="C409" s="240" t="s">
        <v>279</v>
      </c>
      <c r="D409" s="241">
        <v>15</v>
      </c>
      <c r="E409" s="258" t="s">
        <v>2552</v>
      </c>
      <c r="F409" s="257" t="s">
        <v>3133</v>
      </c>
      <c r="G409" s="239"/>
      <c r="H409" s="239" t="s">
        <v>3333</v>
      </c>
      <c r="I409" s="239" t="s">
        <v>681</v>
      </c>
      <c r="J409" s="197" t="s">
        <v>3344</v>
      </c>
      <c r="K409" s="197" t="s">
        <v>2924</v>
      </c>
      <c r="L409" s="197"/>
      <c r="M409" s="197"/>
      <c r="N409" s="255"/>
      <c r="O409" s="239" t="s">
        <v>2329</v>
      </c>
      <c r="P409" s="239" t="s">
        <v>3127</v>
      </c>
      <c r="Q409" s="320"/>
    </row>
    <row r="410" spans="1:17" s="252" customFormat="1">
      <c r="A410" s="239">
        <f t="shared" si="7"/>
        <v>409</v>
      </c>
      <c r="B410" s="257" t="s">
        <v>2301</v>
      </c>
      <c r="C410" s="240" t="s">
        <v>275</v>
      </c>
      <c r="D410" s="238">
        <v>2</v>
      </c>
      <c r="E410" s="258" t="s">
        <v>2553</v>
      </c>
      <c r="F410" s="257" t="s">
        <v>3133</v>
      </c>
      <c r="G410" s="239"/>
      <c r="H410" s="239" t="s">
        <v>3333</v>
      </c>
      <c r="I410" s="239" t="s">
        <v>681</v>
      </c>
      <c r="J410" s="197" t="s">
        <v>3344</v>
      </c>
      <c r="K410" s="197" t="s">
        <v>2925</v>
      </c>
      <c r="L410" s="197"/>
      <c r="M410" s="197"/>
      <c r="N410" s="255"/>
      <c r="O410" s="239" t="s">
        <v>2329</v>
      </c>
      <c r="P410" s="239" t="s">
        <v>3127</v>
      </c>
      <c r="Q410" s="320"/>
    </row>
    <row r="411" spans="1:17" s="252" customFormat="1">
      <c r="A411" s="239">
        <f t="shared" si="7"/>
        <v>410</v>
      </c>
      <c r="B411" s="239" t="s">
        <v>2302</v>
      </c>
      <c r="C411" s="240" t="s">
        <v>279</v>
      </c>
      <c r="D411" s="240">
        <v>15</v>
      </c>
      <c r="E411" s="197" t="s">
        <v>319</v>
      </c>
      <c r="F411" s="239" t="s">
        <v>3133</v>
      </c>
      <c r="G411" s="239"/>
      <c r="H411" s="239" t="s">
        <v>3333</v>
      </c>
      <c r="I411" s="239" t="s">
        <v>681</v>
      </c>
      <c r="J411" s="197" t="s">
        <v>3344</v>
      </c>
      <c r="K411" s="197" t="s">
        <v>3379</v>
      </c>
      <c r="L411" s="197"/>
      <c r="M411" s="197"/>
      <c r="N411" s="255"/>
      <c r="O411" s="239"/>
      <c r="P411" s="239"/>
      <c r="Q411" s="320"/>
    </row>
    <row r="412" spans="1:17" s="252" customFormat="1">
      <c r="A412" s="239">
        <f t="shared" si="7"/>
        <v>411</v>
      </c>
      <c r="B412" s="239" t="s">
        <v>2303</v>
      </c>
      <c r="C412" s="240" t="s">
        <v>279</v>
      </c>
      <c r="D412" s="240">
        <v>5</v>
      </c>
      <c r="E412" s="197" t="s">
        <v>292</v>
      </c>
      <c r="F412" s="239" t="s">
        <v>3133</v>
      </c>
      <c r="G412" s="239"/>
      <c r="H412" s="239" t="s">
        <v>3333</v>
      </c>
      <c r="I412" s="239" t="s">
        <v>681</v>
      </c>
      <c r="J412" s="197" t="s">
        <v>3344</v>
      </c>
      <c r="K412" s="197" t="s">
        <v>3380</v>
      </c>
      <c r="L412" s="197"/>
      <c r="M412" s="197"/>
      <c r="N412" s="255"/>
      <c r="O412" s="239"/>
      <c r="P412" s="239"/>
      <c r="Q412" s="320"/>
    </row>
    <row r="413" spans="1:17" s="252" customFormat="1">
      <c r="A413" s="239">
        <f t="shared" si="7"/>
        <v>412</v>
      </c>
      <c r="B413" s="239" t="s">
        <v>2304</v>
      </c>
      <c r="C413" s="240" t="s">
        <v>279</v>
      </c>
      <c r="D413" s="240">
        <v>5</v>
      </c>
      <c r="E413" s="197" t="s">
        <v>293</v>
      </c>
      <c r="F413" s="239" t="s">
        <v>3133</v>
      </c>
      <c r="G413" s="239"/>
      <c r="H413" s="239" t="s">
        <v>3333</v>
      </c>
      <c r="I413" s="239" t="s">
        <v>681</v>
      </c>
      <c r="J413" s="197" t="s">
        <v>3344</v>
      </c>
      <c r="K413" s="197" t="s">
        <v>3381</v>
      </c>
      <c r="L413" s="197"/>
      <c r="M413" s="197"/>
      <c r="N413" s="255"/>
      <c r="O413" s="239"/>
      <c r="P413" s="239"/>
      <c r="Q413" s="320"/>
    </row>
    <row r="414" spans="1:17" s="252" customFormat="1">
      <c r="A414" s="239">
        <f t="shared" si="7"/>
        <v>413</v>
      </c>
      <c r="B414" s="239" t="s">
        <v>2305</v>
      </c>
      <c r="C414" s="240" t="s">
        <v>275</v>
      </c>
      <c r="D414" s="240">
        <v>2</v>
      </c>
      <c r="E414" s="197" t="s">
        <v>320</v>
      </c>
      <c r="F414" s="239" t="s">
        <v>3133</v>
      </c>
      <c r="G414" s="239"/>
      <c r="H414" s="239" t="s">
        <v>3333</v>
      </c>
      <c r="I414" s="239" t="s">
        <v>681</v>
      </c>
      <c r="J414" s="197" t="s">
        <v>3344</v>
      </c>
      <c r="K414" s="197" t="s">
        <v>3382</v>
      </c>
      <c r="L414" s="197"/>
      <c r="M414" s="197"/>
      <c r="N414" s="255"/>
      <c r="O414" s="239"/>
      <c r="P414" s="239"/>
      <c r="Q414" s="320"/>
    </row>
    <row r="415" spans="1:17" s="252" customFormat="1">
      <c r="A415" s="239">
        <f t="shared" si="7"/>
        <v>414</v>
      </c>
      <c r="B415" s="239" t="s">
        <v>2306</v>
      </c>
      <c r="C415" s="240" t="s">
        <v>279</v>
      </c>
      <c r="D415" s="240">
        <v>9.5</v>
      </c>
      <c r="E415" s="197" t="s">
        <v>281</v>
      </c>
      <c r="F415" s="239" t="s">
        <v>3133</v>
      </c>
      <c r="G415" s="239"/>
      <c r="H415" s="239" t="s">
        <v>3333</v>
      </c>
      <c r="I415" s="239" t="s">
        <v>681</v>
      </c>
      <c r="J415" s="197" t="s">
        <v>3344</v>
      </c>
      <c r="K415" s="197" t="s">
        <v>3383</v>
      </c>
      <c r="L415" s="197"/>
      <c r="M415" s="197"/>
      <c r="N415" s="255"/>
      <c r="O415" s="239"/>
      <c r="P415" s="239"/>
      <c r="Q415" s="320"/>
    </row>
    <row r="416" spans="1:17" s="252" customFormat="1">
      <c r="A416" s="239">
        <f t="shared" si="7"/>
        <v>415</v>
      </c>
      <c r="B416" s="239" t="s">
        <v>2307</v>
      </c>
      <c r="C416" s="240" t="s">
        <v>279</v>
      </c>
      <c r="D416" s="240">
        <v>15</v>
      </c>
      <c r="E416" s="197" t="s">
        <v>322</v>
      </c>
      <c r="F416" s="239" t="s">
        <v>3133</v>
      </c>
      <c r="G416" s="239"/>
      <c r="H416" s="239" t="s">
        <v>3333</v>
      </c>
      <c r="I416" s="239" t="s">
        <v>681</v>
      </c>
      <c r="J416" s="197" t="s">
        <v>3344</v>
      </c>
      <c r="K416" s="197" t="s">
        <v>3384</v>
      </c>
      <c r="L416" s="197"/>
      <c r="M416" s="197"/>
      <c r="N416" s="255"/>
      <c r="O416" s="239"/>
      <c r="P416" s="239"/>
      <c r="Q416" s="320"/>
    </row>
    <row r="417" spans="1:17" s="252" customFormat="1">
      <c r="A417" s="239">
        <f t="shared" si="7"/>
        <v>416</v>
      </c>
      <c r="B417" s="239" t="s">
        <v>2308</v>
      </c>
      <c r="C417" s="240" t="s">
        <v>275</v>
      </c>
      <c r="D417" s="240">
        <v>2</v>
      </c>
      <c r="E417" s="197" t="s">
        <v>323</v>
      </c>
      <c r="F417" s="239" t="s">
        <v>3133</v>
      </c>
      <c r="G417" s="239"/>
      <c r="H417" s="239" t="s">
        <v>3333</v>
      </c>
      <c r="I417" s="239" t="s">
        <v>681</v>
      </c>
      <c r="J417" s="197" t="s">
        <v>3344</v>
      </c>
      <c r="K417" s="197" t="s">
        <v>3385</v>
      </c>
      <c r="L417" s="197"/>
      <c r="M417" s="197"/>
      <c r="N417" s="255"/>
      <c r="O417" s="239"/>
      <c r="P417" s="239"/>
      <c r="Q417" s="320"/>
    </row>
    <row r="418" spans="1:17" s="252" customFormat="1">
      <c r="A418" s="239">
        <f t="shared" si="7"/>
        <v>417</v>
      </c>
      <c r="B418" s="239" t="s">
        <v>2309</v>
      </c>
      <c r="C418" s="240" t="s">
        <v>279</v>
      </c>
      <c r="D418" s="240">
        <v>5</v>
      </c>
      <c r="E418" s="197" t="s">
        <v>292</v>
      </c>
      <c r="F418" s="239" t="s">
        <v>3133</v>
      </c>
      <c r="G418" s="239"/>
      <c r="H418" s="239" t="s">
        <v>3333</v>
      </c>
      <c r="I418" s="239" t="s">
        <v>681</v>
      </c>
      <c r="J418" s="197" t="s">
        <v>3344</v>
      </c>
      <c r="K418" s="197" t="s">
        <v>3386</v>
      </c>
      <c r="L418" s="197"/>
      <c r="M418" s="197"/>
      <c r="N418" s="255"/>
      <c r="O418" s="239"/>
      <c r="P418" s="239"/>
      <c r="Q418" s="320"/>
    </row>
    <row r="419" spans="1:17" s="252" customFormat="1">
      <c r="A419" s="239">
        <f t="shared" si="7"/>
        <v>418</v>
      </c>
      <c r="B419" s="239" t="s">
        <v>2310</v>
      </c>
      <c r="C419" s="240" t="s">
        <v>279</v>
      </c>
      <c r="D419" s="240">
        <v>5</v>
      </c>
      <c r="E419" s="197" t="s">
        <v>293</v>
      </c>
      <c r="F419" s="239" t="s">
        <v>3133</v>
      </c>
      <c r="G419" s="239"/>
      <c r="H419" s="239" t="s">
        <v>3333</v>
      </c>
      <c r="I419" s="239" t="s">
        <v>681</v>
      </c>
      <c r="J419" s="197" t="s">
        <v>3344</v>
      </c>
      <c r="K419" s="197" t="s">
        <v>3387</v>
      </c>
      <c r="L419" s="197"/>
      <c r="M419" s="197"/>
      <c r="N419" s="255"/>
      <c r="O419" s="239"/>
      <c r="P419" s="239"/>
      <c r="Q419" s="320"/>
    </row>
    <row r="420" spans="1:17" s="252" customFormat="1">
      <c r="A420" s="239">
        <f t="shared" si="7"/>
        <v>419</v>
      </c>
      <c r="B420" s="239" t="s">
        <v>2311</v>
      </c>
      <c r="C420" s="240" t="s">
        <v>279</v>
      </c>
      <c r="D420" s="240">
        <v>9.5</v>
      </c>
      <c r="E420" s="197" t="s">
        <v>281</v>
      </c>
      <c r="F420" s="239" t="s">
        <v>3133</v>
      </c>
      <c r="G420" s="239"/>
      <c r="H420" s="239" t="s">
        <v>3333</v>
      </c>
      <c r="I420" s="239" t="s">
        <v>681</v>
      </c>
      <c r="J420" s="197" t="s">
        <v>3344</v>
      </c>
      <c r="K420" s="197" t="s">
        <v>3388</v>
      </c>
      <c r="L420" s="197"/>
      <c r="M420" s="197"/>
      <c r="N420" s="255"/>
      <c r="O420" s="239"/>
      <c r="P420" s="239" t="s">
        <v>3638</v>
      </c>
      <c r="Q420" s="320"/>
    </row>
    <row r="421" spans="1:17" s="252" customFormat="1">
      <c r="A421" s="239">
        <f t="shared" si="7"/>
        <v>420</v>
      </c>
      <c r="B421" s="239" t="s">
        <v>2312</v>
      </c>
      <c r="C421" s="240" t="s">
        <v>279</v>
      </c>
      <c r="D421" s="240">
        <v>15</v>
      </c>
      <c r="E421" s="197" t="s">
        <v>325</v>
      </c>
      <c r="F421" s="239" t="s">
        <v>3133</v>
      </c>
      <c r="G421" s="239"/>
      <c r="H421" s="239" t="s">
        <v>3333</v>
      </c>
      <c r="I421" s="239" t="s">
        <v>681</v>
      </c>
      <c r="J421" s="197" t="s">
        <v>3344</v>
      </c>
      <c r="K421" s="197" t="s">
        <v>3389</v>
      </c>
      <c r="L421" s="197"/>
      <c r="M421" s="197"/>
      <c r="N421" s="255"/>
      <c r="O421" s="239"/>
      <c r="P421" s="239"/>
      <c r="Q421" s="320"/>
    </row>
    <row r="422" spans="1:17" s="252" customFormat="1">
      <c r="A422" s="239">
        <f t="shared" si="7"/>
        <v>421</v>
      </c>
      <c r="B422" s="239" t="s">
        <v>2313</v>
      </c>
      <c r="C422" s="240" t="s">
        <v>279</v>
      </c>
      <c r="D422" s="240">
        <v>5</v>
      </c>
      <c r="E422" s="197" t="s">
        <v>292</v>
      </c>
      <c r="F422" s="239" t="s">
        <v>3133</v>
      </c>
      <c r="G422" s="239"/>
      <c r="H422" s="239" t="s">
        <v>3333</v>
      </c>
      <c r="I422" s="239" t="s">
        <v>681</v>
      </c>
      <c r="J422" s="197" t="s">
        <v>3344</v>
      </c>
      <c r="K422" s="197" t="s">
        <v>3390</v>
      </c>
      <c r="L422" s="197"/>
      <c r="M422" s="197"/>
      <c r="N422" s="255"/>
      <c r="O422" s="239"/>
      <c r="P422" s="239"/>
      <c r="Q422" s="320"/>
    </row>
    <row r="423" spans="1:17" s="252" customFormat="1">
      <c r="A423" s="239">
        <f t="shared" si="7"/>
        <v>422</v>
      </c>
      <c r="B423" s="239" t="s">
        <v>2314</v>
      </c>
      <c r="C423" s="240" t="s">
        <v>279</v>
      </c>
      <c r="D423" s="240">
        <v>5</v>
      </c>
      <c r="E423" s="197" t="s">
        <v>293</v>
      </c>
      <c r="F423" s="239" t="s">
        <v>3133</v>
      </c>
      <c r="G423" s="239"/>
      <c r="H423" s="239" t="s">
        <v>3333</v>
      </c>
      <c r="I423" s="239" t="s">
        <v>681</v>
      </c>
      <c r="J423" s="197" t="s">
        <v>3344</v>
      </c>
      <c r="K423" s="197" t="s">
        <v>3391</v>
      </c>
      <c r="L423" s="197"/>
      <c r="M423" s="197"/>
      <c r="N423" s="255"/>
      <c r="O423" s="239"/>
      <c r="P423" s="239"/>
      <c r="Q423" s="320"/>
    </row>
    <row r="424" spans="1:17" s="252" customFormat="1">
      <c r="A424" s="239">
        <f t="shared" si="7"/>
        <v>423</v>
      </c>
      <c r="B424" s="239" t="s">
        <v>2315</v>
      </c>
      <c r="C424" s="240" t="s">
        <v>275</v>
      </c>
      <c r="D424" s="240">
        <v>2</v>
      </c>
      <c r="E424" s="197" t="s">
        <v>26</v>
      </c>
      <c r="F424" s="239" t="s">
        <v>3133</v>
      </c>
      <c r="G424" s="239"/>
      <c r="H424" s="239" t="s">
        <v>3333</v>
      </c>
      <c r="I424" s="239" t="s">
        <v>681</v>
      </c>
      <c r="J424" s="197" t="s">
        <v>3344</v>
      </c>
      <c r="K424" s="197" t="s">
        <v>3392</v>
      </c>
      <c r="L424" s="197"/>
      <c r="M424" s="197"/>
      <c r="N424" s="255"/>
      <c r="O424" s="239"/>
      <c r="P424" s="239"/>
      <c r="Q424" s="320"/>
    </row>
    <row r="425" spans="1:17" s="252" customFormat="1">
      <c r="A425" s="239">
        <f t="shared" si="7"/>
        <v>424</v>
      </c>
      <c r="B425" s="239" t="s">
        <v>2316</v>
      </c>
      <c r="C425" s="240" t="s">
        <v>275</v>
      </c>
      <c r="D425" s="240">
        <v>1</v>
      </c>
      <c r="E425" s="197" t="s">
        <v>326</v>
      </c>
      <c r="F425" s="239" t="s">
        <v>3133</v>
      </c>
      <c r="G425" s="239"/>
      <c r="H425" s="239" t="s">
        <v>3333</v>
      </c>
      <c r="I425" s="239" t="s">
        <v>681</v>
      </c>
      <c r="J425" s="197" t="s">
        <v>3344</v>
      </c>
      <c r="K425" s="197" t="s">
        <v>3393</v>
      </c>
      <c r="L425" s="197"/>
      <c r="M425" s="197"/>
      <c r="N425" s="255"/>
      <c r="O425" s="239"/>
      <c r="P425" s="239"/>
      <c r="Q425" s="320"/>
    </row>
    <row r="426" spans="1:17" s="252" customFormat="1">
      <c r="A426" s="239">
        <f t="shared" si="7"/>
        <v>425</v>
      </c>
      <c r="B426" s="239" t="s">
        <v>2317</v>
      </c>
      <c r="C426" s="240" t="s">
        <v>279</v>
      </c>
      <c r="D426" s="240">
        <v>9.5</v>
      </c>
      <c r="E426" s="197" t="s">
        <v>281</v>
      </c>
      <c r="F426" s="239" t="s">
        <v>3133</v>
      </c>
      <c r="G426" s="239"/>
      <c r="H426" s="239" t="s">
        <v>3333</v>
      </c>
      <c r="I426" s="239" t="s">
        <v>681</v>
      </c>
      <c r="J426" s="197" t="s">
        <v>3344</v>
      </c>
      <c r="K426" s="197" t="s">
        <v>3394</v>
      </c>
      <c r="L426" s="197"/>
      <c r="M426" s="197"/>
      <c r="N426" s="255"/>
      <c r="O426" s="239"/>
      <c r="P426" s="239"/>
      <c r="Q426" s="320"/>
    </row>
    <row r="427" spans="1:17" s="252" customFormat="1">
      <c r="A427" s="239">
        <f t="shared" si="7"/>
        <v>426</v>
      </c>
      <c r="B427" s="257" t="s">
        <v>2318</v>
      </c>
      <c r="C427" s="259" t="s">
        <v>279</v>
      </c>
      <c r="D427" s="241">
        <v>15</v>
      </c>
      <c r="E427" s="258" t="s">
        <v>2554</v>
      </c>
      <c r="F427" s="257" t="s">
        <v>3133</v>
      </c>
      <c r="G427" s="239"/>
      <c r="H427" s="239" t="s">
        <v>3333</v>
      </c>
      <c r="I427" s="239" t="s">
        <v>681</v>
      </c>
      <c r="J427" s="197" t="s">
        <v>3344</v>
      </c>
      <c r="K427" s="197" t="s">
        <v>2911</v>
      </c>
      <c r="L427" s="239"/>
      <c r="M427" s="239"/>
      <c r="N427" s="255"/>
      <c r="O427" s="239" t="s">
        <v>2329</v>
      </c>
      <c r="P427" s="239" t="s">
        <v>3127</v>
      </c>
      <c r="Q427" s="320"/>
    </row>
    <row r="428" spans="1:17" s="252" customFormat="1">
      <c r="A428" s="239">
        <f t="shared" si="7"/>
        <v>427</v>
      </c>
      <c r="B428" s="257" t="s">
        <v>2319</v>
      </c>
      <c r="C428" s="259" t="s">
        <v>279</v>
      </c>
      <c r="D428" s="241">
        <v>15</v>
      </c>
      <c r="E428" s="258" t="s">
        <v>2555</v>
      </c>
      <c r="F428" s="257" t="s">
        <v>3133</v>
      </c>
      <c r="G428" s="239"/>
      <c r="H428" s="239" t="s">
        <v>3333</v>
      </c>
      <c r="I428" s="239" t="s">
        <v>681</v>
      </c>
      <c r="J428" s="197" t="s">
        <v>3344</v>
      </c>
      <c r="K428" s="197" t="s">
        <v>2912</v>
      </c>
      <c r="L428" s="239"/>
      <c r="M428" s="239"/>
      <c r="N428" s="255"/>
      <c r="O428" s="239" t="s">
        <v>2329</v>
      </c>
      <c r="P428" s="239" t="s">
        <v>3127</v>
      </c>
      <c r="Q428" s="320"/>
    </row>
    <row r="429" spans="1:17" s="252" customFormat="1">
      <c r="A429" s="239">
        <f t="shared" si="7"/>
        <v>428</v>
      </c>
      <c r="B429" s="257" t="s">
        <v>2320</v>
      </c>
      <c r="C429" s="259" t="s">
        <v>279</v>
      </c>
      <c r="D429" s="241">
        <v>15</v>
      </c>
      <c r="E429" s="258" t="s">
        <v>2556</v>
      </c>
      <c r="F429" s="257" t="s">
        <v>3133</v>
      </c>
      <c r="G429" s="239"/>
      <c r="H429" s="239" t="s">
        <v>3333</v>
      </c>
      <c r="I429" s="239" t="s">
        <v>681</v>
      </c>
      <c r="J429" s="197" t="s">
        <v>3344</v>
      </c>
      <c r="K429" s="197" t="s">
        <v>2913</v>
      </c>
      <c r="L429" s="239"/>
      <c r="M429" s="239"/>
      <c r="N429" s="255"/>
      <c r="O429" s="239" t="s">
        <v>2329</v>
      </c>
      <c r="P429" s="239" t="s">
        <v>3127</v>
      </c>
      <c r="Q429" s="320"/>
    </row>
    <row r="430" spans="1:17" s="252" customFormat="1">
      <c r="A430" s="239">
        <f t="shared" si="7"/>
        <v>429</v>
      </c>
      <c r="B430" s="257" t="s">
        <v>2321</v>
      </c>
      <c r="C430" s="240" t="s">
        <v>275</v>
      </c>
      <c r="D430" s="238">
        <v>1</v>
      </c>
      <c r="E430" s="258" t="s">
        <v>2557</v>
      </c>
      <c r="F430" s="257" t="s">
        <v>3133</v>
      </c>
      <c r="G430" s="239"/>
      <c r="H430" s="239" t="s">
        <v>3333</v>
      </c>
      <c r="I430" s="239" t="s">
        <v>681</v>
      </c>
      <c r="J430" s="197" t="s">
        <v>3344</v>
      </c>
      <c r="K430" s="197" t="s">
        <v>2914</v>
      </c>
      <c r="L430" s="239"/>
      <c r="M430" s="239"/>
      <c r="N430" s="255"/>
      <c r="O430" s="239" t="s">
        <v>2329</v>
      </c>
      <c r="P430" s="239" t="s">
        <v>3127</v>
      </c>
      <c r="Q430" s="320"/>
    </row>
    <row r="431" spans="1:17" s="252" customFormat="1">
      <c r="A431" s="239">
        <f t="shared" si="7"/>
        <v>430</v>
      </c>
      <c r="B431" s="257" t="s">
        <v>2322</v>
      </c>
      <c r="C431" s="240" t="s">
        <v>275</v>
      </c>
      <c r="D431" s="238">
        <v>1</v>
      </c>
      <c r="E431" s="258" t="s">
        <v>2558</v>
      </c>
      <c r="F431" s="257" t="s">
        <v>3133</v>
      </c>
      <c r="G431" s="239"/>
      <c r="H431" s="239" t="s">
        <v>3333</v>
      </c>
      <c r="I431" s="239" t="s">
        <v>681</v>
      </c>
      <c r="J431" s="197" t="s">
        <v>3344</v>
      </c>
      <c r="K431" s="197" t="s">
        <v>2915</v>
      </c>
      <c r="L431" s="239"/>
      <c r="M431" s="239"/>
      <c r="N431" s="255"/>
      <c r="O431" s="239" t="s">
        <v>2329</v>
      </c>
      <c r="P431" s="239" t="s">
        <v>3127</v>
      </c>
      <c r="Q431" s="320"/>
    </row>
    <row r="432" spans="1:17" s="252" customFormat="1">
      <c r="A432" s="239">
        <f t="shared" si="7"/>
        <v>431</v>
      </c>
      <c r="B432" s="257" t="s">
        <v>2323</v>
      </c>
      <c r="C432" s="240" t="s">
        <v>275</v>
      </c>
      <c r="D432" s="238">
        <v>1</v>
      </c>
      <c r="E432" s="258" t="s">
        <v>2559</v>
      </c>
      <c r="F432" s="257" t="s">
        <v>3133</v>
      </c>
      <c r="G432" s="239"/>
      <c r="H432" s="239" t="s">
        <v>3333</v>
      </c>
      <c r="I432" s="239" t="s">
        <v>681</v>
      </c>
      <c r="J432" s="197" t="s">
        <v>3344</v>
      </c>
      <c r="K432" s="197" t="s">
        <v>2916</v>
      </c>
      <c r="L432" s="239"/>
      <c r="M432" s="239"/>
      <c r="N432" s="255"/>
      <c r="O432" s="239" t="s">
        <v>2329</v>
      </c>
      <c r="P432" s="239" t="s">
        <v>3127</v>
      </c>
      <c r="Q432" s="320"/>
    </row>
    <row r="433" spans="1:17" s="252" customFormat="1">
      <c r="A433" s="239">
        <f t="shared" si="7"/>
        <v>432</v>
      </c>
      <c r="B433" s="245" t="s">
        <v>2325</v>
      </c>
      <c r="C433" s="240" t="s">
        <v>279</v>
      </c>
      <c r="D433" s="241">
        <v>15</v>
      </c>
      <c r="E433" s="258" t="s">
        <v>2560</v>
      </c>
      <c r="F433" s="245" t="s">
        <v>3133</v>
      </c>
      <c r="G433" s="239"/>
      <c r="H433" s="239" t="s">
        <v>3333</v>
      </c>
      <c r="I433" s="239" t="s">
        <v>681</v>
      </c>
      <c r="J433" s="197" t="s">
        <v>3344</v>
      </c>
      <c r="K433" s="197" t="s">
        <v>2917</v>
      </c>
      <c r="L433" s="239"/>
      <c r="M433" s="239"/>
      <c r="N433" s="255"/>
      <c r="O433" s="239" t="s">
        <v>2329</v>
      </c>
      <c r="P433" s="239" t="s">
        <v>3127</v>
      </c>
      <c r="Q433" s="320"/>
    </row>
    <row r="434" spans="1:17" s="252" customFormat="1">
      <c r="A434" s="239">
        <f t="shared" si="7"/>
        <v>433</v>
      </c>
      <c r="B434" s="245" t="s">
        <v>2326</v>
      </c>
      <c r="C434" s="240" t="s">
        <v>279</v>
      </c>
      <c r="D434" s="241">
        <v>5</v>
      </c>
      <c r="E434" s="258" t="s">
        <v>293</v>
      </c>
      <c r="F434" s="245" t="s">
        <v>3133</v>
      </c>
      <c r="G434" s="239"/>
      <c r="H434" s="239" t="s">
        <v>3333</v>
      </c>
      <c r="I434" s="239" t="s">
        <v>681</v>
      </c>
      <c r="J434" s="197" t="s">
        <v>3344</v>
      </c>
      <c r="K434" s="197" t="s">
        <v>2918</v>
      </c>
      <c r="L434" s="239"/>
      <c r="M434" s="239"/>
      <c r="N434" s="255"/>
      <c r="O434" s="239" t="s">
        <v>2329</v>
      </c>
      <c r="P434" s="239" t="s">
        <v>3127</v>
      </c>
      <c r="Q434" s="320"/>
    </row>
    <row r="435" spans="1:17" s="252" customFormat="1">
      <c r="A435" s="239">
        <f t="shared" si="7"/>
        <v>434</v>
      </c>
      <c r="B435" s="245" t="s">
        <v>2327</v>
      </c>
      <c r="C435" s="240" t="s">
        <v>279</v>
      </c>
      <c r="D435" s="241">
        <v>5</v>
      </c>
      <c r="E435" s="258" t="s">
        <v>292</v>
      </c>
      <c r="F435" s="245" t="s">
        <v>3133</v>
      </c>
      <c r="G435" s="239"/>
      <c r="H435" s="239" t="s">
        <v>3333</v>
      </c>
      <c r="I435" s="239" t="s">
        <v>681</v>
      </c>
      <c r="J435" s="197" t="s">
        <v>3344</v>
      </c>
      <c r="K435" s="197" t="s">
        <v>2919</v>
      </c>
      <c r="L435" s="239"/>
      <c r="M435" s="239"/>
      <c r="N435" s="255"/>
      <c r="O435" s="239" t="s">
        <v>2329</v>
      </c>
      <c r="P435" s="239" t="s">
        <v>3127</v>
      </c>
      <c r="Q435" s="320"/>
    </row>
    <row r="436" spans="1:17" s="252" customFormat="1">
      <c r="A436" s="239">
        <f t="shared" si="7"/>
        <v>435</v>
      </c>
      <c r="B436" s="245" t="s">
        <v>2328</v>
      </c>
      <c r="C436" s="240" t="s">
        <v>279</v>
      </c>
      <c r="D436" s="241">
        <v>9.5</v>
      </c>
      <c r="E436" s="258" t="s">
        <v>281</v>
      </c>
      <c r="F436" s="245" t="s">
        <v>3133</v>
      </c>
      <c r="G436" s="239"/>
      <c r="H436" s="239" t="s">
        <v>3333</v>
      </c>
      <c r="I436" s="239" t="s">
        <v>681</v>
      </c>
      <c r="J436" s="197" t="s">
        <v>3344</v>
      </c>
      <c r="K436" s="197" t="s">
        <v>2920</v>
      </c>
      <c r="L436" s="239"/>
      <c r="M436" s="239"/>
      <c r="N436" s="255"/>
      <c r="O436" s="239" t="s">
        <v>2329</v>
      </c>
      <c r="P436" s="239" t="s">
        <v>3127</v>
      </c>
      <c r="Q436" s="320"/>
    </row>
    <row r="437" spans="1:17" s="319" customFormat="1">
      <c r="A437" s="312">
        <f t="shared" si="7"/>
        <v>436</v>
      </c>
      <c r="B437" s="313" t="s">
        <v>3490</v>
      </c>
      <c r="C437" s="314" t="s">
        <v>275</v>
      </c>
      <c r="D437" s="315">
        <v>2</v>
      </c>
      <c r="E437" s="316" t="s">
        <v>3475</v>
      </c>
      <c r="F437" s="313" t="s">
        <v>3133</v>
      </c>
      <c r="G437" s="312"/>
      <c r="H437" s="312" t="s">
        <v>3333</v>
      </c>
      <c r="I437" s="312" t="s">
        <v>681</v>
      </c>
      <c r="J437" s="317" t="s">
        <v>3344</v>
      </c>
      <c r="K437" s="317" t="s">
        <v>3486</v>
      </c>
      <c r="L437" s="312"/>
      <c r="M437" s="312"/>
      <c r="N437" s="318"/>
      <c r="O437" s="312" t="s">
        <v>499</v>
      </c>
      <c r="P437" s="312" t="s">
        <v>3496</v>
      </c>
      <c r="Q437" s="321"/>
    </row>
    <row r="438" spans="1:17" s="319" customFormat="1">
      <c r="A438" s="312">
        <f t="shared" si="7"/>
        <v>437</v>
      </c>
      <c r="B438" s="313" t="s">
        <v>3491</v>
      </c>
      <c r="C438" s="314" t="s">
        <v>279</v>
      </c>
      <c r="D438" s="315">
        <v>4</v>
      </c>
      <c r="E438" s="316" t="s">
        <v>3476</v>
      </c>
      <c r="F438" s="313" t="s">
        <v>3133</v>
      </c>
      <c r="G438" s="312"/>
      <c r="H438" s="312" t="s">
        <v>3333</v>
      </c>
      <c r="I438" s="312" t="s">
        <v>681</v>
      </c>
      <c r="J438" s="317" t="s">
        <v>3344</v>
      </c>
      <c r="K438" s="317" t="s">
        <v>3476</v>
      </c>
      <c r="L438" s="312"/>
      <c r="M438" s="312"/>
      <c r="N438" s="318"/>
      <c r="O438" s="312" t="s">
        <v>499</v>
      </c>
      <c r="P438" s="312" t="s">
        <v>3496</v>
      </c>
      <c r="Q438" s="321"/>
    </row>
    <row r="439" spans="1:17" s="319" customFormat="1">
      <c r="A439" s="312">
        <f t="shared" si="7"/>
        <v>438</v>
      </c>
      <c r="B439" s="313" t="s">
        <v>3492</v>
      </c>
      <c r="C439" s="314" t="s">
        <v>279</v>
      </c>
      <c r="D439" s="315">
        <v>9.5</v>
      </c>
      <c r="E439" s="316" t="s">
        <v>3477</v>
      </c>
      <c r="F439" s="313" t="s">
        <v>3133</v>
      </c>
      <c r="G439" s="312"/>
      <c r="H439" s="312" t="s">
        <v>3333</v>
      </c>
      <c r="I439" s="312" t="s">
        <v>681</v>
      </c>
      <c r="J439" s="317" t="s">
        <v>3344</v>
      </c>
      <c r="K439" s="317" t="s">
        <v>3485</v>
      </c>
      <c r="L439" s="312"/>
      <c r="M439" s="312"/>
      <c r="N439" s="318"/>
      <c r="O439" s="312" t="s">
        <v>499</v>
      </c>
      <c r="P439" s="312" t="s">
        <v>3496</v>
      </c>
      <c r="Q439" s="321"/>
    </row>
    <row r="440" spans="1:17" s="319" customFormat="1">
      <c r="A440" s="312">
        <f t="shared" si="7"/>
        <v>439</v>
      </c>
      <c r="B440" s="313" t="s">
        <v>3493</v>
      </c>
      <c r="C440" s="314" t="s">
        <v>275</v>
      </c>
      <c r="D440" s="315">
        <v>2</v>
      </c>
      <c r="E440" s="316" t="s">
        <v>3478</v>
      </c>
      <c r="F440" s="313" t="s">
        <v>3133</v>
      </c>
      <c r="G440" s="312"/>
      <c r="H440" s="312" t="s">
        <v>3333</v>
      </c>
      <c r="I440" s="312" t="s">
        <v>681</v>
      </c>
      <c r="J440" s="317" t="s">
        <v>3344</v>
      </c>
      <c r="K440" s="317" t="s">
        <v>3481</v>
      </c>
      <c r="L440" s="312"/>
      <c r="M440" s="312"/>
      <c r="N440" s="318"/>
      <c r="O440" s="312" t="s">
        <v>499</v>
      </c>
      <c r="P440" s="312" t="s">
        <v>3496</v>
      </c>
      <c r="Q440" s="321"/>
    </row>
    <row r="441" spans="1:17" s="319" customFormat="1">
      <c r="A441" s="312">
        <f t="shared" si="7"/>
        <v>440</v>
      </c>
      <c r="B441" s="313" t="s">
        <v>3494</v>
      </c>
      <c r="C441" s="314" t="s">
        <v>279</v>
      </c>
      <c r="D441" s="315">
        <v>15</v>
      </c>
      <c r="E441" s="316" t="s">
        <v>3479</v>
      </c>
      <c r="F441" s="313" t="s">
        <v>3133</v>
      </c>
      <c r="G441" s="312"/>
      <c r="H441" s="312" t="s">
        <v>3333</v>
      </c>
      <c r="I441" s="312" t="s">
        <v>681</v>
      </c>
      <c r="J441" s="317" t="s">
        <v>3344</v>
      </c>
      <c r="K441" s="317" t="s">
        <v>3483</v>
      </c>
      <c r="L441" s="312"/>
      <c r="M441" s="312"/>
      <c r="N441" s="318"/>
      <c r="O441" s="312" t="s">
        <v>499</v>
      </c>
      <c r="P441" s="312" t="s">
        <v>3496</v>
      </c>
      <c r="Q441" s="321"/>
    </row>
    <row r="442" spans="1:17" s="319" customFormat="1">
      <c r="A442" s="312">
        <f t="shared" si="7"/>
        <v>441</v>
      </c>
      <c r="B442" s="313" t="s">
        <v>3495</v>
      </c>
      <c r="C442" s="314" t="s">
        <v>275</v>
      </c>
      <c r="D442" s="315">
        <v>1</v>
      </c>
      <c r="E442" s="316" t="s">
        <v>3480</v>
      </c>
      <c r="F442" s="313" t="s">
        <v>3133</v>
      </c>
      <c r="G442" s="312"/>
      <c r="H442" s="312" t="s">
        <v>3333</v>
      </c>
      <c r="I442" s="312" t="s">
        <v>681</v>
      </c>
      <c r="J442" s="317" t="s">
        <v>3344</v>
      </c>
      <c r="K442" s="317" t="s">
        <v>223</v>
      </c>
      <c r="L442" s="312"/>
      <c r="M442" s="312"/>
      <c r="N442" s="318"/>
      <c r="O442" s="312" t="s">
        <v>499</v>
      </c>
      <c r="P442" s="312" t="s">
        <v>3496</v>
      </c>
      <c r="Q442" s="321"/>
    </row>
    <row r="443" spans="1:17">
      <c r="A443" s="239">
        <f t="shared" si="7"/>
        <v>442</v>
      </c>
      <c r="B443" s="263" t="s">
        <v>3691</v>
      </c>
      <c r="C443" s="355" t="s">
        <v>279</v>
      </c>
      <c r="D443" s="356">
        <v>15</v>
      </c>
      <c r="E443" s="357" t="s">
        <v>3698</v>
      </c>
      <c r="F443" s="348" t="s">
        <v>3133</v>
      </c>
      <c r="G443" s="339"/>
      <c r="H443" s="320" t="s">
        <v>3333</v>
      </c>
      <c r="I443" s="320" t="s">
        <v>681</v>
      </c>
      <c r="J443" s="344" t="s">
        <v>3344</v>
      </c>
      <c r="K443" s="357" t="s">
        <v>3705</v>
      </c>
      <c r="L443" s="263"/>
      <c r="M443" s="263"/>
      <c r="N443" s="263"/>
      <c r="O443" s="263" t="s">
        <v>3689</v>
      </c>
      <c r="P443" s="263" t="s">
        <v>3641</v>
      </c>
      <c r="Q443" s="263"/>
    </row>
    <row r="444" spans="1:17">
      <c r="A444" s="239">
        <f t="shared" si="7"/>
        <v>443</v>
      </c>
      <c r="B444" s="263" t="s">
        <v>3692</v>
      </c>
      <c r="C444" s="355" t="s">
        <v>279</v>
      </c>
      <c r="D444" s="356">
        <v>15</v>
      </c>
      <c r="E444" s="357" t="s">
        <v>3699</v>
      </c>
      <c r="F444" s="348" t="s">
        <v>3133</v>
      </c>
      <c r="G444" s="339"/>
      <c r="H444" s="320" t="s">
        <v>3333</v>
      </c>
      <c r="I444" s="320" t="s">
        <v>681</v>
      </c>
      <c r="J444" s="344" t="s">
        <v>3344</v>
      </c>
      <c r="K444" s="357" t="s">
        <v>3706</v>
      </c>
      <c r="L444" s="263"/>
      <c r="M444" s="263"/>
      <c r="N444" s="263"/>
      <c r="O444" s="263" t="s">
        <v>3689</v>
      </c>
      <c r="P444" s="263" t="s">
        <v>3641</v>
      </c>
      <c r="Q444" s="263"/>
    </row>
    <row r="445" spans="1:17">
      <c r="A445" s="239">
        <f t="shared" si="7"/>
        <v>444</v>
      </c>
      <c r="B445" s="263" t="s">
        <v>3693</v>
      </c>
      <c r="C445" s="355" t="s">
        <v>279</v>
      </c>
      <c r="D445" s="356">
        <v>15</v>
      </c>
      <c r="E445" s="357" t="s">
        <v>3700</v>
      </c>
      <c r="F445" s="348" t="s">
        <v>3133</v>
      </c>
      <c r="G445" s="339"/>
      <c r="H445" s="320" t="s">
        <v>3333</v>
      </c>
      <c r="I445" s="320" t="s">
        <v>681</v>
      </c>
      <c r="J445" s="344" t="s">
        <v>3344</v>
      </c>
      <c r="K445" s="357" t="s">
        <v>3707</v>
      </c>
      <c r="L445" s="263"/>
      <c r="M445" s="263"/>
      <c r="N445" s="263"/>
      <c r="O445" s="263" t="s">
        <v>3689</v>
      </c>
      <c r="P445" s="263" t="s">
        <v>3641</v>
      </c>
      <c r="Q445" s="263"/>
    </row>
    <row r="446" spans="1:17">
      <c r="A446" s="239">
        <f t="shared" si="7"/>
        <v>445</v>
      </c>
      <c r="B446" s="263" t="s">
        <v>3694</v>
      </c>
      <c r="C446" s="355" t="s">
        <v>279</v>
      </c>
      <c r="D446" s="356">
        <v>15</v>
      </c>
      <c r="E446" s="357" t="s">
        <v>3701</v>
      </c>
      <c r="F446" s="348" t="s">
        <v>3133</v>
      </c>
      <c r="G446" s="339"/>
      <c r="H446" s="320" t="s">
        <v>3333</v>
      </c>
      <c r="I446" s="320" t="s">
        <v>681</v>
      </c>
      <c r="J446" s="344" t="s">
        <v>3344</v>
      </c>
      <c r="K446" s="357" t="s">
        <v>3708</v>
      </c>
      <c r="L446" s="263"/>
      <c r="M446" s="263"/>
      <c r="N446" s="263"/>
      <c r="O446" s="263" t="s">
        <v>3689</v>
      </c>
      <c r="P446" s="263" t="s">
        <v>3641</v>
      </c>
      <c r="Q446" s="263"/>
    </row>
    <row r="447" spans="1:17">
      <c r="A447" s="239">
        <f t="shared" si="7"/>
        <v>446</v>
      </c>
      <c r="B447" s="263" t="s">
        <v>3695</v>
      </c>
      <c r="C447" s="355" t="s">
        <v>279</v>
      </c>
      <c r="D447" s="356">
        <v>15</v>
      </c>
      <c r="E447" s="357" t="s">
        <v>3702</v>
      </c>
      <c r="F447" s="348" t="s">
        <v>3133</v>
      </c>
      <c r="G447" s="339"/>
      <c r="H447" s="320" t="s">
        <v>3333</v>
      </c>
      <c r="I447" s="320" t="s">
        <v>681</v>
      </c>
      <c r="J447" s="344" t="s">
        <v>3344</v>
      </c>
      <c r="K447" s="357" t="s">
        <v>3709</v>
      </c>
      <c r="L447" s="263"/>
      <c r="M447" s="263"/>
      <c r="N447" s="263"/>
      <c r="O447" s="263" t="s">
        <v>3689</v>
      </c>
      <c r="P447" s="263" t="s">
        <v>3641</v>
      </c>
      <c r="Q447" s="263"/>
    </row>
    <row r="448" spans="1:17">
      <c r="A448" s="239">
        <f t="shared" si="7"/>
        <v>447</v>
      </c>
      <c r="B448" s="263" t="s">
        <v>3696</v>
      </c>
      <c r="C448" s="355" t="s">
        <v>279</v>
      </c>
      <c r="D448" s="356">
        <v>15</v>
      </c>
      <c r="E448" s="357" t="s">
        <v>3703</v>
      </c>
      <c r="F448" s="348" t="s">
        <v>3133</v>
      </c>
      <c r="G448" s="339"/>
      <c r="H448" s="320" t="s">
        <v>3333</v>
      </c>
      <c r="I448" s="320" t="s">
        <v>681</v>
      </c>
      <c r="J448" s="344" t="s">
        <v>3344</v>
      </c>
      <c r="K448" s="357" t="s">
        <v>3710</v>
      </c>
      <c r="L448" s="263"/>
      <c r="M448" s="263"/>
      <c r="N448" s="263"/>
      <c r="O448" s="263" t="s">
        <v>3689</v>
      </c>
      <c r="P448" s="263" t="s">
        <v>3641</v>
      </c>
      <c r="Q448" s="263"/>
    </row>
    <row r="449" spans="1:17">
      <c r="A449" s="320">
        <f t="shared" si="7"/>
        <v>448</v>
      </c>
      <c r="B449" s="263" t="s">
        <v>3697</v>
      </c>
      <c r="C449" s="355" t="s">
        <v>279</v>
      </c>
      <c r="D449" s="356">
        <v>15</v>
      </c>
      <c r="E449" s="357" t="s">
        <v>3704</v>
      </c>
      <c r="F449" s="348" t="s">
        <v>3133</v>
      </c>
      <c r="G449" s="339"/>
      <c r="H449" s="320" t="s">
        <v>3333</v>
      </c>
      <c r="I449" s="320" t="s">
        <v>681</v>
      </c>
      <c r="J449" s="344" t="s">
        <v>3344</v>
      </c>
      <c r="K449" s="357" t="s">
        <v>3704</v>
      </c>
      <c r="L449" s="263"/>
      <c r="M449" s="263"/>
      <c r="N449" s="263"/>
      <c r="O449" s="263" t="s">
        <v>3689</v>
      </c>
      <c r="P449" s="263" t="s">
        <v>3641</v>
      </c>
      <c r="Q449" s="263"/>
    </row>
    <row r="450" spans="1:17">
      <c r="A450" s="320">
        <f t="shared" si="7"/>
        <v>449</v>
      </c>
      <c r="B450" s="359" t="s">
        <v>3771</v>
      </c>
      <c r="C450" s="619" t="s">
        <v>52</v>
      </c>
      <c r="D450" s="619" t="s">
        <v>4262</v>
      </c>
      <c r="E450" s="359" t="s">
        <v>3759</v>
      </c>
      <c r="F450" s="263"/>
      <c r="G450" s="263"/>
      <c r="H450" s="320" t="s">
        <v>3333</v>
      </c>
      <c r="I450" s="320" t="s">
        <v>681</v>
      </c>
      <c r="J450" s="344" t="s">
        <v>3344</v>
      </c>
      <c r="K450" s="357"/>
      <c r="L450" s="263"/>
      <c r="M450" s="263"/>
      <c r="N450" s="263"/>
      <c r="O450" s="263"/>
      <c r="P450" s="263"/>
      <c r="Q450" s="263"/>
    </row>
    <row r="451" spans="1:17">
      <c r="A451" s="320">
        <f t="shared" si="7"/>
        <v>450</v>
      </c>
      <c r="B451" s="359" t="s">
        <v>3772</v>
      </c>
      <c r="C451" s="619" t="s">
        <v>52</v>
      </c>
      <c r="D451" s="619" t="s">
        <v>4262</v>
      </c>
      <c r="E451" s="359" t="s">
        <v>3760</v>
      </c>
      <c r="F451" s="263"/>
      <c r="G451" s="263"/>
      <c r="H451" s="320" t="s">
        <v>3333</v>
      </c>
      <c r="I451" s="320" t="s">
        <v>681</v>
      </c>
      <c r="J451" s="344" t="s">
        <v>3344</v>
      </c>
      <c r="K451" s="357"/>
      <c r="L451" s="263"/>
      <c r="M451" s="263"/>
      <c r="N451" s="263"/>
      <c r="O451" s="263"/>
      <c r="P451" s="263"/>
      <c r="Q451" s="263"/>
    </row>
    <row r="452" spans="1:17">
      <c r="A452" s="320">
        <f t="shared" si="7"/>
        <v>451</v>
      </c>
      <c r="B452" s="359" t="s">
        <v>3773</v>
      </c>
      <c r="C452" s="619" t="s">
        <v>52</v>
      </c>
      <c r="D452" s="619" t="s">
        <v>4262</v>
      </c>
      <c r="E452" s="359" t="s">
        <v>3761</v>
      </c>
      <c r="F452" s="263"/>
      <c r="G452" s="263"/>
      <c r="H452" s="320" t="s">
        <v>3333</v>
      </c>
      <c r="I452" s="320" t="s">
        <v>681</v>
      </c>
      <c r="J452" s="344" t="s">
        <v>3344</v>
      </c>
      <c r="K452" s="357"/>
      <c r="L452" s="263"/>
      <c r="M452" s="263"/>
      <c r="N452" s="263"/>
      <c r="O452" s="263"/>
      <c r="P452" s="263"/>
      <c r="Q452" s="263"/>
    </row>
    <row r="453" spans="1:17">
      <c r="A453" s="320">
        <f t="shared" si="7"/>
        <v>452</v>
      </c>
      <c r="B453" s="359" t="s">
        <v>3774</v>
      </c>
      <c r="C453" s="619" t="s">
        <v>52</v>
      </c>
      <c r="D453" s="619" t="s">
        <v>4262</v>
      </c>
      <c r="E453" s="359" t="s">
        <v>3762</v>
      </c>
      <c r="F453" s="263"/>
      <c r="G453" s="263"/>
      <c r="H453" s="320" t="s">
        <v>3333</v>
      </c>
      <c r="I453" s="320" t="s">
        <v>681</v>
      </c>
      <c r="J453" s="344" t="s">
        <v>3344</v>
      </c>
      <c r="K453" s="357"/>
      <c r="L453" s="263"/>
      <c r="M453" s="263"/>
      <c r="N453" s="263"/>
      <c r="O453" s="263"/>
      <c r="P453" s="263"/>
      <c r="Q453" s="263"/>
    </row>
    <row r="454" spans="1:17">
      <c r="A454" s="320">
        <f t="shared" si="7"/>
        <v>453</v>
      </c>
      <c r="B454" s="359" t="s">
        <v>3775</v>
      </c>
      <c r="C454" s="619" t="s">
        <v>52</v>
      </c>
      <c r="D454" s="619" t="s">
        <v>4262</v>
      </c>
      <c r="E454" s="359" t="s">
        <v>3763</v>
      </c>
      <c r="F454" s="263"/>
      <c r="G454" s="263"/>
      <c r="H454" s="320" t="s">
        <v>3333</v>
      </c>
      <c r="I454" s="320" t="s">
        <v>681</v>
      </c>
      <c r="J454" s="344" t="s">
        <v>3344</v>
      </c>
      <c r="K454" s="357"/>
      <c r="L454" s="263"/>
      <c r="M454" s="263"/>
      <c r="N454" s="263"/>
      <c r="O454" s="263"/>
      <c r="P454" s="263"/>
      <c r="Q454" s="263"/>
    </row>
    <row r="455" spans="1:17">
      <c r="A455" s="320">
        <f t="shared" ref="A455:A518" si="8">ROW()-1</f>
        <v>454</v>
      </c>
      <c r="B455" s="359" t="s">
        <v>3776</v>
      </c>
      <c r="C455" s="619" t="s">
        <v>52</v>
      </c>
      <c r="D455" s="619" t="s">
        <v>4262</v>
      </c>
      <c r="E455" s="359" t="s">
        <v>3764</v>
      </c>
      <c r="F455" s="263"/>
      <c r="G455" s="263"/>
      <c r="H455" s="320" t="s">
        <v>3333</v>
      </c>
      <c r="I455" s="320" t="s">
        <v>681</v>
      </c>
      <c r="J455" s="344" t="s">
        <v>3344</v>
      </c>
      <c r="K455" s="357"/>
      <c r="L455" s="263"/>
      <c r="M455" s="263"/>
      <c r="N455" s="263"/>
      <c r="O455" s="263"/>
      <c r="P455" s="263"/>
      <c r="Q455" s="263"/>
    </row>
    <row r="456" spans="1:17">
      <c r="A456" s="320">
        <f t="shared" si="8"/>
        <v>455</v>
      </c>
      <c r="B456" s="359" t="s">
        <v>3777</v>
      </c>
      <c r="C456" s="619" t="s">
        <v>52</v>
      </c>
      <c r="D456" s="619" t="s">
        <v>4262</v>
      </c>
      <c r="E456" s="359" t="s">
        <v>3765</v>
      </c>
      <c r="F456" s="263"/>
      <c r="G456" s="263"/>
      <c r="H456" s="320" t="s">
        <v>3333</v>
      </c>
      <c r="I456" s="320" t="s">
        <v>681</v>
      </c>
      <c r="J456" s="344" t="s">
        <v>3344</v>
      </c>
      <c r="K456" s="357"/>
      <c r="L456" s="263"/>
      <c r="M456" s="263"/>
      <c r="N456" s="263"/>
      <c r="O456" s="263"/>
      <c r="P456" s="263"/>
      <c r="Q456" s="263"/>
    </row>
    <row r="457" spans="1:17">
      <c r="A457" s="320">
        <f t="shared" si="8"/>
        <v>456</v>
      </c>
      <c r="B457" s="359" t="s">
        <v>3778</v>
      </c>
      <c r="C457" s="619" t="s">
        <v>52</v>
      </c>
      <c r="D457" s="619" t="s">
        <v>4262</v>
      </c>
      <c r="E457" s="359" t="s">
        <v>3766</v>
      </c>
      <c r="F457" s="263"/>
      <c r="G457" s="263"/>
      <c r="H457" s="320" t="s">
        <v>3333</v>
      </c>
      <c r="I457" s="320" t="s">
        <v>681</v>
      </c>
      <c r="J457" s="344" t="s">
        <v>3344</v>
      </c>
      <c r="K457" s="357"/>
      <c r="L457" s="263"/>
      <c r="M457" s="263"/>
      <c r="N457" s="263"/>
      <c r="O457" s="263"/>
      <c r="P457" s="263"/>
      <c r="Q457" s="263"/>
    </row>
    <row r="458" spans="1:17">
      <c r="A458" s="320">
        <f t="shared" si="8"/>
        <v>457</v>
      </c>
      <c r="B458" s="359" t="s">
        <v>3779</v>
      </c>
      <c r="C458" s="619" t="s">
        <v>52</v>
      </c>
      <c r="D458" s="619" t="s">
        <v>4262</v>
      </c>
      <c r="E458" s="359" t="s">
        <v>3767</v>
      </c>
      <c r="F458" s="263"/>
      <c r="G458" s="263"/>
      <c r="H458" s="320" t="s">
        <v>3333</v>
      </c>
      <c r="I458" s="320" t="s">
        <v>681</v>
      </c>
      <c r="J458" s="344" t="s">
        <v>3344</v>
      </c>
      <c r="K458" s="357"/>
      <c r="L458" s="263"/>
      <c r="M458" s="263"/>
      <c r="N458" s="263"/>
      <c r="O458" s="263"/>
      <c r="P458" s="263"/>
      <c r="Q458" s="263"/>
    </row>
    <row r="459" spans="1:17">
      <c r="A459" s="320">
        <f t="shared" si="8"/>
        <v>458</v>
      </c>
      <c r="B459" s="359" t="s">
        <v>3780</v>
      </c>
      <c r="C459" s="619" t="s">
        <v>52</v>
      </c>
      <c r="D459" s="619" t="s">
        <v>4262</v>
      </c>
      <c r="E459" s="359" t="s">
        <v>3768</v>
      </c>
      <c r="F459" s="263"/>
      <c r="G459" s="263"/>
      <c r="H459" s="320" t="s">
        <v>3333</v>
      </c>
      <c r="I459" s="320" t="s">
        <v>681</v>
      </c>
      <c r="J459" s="344" t="s">
        <v>3344</v>
      </c>
      <c r="K459" s="357"/>
      <c r="L459" s="263"/>
      <c r="M459" s="263"/>
      <c r="N459" s="263"/>
      <c r="O459" s="263"/>
      <c r="P459" s="263"/>
      <c r="Q459" s="263"/>
    </row>
    <row r="460" spans="1:17">
      <c r="A460" s="320">
        <f t="shared" si="8"/>
        <v>459</v>
      </c>
      <c r="B460" s="359" t="s">
        <v>3781</v>
      </c>
      <c r="C460" s="619" t="s">
        <v>52</v>
      </c>
      <c r="D460" s="619" t="s">
        <v>4262</v>
      </c>
      <c r="E460" s="359" t="s">
        <v>3769</v>
      </c>
      <c r="F460" s="263"/>
      <c r="G460" s="263"/>
      <c r="H460" s="320" t="s">
        <v>3333</v>
      </c>
      <c r="I460" s="320" t="s">
        <v>681</v>
      </c>
      <c r="J460" s="344" t="s">
        <v>3344</v>
      </c>
      <c r="K460" s="357"/>
      <c r="L460" s="263"/>
      <c r="M460" s="263"/>
      <c r="N460" s="263"/>
      <c r="O460" s="263"/>
      <c r="P460" s="263"/>
      <c r="Q460" s="263"/>
    </row>
    <row r="461" spans="1:17">
      <c r="A461" s="320">
        <f t="shared" si="8"/>
        <v>460</v>
      </c>
      <c r="B461" s="359" t="s">
        <v>3782</v>
      </c>
      <c r="C461" s="619" t="s">
        <v>52</v>
      </c>
      <c r="D461" s="619" t="s">
        <v>4262</v>
      </c>
      <c r="E461" s="359" t="s">
        <v>3770</v>
      </c>
      <c r="F461" s="263"/>
      <c r="G461" s="263"/>
      <c r="H461" s="320" t="s">
        <v>3333</v>
      </c>
      <c r="I461" s="320" t="s">
        <v>681</v>
      </c>
      <c r="J461" s="344" t="s">
        <v>3344</v>
      </c>
      <c r="K461" s="357"/>
      <c r="L461" s="263"/>
      <c r="M461" s="263"/>
      <c r="N461" s="263"/>
      <c r="O461" s="263"/>
      <c r="P461" s="263"/>
      <c r="Q461" s="263"/>
    </row>
    <row r="462" spans="1:17">
      <c r="A462" s="320">
        <f t="shared" si="8"/>
        <v>461</v>
      </c>
      <c r="B462" s="359" t="s">
        <v>3783</v>
      </c>
      <c r="C462" s="619" t="s">
        <v>52</v>
      </c>
      <c r="D462" s="619" t="s">
        <v>4262</v>
      </c>
      <c r="E462" s="359" t="s">
        <v>3825</v>
      </c>
      <c r="F462" s="263"/>
      <c r="G462" s="263"/>
      <c r="H462" s="324" t="s">
        <v>3327</v>
      </c>
      <c r="I462" s="320" t="s">
        <v>626</v>
      </c>
      <c r="J462" s="344" t="s">
        <v>7027</v>
      </c>
      <c r="K462" s="344" t="s">
        <v>5521</v>
      </c>
      <c r="L462" s="320" t="s">
        <v>4477</v>
      </c>
      <c r="M462" s="344" t="s">
        <v>29</v>
      </c>
      <c r="N462" s="347"/>
      <c r="O462" s="263"/>
      <c r="P462" s="263"/>
      <c r="Q462" s="263"/>
    </row>
    <row r="463" spans="1:17">
      <c r="A463" s="320">
        <f t="shared" si="8"/>
        <v>462</v>
      </c>
      <c r="B463" s="359" t="s">
        <v>3784</v>
      </c>
      <c r="C463" s="619" t="s">
        <v>52</v>
      </c>
      <c r="D463" s="619" t="s">
        <v>4262</v>
      </c>
      <c r="E463" s="359" t="s">
        <v>3826</v>
      </c>
      <c r="F463" s="263"/>
      <c r="G463" s="263"/>
      <c r="H463" s="324" t="s">
        <v>3327</v>
      </c>
      <c r="I463" s="320" t="s">
        <v>626</v>
      </c>
      <c r="J463" s="344" t="s">
        <v>7027</v>
      </c>
      <c r="K463" s="357" t="s">
        <v>5526</v>
      </c>
      <c r="L463" s="263" t="s">
        <v>4484</v>
      </c>
      <c r="M463" s="344" t="s">
        <v>29</v>
      </c>
      <c r="N463" s="263"/>
      <c r="O463" s="263"/>
      <c r="P463" s="263"/>
      <c r="Q463" s="263"/>
    </row>
    <row r="464" spans="1:17">
      <c r="A464" s="320">
        <f t="shared" si="8"/>
        <v>463</v>
      </c>
      <c r="B464" s="359" t="s">
        <v>3785</v>
      </c>
      <c r="C464" s="619" t="s">
        <v>52</v>
      </c>
      <c r="D464" s="619" t="s">
        <v>4262</v>
      </c>
      <c r="E464" s="359" t="s">
        <v>3827</v>
      </c>
      <c r="F464" s="263"/>
      <c r="G464" s="263"/>
      <c r="H464" s="324" t="s">
        <v>3327</v>
      </c>
      <c r="I464" s="320" t="s">
        <v>626</v>
      </c>
      <c r="J464" s="344" t="s">
        <v>7027</v>
      </c>
      <c r="K464" s="357" t="s">
        <v>5527</v>
      </c>
      <c r="L464" s="263" t="s">
        <v>4485</v>
      </c>
      <c r="M464" s="344" t="s">
        <v>29</v>
      </c>
      <c r="N464" s="263"/>
      <c r="O464" s="263"/>
      <c r="P464" s="263"/>
      <c r="Q464" s="263"/>
    </row>
    <row r="465" spans="1:17">
      <c r="A465" s="320">
        <f t="shared" si="8"/>
        <v>464</v>
      </c>
      <c r="B465" s="359" t="s">
        <v>3786</v>
      </c>
      <c r="C465" s="619" t="s">
        <v>52</v>
      </c>
      <c r="D465" s="619" t="s">
        <v>4262</v>
      </c>
      <c r="E465" s="359" t="s">
        <v>3828</v>
      </c>
      <c r="F465" s="263"/>
      <c r="G465" s="263"/>
      <c r="H465" s="324" t="s">
        <v>3327</v>
      </c>
      <c r="I465" s="320" t="s">
        <v>626</v>
      </c>
      <c r="J465" s="344" t="s">
        <v>7027</v>
      </c>
      <c r="K465" s="357" t="s">
        <v>5523</v>
      </c>
      <c r="L465" s="263" t="s">
        <v>4480</v>
      </c>
      <c r="M465" s="344" t="s">
        <v>29</v>
      </c>
      <c r="N465" s="263"/>
      <c r="O465" s="263"/>
      <c r="P465" s="263"/>
      <c r="Q465" s="263"/>
    </row>
    <row r="466" spans="1:17">
      <c r="A466" s="320">
        <f t="shared" si="8"/>
        <v>465</v>
      </c>
      <c r="B466" s="359" t="s">
        <v>3787</v>
      </c>
      <c r="C466" s="619" t="s">
        <v>52</v>
      </c>
      <c r="D466" s="619" t="s">
        <v>4262</v>
      </c>
      <c r="E466" s="359" t="s">
        <v>3829</v>
      </c>
      <c r="F466" s="263"/>
      <c r="G466" s="263"/>
      <c r="H466" s="324" t="s">
        <v>3327</v>
      </c>
      <c r="I466" s="320" t="s">
        <v>626</v>
      </c>
      <c r="J466" s="344" t="s">
        <v>7027</v>
      </c>
      <c r="K466" s="357" t="s">
        <v>5528</v>
      </c>
      <c r="L466" s="263" t="s">
        <v>4486</v>
      </c>
      <c r="M466" s="344" t="s">
        <v>29</v>
      </c>
      <c r="N466" s="263"/>
      <c r="O466" s="263"/>
      <c r="P466" s="263"/>
      <c r="Q466" s="263"/>
    </row>
    <row r="467" spans="1:17">
      <c r="A467" s="320">
        <f t="shared" si="8"/>
        <v>466</v>
      </c>
      <c r="B467" s="359" t="s">
        <v>3788</v>
      </c>
      <c r="C467" s="619" t="s">
        <v>52</v>
      </c>
      <c r="D467" s="619" t="s">
        <v>4262</v>
      </c>
      <c r="E467" s="359" t="s">
        <v>3830</v>
      </c>
      <c r="F467" s="263"/>
      <c r="G467" s="263"/>
      <c r="H467" s="324" t="s">
        <v>3327</v>
      </c>
      <c r="I467" s="320" t="s">
        <v>626</v>
      </c>
      <c r="J467" s="344" t="s">
        <v>7027</v>
      </c>
      <c r="K467" s="357" t="s">
        <v>5529</v>
      </c>
      <c r="L467" s="263" t="s">
        <v>4487</v>
      </c>
      <c r="M467" s="344" t="s">
        <v>29</v>
      </c>
      <c r="N467" s="263"/>
      <c r="O467" s="263"/>
      <c r="P467" s="263"/>
      <c r="Q467" s="263"/>
    </row>
    <row r="468" spans="1:17">
      <c r="A468" s="320">
        <f t="shared" si="8"/>
        <v>467</v>
      </c>
      <c r="B468" s="359" t="s">
        <v>3789</v>
      </c>
      <c r="C468" s="619" t="s">
        <v>52</v>
      </c>
      <c r="D468" s="619" t="s">
        <v>4262</v>
      </c>
      <c r="E468" s="359" t="s">
        <v>3831</v>
      </c>
      <c r="F468" s="263"/>
      <c r="G468" s="263"/>
      <c r="H468" s="324" t="s">
        <v>3327</v>
      </c>
      <c r="I468" s="320" t="s">
        <v>626</v>
      </c>
      <c r="J468" s="344" t="s">
        <v>7027</v>
      </c>
      <c r="K468" s="357" t="s">
        <v>5530</v>
      </c>
      <c r="L468" s="263" t="s">
        <v>4488</v>
      </c>
      <c r="M468" s="344" t="s">
        <v>29</v>
      </c>
      <c r="N468" s="263"/>
      <c r="O468" s="263"/>
      <c r="P468" s="263"/>
      <c r="Q468" s="263"/>
    </row>
    <row r="469" spans="1:17">
      <c r="A469" s="320">
        <f t="shared" si="8"/>
        <v>468</v>
      </c>
      <c r="B469" s="359" t="s">
        <v>3790</v>
      </c>
      <c r="C469" s="619" t="s">
        <v>52</v>
      </c>
      <c r="D469" s="619" t="s">
        <v>4262</v>
      </c>
      <c r="E469" s="359" t="s">
        <v>3832</v>
      </c>
      <c r="F469" s="263"/>
      <c r="G469" s="263"/>
      <c r="H469" s="324" t="s">
        <v>3327</v>
      </c>
      <c r="I469" s="320" t="s">
        <v>626</v>
      </c>
      <c r="J469" s="344" t="s">
        <v>7027</v>
      </c>
      <c r="K469" s="357" t="s">
        <v>5531</v>
      </c>
      <c r="L469" s="263" t="s">
        <v>4489</v>
      </c>
      <c r="M469" s="344" t="s">
        <v>29</v>
      </c>
      <c r="N469" s="263"/>
      <c r="O469" s="263"/>
      <c r="P469" s="263"/>
      <c r="Q469" s="263"/>
    </row>
    <row r="470" spans="1:17">
      <c r="A470" s="320">
        <f t="shared" si="8"/>
        <v>469</v>
      </c>
      <c r="B470" s="359" t="s">
        <v>3791</v>
      </c>
      <c r="C470" s="619" t="s">
        <v>52</v>
      </c>
      <c r="D470" s="619" t="s">
        <v>4262</v>
      </c>
      <c r="E470" s="359" t="s">
        <v>3833</v>
      </c>
      <c r="F470" s="263"/>
      <c r="G470" s="263"/>
      <c r="H470" s="324" t="s">
        <v>3327</v>
      </c>
      <c r="I470" s="320" t="s">
        <v>626</v>
      </c>
      <c r="J470" s="344" t="s">
        <v>7027</v>
      </c>
      <c r="K470" s="357" t="s">
        <v>3833</v>
      </c>
      <c r="L470" s="263" t="s">
        <v>4490</v>
      </c>
      <c r="M470" s="344" t="s">
        <v>29</v>
      </c>
      <c r="N470" s="263"/>
      <c r="O470" s="263"/>
      <c r="P470" s="263"/>
      <c r="Q470" s="263"/>
    </row>
    <row r="471" spans="1:17">
      <c r="A471" s="320">
        <f t="shared" si="8"/>
        <v>470</v>
      </c>
      <c r="B471" s="359" t="s">
        <v>3792</v>
      </c>
      <c r="C471" s="619" t="s">
        <v>52</v>
      </c>
      <c r="D471" s="619" t="s">
        <v>4262</v>
      </c>
      <c r="E471" s="359" t="s">
        <v>3834</v>
      </c>
      <c r="F471" s="263"/>
      <c r="G471" s="263"/>
      <c r="H471" s="324" t="s">
        <v>3327</v>
      </c>
      <c r="I471" s="320" t="s">
        <v>626</v>
      </c>
      <c r="J471" s="344" t="s">
        <v>7027</v>
      </c>
      <c r="K471" s="357" t="s">
        <v>3834</v>
      </c>
      <c r="L471" s="263" t="s">
        <v>5525</v>
      </c>
      <c r="M471" s="344" t="s">
        <v>29</v>
      </c>
      <c r="N471" s="263"/>
      <c r="O471" s="263"/>
      <c r="P471" s="263"/>
      <c r="Q471" s="263"/>
    </row>
    <row r="472" spans="1:17">
      <c r="A472" s="320">
        <f t="shared" si="8"/>
        <v>471</v>
      </c>
      <c r="B472" s="359" t="s">
        <v>3793</v>
      </c>
      <c r="C472" s="619" t="s">
        <v>52</v>
      </c>
      <c r="D472" s="619" t="s">
        <v>4262</v>
      </c>
      <c r="E472" s="359" t="s">
        <v>3835</v>
      </c>
      <c r="F472" s="263"/>
      <c r="G472" s="263"/>
      <c r="H472" s="324" t="s">
        <v>3327</v>
      </c>
      <c r="I472" s="320" t="s">
        <v>626</v>
      </c>
      <c r="J472" s="344" t="s">
        <v>7027</v>
      </c>
      <c r="K472" s="357" t="s">
        <v>5532</v>
      </c>
      <c r="L472" s="263" t="s">
        <v>4491</v>
      </c>
      <c r="M472" s="344" t="s">
        <v>29</v>
      </c>
      <c r="N472" s="263"/>
      <c r="O472" s="263"/>
      <c r="P472" s="263"/>
      <c r="Q472" s="263"/>
    </row>
    <row r="473" spans="1:17">
      <c r="A473" s="320">
        <f t="shared" si="8"/>
        <v>472</v>
      </c>
      <c r="B473" s="359" t="s">
        <v>3794</v>
      </c>
      <c r="C473" s="619" t="s">
        <v>52</v>
      </c>
      <c r="D473" s="619" t="s">
        <v>4262</v>
      </c>
      <c r="E473" s="359" t="s">
        <v>3836</v>
      </c>
      <c r="F473" s="263"/>
      <c r="G473" s="263"/>
      <c r="H473" s="324" t="s">
        <v>2965</v>
      </c>
      <c r="I473" s="320" t="s">
        <v>3030</v>
      </c>
      <c r="J473" s="344" t="s">
        <v>3336</v>
      </c>
      <c r="K473" s="357" t="s">
        <v>5576</v>
      </c>
      <c r="L473" s="357" t="s">
        <v>4658</v>
      </c>
      <c r="M473" s="344" t="s">
        <v>932</v>
      </c>
    </row>
    <row r="474" spans="1:17">
      <c r="A474" s="320">
        <f t="shared" si="8"/>
        <v>473</v>
      </c>
      <c r="B474" s="359" t="s">
        <v>3795</v>
      </c>
      <c r="C474" s="619" t="s">
        <v>52</v>
      </c>
      <c r="D474" s="619" t="s">
        <v>4262</v>
      </c>
      <c r="E474" s="359" t="s">
        <v>3837</v>
      </c>
      <c r="F474" s="263"/>
      <c r="G474" s="263"/>
      <c r="H474" s="324" t="s">
        <v>2965</v>
      </c>
      <c r="I474" s="320" t="s">
        <v>3030</v>
      </c>
      <c r="J474" s="344" t="s">
        <v>3336</v>
      </c>
      <c r="K474" s="357" t="s">
        <v>5541</v>
      </c>
      <c r="L474" s="344" t="s">
        <v>4570</v>
      </c>
      <c r="M474" s="344" t="s">
        <v>932</v>
      </c>
    </row>
    <row r="475" spans="1:17">
      <c r="A475" s="320">
        <f t="shared" si="8"/>
        <v>474</v>
      </c>
      <c r="B475" s="359" t="s">
        <v>3796</v>
      </c>
      <c r="C475" s="619" t="s">
        <v>52</v>
      </c>
      <c r="D475" s="619" t="s">
        <v>4262</v>
      </c>
      <c r="E475" s="359" t="s">
        <v>3838</v>
      </c>
      <c r="F475" s="263"/>
      <c r="G475" s="263"/>
      <c r="H475" s="324" t="s">
        <v>2965</v>
      </c>
      <c r="I475" s="320" t="s">
        <v>3030</v>
      </c>
      <c r="J475" s="344" t="s">
        <v>3336</v>
      </c>
      <c r="K475" s="357" t="s">
        <v>5577</v>
      </c>
      <c r="L475" s="357" t="s">
        <v>4659</v>
      </c>
      <c r="M475" s="344" t="s">
        <v>932</v>
      </c>
    </row>
    <row r="476" spans="1:17">
      <c r="A476" s="320">
        <f t="shared" si="8"/>
        <v>475</v>
      </c>
      <c r="B476" s="359" t="s">
        <v>3797</v>
      </c>
      <c r="C476" s="619" t="s">
        <v>52</v>
      </c>
      <c r="D476" s="619" t="s">
        <v>4262</v>
      </c>
      <c r="E476" s="359" t="s">
        <v>3839</v>
      </c>
      <c r="F476" s="263"/>
      <c r="G476" s="263"/>
      <c r="H476" s="324" t="s">
        <v>2965</v>
      </c>
      <c r="I476" s="320" t="s">
        <v>3030</v>
      </c>
      <c r="J476" s="344" t="s">
        <v>3336</v>
      </c>
      <c r="K476" s="357" t="s">
        <v>5578</v>
      </c>
      <c r="L476" s="357" t="s">
        <v>4660</v>
      </c>
      <c r="M476" s="344" t="s">
        <v>932</v>
      </c>
    </row>
    <row r="477" spans="1:17">
      <c r="A477" s="320">
        <f t="shared" si="8"/>
        <v>476</v>
      </c>
      <c r="B477" s="359" t="s">
        <v>3798</v>
      </c>
      <c r="C477" s="619" t="s">
        <v>52</v>
      </c>
      <c r="D477" s="619" t="s">
        <v>4262</v>
      </c>
      <c r="E477" s="359" t="s">
        <v>3840</v>
      </c>
      <c r="F477" s="263"/>
      <c r="G477" s="263"/>
      <c r="H477" s="324" t="s">
        <v>2965</v>
      </c>
      <c r="I477" s="320" t="s">
        <v>3030</v>
      </c>
      <c r="J477" s="344" t="s">
        <v>3336</v>
      </c>
      <c r="K477" s="357" t="s">
        <v>3840</v>
      </c>
      <c r="L477" s="357" t="s">
        <v>4638</v>
      </c>
      <c r="M477" s="344" t="s">
        <v>932</v>
      </c>
    </row>
    <row r="478" spans="1:17">
      <c r="A478" s="320">
        <f t="shared" si="8"/>
        <v>477</v>
      </c>
      <c r="B478" s="359" t="s">
        <v>3799</v>
      </c>
      <c r="C478" s="619" t="s">
        <v>52</v>
      </c>
      <c r="D478" s="619" t="s">
        <v>4262</v>
      </c>
      <c r="E478" s="359" t="s">
        <v>3841</v>
      </c>
      <c r="F478" s="263"/>
      <c r="G478" s="263"/>
      <c r="H478" s="324" t="s">
        <v>2965</v>
      </c>
      <c r="I478" s="320" t="s">
        <v>3030</v>
      </c>
      <c r="J478" s="344" t="s">
        <v>3336</v>
      </c>
      <c r="K478" s="357" t="s">
        <v>3841</v>
      </c>
      <c r="L478" s="357" t="s">
        <v>4661</v>
      </c>
      <c r="M478" s="344" t="s">
        <v>932</v>
      </c>
    </row>
    <row r="479" spans="1:17">
      <c r="A479" s="320">
        <f t="shared" si="8"/>
        <v>478</v>
      </c>
      <c r="B479" s="359" t="s">
        <v>3800</v>
      </c>
      <c r="C479" s="619" t="s">
        <v>52</v>
      </c>
      <c r="D479" s="619" t="s">
        <v>4262</v>
      </c>
      <c r="E479" s="359" t="s">
        <v>3842</v>
      </c>
      <c r="F479" s="263"/>
      <c r="G479" s="263"/>
      <c r="H479" s="324" t="s">
        <v>2965</v>
      </c>
      <c r="I479" s="320" t="s">
        <v>3030</v>
      </c>
      <c r="J479" s="344" t="s">
        <v>3336</v>
      </c>
      <c r="K479" s="357" t="s">
        <v>3842</v>
      </c>
      <c r="L479" s="357" t="s">
        <v>4662</v>
      </c>
      <c r="M479" s="344" t="s">
        <v>932</v>
      </c>
    </row>
    <row r="480" spans="1:17">
      <c r="A480" s="320">
        <f t="shared" si="8"/>
        <v>479</v>
      </c>
      <c r="B480" s="359" t="s">
        <v>3801</v>
      </c>
      <c r="C480" s="619" t="s">
        <v>52</v>
      </c>
      <c r="D480" s="619" t="s">
        <v>4262</v>
      </c>
      <c r="E480" s="359" t="s">
        <v>3843</v>
      </c>
      <c r="F480" s="263"/>
      <c r="G480" s="263"/>
      <c r="H480" s="324" t="s">
        <v>2965</v>
      </c>
      <c r="I480" s="320" t="s">
        <v>3030</v>
      </c>
      <c r="J480" s="344" t="s">
        <v>3336</v>
      </c>
      <c r="K480" s="357" t="s">
        <v>5579</v>
      </c>
      <c r="L480" s="357" t="s">
        <v>4663</v>
      </c>
      <c r="M480" s="344" t="s">
        <v>932</v>
      </c>
    </row>
    <row r="481" spans="1:13">
      <c r="A481" s="320">
        <f t="shared" si="8"/>
        <v>480</v>
      </c>
      <c r="B481" s="359" t="s">
        <v>3802</v>
      </c>
      <c r="C481" s="619" t="s">
        <v>52</v>
      </c>
      <c r="D481" s="619" t="s">
        <v>4262</v>
      </c>
      <c r="E481" s="359" t="s">
        <v>3844</v>
      </c>
      <c r="F481" s="263"/>
      <c r="G481" s="263"/>
      <c r="H481" s="324" t="s">
        <v>2965</v>
      </c>
      <c r="I481" s="320" t="s">
        <v>3030</v>
      </c>
      <c r="J481" s="344" t="s">
        <v>3336</v>
      </c>
      <c r="K481" s="357" t="s">
        <v>5560</v>
      </c>
      <c r="L481" s="357" t="s">
        <v>4618</v>
      </c>
      <c r="M481" s="344" t="s">
        <v>932</v>
      </c>
    </row>
    <row r="482" spans="1:13">
      <c r="A482" s="320">
        <f t="shared" si="8"/>
        <v>481</v>
      </c>
      <c r="B482" s="359" t="s">
        <v>3803</v>
      </c>
      <c r="C482" s="619" t="s">
        <v>52</v>
      </c>
      <c r="D482" s="619" t="s">
        <v>4262</v>
      </c>
      <c r="E482" s="359" t="s">
        <v>3845</v>
      </c>
      <c r="F482" s="263"/>
      <c r="G482" s="263"/>
      <c r="H482" s="324" t="s">
        <v>2965</v>
      </c>
      <c r="I482" s="320" t="s">
        <v>3030</v>
      </c>
      <c r="J482" s="344" t="s">
        <v>3336</v>
      </c>
      <c r="K482" s="357" t="s">
        <v>5544</v>
      </c>
      <c r="L482" s="357" t="s">
        <v>4574</v>
      </c>
      <c r="M482" s="344" t="s">
        <v>932</v>
      </c>
    </row>
    <row r="483" spans="1:13">
      <c r="A483" s="320">
        <f t="shared" si="8"/>
        <v>482</v>
      </c>
      <c r="B483" s="359" t="s">
        <v>3804</v>
      </c>
      <c r="C483" s="619" t="s">
        <v>52</v>
      </c>
      <c r="D483" s="619" t="s">
        <v>4262</v>
      </c>
      <c r="E483" s="359" t="s">
        <v>3846</v>
      </c>
      <c r="F483" s="263"/>
      <c r="G483" s="263"/>
      <c r="H483" s="324" t="s">
        <v>2965</v>
      </c>
      <c r="I483" s="320" t="s">
        <v>3030</v>
      </c>
      <c r="J483" s="344" t="s">
        <v>3336</v>
      </c>
      <c r="K483" s="357" t="s">
        <v>3846</v>
      </c>
      <c r="L483" s="357" t="s">
        <v>4624</v>
      </c>
      <c r="M483" s="344" t="s">
        <v>932</v>
      </c>
    </row>
    <row r="484" spans="1:13">
      <c r="A484" s="320">
        <f t="shared" si="8"/>
        <v>483</v>
      </c>
      <c r="B484" s="359" t="s">
        <v>3805</v>
      </c>
      <c r="C484" s="619" t="s">
        <v>52</v>
      </c>
      <c r="D484" s="619" t="s">
        <v>4262</v>
      </c>
      <c r="E484" s="359" t="s">
        <v>3847</v>
      </c>
      <c r="F484" s="263"/>
      <c r="G484" s="263"/>
      <c r="H484" s="324" t="s">
        <v>2965</v>
      </c>
      <c r="I484" s="320" t="s">
        <v>3030</v>
      </c>
      <c r="J484" s="344" t="s">
        <v>3336</v>
      </c>
      <c r="K484" s="357" t="s">
        <v>5563</v>
      </c>
      <c r="L484" s="357" t="s">
        <v>4626</v>
      </c>
      <c r="M484" s="344" t="s">
        <v>932</v>
      </c>
    </row>
    <row r="485" spans="1:13">
      <c r="A485" s="320">
        <f t="shared" si="8"/>
        <v>484</v>
      </c>
      <c r="B485" s="359" t="s">
        <v>3806</v>
      </c>
      <c r="C485" s="619" t="s">
        <v>52</v>
      </c>
      <c r="D485" s="619" t="s">
        <v>4262</v>
      </c>
      <c r="E485" s="359" t="s">
        <v>3848</v>
      </c>
      <c r="F485" s="263"/>
      <c r="G485" s="263"/>
      <c r="H485" s="324" t="s">
        <v>2965</v>
      </c>
      <c r="I485" s="320" t="s">
        <v>3030</v>
      </c>
      <c r="J485" s="344" t="s">
        <v>3336</v>
      </c>
      <c r="K485" s="357" t="s">
        <v>5580</v>
      </c>
      <c r="L485" s="357" t="s">
        <v>4664</v>
      </c>
      <c r="M485" s="344" t="s">
        <v>932</v>
      </c>
    </row>
    <row r="486" spans="1:13">
      <c r="A486" s="320">
        <f t="shared" si="8"/>
        <v>485</v>
      </c>
      <c r="B486" s="359" t="s">
        <v>3807</v>
      </c>
      <c r="C486" s="619" t="s">
        <v>52</v>
      </c>
      <c r="D486" s="619" t="s">
        <v>4262</v>
      </c>
      <c r="E486" s="359" t="s">
        <v>3849</v>
      </c>
      <c r="F486" s="263"/>
      <c r="G486" s="263"/>
      <c r="H486" s="324" t="s">
        <v>2965</v>
      </c>
      <c r="I486" s="320" t="s">
        <v>3030</v>
      </c>
      <c r="J486" s="344" t="s">
        <v>3336</v>
      </c>
      <c r="K486" s="357" t="s">
        <v>5581</v>
      </c>
      <c r="L486" s="357" t="s">
        <v>4665</v>
      </c>
      <c r="M486" s="344" t="s">
        <v>932</v>
      </c>
    </row>
    <row r="487" spans="1:13">
      <c r="A487" s="320">
        <f t="shared" si="8"/>
        <v>486</v>
      </c>
      <c r="B487" s="359" t="s">
        <v>3808</v>
      </c>
      <c r="C487" s="619" t="s">
        <v>52</v>
      </c>
      <c r="D487" s="619" t="s">
        <v>4262</v>
      </c>
      <c r="E487" s="359" t="s">
        <v>3850</v>
      </c>
      <c r="F487" s="263"/>
      <c r="G487" s="263"/>
      <c r="H487" s="324" t="s">
        <v>2965</v>
      </c>
      <c r="I487" s="320" t="s">
        <v>3030</v>
      </c>
      <c r="J487" s="344" t="s">
        <v>3336</v>
      </c>
      <c r="K487" s="357" t="s">
        <v>5582</v>
      </c>
      <c r="L487" s="357" t="s">
        <v>4666</v>
      </c>
      <c r="M487" s="344" t="s">
        <v>932</v>
      </c>
    </row>
    <row r="488" spans="1:13">
      <c r="A488" s="320">
        <f t="shared" si="8"/>
        <v>487</v>
      </c>
      <c r="B488" s="359" t="s">
        <v>3809</v>
      </c>
      <c r="C488" s="619" t="s">
        <v>52</v>
      </c>
      <c r="D488" s="619" t="s">
        <v>4262</v>
      </c>
      <c r="E488" s="359" t="s">
        <v>3851</v>
      </c>
      <c r="F488" s="263"/>
      <c r="G488" s="263"/>
      <c r="H488" s="324" t="s">
        <v>2965</v>
      </c>
      <c r="I488" s="320" t="s">
        <v>3030</v>
      </c>
      <c r="J488" s="344" t="s">
        <v>3336</v>
      </c>
      <c r="K488" s="357" t="s">
        <v>5583</v>
      </c>
      <c r="L488" s="357" t="s">
        <v>4667</v>
      </c>
      <c r="M488" s="344" t="s">
        <v>932</v>
      </c>
    </row>
    <row r="489" spans="1:13">
      <c r="A489" s="320">
        <f t="shared" si="8"/>
        <v>488</v>
      </c>
      <c r="B489" s="359" t="s">
        <v>3810</v>
      </c>
      <c r="C489" s="619" t="s">
        <v>52</v>
      </c>
      <c r="D489" s="619" t="s">
        <v>4262</v>
      </c>
      <c r="E489" s="359" t="s">
        <v>3852</v>
      </c>
      <c r="F489" s="263"/>
      <c r="G489" s="263"/>
      <c r="H489" s="324" t="s">
        <v>2965</v>
      </c>
      <c r="I489" s="320" t="s">
        <v>3030</v>
      </c>
      <c r="J489" s="344" t="s">
        <v>3336</v>
      </c>
      <c r="K489" s="357" t="s">
        <v>5567</v>
      </c>
      <c r="L489" s="357" t="s">
        <v>4634</v>
      </c>
      <c r="M489" s="344" t="s">
        <v>932</v>
      </c>
    </row>
    <row r="490" spans="1:13">
      <c r="A490" s="320">
        <f t="shared" si="8"/>
        <v>489</v>
      </c>
      <c r="B490" s="359" t="s">
        <v>3811</v>
      </c>
      <c r="C490" s="619" t="s">
        <v>52</v>
      </c>
      <c r="D490" s="619" t="s">
        <v>4262</v>
      </c>
      <c r="E490" s="359" t="s">
        <v>3853</v>
      </c>
      <c r="F490" s="263"/>
      <c r="G490" s="263"/>
      <c r="H490" s="324" t="s">
        <v>2965</v>
      </c>
      <c r="I490" s="320" t="s">
        <v>3030</v>
      </c>
      <c r="J490" s="344" t="s">
        <v>3336</v>
      </c>
      <c r="K490" s="357" t="s">
        <v>5584</v>
      </c>
      <c r="L490" s="357" t="s">
        <v>7032</v>
      </c>
      <c r="M490" s="344" t="s">
        <v>932</v>
      </c>
    </row>
    <row r="491" spans="1:13">
      <c r="A491" s="320">
        <f t="shared" si="8"/>
        <v>490</v>
      </c>
      <c r="B491" s="359" t="s">
        <v>3812</v>
      </c>
      <c r="C491" s="619" t="s">
        <v>52</v>
      </c>
      <c r="D491" s="619" t="s">
        <v>4262</v>
      </c>
      <c r="E491" s="359" t="s">
        <v>3854</v>
      </c>
      <c r="F491" s="263"/>
      <c r="G491" s="263"/>
      <c r="H491" s="324" t="s">
        <v>2965</v>
      </c>
      <c r="I491" s="320" t="s">
        <v>3030</v>
      </c>
      <c r="J491" s="344" t="s">
        <v>3336</v>
      </c>
      <c r="K491" s="357" t="s">
        <v>3854</v>
      </c>
      <c r="L491" s="357" t="s">
        <v>4636</v>
      </c>
      <c r="M491" s="344" t="s">
        <v>932</v>
      </c>
    </row>
    <row r="492" spans="1:13">
      <c r="A492" s="320">
        <f t="shared" si="8"/>
        <v>491</v>
      </c>
      <c r="B492" s="359" t="s">
        <v>3813</v>
      </c>
      <c r="C492" s="619" t="s">
        <v>52</v>
      </c>
      <c r="D492" s="619" t="s">
        <v>4262</v>
      </c>
      <c r="E492" s="359" t="s">
        <v>3855</v>
      </c>
      <c r="F492" s="263"/>
      <c r="G492" s="263"/>
      <c r="H492" s="324" t="s">
        <v>2965</v>
      </c>
      <c r="I492" s="320" t="s">
        <v>3030</v>
      </c>
      <c r="J492" s="344" t="s">
        <v>3336</v>
      </c>
      <c r="K492" s="357" t="s">
        <v>3855</v>
      </c>
      <c r="L492" s="357" t="s">
        <v>4506</v>
      </c>
      <c r="M492" s="344" t="s">
        <v>932</v>
      </c>
    </row>
    <row r="493" spans="1:13">
      <c r="A493" s="320">
        <f t="shared" si="8"/>
        <v>492</v>
      </c>
      <c r="B493" s="359" t="s">
        <v>3814</v>
      </c>
      <c r="C493" s="619" t="s">
        <v>52</v>
      </c>
      <c r="D493" s="619" t="s">
        <v>4262</v>
      </c>
      <c r="E493" s="359" t="s">
        <v>3856</v>
      </c>
      <c r="F493" s="263"/>
      <c r="G493" s="263"/>
      <c r="H493" s="324" t="s">
        <v>2965</v>
      </c>
      <c r="I493" s="320" t="s">
        <v>3030</v>
      </c>
      <c r="J493" s="344" t="s">
        <v>3336</v>
      </c>
      <c r="K493" s="357" t="s">
        <v>5555</v>
      </c>
      <c r="L493" s="263" t="s">
        <v>4608</v>
      </c>
      <c r="M493" s="344" t="s">
        <v>932</v>
      </c>
    </row>
    <row r="494" spans="1:13">
      <c r="A494" s="320">
        <f t="shared" si="8"/>
        <v>493</v>
      </c>
      <c r="B494" s="359" t="s">
        <v>3815</v>
      </c>
      <c r="C494" s="619" t="s">
        <v>52</v>
      </c>
      <c r="D494" s="619" t="s">
        <v>4262</v>
      </c>
      <c r="E494" s="359" t="s">
        <v>3857</v>
      </c>
      <c r="F494" s="263"/>
      <c r="G494" s="263"/>
      <c r="H494" s="324" t="s">
        <v>2965</v>
      </c>
      <c r="I494" s="320" t="s">
        <v>3030</v>
      </c>
      <c r="J494" s="344" t="s">
        <v>3336</v>
      </c>
      <c r="K494" s="357" t="s">
        <v>5585</v>
      </c>
      <c r="L494" s="263" t="s">
        <v>4669</v>
      </c>
      <c r="M494" s="344" t="s">
        <v>932</v>
      </c>
    </row>
    <row r="495" spans="1:13">
      <c r="A495" s="320">
        <f t="shared" si="8"/>
        <v>494</v>
      </c>
      <c r="B495" s="359" t="s">
        <v>3816</v>
      </c>
      <c r="C495" s="619" t="s">
        <v>52</v>
      </c>
      <c r="D495" s="619" t="s">
        <v>4262</v>
      </c>
      <c r="E495" s="359" t="s">
        <v>3858</v>
      </c>
      <c r="F495" s="263"/>
      <c r="G495" s="263"/>
      <c r="H495" s="324" t="s">
        <v>2965</v>
      </c>
      <c r="I495" s="320" t="s">
        <v>3030</v>
      </c>
      <c r="J495" s="344" t="s">
        <v>3336</v>
      </c>
      <c r="K495" s="357" t="s">
        <v>5536</v>
      </c>
      <c r="L495" s="263" t="s">
        <v>4556</v>
      </c>
      <c r="M495" s="344" t="s">
        <v>932</v>
      </c>
    </row>
    <row r="496" spans="1:13">
      <c r="A496" s="320">
        <f t="shared" si="8"/>
        <v>495</v>
      </c>
      <c r="B496" s="359" t="s">
        <v>3817</v>
      </c>
      <c r="C496" s="619" t="s">
        <v>52</v>
      </c>
      <c r="D496" s="619" t="s">
        <v>4262</v>
      </c>
      <c r="E496" s="359" t="s">
        <v>3859</v>
      </c>
      <c r="F496" s="263"/>
      <c r="G496" s="263"/>
      <c r="H496" s="324" t="s">
        <v>2965</v>
      </c>
      <c r="I496" s="320" t="s">
        <v>3030</v>
      </c>
      <c r="J496" s="344" t="s">
        <v>3336</v>
      </c>
      <c r="K496" s="357" t="s">
        <v>5556</v>
      </c>
      <c r="L496" s="263" t="s">
        <v>4610</v>
      </c>
      <c r="M496" s="344" t="s">
        <v>932</v>
      </c>
    </row>
    <row r="497" spans="1:13">
      <c r="A497" s="320">
        <f t="shared" si="8"/>
        <v>496</v>
      </c>
      <c r="B497" s="359" t="s">
        <v>3818</v>
      </c>
      <c r="C497" s="619" t="s">
        <v>52</v>
      </c>
      <c r="D497" s="619" t="s">
        <v>4262</v>
      </c>
      <c r="E497" s="359" t="s">
        <v>3860</v>
      </c>
      <c r="F497" s="263"/>
      <c r="G497" s="263"/>
      <c r="H497" s="324" t="s">
        <v>2965</v>
      </c>
      <c r="I497" s="320" t="s">
        <v>3030</v>
      </c>
      <c r="J497" s="344" t="s">
        <v>3336</v>
      </c>
      <c r="K497" s="357" t="s">
        <v>5586</v>
      </c>
      <c r="L497" s="263" t="s">
        <v>4670</v>
      </c>
      <c r="M497" s="344" t="s">
        <v>932</v>
      </c>
    </row>
    <row r="498" spans="1:13">
      <c r="A498" s="320">
        <f t="shared" si="8"/>
        <v>497</v>
      </c>
      <c r="B498" s="359" t="s">
        <v>3819</v>
      </c>
      <c r="C498" s="619" t="s">
        <v>52</v>
      </c>
      <c r="D498" s="619" t="s">
        <v>4262</v>
      </c>
      <c r="E498" s="359" t="s">
        <v>3861</v>
      </c>
      <c r="F498" s="263"/>
      <c r="G498" s="263"/>
      <c r="H498" s="324" t="s">
        <v>2965</v>
      </c>
      <c r="I498" s="320" t="s">
        <v>3030</v>
      </c>
      <c r="J498" s="344" t="s">
        <v>3336</v>
      </c>
      <c r="K498" s="357" t="s">
        <v>5561</v>
      </c>
      <c r="L498" s="263" t="s">
        <v>4620</v>
      </c>
      <c r="M498" s="344" t="s">
        <v>932</v>
      </c>
    </row>
    <row r="499" spans="1:13">
      <c r="A499" s="320">
        <f t="shared" si="8"/>
        <v>498</v>
      </c>
      <c r="B499" s="359" t="s">
        <v>3820</v>
      </c>
      <c r="C499" s="619" t="s">
        <v>52</v>
      </c>
      <c r="D499" s="619" t="s">
        <v>4262</v>
      </c>
      <c r="E499" s="359" t="s">
        <v>3862</v>
      </c>
      <c r="F499" s="263"/>
      <c r="G499" s="263"/>
      <c r="H499" s="324" t="s">
        <v>2965</v>
      </c>
      <c r="I499" s="320" t="s">
        <v>3030</v>
      </c>
      <c r="J499" s="344" t="s">
        <v>3336</v>
      </c>
      <c r="K499" s="357" t="s">
        <v>5587</v>
      </c>
      <c r="L499" s="263" t="s">
        <v>4671</v>
      </c>
      <c r="M499" s="344" t="s">
        <v>932</v>
      </c>
    </row>
    <row r="500" spans="1:13">
      <c r="A500" s="320">
        <f t="shared" si="8"/>
        <v>499</v>
      </c>
      <c r="B500" s="359" t="s">
        <v>3821</v>
      </c>
      <c r="C500" s="619" t="s">
        <v>52</v>
      </c>
      <c r="D500" s="619" t="s">
        <v>4262</v>
      </c>
      <c r="E500" s="359" t="s">
        <v>3863</v>
      </c>
      <c r="F500" s="263"/>
      <c r="G500" s="263"/>
      <c r="H500" s="324" t="s">
        <v>2965</v>
      </c>
      <c r="I500" s="320" t="s">
        <v>3030</v>
      </c>
      <c r="J500" s="344" t="s">
        <v>3336</v>
      </c>
      <c r="K500" s="357" t="s">
        <v>5588</v>
      </c>
      <c r="L500" s="263" t="s">
        <v>4672</v>
      </c>
      <c r="M500" s="344" t="s">
        <v>932</v>
      </c>
    </row>
    <row r="501" spans="1:13">
      <c r="A501" s="239">
        <f t="shared" si="8"/>
        <v>500</v>
      </c>
      <c r="B501" s="517" t="s">
        <v>3822</v>
      </c>
      <c r="C501" s="619" t="s">
        <v>52</v>
      </c>
      <c r="D501" s="619" t="s">
        <v>4262</v>
      </c>
      <c r="E501" s="517" t="s">
        <v>3864</v>
      </c>
      <c r="F501" s="532"/>
      <c r="G501" s="532"/>
      <c r="H501" s="237" t="s">
        <v>2965</v>
      </c>
      <c r="I501" s="239" t="s">
        <v>3030</v>
      </c>
      <c r="J501" s="197" t="s">
        <v>3336</v>
      </c>
      <c r="K501" s="544" t="s">
        <v>5568</v>
      </c>
      <c r="L501" s="532" t="s">
        <v>4640</v>
      </c>
      <c r="M501" s="553" t="s">
        <v>932</v>
      </c>
    </row>
    <row r="502" spans="1:13">
      <c r="A502" s="239">
        <f t="shared" si="8"/>
        <v>501</v>
      </c>
      <c r="B502" s="517" t="s">
        <v>3823</v>
      </c>
      <c r="C502" s="619" t="s">
        <v>52</v>
      </c>
      <c r="D502" s="619" t="s">
        <v>4262</v>
      </c>
      <c r="E502" s="517" t="s">
        <v>2894</v>
      </c>
      <c r="F502" s="532"/>
      <c r="G502" s="532"/>
      <c r="H502" s="237" t="s">
        <v>2965</v>
      </c>
      <c r="I502" s="239" t="s">
        <v>3030</v>
      </c>
      <c r="J502" s="197" t="s">
        <v>3336</v>
      </c>
      <c r="K502" s="544" t="s">
        <v>2894</v>
      </c>
      <c r="L502" s="532" t="s">
        <v>4560</v>
      </c>
      <c r="M502" s="553" t="s">
        <v>932</v>
      </c>
    </row>
    <row r="503" spans="1:13">
      <c r="A503" s="239">
        <f t="shared" si="8"/>
        <v>502</v>
      </c>
      <c r="B503" s="517" t="s">
        <v>3824</v>
      </c>
      <c r="C503" s="619" t="s">
        <v>52</v>
      </c>
      <c r="D503" s="619" t="s">
        <v>4262</v>
      </c>
      <c r="E503" s="517" t="s">
        <v>3865</v>
      </c>
      <c r="F503" s="532"/>
      <c r="G503" s="532"/>
      <c r="H503" s="237" t="s">
        <v>2965</v>
      </c>
      <c r="I503" s="239" t="s">
        <v>3030</v>
      </c>
      <c r="J503" s="197" t="s">
        <v>3336</v>
      </c>
      <c r="K503" s="544" t="s">
        <v>3865</v>
      </c>
      <c r="L503" s="532" t="s">
        <v>4568</v>
      </c>
      <c r="M503" s="553" t="s">
        <v>932</v>
      </c>
    </row>
    <row r="504" spans="1:13">
      <c r="A504" s="239">
        <f t="shared" si="8"/>
        <v>503</v>
      </c>
      <c r="B504" s="517" t="s">
        <v>3866</v>
      </c>
      <c r="C504" s="554" t="s">
        <v>52</v>
      </c>
      <c r="D504" s="563" t="s">
        <v>4262</v>
      </c>
      <c r="E504" s="517" t="s">
        <v>3867</v>
      </c>
      <c r="F504" s="532"/>
      <c r="G504" s="532"/>
      <c r="H504" s="239" t="s">
        <v>3333</v>
      </c>
      <c r="I504" s="239" t="s">
        <v>681</v>
      </c>
      <c r="J504" s="197" t="s">
        <v>3344</v>
      </c>
      <c r="K504" s="544" t="s">
        <v>7385</v>
      </c>
      <c r="L504" s="532"/>
    </row>
    <row r="505" spans="1:13">
      <c r="A505" s="239">
        <f t="shared" si="8"/>
        <v>504</v>
      </c>
      <c r="B505" s="517" t="s">
        <v>3868</v>
      </c>
      <c r="C505" s="554" t="s">
        <v>52</v>
      </c>
      <c r="D505" s="563" t="s">
        <v>4262</v>
      </c>
      <c r="E505" s="517" t="s">
        <v>3869</v>
      </c>
      <c r="F505" s="532"/>
      <c r="G505" s="532"/>
      <c r="H505" s="239" t="s">
        <v>3333</v>
      </c>
      <c r="I505" s="239" t="s">
        <v>681</v>
      </c>
      <c r="J505" s="197" t="s">
        <v>3344</v>
      </c>
      <c r="K505" s="544" t="s">
        <v>7386</v>
      </c>
      <c r="L505" s="532"/>
    </row>
    <row r="506" spans="1:13">
      <c r="A506" s="239">
        <f t="shared" si="8"/>
        <v>505</v>
      </c>
      <c r="B506" s="517" t="s">
        <v>3870</v>
      </c>
      <c r="C506" s="554" t="s">
        <v>4258</v>
      </c>
      <c r="D506" s="563" t="s">
        <v>4262</v>
      </c>
      <c r="E506" s="517" t="s">
        <v>3871</v>
      </c>
      <c r="F506" s="532"/>
      <c r="G506" s="532"/>
      <c r="H506" s="239" t="s">
        <v>3333</v>
      </c>
      <c r="I506" s="239" t="s">
        <v>681</v>
      </c>
      <c r="J506" s="197" t="s">
        <v>3344</v>
      </c>
      <c r="K506" s="544" t="s">
        <v>7387</v>
      </c>
      <c r="L506" s="532"/>
    </row>
    <row r="507" spans="1:13">
      <c r="A507" s="239">
        <f t="shared" si="8"/>
        <v>506</v>
      </c>
      <c r="B507" s="517" t="s">
        <v>3872</v>
      </c>
      <c r="C507" s="554" t="s">
        <v>52</v>
      </c>
      <c r="D507" s="563" t="s">
        <v>4262</v>
      </c>
      <c r="E507" s="517" t="s">
        <v>3873</v>
      </c>
      <c r="F507" s="532"/>
      <c r="G507" s="532"/>
      <c r="H507" s="239" t="s">
        <v>3333</v>
      </c>
      <c r="I507" s="239" t="s">
        <v>681</v>
      </c>
      <c r="J507" s="197" t="s">
        <v>3344</v>
      </c>
      <c r="K507" s="544" t="s">
        <v>7388</v>
      </c>
      <c r="L507" s="532"/>
    </row>
    <row r="508" spans="1:13">
      <c r="A508" s="239">
        <f t="shared" si="8"/>
        <v>507</v>
      </c>
      <c r="B508" s="517" t="s">
        <v>3874</v>
      </c>
      <c r="C508" s="554" t="s">
        <v>4258</v>
      </c>
      <c r="D508" s="563" t="s">
        <v>4263</v>
      </c>
      <c r="E508" s="517" t="s">
        <v>3875</v>
      </c>
      <c r="F508" s="532"/>
      <c r="G508" s="532"/>
      <c r="H508" s="239" t="s">
        <v>3333</v>
      </c>
      <c r="I508" s="239" t="s">
        <v>681</v>
      </c>
      <c r="J508" s="197" t="s">
        <v>3344</v>
      </c>
      <c r="K508" s="544" t="s">
        <v>7389</v>
      </c>
      <c r="L508" s="532"/>
    </row>
    <row r="509" spans="1:13">
      <c r="A509" s="239">
        <f t="shared" si="8"/>
        <v>508</v>
      </c>
      <c r="B509" s="517" t="s">
        <v>3876</v>
      </c>
      <c r="C509" s="554" t="s">
        <v>52</v>
      </c>
      <c r="D509" s="563" t="s">
        <v>4262</v>
      </c>
      <c r="E509" s="517" t="s">
        <v>3877</v>
      </c>
      <c r="F509" s="532"/>
      <c r="G509" s="532"/>
      <c r="H509" s="239" t="s">
        <v>3333</v>
      </c>
      <c r="I509" s="239" t="s">
        <v>681</v>
      </c>
      <c r="J509" s="197" t="s">
        <v>3344</v>
      </c>
      <c r="K509" s="544" t="s">
        <v>7390</v>
      </c>
      <c r="L509" s="532"/>
    </row>
    <row r="510" spans="1:13">
      <c r="A510" s="239">
        <f t="shared" si="8"/>
        <v>509</v>
      </c>
      <c r="B510" s="517" t="s">
        <v>3878</v>
      </c>
      <c r="C510" s="554" t="s">
        <v>52</v>
      </c>
      <c r="D510" s="563" t="s">
        <v>4262</v>
      </c>
      <c r="E510" s="517" t="s">
        <v>3879</v>
      </c>
      <c r="F510" s="532"/>
      <c r="G510" s="532"/>
      <c r="H510" s="239" t="s">
        <v>3333</v>
      </c>
      <c r="I510" s="239" t="s">
        <v>681</v>
      </c>
      <c r="J510" s="197" t="s">
        <v>3344</v>
      </c>
      <c r="K510" s="544" t="s">
        <v>7391</v>
      </c>
      <c r="L510" s="532"/>
    </row>
    <row r="511" spans="1:13">
      <c r="A511" s="239">
        <f t="shared" si="8"/>
        <v>510</v>
      </c>
      <c r="B511" s="517" t="s">
        <v>3880</v>
      </c>
      <c r="C511" s="554" t="s">
        <v>52</v>
      </c>
      <c r="D511" s="563" t="s">
        <v>5299</v>
      </c>
      <c r="E511" s="517" t="s">
        <v>3881</v>
      </c>
      <c r="F511" s="532"/>
      <c r="G511" s="532"/>
      <c r="H511" s="239" t="s">
        <v>3333</v>
      </c>
      <c r="I511" s="239" t="s">
        <v>681</v>
      </c>
      <c r="J511" s="197" t="s">
        <v>3344</v>
      </c>
      <c r="K511" s="544" t="s">
        <v>3569</v>
      </c>
      <c r="L511" s="532"/>
    </row>
    <row r="512" spans="1:13">
      <c r="A512" s="239">
        <f t="shared" si="8"/>
        <v>511</v>
      </c>
      <c r="B512" s="517" t="s">
        <v>3882</v>
      </c>
      <c r="C512" s="554" t="s">
        <v>52</v>
      </c>
      <c r="D512" s="563" t="s">
        <v>4262</v>
      </c>
      <c r="E512" s="517" t="s">
        <v>3883</v>
      </c>
      <c r="F512" s="532"/>
      <c r="G512" s="532"/>
      <c r="H512" s="239" t="s">
        <v>3333</v>
      </c>
      <c r="I512" s="239" t="s">
        <v>681</v>
      </c>
      <c r="J512" s="197" t="s">
        <v>3344</v>
      </c>
      <c r="K512" s="544" t="s">
        <v>7392</v>
      </c>
      <c r="L512" s="532"/>
    </row>
    <row r="513" spans="1:12">
      <c r="A513" s="239">
        <f t="shared" si="8"/>
        <v>512</v>
      </c>
      <c r="B513" s="517" t="s">
        <v>3884</v>
      </c>
      <c r="C513" s="554" t="s">
        <v>4258</v>
      </c>
      <c r="D513" s="563" t="s">
        <v>4266</v>
      </c>
      <c r="E513" s="517" t="s">
        <v>3885</v>
      </c>
      <c r="F513" s="532"/>
      <c r="G513" s="532"/>
      <c r="H513" s="239" t="s">
        <v>3333</v>
      </c>
      <c r="I513" s="239" t="s">
        <v>681</v>
      </c>
      <c r="J513" s="197" t="s">
        <v>3344</v>
      </c>
      <c r="K513" s="544" t="s">
        <v>7393</v>
      </c>
      <c r="L513" s="532"/>
    </row>
    <row r="514" spans="1:12">
      <c r="A514" s="239">
        <f t="shared" si="8"/>
        <v>513</v>
      </c>
      <c r="B514" s="517" t="s">
        <v>3886</v>
      </c>
      <c r="C514" s="554" t="s">
        <v>4258</v>
      </c>
      <c r="D514" s="563" t="s">
        <v>4264</v>
      </c>
      <c r="E514" s="517" t="s">
        <v>3887</v>
      </c>
      <c r="F514" s="532"/>
      <c r="G514" s="532"/>
      <c r="H514" s="239" t="s">
        <v>3333</v>
      </c>
      <c r="I514" s="239" t="s">
        <v>681</v>
      </c>
      <c r="J514" s="197" t="s">
        <v>3344</v>
      </c>
      <c r="K514" s="544" t="s">
        <v>2909</v>
      </c>
      <c r="L514" s="532"/>
    </row>
    <row r="515" spans="1:12">
      <c r="A515" s="239">
        <f t="shared" si="8"/>
        <v>514</v>
      </c>
      <c r="B515" s="517" t="s">
        <v>3888</v>
      </c>
      <c r="C515" s="554" t="s">
        <v>52</v>
      </c>
      <c r="D515" s="563" t="s">
        <v>5299</v>
      </c>
      <c r="E515" s="517" t="s">
        <v>3889</v>
      </c>
      <c r="F515" s="532"/>
      <c r="G515" s="532"/>
      <c r="H515" s="239" t="s">
        <v>3333</v>
      </c>
      <c r="I515" s="239" t="s">
        <v>681</v>
      </c>
      <c r="J515" s="197" t="s">
        <v>3344</v>
      </c>
      <c r="K515" s="544" t="s">
        <v>7394</v>
      </c>
      <c r="L515" s="532"/>
    </row>
    <row r="516" spans="1:12">
      <c r="A516" s="239">
        <f t="shared" si="8"/>
        <v>515</v>
      </c>
      <c r="B516" s="517" t="s">
        <v>3890</v>
      </c>
      <c r="C516" s="554" t="s">
        <v>52</v>
      </c>
      <c r="D516" s="563" t="s">
        <v>4262</v>
      </c>
      <c r="E516" s="517" t="s">
        <v>3891</v>
      </c>
      <c r="F516" s="532"/>
      <c r="G516" s="532"/>
      <c r="H516" s="239" t="s">
        <v>3333</v>
      </c>
      <c r="I516" s="239" t="s">
        <v>681</v>
      </c>
      <c r="J516" s="197" t="s">
        <v>3344</v>
      </c>
      <c r="K516" s="544" t="s">
        <v>3578</v>
      </c>
      <c r="L516" s="532"/>
    </row>
    <row r="517" spans="1:12">
      <c r="A517" s="239">
        <f t="shared" si="8"/>
        <v>516</v>
      </c>
      <c r="B517" s="517" t="s">
        <v>3892</v>
      </c>
      <c r="C517" s="554" t="s">
        <v>52</v>
      </c>
      <c r="D517" s="563" t="s">
        <v>4262</v>
      </c>
      <c r="E517" s="517" t="s">
        <v>3893</v>
      </c>
      <c r="F517" s="532"/>
      <c r="G517" s="532"/>
      <c r="H517" s="239" t="s">
        <v>3333</v>
      </c>
      <c r="I517" s="239" t="s">
        <v>681</v>
      </c>
      <c r="J517" s="197" t="s">
        <v>3344</v>
      </c>
      <c r="K517" s="544" t="s">
        <v>7395</v>
      </c>
      <c r="L517" s="532"/>
    </row>
    <row r="518" spans="1:12">
      <c r="A518" s="239">
        <f t="shared" si="8"/>
        <v>517</v>
      </c>
      <c r="B518" s="517" t="s">
        <v>3894</v>
      </c>
      <c r="C518" s="554" t="s">
        <v>4258</v>
      </c>
      <c r="D518" s="563" t="s">
        <v>4264</v>
      </c>
      <c r="E518" s="517" t="s">
        <v>3895</v>
      </c>
      <c r="F518" s="532"/>
      <c r="G518" s="532"/>
      <c r="H518" s="239" t="s">
        <v>3333</v>
      </c>
      <c r="I518" s="239" t="s">
        <v>681</v>
      </c>
      <c r="J518" s="197" t="s">
        <v>3344</v>
      </c>
      <c r="K518" s="544" t="s">
        <v>7396</v>
      </c>
      <c r="L518" s="532"/>
    </row>
    <row r="519" spans="1:12">
      <c r="A519" s="239">
        <f t="shared" ref="A519:A612" si="9">ROW()-1</f>
        <v>518</v>
      </c>
      <c r="B519" s="517" t="s">
        <v>3896</v>
      </c>
      <c r="C519" s="554" t="s">
        <v>4258</v>
      </c>
      <c r="D519" s="563" t="s">
        <v>4263</v>
      </c>
      <c r="E519" s="517" t="s">
        <v>3897</v>
      </c>
      <c r="F519" s="532"/>
      <c r="G519" s="532"/>
      <c r="H519" s="239" t="s">
        <v>3333</v>
      </c>
      <c r="I519" s="239" t="s">
        <v>681</v>
      </c>
      <c r="J519" s="197" t="s">
        <v>3344</v>
      </c>
      <c r="K519" s="544" t="s">
        <v>7397</v>
      </c>
      <c r="L519" s="532"/>
    </row>
    <row r="520" spans="1:12">
      <c r="A520" s="239">
        <f t="shared" si="9"/>
        <v>519</v>
      </c>
      <c r="B520" s="517" t="s">
        <v>3898</v>
      </c>
      <c r="C520" s="554" t="s">
        <v>4258</v>
      </c>
      <c r="D520" s="563" t="s">
        <v>4264</v>
      </c>
      <c r="E520" s="517" t="s">
        <v>3899</v>
      </c>
      <c r="F520" s="532"/>
      <c r="G520" s="532"/>
      <c r="H520" s="239" t="s">
        <v>3333</v>
      </c>
      <c r="I520" s="239" t="s">
        <v>681</v>
      </c>
      <c r="J520" s="197" t="s">
        <v>3344</v>
      </c>
      <c r="K520" s="544" t="s">
        <v>3899</v>
      </c>
      <c r="L520" s="532"/>
    </row>
    <row r="521" spans="1:12">
      <c r="A521" s="239">
        <f t="shared" si="9"/>
        <v>520</v>
      </c>
      <c r="B521" s="517" t="s">
        <v>3900</v>
      </c>
      <c r="C521" s="554" t="s">
        <v>4258</v>
      </c>
      <c r="D521" s="563" t="s">
        <v>4264</v>
      </c>
      <c r="E521" s="517" t="s">
        <v>3901</v>
      </c>
      <c r="F521" s="532"/>
      <c r="G521" s="532"/>
      <c r="H521" s="239" t="s">
        <v>3333</v>
      </c>
      <c r="I521" s="239" t="s">
        <v>681</v>
      </c>
      <c r="J521" s="197" t="s">
        <v>3344</v>
      </c>
      <c r="K521" s="544" t="s">
        <v>3901</v>
      </c>
      <c r="L521" s="532"/>
    </row>
    <row r="522" spans="1:12">
      <c r="A522" s="239">
        <f t="shared" si="9"/>
        <v>521</v>
      </c>
      <c r="B522" s="517" t="s">
        <v>3902</v>
      </c>
      <c r="C522" s="554" t="s">
        <v>4258</v>
      </c>
      <c r="D522" s="563" t="s">
        <v>4259</v>
      </c>
      <c r="E522" s="517" t="s">
        <v>3903</v>
      </c>
      <c r="F522" s="532"/>
      <c r="G522" s="532"/>
      <c r="H522" s="239" t="s">
        <v>3333</v>
      </c>
      <c r="I522" s="239" t="s">
        <v>681</v>
      </c>
      <c r="J522" s="197" t="s">
        <v>3344</v>
      </c>
      <c r="K522" s="544" t="s">
        <v>3903</v>
      </c>
      <c r="L522" s="532"/>
    </row>
    <row r="523" spans="1:12">
      <c r="A523" s="239">
        <f t="shared" si="9"/>
        <v>522</v>
      </c>
      <c r="B523" s="517" t="s">
        <v>3904</v>
      </c>
      <c r="C523" s="554" t="s">
        <v>52</v>
      </c>
      <c r="D523" s="563" t="s">
        <v>4266</v>
      </c>
      <c r="E523" s="517" t="s">
        <v>3905</v>
      </c>
      <c r="F523" s="532"/>
      <c r="G523" s="532"/>
      <c r="H523" s="239" t="s">
        <v>3333</v>
      </c>
      <c r="I523" s="239" t="s">
        <v>681</v>
      </c>
      <c r="J523" s="197" t="s">
        <v>3344</v>
      </c>
      <c r="K523" s="544" t="s">
        <v>3905</v>
      </c>
      <c r="L523" s="532"/>
    </row>
    <row r="524" spans="1:12">
      <c r="A524" s="239">
        <f t="shared" si="9"/>
        <v>523</v>
      </c>
      <c r="B524" s="517" t="s">
        <v>3906</v>
      </c>
      <c r="C524" s="554" t="s">
        <v>52</v>
      </c>
      <c r="D524" s="563" t="s">
        <v>4266</v>
      </c>
      <c r="E524" s="517" t="s">
        <v>3907</v>
      </c>
      <c r="F524" s="532"/>
      <c r="G524" s="532"/>
      <c r="H524" s="239" t="s">
        <v>3333</v>
      </c>
      <c r="I524" s="239" t="s">
        <v>681</v>
      </c>
      <c r="J524" s="197" t="s">
        <v>3344</v>
      </c>
      <c r="K524" s="544" t="s">
        <v>3907</v>
      </c>
      <c r="L524" s="532"/>
    </row>
    <row r="525" spans="1:12">
      <c r="A525" s="239">
        <f t="shared" si="9"/>
        <v>524</v>
      </c>
      <c r="B525" s="517" t="s">
        <v>3908</v>
      </c>
      <c r="C525" s="554" t="s">
        <v>52</v>
      </c>
      <c r="D525" s="563" t="s">
        <v>4267</v>
      </c>
      <c r="E525" s="517" t="s">
        <v>2742</v>
      </c>
      <c r="F525" s="532"/>
      <c r="G525" s="532"/>
      <c r="H525" s="239" t="s">
        <v>3333</v>
      </c>
      <c r="I525" s="239" t="s">
        <v>681</v>
      </c>
      <c r="J525" s="197" t="s">
        <v>3344</v>
      </c>
      <c r="K525" s="544" t="s">
        <v>2928</v>
      </c>
      <c r="L525" s="532"/>
    </row>
    <row r="526" spans="1:12">
      <c r="A526" s="239">
        <f t="shared" si="9"/>
        <v>525</v>
      </c>
      <c r="B526" s="517" t="s">
        <v>3909</v>
      </c>
      <c r="C526" s="554" t="s">
        <v>4258</v>
      </c>
      <c r="D526" s="563" t="s">
        <v>4263</v>
      </c>
      <c r="E526" s="517" t="s">
        <v>3910</v>
      </c>
      <c r="F526" s="532"/>
      <c r="G526" s="532"/>
      <c r="H526" s="239" t="s">
        <v>3333</v>
      </c>
      <c r="I526" s="239" t="s">
        <v>681</v>
      </c>
      <c r="J526" s="197" t="s">
        <v>3344</v>
      </c>
      <c r="K526" s="544" t="s">
        <v>2916</v>
      </c>
      <c r="L526" s="532"/>
    </row>
    <row r="527" spans="1:12">
      <c r="A527" s="239">
        <f t="shared" si="9"/>
        <v>526</v>
      </c>
      <c r="B527" s="517" t="s">
        <v>3911</v>
      </c>
      <c r="C527" s="554" t="s">
        <v>52</v>
      </c>
      <c r="D527" s="563" t="s">
        <v>4262</v>
      </c>
      <c r="E527" s="517" t="s">
        <v>3912</v>
      </c>
      <c r="F527" s="532"/>
      <c r="G527" s="532"/>
      <c r="H527" s="239" t="s">
        <v>3333</v>
      </c>
      <c r="I527" s="239" t="s">
        <v>681</v>
      </c>
      <c r="J527" s="197" t="s">
        <v>3344</v>
      </c>
      <c r="K527" s="544" t="s">
        <v>735</v>
      </c>
      <c r="L527" s="532"/>
    </row>
    <row r="528" spans="1:12">
      <c r="A528" s="239">
        <f t="shared" si="9"/>
        <v>527</v>
      </c>
      <c r="B528" s="517" t="s">
        <v>3913</v>
      </c>
      <c r="C528" s="554" t="s">
        <v>52</v>
      </c>
      <c r="D528" s="563" t="s">
        <v>4262</v>
      </c>
      <c r="E528" s="517" t="s">
        <v>3914</v>
      </c>
      <c r="F528" s="532"/>
      <c r="G528" s="532"/>
      <c r="H528" s="239" t="s">
        <v>3333</v>
      </c>
      <c r="I528" s="239" t="s">
        <v>681</v>
      </c>
      <c r="J528" s="197" t="s">
        <v>3344</v>
      </c>
      <c r="K528" s="544" t="s">
        <v>3366</v>
      </c>
      <c r="L528" s="532"/>
    </row>
    <row r="529" spans="1:17">
      <c r="A529" s="239">
        <f t="shared" si="9"/>
        <v>528</v>
      </c>
      <c r="B529" s="517" t="s">
        <v>3915</v>
      </c>
      <c r="C529" s="554" t="s">
        <v>4258</v>
      </c>
      <c r="D529" s="563" t="s">
        <v>4264</v>
      </c>
      <c r="E529" s="517" t="s">
        <v>3916</v>
      </c>
      <c r="F529" s="532"/>
      <c r="G529" s="532"/>
      <c r="H529" s="239" t="s">
        <v>3333</v>
      </c>
      <c r="I529" s="239" t="s">
        <v>681</v>
      </c>
      <c r="J529" s="197" t="s">
        <v>3344</v>
      </c>
      <c r="K529" s="544" t="s">
        <v>2951</v>
      </c>
      <c r="L529" s="532"/>
    </row>
    <row r="530" spans="1:17">
      <c r="A530" s="239">
        <f t="shared" si="9"/>
        <v>529</v>
      </c>
      <c r="B530" s="517" t="s">
        <v>3917</v>
      </c>
      <c r="C530" s="554" t="s">
        <v>4258</v>
      </c>
      <c r="D530" s="563" t="s">
        <v>4264</v>
      </c>
      <c r="E530" s="517" t="s">
        <v>3918</v>
      </c>
      <c r="F530" s="532"/>
      <c r="G530" s="532"/>
      <c r="H530" s="239" t="s">
        <v>3333</v>
      </c>
      <c r="I530" s="239" t="s">
        <v>681</v>
      </c>
      <c r="J530" s="197" t="s">
        <v>3344</v>
      </c>
      <c r="K530" s="544" t="s">
        <v>5797</v>
      </c>
      <c r="L530" s="532"/>
    </row>
    <row r="531" spans="1:17">
      <c r="A531" s="239">
        <f t="shared" si="9"/>
        <v>530</v>
      </c>
      <c r="B531" s="517" t="s">
        <v>3919</v>
      </c>
      <c r="C531" s="554" t="s">
        <v>4258</v>
      </c>
      <c r="D531" s="563" t="s">
        <v>4263</v>
      </c>
      <c r="E531" s="517" t="s">
        <v>3920</v>
      </c>
      <c r="F531" s="532"/>
      <c r="G531" s="532"/>
      <c r="H531" s="239" t="s">
        <v>3333</v>
      </c>
      <c r="I531" s="239" t="s">
        <v>681</v>
      </c>
      <c r="J531" s="197" t="s">
        <v>3344</v>
      </c>
      <c r="K531" s="544" t="s">
        <v>5801</v>
      </c>
      <c r="L531" s="532"/>
    </row>
    <row r="532" spans="1:17">
      <c r="A532" s="239">
        <f t="shared" si="9"/>
        <v>531</v>
      </c>
      <c r="B532" s="517" t="s">
        <v>3921</v>
      </c>
      <c r="C532" s="554" t="s">
        <v>4258</v>
      </c>
      <c r="D532" s="563" t="s">
        <v>4263</v>
      </c>
      <c r="E532" s="517" t="s">
        <v>3922</v>
      </c>
      <c r="F532" s="532"/>
      <c r="G532" s="532"/>
      <c r="H532" s="239" t="s">
        <v>3333</v>
      </c>
      <c r="I532" s="239" t="s">
        <v>681</v>
      </c>
      <c r="J532" s="197" t="s">
        <v>3344</v>
      </c>
      <c r="K532" s="544" t="s">
        <v>2921</v>
      </c>
      <c r="L532" s="532"/>
    </row>
    <row r="533" spans="1:17">
      <c r="A533" s="239">
        <f t="shared" si="9"/>
        <v>532</v>
      </c>
      <c r="B533" s="517" t="s">
        <v>5300</v>
      </c>
      <c r="C533" s="554" t="s">
        <v>4258</v>
      </c>
      <c r="D533" s="563" t="s">
        <v>4264</v>
      </c>
      <c r="E533" s="517" t="s">
        <v>5305</v>
      </c>
      <c r="F533" s="532"/>
      <c r="G533" s="532"/>
      <c r="H533" s="239" t="s">
        <v>3333</v>
      </c>
      <c r="I533" s="239" t="s">
        <v>681</v>
      </c>
      <c r="J533" s="197" t="s">
        <v>3344</v>
      </c>
      <c r="K533" s="544" t="s">
        <v>7398</v>
      </c>
      <c r="L533" s="532"/>
    </row>
    <row r="534" spans="1:17">
      <c r="A534" s="239">
        <f t="shared" si="9"/>
        <v>533</v>
      </c>
      <c r="B534" s="517" t="s">
        <v>5301</v>
      </c>
      <c r="C534" s="554" t="s">
        <v>4258</v>
      </c>
      <c r="D534" s="563" t="s">
        <v>4264</v>
      </c>
      <c r="E534" s="517" t="s">
        <v>5306</v>
      </c>
      <c r="F534" s="532"/>
      <c r="G534" s="532"/>
      <c r="H534" s="239" t="s">
        <v>3333</v>
      </c>
      <c r="I534" s="239" t="s">
        <v>681</v>
      </c>
      <c r="J534" s="197" t="s">
        <v>3344</v>
      </c>
      <c r="K534" s="544" t="s">
        <v>7399</v>
      </c>
      <c r="L534" s="532"/>
    </row>
    <row r="535" spans="1:17">
      <c r="A535" s="239">
        <f t="shared" si="9"/>
        <v>534</v>
      </c>
      <c r="B535" s="517" t="s">
        <v>5302</v>
      </c>
      <c r="C535" s="554" t="s">
        <v>4258</v>
      </c>
      <c r="D535" s="563" t="s">
        <v>4264</v>
      </c>
      <c r="E535" s="517" t="s">
        <v>5307</v>
      </c>
      <c r="F535" s="532"/>
      <c r="G535" s="532"/>
      <c r="H535" s="239" t="s">
        <v>3333</v>
      </c>
      <c r="I535" s="239" t="s">
        <v>681</v>
      </c>
      <c r="J535" s="197" t="s">
        <v>3344</v>
      </c>
      <c r="K535" s="544" t="s">
        <v>7400</v>
      </c>
      <c r="L535" s="532"/>
    </row>
    <row r="536" spans="1:17">
      <c r="A536" s="239">
        <f t="shared" si="9"/>
        <v>535</v>
      </c>
      <c r="B536" s="517" t="s">
        <v>5303</v>
      </c>
      <c r="C536" s="554" t="s">
        <v>4258</v>
      </c>
      <c r="D536" s="563" t="s">
        <v>4264</v>
      </c>
      <c r="E536" s="517" t="s">
        <v>5308</v>
      </c>
      <c r="F536" s="532"/>
      <c r="G536" s="532"/>
      <c r="H536" s="239" t="s">
        <v>3333</v>
      </c>
      <c r="I536" s="239" t="s">
        <v>681</v>
      </c>
      <c r="J536" s="197" t="s">
        <v>3344</v>
      </c>
      <c r="K536" s="544" t="s">
        <v>7401</v>
      </c>
      <c r="L536" s="532"/>
    </row>
    <row r="537" spans="1:17">
      <c r="A537" s="239">
        <f t="shared" si="9"/>
        <v>536</v>
      </c>
      <c r="B537" s="517" t="s">
        <v>5304</v>
      </c>
      <c r="C537" s="554" t="s">
        <v>52</v>
      </c>
      <c r="D537" s="563" t="s">
        <v>4262</v>
      </c>
      <c r="E537" s="517" t="s">
        <v>5309</v>
      </c>
      <c r="F537" s="532"/>
      <c r="G537" s="532"/>
      <c r="H537" s="239" t="s">
        <v>3333</v>
      </c>
      <c r="I537" s="239" t="s">
        <v>681</v>
      </c>
      <c r="J537" s="197" t="s">
        <v>3344</v>
      </c>
      <c r="K537" s="544" t="s">
        <v>7045</v>
      </c>
      <c r="L537" s="532"/>
    </row>
    <row r="538" spans="1:17">
      <c r="A538" s="239">
        <f t="shared" si="9"/>
        <v>537</v>
      </c>
      <c r="B538" s="517" t="s">
        <v>7023</v>
      </c>
      <c r="C538" s="554" t="s">
        <v>4258</v>
      </c>
      <c r="D538" s="563" t="s">
        <v>4264</v>
      </c>
      <c r="E538" s="517" t="s">
        <v>7025</v>
      </c>
      <c r="F538" s="532"/>
      <c r="G538" s="532"/>
      <c r="H538" s="239" t="s">
        <v>3333</v>
      </c>
      <c r="I538" s="239" t="s">
        <v>681</v>
      </c>
      <c r="J538" s="197" t="s">
        <v>3344</v>
      </c>
      <c r="K538" s="544" t="s">
        <v>3382</v>
      </c>
      <c r="L538" s="532"/>
    </row>
    <row r="539" spans="1:17">
      <c r="A539" s="239">
        <f t="shared" si="9"/>
        <v>538</v>
      </c>
      <c r="B539" s="517" t="s">
        <v>7024</v>
      </c>
      <c r="C539" s="554" t="s">
        <v>4258</v>
      </c>
      <c r="D539" s="563" t="s">
        <v>4264</v>
      </c>
      <c r="E539" s="517" t="s">
        <v>5813</v>
      </c>
      <c r="F539" s="532"/>
      <c r="G539" s="532"/>
      <c r="H539" s="239" t="s">
        <v>3333</v>
      </c>
      <c r="I539" s="239" t="s">
        <v>681</v>
      </c>
      <c r="J539" s="197" t="s">
        <v>3344</v>
      </c>
      <c r="K539" s="544" t="s">
        <v>5813</v>
      </c>
      <c r="L539" s="532"/>
    </row>
    <row r="540" spans="1:17">
      <c r="A540" s="239">
        <f t="shared" si="9"/>
        <v>539</v>
      </c>
      <c r="B540" s="517" t="s">
        <v>7036</v>
      </c>
      <c r="C540" s="554" t="s">
        <v>4258</v>
      </c>
      <c r="D540" s="563" t="s">
        <v>4264</v>
      </c>
      <c r="E540" s="517" t="s">
        <v>7037</v>
      </c>
      <c r="F540" s="532"/>
      <c r="G540" s="532"/>
      <c r="H540" s="239" t="s">
        <v>3333</v>
      </c>
      <c r="I540" s="239" t="s">
        <v>681</v>
      </c>
      <c r="J540" s="197" t="s">
        <v>3344</v>
      </c>
      <c r="K540" s="544" t="s">
        <v>3481</v>
      </c>
      <c r="L540" s="532"/>
      <c r="P540" s="178" t="s">
        <v>7038</v>
      </c>
      <c r="Q540" s="178">
        <v>20250604</v>
      </c>
    </row>
    <row r="541" spans="1:17">
      <c r="A541" s="239">
        <f t="shared" si="9"/>
        <v>540</v>
      </c>
      <c r="B541" s="517" t="s">
        <v>7375</v>
      </c>
      <c r="C541" s="554" t="s">
        <v>52</v>
      </c>
      <c r="D541" s="563" t="s">
        <v>4262</v>
      </c>
      <c r="E541" s="517" t="s">
        <v>7348</v>
      </c>
      <c r="F541" s="532"/>
      <c r="G541" s="532"/>
      <c r="H541" s="239" t="s">
        <v>3333</v>
      </c>
      <c r="I541" s="239" t="s">
        <v>681</v>
      </c>
      <c r="J541" s="197" t="s">
        <v>3344</v>
      </c>
      <c r="K541" s="544" t="s">
        <v>7348</v>
      </c>
      <c r="L541" s="532"/>
    </row>
    <row r="542" spans="1:17">
      <c r="A542" s="239">
        <f t="shared" si="9"/>
        <v>541</v>
      </c>
      <c r="B542" s="517" t="s">
        <v>7376</v>
      </c>
      <c r="C542" s="554" t="s">
        <v>52</v>
      </c>
      <c r="D542" s="563" t="s">
        <v>4262</v>
      </c>
      <c r="E542" s="517" t="s">
        <v>7381</v>
      </c>
      <c r="F542" s="532"/>
      <c r="G542" s="532"/>
      <c r="H542" s="239" t="s">
        <v>3333</v>
      </c>
      <c r="I542" s="239" t="s">
        <v>681</v>
      </c>
      <c r="J542" s="197" t="s">
        <v>3344</v>
      </c>
      <c r="K542" s="544" t="s">
        <v>7381</v>
      </c>
      <c r="L542" s="532"/>
    </row>
    <row r="543" spans="1:17">
      <c r="A543" s="239">
        <f t="shared" si="9"/>
        <v>542</v>
      </c>
      <c r="B543" s="517" t="s">
        <v>7377</v>
      </c>
      <c r="C543" s="554" t="s">
        <v>4258</v>
      </c>
      <c r="D543" s="563" t="s">
        <v>4263</v>
      </c>
      <c r="E543" s="517" t="s">
        <v>7382</v>
      </c>
      <c r="F543" s="532"/>
      <c r="G543" s="532"/>
      <c r="H543" s="239" t="s">
        <v>3333</v>
      </c>
      <c r="I543" s="239" t="s">
        <v>681</v>
      </c>
      <c r="J543" s="197" t="s">
        <v>3344</v>
      </c>
      <c r="K543" s="544" t="s">
        <v>7382</v>
      </c>
      <c r="L543" s="532"/>
    </row>
    <row r="544" spans="1:17">
      <c r="A544" s="239">
        <f t="shared" si="9"/>
        <v>543</v>
      </c>
      <c r="B544" s="517" t="s">
        <v>7378</v>
      </c>
      <c r="C544" s="554" t="s">
        <v>4258</v>
      </c>
      <c r="D544" s="563" t="s">
        <v>4263</v>
      </c>
      <c r="E544" s="517" t="s">
        <v>7383</v>
      </c>
      <c r="F544" s="532"/>
      <c r="G544" s="532"/>
      <c r="H544" s="239" t="s">
        <v>3333</v>
      </c>
      <c r="I544" s="239" t="s">
        <v>681</v>
      </c>
      <c r="J544" s="197" t="s">
        <v>3344</v>
      </c>
      <c r="K544" s="544" t="s">
        <v>7383</v>
      </c>
      <c r="L544" s="532"/>
    </row>
    <row r="545" spans="1:16">
      <c r="A545" s="239">
        <f t="shared" si="9"/>
        <v>544</v>
      </c>
      <c r="B545" s="517" t="s">
        <v>7379</v>
      </c>
      <c r="C545" s="554" t="s">
        <v>52</v>
      </c>
      <c r="D545" s="563" t="s">
        <v>4262</v>
      </c>
      <c r="E545" s="517" t="s">
        <v>7384</v>
      </c>
      <c r="F545" s="532"/>
      <c r="G545" s="532"/>
      <c r="H545" s="239" t="s">
        <v>3333</v>
      </c>
      <c r="I545" s="239" t="s">
        <v>681</v>
      </c>
      <c r="J545" s="197" t="s">
        <v>3344</v>
      </c>
      <c r="K545" s="544" t="s">
        <v>7384</v>
      </c>
      <c r="L545" s="532"/>
    </row>
    <row r="546" spans="1:16">
      <c r="A546" s="239">
        <f t="shared" si="9"/>
        <v>545</v>
      </c>
      <c r="B546" s="517" t="s">
        <v>7380</v>
      </c>
      <c r="C546" s="554" t="s">
        <v>4258</v>
      </c>
      <c r="D546" s="563" t="s">
        <v>4263</v>
      </c>
      <c r="E546" s="517" t="s">
        <v>4281</v>
      </c>
      <c r="F546" s="532"/>
      <c r="G546" s="532"/>
      <c r="H546" s="239" t="s">
        <v>3333</v>
      </c>
      <c r="I546" s="239" t="s">
        <v>681</v>
      </c>
      <c r="J546" s="197" t="s">
        <v>3344</v>
      </c>
      <c r="K546" s="544" t="s">
        <v>4281</v>
      </c>
      <c r="L546" s="532"/>
    </row>
    <row r="547" spans="1:16">
      <c r="A547" s="320">
        <f t="shared" si="9"/>
        <v>546</v>
      </c>
      <c r="B547" s="359" t="s">
        <v>3923</v>
      </c>
      <c r="C547" s="554" t="s">
        <v>52</v>
      </c>
      <c r="D547" s="554" t="s">
        <v>4262</v>
      </c>
      <c r="E547" s="359" t="s">
        <v>3924</v>
      </c>
      <c r="F547" s="263"/>
      <c r="G547" s="263"/>
      <c r="H547" s="324" t="s">
        <v>2965</v>
      </c>
      <c r="I547" s="320" t="s">
        <v>3030</v>
      </c>
      <c r="J547" s="344" t="s">
        <v>3019</v>
      </c>
      <c r="K547" s="357" t="s">
        <v>3924</v>
      </c>
      <c r="L547" s="263" t="s">
        <v>5155</v>
      </c>
    </row>
    <row r="548" spans="1:16">
      <c r="A548" s="320">
        <f t="shared" si="9"/>
        <v>547</v>
      </c>
      <c r="B548" s="359" t="s">
        <v>3925</v>
      </c>
      <c r="C548" s="554" t="s">
        <v>4258</v>
      </c>
      <c r="D548" s="554" t="s">
        <v>4264</v>
      </c>
      <c r="E548" s="359" t="s">
        <v>3926</v>
      </c>
      <c r="F548" s="263"/>
      <c r="G548" s="263"/>
      <c r="H548" s="324" t="s">
        <v>2965</v>
      </c>
      <c r="I548" s="320" t="s">
        <v>3030</v>
      </c>
      <c r="J548" s="344" t="s">
        <v>3019</v>
      </c>
      <c r="K548" s="357" t="s">
        <v>3899</v>
      </c>
      <c r="L548" s="263" t="s">
        <v>4515</v>
      </c>
    </row>
    <row r="549" spans="1:16">
      <c r="A549" s="320">
        <f t="shared" si="9"/>
        <v>548</v>
      </c>
      <c r="B549" s="359" t="s">
        <v>3927</v>
      </c>
      <c r="C549" s="554" t="s">
        <v>4258</v>
      </c>
      <c r="D549" s="554" t="s">
        <v>4264</v>
      </c>
      <c r="E549" s="359" t="s">
        <v>3928</v>
      </c>
      <c r="F549" s="263"/>
      <c r="G549" s="263"/>
      <c r="H549" s="324" t="s">
        <v>2965</v>
      </c>
      <c r="I549" s="320" t="s">
        <v>3030</v>
      </c>
      <c r="J549" s="344" t="s">
        <v>3019</v>
      </c>
      <c r="K549" s="357" t="s">
        <v>3901</v>
      </c>
      <c r="L549" s="263" t="s">
        <v>4531</v>
      </c>
    </row>
    <row r="550" spans="1:16">
      <c r="A550" s="320">
        <f t="shared" si="9"/>
        <v>549</v>
      </c>
      <c r="B550" s="359" t="s">
        <v>3929</v>
      </c>
      <c r="C550" s="554" t="s">
        <v>4258</v>
      </c>
      <c r="D550" s="554" t="s">
        <v>4259</v>
      </c>
      <c r="E550" s="359" t="s">
        <v>3930</v>
      </c>
      <c r="F550" s="263"/>
      <c r="G550" s="263"/>
      <c r="H550" s="324" t="s">
        <v>2965</v>
      </c>
      <c r="I550" s="320" t="s">
        <v>3030</v>
      </c>
      <c r="J550" s="344" t="s">
        <v>3019</v>
      </c>
      <c r="K550" s="357" t="s">
        <v>3903</v>
      </c>
      <c r="L550" s="263" t="s">
        <v>4522</v>
      </c>
    </row>
    <row r="551" spans="1:16">
      <c r="A551" s="320">
        <f t="shared" si="9"/>
        <v>550</v>
      </c>
      <c r="B551" s="359" t="s">
        <v>3931</v>
      </c>
      <c r="C551" s="554" t="s">
        <v>52</v>
      </c>
      <c r="D551" s="554" t="s">
        <v>4266</v>
      </c>
      <c r="E551" s="359" t="s">
        <v>3932</v>
      </c>
      <c r="F551" s="263"/>
      <c r="G551" s="263"/>
      <c r="H551" s="324" t="s">
        <v>2965</v>
      </c>
      <c r="I551" s="320" t="s">
        <v>3030</v>
      </c>
      <c r="J551" s="344" t="s">
        <v>3019</v>
      </c>
      <c r="K551" s="357" t="s">
        <v>3905</v>
      </c>
      <c r="L551" s="263" t="s">
        <v>4524</v>
      </c>
    </row>
    <row r="552" spans="1:16">
      <c r="A552" s="320">
        <f t="shared" si="9"/>
        <v>551</v>
      </c>
      <c r="B552" s="359" t="s">
        <v>3933</v>
      </c>
      <c r="C552" s="554" t="s">
        <v>52</v>
      </c>
      <c r="D552" s="554" t="s">
        <v>4266</v>
      </c>
      <c r="E552" s="359" t="s">
        <v>3934</v>
      </c>
      <c r="F552" s="263"/>
      <c r="G552" s="263"/>
      <c r="H552" s="324" t="s">
        <v>2965</v>
      </c>
      <c r="I552" s="320" t="s">
        <v>3030</v>
      </c>
      <c r="J552" s="344" t="s">
        <v>3019</v>
      </c>
      <c r="K552" s="357" t="s">
        <v>3907</v>
      </c>
      <c r="L552" s="263" t="s">
        <v>4526</v>
      </c>
    </row>
    <row r="553" spans="1:16">
      <c r="A553" s="320">
        <f t="shared" si="9"/>
        <v>552</v>
      </c>
      <c r="B553" s="359" t="s">
        <v>3935</v>
      </c>
      <c r="C553" s="554" t="s">
        <v>52</v>
      </c>
      <c r="D553" s="554" t="s">
        <v>4262</v>
      </c>
      <c r="E553" s="359" t="s">
        <v>3936</v>
      </c>
      <c r="F553" s="263"/>
      <c r="G553" s="263"/>
      <c r="H553" s="324" t="s">
        <v>2965</v>
      </c>
      <c r="I553" s="320" t="s">
        <v>3030</v>
      </c>
      <c r="J553" s="344" t="s">
        <v>3019</v>
      </c>
      <c r="K553" s="357" t="s">
        <v>5409</v>
      </c>
      <c r="L553" s="263" t="s">
        <v>5413</v>
      </c>
    </row>
    <row r="554" spans="1:16">
      <c r="A554" s="320">
        <f t="shared" si="9"/>
        <v>553</v>
      </c>
      <c r="B554" s="359" t="s">
        <v>3937</v>
      </c>
      <c r="C554" s="554" t="s">
        <v>52</v>
      </c>
      <c r="D554" s="554" t="s">
        <v>4262</v>
      </c>
      <c r="E554" s="359" t="s">
        <v>3938</v>
      </c>
      <c r="F554" s="263"/>
      <c r="G554" s="263"/>
      <c r="H554" s="324" t="s">
        <v>2965</v>
      </c>
      <c r="I554" s="320" t="s">
        <v>3030</v>
      </c>
      <c r="J554" s="344" t="s">
        <v>3019</v>
      </c>
      <c r="K554" s="357" t="s">
        <v>5482</v>
      </c>
      <c r="L554" s="263" t="s">
        <v>5414</v>
      </c>
    </row>
    <row r="555" spans="1:16">
      <c r="A555" s="320">
        <f t="shared" si="9"/>
        <v>554</v>
      </c>
      <c r="B555" s="359" t="s">
        <v>5406</v>
      </c>
      <c r="C555" s="554" t="s">
        <v>4258</v>
      </c>
      <c r="D555" s="554" t="s">
        <v>4264</v>
      </c>
      <c r="E555" s="359" t="s">
        <v>5824</v>
      </c>
      <c r="F555" s="263"/>
      <c r="G555" s="263"/>
      <c r="H555" s="324" t="s">
        <v>2965</v>
      </c>
      <c r="I555" s="320" t="s">
        <v>3030</v>
      </c>
      <c r="J555" s="344" t="s">
        <v>3019</v>
      </c>
      <c r="K555" s="357" t="s">
        <v>5486</v>
      </c>
      <c r="L555" s="263" t="s">
        <v>5466</v>
      </c>
      <c r="P555" s="178" t="s">
        <v>7008</v>
      </c>
    </row>
    <row r="556" spans="1:16">
      <c r="A556" s="320">
        <f t="shared" si="9"/>
        <v>555</v>
      </c>
      <c r="B556" s="359" t="s">
        <v>5820</v>
      </c>
      <c r="C556" s="554" t="s">
        <v>4258</v>
      </c>
      <c r="D556" s="554" t="s">
        <v>4263</v>
      </c>
      <c r="E556" s="359" t="s">
        <v>5826</v>
      </c>
      <c r="F556" s="263"/>
      <c r="G556" s="263"/>
      <c r="H556" s="324" t="s">
        <v>2965</v>
      </c>
      <c r="I556" s="320" t="s">
        <v>3030</v>
      </c>
      <c r="J556" s="344" t="s">
        <v>3019</v>
      </c>
      <c r="K556" s="357" t="s">
        <v>5487</v>
      </c>
      <c r="L556" s="263" t="s">
        <v>5467</v>
      </c>
      <c r="P556" s="178" t="s">
        <v>7008</v>
      </c>
    </row>
    <row r="557" spans="1:16">
      <c r="A557" s="239">
        <f t="shared" si="9"/>
        <v>556</v>
      </c>
      <c r="B557" s="517" t="s">
        <v>5821</v>
      </c>
      <c r="C557" s="554" t="s">
        <v>4258</v>
      </c>
      <c r="D557" s="554" t="s">
        <v>5299</v>
      </c>
      <c r="E557" s="517" t="s">
        <v>5827</v>
      </c>
      <c r="F557" s="532"/>
      <c r="G557" s="532"/>
      <c r="H557" s="237" t="s">
        <v>2965</v>
      </c>
      <c r="I557" s="239" t="s">
        <v>3030</v>
      </c>
      <c r="J557" s="197" t="s">
        <v>3019</v>
      </c>
      <c r="K557" s="544" t="s">
        <v>5488</v>
      </c>
      <c r="L557" s="532" t="s">
        <v>5468</v>
      </c>
      <c r="P557" s="178" t="s">
        <v>7008</v>
      </c>
    </row>
    <row r="558" spans="1:16">
      <c r="A558" s="239">
        <f t="shared" si="9"/>
        <v>557</v>
      </c>
      <c r="B558" s="517" t="s">
        <v>5822</v>
      </c>
      <c r="C558" s="554" t="s">
        <v>4258</v>
      </c>
      <c r="D558" s="554" t="s">
        <v>4264</v>
      </c>
      <c r="E558" s="517" t="s">
        <v>5828</v>
      </c>
      <c r="F558" s="532"/>
      <c r="G558" s="532"/>
      <c r="H558" s="237" t="s">
        <v>2965</v>
      </c>
      <c r="I558" s="239" t="s">
        <v>3030</v>
      </c>
      <c r="J558" s="197" t="s">
        <v>3019</v>
      </c>
      <c r="K558" s="544" t="s">
        <v>5485</v>
      </c>
      <c r="L558" s="532" t="s">
        <v>5465</v>
      </c>
      <c r="P558" s="178" t="s">
        <v>7008</v>
      </c>
    </row>
    <row r="559" spans="1:16">
      <c r="A559" s="239">
        <f t="shared" si="9"/>
        <v>558</v>
      </c>
      <c r="B559" s="517" t="s">
        <v>5823</v>
      </c>
      <c r="C559" s="554" t="s">
        <v>52</v>
      </c>
      <c r="D559" s="554" t="s">
        <v>4262</v>
      </c>
      <c r="E559" s="517" t="s">
        <v>7010</v>
      </c>
      <c r="F559" s="532"/>
      <c r="G559" s="532"/>
      <c r="H559" s="237" t="s">
        <v>2965</v>
      </c>
      <c r="I559" s="239" t="s">
        <v>3030</v>
      </c>
      <c r="J559" s="197" t="s">
        <v>3019</v>
      </c>
      <c r="K559" s="544" t="s">
        <v>7407</v>
      </c>
      <c r="L559" s="532" t="s">
        <v>7009</v>
      </c>
      <c r="P559" s="178" t="s">
        <v>7011</v>
      </c>
    </row>
    <row r="560" spans="1:16">
      <c r="A560" s="239">
        <f t="shared" si="9"/>
        <v>559</v>
      </c>
      <c r="B560" s="517" t="s">
        <v>7313</v>
      </c>
      <c r="C560" s="554" t="s">
        <v>4258</v>
      </c>
      <c r="D560" s="554" t="s">
        <v>4264</v>
      </c>
      <c r="E560" s="517" t="s">
        <v>7315</v>
      </c>
      <c r="F560" s="532"/>
      <c r="G560" s="532"/>
      <c r="H560" s="237" t="s">
        <v>2965</v>
      </c>
      <c r="I560" s="239" t="s">
        <v>3030</v>
      </c>
      <c r="J560" s="197" t="s">
        <v>3019</v>
      </c>
      <c r="K560" s="544" t="s">
        <v>7408</v>
      </c>
      <c r="L560" s="532" t="s">
        <v>7317</v>
      </c>
    </row>
    <row r="561" spans="1:16">
      <c r="A561" s="239">
        <f t="shared" si="9"/>
        <v>560</v>
      </c>
      <c r="B561" s="517" t="s">
        <v>2614</v>
      </c>
      <c r="C561" s="554" t="s">
        <v>52</v>
      </c>
      <c r="D561" s="554" t="s">
        <v>4262</v>
      </c>
      <c r="E561" s="517" t="s">
        <v>2975</v>
      </c>
      <c r="F561" s="532"/>
      <c r="G561" s="532"/>
      <c r="H561" s="532" t="s">
        <v>3332</v>
      </c>
      <c r="I561" s="532" t="s">
        <v>7302</v>
      </c>
      <c r="J561" s="532" t="s">
        <v>7302</v>
      </c>
      <c r="K561" s="544" t="s">
        <v>5850</v>
      </c>
      <c r="L561" s="532"/>
    </row>
    <row r="562" spans="1:16">
      <c r="A562" s="239">
        <f t="shared" si="9"/>
        <v>561</v>
      </c>
      <c r="B562" s="517" t="s">
        <v>2615</v>
      </c>
      <c r="C562" s="554" t="s">
        <v>52</v>
      </c>
      <c r="D562" s="554" t="s">
        <v>4262</v>
      </c>
      <c r="E562" s="517" t="s">
        <v>2976</v>
      </c>
      <c r="F562" s="532"/>
      <c r="G562" s="532"/>
      <c r="H562" s="532" t="s">
        <v>3332</v>
      </c>
      <c r="I562" s="532" t="s">
        <v>5848</v>
      </c>
      <c r="J562" s="532" t="s">
        <v>5848</v>
      </c>
      <c r="K562" s="544" t="s">
        <v>5849</v>
      </c>
      <c r="L562" s="532"/>
    </row>
    <row r="563" spans="1:16">
      <c r="A563" s="239">
        <f t="shared" si="9"/>
        <v>562</v>
      </c>
      <c r="B563" s="517" t="s">
        <v>2616</v>
      </c>
      <c r="C563" s="554" t="s">
        <v>4258</v>
      </c>
      <c r="D563" s="554" t="s">
        <v>4262</v>
      </c>
      <c r="E563" s="517" t="s">
        <v>3939</v>
      </c>
      <c r="F563" s="532"/>
      <c r="G563" s="532"/>
      <c r="H563" s="532" t="s">
        <v>3332</v>
      </c>
      <c r="I563" s="532" t="s">
        <v>5848</v>
      </c>
      <c r="J563" s="532" t="s">
        <v>5848</v>
      </c>
      <c r="K563" s="544" t="s">
        <v>3939</v>
      </c>
      <c r="L563" s="532"/>
    </row>
    <row r="564" spans="1:16">
      <c r="A564" s="239">
        <f t="shared" si="9"/>
        <v>563</v>
      </c>
      <c r="B564" s="517" t="s">
        <v>2617</v>
      </c>
      <c r="C564" s="554" t="s">
        <v>4258</v>
      </c>
      <c r="D564" s="554" t="s">
        <v>4262</v>
      </c>
      <c r="E564" s="517" t="s">
        <v>3940</v>
      </c>
      <c r="F564" s="532"/>
      <c r="G564" s="532"/>
      <c r="H564" s="532" t="s">
        <v>3332</v>
      </c>
      <c r="I564" s="532" t="s">
        <v>7302</v>
      </c>
      <c r="J564" s="532" t="s">
        <v>7302</v>
      </c>
      <c r="K564" s="544" t="s">
        <v>3940</v>
      </c>
      <c r="L564" s="532"/>
    </row>
    <row r="565" spans="1:16">
      <c r="A565" s="239">
        <f t="shared" si="9"/>
        <v>564</v>
      </c>
      <c r="B565" s="517" t="s">
        <v>2618</v>
      </c>
      <c r="C565" s="554" t="s">
        <v>4258</v>
      </c>
      <c r="D565" s="554" t="s">
        <v>4263</v>
      </c>
      <c r="E565" s="517" t="s">
        <v>3941</v>
      </c>
      <c r="F565" s="532"/>
      <c r="G565" s="532"/>
      <c r="H565" s="532" t="s">
        <v>3332</v>
      </c>
      <c r="I565" s="532" t="s">
        <v>7302</v>
      </c>
      <c r="J565" s="532" t="s">
        <v>7302</v>
      </c>
      <c r="K565" s="544" t="s">
        <v>7303</v>
      </c>
      <c r="L565" s="532"/>
    </row>
    <row r="566" spans="1:16">
      <c r="A566" s="239">
        <f t="shared" si="9"/>
        <v>565</v>
      </c>
      <c r="B566" s="517" t="s">
        <v>2619</v>
      </c>
      <c r="C566" s="554" t="s">
        <v>4258</v>
      </c>
      <c r="D566" s="554" t="s">
        <v>4264</v>
      </c>
      <c r="E566" s="517" t="s">
        <v>3942</v>
      </c>
      <c r="F566" s="532"/>
      <c r="G566" s="532"/>
      <c r="H566" s="532"/>
      <c r="I566" s="532"/>
      <c r="J566" s="544" t="s">
        <v>7301</v>
      </c>
      <c r="K566" s="544"/>
      <c r="L566" s="532"/>
    </row>
    <row r="567" spans="1:16">
      <c r="A567" s="239">
        <f t="shared" si="9"/>
        <v>566</v>
      </c>
      <c r="B567" s="517" t="s">
        <v>2620</v>
      </c>
      <c r="C567" s="554" t="s">
        <v>52</v>
      </c>
      <c r="D567" s="554" t="s">
        <v>4262</v>
      </c>
      <c r="E567" s="517" t="s">
        <v>3943</v>
      </c>
      <c r="F567" s="532"/>
      <c r="G567" s="532"/>
      <c r="H567" s="532"/>
      <c r="I567" s="532"/>
      <c r="J567" s="544" t="s">
        <v>7304</v>
      </c>
      <c r="K567" s="544" t="s">
        <v>5882</v>
      </c>
      <c r="L567" s="532" t="s">
        <v>7526</v>
      </c>
    </row>
    <row r="568" spans="1:16">
      <c r="A568" s="239">
        <f t="shared" si="9"/>
        <v>567</v>
      </c>
      <c r="B568" s="517" t="s">
        <v>2621</v>
      </c>
      <c r="C568" s="554" t="s">
        <v>52</v>
      </c>
      <c r="D568" s="554" t="s">
        <v>4262</v>
      </c>
      <c r="E568" s="517" t="s">
        <v>3944</v>
      </c>
      <c r="F568" s="532"/>
      <c r="G568" s="532"/>
      <c r="H568" s="532" t="s">
        <v>3332</v>
      </c>
      <c r="I568" s="532" t="s">
        <v>7302</v>
      </c>
      <c r="J568" s="544" t="s">
        <v>5850</v>
      </c>
      <c r="K568" s="544" t="s">
        <v>7409</v>
      </c>
      <c r="L568" s="532"/>
      <c r="P568" s="544" t="s">
        <v>7305</v>
      </c>
    </row>
    <row r="569" spans="1:16">
      <c r="A569" s="239">
        <f t="shared" si="9"/>
        <v>568</v>
      </c>
      <c r="B569" s="517" t="s">
        <v>2622</v>
      </c>
      <c r="C569" s="554" t="s">
        <v>4258</v>
      </c>
      <c r="D569" s="554" t="s">
        <v>4263</v>
      </c>
      <c r="E569" s="517" t="s">
        <v>3945</v>
      </c>
      <c r="F569" s="532"/>
      <c r="G569" s="532"/>
      <c r="H569" s="532" t="s">
        <v>3332</v>
      </c>
      <c r="I569" s="532" t="s">
        <v>7302</v>
      </c>
      <c r="J569" s="544" t="s">
        <v>3940</v>
      </c>
      <c r="K569" s="544" t="s">
        <v>7410</v>
      </c>
      <c r="L569" s="532"/>
      <c r="P569" s="544" t="s">
        <v>7305</v>
      </c>
    </row>
    <row r="570" spans="1:16">
      <c r="A570" s="239">
        <f t="shared" si="9"/>
        <v>569</v>
      </c>
      <c r="B570" s="517" t="s">
        <v>2623</v>
      </c>
      <c r="C570" s="554" t="s">
        <v>52</v>
      </c>
      <c r="D570" s="554" t="s">
        <v>4262</v>
      </c>
      <c r="E570" s="517" t="s">
        <v>3946</v>
      </c>
      <c r="F570" s="532"/>
      <c r="G570" s="532"/>
      <c r="H570" s="532"/>
      <c r="I570" s="532" t="s">
        <v>7429</v>
      </c>
      <c r="J570" s="617" t="s">
        <v>7310</v>
      </c>
      <c r="K570" s="544" t="s">
        <v>7308</v>
      </c>
      <c r="L570" s="532"/>
    </row>
    <row r="571" spans="1:16">
      <c r="A571" s="239">
        <f t="shared" si="9"/>
        <v>570</v>
      </c>
      <c r="B571" s="517" t="s">
        <v>2624</v>
      </c>
      <c r="C571" s="554" t="s">
        <v>52</v>
      </c>
      <c r="D571" s="554" t="s">
        <v>4262</v>
      </c>
      <c r="E571" s="517" t="s">
        <v>3947</v>
      </c>
      <c r="F571" s="532"/>
      <c r="G571" s="532"/>
      <c r="H571" s="532"/>
      <c r="I571" s="532"/>
      <c r="J571" s="532" t="s">
        <v>7307</v>
      </c>
      <c r="K571" s="544" t="s">
        <v>7306</v>
      </c>
      <c r="L571" s="532"/>
    </row>
    <row r="572" spans="1:16">
      <c r="A572" s="239">
        <f t="shared" si="9"/>
        <v>571</v>
      </c>
      <c r="B572" s="517" t="s">
        <v>2625</v>
      </c>
      <c r="C572" s="554" t="s">
        <v>52</v>
      </c>
      <c r="D572" s="554" t="s">
        <v>4262</v>
      </c>
      <c r="E572" s="544" t="s">
        <v>5152</v>
      </c>
      <c r="F572" s="532"/>
      <c r="G572" s="532"/>
      <c r="H572" s="532"/>
      <c r="I572" s="532" t="s">
        <v>7429</v>
      </c>
      <c r="J572" s="617" t="s">
        <v>7310</v>
      </c>
      <c r="K572" s="544" t="s">
        <v>7309</v>
      </c>
      <c r="L572" s="532"/>
    </row>
    <row r="573" spans="1:16">
      <c r="A573" s="239">
        <f t="shared" si="9"/>
        <v>572</v>
      </c>
      <c r="B573" s="517" t="s">
        <v>2626</v>
      </c>
      <c r="C573" s="554" t="s">
        <v>52</v>
      </c>
      <c r="D573" s="554" t="s">
        <v>4262</v>
      </c>
      <c r="E573" s="544" t="s">
        <v>5153</v>
      </c>
      <c r="F573" s="532"/>
      <c r="G573" s="532"/>
      <c r="H573" s="532"/>
      <c r="I573" s="532"/>
      <c r="J573" s="532" t="s">
        <v>7307</v>
      </c>
      <c r="K573" s="544" t="s">
        <v>5136</v>
      </c>
      <c r="L573" s="532"/>
    </row>
    <row r="574" spans="1:16">
      <c r="A574" s="239">
        <f t="shared" si="9"/>
        <v>573</v>
      </c>
      <c r="B574" s="517" t="s">
        <v>2627</v>
      </c>
      <c r="C574" s="554" t="s">
        <v>4258</v>
      </c>
      <c r="D574" s="554" t="s">
        <v>4263</v>
      </c>
      <c r="E574" s="544" t="s">
        <v>7012</v>
      </c>
      <c r="F574" s="532"/>
      <c r="G574" s="532"/>
      <c r="H574" s="532"/>
      <c r="I574" s="532" t="s">
        <v>7426</v>
      </c>
      <c r="J574" s="532" t="s">
        <v>7013</v>
      </c>
      <c r="K574" s="544" t="s">
        <v>7014</v>
      </c>
      <c r="L574" s="532"/>
    </row>
    <row r="575" spans="1:16">
      <c r="A575" s="239">
        <f t="shared" si="9"/>
        <v>574</v>
      </c>
      <c r="B575" s="517" t="s">
        <v>2628</v>
      </c>
      <c r="C575" s="554" t="s">
        <v>52</v>
      </c>
      <c r="D575" s="554" t="s">
        <v>4262</v>
      </c>
      <c r="E575" s="544" t="s">
        <v>189</v>
      </c>
      <c r="F575" s="532"/>
      <c r="G575" s="532"/>
      <c r="H575" s="532"/>
      <c r="I575" s="532" t="s">
        <v>5116</v>
      </c>
      <c r="J575" s="532" t="s">
        <v>5435</v>
      </c>
      <c r="K575" s="544" t="s">
        <v>189</v>
      </c>
      <c r="L575" s="532"/>
    </row>
    <row r="576" spans="1:16">
      <c r="A576" s="239">
        <f t="shared" si="9"/>
        <v>575</v>
      </c>
      <c r="B576" s="517" t="s">
        <v>2629</v>
      </c>
      <c r="C576" s="554" t="s">
        <v>4258</v>
      </c>
      <c r="D576" s="554" t="s">
        <v>4263</v>
      </c>
      <c r="E576" s="544" t="s">
        <v>7015</v>
      </c>
      <c r="F576" s="532"/>
      <c r="G576" s="532"/>
      <c r="H576" s="532"/>
      <c r="I576" s="532" t="s">
        <v>7427</v>
      </c>
      <c r="J576" s="532" t="s">
        <v>7016</v>
      </c>
      <c r="K576" s="544" t="s">
        <v>7022</v>
      </c>
      <c r="L576" s="532"/>
    </row>
    <row r="577" spans="1:16">
      <c r="A577" s="239">
        <f t="shared" si="9"/>
        <v>576</v>
      </c>
      <c r="B577" s="517" t="s">
        <v>2630</v>
      </c>
      <c r="C577" s="554" t="s">
        <v>4258</v>
      </c>
      <c r="D577" s="554" t="s">
        <v>4266</v>
      </c>
      <c r="E577" s="544" t="s">
        <v>6218</v>
      </c>
      <c r="F577" s="532"/>
      <c r="G577" s="532"/>
      <c r="H577" s="532"/>
      <c r="I577" s="532"/>
      <c r="J577" s="544"/>
      <c r="K577" s="532" t="s">
        <v>5628</v>
      </c>
      <c r="L577" s="532"/>
    </row>
    <row r="578" spans="1:16">
      <c r="A578" s="239">
        <f t="shared" si="9"/>
        <v>577</v>
      </c>
      <c r="B578" s="517" t="s">
        <v>2631</v>
      </c>
      <c r="C578" s="554" t="s">
        <v>52</v>
      </c>
      <c r="D578" s="554" t="s">
        <v>4262</v>
      </c>
      <c r="E578" s="544" t="s">
        <v>5624</v>
      </c>
      <c r="F578" s="532"/>
      <c r="G578" s="532"/>
      <c r="H578" s="532"/>
      <c r="I578" s="532"/>
      <c r="J578" s="532" t="s">
        <v>5625</v>
      </c>
      <c r="K578" s="532" t="s">
        <v>5626</v>
      </c>
      <c r="L578" s="532"/>
    </row>
    <row r="579" spans="1:16">
      <c r="A579" s="239">
        <f t="shared" si="9"/>
        <v>578</v>
      </c>
      <c r="B579" s="517" t="s">
        <v>2632</v>
      </c>
      <c r="C579" s="554" t="s">
        <v>4258</v>
      </c>
      <c r="D579" s="554" t="s">
        <v>4264</v>
      </c>
      <c r="E579" s="544" t="s">
        <v>7017</v>
      </c>
      <c r="F579" s="532"/>
      <c r="G579" s="532"/>
      <c r="H579" s="532" t="s">
        <v>7430</v>
      </c>
      <c r="I579" s="532" t="s">
        <v>7431</v>
      </c>
      <c r="J579" s="532" t="s">
        <v>3395</v>
      </c>
      <c r="K579" s="544" t="s">
        <v>7017</v>
      </c>
      <c r="L579" s="532"/>
      <c r="P579" s="178" t="s">
        <v>7432</v>
      </c>
    </row>
    <row r="580" spans="1:16">
      <c r="A580" s="239">
        <f t="shared" si="9"/>
        <v>579</v>
      </c>
      <c r="B580" s="517" t="s">
        <v>2633</v>
      </c>
      <c r="C580" s="554" t="s">
        <v>4258</v>
      </c>
      <c r="D580" s="554" t="s">
        <v>4263</v>
      </c>
      <c r="E580" s="544" t="s">
        <v>4062</v>
      </c>
      <c r="F580" s="532"/>
      <c r="G580" s="532"/>
      <c r="H580" s="532"/>
      <c r="I580" s="532"/>
      <c r="J580" s="544"/>
      <c r="K580" s="532" t="s">
        <v>7018</v>
      </c>
      <c r="L580" s="532"/>
    </row>
    <row r="581" spans="1:16">
      <c r="A581" s="239">
        <f t="shared" si="9"/>
        <v>580</v>
      </c>
      <c r="B581" s="517" t="s">
        <v>2634</v>
      </c>
      <c r="C581" s="554" t="s">
        <v>4258</v>
      </c>
      <c r="D581" s="554" t="s">
        <v>4264</v>
      </c>
      <c r="E581" s="544" t="s">
        <v>5903</v>
      </c>
      <c r="F581" s="532"/>
      <c r="G581" s="532"/>
      <c r="H581" s="532"/>
      <c r="I581" s="532"/>
      <c r="J581" s="532" t="s">
        <v>5851</v>
      </c>
      <c r="K581" s="544" t="s">
        <v>7021</v>
      </c>
      <c r="L581" s="532"/>
    </row>
    <row r="582" spans="1:16">
      <c r="A582" s="239">
        <f t="shared" si="9"/>
        <v>581</v>
      </c>
      <c r="B582" s="517" t="s">
        <v>2635</v>
      </c>
      <c r="C582" s="554" t="s">
        <v>52</v>
      </c>
      <c r="D582" s="554" t="s">
        <v>4262</v>
      </c>
      <c r="E582" s="544" t="s">
        <v>7019</v>
      </c>
      <c r="F582" s="532"/>
      <c r="G582" s="532"/>
      <c r="H582" s="532"/>
      <c r="I582" s="532"/>
      <c r="J582" s="544"/>
      <c r="K582" s="544" t="s">
        <v>7020</v>
      </c>
      <c r="L582" s="532"/>
    </row>
    <row r="583" spans="1:16">
      <c r="A583" s="239">
        <f t="shared" si="9"/>
        <v>582</v>
      </c>
      <c r="B583" s="517" t="s">
        <v>2636</v>
      </c>
      <c r="C583" s="554" t="s">
        <v>52</v>
      </c>
      <c r="D583" s="554" t="s">
        <v>4262</v>
      </c>
      <c r="E583" s="517" t="s">
        <v>7402</v>
      </c>
      <c r="F583" s="532"/>
      <c r="G583" s="532"/>
      <c r="H583" s="532"/>
      <c r="I583" s="532"/>
      <c r="J583" s="544" t="s">
        <v>7412</v>
      </c>
      <c r="K583" s="544" t="s">
        <v>7411</v>
      </c>
      <c r="L583" s="532"/>
    </row>
    <row r="584" spans="1:16">
      <c r="A584" s="239">
        <f t="shared" si="9"/>
        <v>583</v>
      </c>
      <c r="B584" s="517" t="s">
        <v>2637</v>
      </c>
      <c r="C584" s="554" t="s">
        <v>52</v>
      </c>
      <c r="D584" s="554" t="s">
        <v>5299</v>
      </c>
      <c r="E584" s="517" t="s">
        <v>7403</v>
      </c>
      <c r="F584" s="532"/>
      <c r="G584" s="532"/>
      <c r="H584" s="532" t="s">
        <v>3332</v>
      </c>
      <c r="I584" s="532"/>
      <c r="J584" s="544" t="s">
        <v>7414</v>
      </c>
      <c r="K584" s="544" t="s">
        <v>7413</v>
      </c>
      <c r="L584" s="532"/>
    </row>
    <row r="585" spans="1:16">
      <c r="A585" s="239">
        <f t="shared" si="9"/>
        <v>584</v>
      </c>
      <c r="B585" s="517" t="s">
        <v>2638</v>
      </c>
      <c r="C585" s="554" t="s">
        <v>52</v>
      </c>
      <c r="D585" s="554" t="s">
        <v>5299</v>
      </c>
      <c r="E585" s="517" t="s">
        <v>7404</v>
      </c>
      <c r="F585" s="532"/>
      <c r="G585" s="532"/>
      <c r="H585" s="532" t="s">
        <v>3332</v>
      </c>
      <c r="I585" s="532"/>
      <c r="J585" s="544" t="s">
        <v>7415</v>
      </c>
      <c r="K585" s="544" t="s">
        <v>7416</v>
      </c>
      <c r="L585" s="532"/>
    </row>
    <row r="586" spans="1:16">
      <c r="A586" s="239">
        <f t="shared" si="9"/>
        <v>585</v>
      </c>
      <c r="B586" s="517" t="s">
        <v>2639</v>
      </c>
      <c r="C586" s="554" t="s">
        <v>52</v>
      </c>
      <c r="D586" s="554" t="s">
        <v>5299</v>
      </c>
      <c r="E586" s="517" t="s">
        <v>7405</v>
      </c>
      <c r="F586" s="532"/>
      <c r="G586" s="532"/>
      <c r="H586" s="532"/>
      <c r="I586" s="532"/>
      <c r="J586" s="544"/>
      <c r="K586" s="544" t="s">
        <v>7417</v>
      </c>
      <c r="L586" s="532"/>
      <c r="P586" s="178" t="s">
        <v>7433</v>
      </c>
    </row>
    <row r="587" spans="1:16">
      <c r="A587" s="239">
        <f t="shared" si="9"/>
        <v>586</v>
      </c>
      <c r="B587" s="517" t="s">
        <v>2640</v>
      </c>
      <c r="C587" s="554" t="s">
        <v>4258</v>
      </c>
      <c r="D587" s="554" t="s">
        <v>4263</v>
      </c>
      <c r="E587" s="517" t="s">
        <v>7406</v>
      </c>
      <c r="F587" s="532"/>
      <c r="G587" s="532"/>
      <c r="H587" s="532"/>
      <c r="I587" s="532" t="s">
        <v>7428</v>
      </c>
      <c r="J587" s="544" t="s">
        <v>7016</v>
      </c>
      <c r="K587" s="544" t="s">
        <v>7418</v>
      </c>
      <c r="L587" s="532"/>
    </row>
    <row r="588" spans="1:16" s="210" customFormat="1" ht="13.5" customHeight="1">
      <c r="A588" s="239">
        <f t="shared" si="9"/>
        <v>587</v>
      </c>
      <c r="B588" s="536" t="s">
        <v>6241</v>
      </c>
      <c r="C588" s="619" t="s">
        <v>4258</v>
      </c>
      <c r="D588" s="619" t="s">
        <v>4263</v>
      </c>
      <c r="E588" s="538" t="s">
        <v>6271</v>
      </c>
      <c r="F588" s="539"/>
      <c r="G588" s="539"/>
      <c r="H588" s="537" t="s">
        <v>6486</v>
      </c>
      <c r="I588" s="539" t="s">
        <v>7312</v>
      </c>
      <c r="J588" s="540"/>
      <c r="K588" s="540" t="e">
        <v>#N/A</v>
      </c>
      <c r="L588" s="538" t="s">
        <v>6271</v>
      </c>
      <c r="P588" s="481" t="s">
        <v>6488</v>
      </c>
    </row>
    <row r="589" spans="1:16">
      <c r="A589" s="239">
        <f t="shared" si="9"/>
        <v>588</v>
      </c>
      <c r="B589" s="541" t="s">
        <v>6242</v>
      </c>
      <c r="C589" s="619" t="s">
        <v>4258</v>
      </c>
      <c r="D589" s="619" t="s">
        <v>4262</v>
      </c>
      <c r="E589" s="543" t="s">
        <v>6345</v>
      </c>
      <c r="F589" s="532"/>
      <c r="G589" s="532"/>
      <c r="H589" s="542" t="s">
        <v>6486</v>
      </c>
      <c r="I589" s="532" t="s">
        <v>7311</v>
      </c>
      <c r="J589" s="545" t="s">
        <v>6272</v>
      </c>
      <c r="K589" s="544" t="e">
        <v>#N/A</v>
      </c>
      <c r="L589" s="545" t="s">
        <v>6272</v>
      </c>
    </row>
    <row r="590" spans="1:16">
      <c r="A590" s="239">
        <f t="shared" si="9"/>
        <v>589</v>
      </c>
      <c r="B590" s="541" t="s">
        <v>2483</v>
      </c>
      <c r="C590" s="619" t="s">
        <v>52</v>
      </c>
      <c r="D590" s="619" t="s">
        <v>4262</v>
      </c>
      <c r="E590" s="543" t="s">
        <v>6346</v>
      </c>
      <c r="F590" s="532"/>
      <c r="G590" s="532"/>
      <c r="H590" s="542" t="s">
        <v>6486</v>
      </c>
      <c r="I590" s="532" t="s">
        <v>7311</v>
      </c>
      <c r="J590" s="543" t="s">
        <v>6273</v>
      </c>
      <c r="K590" s="544" t="e">
        <v>#N/A</v>
      </c>
      <c r="L590" s="543" t="s">
        <v>6273</v>
      </c>
    </row>
    <row r="591" spans="1:16">
      <c r="A591" s="239">
        <f t="shared" si="9"/>
        <v>590</v>
      </c>
      <c r="B591" s="541" t="s">
        <v>2484</v>
      </c>
      <c r="C591" s="619" t="s">
        <v>52</v>
      </c>
      <c r="D591" s="619" t="s">
        <v>4262</v>
      </c>
      <c r="E591" s="543" t="s">
        <v>6347</v>
      </c>
      <c r="F591" s="532"/>
      <c r="G591" s="532"/>
      <c r="H591" s="542" t="s">
        <v>6486</v>
      </c>
      <c r="I591" s="532" t="s">
        <v>7311</v>
      </c>
      <c r="J591" s="543" t="s">
        <v>6274</v>
      </c>
      <c r="K591" s="544" t="e">
        <v>#N/A</v>
      </c>
      <c r="L591" s="543" t="s">
        <v>6274</v>
      </c>
    </row>
    <row r="592" spans="1:16">
      <c r="A592" s="239">
        <f t="shared" si="9"/>
        <v>591</v>
      </c>
      <c r="B592" s="541" t="s">
        <v>2485</v>
      </c>
      <c r="C592" s="619" t="s">
        <v>52</v>
      </c>
      <c r="D592" s="619" t="s">
        <v>4262</v>
      </c>
      <c r="E592" s="543" t="s">
        <v>6348</v>
      </c>
      <c r="F592" s="532"/>
      <c r="G592" s="532"/>
      <c r="H592" s="542" t="s">
        <v>6486</v>
      </c>
      <c r="I592" s="532" t="s">
        <v>7311</v>
      </c>
      <c r="J592" s="543" t="s">
        <v>6275</v>
      </c>
      <c r="K592" s="544" t="e">
        <v>#N/A</v>
      </c>
      <c r="L592" s="543" t="s">
        <v>6275</v>
      </c>
    </row>
    <row r="593" spans="1:12">
      <c r="A593" s="239">
        <f t="shared" si="9"/>
        <v>592</v>
      </c>
      <c r="B593" s="541" t="s">
        <v>2486</v>
      </c>
      <c r="C593" s="619" t="s">
        <v>52</v>
      </c>
      <c r="D593" s="619" t="s">
        <v>4262</v>
      </c>
      <c r="E593" s="543" t="s">
        <v>6349</v>
      </c>
      <c r="F593" s="532"/>
      <c r="G593" s="532"/>
      <c r="H593" s="542" t="s">
        <v>6486</v>
      </c>
      <c r="I593" s="532" t="s">
        <v>7311</v>
      </c>
      <c r="J593" s="543" t="s">
        <v>6276</v>
      </c>
      <c r="K593" s="544" t="e">
        <v>#N/A</v>
      </c>
      <c r="L593" s="543" t="s">
        <v>6276</v>
      </c>
    </row>
    <row r="594" spans="1:12">
      <c r="A594" s="239">
        <f t="shared" si="9"/>
        <v>593</v>
      </c>
      <c r="B594" s="541" t="s">
        <v>2487</v>
      </c>
      <c r="C594" s="619" t="s">
        <v>52</v>
      </c>
      <c r="D594" s="619" t="s">
        <v>4262</v>
      </c>
      <c r="E594" s="543" t="s">
        <v>6350</v>
      </c>
      <c r="F594" s="532"/>
      <c r="G594" s="532"/>
      <c r="H594" s="542" t="s">
        <v>6486</v>
      </c>
      <c r="I594" s="532" t="s">
        <v>7311</v>
      </c>
      <c r="J594" s="543" t="s">
        <v>6277</v>
      </c>
      <c r="K594" s="544" t="e">
        <v>#N/A</v>
      </c>
      <c r="L594" s="543" t="s">
        <v>6277</v>
      </c>
    </row>
    <row r="595" spans="1:12">
      <c r="A595" s="239">
        <f t="shared" si="9"/>
        <v>594</v>
      </c>
      <c r="B595" s="541" t="s">
        <v>2488</v>
      </c>
      <c r="C595" s="619" t="s">
        <v>52</v>
      </c>
      <c r="D595" s="619" t="s">
        <v>4262</v>
      </c>
      <c r="E595" s="543" t="s">
        <v>6351</v>
      </c>
      <c r="F595" s="532"/>
      <c r="G595" s="532"/>
      <c r="H595" s="542" t="s">
        <v>6486</v>
      </c>
      <c r="I595" s="532" t="s">
        <v>7311</v>
      </c>
      <c r="J595" s="543" t="s">
        <v>6278</v>
      </c>
      <c r="K595" s="544" t="e">
        <v>#N/A</v>
      </c>
      <c r="L595" s="543" t="s">
        <v>6278</v>
      </c>
    </row>
    <row r="596" spans="1:12">
      <c r="A596" s="239">
        <f t="shared" si="9"/>
        <v>595</v>
      </c>
      <c r="B596" s="541" t="s">
        <v>2489</v>
      </c>
      <c r="C596" s="619" t="s">
        <v>4258</v>
      </c>
      <c r="D596" s="619" t="s">
        <v>4262</v>
      </c>
      <c r="E596" s="543" t="s">
        <v>6352</v>
      </c>
      <c r="F596" s="532"/>
      <c r="G596" s="532"/>
      <c r="H596" s="542" t="s">
        <v>6486</v>
      </c>
      <c r="I596" s="532" t="s">
        <v>7311</v>
      </c>
      <c r="J596" s="543" t="s">
        <v>6279</v>
      </c>
      <c r="K596" s="544" t="e">
        <v>#N/A</v>
      </c>
      <c r="L596" s="543" t="s">
        <v>6279</v>
      </c>
    </row>
    <row r="597" spans="1:12">
      <c r="A597" s="239">
        <f t="shared" si="9"/>
        <v>596</v>
      </c>
      <c r="B597" s="546" t="s">
        <v>6243</v>
      </c>
      <c r="C597" s="619" t="s">
        <v>52</v>
      </c>
      <c r="D597" s="619" t="s">
        <v>4262</v>
      </c>
      <c r="E597" s="547" t="s">
        <v>6353</v>
      </c>
      <c r="F597" s="532"/>
      <c r="G597" s="532"/>
      <c r="H597" s="548" t="s">
        <v>3327</v>
      </c>
      <c r="I597" s="239" t="s">
        <v>626</v>
      </c>
      <c r="J597" s="197" t="s">
        <v>6487</v>
      </c>
      <c r="K597" s="544" t="s">
        <v>6424</v>
      </c>
      <c r="L597" s="549" t="s">
        <v>6280</v>
      </c>
    </row>
    <row r="598" spans="1:12">
      <c r="A598" s="239">
        <f t="shared" si="9"/>
        <v>597</v>
      </c>
      <c r="B598" s="541" t="s">
        <v>5226</v>
      </c>
      <c r="C598" s="619" t="s">
        <v>52</v>
      </c>
      <c r="D598" s="619" t="s">
        <v>4262</v>
      </c>
      <c r="E598" s="543" t="s">
        <v>6354</v>
      </c>
      <c r="F598" s="532"/>
      <c r="G598" s="532"/>
      <c r="H598" s="529" t="s">
        <v>3327</v>
      </c>
      <c r="I598" s="239" t="s">
        <v>626</v>
      </c>
      <c r="J598" s="197" t="s">
        <v>6487</v>
      </c>
      <c r="K598" s="544" t="s">
        <v>6425</v>
      </c>
      <c r="L598" s="550" t="s">
        <v>6281</v>
      </c>
    </row>
    <row r="599" spans="1:12">
      <c r="A599" s="239">
        <f t="shared" si="9"/>
        <v>598</v>
      </c>
      <c r="B599" s="541" t="s">
        <v>4318</v>
      </c>
      <c r="C599" s="619" t="s">
        <v>52</v>
      </c>
      <c r="D599" s="619" t="s">
        <v>4262</v>
      </c>
      <c r="E599" s="543" t="s">
        <v>757</v>
      </c>
      <c r="F599" s="532"/>
      <c r="G599" s="532"/>
      <c r="H599" s="529" t="s">
        <v>3327</v>
      </c>
      <c r="I599" s="239" t="s">
        <v>626</v>
      </c>
      <c r="J599" s="197" t="s">
        <v>6487</v>
      </c>
      <c r="K599" s="544" t="s">
        <v>761</v>
      </c>
      <c r="L599" s="550" t="s">
        <v>759</v>
      </c>
    </row>
    <row r="600" spans="1:12">
      <c r="A600" s="239">
        <f t="shared" si="9"/>
        <v>599</v>
      </c>
      <c r="B600" s="541" t="s">
        <v>5227</v>
      </c>
      <c r="C600" s="619" t="s">
        <v>52</v>
      </c>
      <c r="D600" s="619" t="s">
        <v>4262</v>
      </c>
      <c r="E600" s="543" t="s">
        <v>6355</v>
      </c>
      <c r="F600" s="532"/>
      <c r="G600" s="532"/>
      <c r="H600" s="529" t="s">
        <v>3327</v>
      </c>
      <c r="I600" s="239" t="s">
        <v>626</v>
      </c>
      <c r="J600" s="197" t="s">
        <v>6487</v>
      </c>
      <c r="K600" s="544" t="s">
        <v>6426</v>
      </c>
      <c r="L600" s="550" t="s">
        <v>6282</v>
      </c>
    </row>
    <row r="601" spans="1:12">
      <c r="A601" s="239">
        <f t="shared" si="9"/>
        <v>600</v>
      </c>
      <c r="B601" s="541" t="s">
        <v>5605</v>
      </c>
      <c r="C601" s="619" t="s">
        <v>52</v>
      </c>
      <c r="D601" s="619" t="s">
        <v>4262</v>
      </c>
      <c r="E601" s="543" t="s">
        <v>6356</v>
      </c>
      <c r="F601" s="532"/>
      <c r="G601" s="532"/>
      <c r="H601" s="542" t="s">
        <v>3327</v>
      </c>
      <c r="I601" s="239" t="s">
        <v>626</v>
      </c>
      <c r="J601" s="197" t="s">
        <v>6487</v>
      </c>
      <c r="K601" s="544" t="s">
        <v>7035</v>
      </c>
      <c r="L601" s="543" t="s">
        <v>6283</v>
      </c>
    </row>
    <row r="602" spans="1:12">
      <c r="A602" s="239">
        <f t="shared" si="9"/>
        <v>601</v>
      </c>
      <c r="B602" s="541" t="s">
        <v>5606</v>
      </c>
      <c r="C602" s="619" t="s">
        <v>52</v>
      </c>
      <c r="D602" s="619" t="s">
        <v>4262</v>
      </c>
      <c r="E602" s="543" t="s">
        <v>6357</v>
      </c>
      <c r="F602" s="532"/>
      <c r="G602" s="532"/>
      <c r="H602" s="542" t="s">
        <v>3327</v>
      </c>
      <c r="I602" s="239" t="s">
        <v>626</v>
      </c>
      <c r="J602" s="197" t="s">
        <v>6487</v>
      </c>
      <c r="K602" s="544" t="s">
        <v>6427</v>
      </c>
      <c r="L602" s="543" t="s">
        <v>6284</v>
      </c>
    </row>
    <row r="603" spans="1:12">
      <c r="A603" s="239">
        <f t="shared" si="9"/>
        <v>602</v>
      </c>
      <c r="B603" s="541" t="s">
        <v>5607</v>
      </c>
      <c r="C603" s="619" t="s">
        <v>52</v>
      </c>
      <c r="D603" s="619" t="s">
        <v>4262</v>
      </c>
      <c r="E603" s="543" t="s">
        <v>6358</v>
      </c>
      <c r="F603" s="532"/>
      <c r="G603" s="532"/>
      <c r="H603" s="542" t="s">
        <v>3327</v>
      </c>
      <c r="I603" s="239" t="s">
        <v>626</v>
      </c>
      <c r="J603" s="197" t="s">
        <v>6487</v>
      </c>
      <c r="K603" s="544" t="s">
        <v>6428</v>
      </c>
      <c r="L603" s="543" t="s">
        <v>6285</v>
      </c>
    </row>
    <row r="604" spans="1:12">
      <c r="A604" s="239">
        <f t="shared" si="9"/>
        <v>603</v>
      </c>
      <c r="B604" s="541" t="s">
        <v>5608</v>
      </c>
      <c r="C604" s="619" t="s">
        <v>52</v>
      </c>
      <c r="D604" s="619" t="s">
        <v>4262</v>
      </c>
      <c r="E604" s="543" t="s">
        <v>6359</v>
      </c>
      <c r="F604" s="532"/>
      <c r="G604" s="532"/>
      <c r="H604" s="542" t="s">
        <v>3327</v>
      </c>
      <c r="I604" s="239" t="s">
        <v>626</v>
      </c>
      <c r="J604" s="197" t="s">
        <v>6487</v>
      </c>
      <c r="K604" s="544" t="s">
        <v>6429</v>
      </c>
      <c r="L604" s="543" t="s">
        <v>6286</v>
      </c>
    </row>
    <row r="605" spans="1:12">
      <c r="A605" s="239">
        <f t="shared" si="9"/>
        <v>604</v>
      </c>
      <c r="B605" s="541" t="s">
        <v>5609</v>
      </c>
      <c r="C605" s="619" t="s">
        <v>52</v>
      </c>
      <c r="D605" s="619" t="s">
        <v>4262</v>
      </c>
      <c r="E605" s="543" t="s">
        <v>6360</v>
      </c>
      <c r="F605" s="532"/>
      <c r="G605" s="532"/>
      <c r="H605" s="542" t="s">
        <v>3327</v>
      </c>
      <c r="I605" s="239" t="s">
        <v>626</v>
      </c>
      <c r="J605" s="197" t="s">
        <v>6487</v>
      </c>
      <c r="K605" s="544" t="s">
        <v>6430</v>
      </c>
      <c r="L605" s="543" t="s">
        <v>6287</v>
      </c>
    </row>
    <row r="606" spans="1:12">
      <c r="A606" s="239">
        <f t="shared" si="9"/>
        <v>605</v>
      </c>
      <c r="B606" s="541" t="s">
        <v>4341</v>
      </c>
      <c r="C606" s="619" t="s">
        <v>52</v>
      </c>
      <c r="D606" s="619" t="s">
        <v>4262</v>
      </c>
      <c r="E606" s="543" t="s">
        <v>6711</v>
      </c>
      <c r="F606" s="532"/>
      <c r="G606" s="532"/>
      <c r="H606" s="529" t="s">
        <v>3328</v>
      </c>
      <c r="I606" s="239" t="s">
        <v>3030</v>
      </c>
      <c r="J606" s="197" t="s">
        <v>3019</v>
      </c>
      <c r="K606" s="551" t="s">
        <v>7026</v>
      </c>
      <c r="L606" s="543" t="s">
        <v>6629</v>
      </c>
    </row>
    <row r="607" spans="1:12">
      <c r="A607" s="239">
        <f t="shared" si="9"/>
        <v>606</v>
      </c>
      <c r="B607" s="546" t="s">
        <v>4342</v>
      </c>
      <c r="C607" s="619" t="s">
        <v>52</v>
      </c>
      <c r="D607" s="619" t="s">
        <v>4262</v>
      </c>
      <c r="E607" s="547" t="s">
        <v>6361</v>
      </c>
      <c r="F607" s="532"/>
      <c r="G607" s="532"/>
      <c r="H607" s="548" t="s">
        <v>3328</v>
      </c>
      <c r="I607" s="239" t="s">
        <v>3030</v>
      </c>
      <c r="J607" s="197" t="s">
        <v>3019</v>
      </c>
      <c r="K607" s="544" t="s">
        <v>6431</v>
      </c>
      <c r="L607" s="549" t="s">
        <v>6288</v>
      </c>
    </row>
    <row r="608" spans="1:12">
      <c r="A608" s="239">
        <f t="shared" si="9"/>
        <v>607</v>
      </c>
      <c r="B608" s="541" t="s">
        <v>4343</v>
      </c>
      <c r="C608" s="619" t="s">
        <v>52</v>
      </c>
      <c r="D608" s="619" t="s">
        <v>4262</v>
      </c>
      <c r="E608" s="543" t="s">
        <v>6362</v>
      </c>
      <c r="F608" s="532"/>
      <c r="G608" s="532"/>
      <c r="H608" s="529" t="s">
        <v>3328</v>
      </c>
      <c r="I608" s="239" t="s">
        <v>3030</v>
      </c>
      <c r="J608" s="197" t="s">
        <v>3019</v>
      </c>
      <c r="K608" s="544" t="s">
        <v>6432</v>
      </c>
      <c r="L608" s="550" t="s">
        <v>6289</v>
      </c>
    </row>
    <row r="609" spans="1:12">
      <c r="A609" s="239">
        <f t="shared" si="9"/>
        <v>608</v>
      </c>
      <c r="B609" s="541" t="s">
        <v>4344</v>
      </c>
      <c r="C609" s="619" t="s">
        <v>52</v>
      </c>
      <c r="D609" s="619" t="s">
        <v>4262</v>
      </c>
      <c r="E609" s="543" t="s">
        <v>6363</v>
      </c>
      <c r="F609" s="532"/>
      <c r="G609" s="532"/>
      <c r="H609" s="529" t="s">
        <v>3328</v>
      </c>
      <c r="I609" s="239" t="s">
        <v>3030</v>
      </c>
      <c r="J609" s="197" t="s">
        <v>3019</v>
      </c>
      <c r="K609" s="544" t="s">
        <v>6433</v>
      </c>
      <c r="L609" s="550" t="s">
        <v>6290</v>
      </c>
    </row>
    <row r="610" spans="1:12">
      <c r="A610" s="239">
        <f t="shared" si="9"/>
        <v>609</v>
      </c>
      <c r="B610" s="541" t="s">
        <v>4345</v>
      </c>
      <c r="C610" s="619" t="s">
        <v>52</v>
      </c>
      <c r="D610" s="619" t="s">
        <v>4262</v>
      </c>
      <c r="E610" s="543" t="s">
        <v>6364</v>
      </c>
      <c r="F610" s="532"/>
      <c r="G610" s="532"/>
      <c r="H610" s="529" t="s">
        <v>3328</v>
      </c>
      <c r="I610" s="239" t="s">
        <v>3030</v>
      </c>
      <c r="J610" s="197" t="s">
        <v>3019</v>
      </c>
      <c r="K610" s="544" t="s">
        <v>5539</v>
      </c>
      <c r="L610" s="550" t="s">
        <v>4564</v>
      </c>
    </row>
    <row r="611" spans="1:12">
      <c r="A611" s="239">
        <f t="shared" si="9"/>
        <v>610</v>
      </c>
      <c r="B611" s="541" t="s">
        <v>4346</v>
      </c>
      <c r="C611" s="619" t="s">
        <v>4258</v>
      </c>
      <c r="D611" s="619" t="s">
        <v>4262</v>
      </c>
      <c r="E611" s="543" t="s">
        <v>6365</v>
      </c>
      <c r="F611" s="532"/>
      <c r="G611" s="532"/>
      <c r="H611" s="529" t="s">
        <v>3328</v>
      </c>
      <c r="I611" s="239" t="s">
        <v>3030</v>
      </c>
      <c r="J611" s="197" t="s">
        <v>3019</v>
      </c>
      <c r="K611" s="544" t="s">
        <v>6434</v>
      </c>
      <c r="L611" s="550" t="s">
        <v>6291</v>
      </c>
    </row>
    <row r="612" spans="1:12">
      <c r="A612" s="239">
        <f t="shared" si="9"/>
        <v>611</v>
      </c>
      <c r="B612" s="541" t="s">
        <v>4347</v>
      </c>
      <c r="C612" s="619" t="s">
        <v>52</v>
      </c>
      <c r="D612" s="619" t="s">
        <v>4262</v>
      </c>
      <c r="E612" s="543" t="s">
        <v>6366</v>
      </c>
      <c r="F612" s="532"/>
      <c r="G612" s="532"/>
      <c r="H612" s="529" t="s">
        <v>3328</v>
      </c>
      <c r="I612" s="239" t="s">
        <v>3030</v>
      </c>
      <c r="J612" s="197" t="s">
        <v>3019</v>
      </c>
      <c r="K612" s="544" t="s">
        <v>6435</v>
      </c>
      <c r="L612" s="550" t="s">
        <v>6292</v>
      </c>
    </row>
    <row r="613" spans="1:12">
      <c r="A613" s="239">
        <f t="shared" ref="A613:A670" si="10">ROW()-1</f>
        <v>612</v>
      </c>
      <c r="B613" s="541" t="s">
        <v>4348</v>
      </c>
      <c r="C613" s="619" t="s">
        <v>52</v>
      </c>
      <c r="D613" s="619" t="s">
        <v>4262</v>
      </c>
      <c r="E613" s="543" t="s">
        <v>6367</v>
      </c>
      <c r="F613" s="532"/>
      <c r="G613" s="532"/>
      <c r="H613" s="529" t="s">
        <v>3328</v>
      </c>
      <c r="I613" s="239" t="s">
        <v>3030</v>
      </c>
      <c r="J613" s="197" t="s">
        <v>3019</v>
      </c>
      <c r="K613" s="544" t="s">
        <v>6436</v>
      </c>
      <c r="L613" s="550" t="s">
        <v>6293</v>
      </c>
    </row>
    <row r="614" spans="1:12">
      <c r="A614" s="239">
        <f t="shared" si="10"/>
        <v>613</v>
      </c>
      <c r="B614" s="541" t="s">
        <v>4349</v>
      </c>
      <c r="C614" s="619" t="s">
        <v>52</v>
      </c>
      <c r="D614" s="619" t="s">
        <v>4262</v>
      </c>
      <c r="E614" s="543" t="s">
        <v>6368</v>
      </c>
      <c r="F614" s="532"/>
      <c r="G614" s="532"/>
      <c r="H614" s="529" t="s">
        <v>3328</v>
      </c>
      <c r="I614" s="239" t="s">
        <v>3030</v>
      </c>
      <c r="J614" s="197" t="s">
        <v>3019</v>
      </c>
      <c r="K614" s="544" t="s">
        <v>6437</v>
      </c>
      <c r="L614" s="550" t="s">
        <v>6294</v>
      </c>
    </row>
    <row r="615" spans="1:12">
      <c r="A615" s="239">
        <f t="shared" si="10"/>
        <v>614</v>
      </c>
      <c r="B615" s="541" t="s">
        <v>4350</v>
      </c>
      <c r="C615" s="619" t="s">
        <v>52</v>
      </c>
      <c r="D615" s="619" t="s">
        <v>4262</v>
      </c>
      <c r="E615" s="543" t="s">
        <v>6369</v>
      </c>
      <c r="F615" s="532"/>
      <c r="G615" s="532"/>
      <c r="H615" s="542" t="s">
        <v>2965</v>
      </c>
      <c r="I615" s="239" t="s">
        <v>3030</v>
      </c>
      <c r="J615" s="197" t="s">
        <v>3019</v>
      </c>
      <c r="K615" s="544" t="s">
        <v>7006</v>
      </c>
      <c r="L615" s="543" t="s">
        <v>6295</v>
      </c>
    </row>
    <row r="616" spans="1:12">
      <c r="A616" s="239">
        <f t="shared" si="10"/>
        <v>615</v>
      </c>
      <c r="B616" s="541" t="s">
        <v>4351</v>
      </c>
      <c r="C616" s="619" t="s">
        <v>52</v>
      </c>
      <c r="D616" s="619" t="s">
        <v>4262</v>
      </c>
      <c r="E616" s="543" t="s">
        <v>6370</v>
      </c>
      <c r="F616" s="532"/>
      <c r="G616" s="532"/>
      <c r="H616" s="542" t="s">
        <v>2965</v>
      </c>
      <c r="I616" s="239" t="s">
        <v>3030</v>
      </c>
      <c r="J616" s="197" t="s">
        <v>3019</v>
      </c>
      <c r="K616" s="544" t="s">
        <v>6438</v>
      </c>
      <c r="L616" s="543" t="s">
        <v>6296</v>
      </c>
    </row>
    <row r="617" spans="1:12">
      <c r="A617" s="239">
        <f t="shared" si="10"/>
        <v>616</v>
      </c>
      <c r="B617" s="541" t="s">
        <v>4352</v>
      </c>
      <c r="C617" s="619" t="s">
        <v>52</v>
      </c>
      <c r="D617" s="619" t="s">
        <v>4262</v>
      </c>
      <c r="E617" s="543" t="s">
        <v>6371</v>
      </c>
      <c r="F617" s="532"/>
      <c r="G617" s="532"/>
      <c r="H617" s="542" t="s">
        <v>2965</v>
      </c>
      <c r="I617" s="239" t="s">
        <v>3030</v>
      </c>
      <c r="J617" s="197" t="s">
        <v>3019</v>
      </c>
      <c r="K617" s="544" t="s">
        <v>940</v>
      </c>
      <c r="L617" s="543" t="s">
        <v>939</v>
      </c>
    </row>
    <row r="618" spans="1:12">
      <c r="A618" s="239">
        <f t="shared" si="10"/>
        <v>617</v>
      </c>
      <c r="B618" s="541" t="s">
        <v>4353</v>
      </c>
      <c r="C618" s="619" t="s">
        <v>52</v>
      </c>
      <c r="D618" s="619" t="s">
        <v>4262</v>
      </c>
      <c r="E618" s="543" t="s">
        <v>6372</v>
      </c>
      <c r="F618" s="532"/>
      <c r="G618" s="532"/>
      <c r="H618" s="542" t="s">
        <v>2965</v>
      </c>
      <c r="I618" s="239" t="s">
        <v>3030</v>
      </c>
      <c r="J618" s="197" t="s">
        <v>3019</v>
      </c>
      <c r="K618" s="544" t="s">
        <v>6439</v>
      </c>
      <c r="L618" s="543" t="s">
        <v>6297</v>
      </c>
    </row>
    <row r="619" spans="1:12">
      <c r="A619" s="239">
        <f t="shared" si="10"/>
        <v>618</v>
      </c>
      <c r="B619" s="541" t="s">
        <v>4354</v>
      </c>
      <c r="C619" s="619" t="s">
        <v>52</v>
      </c>
      <c r="D619" s="619" t="s">
        <v>4262</v>
      </c>
      <c r="E619" s="543" t="s">
        <v>6373</v>
      </c>
      <c r="F619" s="532"/>
      <c r="G619" s="532"/>
      <c r="H619" s="542" t="s">
        <v>2965</v>
      </c>
      <c r="I619" s="239" t="s">
        <v>3030</v>
      </c>
      <c r="J619" s="197" t="s">
        <v>3019</v>
      </c>
      <c r="K619" s="544" t="s">
        <v>6440</v>
      </c>
      <c r="L619" s="543" t="s">
        <v>6298</v>
      </c>
    </row>
    <row r="620" spans="1:12">
      <c r="A620" s="239">
        <f t="shared" si="10"/>
        <v>619</v>
      </c>
      <c r="B620" s="541" t="s">
        <v>4355</v>
      </c>
      <c r="C620" s="619" t="s">
        <v>52</v>
      </c>
      <c r="D620" s="619" t="s">
        <v>4262</v>
      </c>
      <c r="E620" s="543" t="s">
        <v>6374</v>
      </c>
      <c r="F620" s="532"/>
      <c r="G620" s="532"/>
      <c r="H620" s="542" t="s">
        <v>2965</v>
      </c>
      <c r="I620" s="239" t="s">
        <v>3030</v>
      </c>
      <c r="J620" s="197" t="s">
        <v>3019</v>
      </c>
      <c r="K620" s="544" t="s">
        <v>6441</v>
      </c>
      <c r="L620" s="543" t="s">
        <v>6299</v>
      </c>
    </row>
    <row r="621" spans="1:12">
      <c r="A621" s="239">
        <f t="shared" si="10"/>
        <v>620</v>
      </c>
      <c r="B621" s="541" t="s">
        <v>4356</v>
      </c>
      <c r="C621" s="619" t="s">
        <v>52</v>
      </c>
      <c r="D621" s="619" t="s">
        <v>4262</v>
      </c>
      <c r="E621" s="543" t="s">
        <v>6375</v>
      </c>
      <c r="F621" s="532"/>
      <c r="G621" s="532"/>
      <c r="H621" s="542" t="s">
        <v>2965</v>
      </c>
      <c r="I621" s="239" t="s">
        <v>3030</v>
      </c>
      <c r="J621" s="197" t="s">
        <v>3019</v>
      </c>
      <c r="K621" s="544" t="s">
        <v>6442</v>
      </c>
      <c r="L621" s="543" t="s">
        <v>6300</v>
      </c>
    </row>
    <row r="622" spans="1:12">
      <c r="A622" s="239">
        <f t="shared" si="10"/>
        <v>621</v>
      </c>
      <c r="B622" s="541" t="s">
        <v>4357</v>
      </c>
      <c r="C622" s="619" t="s">
        <v>52</v>
      </c>
      <c r="D622" s="619" t="s">
        <v>4262</v>
      </c>
      <c r="E622" s="543" t="s">
        <v>6376</v>
      </c>
      <c r="F622" s="532"/>
      <c r="G622" s="532"/>
      <c r="H622" s="542" t="s">
        <v>2965</v>
      </c>
      <c r="I622" s="239" t="s">
        <v>3030</v>
      </c>
      <c r="J622" s="197" t="s">
        <v>3019</v>
      </c>
      <c r="K622" s="544" t="s">
        <v>6443</v>
      </c>
      <c r="L622" s="543" t="s">
        <v>6301</v>
      </c>
    </row>
    <row r="623" spans="1:12">
      <c r="A623" s="239">
        <f t="shared" si="10"/>
        <v>622</v>
      </c>
      <c r="B623" s="541" t="s">
        <v>4358</v>
      </c>
      <c r="C623" s="619" t="s">
        <v>52</v>
      </c>
      <c r="D623" s="619" t="s">
        <v>4262</v>
      </c>
      <c r="E623" s="543" t="s">
        <v>6377</v>
      </c>
      <c r="F623" s="532"/>
      <c r="G623" s="532"/>
      <c r="H623" s="542" t="s">
        <v>2965</v>
      </c>
      <c r="I623" s="239" t="s">
        <v>3030</v>
      </c>
      <c r="J623" s="197" t="s">
        <v>3019</v>
      </c>
      <c r="K623" s="544" t="s">
        <v>6444</v>
      </c>
      <c r="L623" s="543" t="s">
        <v>6302</v>
      </c>
    </row>
    <row r="624" spans="1:12">
      <c r="A624" s="239">
        <f t="shared" si="10"/>
        <v>623</v>
      </c>
      <c r="B624" s="541" t="s">
        <v>4359</v>
      </c>
      <c r="C624" s="619" t="s">
        <v>52</v>
      </c>
      <c r="D624" s="619" t="s">
        <v>4262</v>
      </c>
      <c r="E624" s="543" t="s">
        <v>6378</v>
      </c>
      <c r="F624" s="532"/>
      <c r="G624" s="532"/>
      <c r="H624" s="542" t="s">
        <v>2965</v>
      </c>
      <c r="I624" s="239" t="s">
        <v>3030</v>
      </c>
      <c r="J624" s="197" t="s">
        <v>3019</v>
      </c>
      <c r="K624" s="544" t="s">
        <v>6445</v>
      </c>
      <c r="L624" s="543" t="s">
        <v>959</v>
      </c>
    </row>
    <row r="625" spans="1:12">
      <c r="A625" s="239">
        <f t="shared" si="10"/>
        <v>624</v>
      </c>
      <c r="B625" s="541" t="s">
        <v>4360</v>
      </c>
      <c r="C625" s="619" t="s">
        <v>52</v>
      </c>
      <c r="D625" s="619" t="s">
        <v>4262</v>
      </c>
      <c r="E625" s="543" t="s">
        <v>6379</v>
      </c>
      <c r="F625" s="532"/>
      <c r="G625" s="532"/>
      <c r="H625" s="542" t="s">
        <v>2965</v>
      </c>
      <c r="I625" s="239" t="s">
        <v>3030</v>
      </c>
      <c r="J625" s="197" t="s">
        <v>3019</v>
      </c>
      <c r="K625" s="544" t="s">
        <v>6446</v>
      </c>
      <c r="L625" s="543" t="s">
        <v>6303</v>
      </c>
    </row>
    <row r="626" spans="1:12">
      <c r="A626" s="239">
        <f t="shared" si="10"/>
        <v>625</v>
      </c>
      <c r="B626" s="541" t="s">
        <v>4361</v>
      </c>
      <c r="C626" s="619" t="s">
        <v>52</v>
      </c>
      <c r="D626" s="619" t="s">
        <v>4262</v>
      </c>
      <c r="E626" s="543" t="s">
        <v>6380</v>
      </c>
      <c r="F626" s="532"/>
      <c r="G626" s="532"/>
      <c r="H626" s="542" t="s">
        <v>2965</v>
      </c>
      <c r="I626" s="239" t="s">
        <v>3030</v>
      </c>
      <c r="J626" s="197" t="s">
        <v>3019</v>
      </c>
      <c r="K626" s="544" t="s">
        <v>6447</v>
      </c>
      <c r="L626" s="550" t="s">
        <v>6304</v>
      </c>
    </row>
    <row r="627" spans="1:12">
      <c r="A627" s="239">
        <f t="shared" si="10"/>
        <v>626</v>
      </c>
      <c r="B627" s="541" t="s">
        <v>4362</v>
      </c>
      <c r="C627" s="619" t="s">
        <v>52</v>
      </c>
      <c r="D627" s="619" t="s">
        <v>4262</v>
      </c>
      <c r="E627" s="543" t="s">
        <v>6381</v>
      </c>
      <c r="F627" s="532"/>
      <c r="G627" s="532"/>
      <c r="H627" s="542" t="s">
        <v>2965</v>
      </c>
      <c r="I627" s="239" t="s">
        <v>3030</v>
      </c>
      <c r="J627" s="197" t="s">
        <v>3019</v>
      </c>
      <c r="K627" s="544" t="s">
        <v>6448</v>
      </c>
      <c r="L627" s="543" t="s">
        <v>6305</v>
      </c>
    </row>
    <row r="628" spans="1:12">
      <c r="A628" s="239">
        <f t="shared" si="10"/>
        <v>627</v>
      </c>
      <c r="B628" s="541" t="s">
        <v>5589</v>
      </c>
      <c r="C628" s="619" t="s">
        <v>52</v>
      </c>
      <c r="D628" s="619" t="s">
        <v>4262</v>
      </c>
      <c r="E628" s="543" t="s">
        <v>6382</v>
      </c>
      <c r="F628" s="532"/>
      <c r="G628" s="532"/>
      <c r="H628" s="542" t="s">
        <v>2965</v>
      </c>
      <c r="I628" s="239" t="s">
        <v>3030</v>
      </c>
      <c r="J628" s="197" t="s">
        <v>3019</v>
      </c>
      <c r="K628" s="544" t="s">
        <v>6449</v>
      </c>
      <c r="L628" s="543" t="s">
        <v>6306</v>
      </c>
    </row>
    <row r="629" spans="1:12">
      <c r="A629" s="239">
        <f t="shared" si="10"/>
        <v>628</v>
      </c>
      <c r="B629" s="541" t="s">
        <v>5590</v>
      </c>
      <c r="C629" s="619" t="s">
        <v>4258</v>
      </c>
      <c r="D629" s="619" t="s">
        <v>4262</v>
      </c>
      <c r="E629" s="543" t="s">
        <v>6383</v>
      </c>
      <c r="F629" s="532"/>
      <c r="G629" s="532"/>
      <c r="H629" s="542" t="s">
        <v>2965</v>
      </c>
      <c r="I629" s="239" t="s">
        <v>3030</v>
      </c>
      <c r="J629" s="197" t="s">
        <v>3019</v>
      </c>
      <c r="K629" s="544" t="s">
        <v>6450</v>
      </c>
      <c r="L629" s="543" t="s">
        <v>6307</v>
      </c>
    </row>
    <row r="630" spans="1:12">
      <c r="A630" s="239">
        <f t="shared" si="10"/>
        <v>629</v>
      </c>
      <c r="B630" s="541" t="s">
        <v>5591</v>
      </c>
      <c r="C630" s="619" t="s">
        <v>4258</v>
      </c>
      <c r="D630" s="619" t="s">
        <v>4262</v>
      </c>
      <c r="E630" s="543" t="s">
        <v>6384</v>
      </c>
      <c r="F630" s="532"/>
      <c r="G630" s="532"/>
      <c r="H630" s="542" t="s">
        <v>2965</v>
      </c>
      <c r="I630" s="239" t="s">
        <v>3030</v>
      </c>
      <c r="J630" s="197" t="s">
        <v>3019</v>
      </c>
      <c r="K630" s="544" t="s">
        <v>6451</v>
      </c>
      <c r="L630" s="543" t="s">
        <v>6308</v>
      </c>
    </row>
    <row r="631" spans="1:12">
      <c r="A631" s="239">
        <f t="shared" si="10"/>
        <v>630</v>
      </c>
      <c r="B631" s="541" t="s">
        <v>5592</v>
      </c>
      <c r="C631" s="619" t="s">
        <v>4258</v>
      </c>
      <c r="D631" s="619" t="s">
        <v>4262</v>
      </c>
      <c r="E631" s="543" t="s">
        <v>6385</v>
      </c>
      <c r="F631" s="532"/>
      <c r="G631" s="532"/>
      <c r="H631" s="542" t="s">
        <v>2965</v>
      </c>
      <c r="I631" s="239" t="s">
        <v>3030</v>
      </c>
      <c r="J631" s="197" t="s">
        <v>3019</v>
      </c>
      <c r="K631" s="544" t="s">
        <v>6452</v>
      </c>
      <c r="L631" s="543" t="s">
        <v>6309</v>
      </c>
    </row>
    <row r="632" spans="1:12">
      <c r="A632" s="239">
        <f t="shared" si="10"/>
        <v>631</v>
      </c>
      <c r="B632" s="541" t="s">
        <v>5593</v>
      </c>
      <c r="C632" s="619" t="s">
        <v>52</v>
      </c>
      <c r="D632" s="619" t="s">
        <v>4262</v>
      </c>
      <c r="E632" s="543" t="s">
        <v>6386</v>
      </c>
      <c r="F632" s="532"/>
      <c r="G632" s="532"/>
      <c r="H632" s="542" t="s">
        <v>2965</v>
      </c>
      <c r="I632" s="239" t="s">
        <v>3030</v>
      </c>
      <c r="J632" s="197" t="s">
        <v>3019</v>
      </c>
      <c r="K632" s="544" t="s">
        <v>6453</v>
      </c>
      <c r="L632" s="543" t="s">
        <v>6310</v>
      </c>
    </row>
    <row r="633" spans="1:12">
      <c r="A633" s="239">
        <f t="shared" si="10"/>
        <v>632</v>
      </c>
      <c r="B633" s="541" t="s">
        <v>5594</v>
      </c>
      <c r="C633" s="619" t="s">
        <v>4258</v>
      </c>
      <c r="D633" s="619" t="s">
        <v>4262</v>
      </c>
      <c r="E633" s="543" t="s">
        <v>6387</v>
      </c>
      <c r="F633" s="532"/>
      <c r="G633" s="532"/>
      <c r="H633" s="542" t="s">
        <v>2965</v>
      </c>
      <c r="I633" s="239" t="s">
        <v>3030</v>
      </c>
      <c r="J633" s="197" t="s">
        <v>3019</v>
      </c>
      <c r="K633" s="544" t="s">
        <v>6454</v>
      </c>
      <c r="L633" s="543" t="s">
        <v>6311</v>
      </c>
    </row>
    <row r="634" spans="1:12">
      <c r="A634" s="239">
        <f t="shared" si="10"/>
        <v>633</v>
      </c>
      <c r="B634" s="541" t="s">
        <v>5595</v>
      </c>
      <c r="C634" s="619" t="s">
        <v>52</v>
      </c>
      <c r="D634" s="619" t="s">
        <v>4262</v>
      </c>
      <c r="E634" s="543" t="s">
        <v>6388</v>
      </c>
      <c r="F634" s="532"/>
      <c r="G634" s="532"/>
      <c r="H634" s="542" t="s">
        <v>2965</v>
      </c>
      <c r="I634" s="239" t="s">
        <v>3030</v>
      </c>
      <c r="J634" s="197" t="s">
        <v>3019</v>
      </c>
      <c r="K634" s="544" t="s">
        <v>989</v>
      </c>
      <c r="L634" s="543" t="s">
        <v>988</v>
      </c>
    </row>
    <row r="635" spans="1:12">
      <c r="A635" s="239">
        <f t="shared" si="10"/>
        <v>634</v>
      </c>
      <c r="B635" s="541" t="s">
        <v>5596</v>
      </c>
      <c r="C635" s="619" t="s">
        <v>52</v>
      </c>
      <c r="D635" s="619" t="s">
        <v>4262</v>
      </c>
      <c r="E635" s="543" t="s">
        <v>6389</v>
      </c>
      <c r="F635" s="532"/>
      <c r="G635" s="532"/>
      <c r="H635" s="542" t="s">
        <v>2965</v>
      </c>
      <c r="I635" s="239" t="s">
        <v>3030</v>
      </c>
      <c r="J635" s="197" t="s">
        <v>3019</v>
      </c>
      <c r="K635" s="544" t="s">
        <v>6455</v>
      </c>
      <c r="L635" s="543" t="s">
        <v>7033</v>
      </c>
    </row>
    <row r="636" spans="1:12" ht="14.25" customHeight="1">
      <c r="A636" s="239">
        <f t="shared" si="10"/>
        <v>635</v>
      </c>
      <c r="B636" s="541" t="s">
        <v>5597</v>
      </c>
      <c r="C636" s="619" t="s">
        <v>52</v>
      </c>
      <c r="D636" s="619" t="s">
        <v>4262</v>
      </c>
      <c r="E636" s="543" t="s">
        <v>6390</v>
      </c>
      <c r="F636" s="532"/>
      <c r="G636" s="532"/>
      <c r="H636" s="542" t="s">
        <v>2965</v>
      </c>
      <c r="I636" s="239" t="s">
        <v>3030</v>
      </c>
      <c r="J636" s="197" t="s">
        <v>3019</v>
      </c>
      <c r="K636" s="544" t="s">
        <v>6456</v>
      </c>
      <c r="L636" s="543" t="s">
        <v>6312</v>
      </c>
    </row>
    <row r="637" spans="1:12">
      <c r="A637" s="239">
        <f t="shared" si="10"/>
        <v>636</v>
      </c>
      <c r="B637" s="541" t="s">
        <v>5598</v>
      </c>
      <c r="C637" s="619" t="s">
        <v>52</v>
      </c>
      <c r="D637" s="619" t="s">
        <v>4262</v>
      </c>
      <c r="E637" s="543" t="s">
        <v>6391</v>
      </c>
      <c r="F637" s="532"/>
      <c r="G637" s="532"/>
      <c r="H637" s="542" t="s">
        <v>2965</v>
      </c>
      <c r="I637" s="239" t="s">
        <v>3030</v>
      </c>
      <c r="J637" s="197" t="s">
        <v>3019</v>
      </c>
      <c r="K637" s="544" t="e">
        <v>#N/A</v>
      </c>
      <c r="L637" s="552" t="s">
        <v>7028</v>
      </c>
    </row>
    <row r="638" spans="1:12">
      <c r="A638" s="239">
        <f t="shared" si="10"/>
        <v>637</v>
      </c>
      <c r="B638" s="541" t="s">
        <v>5599</v>
      </c>
      <c r="C638" s="619" t="s">
        <v>52</v>
      </c>
      <c r="D638" s="619" t="s">
        <v>4262</v>
      </c>
      <c r="E638" s="543" t="s">
        <v>6392</v>
      </c>
      <c r="F638" s="532"/>
      <c r="G638" s="532"/>
      <c r="H638" s="542" t="s">
        <v>2965</v>
      </c>
      <c r="I638" s="239" t="s">
        <v>3030</v>
      </c>
      <c r="J638" s="197" t="s">
        <v>3019</v>
      </c>
      <c r="K638" s="544" t="s">
        <v>6457</v>
      </c>
      <c r="L638" s="543" t="s">
        <v>6314</v>
      </c>
    </row>
    <row r="639" spans="1:12">
      <c r="A639" s="239">
        <f t="shared" si="10"/>
        <v>638</v>
      </c>
      <c r="B639" s="541" t="s">
        <v>5600</v>
      </c>
      <c r="C639" s="619" t="s">
        <v>52</v>
      </c>
      <c r="D639" s="619" t="s">
        <v>4262</v>
      </c>
      <c r="E639" s="543" t="s">
        <v>6393</v>
      </c>
      <c r="F639" s="532"/>
      <c r="G639" s="532"/>
      <c r="H639" s="542" t="s">
        <v>2965</v>
      </c>
      <c r="I639" s="239" t="s">
        <v>3030</v>
      </c>
      <c r="J639" s="197" t="s">
        <v>3019</v>
      </c>
      <c r="K639" s="544" t="s">
        <v>6458</v>
      </c>
      <c r="L639" s="543" t="s">
        <v>6315</v>
      </c>
    </row>
    <row r="640" spans="1:12">
      <c r="A640" s="239">
        <f t="shared" si="10"/>
        <v>639</v>
      </c>
      <c r="B640" s="541" t="s">
        <v>5601</v>
      </c>
      <c r="C640" s="619" t="s">
        <v>52</v>
      </c>
      <c r="D640" s="619" t="s">
        <v>4262</v>
      </c>
      <c r="E640" s="543" t="s">
        <v>6394</v>
      </c>
      <c r="F640" s="532"/>
      <c r="G640" s="532"/>
      <c r="H640" s="542" t="s">
        <v>2965</v>
      </c>
      <c r="I640" s="239" t="s">
        <v>3030</v>
      </c>
      <c r="J640" s="197" t="s">
        <v>3019</v>
      </c>
      <c r="K640" s="544" t="s">
        <v>6459</v>
      </c>
      <c r="L640" s="543" t="s">
        <v>6316</v>
      </c>
    </row>
    <row r="641" spans="1:12">
      <c r="A641" s="239">
        <f t="shared" si="10"/>
        <v>640</v>
      </c>
      <c r="B641" s="541" t="s">
        <v>5602</v>
      </c>
      <c r="C641" s="619" t="s">
        <v>52</v>
      </c>
      <c r="D641" s="619" t="s">
        <v>4262</v>
      </c>
      <c r="E641" s="543" t="s">
        <v>6395</v>
      </c>
      <c r="F641" s="532"/>
      <c r="G641" s="532"/>
      <c r="H641" s="542" t="s">
        <v>2965</v>
      </c>
      <c r="I641" s="239" t="s">
        <v>3030</v>
      </c>
      <c r="J641" s="197" t="s">
        <v>3019</v>
      </c>
      <c r="K641" s="544" t="s">
        <v>6460</v>
      </c>
      <c r="L641" s="543" t="s">
        <v>6317</v>
      </c>
    </row>
    <row r="642" spans="1:12">
      <c r="A642" s="239">
        <f t="shared" si="10"/>
        <v>641</v>
      </c>
      <c r="B642" s="541" t="s">
        <v>5603</v>
      </c>
      <c r="C642" s="619" t="s">
        <v>52</v>
      </c>
      <c r="D642" s="619" t="s">
        <v>4262</v>
      </c>
      <c r="E642" s="543" t="s">
        <v>6396</v>
      </c>
      <c r="F642" s="532"/>
      <c r="G642" s="532"/>
      <c r="H642" s="542" t="s">
        <v>2965</v>
      </c>
      <c r="I642" s="239" t="s">
        <v>3030</v>
      </c>
      <c r="J642" s="197" t="s">
        <v>3019</v>
      </c>
      <c r="K642" s="544" t="s">
        <v>6461</v>
      </c>
      <c r="L642" s="543" t="s">
        <v>6318</v>
      </c>
    </row>
    <row r="643" spans="1:12">
      <c r="A643" s="239">
        <f t="shared" si="10"/>
        <v>642</v>
      </c>
      <c r="B643" s="541" t="s">
        <v>5604</v>
      </c>
      <c r="C643" s="619" t="s">
        <v>52</v>
      </c>
      <c r="D643" s="619" t="s">
        <v>4262</v>
      </c>
      <c r="E643" s="543" t="s">
        <v>6397</v>
      </c>
      <c r="F643" s="532"/>
      <c r="G643" s="532"/>
      <c r="H643" s="542" t="s">
        <v>2965</v>
      </c>
      <c r="I643" s="239" t="s">
        <v>3030</v>
      </c>
      <c r="J643" s="197" t="s">
        <v>3019</v>
      </c>
      <c r="K643" s="544" t="s">
        <v>6462</v>
      </c>
      <c r="L643" s="543" t="s">
        <v>6319</v>
      </c>
    </row>
    <row r="644" spans="1:12">
      <c r="A644" s="239">
        <f t="shared" si="10"/>
        <v>643</v>
      </c>
      <c r="B644" s="541" t="s">
        <v>6244</v>
      </c>
      <c r="C644" s="619" t="s">
        <v>52</v>
      </c>
      <c r="D644" s="619" t="s">
        <v>4262</v>
      </c>
      <c r="E644" s="543" t="s">
        <v>6398</v>
      </c>
      <c r="F644" s="532"/>
      <c r="G644" s="532"/>
      <c r="H644" s="542" t="s">
        <v>2965</v>
      </c>
      <c r="I644" s="239" t="s">
        <v>3030</v>
      </c>
      <c r="J644" s="197" t="s">
        <v>3019</v>
      </c>
      <c r="K644" s="544" t="s">
        <v>6463</v>
      </c>
      <c r="L644" s="543" t="s">
        <v>6320</v>
      </c>
    </row>
    <row r="645" spans="1:12">
      <c r="A645" s="239">
        <f t="shared" si="10"/>
        <v>644</v>
      </c>
      <c r="B645" s="541" t="s">
        <v>6245</v>
      </c>
      <c r="C645" s="619" t="s">
        <v>52</v>
      </c>
      <c r="D645" s="619" t="s">
        <v>4262</v>
      </c>
      <c r="E645" s="543" t="s">
        <v>6399</v>
      </c>
      <c r="F645" s="532"/>
      <c r="G645" s="532"/>
      <c r="H645" s="542" t="s">
        <v>2965</v>
      </c>
      <c r="I645" s="239" t="s">
        <v>3030</v>
      </c>
      <c r="J645" s="197" t="s">
        <v>3019</v>
      </c>
      <c r="K645" s="544" t="s">
        <v>6464</v>
      </c>
      <c r="L645" s="543" t="s">
        <v>6321</v>
      </c>
    </row>
    <row r="646" spans="1:12">
      <c r="A646" s="239">
        <f t="shared" si="10"/>
        <v>645</v>
      </c>
      <c r="B646" s="541" t="s">
        <v>6246</v>
      </c>
      <c r="C646" s="619" t="s">
        <v>52</v>
      </c>
      <c r="D646" s="619" t="s">
        <v>4262</v>
      </c>
      <c r="E646" s="543" t="s">
        <v>6400</v>
      </c>
      <c r="F646" s="532"/>
      <c r="G646" s="532"/>
      <c r="H646" s="542" t="s">
        <v>2965</v>
      </c>
      <c r="I646" s="239" t="s">
        <v>3030</v>
      </c>
      <c r="J646" s="197" t="s">
        <v>3019</v>
      </c>
      <c r="K646" s="544" t="s">
        <v>6465</v>
      </c>
      <c r="L646" s="543" t="s">
        <v>6322</v>
      </c>
    </row>
    <row r="647" spans="1:12">
      <c r="A647" s="239">
        <f t="shared" si="10"/>
        <v>646</v>
      </c>
      <c r="B647" s="541" t="s">
        <v>6247</v>
      </c>
      <c r="C647" s="619" t="s">
        <v>52</v>
      </c>
      <c r="D647" s="619" t="s">
        <v>4262</v>
      </c>
      <c r="E647" s="543" t="s">
        <v>6401</v>
      </c>
      <c r="F647" s="532"/>
      <c r="G647" s="532"/>
      <c r="H647" s="542" t="s">
        <v>2965</v>
      </c>
      <c r="I647" s="239" t="s">
        <v>3030</v>
      </c>
      <c r="J647" s="197" t="s">
        <v>3019</v>
      </c>
      <c r="K647" s="544" t="s">
        <v>6466</v>
      </c>
      <c r="L647" s="543" t="s">
        <v>6323</v>
      </c>
    </row>
    <row r="648" spans="1:12">
      <c r="A648" s="239">
        <f t="shared" si="10"/>
        <v>647</v>
      </c>
      <c r="B648" s="541" t="s">
        <v>6248</v>
      </c>
      <c r="C648" s="619" t="s">
        <v>52</v>
      </c>
      <c r="D648" s="619" t="s">
        <v>4262</v>
      </c>
      <c r="E648" s="543" t="s">
        <v>6402</v>
      </c>
      <c r="F648" s="532"/>
      <c r="G648" s="532"/>
      <c r="H648" s="542" t="s">
        <v>2965</v>
      </c>
      <c r="I648" s="239" t="s">
        <v>3030</v>
      </c>
      <c r="J648" s="197" t="s">
        <v>3019</v>
      </c>
      <c r="K648" s="544" t="s">
        <v>6467</v>
      </c>
      <c r="L648" s="543" t="s">
        <v>6324</v>
      </c>
    </row>
    <row r="649" spans="1:12">
      <c r="A649" s="239">
        <f t="shared" si="10"/>
        <v>648</v>
      </c>
      <c r="B649" s="541" t="s">
        <v>6249</v>
      </c>
      <c r="C649" s="619" t="s">
        <v>52</v>
      </c>
      <c r="D649" s="619" t="s">
        <v>4262</v>
      </c>
      <c r="E649" s="543" t="s">
        <v>6403</v>
      </c>
      <c r="F649" s="532"/>
      <c r="G649" s="532"/>
      <c r="H649" s="542" t="s">
        <v>2965</v>
      </c>
      <c r="I649" s="239" t="s">
        <v>3030</v>
      </c>
      <c r="J649" s="197" t="s">
        <v>3019</v>
      </c>
      <c r="K649" s="544" t="s">
        <v>6468</v>
      </c>
      <c r="L649" s="543" t="s">
        <v>6325</v>
      </c>
    </row>
    <row r="650" spans="1:12">
      <c r="A650" s="239">
        <f t="shared" si="10"/>
        <v>649</v>
      </c>
      <c r="B650" s="541" t="s">
        <v>6250</v>
      </c>
      <c r="C650" s="619" t="s">
        <v>52</v>
      </c>
      <c r="D650" s="619" t="s">
        <v>4262</v>
      </c>
      <c r="E650" s="543" t="s">
        <v>6404</v>
      </c>
      <c r="F650" s="532"/>
      <c r="G650" s="532"/>
      <c r="H650" s="542" t="s">
        <v>2965</v>
      </c>
      <c r="I650" s="239" t="s">
        <v>3030</v>
      </c>
      <c r="J650" s="197" t="s">
        <v>3019</v>
      </c>
      <c r="K650" s="544" t="s">
        <v>6469</v>
      </c>
      <c r="L650" s="543" t="s">
        <v>6326</v>
      </c>
    </row>
    <row r="651" spans="1:12">
      <c r="A651" s="239">
        <f t="shared" si="10"/>
        <v>650</v>
      </c>
      <c r="B651" s="541" t="s">
        <v>6251</v>
      </c>
      <c r="C651" s="619" t="s">
        <v>52</v>
      </c>
      <c r="D651" s="619" t="s">
        <v>4262</v>
      </c>
      <c r="E651" s="543" t="s">
        <v>6405</v>
      </c>
      <c r="F651" s="532"/>
      <c r="G651" s="532"/>
      <c r="H651" s="542" t="s">
        <v>2965</v>
      </c>
      <c r="I651" s="239" t="s">
        <v>3030</v>
      </c>
      <c r="J651" s="197" t="s">
        <v>3019</v>
      </c>
      <c r="K651" s="544" t="s">
        <v>6470</v>
      </c>
      <c r="L651" s="543" t="s">
        <v>6327</v>
      </c>
    </row>
    <row r="652" spans="1:12">
      <c r="A652" s="239">
        <f t="shared" si="10"/>
        <v>651</v>
      </c>
      <c r="B652" s="541" t="s">
        <v>6252</v>
      </c>
      <c r="C652" s="619" t="s">
        <v>52</v>
      </c>
      <c r="D652" s="619" t="s">
        <v>4262</v>
      </c>
      <c r="E652" s="543" t="s">
        <v>6406</v>
      </c>
      <c r="F652" s="532"/>
      <c r="G652" s="532"/>
      <c r="H652" s="542" t="s">
        <v>2965</v>
      </c>
      <c r="I652" s="239" t="s">
        <v>3030</v>
      </c>
      <c r="J652" s="197" t="s">
        <v>3019</v>
      </c>
      <c r="K652" s="544" t="s">
        <v>6471</v>
      </c>
      <c r="L652" s="543" t="s">
        <v>6328</v>
      </c>
    </row>
    <row r="653" spans="1:12">
      <c r="A653" s="239">
        <f t="shared" si="10"/>
        <v>652</v>
      </c>
      <c r="B653" s="541" t="s">
        <v>6253</v>
      </c>
      <c r="C653" s="619" t="s">
        <v>52</v>
      </c>
      <c r="D653" s="619" t="s">
        <v>4262</v>
      </c>
      <c r="E653" s="543" t="s">
        <v>6407</v>
      </c>
      <c r="F653" s="532"/>
      <c r="G653" s="532"/>
      <c r="H653" s="542" t="s">
        <v>2965</v>
      </c>
      <c r="I653" s="239" t="s">
        <v>3030</v>
      </c>
      <c r="J653" s="197" t="s">
        <v>3019</v>
      </c>
      <c r="K653" s="544" t="s">
        <v>6472</v>
      </c>
      <c r="L653" s="543" t="s">
        <v>6329</v>
      </c>
    </row>
    <row r="654" spans="1:12">
      <c r="A654" s="239">
        <f t="shared" si="10"/>
        <v>653</v>
      </c>
      <c r="B654" s="541" t="s">
        <v>6254</v>
      </c>
      <c r="C654" s="619" t="s">
        <v>52</v>
      </c>
      <c r="D654" s="619" t="s">
        <v>4262</v>
      </c>
      <c r="E654" s="543" t="s">
        <v>6408</v>
      </c>
      <c r="F654" s="532"/>
      <c r="G654" s="532"/>
      <c r="H654" s="542" t="s">
        <v>2965</v>
      </c>
      <c r="I654" s="239" t="s">
        <v>3030</v>
      </c>
      <c r="J654" s="197" t="s">
        <v>3019</v>
      </c>
      <c r="K654" s="544" t="s">
        <v>6473</v>
      </c>
      <c r="L654" s="543" t="s">
        <v>6330</v>
      </c>
    </row>
    <row r="655" spans="1:12">
      <c r="A655" s="239">
        <f t="shared" si="10"/>
        <v>654</v>
      </c>
      <c r="B655" s="541" t="s">
        <v>6255</v>
      </c>
      <c r="C655" s="619" t="s">
        <v>52</v>
      </c>
      <c r="D655" s="619" t="s">
        <v>4262</v>
      </c>
      <c r="E655" s="543" t="s">
        <v>6409</v>
      </c>
      <c r="F655" s="532"/>
      <c r="G655" s="532"/>
      <c r="H655" s="542" t="s">
        <v>2965</v>
      </c>
      <c r="I655" s="239" t="s">
        <v>3030</v>
      </c>
      <c r="J655" s="197" t="s">
        <v>3019</v>
      </c>
      <c r="K655" s="544" t="s">
        <v>6474</v>
      </c>
      <c r="L655" s="543" t="s">
        <v>6331</v>
      </c>
    </row>
    <row r="656" spans="1:12">
      <c r="A656" s="239">
        <f t="shared" si="10"/>
        <v>655</v>
      </c>
      <c r="B656" s="541" t="s">
        <v>6256</v>
      </c>
      <c r="C656" s="619" t="s">
        <v>52</v>
      </c>
      <c r="D656" s="619" t="s">
        <v>4262</v>
      </c>
      <c r="E656" s="543" t="s">
        <v>6410</v>
      </c>
      <c r="F656" s="532"/>
      <c r="G656" s="532"/>
      <c r="H656" s="542" t="s">
        <v>2965</v>
      </c>
      <c r="I656" s="239" t="s">
        <v>3030</v>
      </c>
      <c r="J656" s="197" t="s">
        <v>3019</v>
      </c>
      <c r="K656" s="544" t="s">
        <v>6475</v>
      </c>
      <c r="L656" s="543" t="s">
        <v>6332</v>
      </c>
    </row>
    <row r="657" spans="1:12">
      <c r="A657" s="239">
        <f t="shared" si="10"/>
        <v>656</v>
      </c>
      <c r="B657" s="541" t="s">
        <v>6257</v>
      </c>
      <c r="C657" s="619" t="s">
        <v>52</v>
      </c>
      <c r="D657" s="619" t="s">
        <v>4262</v>
      </c>
      <c r="E657" s="543" t="s">
        <v>6411</v>
      </c>
      <c r="F657" s="532"/>
      <c r="G657" s="532"/>
      <c r="H657" s="542" t="s">
        <v>2965</v>
      </c>
      <c r="I657" s="239" t="s">
        <v>3030</v>
      </c>
      <c r="J657" s="197" t="s">
        <v>3019</v>
      </c>
      <c r="K657" s="544" t="s">
        <v>6476</v>
      </c>
      <c r="L657" s="543" t="s">
        <v>6333</v>
      </c>
    </row>
    <row r="658" spans="1:12">
      <c r="A658" s="239">
        <f t="shared" si="10"/>
        <v>657</v>
      </c>
      <c r="B658" s="541" t="s">
        <v>6258</v>
      </c>
      <c r="C658" s="619" t="s">
        <v>52</v>
      </c>
      <c r="D658" s="619" t="s">
        <v>4262</v>
      </c>
      <c r="E658" s="543" t="s">
        <v>6412</v>
      </c>
      <c r="F658" s="532"/>
      <c r="G658" s="532"/>
      <c r="H658" s="542" t="s">
        <v>2965</v>
      </c>
      <c r="I658" s="239" t="s">
        <v>3030</v>
      </c>
      <c r="J658" s="197" t="s">
        <v>3019</v>
      </c>
      <c r="K658" s="544" t="s">
        <v>6477</v>
      </c>
      <c r="L658" s="543" t="s">
        <v>6334</v>
      </c>
    </row>
    <row r="659" spans="1:12">
      <c r="A659" s="239">
        <f t="shared" si="10"/>
        <v>658</v>
      </c>
      <c r="B659" s="541" t="s">
        <v>6259</v>
      </c>
      <c r="C659" s="619" t="s">
        <v>52</v>
      </c>
      <c r="D659" s="619" t="s">
        <v>4262</v>
      </c>
      <c r="E659" s="543" t="s">
        <v>6413</v>
      </c>
      <c r="F659" s="532"/>
      <c r="G659" s="532"/>
      <c r="H659" s="542" t="s">
        <v>2965</v>
      </c>
      <c r="I659" s="239" t="s">
        <v>3030</v>
      </c>
      <c r="J659" s="197" t="s">
        <v>3019</v>
      </c>
      <c r="K659" s="544" t="s">
        <v>6478</v>
      </c>
      <c r="L659" s="543" t="s">
        <v>6335</v>
      </c>
    </row>
    <row r="660" spans="1:12">
      <c r="A660" s="239">
        <f t="shared" si="10"/>
        <v>659</v>
      </c>
      <c r="B660" s="541" t="s">
        <v>6260</v>
      </c>
      <c r="C660" s="619" t="s">
        <v>52</v>
      </c>
      <c r="D660" s="619" t="s">
        <v>4262</v>
      </c>
      <c r="E660" s="543" t="s">
        <v>6414</v>
      </c>
      <c r="F660" s="532"/>
      <c r="G660" s="532"/>
      <c r="H660" s="542" t="s">
        <v>2965</v>
      </c>
      <c r="I660" s="239" t="s">
        <v>3030</v>
      </c>
      <c r="J660" s="197" t="s">
        <v>3019</v>
      </c>
      <c r="K660" s="544" t="s">
        <v>6479</v>
      </c>
      <c r="L660" s="543" t="s">
        <v>6336</v>
      </c>
    </row>
    <row r="661" spans="1:12">
      <c r="A661" s="239">
        <f t="shared" si="10"/>
        <v>660</v>
      </c>
      <c r="B661" s="541" t="s">
        <v>6261</v>
      </c>
      <c r="C661" s="619" t="s">
        <v>52</v>
      </c>
      <c r="D661" s="619" t="s">
        <v>4262</v>
      </c>
      <c r="E661" s="543" t="s">
        <v>6415</v>
      </c>
      <c r="F661" s="532"/>
      <c r="G661" s="532"/>
      <c r="H661" s="542" t="s">
        <v>2965</v>
      </c>
      <c r="I661" s="239" t="s">
        <v>3030</v>
      </c>
      <c r="J661" s="197" t="s">
        <v>3019</v>
      </c>
      <c r="K661" s="544" t="s">
        <v>6480</v>
      </c>
      <c r="L661" s="543" t="s">
        <v>6337</v>
      </c>
    </row>
    <row r="662" spans="1:12">
      <c r="A662" s="239">
        <f t="shared" si="10"/>
        <v>661</v>
      </c>
      <c r="B662" s="541" t="s">
        <v>6262</v>
      </c>
      <c r="C662" s="619" t="s">
        <v>52</v>
      </c>
      <c r="D662" s="619" t="s">
        <v>4262</v>
      </c>
      <c r="E662" s="543" t="s">
        <v>6416</v>
      </c>
      <c r="F662" s="532"/>
      <c r="G662" s="532"/>
      <c r="H662" s="542" t="s">
        <v>2965</v>
      </c>
      <c r="I662" s="239" t="s">
        <v>3030</v>
      </c>
      <c r="J662" s="197" t="s">
        <v>3019</v>
      </c>
      <c r="K662" s="544" t="s">
        <v>5565</v>
      </c>
      <c r="L662" s="543" t="s">
        <v>4630</v>
      </c>
    </row>
    <row r="663" spans="1:12">
      <c r="A663" s="239">
        <f t="shared" si="10"/>
        <v>662</v>
      </c>
      <c r="B663" s="541" t="s">
        <v>6263</v>
      </c>
      <c r="C663" s="619" t="s">
        <v>52</v>
      </c>
      <c r="D663" s="619" t="s">
        <v>4262</v>
      </c>
      <c r="E663" s="543" t="s">
        <v>6417</v>
      </c>
      <c r="F663" s="532"/>
      <c r="G663" s="532"/>
      <c r="H663" s="542" t="s">
        <v>2965</v>
      </c>
      <c r="I663" s="239" t="s">
        <v>3030</v>
      </c>
      <c r="J663" s="197" t="s">
        <v>3019</v>
      </c>
      <c r="K663" s="544" t="s">
        <v>6481</v>
      </c>
      <c r="L663" s="543" t="s">
        <v>6338</v>
      </c>
    </row>
    <row r="664" spans="1:12">
      <c r="A664" s="239">
        <f t="shared" si="10"/>
        <v>663</v>
      </c>
      <c r="B664" s="541" t="s">
        <v>6264</v>
      </c>
      <c r="C664" s="619" t="s">
        <v>52</v>
      </c>
      <c r="D664" s="619" t="s">
        <v>4262</v>
      </c>
      <c r="E664" s="543" t="s">
        <v>6418</v>
      </c>
      <c r="F664" s="532"/>
      <c r="G664" s="532"/>
      <c r="H664" s="542" t="s">
        <v>2965</v>
      </c>
      <c r="I664" s="239" t="s">
        <v>3030</v>
      </c>
      <c r="J664" s="197" t="s">
        <v>3019</v>
      </c>
      <c r="K664" s="544" t="s">
        <v>6482</v>
      </c>
      <c r="L664" s="543" t="s">
        <v>6339</v>
      </c>
    </row>
    <row r="665" spans="1:12">
      <c r="A665" s="239">
        <f t="shared" si="10"/>
        <v>664</v>
      </c>
      <c r="B665" s="541" t="s">
        <v>6265</v>
      </c>
      <c r="C665" s="619" t="s">
        <v>52</v>
      </c>
      <c r="D665" s="619" t="s">
        <v>4262</v>
      </c>
      <c r="E665" s="543" t="s">
        <v>6419</v>
      </c>
      <c r="F665" s="532"/>
      <c r="G665" s="532"/>
      <c r="H665" s="542" t="s">
        <v>2965</v>
      </c>
      <c r="I665" s="239" t="s">
        <v>3030</v>
      </c>
      <c r="J665" s="197" t="s">
        <v>3019</v>
      </c>
      <c r="K665" s="544" t="s">
        <v>6483</v>
      </c>
      <c r="L665" s="543" t="s">
        <v>6340</v>
      </c>
    </row>
    <row r="666" spans="1:12">
      <c r="A666" s="239">
        <f t="shared" si="10"/>
        <v>665</v>
      </c>
      <c r="B666" s="541" t="s">
        <v>6266</v>
      </c>
      <c r="C666" s="619" t="s">
        <v>4258</v>
      </c>
      <c r="D666" s="619" t="s">
        <v>4262</v>
      </c>
      <c r="E666" s="543" t="s">
        <v>6420</v>
      </c>
      <c r="F666" s="532"/>
      <c r="G666" s="532"/>
      <c r="H666" s="542" t="s">
        <v>2965</v>
      </c>
      <c r="I666" s="239" t="s">
        <v>3030</v>
      </c>
      <c r="J666" s="197" t="s">
        <v>3019</v>
      </c>
      <c r="K666" s="544" t="s">
        <v>6484</v>
      </c>
      <c r="L666" s="543" t="s">
        <v>6341</v>
      </c>
    </row>
    <row r="667" spans="1:12">
      <c r="A667" s="239">
        <f t="shared" si="10"/>
        <v>666</v>
      </c>
      <c r="B667" s="541" t="s">
        <v>6267</v>
      </c>
      <c r="C667" s="619" t="s">
        <v>4258</v>
      </c>
      <c r="D667" s="619" t="s">
        <v>4262</v>
      </c>
      <c r="E667" s="543" t="s">
        <v>6421</v>
      </c>
      <c r="F667" s="532"/>
      <c r="G667" s="532"/>
      <c r="H667" s="542" t="s">
        <v>2965</v>
      </c>
      <c r="I667" s="239" t="s">
        <v>3030</v>
      </c>
      <c r="J667" s="197" t="s">
        <v>3019</v>
      </c>
      <c r="K667" s="544" t="s">
        <v>7007</v>
      </c>
      <c r="L667" s="543" t="s">
        <v>6342</v>
      </c>
    </row>
    <row r="668" spans="1:12">
      <c r="A668" s="239">
        <f t="shared" si="10"/>
        <v>667</v>
      </c>
      <c r="B668" s="541" t="s">
        <v>6268</v>
      </c>
      <c r="C668" s="619" t="s">
        <v>4258</v>
      </c>
      <c r="D668" s="619" t="s">
        <v>4262</v>
      </c>
      <c r="E668" s="543" t="s">
        <v>6422</v>
      </c>
      <c r="F668" s="532"/>
      <c r="G668" s="532"/>
      <c r="H668" s="542" t="s">
        <v>2965</v>
      </c>
      <c r="I668" s="239" t="s">
        <v>3030</v>
      </c>
      <c r="J668" s="197" t="s">
        <v>3019</v>
      </c>
      <c r="K668" s="544" t="s">
        <v>5472</v>
      </c>
      <c r="L668" s="543" t="s">
        <v>3456</v>
      </c>
    </row>
    <row r="669" spans="1:12">
      <c r="A669" s="239">
        <f t="shared" si="10"/>
        <v>668</v>
      </c>
      <c r="B669" s="541" t="s">
        <v>6269</v>
      </c>
      <c r="C669" s="619" t="s">
        <v>4258</v>
      </c>
      <c r="D669" s="619" t="s">
        <v>4262</v>
      </c>
      <c r="E669" s="543" t="s">
        <v>687</v>
      </c>
      <c r="F669" s="532"/>
      <c r="G669" s="532"/>
      <c r="H669" s="542" t="s">
        <v>2965</v>
      </c>
      <c r="I669" s="239" t="s">
        <v>3030</v>
      </c>
      <c r="J669" s="197" t="s">
        <v>3019</v>
      </c>
      <c r="K669" s="544" t="s">
        <v>687</v>
      </c>
      <c r="L669" s="543" t="s">
        <v>6343</v>
      </c>
    </row>
    <row r="670" spans="1:12">
      <c r="A670" s="239">
        <f t="shared" si="10"/>
        <v>669</v>
      </c>
      <c r="B670" s="541" t="s">
        <v>6270</v>
      </c>
      <c r="C670" s="619" t="s">
        <v>52</v>
      </c>
      <c r="D670" s="619" t="s">
        <v>4262</v>
      </c>
      <c r="E670" s="543" t="s">
        <v>6423</v>
      </c>
      <c r="F670" s="532"/>
      <c r="G670" s="532"/>
      <c r="H670" s="542" t="s">
        <v>2965</v>
      </c>
      <c r="I670" s="239" t="s">
        <v>3030</v>
      </c>
      <c r="J670" s="197" t="s">
        <v>3019</v>
      </c>
      <c r="K670" s="544" t="s">
        <v>6485</v>
      </c>
      <c r="L670" s="543" t="s">
        <v>6344</v>
      </c>
    </row>
  </sheetData>
  <phoneticPr fontId="2" type="noConversion"/>
  <conditionalFormatting sqref="L588 L590:L596">
    <cfRule type="duplicateValues" dxfId="42" priority="2"/>
  </conditionalFormatting>
  <conditionalFormatting sqref="J590:J596">
    <cfRule type="duplicateValues" dxfId="41"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185"/>
  <sheetViews>
    <sheetView zoomScale="80" zoomScaleNormal="80" workbookViewId="0">
      <selection activeCell="H19" sqref="H19"/>
    </sheetView>
  </sheetViews>
  <sheetFormatPr defaultRowHeight="20.100000000000001" customHeight="1"/>
  <cols>
    <col min="1" max="1" width="5.875" style="126" customWidth="1"/>
    <col min="2" max="2" width="8" style="493" bestFit="1" customWidth="1"/>
    <col min="3" max="3" width="9.5" style="493" customWidth="1"/>
    <col min="4" max="4" width="29.875" style="198" bestFit="1" customWidth="1"/>
    <col min="5" max="5" width="11.625" style="126" customWidth="1"/>
    <col min="6" max="6" width="9" style="126"/>
    <col min="7" max="7" width="16" style="126" customWidth="1"/>
    <col min="8" max="8" width="29.875" style="198" customWidth="1"/>
    <col min="9" max="9" width="25.875" style="202" customWidth="1"/>
    <col min="10" max="10" width="62.125" style="198" customWidth="1"/>
    <col min="11" max="11" width="9.75" style="126" customWidth="1"/>
    <col min="12" max="16" width="9" style="126" customWidth="1"/>
    <col min="17" max="16384" width="9" style="126"/>
  </cols>
  <sheetData>
    <row r="1" spans="1:16" ht="20.100000000000001" customHeight="1">
      <c r="A1" s="125" t="s">
        <v>1329</v>
      </c>
      <c r="H1" s="198" t="s">
        <v>7177</v>
      </c>
    </row>
    <row r="2" spans="1:16" ht="20.100000000000001" customHeight="1">
      <c r="A2" s="126" t="s">
        <v>1330</v>
      </c>
      <c r="H2" s="198" t="s">
        <v>7176</v>
      </c>
    </row>
    <row r="3" spans="1:16" s="110" customFormat="1" ht="20.100000000000001" customHeight="1">
      <c r="A3" s="112" t="s">
        <v>1700</v>
      </c>
      <c r="B3" s="485" t="s">
        <v>1701</v>
      </c>
      <c r="C3" s="486" t="s">
        <v>2816</v>
      </c>
      <c r="D3" s="113" t="s">
        <v>1456</v>
      </c>
      <c r="E3" s="113" t="s">
        <v>1454</v>
      </c>
      <c r="F3" s="112" t="s">
        <v>1702</v>
      </c>
      <c r="G3" s="183" t="s">
        <v>3098</v>
      </c>
      <c r="H3" s="482" t="s">
        <v>7168</v>
      </c>
      <c r="I3" s="112" t="s">
        <v>3095</v>
      </c>
      <c r="J3" s="112" t="s">
        <v>3101</v>
      </c>
      <c r="K3" s="112" t="s">
        <v>3094</v>
      </c>
    </row>
    <row r="4" spans="1:16" ht="20.100000000000001" customHeight="1">
      <c r="A4" s="105">
        <f>ROW()-3</f>
        <v>1</v>
      </c>
      <c r="B4" s="487" t="s">
        <v>3139</v>
      </c>
      <c r="C4" s="488"/>
      <c r="D4" s="199" t="s">
        <v>3140</v>
      </c>
      <c r="E4" s="106" t="s">
        <v>275</v>
      </c>
      <c r="F4" s="105">
        <v>4</v>
      </c>
      <c r="G4" s="105"/>
      <c r="H4" s="483"/>
      <c r="I4" s="203" t="s">
        <v>3096</v>
      </c>
      <c r="J4" s="323"/>
      <c r="K4" s="204"/>
    </row>
    <row r="5" spans="1:16" ht="20.100000000000001" customHeight="1" thickBot="1">
      <c r="A5" s="105">
        <f t="shared" ref="A5:A68" si="0">ROW()-3</f>
        <v>2</v>
      </c>
      <c r="B5" s="487" t="s">
        <v>3139</v>
      </c>
      <c r="C5" s="488"/>
      <c r="D5" s="199" t="s">
        <v>3141</v>
      </c>
      <c r="E5" s="107" t="s">
        <v>279</v>
      </c>
      <c r="F5" s="105">
        <v>3</v>
      </c>
      <c r="G5" s="105"/>
      <c r="H5" s="483"/>
      <c r="I5" s="203" t="s">
        <v>3145</v>
      </c>
      <c r="J5" s="323"/>
      <c r="K5" s="204"/>
    </row>
    <row r="6" spans="1:16" ht="20.100000000000001" customHeight="1">
      <c r="A6" s="119">
        <f t="shared" si="0"/>
        <v>3</v>
      </c>
      <c r="B6" s="489" t="s">
        <v>1905</v>
      </c>
      <c r="C6" s="490"/>
      <c r="D6" s="200" t="s">
        <v>1992</v>
      </c>
      <c r="E6" s="120" t="s">
        <v>275</v>
      </c>
      <c r="F6" s="121">
        <v>6</v>
      </c>
      <c r="G6" s="121"/>
      <c r="H6" s="200"/>
      <c r="I6" s="205"/>
      <c r="J6" s="323"/>
      <c r="K6" s="204"/>
    </row>
    <row r="7" spans="1:16" ht="20.100000000000001" customHeight="1">
      <c r="A7" s="122">
        <f t="shared" si="0"/>
        <v>4</v>
      </c>
      <c r="B7" s="491" t="s">
        <v>1905</v>
      </c>
      <c r="C7" s="492"/>
      <c r="D7" s="201" t="s">
        <v>1993</v>
      </c>
      <c r="E7" s="123" t="s">
        <v>275</v>
      </c>
      <c r="F7" s="124">
        <v>14</v>
      </c>
      <c r="G7" s="124"/>
      <c r="H7" s="484"/>
      <c r="I7" s="205"/>
      <c r="J7" s="323"/>
      <c r="K7" s="204"/>
    </row>
    <row r="8" spans="1:16" ht="20.100000000000001" customHeight="1">
      <c r="A8" s="122">
        <f t="shared" si="0"/>
        <v>5</v>
      </c>
      <c r="B8" s="491" t="s">
        <v>1905</v>
      </c>
      <c r="C8" s="492"/>
      <c r="D8" s="201" t="s">
        <v>1994</v>
      </c>
      <c r="E8" s="123" t="s">
        <v>275</v>
      </c>
      <c r="F8" s="124">
        <v>10</v>
      </c>
      <c r="G8" s="124"/>
      <c r="H8" s="484"/>
      <c r="I8" s="205"/>
      <c r="J8" s="323"/>
      <c r="K8" s="204"/>
    </row>
    <row r="9" spans="1:16" ht="20.100000000000001" customHeight="1">
      <c r="A9" s="122">
        <f t="shared" si="0"/>
        <v>6</v>
      </c>
      <c r="B9" s="491" t="s">
        <v>1905</v>
      </c>
      <c r="C9" s="492"/>
      <c r="D9" s="201" t="s">
        <v>1995</v>
      </c>
      <c r="E9" s="123" t="s">
        <v>275</v>
      </c>
      <c r="F9" s="124">
        <v>8</v>
      </c>
      <c r="G9" s="124"/>
      <c r="H9" s="484"/>
      <c r="I9" s="205"/>
      <c r="J9" s="323"/>
      <c r="K9" s="204"/>
    </row>
    <row r="10" spans="1:16" ht="20.100000000000001" customHeight="1">
      <c r="A10" s="578">
        <f t="shared" si="0"/>
        <v>7</v>
      </c>
      <c r="B10" s="579" t="s">
        <v>1905</v>
      </c>
      <c r="C10" s="580" t="s">
        <v>1911</v>
      </c>
      <c r="D10" s="581" t="s">
        <v>1996</v>
      </c>
      <c r="E10" s="582" t="s">
        <v>275</v>
      </c>
      <c r="F10" s="583">
        <v>2</v>
      </c>
      <c r="G10" s="583" t="s">
        <v>3099</v>
      </c>
      <c r="H10" s="494" t="e">
        <f t="shared" ref="H10:H41" si="1">VLOOKUP(C10,$L$10:$N$135,2,FALSE)</f>
        <v>#N/A</v>
      </c>
      <c r="I10" s="584"/>
      <c r="J10" s="496" t="s">
        <v>7169</v>
      </c>
      <c r="K10" s="495"/>
      <c r="L10" s="126" t="s">
        <v>3925</v>
      </c>
      <c r="M10" s="126" t="s">
        <v>7039</v>
      </c>
      <c r="P10" s="126" t="e">
        <f t="shared" ref="P10:P41" si="2">VLOOKUP(L10,$C$11:$D$152,1,FALSE)</f>
        <v>#N/A</v>
      </c>
    </row>
    <row r="11" spans="1:16" ht="20.100000000000001" customHeight="1">
      <c r="A11" s="585">
        <f t="shared" si="0"/>
        <v>8</v>
      </c>
      <c r="B11" s="565" t="s">
        <v>1905</v>
      </c>
      <c r="C11" s="586" t="s">
        <v>1998</v>
      </c>
      <c r="D11" s="587" t="s">
        <v>1997</v>
      </c>
      <c r="E11" s="588" t="s">
        <v>279</v>
      </c>
      <c r="F11" s="585">
        <v>15</v>
      </c>
      <c r="G11" s="585" t="s">
        <v>3099</v>
      </c>
      <c r="H11" s="567" t="str">
        <f t="shared" si="1"/>
        <v>사전최종한도금액</v>
      </c>
      <c r="I11" s="203"/>
      <c r="J11" s="323"/>
      <c r="K11" s="204"/>
      <c r="L11" s="126" t="s">
        <v>3713</v>
      </c>
      <c r="M11" s="126" t="s">
        <v>7040</v>
      </c>
      <c r="P11" s="126" t="e">
        <f t="shared" si="2"/>
        <v>#N/A</v>
      </c>
    </row>
    <row r="12" spans="1:16" ht="20.100000000000001" customHeight="1">
      <c r="A12" s="585">
        <f t="shared" si="0"/>
        <v>9</v>
      </c>
      <c r="B12" s="565" t="s">
        <v>1905</v>
      </c>
      <c r="C12" s="586" t="s">
        <v>1913</v>
      </c>
      <c r="D12" s="589" t="s">
        <v>1999</v>
      </c>
      <c r="E12" s="588" t="s">
        <v>279</v>
      </c>
      <c r="F12" s="585">
        <v>15</v>
      </c>
      <c r="G12" s="585" t="s">
        <v>3099</v>
      </c>
      <c r="H12" s="567" t="str">
        <f t="shared" si="1"/>
        <v>실시간최종한도금액</v>
      </c>
      <c r="I12" s="203"/>
      <c r="J12" s="323"/>
      <c r="K12" s="204"/>
      <c r="L12" s="126" t="s">
        <v>7041</v>
      </c>
      <c r="M12" s="126" t="s">
        <v>7042</v>
      </c>
      <c r="P12" s="126" t="e">
        <f t="shared" si="2"/>
        <v>#N/A</v>
      </c>
    </row>
    <row r="13" spans="1:16" ht="20.100000000000001" customHeight="1">
      <c r="A13" s="585">
        <f t="shared" si="0"/>
        <v>10</v>
      </c>
      <c r="B13" s="565" t="s">
        <v>1905</v>
      </c>
      <c r="C13" s="586" t="s">
        <v>3146</v>
      </c>
      <c r="D13" s="590" t="s">
        <v>2000</v>
      </c>
      <c r="E13" s="588" t="s">
        <v>279</v>
      </c>
      <c r="F13" s="585">
        <v>15</v>
      </c>
      <c r="G13" s="585" t="s">
        <v>3099</v>
      </c>
      <c r="H13" s="567" t="str">
        <f t="shared" si="1"/>
        <v>사전일시상환한도금액</v>
      </c>
      <c r="I13" s="203"/>
      <c r="J13" s="323"/>
      <c r="K13" s="204"/>
      <c r="L13" s="126" t="s">
        <v>1998</v>
      </c>
      <c r="M13" s="126" t="s">
        <v>7043</v>
      </c>
      <c r="P13" s="126" t="str">
        <f t="shared" si="2"/>
        <v>R1002</v>
      </c>
    </row>
    <row r="14" spans="1:16" ht="20.100000000000001" customHeight="1">
      <c r="A14" s="585">
        <f t="shared" si="0"/>
        <v>11</v>
      </c>
      <c r="B14" s="565" t="s">
        <v>1905</v>
      </c>
      <c r="C14" s="586" t="s">
        <v>3147</v>
      </c>
      <c r="D14" s="590" t="s">
        <v>2001</v>
      </c>
      <c r="E14" s="588" t="s">
        <v>279</v>
      </c>
      <c r="F14" s="585">
        <v>15</v>
      </c>
      <c r="G14" s="585" t="s">
        <v>3099</v>
      </c>
      <c r="H14" s="567" t="str">
        <f t="shared" si="1"/>
        <v>실시간일시상환한도금액</v>
      </c>
      <c r="I14" s="203"/>
      <c r="J14" s="323"/>
      <c r="K14" s="204"/>
      <c r="L14" s="126" t="s">
        <v>1913</v>
      </c>
      <c r="M14" s="126" t="s">
        <v>7044</v>
      </c>
      <c r="P14" s="126" t="str">
        <f t="shared" si="2"/>
        <v>R0002</v>
      </c>
    </row>
    <row r="15" spans="1:16" ht="20.100000000000001" customHeight="1">
      <c r="A15" s="585">
        <f t="shared" si="0"/>
        <v>12</v>
      </c>
      <c r="B15" s="565" t="s">
        <v>1905</v>
      </c>
      <c r="C15" s="586" t="s">
        <v>3148</v>
      </c>
      <c r="D15" s="591" t="s">
        <v>2002</v>
      </c>
      <c r="E15" s="588" t="s">
        <v>279</v>
      </c>
      <c r="F15" s="585">
        <v>15</v>
      </c>
      <c r="G15" s="585" t="s">
        <v>3099</v>
      </c>
      <c r="H15" s="567" t="str">
        <f t="shared" si="1"/>
        <v>사전이지론증액한도금액</v>
      </c>
      <c r="I15" s="203"/>
      <c r="J15" s="323"/>
      <c r="K15" s="204"/>
      <c r="L15" s="126" t="s">
        <v>3146</v>
      </c>
      <c r="M15" s="126" t="s">
        <v>7045</v>
      </c>
      <c r="P15" s="126" t="str">
        <f t="shared" si="2"/>
        <v>R1060</v>
      </c>
    </row>
    <row r="16" spans="1:16" ht="20.100000000000001" customHeight="1">
      <c r="A16" s="585">
        <f t="shared" si="0"/>
        <v>13</v>
      </c>
      <c r="B16" s="565" t="s">
        <v>1905</v>
      </c>
      <c r="C16" s="586" t="s">
        <v>3149</v>
      </c>
      <c r="D16" s="591" t="s">
        <v>2003</v>
      </c>
      <c r="E16" s="588" t="s">
        <v>279</v>
      </c>
      <c r="F16" s="585">
        <v>15</v>
      </c>
      <c r="G16" s="585" t="s">
        <v>3099</v>
      </c>
      <c r="H16" s="567" t="str">
        <f t="shared" si="1"/>
        <v>실시간이지론증액한도금액</v>
      </c>
      <c r="I16" s="203"/>
      <c r="J16" s="323"/>
      <c r="K16" s="204"/>
      <c r="L16" s="126" t="s">
        <v>3147</v>
      </c>
      <c r="M16" s="126" t="s">
        <v>7046</v>
      </c>
      <c r="P16" s="126" t="str">
        <f t="shared" si="2"/>
        <v>R0060</v>
      </c>
    </row>
    <row r="17" spans="1:16" ht="20.100000000000001" customHeight="1">
      <c r="A17" s="585">
        <f t="shared" si="0"/>
        <v>14</v>
      </c>
      <c r="B17" s="565" t="s">
        <v>1905</v>
      </c>
      <c r="C17" s="586" t="s">
        <v>2005</v>
      </c>
      <c r="D17" s="592" t="s">
        <v>2004</v>
      </c>
      <c r="E17" s="588" t="s">
        <v>279</v>
      </c>
      <c r="F17" s="564">
        <v>9</v>
      </c>
      <c r="G17" s="585" t="s">
        <v>3099</v>
      </c>
      <c r="H17" s="567" t="str">
        <f t="shared" si="1"/>
        <v>사전적용이율</v>
      </c>
      <c r="I17" s="203"/>
      <c r="J17" s="323"/>
      <c r="K17" s="204"/>
      <c r="L17" s="126" t="s">
        <v>3148</v>
      </c>
      <c r="M17" s="126" t="s">
        <v>7047</v>
      </c>
      <c r="P17" s="126" t="str">
        <f t="shared" si="2"/>
        <v>R1061</v>
      </c>
    </row>
    <row r="18" spans="1:16" ht="20.100000000000001" customHeight="1">
      <c r="A18" s="585">
        <f t="shared" si="0"/>
        <v>15</v>
      </c>
      <c r="B18" s="565" t="s">
        <v>1905</v>
      </c>
      <c r="C18" s="586" t="s">
        <v>1915</v>
      </c>
      <c r="D18" s="593" t="s">
        <v>2006</v>
      </c>
      <c r="E18" s="588" t="s">
        <v>279</v>
      </c>
      <c r="F18" s="564">
        <v>9</v>
      </c>
      <c r="G18" s="585" t="s">
        <v>3099</v>
      </c>
      <c r="H18" s="567" t="str">
        <f t="shared" si="1"/>
        <v>실시간적용이율</v>
      </c>
      <c r="I18" s="203"/>
      <c r="J18" s="323"/>
      <c r="K18" s="204"/>
      <c r="L18" s="126" t="s">
        <v>3149</v>
      </c>
      <c r="M18" s="126" t="s">
        <v>7048</v>
      </c>
      <c r="P18" s="126" t="str">
        <f t="shared" si="2"/>
        <v>R0061</v>
      </c>
    </row>
    <row r="19" spans="1:16" ht="20.100000000000001" customHeight="1">
      <c r="A19" s="585">
        <f t="shared" si="0"/>
        <v>16</v>
      </c>
      <c r="B19" s="565" t="s">
        <v>1905</v>
      </c>
      <c r="C19" s="586" t="s">
        <v>2007</v>
      </c>
      <c r="D19" s="594" t="s">
        <v>2029</v>
      </c>
      <c r="E19" s="595" t="s">
        <v>275</v>
      </c>
      <c r="F19" s="588">
        <v>2</v>
      </c>
      <c r="G19" s="585" t="s">
        <v>3099</v>
      </c>
      <c r="H19" s="567" t="str">
        <f t="shared" si="1"/>
        <v>사전금리등급구분코드</v>
      </c>
      <c r="I19" s="203"/>
      <c r="J19" s="323" t="s">
        <v>3506</v>
      </c>
      <c r="K19" s="204"/>
      <c r="L19" s="126" t="s">
        <v>2005</v>
      </c>
      <c r="M19" s="126" t="s">
        <v>7049</v>
      </c>
      <c r="P19" s="126" t="str">
        <f t="shared" si="2"/>
        <v>R1003</v>
      </c>
    </row>
    <row r="20" spans="1:16" ht="20.100000000000001" customHeight="1">
      <c r="A20" s="585">
        <f t="shared" si="0"/>
        <v>17</v>
      </c>
      <c r="B20" s="565" t="s">
        <v>1905</v>
      </c>
      <c r="C20" s="586" t="s">
        <v>1917</v>
      </c>
      <c r="D20" s="593" t="s">
        <v>2030</v>
      </c>
      <c r="E20" s="595" t="s">
        <v>275</v>
      </c>
      <c r="F20" s="588">
        <v>2</v>
      </c>
      <c r="G20" s="585" t="s">
        <v>3099</v>
      </c>
      <c r="H20" s="567" t="str">
        <f t="shared" si="1"/>
        <v>실시간금리등급구분코드</v>
      </c>
      <c r="I20" s="203"/>
      <c r="J20" s="323" t="s">
        <v>3507</v>
      </c>
      <c r="K20" s="204"/>
      <c r="L20" s="126" t="s">
        <v>1915</v>
      </c>
      <c r="M20" s="126" t="s">
        <v>7050</v>
      </c>
      <c r="P20" s="126" t="str">
        <f t="shared" si="2"/>
        <v>R0003</v>
      </c>
    </row>
    <row r="21" spans="1:16" ht="20.100000000000001" customHeight="1">
      <c r="A21" s="585">
        <f t="shared" si="0"/>
        <v>18</v>
      </c>
      <c r="B21" s="565" t="s">
        <v>1905</v>
      </c>
      <c r="C21" s="586" t="s">
        <v>3150</v>
      </c>
      <c r="D21" s="594" t="s">
        <v>2031</v>
      </c>
      <c r="E21" s="595" t="s">
        <v>275</v>
      </c>
      <c r="F21" s="588">
        <v>1</v>
      </c>
      <c r="G21" s="585" t="s">
        <v>3099</v>
      </c>
      <c r="H21" s="567" t="e">
        <f t="shared" si="1"/>
        <v>#N/A</v>
      </c>
      <c r="I21" s="203"/>
      <c r="J21" s="323"/>
      <c r="K21" s="204"/>
      <c r="L21" s="126" t="s">
        <v>2007</v>
      </c>
      <c r="M21" s="126" t="s">
        <v>7051</v>
      </c>
      <c r="P21" s="126" t="str">
        <f t="shared" si="2"/>
        <v>R1004</v>
      </c>
    </row>
    <row r="22" spans="1:16" ht="20.100000000000001" customHeight="1">
      <c r="A22" s="585">
        <f t="shared" si="0"/>
        <v>19</v>
      </c>
      <c r="B22" s="565" t="s">
        <v>1905</v>
      </c>
      <c r="C22" s="586" t="s">
        <v>3151</v>
      </c>
      <c r="D22" s="594" t="s">
        <v>2032</v>
      </c>
      <c r="E22" s="595" t="s">
        <v>275</v>
      </c>
      <c r="F22" s="588">
        <v>1</v>
      </c>
      <c r="G22" s="585" t="s">
        <v>3099</v>
      </c>
      <c r="H22" s="567" t="e">
        <f t="shared" si="1"/>
        <v>#N/A</v>
      </c>
      <c r="I22" s="203"/>
      <c r="J22" s="323"/>
      <c r="K22" s="204"/>
      <c r="L22" s="126" t="s">
        <v>1917</v>
      </c>
      <c r="M22" s="126" t="s">
        <v>7052</v>
      </c>
      <c r="P22" s="126" t="str">
        <f t="shared" si="2"/>
        <v>R0004</v>
      </c>
    </row>
    <row r="23" spans="1:16" ht="20.100000000000001" customHeight="1">
      <c r="A23" s="585">
        <f t="shared" si="0"/>
        <v>20</v>
      </c>
      <c r="B23" s="565" t="s">
        <v>1905</v>
      </c>
      <c r="C23" s="586" t="s">
        <v>2008</v>
      </c>
      <c r="D23" s="596" t="s">
        <v>2033</v>
      </c>
      <c r="E23" s="588" t="s">
        <v>279</v>
      </c>
      <c r="F23" s="585">
        <v>5</v>
      </c>
      <c r="G23" s="585" t="s">
        <v>3099</v>
      </c>
      <c r="H23" s="567" t="str">
        <f t="shared" si="1"/>
        <v>사전최장대출기간수</v>
      </c>
      <c r="I23" s="203"/>
      <c r="J23" s="323" t="s">
        <v>3505</v>
      </c>
      <c r="K23" s="204"/>
      <c r="L23" s="126" t="s">
        <v>2008</v>
      </c>
      <c r="M23" s="126" t="s">
        <v>7053</v>
      </c>
      <c r="P23" s="126" t="str">
        <f t="shared" si="2"/>
        <v>R1005</v>
      </c>
    </row>
    <row r="24" spans="1:16" ht="20.100000000000001" customHeight="1">
      <c r="A24" s="585">
        <f t="shared" si="0"/>
        <v>21</v>
      </c>
      <c r="B24" s="565" t="s">
        <v>1905</v>
      </c>
      <c r="C24" s="586" t="s">
        <v>1919</v>
      </c>
      <c r="D24" s="597" t="s">
        <v>2034</v>
      </c>
      <c r="E24" s="588" t="s">
        <v>279</v>
      </c>
      <c r="F24" s="585">
        <v>5</v>
      </c>
      <c r="G24" s="585" t="s">
        <v>3099</v>
      </c>
      <c r="H24" s="567" t="str">
        <f t="shared" si="1"/>
        <v>실시간최장대출기간수</v>
      </c>
      <c r="I24" s="203"/>
      <c r="J24" s="323"/>
      <c r="K24" s="204"/>
      <c r="L24" s="126" t="s">
        <v>1919</v>
      </c>
      <c r="M24" s="126" t="s">
        <v>7054</v>
      </c>
      <c r="P24" s="126" t="str">
        <f t="shared" si="2"/>
        <v>R0005</v>
      </c>
    </row>
    <row r="25" spans="1:16" ht="20.100000000000001" customHeight="1">
      <c r="A25" s="585">
        <f t="shared" si="0"/>
        <v>22</v>
      </c>
      <c r="B25" s="565" t="s">
        <v>1905</v>
      </c>
      <c r="C25" s="586" t="s">
        <v>2009</v>
      </c>
      <c r="D25" s="596" t="s">
        <v>2035</v>
      </c>
      <c r="E25" s="588" t="s">
        <v>279</v>
      </c>
      <c r="F25" s="585">
        <v>5</v>
      </c>
      <c r="G25" s="585" t="s">
        <v>3099</v>
      </c>
      <c r="H25" s="567" t="str">
        <f t="shared" si="1"/>
        <v>사전최장거치기간수</v>
      </c>
      <c r="I25" s="203"/>
      <c r="J25" s="323"/>
      <c r="K25" s="204"/>
      <c r="L25" s="126" t="s">
        <v>2009</v>
      </c>
      <c r="M25" s="126" t="s">
        <v>7055</v>
      </c>
      <c r="P25" s="126" t="str">
        <f t="shared" si="2"/>
        <v>R1006</v>
      </c>
    </row>
    <row r="26" spans="1:16" ht="20.100000000000001" customHeight="1">
      <c r="A26" s="585">
        <f t="shared" si="0"/>
        <v>23</v>
      </c>
      <c r="B26" s="565" t="s">
        <v>1905</v>
      </c>
      <c r="C26" s="586" t="s">
        <v>1921</v>
      </c>
      <c r="D26" s="597" t="s">
        <v>2036</v>
      </c>
      <c r="E26" s="588" t="s">
        <v>279</v>
      </c>
      <c r="F26" s="585">
        <v>5</v>
      </c>
      <c r="G26" s="585" t="s">
        <v>3099</v>
      </c>
      <c r="H26" s="567" t="str">
        <f t="shared" si="1"/>
        <v>실시간최장거치기간수</v>
      </c>
      <c r="I26" s="203"/>
      <c r="J26" s="323"/>
      <c r="K26" s="204"/>
      <c r="L26" s="126" t="s">
        <v>1921</v>
      </c>
      <c r="M26" s="126" t="s">
        <v>7056</v>
      </c>
      <c r="P26" s="126" t="str">
        <f t="shared" si="2"/>
        <v>R0006</v>
      </c>
    </row>
    <row r="27" spans="1:16" ht="20.100000000000001" customHeight="1">
      <c r="A27" s="585">
        <f t="shared" si="0"/>
        <v>24</v>
      </c>
      <c r="B27" s="565" t="s">
        <v>1905</v>
      </c>
      <c r="C27" s="586" t="s">
        <v>3152</v>
      </c>
      <c r="D27" s="592" t="s">
        <v>2037</v>
      </c>
      <c r="E27" s="595" t="s">
        <v>275</v>
      </c>
      <c r="F27" s="588">
        <v>4</v>
      </c>
      <c r="G27" s="588" t="s">
        <v>3099</v>
      </c>
      <c r="H27" s="567" t="str">
        <f t="shared" si="1"/>
        <v>사전이용가능한도미사용금액</v>
      </c>
      <c r="I27" s="203"/>
      <c r="J27" s="323"/>
      <c r="K27" s="204"/>
      <c r="L27" s="126" t="s">
        <v>3152</v>
      </c>
      <c r="M27" s="126" t="s">
        <v>7057</v>
      </c>
      <c r="P27" s="126" t="str">
        <f t="shared" si="2"/>
        <v>R1064</v>
      </c>
    </row>
    <row r="28" spans="1:16" ht="20.100000000000001" customHeight="1">
      <c r="A28" s="585">
        <f t="shared" si="0"/>
        <v>25</v>
      </c>
      <c r="B28" s="565" t="s">
        <v>1905</v>
      </c>
      <c r="C28" s="586" t="s">
        <v>3153</v>
      </c>
      <c r="D28" s="593" t="s">
        <v>2038</v>
      </c>
      <c r="E28" s="595" t="s">
        <v>275</v>
      </c>
      <c r="F28" s="588">
        <v>4</v>
      </c>
      <c r="G28" s="588" t="s">
        <v>3099</v>
      </c>
      <c r="H28" s="567" t="str">
        <f t="shared" si="1"/>
        <v>실시간이용가능한도미사용금액</v>
      </c>
      <c r="I28" s="203"/>
      <c r="J28" s="323"/>
      <c r="K28" s="204"/>
      <c r="L28" s="126" t="s">
        <v>3153</v>
      </c>
      <c r="M28" s="126" t="s">
        <v>7058</v>
      </c>
      <c r="P28" s="126" t="str">
        <f t="shared" si="2"/>
        <v>R0064</v>
      </c>
    </row>
    <row r="29" spans="1:16" ht="20.100000000000001" customHeight="1">
      <c r="A29" s="585">
        <f t="shared" si="0"/>
        <v>26</v>
      </c>
      <c r="B29" s="565" t="s">
        <v>1905</v>
      </c>
      <c r="C29" s="586" t="s">
        <v>3154</v>
      </c>
      <c r="D29" s="594" t="s">
        <v>2039</v>
      </c>
      <c r="E29" s="595" t="s">
        <v>275</v>
      </c>
      <c r="F29" s="588">
        <v>4</v>
      </c>
      <c r="G29" s="588" t="s">
        <v>3099</v>
      </c>
      <c r="H29" s="567" t="str">
        <f t="shared" si="1"/>
        <v>사전기타취급불가사유코드</v>
      </c>
      <c r="I29" s="203"/>
      <c r="J29" s="323"/>
      <c r="K29" s="204"/>
      <c r="L29" s="126" t="s">
        <v>3154</v>
      </c>
      <c r="M29" s="126" t="s">
        <v>6230</v>
      </c>
      <c r="P29" s="126" t="str">
        <f t="shared" si="2"/>
        <v>R0065</v>
      </c>
    </row>
    <row r="30" spans="1:16" ht="20.100000000000001" customHeight="1">
      <c r="A30" s="585">
        <f t="shared" si="0"/>
        <v>27</v>
      </c>
      <c r="B30" s="565" t="s">
        <v>1905</v>
      </c>
      <c r="C30" s="586" t="s">
        <v>2010</v>
      </c>
      <c r="D30" s="596" t="s">
        <v>2040</v>
      </c>
      <c r="E30" s="598" t="s">
        <v>2041</v>
      </c>
      <c r="F30" s="598">
        <v>60</v>
      </c>
      <c r="G30" s="588" t="s">
        <v>3099</v>
      </c>
      <c r="H30" s="567" t="str">
        <f t="shared" si="1"/>
        <v>사전대출탈락사유</v>
      </c>
      <c r="I30" s="203"/>
      <c r="J30" s="323"/>
      <c r="K30" s="204"/>
      <c r="L30" s="126" t="s">
        <v>2010</v>
      </c>
      <c r="M30" s="126" t="s">
        <v>7059</v>
      </c>
      <c r="P30" s="126" t="str">
        <f t="shared" si="2"/>
        <v>R1007</v>
      </c>
    </row>
    <row r="31" spans="1:16" ht="20.100000000000001" customHeight="1">
      <c r="A31" s="585">
        <f t="shared" si="0"/>
        <v>28</v>
      </c>
      <c r="B31" s="565" t="s">
        <v>1905</v>
      </c>
      <c r="C31" s="586" t="s">
        <v>1923</v>
      </c>
      <c r="D31" s="596" t="s">
        <v>2042</v>
      </c>
      <c r="E31" s="598" t="s">
        <v>2041</v>
      </c>
      <c r="F31" s="598">
        <v>60</v>
      </c>
      <c r="G31" s="588" t="s">
        <v>3099</v>
      </c>
      <c r="H31" s="567" t="str">
        <f t="shared" si="1"/>
        <v>실시간대출탈락사유</v>
      </c>
      <c r="I31" s="203"/>
      <c r="J31" s="323"/>
      <c r="K31" s="204"/>
      <c r="L31" s="126" t="s">
        <v>1923</v>
      </c>
      <c r="M31" s="126" t="s">
        <v>7060</v>
      </c>
      <c r="P31" s="126" t="str">
        <f t="shared" si="2"/>
        <v>R0007</v>
      </c>
    </row>
    <row r="32" spans="1:16" ht="20.100000000000001" customHeight="1">
      <c r="A32" s="585">
        <f t="shared" si="0"/>
        <v>29</v>
      </c>
      <c r="B32" s="565" t="s">
        <v>1905</v>
      </c>
      <c r="C32" s="586" t="s">
        <v>3155</v>
      </c>
      <c r="D32" s="599" t="s">
        <v>2043</v>
      </c>
      <c r="E32" s="595" t="s">
        <v>275</v>
      </c>
      <c r="F32" s="585">
        <v>2</v>
      </c>
      <c r="G32" s="585" t="s">
        <v>3099</v>
      </c>
      <c r="H32" s="567" t="str">
        <f t="shared" si="1"/>
        <v>사전회원세그먼트구분코드</v>
      </c>
      <c r="I32" s="203"/>
      <c r="J32" s="323"/>
      <c r="K32" s="204"/>
      <c r="L32" s="126" t="s">
        <v>3155</v>
      </c>
      <c r="M32" s="126" t="s">
        <v>7061</v>
      </c>
      <c r="P32" s="126" t="str">
        <f t="shared" si="2"/>
        <v>R1087</v>
      </c>
    </row>
    <row r="33" spans="1:16" ht="20.100000000000001" customHeight="1">
      <c r="A33" s="585">
        <f t="shared" si="0"/>
        <v>30</v>
      </c>
      <c r="B33" s="565" t="s">
        <v>1905</v>
      </c>
      <c r="C33" s="586" t="s">
        <v>3156</v>
      </c>
      <c r="D33" s="599" t="s">
        <v>2044</v>
      </c>
      <c r="E33" s="588" t="s">
        <v>279</v>
      </c>
      <c r="F33" s="585">
        <v>2</v>
      </c>
      <c r="G33" s="585" t="s">
        <v>3099</v>
      </c>
      <c r="H33" s="567" t="str">
        <f t="shared" si="1"/>
        <v>실시간회원세그먼트구분코드</v>
      </c>
      <c r="I33" s="203"/>
      <c r="J33" s="323"/>
      <c r="K33" s="204"/>
      <c r="L33" s="126" t="s">
        <v>3156</v>
      </c>
      <c r="M33" s="126" t="s">
        <v>7062</v>
      </c>
      <c r="P33" s="126" t="str">
        <f t="shared" si="2"/>
        <v>R0087</v>
      </c>
    </row>
    <row r="34" spans="1:16" ht="20.100000000000001" customHeight="1">
      <c r="A34" s="585">
        <f t="shared" si="0"/>
        <v>31</v>
      </c>
      <c r="B34" s="565" t="s">
        <v>1905</v>
      </c>
      <c r="C34" s="586" t="s">
        <v>2011</v>
      </c>
      <c r="D34" s="600" t="s">
        <v>2045</v>
      </c>
      <c r="E34" s="588" t="s">
        <v>279</v>
      </c>
      <c r="F34" s="585">
        <v>15</v>
      </c>
      <c r="G34" s="585" t="s">
        <v>3099</v>
      </c>
      <c r="H34" s="567" t="str">
        <f t="shared" si="1"/>
        <v>사전KCB추정소득금액</v>
      </c>
      <c r="I34" s="203"/>
      <c r="J34" s="323"/>
      <c r="K34" s="204"/>
      <c r="L34" s="126" t="s">
        <v>2011</v>
      </c>
      <c r="M34" s="126" t="s">
        <v>2822</v>
      </c>
      <c r="N34" s="126" t="s">
        <v>3655</v>
      </c>
      <c r="P34" s="126" t="str">
        <f t="shared" si="2"/>
        <v>R1010</v>
      </c>
    </row>
    <row r="35" spans="1:16" ht="20.100000000000001" customHeight="1">
      <c r="A35" s="585">
        <f t="shared" si="0"/>
        <v>32</v>
      </c>
      <c r="B35" s="565" t="s">
        <v>1905</v>
      </c>
      <c r="C35" s="586" t="s">
        <v>1930</v>
      </c>
      <c r="D35" s="600" t="s">
        <v>2046</v>
      </c>
      <c r="E35" s="588" t="s">
        <v>279</v>
      </c>
      <c r="F35" s="585">
        <v>15</v>
      </c>
      <c r="G35" s="585" t="s">
        <v>3099</v>
      </c>
      <c r="H35" s="567" t="str">
        <f t="shared" si="1"/>
        <v>실시간KCB추정소득금액</v>
      </c>
      <c r="I35" s="203"/>
      <c r="J35" s="323"/>
      <c r="K35" s="204"/>
      <c r="L35" s="126" t="s">
        <v>1930</v>
      </c>
      <c r="M35" s="126" t="s">
        <v>7063</v>
      </c>
      <c r="N35" s="126" t="s">
        <v>3655</v>
      </c>
      <c r="P35" s="126" t="str">
        <f t="shared" si="2"/>
        <v>R0010</v>
      </c>
    </row>
    <row r="36" spans="1:16" ht="20.100000000000001" customHeight="1">
      <c r="A36" s="585">
        <f t="shared" si="0"/>
        <v>33</v>
      </c>
      <c r="B36" s="565" t="s">
        <v>1905</v>
      </c>
      <c r="C36" s="586" t="s">
        <v>2012</v>
      </c>
      <c r="D36" s="600" t="s">
        <v>2047</v>
      </c>
      <c r="E36" s="588" t="s">
        <v>279</v>
      </c>
      <c r="F36" s="585">
        <v>15</v>
      </c>
      <c r="G36" s="585" t="s">
        <v>3099</v>
      </c>
      <c r="H36" s="567" t="str">
        <f t="shared" si="1"/>
        <v>사전NICE추정소득금액</v>
      </c>
      <c r="I36" s="203"/>
      <c r="J36" s="323"/>
      <c r="K36" s="204"/>
      <c r="L36" s="126" t="s">
        <v>2012</v>
      </c>
      <c r="M36" s="126" t="s">
        <v>2823</v>
      </c>
      <c r="P36" s="126" t="str">
        <f t="shared" si="2"/>
        <v>R1011</v>
      </c>
    </row>
    <row r="37" spans="1:16" ht="20.100000000000001" customHeight="1">
      <c r="A37" s="585">
        <f t="shared" si="0"/>
        <v>34</v>
      </c>
      <c r="B37" s="565" t="s">
        <v>1905</v>
      </c>
      <c r="C37" s="586" t="s">
        <v>1932</v>
      </c>
      <c r="D37" s="600" t="s">
        <v>2048</v>
      </c>
      <c r="E37" s="588" t="s">
        <v>279</v>
      </c>
      <c r="F37" s="585">
        <v>15</v>
      </c>
      <c r="G37" s="585" t="s">
        <v>3099</v>
      </c>
      <c r="H37" s="567" t="str">
        <f t="shared" si="1"/>
        <v>실시간NICE추정소득금액</v>
      </c>
      <c r="I37" s="203"/>
      <c r="J37" s="323"/>
      <c r="K37" s="204"/>
      <c r="L37" s="126" t="s">
        <v>1932</v>
      </c>
      <c r="M37" s="126" t="s">
        <v>7064</v>
      </c>
      <c r="N37" s="126" t="s">
        <v>3655</v>
      </c>
      <c r="P37" s="126" t="str">
        <f t="shared" si="2"/>
        <v>R0011</v>
      </c>
    </row>
    <row r="38" spans="1:16" ht="20.100000000000001" customHeight="1">
      <c r="A38" s="585">
        <f t="shared" si="0"/>
        <v>35</v>
      </c>
      <c r="B38" s="565" t="s">
        <v>1905</v>
      </c>
      <c r="C38" s="586" t="s">
        <v>2013</v>
      </c>
      <c r="D38" s="601" t="s">
        <v>2049</v>
      </c>
      <c r="E38" s="564" t="s">
        <v>2050</v>
      </c>
      <c r="F38" s="564">
        <v>15</v>
      </c>
      <c r="G38" s="564" t="s">
        <v>3099</v>
      </c>
      <c r="H38" s="567" t="str">
        <f t="shared" si="1"/>
        <v>사전평균추정소득금액</v>
      </c>
      <c r="I38" s="203"/>
      <c r="J38" s="323"/>
      <c r="K38" s="204"/>
      <c r="L38" s="126" t="s">
        <v>2013</v>
      </c>
      <c r="M38" s="126" t="s">
        <v>2824</v>
      </c>
      <c r="P38" s="126" t="str">
        <f t="shared" si="2"/>
        <v>R1012</v>
      </c>
    </row>
    <row r="39" spans="1:16" ht="20.100000000000001" customHeight="1">
      <c r="A39" s="585">
        <f t="shared" si="0"/>
        <v>36</v>
      </c>
      <c r="B39" s="565" t="s">
        <v>1905</v>
      </c>
      <c r="C39" s="586" t="s">
        <v>1934</v>
      </c>
      <c r="D39" s="601" t="s">
        <v>2051</v>
      </c>
      <c r="E39" s="564" t="s">
        <v>2050</v>
      </c>
      <c r="F39" s="564">
        <v>15</v>
      </c>
      <c r="G39" s="564" t="s">
        <v>3099</v>
      </c>
      <c r="H39" s="567" t="str">
        <f t="shared" si="1"/>
        <v>실시간평균추정소득금액</v>
      </c>
      <c r="I39" s="498" t="s">
        <v>7175</v>
      </c>
      <c r="J39" s="323"/>
      <c r="K39" s="204"/>
      <c r="L39" s="126" t="s">
        <v>1934</v>
      </c>
      <c r="M39" s="126" t="s">
        <v>7065</v>
      </c>
      <c r="P39" s="126" t="str">
        <f t="shared" si="2"/>
        <v>R0012</v>
      </c>
    </row>
    <row r="40" spans="1:16" ht="20.100000000000001" customHeight="1">
      <c r="A40" s="585">
        <f t="shared" si="0"/>
        <v>37</v>
      </c>
      <c r="B40" s="565" t="s">
        <v>1905</v>
      </c>
      <c r="C40" s="586" t="s">
        <v>2014</v>
      </c>
      <c r="D40" s="601" t="s">
        <v>2052</v>
      </c>
      <c r="E40" s="564" t="s">
        <v>2050</v>
      </c>
      <c r="F40" s="564">
        <v>15</v>
      </c>
      <c r="G40" s="564" t="s">
        <v>3099</v>
      </c>
      <c r="H40" s="567" t="str">
        <f t="shared" si="1"/>
        <v>사전KCB연간원리금상환금액</v>
      </c>
      <c r="I40" s="203"/>
      <c r="J40" s="323"/>
      <c r="K40" s="204"/>
      <c r="L40" s="126" t="s">
        <v>2014</v>
      </c>
      <c r="M40" s="126" t="s">
        <v>2825</v>
      </c>
      <c r="P40" s="126" t="str">
        <f t="shared" si="2"/>
        <v>R1013</v>
      </c>
    </row>
    <row r="41" spans="1:16" ht="20.100000000000001" customHeight="1">
      <c r="A41" s="585">
        <f t="shared" si="0"/>
        <v>38</v>
      </c>
      <c r="B41" s="565" t="s">
        <v>1905</v>
      </c>
      <c r="C41" s="586" t="s">
        <v>1936</v>
      </c>
      <c r="D41" s="600" t="s">
        <v>2053</v>
      </c>
      <c r="E41" s="585" t="s">
        <v>2050</v>
      </c>
      <c r="F41" s="585">
        <v>15</v>
      </c>
      <c r="G41" s="564" t="s">
        <v>3099</v>
      </c>
      <c r="H41" s="567" t="str">
        <f t="shared" si="1"/>
        <v>실시간KCB연간원리금상환금액</v>
      </c>
      <c r="I41" s="203"/>
      <c r="J41" s="323"/>
      <c r="K41" s="204"/>
      <c r="L41" s="126" t="s">
        <v>1936</v>
      </c>
      <c r="M41" s="126" t="s">
        <v>7066</v>
      </c>
      <c r="P41" s="126" t="str">
        <f t="shared" si="2"/>
        <v>R0013</v>
      </c>
    </row>
    <row r="42" spans="1:16" ht="20.100000000000001" customHeight="1">
      <c r="A42" s="585">
        <f t="shared" si="0"/>
        <v>39</v>
      </c>
      <c r="B42" s="565" t="s">
        <v>1905</v>
      </c>
      <c r="C42" s="586" t="s">
        <v>2015</v>
      </c>
      <c r="D42" s="600" t="s">
        <v>2054</v>
      </c>
      <c r="E42" s="585" t="s">
        <v>2050</v>
      </c>
      <c r="F42" s="585">
        <v>15</v>
      </c>
      <c r="G42" s="564" t="s">
        <v>3099</v>
      </c>
      <c r="H42" s="567" t="str">
        <f t="shared" ref="H42:H73" si="3">VLOOKUP(C42,$L$10:$N$135,2,FALSE)</f>
        <v>사전NICE연간원리금상환금액</v>
      </c>
      <c r="I42" s="203"/>
      <c r="J42" s="323"/>
      <c r="K42" s="204"/>
      <c r="L42" s="126" t="s">
        <v>2015</v>
      </c>
      <c r="M42" s="126" t="s">
        <v>2826</v>
      </c>
      <c r="P42" s="126" t="str">
        <f t="shared" ref="P42:P73" si="4">VLOOKUP(L42,$C$11:$D$152,1,FALSE)</f>
        <v>R1014</v>
      </c>
    </row>
    <row r="43" spans="1:16" ht="20.100000000000001" customHeight="1">
      <c r="A43" s="585">
        <f t="shared" si="0"/>
        <v>40</v>
      </c>
      <c r="B43" s="565" t="s">
        <v>1905</v>
      </c>
      <c r="C43" s="586" t="s">
        <v>1938</v>
      </c>
      <c r="D43" s="600" t="s">
        <v>2055</v>
      </c>
      <c r="E43" s="585" t="s">
        <v>2050</v>
      </c>
      <c r="F43" s="585">
        <v>15</v>
      </c>
      <c r="G43" s="564" t="s">
        <v>3099</v>
      </c>
      <c r="H43" s="567" t="str">
        <f t="shared" si="3"/>
        <v>실시간NICE연간원리금상환금액</v>
      </c>
      <c r="I43" s="203"/>
      <c r="J43" s="323"/>
      <c r="K43" s="204"/>
      <c r="L43" s="126" t="s">
        <v>1938</v>
      </c>
      <c r="M43" s="126" t="s">
        <v>7067</v>
      </c>
      <c r="P43" s="126" t="str">
        <f t="shared" si="4"/>
        <v>R0014</v>
      </c>
    </row>
    <row r="44" spans="1:16" ht="20.100000000000001" customHeight="1">
      <c r="A44" s="585">
        <f t="shared" si="0"/>
        <v>41</v>
      </c>
      <c r="B44" s="565" t="s">
        <v>1905</v>
      </c>
      <c r="C44" s="586" t="s">
        <v>2016</v>
      </c>
      <c r="D44" s="600" t="s">
        <v>2056</v>
      </c>
      <c r="E44" s="588" t="s">
        <v>279</v>
      </c>
      <c r="F44" s="585">
        <v>15</v>
      </c>
      <c r="G44" s="564" t="s">
        <v>3099</v>
      </c>
      <c r="H44" s="567" t="str">
        <f t="shared" si="3"/>
        <v>사전월가처분소득금액</v>
      </c>
      <c r="I44" s="203"/>
      <c r="J44" s="323"/>
      <c r="K44" s="204"/>
      <c r="L44" s="126" t="s">
        <v>2016</v>
      </c>
      <c r="M44" s="126" t="s">
        <v>7068</v>
      </c>
      <c r="N44" s="126" t="s">
        <v>3655</v>
      </c>
      <c r="P44" s="126" t="str">
        <f t="shared" si="4"/>
        <v>R1015</v>
      </c>
    </row>
    <row r="45" spans="1:16" ht="20.100000000000001" customHeight="1">
      <c r="A45" s="585">
        <f t="shared" si="0"/>
        <v>42</v>
      </c>
      <c r="B45" s="565" t="s">
        <v>1905</v>
      </c>
      <c r="C45" s="586" t="s">
        <v>1940</v>
      </c>
      <c r="D45" s="600" t="s">
        <v>2057</v>
      </c>
      <c r="E45" s="588" t="s">
        <v>279</v>
      </c>
      <c r="F45" s="585">
        <v>15</v>
      </c>
      <c r="G45" s="564" t="s">
        <v>3099</v>
      </c>
      <c r="H45" s="567" t="str">
        <f t="shared" si="3"/>
        <v>실시간월가처분소득금액</v>
      </c>
      <c r="I45" s="203"/>
      <c r="J45" s="323"/>
      <c r="K45" s="204"/>
      <c r="L45" s="126" t="s">
        <v>1940</v>
      </c>
      <c r="M45" s="126" t="s">
        <v>7069</v>
      </c>
      <c r="N45" s="126" t="s">
        <v>3655</v>
      </c>
      <c r="P45" s="126" t="str">
        <f t="shared" si="4"/>
        <v>R0015</v>
      </c>
    </row>
    <row r="46" spans="1:16" ht="20.100000000000001" customHeight="1">
      <c r="A46" s="585">
        <f t="shared" si="0"/>
        <v>43</v>
      </c>
      <c r="B46" s="565" t="s">
        <v>1905</v>
      </c>
      <c r="C46" s="586" t="s">
        <v>2017</v>
      </c>
      <c r="D46" s="601" t="s">
        <v>2058</v>
      </c>
      <c r="E46" s="564" t="s">
        <v>2050</v>
      </c>
      <c r="F46" s="564">
        <v>5</v>
      </c>
      <c r="G46" s="564" t="s">
        <v>3099</v>
      </c>
      <c r="H46" s="567" t="str">
        <f t="shared" si="3"/>
        <v>사전전략DTI비율</v>
      </c>
      <c r="I46" s="203"/>
      <c r="J46" s="323"/>
      <c r="K46" s="204"/>
      <c r="L46" s="126" t="s">
        <v>2017</v>
      </c>
      <c r="M46" s="126" t="s">
        <v>2829</v>
      </c>
      <c r="N46" s="126" t="s">
        <v>3655</v>
      </c>
      <c r="P46" s="126" t="str">
        <f t="shared" si="4"/>
        <v>R1017</v>
      </c>
    </row>
    <row r="47" spans="1:16" ht="20.100000000000001" customHeight="1">
      <c r="A47" s="585">
        <f t="shared" si="0"/>
        <v>44</v>
      </c>
      <c r="B47" s="565" t="s">
        <v>1905</v>
      </c>
      <c r="C47" s="586" t="s">
        <v>1943</v>
      </c>
      <c r="D47" s="601" t="s">
        <v>2059</v>
      </c>
      <c r="E47" s="564" t="s">
        <v>2050</v>
      </c>
      <c r="F47" s="564">
        <v>5</v>
      </c>
      <c r="G47" s="564" t="s">
        <v>3099</v>
      </c>
      <c r="H47" s="567" t="str">
        <f t="shared" si="3"/>
        <v>실시간전략DTI비율</v>
      </c>
      <c r="I47" s="203"/>
      <c r="J47" s="323"/>
      <c r="K47" s="204"/>
      <c r="L47" s="126" t="s">
        <v>1943</v>
      </c>
      <c r="M47" s="126" t="s">
        <v>7070</v>
      </c>
      <c r="N47" s="126" t="s">
        <v>3655</v>
      </c>
      <c r="P47" s="126" t="str">
        <f t="shared" si="4"/>
        <v>R0017</v>
      </c>
    </row>
    <row r="48" spans="1:16" ht="20.100000000000001" customHeight="1">
      <c r="A48" s="585">
        <f t="shared" si="0"/>
        <v>45</v>
      </c>
      <c r="B48" s="565" t="s">
        <v>1905</v>
      </c>
      <c r="C48" s="586" t="s">
        <v>3157</v>
      </c>
      <c r="D48" s="600" t="s">
        <v>2060</v>
      </c>
      <c r="E48" s="588" t="s">
        <v>279</v>
      </c>
      <c r="F48" s="585">
        <v>15</v>
      </c>
      <c r="G48" s="602" t="s">
        <v>3099</v>
      </c>
      <c r="H48" s="567" t="str">
        <f t="shared" si="3"/>
        <v>사전DSR가이드한도금액</v>
      </c>
      <c r="I48" s="203"/>
      <c r="J48" s="323"/>
      <c r="K48" s="204"/>
      <c r="L48" s="126" t="s">
        <v>3157</v>
      </c>
      <c r="M48" s="126" t="s">
        <v>7071</v>
      </c>
      <c r="N48" s="126" t="s">
        <v>3655</v>
      </c>
      <c r="P48" s="126" t="str">
        <f t="shared" si="4"/>
        <v>R1066</v>
      </c>
    </row>
    <row r="49" spans="1:16" ht="20.100000000000001" customHeight="1">
      <c r="A49" s="585">
        <f t="shared" si="0"/>
        <v>46</v>
      </c>
      <c r="B49" s="565" t="s">
        <v>1905</v>
      </c>
      <c r="C49" s="586" t="s">
        <v>3158</v>
      </c>
      <c r="D49" s="601" t="s">
        <v>2061</v>
      </c>
      <c r="E49" s="588" t="s">
        <v>279</v>
      </c>
      <c r="F49" s="585">
        <v>15</v>
      </c>
      <c r="G49" s="602" t="s">
        <v>3099</v>
      </c>
      <c r="H49" s="567" t="str">
        <f t="shared" si="3"/>
        <v>실시간DSR가이드한도금액</v>
      </c>
      <c r="I49" s="203"/>
      <c r="J49" s="323"/>
      <c r="K49" s="204"/>
      <c r="L49" s="126" t="s">
        <v>3158</v>
      </c>
      <c r="M49" s="126" t="s">
        <v>7072</v>
      </c>
      <c r="P49" s="126" t="str">
        <f t="shared" si="4"/>
        <v>R0066</v>
      </c>
    </row>
    <row r="50" spans="1:16" ht="20.100000000000001" customHeight="1">
      <c r="A50" s="585">
        <f t="shared" si="0"/>
        <v>47</v>
      </c>
      <c r="B50" s="565" t="s">
        <v>1905</v>
      </c>
      <c r="C50" s="586" t="s">
        <v>2018</v>
      </c>
      <c r="D50" s="601" t="s">
        <v>2062</v>
      </c>
      <c r="E50" s="564" t="s">
        <v>2050</v>
      </c>
      <c r="F50" s="564">
        <v>15</v>
      </c>
      <c r="G50" s="564" t="s">
        <v>3099</v>
      </c>
      <c r="H50" s="567" t="str">
        <f t="shared" si="3"/>
        <v>사전연령한도금액</v>
      </c>
      <c r="I50" s="203"/>
      <c r="J50" s="323"/>
      <c r="K50" s="204"/>
      <c r="L50" s="126" t="s">
        <v>2018</v>
      </c>
      <c r="M50" s="126" t="s">
        <v>7073</v>
      </c>
      <c r="P50" s="126" t="str">
        <f t="shared" si="4"/>
        <v>R1019</v>
      </c>
    </row>
    <row r="51" spans="1:16" ht="20.100000000000001" customHeight="1">
      <c r="A51" s="585">
        <f t="shared" si="0"/>
        <v>48</v>
      </c>
      <c r="B51" s="565" t="s">
        <v>1905</v>
      </c>
      <c r="C51" s="586" t="s">
        <v>1947</v>
      </c>
      <c r="D51" s="601" t="s">
        <v>2063</v>
      </c>
      <c r="E51" s="564" t="s">
        <v>2050</v>
      </c>
      <c r="F51" s="564">
        <v>15</v>
      </c>
      <c r="G51" s="564" t="s">
        <v>3099</v>
      </c>
      <c r="H51" s="567" t="str">
        <f t="shared" si="3"/>
        <v>실시간연령한도금액</v>
      </c>
      <c r="I51" s="203"/>
      <c r="J51" s="323"/>
      <c r="K51" s="204"/>
      <c r="L51" s="126" t="s">
        <v>1947</v>
      </c>
      <c r="M51" s="126" t="s">
        <v>7074</v>
      </c>
      <c r="P51" s="126" t="str">
        <f t="shared" si="4"/>
        <v>R0019</v>
      </c>
    </row>
    <row r="52" spans="1:16" ht="20.100000000000001" customHeight="1">
      <c r="A52" s="585">
        <f t="shared" si="0"/>
        <v>49</v>
      </c>
      <c r="B52" s="565" t="s">
        <v>1905</v>
      </c>
      <c r="C52" s="586" t="s">
        <v>2019</v>
      </c>
      <c r="D52" s="600" t="s">
        <v>2064</v>
      </c>
      <c r="E52" s="595" t="s">
        <v>275</v>
      </c>
      <c r="F52" s="585">
        <v>2</v>
      </c>
      <c r="G52" s="585" t="s">
        <v>3099</v>
      </c>
      <c r="H52" s="567" t="str">
        <f t="shared" si="3"/>
        <v>사전KCB신용등급구분코드</v>
      </c>
      <c r="I52" s="203"/>
      <c r="J52" s="323"/>
      <c r="K52" s="204"/>
      <c r="L52" s="126" t="s">
        <v>2019</v>
      </c>
      <c r="M52" s="126" t="s">
        <v>7075</v>
      </c>
      <c r="P52" s="126" t="str">
        <f t="shared" si="4"/>
        <v>R1020</v>
      </c>
    </row>
    <row r="53" spans="1:16" ht="20.100000000000001" customHeight="1">
      <c r="A53" s="585">
        <f t="shared" si="0"/>
        <v>50</v>
      </c>
      <c r="B53" s="565" t="s">
        <v>1905</v>
      </c>
      <c r="C53" s="586" t="s">
        <v>1949</v>
      </c>
      <c r="D53" s="597" t="s">
        <v>2065</v>
      </c>
      <c r="E53" s="595" t="s">
        <v>275</v>
      </c>
      <c r="F53" s="585">
        <v>2</v>
      </c>
      <c r="G53" s="585" t="s">
        <v>3099</v>
      </c>
      <c r="H53" s="567" t="str">
        <f t="shared" si="3"/>
        <v>실시간KCB신용등급구분코드</v>
      </c>
      <c r="I53" s="203"/>
      <c r="J53" s="323"/>
      <c r="K53" s="204"/>
      <c r="L53" s="126" t="s">
        <v>1949</v>
      </c>
      <c r="M53" s="126" t="s">
        <v>7076</v>
      </c>
      <c r="P53" s="126" t="str">
        <f t="shared" si="4"/>
        <v>R0020</v>
      </c>
    </row>
    <row r="54" spans="1:16" ht="20.100000000000001" customHeight="1">
      <c r="A54" s="585">
        <f t="shared" si="0"/>
        <v>51</v>
      </c>
      <c r="B54" s="565" t="s">
        <v>1905</v>
      </c>
      <c r="C54" s="586" t="s">
        <v>2020</v>
      </c>
      <c r="D54" s="600" t="s">
        <v>2066</v>
      </c>
      <c r="E54" s="595" t="s">
        <v>275</v>
      </c>
      <c r="F54" s="585">
        <v>4</v>
      </c>
      <c r="G54" s="585" t="s">
        <v>3099</v>
      </c>
      <c r="H54" s="567" t="str">
        <f t="shared" si="3"/>
        <v>사전NICE신용등급구분코드</v>
      </c>
      <c r="I54" s="203"/>
      <c r="J54" s="323"/>
      <c r="K54" s="204"/>
      <c r="L54" s="126" t="s">
        <v>2020</v>
      </c>
      <c r="M54" s="126" t="s">
        <v>7077</v>
      </c>
      <c r="P54" s="126" t="str">
        <f t="shared" si="4"/>
        <v>R1021</v>
      </c>
    </row>
    <row r="55" spans="1:16" ht="20.100000000000001" customHeight="1">
      <c r="A55" s="585">
        <f t="shared" si="0"/>
        <v>52</v>
      </c>
      <c r="B55" s="565" t="s">
        <v>1905</v>
      </c>
      <c r="C55" s="586" t="s">
        <v>1951</v>
      </c>
      <c r="D55" s="600" t="s">
        <v>2067</v>
      </c>
      <c r="E55" s="595" t="s">
        <v>275</v>
      </c>
      <c r="F55" s="585">
        <v>4</v>
      </c>
      <c r="G55" s="585" t="s">
        <v>3099</v>
      </c>
      <c r="H55" s="567" t="str">
        <f t="shared" si="3"/>
        <v>실시간NICE신용등급구분코드</v>
      </c>
      <c r="I55" s="203"/>
      <c r="J55" s="323"/>
      <c r="K55" s="204"/>
      <c r="L55" s="126" t="s">
        <v>1951</v>
      </c>
      <c r="M55" s="126" t="s">
        <v>7078</v>
      </c>
      <c r="P55" s="126" t="str">
        <f t="shared" si="4"/>
        <v>R0021</v>
      </c>
    </row>
    <row r="56" spans="1:16" ht="20.100000000000001" customHeight="1">
      <c r="A56" s="585">
        <f t="shared" si="0"/>
        <v>53</v>
      </c>
      <c r="B56" s="565" t="s">
        <v>1905</v>
      </c>
      <c r="C56" s="586" t="s">
        <v>3159</v>
      </c>
      <c r="D56" s="599" t="s">
        <v>2068</v>
      </c>
      <c r="E56" s="595" t="s">
        <v>275</v>
      </c>
      <c r="F56" s="585">
        <v>2</v>
      </c>
      <c r="G56" s="603" t="s">
        <v>3099</v>
      </c>
      <c r="H56" s="567" t="str">
        <f t="shared" si="3"/>
        <v>사전카드론신규등급구분코드</v>
      </c>
      <c r="I56" s="203"/>
      <c r="J56" s="323"/>
      <c r="K56" s="204"/>
      <c r="L56" s="126" t="s">
        <v>3159</v>
      </c>
      <c r="M56" s="126" t="s">
        <v>7079</v>
      </c>
      <c r="P56" s="126" t="str">
        <f t="shared" si="4"/>
        <v>R1067</v>
      </c>
    </row>
    <row r="57" spans="1:16" ht="20.100000000000001" customHeight="1">
      <c r="A57" s="585">
        <f t="shared" si="0"/>
        <v>54</v>
      </c>
      <c r="B57" s="565" t="s">
        <v>1905</v>
      </c>
      <c r="C57" s="586" t="s">
        <v>3160</v>
      </c>
      <c r="D57" s="589" t="s">
        <v>2069</v>
      </c>
      <c r="E57" s="598" t="s">
        <v>2041</v>
      </c>
      <c r="F57" s="598">
        <v>2</v>
      </c>
      <c r="G57" s="603" t="s">
        <v>3099</v>
      </c>
      <c r="H57" s="567" t="str">
        <f t="shared" si="3"/>
        <v>실시간카드론신규등급구분코드</v>
      </c>
      <c r="I57" s="203"/>
      <c r="J57" s="323"/>
      <c r="K57" s="204"/>
      <c r="L57" s="126" t="s">
        <v>3160</v>
      </c>
      <c r="M57" s="126" t="s">
        <v>5627</v>
      </c>
      <c r="O57" s="126" t="s">
        <v>7080</v>
      </c>
      <c r="P57" s="126" t="str">
        <f t="shared" si="4"/>
        <v>R0067</v>
      </c>
    </row>
    <row r="58" spans="1:16" ht="20.100000000000001" customHeight="1">
      <c r="A58" s="585">
        <f t="shared" si="0"/>
        <v>55</v>
      </c>
      <c r="B58" s="565" t="s">
        <v>1905</v>
      </c>
      <c r="C58" s="586" t="s">
        <v>3161</v>
      </c>
      <c r="D58" s="600" t="s">
        <v>2070</v>
      </c>
      <c r="E58" s="595" t="s">
        <v>275</v>
      </c>
      <c r="F58" s="585">
        <v>2</v>
      </c>
      <c r="G58" s="585" t="s">
        <v>3099</v>
      </c>
      <c r="H58" s="567" t="str">
        <f t="shared" si="3"/>
        <v>사전신용BSS등급구분코드</v>
      </c>
      <c r="I58" s="203"/>
      <c r="J58" s="323"/>
      <c r="K58" s="204"/>
      <c r="L58" s="126" t="s">
        <v>3161</v>
      </c>
      <c r="M58" s="126" t="s">
        <v>7081</v>
      </c>
      <c r="P58" s="126" t="str">
        <f t="shared" si="4"/>
        <v>R1068</v>
      </c>
    </row>
    <row r="59" spans="1:16" ht="20.100000000000001" customHeight="1">
      <c r="A59" s="585">
        <f t="shared" si="0"/>
        <v>56</v>
      </c>
      <c r="B59" s="565" t="s">
        <v>1905</v>
      </c>
      <c r="C59" s="586" t="s">
        <v>3162</v>
      </c>
      <c r="D59" s="597" t="s">
        <v>2071</v>
      </c>
      <c r="E59" s="595" t="s">
        <v>275</v>
      </c>
      <c r="F59" s="585">
        <v>2</v>
      </c>
      <c r="G59" s="585" t="s">
        <v>3099</v>
      </c>
      <c r="H59" s="567" t="str">
        <f t="shared" si="3"/>
        <v>실시간신용BSS등급구분코드</v>
      </c>
      <c r="I59" s="203"/>
      <c r="J59" s="323"/>
      <c r="K59" s="204"/>
      <c r="L59" s="126" t="s">
        <v>3162</v>
      </c>
      <c r="M59" s="126" t="s">
        <v>7082</v>
      </c>
      <c r="O59" s="126" t="s">
        <v>7083</v>
      </c>
      <c r="P59" s="126" t="str">
        <f t="shared" si="4"/>
        <v>R0068</v>
      </c>
    </row>
    <row r="60" spans="1:16" ht="20.100000000000001" customHeight="1">
      <c r="A60" s="585">
        <f t="shared" si="0"/>
        <v>57</v>
      </c>
      <c r="B60" s="565" t="s">
        <v>1905</v>
      </c>
      <c r="C60" s="586" t="s">
        <v>3163</v>
      </c>
      <c r="D60" s="599" t="s">
        <v>2072</v>
      </c>
      <c r="E60" s="595" t="s">
        <v>275</v>
      </c>
      <c r="F60" s="585">
        <v>4</v>
      </c>
      <c r="G60" s="585" t="s">
        <v>3099</v>
      </c>
      <c r="H60" s="567" t="str">
        <f t="shared" si="3"/>
        <v>사전카드론니즈등급구분코드</v>
      </c>
      <c r="I60" s="203"/>
      <c r="J60" s="323" t="s">
        <v>3503</v>
      </c>
      <c r="K60" s="204"/>
      <c r="L60" s="126" t="s">
        <v>3163</v>
      </c>
      <c r="M60" s="126" t="s">
        <v>2841</v>
      </c>
      <c r="P60" s="126" t="str">
        <f t="shared" si="4"/>
        <v>R1069</v>
      </c>
    </row>
    <row r="61" spans="1:16" ht="20.100000000000001" customHeight="1">
      <c r="A61" s="585">
        <f t="shared" si="0"/>
        <v>58</v>
      </c>
      <c r="B61" s="565" t="s">
        <v>1905</v>
      </c>
      <c r="C61" s="586" t="s">
        <v>3164</v>
      </c>
      <c r="D61" s="599" t="s">
        <v>2073</v>
      </c>
      <c r="E61" s="595" t="s">
        <v>275</v>
      </c>
      <c r="F61" s="585">
        <v>4</v>
      </c>
      <c r="G61" s="585" t="s">
        <v>3099</v>
      </c>
      <c r="H61" s="567" t="str">
        <f t="shared" si="3"/>
        <v>실시간카드론니즈등급구분코드</v>
      </c>
      <c r="I61" s="203"/>
      <c r="J61" s="323" t="s">
        <v>3504</v>
      </c>
      <c r="K61" s="204"/>
      <c r="L61" s="126" t="s">
        <v>3164</v>
      </c>
      <c r="M61" s="126" t="s">
        <v>7084</v>
      </c>
      <c r="P61" s="126" t="str">
        <f t="shared" si="4"/>
        <v>R0069</v>
      </c>
    </row>
    <row r="62" spans="1:16" ht="20.100000000000001" customHeight="1">
      <c r="A62" s="585">
        <f t="shared" si="0"/>
        <v>59</v>
      </c>
      <c r="B62" s="565" t="s">
        <v>1905</v>
      </c>
      <c r="C62" s="586" t="s">
        <v>3165</v>
      </c>
      <c r="D62" s="599" t="s">
        <v>2074</v>
      </c>
      <c r="E62" s="595" t="s">
        <v>275</v>
      </c>
      <c r="F62" s="585">
        <v>2</v>
      </c>
      <c r="G62" s="585" t="s">
        <v>3099</v>
      </c>
      <c r="H62" s="567" t="str">
        <f t="shared" si="3"/>
        <v>사전다중채무위험지수구분코드</v>
      </c>
      <c r="I62" s="203"/>
      <c r="J62" s="323"/>
      <c r="K62" s="204"/>
      <c r="L62" s="126" t="s">
        <v>3165</v>
      </c>
      <c r="M62" s="126" t="s">
        <v>2910</v>
      </c>
      <c r="P62" s="126" t="str">
        <f t="shared" si="4"/>
        <v>R1070</v>
      </c>
    </row>
    <row r="63" spans="1:16" ht="20.100000000000001" customHeight="1">
      <c r="A63" s="585">
        <f t="shared" si="0"/>
        <v>60</v>
      </c>
      <c r="B63" s="565" t="s">
        <v>1905</v>
      </c>
      <c r="C63" s="586" t="s">
        <v>3166</v>
      </c>
      <c r="D63" s="599" t="s">
        <v>2075</v>
      </c>
      <c r="E63" s="595" t="s">
        <v>275</v>
      </c>
      <c r="F63" s="585">
        <v>2</v>
      </c>
      <c r="G63" s="585" t="s">
        <v>3099</v>
      </c>
      <c r="H63" s="567" t="str">
        <f t="shared" si="3"/>
        <v>실시간다중채무위험지수구분코드</v>
      </c>
      <c r="I63" s="203"/>
      <c r="J63" s="323"/>
      <c r="K63" s="204"/>
      <c r="L63" s="126" t="s">
        <v>3166</v>
      </c>
      <c r="M63" s="126" t="s">
        <v>7085</v>
      </c>
      <c r="P63" s="126" t="str">
        <f t="shared" si="4"/>
        <v>R0070</v>
      </c>
    </row>
    <row r="64" spans="1:16" ht="20.100000000000001" customHeight="1">
      <c r="A64" s="585">
        <f t="shared" si="0"/>
        <v>61</v>
      </c>
      <c r="B64" s="565" t="s">
        <v>1905</v>
      </c>
      <c r="C64" s="586" t="s">
        <v>2021</v>
      </c>
      <c r="D64" s="600" t="s">
        <v>2076</v>
      </c>
      <c r="E64" s="595" t="s">
        <v>275</v>
      </c>
      <c r="F64" s="585">
        <v>4</v>
      </c>
      <c r="G64" s="585" t="s">
        <v>3099</v>
      </c>
      <c r="H64" s="567" t="str">
        <f t="shared" si="3"/>
        <v>사전서브프라임신용등급코드</v>
      </c>
      <c r="I64" s="203"/>
      <c r="J64" s="323"/>
      <c r="K64" s="204"/>
      <c r="L64" s="126" t="s">
        <v>2021</v>
      </c>
      <c r="M64" s="126" t="s">
        <v>7086</v>
      </c>
      <c r="P64" s="126" t="str">
        <f t="shared" si="4"/>
        <v>R1024</v>
      </c>
    </row>
    <row r="65" spans="1:16" ht="20.100000000000001" customHeight="1">
      <c r="A65" s="585">
        <f t="shared" si="0"/>
        <v>62</v>
      </c>
      <c r="B65" s="565" t="s">
        <v>1905</v>
      </c>
      <c r="C65" s="586" t="s">
        <v>1957</v>
      </c>
      <c r="D65" s="600" t="s">
        <v>2077</v>
      </c>
      <c r="E65" s="595" t="s">
        <v>275</v>
      </c>
      <c r="F65" s="585">
        <v>4</v>
      </c>
      <c r="G65" s="585" t="s">
        <v>3099</v>
      </c>
      <c r="H65" s="567" t="str">
        <f t="shared" si="3"/>
        <v>실시간서브프라임신용등급코드</v>
      </c>
      <c r="I65" s="203"/>
      <c r="J65" s="323"/>
      <c r="K65" s="204"/>
      <c r="L65" s="126" t="s">
        <v>1957</v>
      </c>
      <c r="M65" s="126" t="s">
        <v>7087</v>
      </c>
      <c r="P65" s="126" t="str">
        <f t="shared" si="4"/>
        <v>R0024</v>
      </c>
    </row>
    <row r="66" spans="1:16" ht="20.100000000000001" customHeight="1">
      <c r="A66" s="585">
        <f t="shared" si="0"/>
        <v>63</v>
      </c>
      <c r="B66" s="565" t="s">
        <v>1905</v>
      </c>
      <c r="C66" s="586" t="s">
        <v>3167</v>
      </c>
      <c r="D66" s="600" t="s">
        <v>2078</v>
      </c>
      <c r="E66" s="595" t="s">
        <v>275</v>
      </c>
      <c r="F66" s="585">
        <v>4</v>
      </c>
      <c r="G66" s="585" t="s">
        <v>3099</v>
      </c>
      <c r="H66" s="567" t="str">
        <f t="shared" si="3"/>
        <v>사전PI신용등급코드</v>
      </c>
      <c r="I66" s="203"/>
      <c r="J66" s="323"/>
      <c r="K66" s="204"/>
      <c r="L66" s="126" t="s">
        <v>3167</v>
      </c>
      <c r="M66" s="126" t="s">
        <v>7088</v>
      </c>
      <c r="P66" s="126" t="str">
        <f t="shared" si="4"/>
        <v>R1071</v>
      </c>
    </row>
    <row r="67" spans="1:16" ht="20.100000000000001" customHeight="1">
      <c r="A67" s="585">
        <f t="shared" si="0"/>
        <v>64</v>
      </c>
      <c r="B67" s="565" t="s">
        <v>1905</v>
      </c>
      <c r="C67" s="586" t="s">
        <v>3137</v>
      </c>
      <c r="D67" s="600" t="s">
        <v>2079</v>
      </c>
      <c r="E67" s="595" t="s">
        <v>275</v>
      </c>
      <c r="F67" s="585">
        <v>4</v>
      </c>
      <c r="G67" s="585" t="s">
        <v>3099</v>
      </c>
      <c r="H67" s="567" t="str">
        <f t="shared" si="3"/>
        <v>실시간PI신용등급코드</v>
      </c>
      <c r="I67" s="203"/>
      <c r="J67" s="323"/>
      <c r="K67" s="204"/>
      <c r="L67" s="126" t="s">
        <v>3137</v>
      </c>
      <c r="M67" s="126" t="s">
        <v>7089</v>
      </c>
      <c r="P67" s="126" t="str">
        <f t="shared" si="4"/>
        <v>R0071</v>
      </c>
    </row>
    <row r="68" spans="1:16" ht="20.100000000000001" customHeight="1">
      <c r="A68" s="585">
        <f t="shared" si="0"/>
        <v>65</v>
      </c>
      <c r="B68" s="565" t="s">
        <v>1905</v>
      </c>
      <c r="C68" s="586" t="s">
        <v>3168</v>
      </c>
      <c r="D68" s="600" t="s">
        <v>2080</v>
      </c>
      <c r="E68" s="595" t="s">
        <v>275</v>
      </c>
      <c r="F68" s="585">
        <v>4</v>
      </c>
      <c r="G68" s="585" t="s">
        <v>3099</v>
      </c>
      <c r="H68" s="567" t="str">
        <f t="shared" si="3"/>
        <v>사전팁스코어등급구분코드</v>
      </c>
      <c r="I68" s="203"/>
      <c r="J68" s="323"/>
      <c r="K68" s="204"/>
      <c r="L68" s="126" t="s">
        <v>3168</v>
      </c>
      <c r="M68" s="126" t="s">
        <v>7090</v>
      </c>
      <c r="P68" s="126" t="str">
        <f t="shared" si="4"/>
        <v>R1072</v>
      </c>
    </row>
    <row r="69" spans="1:16" ht="20.100000000000001" customHeight="1">
      <c r="A69" s="585">
        <f t="shared" ref="A69:A180" si="5">ROW()-3</f>
        <v>66</v>
      </c>
      <c r="B69" s="565" t="s">
        <v>1905</v>
      </c>
      <c r="C69" s="586" t="s">
        <v>3169</v>
      </c>
      <c r="D69" s="600" t="s">
        <v>2081</v>
      </c>
      <c r="E69" s="595" t="s">
        <v>275</v>
      </c>
      <c r="F69" s="585">
        <v>4</v>
      </c>
      <c r="G69" s="585" t="s">
        <v>3099</v>
      </c>
      <c r="H69" s="567" t="str">
        <f t="shared" si="3"/>
        <v>실시간팁스코어등급구분코드</v>
      </c>
      <c r="I69" s="203"/>
      <c r="J69" s="323"/>
      <c r="K69" s="204"/>
      <c r="L69" s="126" t="s">
        <v>3169</v>
      </c>
      <c r="M69" s="126" t="s">
        <v>7091</v>
      </c>
      <c r="P69" s="126" t="str">
        <f t="shared" si="4"/>
        <v>R0072</v>
      </c>
    </row>
    <row r="70" spans="1:16" ht="20.100000000000001" customHeight="1">
      <c r="A70" s="585">
        <f t="shared" si="5"/>
        <v>67</v>
      </c>
      <c r="B70" s="565" t="s">
        <v>1905</v>
      </c>
      <c r="C70" s="586" t="s">
        <v>3170</v>
      </c>
      <c r="D70" s="600" t="s">
        <v>2082</v>
      </c>
      <c r="E70" s="595" t="s">
        <v>275</v>
      </c>
      <c r="F70" s="585">
        <v>4</v>
      </c>
      <c r="G70" s="585" t="s">
        <v>3099</v>
      </c>
      <c r="H70" s="567" t="str">
        <f t="shared" si="3"/>
        <v>사전NICECP스코어등급구분코드</v>
      </c>
      <c r="I70" s="203"/>
      <c r="J70" s="323"/>
      <c r="K70" s="204"/>
      <c r="L70" s="126" t="s">
        <v>3170</v>
      </c>
      <c r="M70" s="126" t="s">
        <v>7092</v>
      </c>
      <c r="P70" s="126" t="str">
        <f t="shared" si="4"/>
        <v>R1073</v>
      </c>
    </row>
    <row r="71" spans="1:16" ht="20.100000000000001" customHeight="1">
      <c r="A71" s="585">
        <f t="shared" si="5"/>
        <v>68</v>
      </c>
      <c r="B71" s="565" t="s">
        <v>1905</v>
      </c>
      <c r="C71" s="586" t="s">
        <v>3171</v>
      </c>
      <c r="D71" s="600" t="s">
        <v>2083</v>
      </c>
      <c r="E71" s="595" t="s">
        <v>275</v>
      </c>
      <c r="F71" s="585">
        <v>4</v>
      </c>
      <c r="G71" s="585" t="s">
        <v>3099</v>
      </c>
      <c r="H71" s="567" t="str">
        <f t="shared" si="3"/>
        <v>실시간NICECP스코어등급구분코드</v>
      </c>
      <c r="I71" s="203"/>
      <c r="J71" s="323"/>
      <c r="K71" s="204"/>
      <c r="L71" s="126" t="s">
        <v>3171</v>
      </c>
      <c r="M71" s="126" t="s">
        <v>7093</v>
      </c>
      <c r="P71" s="126" t="str">
        <f t="shared" si="4"/>
        <v>R0073</v>
      </c>
    </row>
    <row r="72" spans="1:16" ht="20.100000000000001" customHeight="1">
      <c r="A72" s="585">
        <f t="shared" si="5"/>
        <v>69</v>
      </c>
      <c r="B72" s="565" t="s">
        <v>1905</v>
      </c>
      <c r="C72" s="586" t="s">
        <v>3172</v>
      </c>
      <c r="D72" s="600" t="s">
        <v>2084</v>
      </c>
      <c r="E72" s="595" t="s">
        <v>275</v>
      </c>
      <c r="F72" s="585">
        <v>4</v>
      </c>
      <c r="G72" s="585" t="s">
        <v>3099</v>
      </c>
      <c r="H72" s="567" t="str">
        <f t="shared" si="3"/>
        <v>사전NICE채무건전성등급코드</v>
      </c>
      <c r="I72" s="203"/>
      <c r="J72" s="323"/>
      <c r="K72" s="204"/>
      <c r="L72" s="126" t="s">
        <v>3172</v>
      </c>
      <c r="M72" s="126" t="s">
        <v>7094</v>
      </c>
      <c r="P72" s="126" t="str">
        <f t="shared" si="4"/>
        <v>R1074</v>
      </c>
    </row>
    <row r="73" spans="1:16" ht="20.100000000000001" customHeight="1">
      <c r="A73" s="585">
        <f t="shared" si="5"/>
        <v>70</v>
      </c>
      <c r="B73" s="565" t="s">
        <v>1905</v>
      </c>
      <c r="C73" s="586" t="s">
        <v>3173</v>
      </c>
      <c r="D73" s="600" t="s">
        <v>2085</v>
      </c>
      <c r="E73" s="595" t="s">
        <v>275</v>
      </c>
      <c r="F73" s="585">
        <v>4</v>
      </c>
      <c r="G73" s="585" t="s">
        <v>3099</v>
      </c>
      <c r="H73" s="567" t="str">
        <f t="shared" si="3"/>
        <v>실시간NICE채무건전성등급코드</v>
      </c>
      <c r="I73" s="203"/>
      <c r="J73" s="323"/>
      <c r="K73" s="204"/>
      <c r="L73" s="126" t="s">
        <v>3173</v>
      </c>
      <c r="M73" s="126" t="s">
        <v>7095</v>
      </c>
      <c r="P73" s="126" t="str">
        <f t="shared" si="4"/>
        <v>R0074</v>
      </c>
    </row>
    <row r="74" spans="1:16" ht="20.100000000000001" customHeight="1">
      <c r="A74" s="585">
        <f t="shared" si="5"/>
        <v>71</v>
      </c>
      <c r="B74" s="565" t="s">
        <v>1905</v>
      </c>
      <c r="C74" s="586" t="s">
        <v>3174</v>
      </c>
      <c r="D74" s="600" t="s">
        <v>2086</v>
      </c>
      <c r="E74" s="595" t="s">
        <v>275</v>
      </c>
      <c r="F74" s="585">
        <v>4</v>
      </c>
      <c r="G74" s="585" t="s">
        <v>3099</v>
      </c>
      <c r="H74" s="567" t="str">
        <f t="shared" ref="H74:H105" si="6">VLOOKUP(C74,$L$10:$N$135,2,FALSE)</f>
        <v>사전LGU고객신용등급코드</v>
      </c>
      <c r="I74" s="203"/>
      <c r="J74" s="323"/>
      <c r="K74" s="204"/>
      <c r="L74" s="126" t="s">
        <v>3174</v>
      </c>
      <c r="M74" s="126" t="s">
        <v>7096</v>
      </c>
      <c r="P74" s="126" t="str">
        <f t="shared" ref="P74:P105" si="7">VLOOKUP(L74,$C$11:$D$152,1,FALSE)</f>
        <v>R1075</v>
      </c>
    </row>
    <row r="75" spans="1:16" ht="20.100000000000001" customHeight="1">
      <c r="A75" s="585">
        <f t="shared" si="5"/>
        <v>72</v>
      </c>
      <c r="B75" s="565" t="s">
        <v>1905</v>
      </c>
      <c r="C75" s="586" t="s">
        <v>3175</v>
      </c>
      <c r="D75" s="600" t="s">
        <v>2087</v>
      </c>
      <c r="E75" s="595" t="s">
        <v>275</v>
      </c>
      <c r="F75" s="585">
        <v>4</v>
      </c>
      <c r="G75" s="585" t="s">
        <v>3099</v>
      </c>
      <c r="H75" s="567" t="str">
        <f t="shared" si="6"/>
        <v>실시간LGU고객신용등급코드</v>
      </c>
      <c r="I75" s="203"/>
      <c r="J75" s="323"/>
      <c r="K75" s="204"/>
      <c r="L75" s="126" t="s">
        <v>3175</v>
      </c>
      <c r="M75" s="126" t="s">
        <v>7097</v>
      </c>
      <c r="P75" s="126" t="str">
        <f t="shared" si="7"/>
        <v>R0075</v>
      </c>
    </row>
    <row r="76" spans="1:16" ht="20.100000000000001" customHeight="1">
      <c r="A76" s="585">
        <f t="shared" si="5"/>
        <v>73</v>
      </c>
      <c r="B76" s="565" t="s">
        <v>1905</v>
      </c>
      <c r="C76" s="586" t="s">
        <v>3176</v>
      </c>
      <c r="D76" s="604" t="s">
        <v>5198</v>
      </c>
      <c r="E76" s="595" t="s">
        <v>275</v>
      </c>
      <c r="F76" s="585">
        <v>2</v>
      </c>
      <c r="G76" s="585" t="s">
        <v>3099</v>
      </c>
      <c r="H76" s="567" t="str">
        <f t="shared" si="6"/>
        <v>사전KCB인덱스등급구분코드</v>
      </c>
      <c r="I76" s="203"/>
      <c r="J76" s="323"/>
      <c r="K76" s="204"/>
      <c r="L76" s="126" t="s">
        <v>3176</v>
      </c>
      <c r="M76" s="126" t="s">
        <v>7098</v>
      </c>
      <c r="P76" s="126" t="str">
        <f t="shared" si="7"/>
        <v>R1076</v>
      </c>
    </row>
    <row r="77" spans="1:16" ht="20.100000000000001" customHeight="1">
      <c r="A77" s="585">
        <f t="shared" si="5"/>
        <v>74</v>
      </c>
      <c r="B77" s="565" t="s">
        <v>1905</v>
      </c>
      <c r="C77" s="586" t="s">
        <v>3177</v>
      </c>
      <c r="D77" s="600" t="s">
        <v>2088</v>
      </c>
      <c r="E77" s="595" t="s">
        <v>275</v>
      </c>
      <c r="F77" s="585">
        <v>2</v>
      </c>
      <c r="G77" s="585" t="s">
        <v>3099</v>
      </c>
      <c r="H77" s="567" t="str">
        <f t="shared" si="6"/>
        <v>실시간KCB인덱스등급구분코드</v>
      </c>
      <c r="I77" s="203"/>
      <c r="J77" s="323"/>
      <c r="K77" s="204"/>
      <c r="L77" s="126" t="s">
        <v>3177</v>
      </c>
      <c r="M77" s="126" t="s">
        <v>7099</v>
      </c>
      <c r="P77" s="126" t="str">
        <f t="shared" si="7"/>
        <v>R0076</v>
      </c>
    </row>
    <row r="78" spans="1:16" ht="20.100000000000001" customHeight="1">
      <c r="A78" s="585">
        <f t="shared" si="5"/>
        <v>75</v>
      </c>
      <c r="B78" s="565" t="s">
        <v>1905</v>
      </c>
      <c r="C78" s="586" t="s">
        <v>2022</v>
      </c>
      <c r="D78" s="599" t="s">
        <v>2089</v>
      </c>
      <c r="E78" s="595" t="s">
        <v>275</v>
      </c>
      <c r="F78" s="585">
        <v>2</v>
      </c>
      <c r="G78" s="585" t="s">
        <v>3099</v>
      </c>
      <c r="H78" s="567" t="str">
        <f t="shared" si="6"/>
        <v>사전미래상환능력등급구분코드</v>
      </c>
      <c r="I78" s="203"/>
      <c r="J78" s="323"/>
      <c r="K78" s="204"/>
      <c r="L78" s="126" t="s">
        <v>2022</v>
      </c>
      <c r="M78" s="126" t="s">
        <v>7100</v>
      </c>
      <c r="P78" s="126" t="str">
        <f t="shared" si="7"/>
        <v>R1029</v>
      </c>
    </row>
    <row r="79" spans="1:16" ht="20.100000000000001" customHeight="1">
      <c r="A79" s="585">
        <f t="shared" si="5"/>
        <v>76</v>
      </c>
      <c r="B79" s="565" t="s">
        <v>1905</v>
      </c>
      <c r="C79" s="586" t="s">
        <v>1515</v>
      </c>
      <c r="D79" s="599" t="s">
        <v>2090</v>
      </c>
      <c r="E79" s="595" t="s">
        <v>275</v>
      </c>
      <c r="F79" s="585">
        <v>2</v>
      </c>
      <c r="G79" s="585" t="s">
        <v>3099</v>
      </c>
      <c r="H79" s="567" t="str">
        <f t="shared" si="6"/>
        <v>실시간미래상환능력등급구분코드</v>
      </c>
      <c r="I79" s="203"/>
      <c r="J79" s="323"/>
      <c r="K79" s="204"/>
      <c r="L79" s="126" t="s">
        <v>1515</v>
      </c>
      <c r="M79" s="126" t="s">
        <v>7101</v>
      </c>
      <c r="P79" s="126" t="str">
        <f t="shared" si="7"/>
        <v>R0029</v>
      </c>
    </row>
    <row r="80" spans="1:16" ht="20.100000000000001" customHeight="1">
      <c r="A80" s="585">
        <f t="shared" si="5"/>
        <v>77</v>
      </c>
      <c r="B80" s="565" t="s">
        <v>1905</v>
      </c>
      <c r="C80" s="586" t="s">
        <v>3178</v>
      </c>
      <c r="D80" s="600" t="s">
        <v>2091</v>
      </c>
      <c r="E80" s="595" t="s">
        <v>275</v>
      </c>
      <c r="F80" s="585">
        <v>2</v>
      </c>
      <c r="G80" s="585" t="s">
        <v>3099</v>
      </c>
      <c r="H80" s="567" t="str">
        <f t="shared" si="6"/>
        <v>사전R스코어신용등급코드</v>
      </c>
      <c r="I80" s="203"/>
      <c r="J80" s="323"/>
      <c r="K80" s="204"/>
      <c r="L80" s="126" t="s">
        <v>3178</v>
      </c>
      <c r="M80" s="126" t="s">
        <v>7102</v>
      </c>
      <c r="P80" s="126" t="str">
        <f t="shared" si="7"/>
        <v>R1077</v>
      </c>
    </row>
    <row r="81" spans="1:16" ht="20.100000000000001" customHeight="1">
      <c r="A81" s="585">
        <f t="shared" si="5"/>
        <v>78</v>
      </c>
      <c r="B81" s="565" t="s">
        <v>1905</v>
      </c>
      <c r="C81" s="586" t="s">
        <v>3179</v>
      </c>
      <c r="D81" s="600" t="s">
        <v>2092</v>
      </c>
      <c r="E81" s="595" t="s">
        <v>275</v>
      </c>
      <c r="F81" s="585">
        <v>2</v>
      </c>
      <c r="G81" s="585" t="s">
        <v>3099</v>
      </c>
      <c r="H81" s="567" t="str">
        <f t="shared" si="6"/>
        <v>실시간R스코어신용등급코드</v>
      </c>
      <c r="I81" s="203"/>
      <c r="J81" s="323"/>
      <c r="K81" s="204"/>
      <c r="L81" s="126" t="s">
        <v>3179</v>
      </c>
      <c r="M81" s="126" t="s">
        <v>7103</v>
      </c>
      <c r="P81" s="126" t="str">
        <f t="shared" si="7"/>
        <v>R0077</v>
      </c>
    </row>
    <row r="82" spans="1:16" ht="20.100000000000001" customHeight="1">
      <c r="A82" s="585">
        <f t="shared" si="5"/>
        <v>79</v>
      </c>
      <c r="B82" s="565" t="s">
        <v>1905</v>
      </c>
      <c r="C82" s="586" t="s">
        <v>3180</v>
      </c>
      <c r="D82" s="599" t="s">
        <v>2093</v>
      </c>
      <c r="E82" s="588" t="s">
        <v>279</v>
      </c>
      <c r="F82" s="585">
        <v>15</v>
      </c>
      <c r="G82" s="585" t="s">
        <v>3099</v>
      </c>
      <c r="H82" s="567" t="str">
        <f t="shared" si="6"/>
        <v>사전모범규준원리금상환금액1</v>
      </c>
      <c r="I82" s="203"/>
      <c r="J82" s="323"/>
      <c r="K82" s="204"/>
      <c r="L82" s="126" t="s">
        <v>3180</v>
      </c>
      <c r="M82" s="126" t="s">
        <v>7104</v>
      </c>
      <c r="P82" s="126" t="str">
        <f t="shared" si="7"/>
        <v>R1078</v>
      </c>
    </row>
    <row r="83" spans="1:16" ht="20.100000000000001" customHeight="1">
      <c r="A83" s="585">
        <f t="shared" si="5"/>
        <v>80</v>
      </c>
      <c r="B83" s="565" t="s">
        <v>1905</v>
      </c>
      <c r="C83" s="586" t="s">
        <v>3181</v>
      </c>
      <c r="D83" s="599" t="s">
        <v>2094</v>
      </c>
      <c r="E83" s="588" t="s">
        <v>279</v>
      </c>
      <c r="F83" s="585">
        <v>15</v>
      </c>
      <c r="G83" s="585" t="s">
        <v>3099</v>
      </c>
      <c r="H83" s="567" t="str">
        <f t="shared" si="6"/>
        <v>실시간모범규준원리금상환금액1</v>
      </c>
      <c r="I83" s="203"/>
      <c r="J83" s="323"/>
      <c r="K83" s="204"/>
      <c r="L83" s="126" t="s">
        <v>3181</v>
      </c>
      <c r="M83" s="126" t="s">
        <v>7105</v>
      </c>
      <c r="P83" s="126" t="str">
        <f t="shared" si="7"/>
        <v>R0078</v>
      </c>
    </row>
    <row r="84" spans="1:16" ht="20.100000000000001" customHeight="1">
      <c r="A84" s="585">
        <f t="shared" si="5"/>
        <v>81</v>
      </c>
      <c r="B84" s="565" t="s">
        <v>1905</v>
      </c>
      <c r="C84" s="586" t="s">
        <v>3182</v>
      </c>
      <c r="D84" s="599" t="s">
        <v>2095</v>
      </c>
      <c r="E84" s="595" t="s">
        <v>275</v>
      </c>
      <c r="F84" s="585">
        <v>1</v>
      </c>
      <c r="G84" s="585" t="s">
        <v>3099</v>
      </c>
      <c r="H84" s="567" t="str">
        <f t="shared" si="6"/>
        <v>사전다중채무대상여부</v>
      </c>
      <c r="I84" s="203"/>
      <c r="J84" s="323"/>
      <c r="K84" s="204"/>
      <c r="L84" s="126" t="s">
        <v>3182</v>
      </c>
      <c r="M84" s="126" t="s">
        <v>2885</v>
      </c>
      <c r="P84" s="126" t="str">
        <f t="shared" si="7"/>
        <v>R1079</v>
      </c>
    </row>
    <row r="85" spans="1:16" ht="20.100000000000001" customHeight="1">
      <c r="A85" s="585">
        <f t="shared" si="5"/>
        <v>82</v>
      </c>
      <c r="B85" s="565" t="s">
        <v>1905</v>
      </c>
      <c r="C85" s="586" t="s">
        <v>3183</v>
      </c>
      <c r="D85" s="599" t="s">
        <v>2096</v>
      </c>
      <c r="E85" s="595" t="s">
        <v>275</v>
      </c>
      <c r="F85" s="585">
        <v>1</v>
      </c>
      <c r="G85" s="585" t="s">
        <v>3099</v>
      </c>
      <c r="H85" s="567" t="str">
        <f t="shared" si="6"/>
        <v>실시간다중채무대상여부</v>
      </c>
      <c r="I85" s="203"/>
      <c r="J85" s="323"/>
      <c r="K85" s="204"/>
      <c r="L85" s="126" t="s">
        <v>3183</v>
      </c>
      <c r="M85" s="126" t="s">
        <v>7106</v>
      </c>
      <c r="P85" s="126" t="str">
        <f t="shared" si="7"/>
        <v>R0079</v>
      </c>
    </row>
    <row r="86" spans="1:16" ht="20.100000000000001" customHeight="1">
      <c r="A86" s="585">
        <f t="shared" si="5"/>
        <v>83</v>
      </c>
      <c r="B86" s="565" t="s">
        <v>1905</v>
      </c>
      <c r="C86" s="586" t="s">
        <v>3184</v>
      </c>
      <c r="D86" s="599" t="s">
        <v>2097</v>
      </c>
      <c r="E86" s="595" t="s">
        <v>275</v>
      </c>
      <c r="F86" s="585">
        <v>2</v>
      </c>
      <c r="G86" s="585" t="s">
        <v>3099</v>
      </c>
      <c r="H86" s="567" t="str">
        <f t="shared" si="6"/>
        <v>사전다중채무자그룹구분코드</v>
      </c>
      <c r="I86" s="203"/>
      <c r="J86" s="323"/>
      <c r="K86" s="204"/>
      <c r="L86" s="126" t="s">
        <v>3184</v>
      </c>
      <c r="M86" s="126" t="s">
        <v>7107</v>
      </c>
      <c r="P86" s="126" t="str">
        <f t="shared" si="7"/>
        <v>R1080</v>
      </c>
    </row>
    <row r="87" spans="1:16" ht="20.100000000000001" customHeight="1">
      <c r="A87" s="585">
        <f t="shared" si="5"/>
        <v>84</v>
      </c>
      <c r="B87" s="565" t="s">
        <v>1905</v>
      </c>
      <c r="C87" s="586" t="s">
        <v>3185</v>
      </c>
      <c r="D87" s="599" t="s">
        <v>2098</v>
      </c>
      <c r="E87" s="595" t="s">
        <v>275</v>
      </c>
      <c r="F87" s="585">
        <v>2</v>
      </c>
      <c r="G87" s="585" t="s">
        <v>3099</v>
      </c>
      <c r="H87" s="567" t="str">
        <f t="shared" si="6"/>
        <v>실시간다중채무자그룹구분코드</v>
      </c>
      <c r="I87" s="203"/>
      <c r="J87" s="323"/>
      <c r="K87" s="204"/>
      <c r="L87" s="126" t="s">
        <v>3185</v>
      </c>
      <c r="M87" s="126" t="s">
        <v>7108</v>
      </c>
      <c r="P87" s="126" t="str">
        <f t="shared" si="7"/>
        <v>R0080</v>
      </c>
    </row>
    <row r="88" spans="1:16" ht="20.100000000000001" customHeight="1">
      <c r="A88" s="585">
        <f t="shared" si="5"/>
        <v>85</v>
      </c>
      <c r="B88" s="565" t="s">
        <v>1905</v>
      </c>
      <c r="C88" s="586" t="s">
        <v>3186</v>
      </c>
      <c r="D88" s="600" t="s">
        <v>2099</v>
      </c>
      <c r="E88" s="595" t="s">
        <v>275</v>
      </c>
      <c r="F88" s="585">
        <v>2</v>
      </c>
      <c r="G88" s="585" t="s">
        <v>3099</v>
      </c>
      <c r="H88" s="567" t="str">
        <f t="shared" si="6"/>
        <v>사전리스크세그먼트4구분코드</v>
      </c>
      <c r="I88" s="203"/>
      <c r="J88" s="323"/>
      <c r="K88" s="204"/>
      <c r="L88" s="126" t="s">
        <v>3186</v>
      </c>
      <c r="M88" s="126" t="s">
        <v>7109</v>
      </c>
      <c r="P88" s="126" t="str">
        <f t="shared" si="7"/>
        <v>R1081</v>
      </c>
    </row>
    <row r="89" spans="1:16" ht="20.100000000000001" customHeight="1">
      <c r="A89" s="585">
        <f t="shared" si="5"/>
        <v>86</v>
      </c>
      <c r="B89" s="565" t="s">
        <v>1905</v>
      </c>
      <c r="C89" s="586" t="s">
        <v>3138</v>
      </c>
      <c r="D89" s="600" t="s">
        <v>2100</v>
      </c>
      <c r="E89" s="595" t="s">
        <v>275</v>
      </c>
      <c r="F89" s="585">
        <v>2</v>
      </c>
      <c r="G89" s="605" t="s">
        <v>3099</v>
      </c>
      <c r="H89" s="567" t="str">
        <f t="shared" si="6"/>
        <v>실시간리스크세그먼트4구분코드</v>
      </c>
      <c r="I89" s="203"/>
      <c r="J89" s="323"/>
      <c r="K89" s="204"/>
      <c r="L89" s="126" t="s">
        <v>3138</v>
      </c>
      <c r="M89" s="126" t="s">
        <v>7110</v>
      </c>
      <c r="P89" s="126" t="str">
        <f t="shared" si="7"/>
        <v>R0081</v>
      </c>
    </row>
    <row r="90" spans="1:16" ht="20.100000000000001" customHeight="1">
      <c r="A90" s="585">
        <f t="shared" si="5"/>
        <v>87</v>
      </c>
      <c r="B90" s="565" t="s">
        <v>1905</v>
      </c>
      <c r="C90" s="586" t="s">
        <v>3187</v>
      </c>
      <c r="D90" s="599" t="s">
        <v>2101</v>
      </c>
      <c r="E90" s="588" t="s">
        <v>279</v>
      </c>
      <c r="F90" s="585">
        <v>15</v>
      </c>
      <c r="G90" s="585" t="s">
        <v>3099</v>
      </c>
      <c r="H90" s="567" t="str">
        <f t="shared" si="6"/>
        <v>사전대출수요우대조정금액</v>
      </c>
      <c r="I90" s="203"/>
      <c r="J90" s="323"/>
      <c r="K90" s="204"/>
      <c r="L90" s="126" t="s">
        <v>3187</v>
      </c>
      <c r="M90" s="126" t="s">
        <v>7111</v>
      </c>
      <c r="P90" s="126" t="str">
        <f t="shared" si="7"/>
        <v>R1082</v>
      </c>
    </row>
    <row r="91" spans="1:16" ht="20.100000000000001" customHeight="1">
      <c r="A91" s="585">
        <f t="shared" si="5"/>
        <v>88</v>
      </c>
      <c r="B91" s="565" t="s">
        <v>1905</v>
      </c>
      <c r="C91" s="586" t="s">
        <v>3188</v>
      </c>
      <c r="D91" s="599" t="s">
        <v>2102</v>
      </c>
      <c r="E91" s="588" t="s">
        <v>279</v>
      </c>
      <c r="F91" s="585">
        <v>15</v>
      </c>
      <c r="G91" s="585" t="s">
        <v>3099</v>
      </c>
      <c r="H91" s="567" t="str">
        <f t="shared" si="6"/>
        <v>실시간대출수요우대조정금액</v>
      </c>
      <c r="I91" s="203"/>
      <c r="J91" s="323"/>
      <c r="K91" s="204"/>
      <c r="L91" s="126" t="s">
        <v>3188</v>
      </c>
      <c r="M91" s="126" t="s">
        <v>7112</v>
      </c>
      <c r="P91" s="126" t="str">
        <f t="shared" si="7"/>
        <v>R0082</v>
      </c>
    </row>
    <row r="92" spans="1:16" ht="20.100000000000001" customHeight="1">
      <c r="A92" s="585">
        <f t="shared" si="5"/>
        <v>89</v>
      </c>
      <c r="B92" s="565" t="s">
        <v>1905</v>
      </c>
      <c r="C92" s="586" t="s">
        <v>3189</v>
      </c>
      <c r="D92" s="599" t="s">
        <v>2103</v>
      </c>
      <c r="E92" s="588" t="s">
        <v>279</v>
      </c>
      <c r="F92" s="585">
        <v>15</v>
      </c>
      <c r="G92" s="585" t="s">
        <v>3099</v>
      </c>
      <c r="H92" s="567" t="str">
        <f t="shared" si="6"/>
        <v>사전카드론잔액보유조정금액</v>
      </c>
      <c r="I92" s="203"/>
      <c r="J92" s="323"/>
      <c r="K92" s="204"/>
      <c r="L92" s="126" t="s">
        <v>3189</v>
      </c>
      <c r="M92" s="126" t="s">
        <v>7113</v>
      </c>
      <c r="P92" s="126" t="str">
        <f t="shared" si="7"/>
        <v>R1083</v>
      </c>
    </row>
    <row r="93" spans="1:16" ht="20.100000000000001" customHeight="1">
      <c r="A93" s="585">
        <f t="shared" si="5"/>
        <v>90</v>
      </c>
      <c r="B93" s="565" t="s">
        <v>1905</v>
      </c>
      <c r="C93" s="586" t="s">
        <v>3190</v>
      </c>
      <c r="D93" s="599" t="s">
        <v>2104</v>
      </c>
      <c r="E93" s="588" t="s">
        <v>279</v>
      </c>
      <c r="F93" s="585">
        <v>15</v>
      </c>
      <c r="G93" s="585" t="s">
        <v>3099</v>
      </c>
      <c r="H93" s="567" t="str">
        <f t="shared" si="6"/>
        <v>실시간카드론잔액보유조정금액</v>
      </c>
      <c r="I93" s="203"/>
      <c r="J93" s="323"/>
      <c r="K93" s="204"/>
      <c r="L93" s="126" t="s">
        <v>3190</v>
      </c>
      <c r="M93" s="126" t="s">
        <v>7114</v>
      </c>
      <c r="P93" s="126" t="str">
        <f t="shared" si="7"/>
        <v>R0083</v>
      </c>
    </row>
    <row r="94" spans="1:16" ht="20.100000000000001" customHeight="1">
      <c r="A94" s="585">
        <f t="shared" si="5"/>
        <v>91</v>
      </c>
      <c r="B94" s="565" t="s">
        <v>1905</v>
      </c>
      <c r="C94" s="586" t="s">
        <v>3191</v>
      </c>
      <c r="D94" s="599" t="s">
        <v>2105</v>
      </c>
      <c r="E94" s="588" t="s">
        <v>279</v>
      </c>
      <c r="F94" s="585">
        <v>15</v>
      </c>
      <c r="G94" s="585" t="s">
        <v>3099</v>
      </c>
      <c r="H94" s="567" t="str">
        <f t="shared" si="6"/>
        <v>사전등급최대한도기초금액</v>
      </c>
      <c r="I94" s="203"/>
      <c r="J94" s="323"/>
      <c r="K94" s="204"/>
      <c r="L94" s="126" t="s">
        <v>3191</v>
      </c>
      <c r="M94" s="126" t="s">
        <v>7115</v>
      </c>
      <c r="P94" s="126" t="str">
        <f t="shared" si="7"/>
        <v>R1084</v>
      </c>
    </row>
    <row r="95" spans="1:16" ht="20.100000000000001" customHeight="1">
      <c r="A95" s="585">
        <f t="shared" si="5"/>
        <v>92</v>
      </c>
      <c r="B95" s="565" t="s">
        <v>1905</v>
      </c>
      <c r="C95" s="586" t="s">
        <v>3192</v>
      </c>
      <c r="D95" s="599" t="s">
        <v>2106</v>
      </c>
      <c r="E95" s="588" t="s">
        <v>279</v>
      </c>
      <c r="F95" s="585">
        <v>15</v>
      </c>
      <c r="G95" s="585" t="s">
        <v>3099</v>
      </c>
      <c r="H95" s="567" t="e">
        <f t="shared" si="6"/>
        <v>#N/A</v>
      </c>
      <c r="I95" s="203"/>
      <c r="J95" s="323"/>
      <c r="K95" s="204"/>
      <c r="L95" s="126" t="s">
        <v>7116</v>
      </c>
      <c r="M95" s="126" t="s">
        <v>7117</v>
      </c>
      <c r="P95" s="126" t="e">
        <f t="shared" si="7"/>
        <v>#N/A</v>
      </c>
    </row>
    <row r="96" spans="1:16" ht="20.100000000000001" customHeight="1">
      <c r="A96" s="585">
        <f t="shared" si="5"/>
        <v>93</v>
      </c>
      <c r="B96" s="565" t="s">
        <v>1905</v>
      </c>
      <c r="C96" s="586" t="s">
        <v>3193</v>
      </c>
      <c r="D96" s="599" t="s">
        <v>2107</v>
      </c>
      <c r="E96" s="588" t="s">
        <v>279</v>
      </c>
      <c r="F96" s="585">
        <v>15</v>
      </c>
      <c r="G96" s="585" t="s">
        <v>3099</v>
      </c>
      <c r="H96" s="567" t="str">
        <f t="shared" si="6"/>
        <v>사전등급최대한도조정금액</v>
      </c>
      <c r="I96" s="203"/>
      <c r="J96" s="323"/>
      <c r="K96" s="204"/>
      <c r="L96" s="126" t="s">
        <v>3193</v>
      </c>
      <c r="M96" s="126" t="s">
        <v>7118</v>
      </c>
      <c r="P96" s="126" t="str">
        <f t="shared" si="7"/>
        <v>R1086</v>
      </c>
    </row>
    <row r="97" spans="1:16" ht="20.100000000000001" customHeight="1">
      <c r="A97" s="585">
        <f t="shared" si="5"/>
        <v>94</v>
      </c>
      <c r="B97" s="565" t="s">
        <v>1905</v>
      </c>
      <c r="C97" s="586" t="s">
        <v>3194</v>
      </c>
      <c r="D97" s="599" t="s">
        <v>2108</v>
      </c>
      <c r="E97" s="588" t="s">
        <v>279</v>
      </c>
      <c r="F97" s="585">
        <v>15</v>
      </c>
      <c r="G97" s="585" t="s">
        <v>3099</v>
      </c>
      <c r="H97" s="567" t="str">
        <f t="shared" si="6"/>
        <v>실시간등급최대한도조정금액</v>
      </c>
      <c r="I97" s="203"/>
      <c r="J97" s="323"/>
      <c r="K97" s="204"/>
      <c r="L97" s="126" t="s">
        <v>3194</v>
      </c>
      <c r="M97" s="126" t="s">
        <v>7119</v>
      </c>
      <c r="P97" s="126" t="str">
        <f t="shared" si="7"/>
        <v>R0086</v>
      </c>
    </row>
    <row r="98" spans="1:16" ht="20.100000000000001" customHeight="1">
      <c r="A98" s="585">
        <f t="shared" si="5"/>
        <v>95</v>
      </c>
      <c r="B98" s="565" t="s">
        <v>1905</v>
      </c>
      <c r="C98" s="586" t="s">
        <v>2023</v>
      </c>
      <c r="D98" s="596" t="s">
        <v>2109</v>
      </c>
      <c r="E98" s="588" t="s">
        <v>279</v>
      </c>
      <c r="F98" s="585">
        <v>15</v>
      </c>
      <c r="G98" s="598" t="s">
        <v>3099</v>
      </c>
      <c r="H98" s="567" t="str">
        <f t="shared" si="6"/>
        <v>사전CB등급최대대출가능금액</v>
      </c>
      <c r="I98" s="203"/>
      <c r="J98" s="323"/>
      <c r="K98" s="204"/>
      <c r="L98" s="126" t="s">
        <v>2023</v>
      </c>
      <c r="M98" s="126" t="s">
        <v>7120</v>
      </c>
      <c r="P98" s="126" t="str">
        <f t="shared" si="7"/>
        <v>R1030</v>
      </c>
    </row>
    <row r="99" spans="1:16" ht="20.100000000000001" customHeight="1">
      <c r="A99" s="585">
        <f t="shared" si="5"/>
        <v>96</v>
      </c>
      <c r="B99" s="565" t="s">
        <v>1905</v>
      </c>
      <c r="C99" s="586" t="s">
        <v>1968</v>
      </c>
      <c r="D99" s="596" t="s">
        <v>2110</v>
      </c>
      <c r="E99" s="588" t="s">
        <v>279</v>
      </c>
      <c r="F99" s="585">
        <v>15</v>
      </c>
      <c r="G99" s="598" t="s">
        <v>3099</v>
      </c>
      <c r="H99" s="567" t="str">
        <f t="shared" si="6"/>
        <v>실시간CB등급최대대출가능금액</v>
      </c>
      <c r="I99" s="203"/>
      <c r="J99" s="323"/>
      <c r="K99" s="204"/>
      <c r="L99" s="126" t="s">
        <v>1968</v>
      </c>
      <c r="M99" s="126" t="s">
        <v>7121</v>
      </c>
      <c r="P99" s="126" t="str">
        <f t="shared" si="7"/>
        <v>R0030</v>
      </c>
    </row>
    <row r="100" spans="1:16" ht="20.100000000000001" customHeight="1">
      <c r="A100" s="564">
        <f t="shared" si="5"/>
        <v>97</v>
      </c>
      <c r="B100" s="565" t="s">
        <v>1905</v>
      </c>
      <c r="C100" s="606" t="s">
        <v>2024</v>
      </c>
      <c r="D100" s="601" t="s">
        <v>2111</v>
      </c>
      <c r="E100" s="607" t="s">
        <v>279</v>
      </c>
      <c r="F100" s="564">
        <v>15</v>
      </c>
      <c r="G100" s="564" t="s">
        <v>3099</v>
      </c>
      <c r="H100" s="567" t="str">
        <f t="shared" si="6"/>
        <v>카드론잔액</v>
      </c>
      <c r="I100" s="206" t="s">
        <v>3196</v>
      </c>
      <c r="J100" s="323"/>
      <c r="K100" s="204"/>
      <c r="L100" s="126" t="s">
        <v>2024</v>
      </c>
      <c r="M100" s="126" t="s">
        <v>2249</v>
      </c>
      <c r="P100" s="126" t="str">
        <f t="shared" si="7"/>
        <v>R0048</v>
      </c>
    </row>
    <row r="101" spans="1:16" ht="20.100000000000001" customHeight="1">
      <c r="A101" s="564">
        <f t="shared" si="5"/>
        <v>98</v>
      </c>
      <c r="B101" s="565" t="s">
        <v>1905</v>
      </c>
      <c r="C101" s="606" t="s">
        <v>2025</v>
      </c>
      <c r="D101" s="601" t="s">
        <v>2112</v>
      </c>
      <c r="E101" s="607" t="s">
        <v>279</v>
      </c>
      <c r="F101" s="564">
        <v>15</v>
      </c>
      <c r="G101" s="564" t="s">
        <v>3099</v>
      </c>
      <c r="H101" s="567" t="str">
        <f t="shared" si="6"/>
        <v>일반대출잔액</v>
      </c>
      <c r="I101" s="206" t="s">
        <v>3196</v>
      </c>
      <c r="J101" s="323"/>
      <c r="K101" s="204"/>
      <c r="L101" s="126" t="s">
        <v>2025</v>
      </c>
      <c r="M101" s="126" t="s">
        <v>7122</v>
      </c>
      <c r="P101" s="126" t="str">
        <f t="shared" si="7"/>
        <v>R0049</v>
      </c>
    </row>
    <row r="102" spans="1:16" ht="20.100000000000001" customHeight="1">
      <c r="A102" s="564">
        <f t="shared" si="5"/>
        <v>99</v>
      </c>
      <c r="B102" s="565" t="s">
        <v>1905</v>
      </c>
      <c r="C102" s="606" t="s">
        <v>2026</v>
      </c>
      <c r="D102" s="608" t="s">
        <v>7170</v>
      </c>
      <c r="E102" s="609" t="s">
        <v>279</v>
      </c>
      <c r="F102" s="610">
        <v>15</v>
      </c>
      <c r="G102" s="610" t="s">
        <v>3099</v>
      </c>
      <c r="H102" s="611" t="str">
        <f t="shared" si="6"/>
        <v>인정소득금액</v>
      </c>
      <c r="I102" s="497" t="s">
        <v>3196</v>
      </c>
      <c r="J102" s="323"/>
      <c r="K102" s="204"/>
      <c r="L102" s="126" t="s">
        <v>2026</v>
      </c>
      <c r="M102" s="126" t="s">
        <v>5223</v>
      </c>
      <c r="P102" s="126" t="str">
        <f t="shared" si="7"/>
        <v>R0050</v>
      </c>
    </row>
    <row r="103" spans="1:16" ht="20.100000000000001" customHeight="1">
      <c r="A103" s="564">
        <f t="shared" si="5"/>
        <v>100</v>
      </c>
      <c r="B103" s="565" t="s">
        <v>1905</v>
      </c>
      <c r="C103" s="606" t="s">
        <v>2027</v>
      </c>
      <c r="D103" s="601" t="s">
        <v>2113</v>
      </c>
      <c r="E103" s="607" t="s">
        <v>279</v>
      </c>
      <c r="F103" s="564">
        <v>15</v>
      </c>
      <c r="G103" s="564" t="s">
        <v>3099</v>
      </c>
      <c r="H103" s="567" t="str">
        <f t="shared" si="6"/>
        <v>KCIS원리금상환금액</v>
      </c>
      <c r="I103" s="206" t="s">
        <v>3196</v>
      </c>
      <c r="J103" s="323"/>
      <c r="K103" s="204"/>
      <c r="L103" s="126" t="s">
        <v>2027</v>
      </c>
      <c r="M103" s="126" t="s">
        <v>7123</v>
      </c>
      <c r="P103" s="126" t="str">
        <f t="shared" si="7"/>
        <v>R0051</v>
      </c>
    </row>
    <row r="104" spans="1:16" ht="20.100000000000001" customHeight="1">
      <c r="A104" s="564">
        <f t="shared" si="5"/>
        <v>101</v>
      </c>
      <c r="B104" s="565" t="s">
        <v>1905</v>
      </c>
      <c r="C104" s="606" t="s">
        <v>2028</v>
      </c>
      <c r="D104" s="601" t="s">
        <v>2114</v>
      </c>
      <c r="E104" s="607" t="s">
        <v>279</v>
      </c>
      <c r="F104" s="564">
        <v>15</v>
      </c>
      <c r="G104" s="564" t="s">
        <v>3099</v>
      </c>
      <c r="H104" s="567" t="str">
        <f t="shared" si="6"/>
        <v>금융감독원DSR제한분할한도금액</v>
      </c>
      <c r="I104" s="206" t="s">
        <v>3196</v>
      </c>
      <c r="J104" s="323"/>
      <c r="K104" s="204"/>
      <c r="L104" s="126" t="s">
        <v>2028</v>
      </c>
      <c r="M104" s="126" t="s">
        <v>7124</v>
      </c>
      <c r="P104" s="126" t="str">
        <f t="shared" si="7"/>
        <v>R0052</v>
      </c>
    </row>
    <row r="105" spans="1:16" ht="20.100000000000001" customHeight="1">
      <c r="A105" s="564">
        <f t="shared" si="5"/>
        <v>102</v>
      </c>
      <c r="B105" s="565" t="s">
        <v>1905</v>
      </c>
      <c r="C105" s="606" t="s">
        <v>3195</v>
      </c>
      <c r="D105" s="601" t="s">
        <v>2115</v>
      </c>
      <c r="E105" s="607" t="s">
        <v>279</v>
      </c>
      <c r="F105" s="564">
        <v>15</v>
      </c>
      <c r="G105" s="564" t="s">
        <v>3099</v>
      </c>
      <c r="H105" s="567" t="str">
        <f t="shared" si="6"/>
        <v>금융감독원DSR제한일시한도금액</v>
      </c>
      <c r="I105" s="206" t="s">
        <v>3196</v>
      </c>
      <c r="J105" s="323"/>
      <c r="K105" s="204"/>
      <c r="L105" s="126" t="s">
        <v>3195</v>
      </c>
      <c r="M105" s="126" t="s">
        <v>7125</v>
      </c>
      <c r="P105" s="126" t="str">
        <f t="shared" si="7"/>
        <v>R0053</v>
      </c>
    </row>
    <row r="106" spans="1:16" ht="20.100000000000001" customHeight="1">
      <c r="A106" s="564">
        <f t="shared" si="5"/>
        <v>103</v>
      </c>
      <c r="B106" s="565" t="s">
        <v>1703</v>
      </c>
      <c r="C106" s="606" t="s">
        <v>5190</v>
      </c>
      <c r="D106" s="612" t="s">
        <v>5191</v>
      </c>
      <c r="E106" s="607" t="s">
        <v>279</v>
      </c>
      <c r="F106" s="564">
        <v>15</v>
      </c>
      <c r="G106" s="564" t="s">
        <v>3099</v>
      </c>
      <c r="H106" s="567" t="e">
        <f t="shared" ref="H106:H137" si="8">VLOOKUP(C106,$L$10:$N$135,2,FALSE)</f>
        <v>#N/A</v>
      </c>
      <c r="I106" s="206"/>
      <c r="J106" s="323"/>
      <c r="K106" s="204"/>
      <c r="L106" s="126" t="s">
        <v>3948</v>
      </c>
      <c r="M106" s="126" t="s">
        <v>7126</v>
      </c>
      <c r="P106" s="126" t="str">
        <f t="shared" ref="P106:P135" si="9">VLOOKUP(L106,$C$11:$D$152,1,FALSE)</f>
        <v>R0088</v>
      </c>
    </row>
    <row r="107" spans="1:16" ht="20.100000000000001" customHeight="1">
      <c r="A107" s="564">
        <f t="shared" si="5"/>
        <v>104</v>
      </c>
      <c r="B107" s="565" t="s">
        <v>1703</v>
      </c>
      <c r="C107" s="613" t="s">
        <v>3948</v>
      </c>
      <c r="D107" s="556" t="s">
        <v>1327</v>
      </c>
      <c r="E107" s="595" t="s">
        <v>275</v>
      </c>
      <c r="F107" s="585">
        <v>1</v>
      </c>
      <c r="G107" s="564" t="s">
        <v>3099</v>
      </c>
      <c r="H107" s="567" t="str">
        <f t="shared" si="8"/>
        <v>주무부서예외승인여부</v>
      </c>
      <c r="I107" s="568"/>
      <c r="J107" s="323"/>
      <c r="K107" s="204"/>
      <c r="L107" s="126" t="s">
        <v>3949</v>
      </c>
      <c r="M107" s="126" t="s">
        <v>7127</v>
      </c>
      <c r="P107" s="126" t="str">
        <f t="shared" si="9"/>
        <v>R0089</v>
      </c>
    </row>
    <row r="108" spans="1:16" ht="20.100000000000001" customHeight="1">
      <c r="A108" s="564">
        <f t="shared" si="5"/>
        <v>105</v>
      </c>
      <c r="B108" s="565" t="s">
        <v>1703</v>
      </c>
      <c r="C108" s="613" t="s">
        <v>3949</v>
      </c>
      <c r="D108" s="556" t="s">
        <v>3950</v>
      </c>
      <c r="E108" s="607" t="s">
        <v>279</v>
      </c>
      <c r="F108" s="564">
        <v>15</v>
      </c>
      <c r="G108" s="564" t="s">
        <v>3099</v>
      </c>
      <c r="H108" s="567" t="str">
        <f t="shared" si="8"/>
        <v>건강보험공단스크래핑소득금액</v>
      </c>
      <c r="I108" s="568"/>
      <c r="J108" s="323"/>
      <c r="K108" s="204"/>
      <c r="L108" s="126" t="s">
        <v>3951</v>
      </c>
      <c r="M108" s="126" t="s">
        <v>7128</v>
      </c>
      <c r="P108" s="126" t="str">
        <f t="shared" si="9"/>
        <v>R0090</v>
      </c>
    </row>
    <row r="109" spans="1:16" ht="20.100000000000001" customHeight="1">
      <c r="A109" s="564">
        <f t="shared" si="5"/>
        <v>106</v>
      </c>
      <c r="B109" s="565" t="s">
        <v>1703</v>
      </c>
      <c r="C109" s="613" t="s">
        <v>3951</v>
      </c>
      <c r="D109" s="556" t="s">
        <v>3952</v>
      </c>
      <c r="E109" s="607" t="s">
        <v>279</v>
      </c>
      <c r="F109" s="564">
        <v>15</v>
      </c>
      <c r="G109" s="564" t="s">
        <v>3099</v>
      </c>
      <c r="H109" s="567" t="str">
        <f t="shared" si="8"/>
        <v>국세청스크래핑소득금액</v>
      </c>
      <c r="I109" s="568"/>
      <c r="J109" s="323"/>
      <c r="K109" s="204"/>
      <c r="L109" s="126" t="s">
        <v>3959</v>
      </c>
      <c r="M109" s="126" t="s">
        <v>7129</v>
      </c>
      <c r="P109" s="126" t="str">
        <f t="shared" si="9"/>
        <v>R0094</v>
      </c>
    </row>
    <row r="110" spans="1:16" ht="20.100000000000001" customHeight="1">
      <c r="A110" s="564">
        <f t="shared" si="5"/>
        <v>107</v>
      </c>
      <c r="B110" s="565" t="s">
        <v>1703</v>
      </c>
      <c r="C110" s="613" t="s">
        <v>3953</v>
      </c>
      <c r="D110" s="556" t="s">
        <v>3954</v>
      </c>
      <c r="E110" s="607" t="s">
        <v>279</v>
      </c>
      <c r="F110" s="564">
        <v>15</v>
      </c>
      <c r="G110" s="564" t="s">
        <v>3099</v>
      </c>
      <c r="H110" s="567" t="e">
        <f t="shared" si="8"/>
        <v>#N/A</v>
      </c>
      <c r="I110" s="568"/>
      <c r="J110" s="323"/>
      <c r="K110" s="204"/>
      <c r="L110" s="126" t="s">
        <v>3963</v>
      </c>
      <c r="M110" s="126" t="s">
        <v>7130</v>
      </c>
      <c r="P110" s="126" t="str">
        <f t="shared" si="9"/>
        <v>R1094</v>
      </c>
    </row>
    <row r="111" spans="1:16" ht="20.100000000000001" customHeight="1">
      <c r="A111" s="564">
        <f t="shared" si="5"/>
        <v>108</v>
      </c>
      <c r="B111" s="565" t="s">
        <v>1703</v>
      </c>
      <c r="C111" s="613" t="s">
        <v>3955</v>
      </c>
      <c r="D111" s="556" t="s">
        <v>3956</v>
      </c>
      <c r="E111" s="607" t="s">
        <v>279</v>
      </c>
      <c r="F111" s="564">
        <v>15</v>
      </c>
      <c r="G111" s="564" t="s">
        <v>3099</v>
      </c>
      <c r="H111" s="567" t="e">
        <f t="shared" si="8"/>
        <v>#N/A</v>
      </c>
      <c r="I111" s="568"/>
      <c r="J111" s="323"/>
      <c r="K111" s="204"/>
      <c r="L111" s="126" t="s">
        <v>3961</v>
      </c>
      <c r="M111" s="126" t="s">
        <v>7131</v>
      </c>
      <c r="P111" s="126" t="str">
        <f t="shared" si="9"/>
        <v>R0095</v>
      </c>
    </row>
    <row r="112" spans="1:16" ht="20.100000000000001" customHeight="1">
      <c r="A112" s="564">
        <f t="shared" si="5"/>
        <v>109</v>
      </c>
      <c r="B112" s="565" t="s">
        <v>1703</v>
      </c>
      <c r="C112" s="613" t="s">
        <v>3957</v>
      </c>
      <c r="D112" s="556" t="s">
        <v>3958</v>
      </c>
      <c r="E112" s="607" t="s">
        <v>279</v>
      </c>
      <c r="F112" s="564">
        <v>15</v>
      </c>
      <c r="G112" s="564" t="s">
        <v>3099</v>
      </c>
      <c r="H112" s="567" t="e">
        <f t="shared" si="8"/>
        <v>#N/A</v>
      </c>
      <c r="I112" s="568"/>
      <c r="J112" s="323"/>
      <c r="K112" s="204"/>
      <c r="L112" s="126" t="s">
        <v>3965</v>
      </c>
      <c r="M112" s="126" t="s">
        <v>7132</v>
      </c>
      <c r="P112" s="126" t="str">
        <f t="shared" si="9"/>
        <v>R1095</v>
      </c>
    </row>
    <row r="113" spans="1:16" ht="20.100000000000001" customHeight="1">
      <c r="A113" s="564">
        <f t="shared" si="5"/>
        <v>110</v>
      </c>
      <c r="B113" s="565" t="s">
        <v>1703</v>
      </c>
      <c r="C113" s="613" t="s">
        <v>3959</v>
      </c>
      <c r="D113" s="556" t="s">
        <v>3960</v>
      </c>
      <c r="E113" s="607" t="s">
        <v>279</v>
      </c>
      <c r="F113" s="564">
        <v>15</v>
      </c>
      <c r="G113" s="564" t="s">
        <v>3099</v>
      </c>
      <c r="H113" s="567" t="str">
        <f t="shared" si="8"/>
        <v>실시간KCB신용평점</v>
      </c>
      <c r="I113" s="568"/>
      <c r="J113" s="323"/>
      <c r="K113" s="204"/>
      <c r="L113" s="126" t="s">
        <v>3979</v>
      </c>
      <c r="M113" s="126" t="s">
        <v>7133</v>
      </c>
      <c r="P113" s="126" t="str">
        <f t="shared" si="9"/>
        <v>R0107</v>
      </c>
    </row>
    <row r="114" spans="1:16" ht="20.100000000000001" customHeight="1">
      <c r="A114" s="564">
        <f t="shared" si="5"/>
        <v>111</v>
      </c>
      <c r="B114" s="565" t="s">
        <v>1703</v>
      </c>
      <c r="C114" s="613" t="s">
        <v>3961</v>
      </c>
      <c r="D114" s="556" t="s">
        <v>3962</v>
      </c>
      <c r="E114" s="607" t="s">
        <v>279</v>
      </c>
      <c r="F114" s="564">
        <v>15</v>
      </c>
      <c r="G114" s="564" t="s">
        <v>3099</v>
      </c>
      <c r="H114" s="567" t="str">
        <f t="shared" si="8"/>
        <v>실시간NICE신용평점</v>
      </c>
      <c r="I114" s="568"/>
      <c r="J114" s="323"/>
      <c r="K114" s="204"/>
      <c r="L114" s="126" t="s">
        <v>3987</v>
      </c>
      <c r="M114" s="126" t="s">
        <v>6202</v>
      </c>
      <c r="P114" s="126" t="str">
        <f t="shared" si="9"/>
        <v>R0111</v>
      </c>
    </row>
    <row r="115" spans="1:16" ht="20.100000000000001" customHeight="1">
      <c r="A115" s="564">
        <f t="shared" si="5"/>
        <v>112</v>
      </c>
      <c r="B115" s="565" t="s">
        <v>1703</v>
      </c>
      <c r="C115" s="613" t="s">
        <v>3967</v>
      </c>
      <c r="D115" s="556" t="s">
        <v>3968</v>
      </c>
      <c r="E115" s="607" t="s">
        <v>279</v>
      </c>
      <c r="F115" s="564">
        <v>15</v>
      </c>
      <c r="G115" s="564" t="s">
        <v>3099</v>
      </c>
      <c r="H115" s="567" t="e">
        <f t="shared" si="8"/>
        <v>#N/A</v>
      </c>
      <c r="I115" s="568"/>
      <c r="J115" s="323"/>
      <c r="K115" s="204"/>
      <c r="L115" s="126" t="s">
        <v>3989</v>
      </c>
      <c r="M115" s="126" t="s">
        <v>5217</v>
      </c>
      <c r="P115" s="126" t="str">
        <f t="shared" si="9"/>
        <v>R0112</v>
      </c>
    </row>
    <row r="116" spans="1:16" ht="20.100000000000001" customHeight="1">
      <c r="A116" s="564">
        <f t="shared" si="5"/>
        <v>113</v>
      </c>
      <c r="B116" s="565" t="s">
        <v>1703</v>
      </c>
      <c r="C116" s="613" t="s">
        <v>3969</v>
      </c>
      <c r="D116" s="556" t="s">
        <v>3970</v>
      </c>
      <c r="E116" s="607" t="s">
        <v>279</v>
      </c>
      <c r="F116" s="564">
        <v>15</v>
      </c>
      <c r="G116" s="564" t="s">
        <v>3099</v>
      </c>
      <c r="H116" s="567" t="e">
        <f t="shared" si="8"/>
        <v>#N/A</v>
      </c>
      <c r="I116" s="568"/>
      <c r="J116" s="323"/>
      <c r="K116" s="204"/>
      <c r="L116" s="126" t="s">
        <v>4027</v>
      </c>
      <c r="M116" s="126" t="s">
        <v>7134</v>
      </c>
      <c r="P116" s="126" t="str">
        <f t="shared" si="9"/>
        <v>R0121</v>
      </c>
    </row>
    <row r="117" spans="1:16" ht="20.100000000000001" customHeight="1">
      <c r="A117" s="564">
        <f t="shared" si="5"/>
        <v>114</v>
      </c>
      <c r="B117" s="565" t="s">
        <v>1703</v>
      </c>
      <c r="C117" s="613" t="s">
        <v>3971</v>
      </c>
      <c r="D117" s="556" t="s">
        <v>3972</v>
      </c>
      <c r="E117" s="607" t="s">
        <v>279</v>
      </c>
      <c r="F117" s="564">
        <v>15</v>
      </c>
      <c r="G117" s="564" t="s">
        <v>3099</v>
      </c>
      <c r="H117" s="567" t="e">
        <f t="shared" si="8"/>
        <v>#N/A</v>
      </c>
      <c r="I117" s="568"/>
      <c r="J117" s="323"/>
      <c r="K117" s="204"/>
      <c r="L117" s="126" t="s">
        <v>7135</v>
      </c>
      <c r="M117" s="126" t="s">
        <v>7136</v>
      </c>
      <c r="P117" s="126" t="e">
        <f t="shared" si="9"/>
        <v>#N/A</v>
      </c>
    </row>
    <row r="118" spans="1:16" ht="20.100000000000001" customHeight="1">
      <c r="A118" s="564">
        <f t="shared" si="5"/>
        <v>115</v>
      </c>
      <c r="B118" s="565" t="s">
        <v>1703</v>
      </c>
      <c r="C118" s="613" t="s">
        <v>3973</v>
      </c>
      <c r="D118" s="556" t="s">
        <v>3974</v>
      </c>
      <c r="E118" s="607" t="s">
        <v>279</v>
      </c>
      <c r="F118" s="564">
        <v>15</v>
      </c>
      <c r="G118" s="564" t="s">
        <v>3099</v>
      </c>
      <c r="H118" s="567" t="e">
        <f t="shared" si="8"/>
        <v>#N/A</v>
      </c>
      <c r="I118" s="568"/>
      <c r="J118" s="323"/>
      <c r="K118" s="204"/>
      <c r="L118" s="126" t="s">
        <v>7137</v>
      </c>
      <c r="M118" s="126" t="s">
        <v>6229</v>
      </c>
      <c r="P118" s="126" t="e">
        <f t="shared" si="9"/>
        <v>#N/A</v>
      </c>
    </row>
    <row r="119" spans="1:16" ht="20.100000000000001" customHeight="1">
      <c r="A119" s="564">
        <f t="shared" si="5"/>
        <v>116</v>
      </c>
      <c r="B119" s="565" t="s">
        <v>1703</v>
      </c>
      <c r="C119" s="613" t="s">
        <v>3975</v>
      </c>
      <c r="D119" s="556" t="s">
        <v>3976</v>
      </c>
      <c r="E119" s="607" t="s">
        <v>279</v>
      </c>
      <c r="F119" s="564">
        <v>15</v>
      </c>
      <c r="G119" s="564" t="s">
        <v>3099</v>
      </c>
      <c r="H119" s="567" t="e">
        <f t="shared" si="8"/>
        <v>#N/A</v>
      </c>
      <c r="I119" s="568"/>
      <c r="J119" s="323"/>
      <c r="K119" s="204"/>
      <c r="L119" s="126" t="s">
        <v>7138</v>
      </c>
      <c r="M119" s="126" t="s">
        <v>7139</v>
      </c>
      <c r="P119" s="126" t="e">
        <f t="shared" si="9"/>
        <v>#N/A</v>
      </c>
    </row>
    <row r="120" spans="1:16" ht="20.100000000000001" customHeight="1">
      <c r="A120" s="564">
        <f t="shared" si="5"/>
        <v>117</v>
      </c>
      <c r="B120" s="565" t="s">
        <v>1703</v>
      </c>
      <c r="C120" s="613" t="s">
        <v>3977</v>
      </c>
      <c r="D120" s="556" t="s">
        <v>3978</v>
      </c>
      <c r="E120" s="607"/>
      <c r="F120" s="564"/>
      <c r="G120" s="564" t="s">
        <v>3099</v>
      </c>
      <c r="H120" s="567" t="e">
        <f t="shared" si="8"/>
        <v>#N/A</v>
      </c>
      <c r="I120" s="568"/>
      <c r="J120" s="323"/>
      <c r="K120" s="204"/>
      <c r="L120" s="126" t="s">
        <v>7140</v>
      </c>
      <c r="M120" s="126" t="s">
        <v>7141</v>
      </c>
      <c r="P120" s="126" t="e">
        <f t="shared" si="9"/>
        <v>#N/A</v>
      </c>
    </row>
    <row r="121" spans="1:16" ht="20.100000000000001" customHeight="1">
      <c r="A121" s="564">
        <f t="shared" si="5"/>
        <v>118</v>
      </c>
      <c r="B121" s="565" t="s">
        <v>1703</v>
      </c>
      <c r="C121" s="613" t="s">
        <v>3979</v>
      </c>
      <c r="D121" s="556" t="s">
        <v>3980</v>
      </c>
      <c r="E121" s="607"/>
      <c r="F121" s="564"/>
      <c r="G121" s="564" t="s">
        <v>3099</v>
      </c>
      <c r="H121" s="567" t="str">
        <f t="shared" si="8"/>
        <v>카드론우대대상구분코드</v>
      </c>
      <c r="I121" s="568"/>
      <c r="J121" s="323"/>
      <c r="K121" s="204"/>
      <c r="L121" s="126" t="s">
        <v>7142</v>
      </c>
      <c r="M121" s="126" t="s">
        <v>7143</v>
      </c>
      <c r="P121" s="126" t="e">
        <f t="shared" si="9"/>
        <v>#N/A</v>
      </c>
    </row>
    <row r="122" spans="1:16" ht="20.100000000000001" customHeight="1">
      <c r="A122" s="564">
        <f t="shared" si="5"/>
        <v>119</v>
      </c>
      <c r="B122" s="565" t="s">
        <v>1703</v>
      </c>
      <c r="C122" s="613" t="s">
        <v>3981</v>
      </c>
      <c r="D122" s="556" t="s">
        <v>3982</v>
      </c>
      <c r="E122" s="607"/>
      <c r="F122" s="564"/>
      <c r="G122" s="564" t="s">
        <v>3099</v>
      </c>
      <c r="H122" s="567" t="e">
        <f t="shared" si="8"/>
        <v>#N/A</v>
      </c>
      <c r="I122" s="568"/>
      <c r="J122" s="323"/>
      <c r="K122" s="204"/>
      <c r="L122" s="126" t="s">
        <v>7144</v>
      </c>
      <c r="M122" s="126" t="s">
        <v>7145</v>
      </c>
      <c r="P122" s="126" t="e">
        <f t="shared" si="9"/>
        <v>#N/A</v>
      </c>
    </row>
    <row r="123" spans="1:16" ht="20.100000000000001" customHeight="1">
      <c r="A123" s="564">
        <f t="shared" si="5"/>
        <v>120</v>
      </c>
      <c r="B123" s="565" t="s">
        <v>1703</v>
      </c>
      <c r="C123" s="613" t="s">
        <v>3983</v>
      </c>
      <c r="D123" s="556" t="s">
        <v>3984</v>
      </c>
      <c r="E123" s="607" t="s">
        <v>279</v>
      </c>
      <c r="F123" s="564">
        <v>15</v>
      </c>
      <c r="G123" s="564" t="s">
        <v>3099</v>
      </c>
      <c r="H123" s="567" t="e">
        <f t="shared" si="8"/>
        <v>#N/A</v>
      </c>
      <c r="I123" s="568"/>
      <c r="J123" s="323"/>
      <c r="K123" s="204"/>
      <c r="L123" s="126" t="s">
        <v>7146</v>
      </c>
      <c r="M123" s="126" t="s">
        <v>7147</v>
      </c>
      <c r="P123" s="126" t="e">
        <f t="shared" si="9"/>
        <v>#N/A</v>
      </c>
    </row>
    <row r="124" spans="1:16" ht="20.100000000000001" customHeight="1">
      <c r="A124" s="564">
        <f t="shared" si="5"/>
        <v>121</v>
      </c>
      <c r="B124" s="565" t="s">
        <v>1703</v>
      </c>
      <c r="C124" s="613" t="s">
        <v>3985</v>
      </c>
      <c r="D124" s="556" t="s">
        <v>3986</v>
      </c>
      <c r="E124" s="607" t="s">
        <v>279</v>
      </c>
      <c r="F124" s="564">
        <v>15</v>
      </c>
      <c r="G124" s="564" t="s">
        <v>3099</v>
      </c>
      <c r="H124" s="567" t="e">
        <f t="shared" si="8"/>
        <v>#N/A</v>
      </c>
      <c r="I124" s="568"/>
      <c r="J124" s="323"/>
      <c r="K124" s="204"/>
      <c r="L124" s="126" t="s">
        <v>7148</v>
      </c>
      <c r="M124" s="126" t="s">
        <v>6227</v>
      </c>
      <c r="P124" s="126" t="e">
        <f t="shared" si="9"/>
        <v>#N/A</v>
      </c>
    </row>
    <row r="125" spans="1:16" ht="20.100000000000001" customHeight="1">
      <c r="A125" s="564">
        <f t="shared" si="5"/>
        <v>122</v>
      </c>
      <c r="B125" s="565" t="s">
        <v>1703</v>
      </c>
      <c r="C125" s="613" t="s">
        <v>3987</v>
      </c>
      <c r="D125" s="556" t="s">
        <v>3988</v>
      </c>
      <c r="E125" s="607" t="s">
        <v>279</v>
      </c>
      <c r="F125" s="564">
        <v>15</v>
      </c>
      <c r="G125" s="564" t="s">
        <v>3099</v>
      </c>
      <c r="H125" s="567" t="str">
        <f t="shared" si="8"/>
        <v>부채합계금액</v>
      </c>
      <c r="I125" s="614" t="s">
        <v>7174</v>
      </c>
      <c r="J125" s="323"/>
      <c r="K125" s="204"/>
      <c r="L125" s="126" t="s">
        <v>7149</v>
      </c>
      <c r="M125" s="126" t="s">
        <v>7150</v>
      </c>
      <c r="P125" s="126" t="e">
        <f t="shared" si="9"/>
        <v>#N/A</v>
      </c>
    </row>
    <row r="126" spans="1:16" ht="20.100000000000001" customHeight="1">
      <c r="A126" s="564">
        <f t="shared" si="5"/>
        <v>123</v>
      </c>
      <c r="B126" s="565" t="s">
        <v>1703</v>
      </c>
      <c r="C126" s="613" t="s">
        <v>3989</v>
      </c>
      <c r="D126" s="615" t="s">
        <v>3990</v>
      </c>
      <c r="E126" s="607"/>
      <c r="F126" s="564"/>
      <c r="G126" s="610" t="s">
        <v>3099</v>
      </c>
      <c r="H126" s="611" t="str">
        <f t="shared" si="8"/>
        <v>DSR관리대상여부</v>
      </c>
      <c r="I126" s="497" t="s">
        <v>3196</v>
      </c>
      <c r="J126" s="323" t="s">
        <v>7173</v>
      </c>
      <c r="K126" s="204"/>
      <c r="L126" s="126" t="s">
        <v>7151</v>
      </c>
      <c r="M126" s="126" t="s">
        <v>5621</v>
      </c>
      <c r="P126" s="126" t="e">
        <f t="shared" si="9"/>
        <v>#N/A</v>
      </c>
    </row>
    <row r="127" spans="1:16" ht="20.100000000000001" customHeight="1">
      <c r="A127" s="564">
        <f t="shared" si="5"/>
        <v>124</v>
      </c>
      <c r="B127" s="565" t="s">
        <v>1703</v>
      </c>
      <c r="C127" s="613" t="s">
        <v>3991</v>
      </c>
      <c r="D127" s="556" t="s">
        <v>3992</v>
      </c>
      <c r="E127" s="607" t="s">
        <v>279</v>
      </c>
      <c r="F127" s="564">
        <v>15</v>
      </c>
      <c r="G127" s="564" t="s">
        <v>3099</v>
      </c>
      <c r="H127" s="567" t="e">
        <f t="shared" si="8"/>
        <v>#N/A</v>
      </c>
      <c r="I127" s="568"/>
      <c r="J127" s="323"/>
      <c r="K127" s="204"/>
      <c r="L127" s="126" t="s">
        <v>7152</v>
      </c>
      <c r="M127" s="126" t="s">
        <v>7153</v>
      </c>
      <c r="P127" s="126" t="e">
        <f t="shared" si="9"/>
        <v>#N/A</v>
      </c>
    </row>
    <row r="128" spans="1:16" ht="20.100000000000001" customHeight="1">
      <c r="A128" s="564">
        <f t="shared" si="5"/>
        <v>125</v>
      </c>
      <c r="B128" s="565" t="s">
        <v>1703</v>
      </c>
      <c r="C128" s="613" t="s">
        <v>3993</v>
      </c>
      <c r="D128" s="556" t="s">
        <v>3994</v>
      </c>
      <c r="E128" s="607" t="s">
        <v>279</v>
      </c>
      <c r="F128" s="564">
        <v>15</v>
      </c>
      <c r="G128" s="564" t="s">
        <v>3099</v>
      </c>
      <c r="H128" s="567" t="e">
        <f t="shared" si="8"/>
        <v>#N/A</v>
      </c>
      <c r="I128" s="568"/>
      <c r="J128" s="323"/>
      <c r="K128" s="204"/>
      <c r="L128" s="126" t="s">
        <v>7154</v>
      </c>
      <c r="M128" s="126" t="s">
        <v>7155</v>
      </c>
      <c r="P128" s="126" t="e">
        <f t="shared" si="9"/>
        <v>#N/A</v>
      </c>
    </row>
    <row r="129" spans="1:16" ht="20.100000000000001" customHeight="1">
      <c r="A129" s="564">
        <f t="shared" si="5"/>
        <v>126</v>
      </c>
      <c r="B129" s="565" t="s">
        <v>1703</v>
      </c>
      <c r="C129" s="613" t="s">
        <v>3995</v>
      </c>
      <c r="D129" s="556" t="s">
        <v>3996</v>
      </c>
      <c r="E129" s="607" t="s">
        <v>279</v>
      </c>
      <c r="F129" s="564">
        <v>15</v>
      </c>
      <c r="G129" s="564" t="s">
        <v>3099</v>
      </c>
      <c r="H129" s="567" t="e">
        <f t="shared" si="8"/>
        <v>#N/A</v>
      </c>
      <c r="I129" s="568"/>
      <c r="J129" s="323"/>
      <c r="K129" s="204"/>
      <c r="L129" s="126" t="s">
        <v>7156</v>
      </c>
      <c r="M129" s="126" t="s">
        <v>7157</v>
      </c>
      <c r="P129" s="126" t="e">
        <f t="shared" si="9"/>
        <v>#N/A</v>
      </c>
    </row>
    <row r="130" spans="1:16" ht="20.100000000000001" customHeight="1">
      <c r="A130" s="564">
        <f t="shared" si="5"/>
        <v>127</v>
      </c>
      <c r="B130" s="565" t="s">
        <v>1703</v>
      </c>
      <c r="C130" s="613" t="s">
        <v>3997</v>
      </c>
      <c r="D130" s="556" t="s">
        <v>3998</v>
      </c>
      <c r="E130" s="607" t="s">
        <v>279</v>
      </c>
      <c r="F130" s="564">
        <v>15</v>
      </c>
      <c r="G130" s="564" t="s">
        <v>3099</v>
      </c>
      <c r="H130" s="567" t="e">
        <f t="shared" si="8"/>
        <v>#N/A</v>
      </c>
      <c r="I130" s="568"/>
      <c r="J130" s="323"/>
      <c r="K130" s="204"/>
      <c r="L130" s="126" t="s">
        <v>7158</v>
      </c>
      <c r="M130" s="126" t="s">
        <v>5620</v>
      </c>
      <c r="P130" s="126" t="e">
        <f t="shared" si="9"/>
        <v>#N/A</v>
      </c>
    </row>
    <row r="131" spans="1:16" ht="20.100000000000001" customHeight="1">
      <c r="A131" s="564">
        <f t="shared" ref="A131:A152" si="10">ROW()-3</f>
        <v>128</v>
      </c>
      <c r="B131" s="565" t="s">
        <v>1703</v>
      </c>
      <c r="C131" s="613" t="s">
        <v>3999</v>
      </c>
      <c r="D131" s="556" t="s">
        <v>4000</v>
      </c>
      <c r="E131" s="607" t="s">
        <v>279</v>
      </c>
      <c r="F131" s="564">
        <v>15</v>
      </c>
      <c r="G131" s="564" t="s">
        <v>3099</v>
      </c>
      <c r="H131" s="567" t="e">
        <f t="shared" si="8"/>
        <v>#N/A</v>
      </c>
      <c r="I131" s="568"/>
      <c r="J131" s="323"/>
      <c r="K131" s="204"/>
      <c r="L131" s="126" t="s">
        <v>7159</v>
      </c>
      <c r="M131" s="126" t="s">
        <v>5630</v>
      </c>
      <c r="P131" s="126" t="e">
        <f t="shared" si="9"/>
        <v>#N/A</v>
      </c>
    </row>
    <row r="132" spans="1:16" ht="20.100000000000001" customHeight="1">
      <c r="A132" s="564">
        <f t="shared" si="10"/>
        <v>129</v>
      </c>
      <c r="B132" s="565" t="s">
        <v>1703</v>
      </c>
      <c r="C132" s="613" t="s">
        <v>4001</v>
      </c>
      <c r="D132" s="556" t="s">
        <v>4002</v>
      </c>
      <c r="E132" s="607" t="s">
        <v>279</v>
      </c>
      <c r="F132" s="564">
        <v>15</v>
      </c>
      <c r="G132" s="564" t="s">
        <v>3099</v>
      </c>
      <c r="H132" s="567" t="e">
        <f t="shared" si="8"/>
        <v>#N/A</v>
      </c>
      <c r="I132" s="568"/>
      <c r="J132" s="323"/>
      <c r="K132" s="204"/>
      <c r="L132" s="126" t="s">
        <v>7160</v>
      </c>
      <c r="M132" s="126" t="s">
        <v>7161</v>
      </c>
      <c r="P132" s="126" t="e">
        <f t="shared" si="9"/>
        <v>#N/A</v>
      </c>
    </row>
    <row r="133" spans="1:16" ht="20.100000000000001" customHeight="1">
      <c r="A133" s="564">
        <f t="shared" si="10"/>
        <v>130</v>
      </c>
      <c r="B133" s="565" t="s">
        <v>1703</v>
      </c>
      <c r="C133" s="613" t="s">
        <v>4003</v>
      </c>
      <c r="D133" s="556" t="s">
        <v>4004</v>
      </c>
      <c r="E133" s="607" t="s">
        <v>279</v>
      </c>
      <c r="F133" s="564">
        <v>15</v>
      </c>
      <c r="G133" s="564" t="s">
        <v>3099</v>
      </c>
      <c r="H133" s="567" t="e">
        <f t="shared" si="8"/>
        <v>#N/A</v>
      </c>
      <c r="I133" s="568"/>
      <c r="J133" s="323"/>
      <c r="K133" s="204"/>
      <c r="L133" s="126" t="s">
        <v>7162</v>
      </c>
      <c r="M133" s="126" t="s">
        <v>7163</v>
      </c>
      <c r="P133" s="126" t="e">
        <f t="shared" si="9"/>
        <v>#N/A</v>
      </c>
    </row>
    <row r="134" spans="1:16" ht="20.100000000000001" customHeight="1">
      <c r="A134" s="564">
        <f t="shared" si="10"/>
        <v>131</v>
      </c>
      <c r="B134" s="565" t="s">
        <v>1703</v>
      </c>
      <c r="C134" s="613" t="s">
        <v>4005</v>
      </c>
      <c r="D134" s="556" t="s">
        <v>4006</v>
      </c>
      <c r="E134" s="607" t="s">
        <v>279</v>
      </c>
      <c r="F134" s="564">
        <v>15</v>
      </c>
      <c r="G134" s="564" t="s">
        <v>3099</v>
      </c>
      <c r="H134" s="567" t="e">
        <f t="shared" si="8"/>
        <v>#N/A</v>
      </c>
      <c r="I134" s="568"/>
      <c r="J134" s="323"/>
      <c r="K134" s="204"/>
      <c r="L134" s="126" t="s">
        <v>7164</v>
      </c>
      <c r="M134" s="126" t="s">
        <v>7165</v>
      </c>
      <c r="P134" s="126" t="e">
        <f t="shared" si="9"/>
        <v>#N/A</v>
      </c>
    </row>
    <row r="135" spans="1:16" ht="20.100000000000001" customHeight="1">
      <c r="A135" s="564">
        <f t="shared" si="10"/>
        <v>132</v>
      </c>
      <c r="B135" s="565" t="s">
        <v>1703</v>
      </c>
      <c r="C135" s="613" t="s">
        <v>4007</v>
      </c>
      <c r="D135" s="556" t="s">
        <v>3751</v>
      </c>
      <c r="E135" s="607" t="s">
        <v>279</v>
      </c>
      <c r="F135" s="564">
        <v>15</v>
      </c>
      <c r="G135" s="564" t="s">
        <v>3099</v>
      </c>
      <c r="H135" s="567" t="e">
        <f t="shared" si="8"/>
        <v>#N/A</v>
      </c>
      <c r="I135" s="568"/>
      <c r="J135" s="323"/>
      <c r="K135" s="204"/>
      <c r="L135" s="126" t="s">
        <v>7166</v>
      </c>
      <c r="M135" s="126" t="s">
        <v>7167</v>
      </c>
      <c r="P135" s="126" t="e">
        <f t="shared" si="9"/>
        <v>#N/A</v>
      </c>
    </row>
    <row r="136" spans="1:16" ht="20.100000000000001" customHeight="1">
      <c r="A136" s="564">
        <f t="shared" si="10"/>
        <v>133</v>
      </c>
      <c r="B136" s="565" t="s">
        <v>1703</v>
      </c>
      <c r="C136" s="613" t="s">
        <v>4008</v>
      </c>
      <c r="D136" s="556" t="s">
        <v>4009</v>
      </c>
      <c r="E136" s="607" t="s">
        <v>279</v>
      </c>
      <c r="F136" s="564">
        <v>15</v>
      </c>
      <c r="G136" s="564" t="s">
        <v>3099</v>
      </c>
      <c r="H136" s="567" t="e">
        <f t="shared" si="8"/>
        <v>#N/A</v>
      </c>
      <c r="I136" s="568"/>
      <c r="J136" s="323"/>
      <c r="K136" s="204"/>
    </row>
    <row r="137" spans="1:16" ht="20.100000000000001" customHeight="1">
      <c r="A137" s="564">
        <f t="shared" si="10"/>
        <v>134</v>
      </c>
      <c r="B137" s="565" t="s">
        <v>1703</v>
      </c>
      <c r="C137" s="613" t="s">
        <v>4010</v>
      </c>
      <c r="D137" s="556" t="s">
        <v>4011</v>
      </c>
      <c r="E137" s="607" t="s">
        <v>279</v>
      </c>
      <c r="F137" s="564">
        <v>15</v>
      </c>
      <c r="G137" s="564" t="s">
        <v>3099</v>
      </c>
      <c r="H137" s="567" t="e">
        <f t="shared" si="8"/>
        <v>#N/A</v>
      </c>
      <c r="I137" s="568"/>
      <c r="J137" s="323"/>
      <c r="K137" s="204"/>
    </row>
    <row r="138" spans="1:16" ht="20.100000000000001" customHeight="1">
      <c r="A138" s="564">
        <f t="shared" si="10"/>
        <v>135</v>
      </c>
      <c r="B138" s="565" t="s">
        <v>1703</v>
      </c>
      <c r="C138" s="613" t="s">
        <v>4012</v>
      </c>
      <c r="D138" s="556" t="s">
        <v>4013</v>
      </c>
      <c r="E138" s="607" t="s">
        <v>279</v>
      </c>
      <c r="F138" s="564">
        <v>15</v>
      </c>
      <c r="G138" s="564" t="s">
        <v>3099</v>
      </c>
      <c r="H138" s="567" t="e">
        <f t="shared" ref="H138:H173" si="11">VLOOKUP(C138,$L$10:$N$135,2,FALSE)</f>
        <v>#N/A</v>
      </c>
      <c r="I138" s="568"/>
      <c r="J138" s="323"/>
      <c r="K138" s="204"/>
    </row>
    <row r="139" spans="1:16" ht="20.100000000000001" customHeight="1">
      <c r="A139" s="564">
        <f t="shared" si="10"/>
        <v>136</v>
      </c>
      <c r="B139" s="565" t="s">
        <v>1703</v>
      </c>
      <c r="C139" s="613" t="s">
        <v>4014</v>
      </c>
      <c r="D139" s="556" t="s">
        <v>4015</v>
      </c>
      <c r="E139" s="607"/>
      <c r="F139" s="564"/>
      <c r="G139" s="564" t="s">
        <v>3099</v>
      </c>
      <c r="H139" s="567" t="e">
        <f t="shared" si="11"/>
        <v>#N/A</v>
      </c>
      <c r="I139" s="568"/>
      <c r="J139" s="323"/>
      <c r="K139" s="204"/>
    </row>
    <row r="140" spans="1:16" ht="20.100000000000001" customHeight="1">
      <c r="A140" s="564">
        <f t="shared" si="10"/>
        <v>137</v>
      </c>
      <c r="B140" s="565" t="s">
        <v>1703</v>
      </c>
      <c r="C140" s="613" t="s">
        <v>4016</v>
      </c>
      <c r="D140" s="556" t="s">
        <v>4017</v>
      </c>
      <c r="E140" s="607"/>
      <c r="F140" s="564"/>
      <c r="G140" s="564" t="s">
        <v>3099</v>
      </c>
      <c r="H140" s="567" t="e">
        <f t="shared" si="11"/>
        <v>#N/A</v>
      </c>
      <c r="I140" s="568"/>
      <c r="J140" s="323"/>
      <c r="K140" s="204"/>
    </row>
    <row r="141" spans="1:16" ht="20.100000000000001" customHeight="1">
      <c r="A141" s="564">
        <f t="shared" si="10"/>
        <v>138</v>
      </c>
      <c r="B141" s="565" t="s">
        <v>1703</v>
      </c>
      <c r="C141" s="613" t="s">
        <v>4018</v>
      </c>
      <c r="D141" s="556" t="s">
        <v>3763</v>
      </c>
      <c r="E141" s="607" t="s">
        <v>279</v>
      </c>
      <c r="F141" s="564">
        <v>15</v>
      </c>
      <c r="G141" s="564" t="s">
        <v>3099</v>
      </c>
      <c r="H141" s="567" t="e">
        <f t="shared" si="11"/>
        <v>#N/A</v>
      </c>
      <c r="I141" s="568"/>
      <c r="J141" s="323"/>
      <c r="K141" s="204"/>
    </row>
    <row r="142" spans="1:16" ht="20.100000000000001" customHeight="1">
      <c r="A142" s="564">
        <f t="shared" si="10"/>
        <v>139</v>
      </c>
      <c r="B142" s="565" t="s">
        <v>1703</v>
      </c>
      <c r="C142" s="613" t="s">
        <v>4019</v>
      </c>
      <c r="D142" s="556" t="s">
        <v>4020</v>
      </c>
      <c r="E142" s="607" t="s">
        <v>279</v>
      </c>
      <c r="F142" s="564">
        <v>15</v>
      </c>
      <c r="G142" s="564" t="s">
        <v>3099</v>
      </c>
      <c r="H142" s="567" t="e">
        <f t="shared" si="11"/>
        <v>#N/A</v>
      </c>
      <c r="I142" s="568"/>
      <c r="J142" s="323"/>
      <c r="K142" s="204"/>
    </row>
    <row r="143" spans="1:16" ht="20.100000000000001" customHeight="1">
      <c r="A143" s="564">
        <f t="shared" si="10"/>
        <v>140</v>
      </c>
      <c r="B143" s="565" t="s">
        <v>1703</v>
      </c>
      <c r="C143" s="613" t="s">
        <v>4021</v>
      </c>
      <c r="D143" s="556" t="s">
        <v>4022</v>
      </c>
      <c r="E143" s="607"/>
      <c r="F143" s="564"/>
      <c r="G143" s="564" t="s">
        <v>3099</v>
      </c>
      <c r="H143" s="567" t="e">
        <f t="shared" si="11"/>
        <v>#N/A</v>
      </c>
      <c r="I143" s="568"/>
      <c r="J143" s="323"/>
      <c r="K143" s="204"/>
    </row>
    <row r="144" spans="1:16" ht="20.100000000000001" customHeight="1">
      <c r="A144" s="564">
        <f t="shared" si="10"/>
        <v>141</v>
      </c>
      <c r="B144" s="565" t="s">
        <v>1703</v>
      </c>
      <c r="C144" s="613" t="s">
        <v>4023</v>
      </c>
      <c r="D144" s="556" t="s">
        <v>4024</v>
      </c>
      <c r="E144" s="607"/>
      <c r="F144" s="564"/>
      <c r="G144" s="564" t="s">
        <v>3099</v>
      </c>
      <c r="H144" s="567" t="e">
        <f t="shared" si="11"/>
        <v>#N/A</v>
      </c>
      <c r="I144" s="568"/>
      <c r="J144" s="323"/>
      <c r="K144" s="204"/>
    </row>
    <row r="145" spans="1:11" ht="20.100000000000001" customHeight="1">
      <c r="A145" s="564">
        <f t="shared" si="10"/>
        <v>142</v>
      </c>
      <c r="B145" s="565" t="s">
        <v>1703</v>
      </c>
      <c r="C145" s="613" t="s">
        <v>4025</v>
      </c>
      <c r="D145" s="556" t="s">
        <v>4026</v>
      </c>
      <c r="E145" s="607" t="s">
        <v>279</v>
      </c>
      <c r="F145" s="564">
        <v>15</v>
      </c>
      <c r="G145" s="564" t="s">
        <v>3099</v>
      </c>
      <c r="H145" s="567" t="e">
        <f t="shared" si="11"/>
        <v>#N/A</v>
      </c>
      <c r="I145" s="568"/>
      <c r="J145" s="323"/>
      <c r="K145" s="204"/>
    </row>
    <row r="146" spans="1:11" ht="20.100000000000001" customHeight="1">
      <c r="A146" s="564">
        <f t="shared" si="10"/>
        <v>143</v>
      </c>
      <c r="B146" s="565" t="s">
        <v>1703</v>
      </c>
      <c r="C146" s="613" t="s">
        <v>4027</v>
      </c>
      <c r="D146" s="556" t="s">
        <v>4028</v>
      </c>
      <c r="E146" s="607"/>
      <c r="F146" s="564"/>
      <c r="G146" s="564" t="s">
        <v>3099</v>
      </c>
      <c r="H146" s="567" t="str">
        <f t="shared" si="11"/>
        <v>sDSR관리대상구분코드</v>
      </c>
      <c r="I146" s="568"/>
      <c r="J146" s="323"/>
      <c r="K146" s="204"/>
    </row>
    <row r="147" spans="1:11" ht="20.100000000000001" customHeight="1">
      <c r="A147" s="564">
        <f t="shared" si="10"/>
        <v>144</v>
      </c>
      <c r="B147" s="565" t="s">
        <v>1703</v>
      </c>
      <c r="C147" s="613" t="s">
        <v>3963</v>
      </c>
      <c r="D147" s="556" t="s">
        <v>3964</v>
      </c>
      <c r="E147" s="607"/>
      <c r="F147" s="564"/>
      <c r="G147" s="564" t="s">
        <v>3099</v>
      </c>
      <c r="H147" s="567" t="str">
        <f t="shared" si="11"/>
        <v>사전KCB신용평점</v>
      </c>
      <c r="I147" s="568"/>
      <c r="J147" s="323"/>
      <c r="K147" s="204"/>
    </row>
    <row r="148" spans="1:11" ht="20.100000000000001" customHeight="1">
      <c r="A148" s="564">
        <f t="shared" si="10"/>
        <v>145</v>
      </c>
      <c r="B148" s="565" t="s">
        <v>1703</v>
      </c>
      <c r="C148" s="613" t="s">
        <v>3965</v>
      </c>
      <c r="D148" s="556" t="s">
        <v>3966</v>
      </c>
      <c r="E148" s="607"/>
      <c r="F148" s="564"/>
      <c r="G148" s="564" t="s">
        <v>3099</v>
      </c>
      <c r="H148" s="567" t="str">
        <f t="shared" si="11"/>
        <v>사전NICE신용평점</v>
      </c>
      <c r="I148" s="568"/>
      <c r="J148" s="323"/>
      <c r="K148" s="204"/>
    </row>
    <row r="149" spans="1:11" ht="20.100000000000001" customHeight="1">
      <c r="A149" s="564">
        <f t="shared" si="10"/>
        <v>146</v>
      </c>
      <c r="B149" s="565" t="s">
        <v>1703</v>
      </c>
      <c r="C149" s="613" t="s">
        <v>4021</v>
      </c>
      <c r="D149" s="556" t="s">
        <v>4022</v>
      </c>
      <c r="E149" s="607"/>
      <c r="F149" s="564"/>
      <c r="G149" s="564" t="s">
        <v>3099</v>
      </c>
      <c r="H149" s="567" t="e">
        <f t="shared" si="11"/>
        <v>#N/A</v>
      </c>
      <c r="I149" s="568"/>
      <c r="J149" s="323"/>
      <c r="K149" s="204"/>
    </row>
    <row r="150" spans="1:11" ht="20.100000000000001" customHeight="1">
      <c r="A150" s="564">
        <f t="shared" si="10"/>
        <v>147</v>
      </c>
      <c r="B150" s="565" t="s">
        <v>1703</v>
      </c>
      <c r="C150" s="613" t="s">
        <v>4023</v>
      </c>
      <c r="D150" s="556" t="s">
        <v>4024</v>
      </c>
      <c r="E150" s="607"/>
      <c r="F150" s="564"/>
      <c r="G150" s="564" t="s">
        <v>3099</v>
      </c>
      <c r="H150" s="567" t="e">
        <f t="shared" si="11"/>
        <v>#N/A</v>
      </c>
      <c r="I150" s="568"/>
      <c r="J150" s="323"/>
      <c r="K150" s="204"/>
    </row>
    <row r="151" spans="1:11" ht="20.100000000000001" customHeight="1">
      <c r="A151" s="564">
        <f t="shared" si="10"/>
        <v>148</v>
      </c>
      <c r="B151" s="565" t="s">
        <v>1703</v>
      </c>
      <c r="C151" s="613" t="s">
        <v>4025</v>
      </c>
      <c r="D151" s="556" t="s">
        <v>4026</v>
      </c>
      <c r="E151" s="607" t="s">
        <v>279</v>
      </c>
      <c r="F151" s="564">
        <v>15</v>
      </c>
      <c r="G151" s="564" t="s">
        <v>3099</v>
      </c>
      <c r="H151" s="567" t="e">
        <f t="shared" si="11"/>
        <v>#N/A</v>
      </c>
      <c r="I151" s="568"/>
      <c r="J151" s="323"/>
      <c r="K151" s="204"/>
    </row>
    <row r="152" spans="1:11" ht="20.100000000000001" customHeight="1">
      <c r="A152" s="564">
        <f t="shared" si="10"/>
        <v>149</v>
      </c>
      <c r="B152" s="565" t="s">
        <v>1703</v>
      </c>
      <c r="C152" s="613" t="s">
        <v>4027</v>
      </c>
      <c r="D152" s="556" t="s">
        <v>4028</v>
      </c>
      <c r="E152" s="607"/>
      <c r="F152" s="564"/>
      <c r="G152" s="564" t="s">
        <v>3099</v>
      </c>
      <c r="H152" s="567" t="str">
        <f t="shared" si="11"/>
        <v>sDSR관리대상구분코드</v>
      </c>
      <c r="I152" s="568"/>
      <c r="J152" s="323"/>
      <c r="K152" s="204"/>
    </row>
    <row r="153" spans="1:11" ht="20.100000000000001" customHeight="1">
      <c r="A153" s="564">
        <f t="shared" ref="A153:A181" si="12">ROW()-3</f>
        <v>150</v>
      </c>
      <c r="B153" s="565" t="s">
        <v>1703</v>
      </c>
      <c r="C153" s="566" t="s">
        <v>7116</v>
      </c>
      <c r="D153" s="567" t="s">
        <v>7117</v>
      </c>
      <c r="E153" s="204"/>
      <c r="F153" s="204"/>
      <c r="G153" s="204"/>
      <c r="H153" s="567" t="str">
        <f t="shared" si="11"/>
        <v>실시간등급최대한도기초금액</v>
      </c>
      <c r="I153" s="568"/>
      <c r="J153" s="323"/>
      <c r="K153" s="204"/>
    </row>
    <row r="154" spans="1:11" ht="44.25" customHeight="1">
      <c r="A154" s="564">
        <f t="shared" si="12"/>
        <v>151</v>
      </c>
      <c r="B154" s="565" t="s">
        <v>1703</v>
      </c>
      <c r="C154" s="566" t="s">
        <v>7135</v>
      </c>
      <c r="D154" s="611" t="s">
        <v>7136</v>
      </c>
      <c r="E154" s="204"/>
      <c r="F154" s="204"/>
      <c r="G154" s="204"/>
      <c r="H154" s="611" t="str">
        <f t="shared" si="11"/>
        <v>신용대출1억원초과여부</v>
      </c>
      <c r="I154" s="497" t="s">
        <v>7171</v>
      </c>
      <c r="J154" s="616" t="s">
        <v>7172</v>
      </c>
      <c r="K154" s="204"/>
    </row>
    <row r="155" spans="1:11" ht="20.100000000000001" customHeight="1">
      <c r="A155" s="564">
        <f t="shared" si="12"/>
        <v>152</v>
      </c>
      <c r="B155" s="565" t="s">
        <v>1703</v>
      </c>
      <c r="C155" s="566" t="s">
        <v>7137</v>
      </c>
      <c r="D155" s="567" t="s">
        <v>6229</v>
      </c>
      <c r="E155" s="204"/>
      <c r="F155" s="204"/>
      <c r="G155" s="204"/>
      <c r="H155" s="567" t="str">
        <f t="shared" si="11"/>
        <v>심사전략적용평가상품구분코드</v>
      </c>
      <c r="I155" s="568"/>
      <c r="J155" s="323"/>
      <c r="K155" s="204"/>
    </row>
    <row r="156" spans="1:11" ht="20.100000000000001" customHeight="1">
      <c r="A156" s="564">
        <f t="shared" si="12"/>
        <v>153</v>
      </c>
      <c r="B156" s="565" t="s">
        <v>1703</v>
      </c>
      <c r="C156" s="566" t="s">
        <v>7138</v>
      </c>
      <c r="D156" s="567" t="s">
        <v>7139</v>
      </c>
      <c r="E156" s="204"/>
      <c r="F156" s="204"/>
      <c r="G156" s="204"/>
      <c r="H156" s="567" t="str">
        <f t="shared" si="11"/>
        <v>금리결합CB1등급</v>
      </c>
      <c r="I156" s="568"/>
      <c r="J156" s="323"/>
      <c r="K156" s="204"/>
    </row>
    <row r="157" spans="1:11" ht="20.100000000000001" customHeight="1">
      <c r="A157" s="564">
        <f t="shared" si="12"/>
        <v>154</v>
      </c>
      <c r="B157" s="565" t="s">
        <v>1703</v>
      </c>
      <c r="C157" s="566" t="s">
        <v>7140</v>
      </c>
      <c r="D157" s="567" t="s">
        <v>7141</v>
      </c>
      <c r="E157" s="204"/>
      <c r="F157" s="204"/>
      <c r="G157" s="204"/>
      <c r="H157" s="567" t="str">
        <f t="shared" si="11"/>
        <v>금리결합CB2등급</v>
      </c>
      <c r="I157" s="568"/>
      <c r="J157" s="323"/>
      <c r="K157" s="204"/>
    </row>
    <row r="158" spans="1:11" ht="20.100000000000001" customHeight="1">
      <c r="A158" s="564">
        <f t="shared" si="12"/>
        <v>155</v>
      </c>
      <c r="B158" s="565" t="s">
        <v>1703</v>
      </c>
      <c r="C158" s="566" t="s">
        <v>7142</v>
      </c>
      <c r="D158" s="567" t="s">
        <v>7143</v>
      </c>
      <c r="E158" s="204"/>
      <c r="F158" s="204"/>
      <c r="G158" s="204"/>
      <c r="H158" s="567" t="str">
        <f t="shared" si="11"/>
        <v>금리신결합CB등급</v>
      </c>
      <c r="I158" s="568"/>
      <c r="J158" s="323"/>
      <c r="K158" s="204"/>
    </row>
    <row r="159" spans="1:11" ht="20.100000000000001" customHeight="1">
      <c r="A159" s="564">
        <f t="shared" si="12"/>
        <v>156</v>
      </c>
      <c r="B159" s="565" t="s">
        <v>1703</v>
      </c>
      <c r="C159" s="566" t="s">
        <v>7144</v>
      </c>
      <c r="D159" s="567" t="s">
        <v>7145</v>
      </c>
      <c r="E159" s="204"/>
      <c r="F159" s="204"/>
      <c r="G159" s="204"/>
      <c r="H159" s="567" t="str">
        <f t="shared" si="11"/>
        <v>금리기여도등급구분코드</v>
      </c>
      <c r="I159" s="568"/>
      <c r="J159" s="323"/>
      <c r="K159" s="204"/>
    </row>
    <row r="160" spans="1:11" ht="20.100000000000001" customHeight="1">
      <c r="A160" s="564">
        <f t="shared" si="12"/>
        <v>157</v>
      </c>
      <c r="B160" s="565" t="s">
        <v>1703</v>
      </c>
      <c r="C160" s="566" t="s">
        <v>7146</v>
      </c>
      <c r="D160" s="567" t="s">
        <v>7147</v>
      </c>
      <c r="E160" s="204"/>
      <c r="F160" s="204"/>
      <c r="G160" s="204"/>
      <c r="H160" s="567" t="str">
        <f t="shared" si="11"/>
        <v>금리리스크등급구분코드</v>
      </c>
      <c r="I160" s="568"/>
      <c r="J160" s="323"/>
      <c r="K160" s="204"/>
    </row>
    <row r="161" spans="1:11" ht="20.100000000000001" customHeight="1">
      <c r="A161" s="564">
        <f t="shared" si="12"/>
        <v>158</v>
      </c>
      <c r="B161" s="565" t="s">
        <v>1703</v>
      </c>
      <c r="C161" s="556" t="s">
        <v>7419</v>
      </c>
      <c r="D161" s="556" t="s">
        <v>7348</v>
      </c>
      <c r="E161" s="588" t="s">
        <v>279</v>
      </c>
      <c r="F161" s="204"/>
      <c r="G161" s="204"/>
      <c r="H161" s="576" t="s">
        <v>7424</v>
      </c>
      <c r="I161" s="568"/>
      <c r="J161" s="323"/>
      <c r="K161" s="204"/>
    </row>
    <row r="162" spans="1:11" ht="20.100000000000001" customHeight="1">
      <c r="A162" s="564">
        <f t="shared" si="12"/>
        <v>159</v>
      </c>
      <c r="B162" s="565" t="s">
        <v>1703</v>
      </c>
      <c r="C162" s="556" t="s">
        <v>2023</v>
      </c>
      <c r="D162" s="556" t="s">
        <v>7420</v>
      </c>
      <c r="E162" s="588" t="s">
        <v>279</v>
      </c>
      <c r="F162" s="204"/>
      <c r="G162" s="204"/>
      <c r="H162" s="577" t="s">
        <v>7425</v>
      </c>
      <c r="I162" s="568"/>
      <c r="J162" s="323"/>
      <c r="K162" s="204"/>
    </row>
    <row r="163" spans="1:11" ht="20.100000000000001" customHeight="1">
      <c r="A163" s="564">
        <f t="shared" si="12"/>
        <v>160</v>
      </c>
      <c r="B163" s="565" t="s">
        <v>1703</v>
      </c>
      <c r="C163" s="556" t="s">
        <v>7421</v>
      </c>
      <c r="D163" s="556" t="s">
        <v>7422</v>
      </c>
      <c r="E163" s="588" t="s">
        <v>279</v>
      </c>
      <c r="F163" s="204"/>
      <c r="G163" s="204"/>
      <c r="H163" s="567" t="e">
        <f t="shared" si="11"/>
        <v>#N/A</v>
      </c>
      <c r="I163" s="568"/>
      <c r="J163" s="323"/>
      <c r="K163" s="204"/>
    </row>
    <row r="164" spans="1:11" ht="20.100000000000001" customHeight="1">
      <c r="A164" s="564">
        <f t="shared" si="12"/>
        <v>161</v>
      </c>
      <c r="B164" s="565" t="s">
        <v>1703</v>
      </c>
      <c r="C164" s="556" t="s">
        <v>7423</v>
      </c>
      <c r="D164" s="556" t="s">
        <v>7293</v>
      </c>
      <c r="E164" s="588" t="s">
        <v>279</v>
      </c>
      <c r="F164" s="204"/>
      <c r="G164" s="204"/>
      <c r="H164" s="567" t="e">
        <f t="shared" si="11"/>
        <v>#N/A</v>
      </c>
      <c r="I164" s="568"/>
      <c r="J164" s="323"/>
      <c r="K164" s="204"/>
    </row>
    <row r="165" spans="1:11" ht="20.100000000000001" customHeight="1">
      <c r="A165" s="564">
        <f t="shared" si="12"/>
        <v>162</v>
      </c>
      <c r="B165" s="565" t="s">
        <v>1703</v>
      </c>
      <c r="C165" s="566" t="s">
        <v>7148</v>
      </c>
      <c r="D165" s="567" t="s">
        <v>6227</v>
      </c>
      <c r="E165" s="204"/>
      <c r="F165" s="204"/>
      <c r="G165" s="204"/>
      <c r="H165" s="567" t="str">
        <f t="shared" si="11"/>
        <v>이지신용대출한도금액</v>
      </c>
      <c r="I165" s="568"/>
      <c r="J165" s="323"/>
      <c r="K165" s="204"/>
    </row>
    <row r="166" spans="1:11" ht="20.100000000000001" customHeight="1">
      <c r="A166" s="564">
        <f t="shared" si="12"/>
        <v>163</v>
      </c>
      <c r="B166" s="565" t="s">
        <v>1703</v>
      </c>
      <c r="C166" s="566" t="s">
        <v>7149</v>
      </c>
      <c r="D166" s="567" t="s">
        <v>7150</v>
      </c>
      <c r="E166" s="204"/>
      <c r="F166" s="204"/>
      <c r="G166" s="204"/>
      <c r="H166" s="567" t="str">
        <f t="shared" si="11"/>
        <v>이지신용대출탈락사유</v>
      </c>
      <c r="I166" s="568"/>
      <c r="J166" s="323"/>
      <c r="K166" s="204"/>
    </row>
    <row r="167" spans="1:11" ht="20.100000000000001" customHeight="1">
      <c r="A167" s="564">
        <f t="shared" si="12"/>
        <v>164</v>
      </c>
      <c r="B167" s="565" t="s">
        <v>1703</v>
      </c>
      <c r="C167" s="566" t="s">
        <v>7151</v>
      </c>
      <c r="D167" s="567" t="s">
        <v>5621</v>
      </c>
      <c r="E167" s="204"/>
      <c r="F167" s="204"/>
      <c r="G167" s="204"/>
      <c r="H167" s="567" t="str">
        <f t="shared" si="11"/>
        <v>이지신용대출탈락코드내용</v>
      </c>
      <c r="I167" s="568"/>
      <c r="J167" s="323"/>
      <c r="K167" s="204"/>
    </row>
    <row r="168" spans="1:11" ht="20.100000000000001" customHeight="1">
      <c r="A168" s="564">
        <f t="shared" si="12"/>
        <v>165</v>
      </c>
      <c r="B168" s="565" t="s">
        <v>1703</v>
      </c>
      <c r="C168" s="566" t="s">
        <v>7152</v>
      </c>
      <c r="D168" s="567" t="s">
        <v>7153</v>
      </c>
      <c r="E168" s="204"/>
      <c r="F168" s="204"/>
      <c r="G168" s="204"/>
      <c r="H168" s="567" t="str">
        <f t="shared" si="11"/>
        <v>이지신용대출기간수</v>
      </c>
      <c r="I168" s="568"/>
      <c r="J168" s="323"/>
      <c r="K168" s="204"/>
    </row>
    <row r="169" spans="1:11" ht="20.100000000000001" customHeight="1">
      <c r="A169" s="564">
        <f t="shared" si="12"/>
        <v>166</v>
      </c>
      <c r="B169" s="565" t="s">
        <v>1703</v>
      </c>
      <c r="C169" s="566" t="s">
        <v>7154</v>
      </c>
      <c r="D169" s="567" t="s">
        <v>7155</v>
      </c>
      <c r="E169" s="204"/>
      <c r="F169" s="204"/>
      <c r="G169" s="204"/>
      <c r="H169" s="567" t="str">
        <f t="shared" si="11"/>
        <v>이지신용대출거치기간수</v>
      </c>
      <c r="I169" s="568"/>
      <c r="J169" s="323"/>
      <c r="K169" s="204"/>
    </row>
    <row r="170" spans="1:11" ht="20.100000000000001" customHeight="1">
      <c r="A170" s="564">
        <f t="shared" si="12"/>
        <v>167</v>
      </c>
      <c r="B170" s="565" t="s">
        <v>1703</v>
      </c>
      <c r="C170" s="566" t="s">
        <v>7156</v>
      </c>
      <c r="D170" s="567" t="s">
        <v>7157</v>
      </c>
      <c r="E170" s="204"/>
      <c r="F170" s="204"/>
      <c r="G170" s="204"/>
      <c r="H170" s="567" t="str">
        <f t="shared" si="11"/>
        <v>이지신용대출이율</v>
      </c>
      <c r="I170" s="568"/>
      <c r="J170" s="323"/>
      <c r="K170" s="204"/>
    </row>
    <row r="171" spans="1:11" ht="20.100000000000001" customHeight="1">
      <c r="A171" s="564">
        <f t="shared" si="12"/>
        <v>168</v>
      </c>
      <c r="B171" s="565" t="s">
        <v>1703</v>
      </c>
      <c r="C171" s="566" t="s">
        <v>7158</v>
      </c>
      <c r="D171" s="567" t="s">
        <v>5620</v>
      </c>
      <c r="E171" s="204"/>
      <c r="F171" s="204"/>
      <c r="G171" s="204"/>
      <c r="H171" s="567" t="str">
        <f t="shared" si="11"/>
        <v>이지신용대출전환대상구분코드</v>
      </c>
      <c r="I171" s="568"/>
      <c r="J171" s="323"/>
      <c r="K171" s="204"/>
    </row>
    <row r="172" spans="1:11" ht="20.100000000000001" customHeight="1">
      <c r="A172" s="564">
        <f t="shared" si="12"/>
        <v>169</v>
      </c>
      <c r="B172" s="565" t="s">
        <v>1703</v>
      </c>
      <c r="C172" s="566" t="s">
        <v>7159</v>
      </c>
      <c r="D172" s="567" t="s">
        <v>5630</v>
      </c>
      <c r="E172" s="204"/>
      <c r="F172" s="204"/>
      <c r="G172" s="204"/>
      <c r="H172" s="567" t="str">
        <f t="shared" si="11"/>
        <v>이지신용DSR제한한도일반금액</v>
      </c>
      <c r="I172" s="568"/>
      <c r="J172" s="323"/>
      <c r="K172" s="204"/>
    </row>
    <row r="173" spans="1:11" ht="20.100000000000001" customHeight="1">
      <c r="A173" s="564">
        <f t="shared" si="12"/>
        <v>170</v>
      </c>
      <c r="B173" s="565" t="s">
        <v>1703</v>
      </c>
      <c r="C173" s="566" t="s">
        <v>7160</v>
      </c>
      <c r="D173" s="567" t="s">
        <v>7161</v>
      </c>
      <c r="E173" s="204"/>
      <c r="F173" s="204"/>
      <c r="G173" s="204"/>
      <c r="H173" s="567" t="str">
        <f t="shared" si="11"/>
        <v>이지신용DSR제한한도관리대상값</v>
      </c>
      <c r="I173" s="568"/>
      <c r="J173" s="323"/>
      <c r="K173" s="204"/>
    </row>
    <row r="174" spans="1:11" ht="20.100000000000001" customHeight="1">
      <c r="A174" s="564">
        <f t="shared" si="12"/>
        <v>171</v>
      </c>
      <c r="B174" s="565" t="s">
        <v>1703</v>
      </c>
      <c r="C174" s="566" t="s">
        <v>7162</v>
      </c>
      <c r="D174" s="567" t="s">
        <v>7163</v>
      </c>
      <c r="E174" s="204"/>
      <c r="F174" s="204"/>
      <c r="G174" s="204"/>
      <c r="H174" s="567" t="str">
        <f t="shared" ref="H174:H181" si="13">VLOOKUP(C174,$L$10:$N$135,2,FALSE)</f>
        <v>이지신용금리등급구분코드</v>
      </c>
      <c r="I174" s="568"/>
      <c r="J174" s="323"/>
      <c r="K174" s="204"/>
    </row>
    <row r="175" spans="1:11" ht="20.100000000000001" customHeight="1">
      <c r="A175" s="564">
        <f t="shared" si="12"/>
        <v>172</v>
      </c>
      <c r="B175" s="565" t="s">
        <v>1703</v>
      </c>
      <c r="C175" s="566" t="s">
        <v>7164</v>
      </c>
      <c r="D175" s="567" t="s">
        <v>7165</v>
      </c>
      <c r="E175" s="204"/>
      <c r="F175" s="204"/>
      <c r="G175" s="204"/>
      <c r="H175" s="567" t="str">
        <f t="shared" si="13"/>
        <v>이지신용스트레스DSR사용여부</v>
      </c>
      <c r="I175" s="568"/>
      <c r="J175" s="323"/>
      <c r="K175" s="204"/>
    </row>
    <row r="176" spans="1:11" ht="20.100000000000001" customHeight="1">
      <c r="A176" s="564">
        <f t="shared" si="12"/>
        <v>173</v>
      </c>
      <c r="B176" s="565" t="s">
        <v>1703</v>
      </c>
      <c r="C176" s="566" t="s">
        <v>7166</v>
      </c>
      <c r="D176" s="567" t="s">
        <v>7167</v>
      </c>
      <c r="E176" s="204"/>
      <c r="F176" s="204"/>
      <c r="G176" s="204"/>
      <c r="H176" s="567" t="str">
        <f t="shared" si="13"/>
        <v>이지신용DSR추정최대소득금액</v>
      </c>
      <c r="I176" s="568"/>
      <c r="J176" s="323"/>
      <c r="K176" s="204"/>
    </row>
    <row r="177" spans="1:11" ht="20.100000000000001" customHeight="1">
      <c r="A177" s="564">
        <f t="shared" si="5"/>
        <v>174</v>
      </c>
      <c r="B177" s="565" t="s">
        <v>1703</v>
      </c>
      <c r="C177" s="606"/>
      <c r="D177" s="601" t="s">
        <v>3092</v>
      </c>
      <c r="E177" s="588" t="s">
        <v>279</v>
      </c>
      <c r="F177" s="564">
        <v>3</v>
      </c>
      <c r="G177" s="564"/>
      <c r="H177" s="567" t="e">
        <f t="shared" si="13"/>
        <v>#N/A</v>
      </c>
      <c r="I177" s="206" t="s">
        <v>3143</v>
      </c>
      <c r="J177" s="323"/>
      <c r="K177" s="204"/>
    </row>
    <row r="178" spans="1:11" ht="20.100000000000001" customHeight="1">
      <c r="A178" s="564">
        <f t="shared" si="5"/>
        <v>175</v>
      </c>
      <c r="B178" s="565" t="s">
        <v>1703</v>
      </c>
      <c r="C178" s="606"/>
      <c r="D178" s="601" t="s">
        <v>3142</v>
      </c>
      <c r="E178" s="595" t="s">
        <v>275</v>
      </c>
      <c r="F178" s="564"/>
      <c r="G178" s="564" t="s">
        <v>3100</v>
      </c>
      <c r="H178" s="567" t="e">
        <f t="shared" si="13"/>
        <v>#N/A</v>
      </c>
      <c r="I178" s="206" t="s">
        <v>3144</v>
      </c>
      <c r="J178" s="323"/>
      <c r="K178" s="204"/>
    </row>
    <row r="179" spans="1:11" ht="20.100000000000001" customHeight="1">
      <c r="A179" s="564">
        <f t="shared" si="5"/>
        <v>176</v>
      </c>
      <c r="B179" s="565" t="s">
        <v>1703</v>
      </c>
      <c r="C179" s="566" t="s">
        <v>3925</v>
      </c>
      <c r="D179" s="204"/>
      <c r="E179" s="204"/>
      <c r="F179" s="204"/>
      <c r="G179" s="204"/>
      <c r="H179" s="567" t="str">
        <f t="shared" si="13"/>
        <v>s비대면연계대출등급</v>
      </c>
      <c r="I179" s="568"/>
      <c r="J179" s="323"/>
      <c r="K179" s="204"/>
    </row>
    <row r="180" spans="1:11" ht="20.100000000000001" customHeight="1">
      <c r="A180" s="564">
        <f t="shared" si="5"/>
        <v>177</v>
      </c>
      <c r="B180" s="565" t="s">
        <v>1703</v>
      </c>
      <c r="C180" s="566" t="s">
        <v>3713</v>
      </c>
      <c r="D180" s="204"/>
      <c r="E180" s="204"/>
      <c r="F180" s="204"/>
      <c r="G180" s="204"/>
      <c r="H180" s="567" t="str">
        <f t="shared" si="13"/>
        <v>s중금리ML스코어신용등급코드</v>
      </c>
      <c r="I180" s="568"/>
      <c r="J180" s="323"/>
      <c r="K180" s="204"/>
    </row>
    <row r="181" spans="1:11" ht="20.100000000000001" customHeight="1">
      <c r="A181" s="564">
        <f t="shared" si="12"/>
        <v>178</v>
      </c>
      <c r="B181" s="565" t="s">
        <v>1703</v>
      </c>
      <c r="C181" s="566" t="s">
        <v>7041</v>
      </c>
      <c r="D181" s="204"/>
      <c r="E181" s="204"/>
      <c r="F181" s="204"/>
      <c r="G181" s="204"/>
      <c r="H181" s="567" t="str">
        <f t="shared" si="13"/>
        <v>s결합등급</v>
      </c>
      <c r="I181" s="568"/>
      <c r="J181" s="323"/>
      <c r="K181" s="204"/>
    </row>
    <row r="182" spans="1:11" ht="20.100000000000001" customHeight="1">
      <c r="A182" s="569"/>
      <c r="B182" s="570"/>
      <c r="C182" s="571"/>
      <c r="D182" s="571"/>
      <c r="E182" s="572"/>
      <c r="F182" s="573"/>
      <c r="G182" s="573"/>
      <c r="H182" s="574"/>
      <c r="I182" s="575"/>
      <c r="J182" s="574"/>
      <c r="K182" s="573"/>
    </row>
    <row r="183" spans="1:11" ht="20.100000000000001" customHeight="1">
      <c r="A183" s="569"/>
      <c r="B183" s="570"/>
      <c r="C183" s="571"/>
      <c r="D183" s="571"/>
      <c r="E183" s="572"/>
      <c r="F183" s="573"/>
      <c r="G183" s="573"/>
      <c r="H183" s="574"/>
      <c r="I183" s="575"/>
      <c r="J183" s="574"/>
      <c r="K183" s="573"/>
    </row>
    <row r="184" spans="1:11" ht="20.100000000000001" customHeight="1">
      <c r="A184" s="569"/>
      <c r="B184" s="570"/>
      <c r="C184" s="571"/>
      <c r="D184" s="571"/>
      <c r="E184" s="572"/>
      <c r="F184" s="573"/>
      <c r="G184" s="573"/>
      <c r="H184" s="574"/>
      <c r="I184" s="575"/>
      <c r="J184" s="574"/>
      <c r="K184" s="573"/>
    </row>
    <row r="185" spans="1:11" ht="20.100000000000001" customHeight="1">
      <c r="A185" s="569"/>
      <c r="B185" s="570"/>
      <c r="C185" s="571"/>
      <c r="D185" s="571"/>
      <c r="E185" s="572"/>
      <c r="F185" s="573"/>
      <c r="G185" s="573"/>
      <c r="H185" s="574"/>
      <c r="I185" s="575"/>
      <c r="J185" s="574"/>
      <c r="K185" s="573"/>
    </row>
  </sheetData>
  <autoFilter ref="A3:K108" xr:uid="{00000000-0009-0000-0000-000009000000}"/>
  <phoneticPr fontId="16" type="noConversion"/>
  <conditionalFormatting sqref="D23:D24">
    <cfRule type="duplicateValues" dxfId="40" priority="9"/>
  </conditionalFormatting>
  <conditionalFormatting sqref="D25:D26">
    <cfRule type="duplicateValues" dxfId="39" priority="8"/>
  </conditionalFormatting>
  <conditionalFormatting sqref="D11:D12">
    <cfRule type="duplicateValues" dxfId="38" priority="21"/>
  </conditionalFormatting>
  <conditionalFormatting sqref="G44:G45">
    <cfRule type="duplicateValues" dxfId="37" priority="18"/>
  </conditionalFormatting>
  <conditionalFormatting sqref="D46:D47">
    <cfRule type="duplicateValues" dxfId="36" priority="17"/>
  </conditionalFormatting>
  <conditionalFormatting sqref="D38:D39">
    <cfRule type="duplicateValues" dxfId="35" priority="16"/>
  </conditionalFormatting>
  <conditionalFormatting sqref="D40:D43">
    <cfRule type="duplicateValues" dxfId="34" priority="15"/>
  </conditionalFormatting>
  <conditionalFormatting sqref="G40:G43">
    <cfRule type="duplicateValues" dxfId="33" priority="14"/>
  </conditionalFormatting>
  <conditionalFormatting sqref="G38:G39">
    <cfRule type="duplicateValues" dxfId="32" priority="13"/>
  </conditionalFormatting>
  <conditionalFormatting sqref="D50:D51">
    <cfRule type="duplicateValues" dxfId="31" priority="12"/>
  </conditionalFormatting>
  <conditionalFormatting sqref="G50:G51">
    <cfRule type="duplicateValues" dxfId="30" priority="11"/>
  </conditionalFormatting>
  <conditionalFormatting sqref="G46:G47">
    <cfRule type="duplicateValues" dxfId="29" priority="22"/>
  </conditionalFormatting>
  <conditionalFormatting sqref="G98:G99">
    <cfRule type="duplicateValues" dxfId="28" priority="24"/>
  </conditionalFormatting>
  <conditionalFormatting sqref="D98:D99">
    <cfRule type="duplicateValues" dxfId="27" priority="25"/>
  </conditionalFormatting>
  <conditionalFormatting sqref="D30:D31">
    <cfRule type="duplicateValues" dxfId="26" priority="26"/>
  </conditionalFormatting>
  <pageMargins left="0.7" right="0.7" top="0.75" bottom="0.75" header="0.3" footer="0.3"/>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Q774"/>
  <sheetViews>
    <sheetView zoomScaleNormal="100" workbookViewId="0">
      <pane xSplit="6" ySplit="1" topLeftCell="G45" activePane="bottomRight" state="frozen"/>
      <selection pane="topRight" activeCell="H1" sqref="H1"/>
      <selection pane="bottomLeft" activeCell="A2" sqref="A2"/>
      <selection pane="bottomRight" activeCell="E57" sqref="E57"/>
    </sheetView>
  </sheetViews>
  <sheetFormatPr defaultRowHeight="11.25"/>
  <cols>
    <col min="1" max="1" width="6.375" style="178" customWidth="1"/>
    <col min="2" max="3" width="9" style="178"/>
    <col min="4" max="4" width="4.625" style="178" customWidth="1"/>
    <col min="5" max="5" width="36.875" style="178" customWidth="1"/>
    <col min="6" max="6" width="9" style="178" customWidth="1"/>
    <col min="7" max="7" width="17.25" style="178" customWidth="1"/>
    <col min="8" max="8" width="8.5" style="178" customWidth="1"/>
    <col min="9" max="9" width="24.375" style="178" customWidth="1"/>
    <col min="10" max="10" width="20.75" style="178" customWidth="1"/>
    <col min="11" max="11" width="34.25" style="178" customWidth="1"/>
    <col min="12" max="12" width="12.5" style="178" customWidth="1"/>
    <col min="13" max="13" width="12.625" style="178" customWidth="1"/>
    <col min="14" max="14" width="8.75" style="178" customWidth="1"/>
    <col min="15" max="15" width="10.125" style="178" customWidth="1"/>
    <col min="16" max="16" width="24.625" style="178" customWidth="1"/>
    <col min="17" max="16384" width="9" style="178"/>
  </cols>
  <sheetData>
    <row r="1" spans="1:16">
      <c r="A1" s="207" t="s">
        <v>1332</v>
      </c>
      <c r="B1" s="207" t="s">
        <v>2960</v>
      </c>
      <c r="C1" s="207" t="s">
        <v>748</v>
      </c>
      <c r="D1" s="207" t="s">
        <v>749</v>
      </c>
      <c r="E1" s="207" t="s">
        <v>2985</v>
      </c>
      <c r="F1" s="208" t="s">
        <v>3132</v>
      </c>
      <c r="G1" s="207" t="s">
        <v>3198</v>
      </c>
      <c r="H1" s="192" t="s">
        <v>3199</v>
      </c>
      <c r="I1" s="192" t="s">
        <v>3028</v>
      </c>
      <c r="J1" s="192" t="s">
        <v>3200</v>
      </c>
      <c r="K1" s="192" t="s">
        <v>3201</v>
      </c>
      <c r="L1" s="192" t="s">
        <v>3320</v>
      </c>
      <c r="M1" s="192" t="s">
        <v>751</v>
      </c>
      <c r="N1" s="192" t="s">
        <v>753</v>
      </c>
      <c r="O1" s="209" t="s">
        <v>3224</v>
      </c>
      <c r="P1" s="209" t="s">
        <v>3037</v>
      </c>
    </row>
    <row r="2" spans="1:16">
      <c r="A2" s="263">
        <f>ROW()-1</f>
        <v>1</v>
      </c>
      <c r="B2" s="263" t="s">
        <v>2116</v>
      </c>
      <c r="C2" s="263" t="s">
        <v>1910</v>
      </c>
      <c r="D2" s="263">
        <v>2</v>
      </c>
      <c r="E2" s="263" t="s">
        <v>445</v>
      </c>
      <c r="F2" s="263" t="s">
        <v>2963</v>
      </c>
      <c r="G2" s="263" t="s">
        <v>3038</v>
      </c>
      <c r="H2" s="263"/>
      <c r="I2" s="263" t="s">
        <v>683</v>
      </c>
      <c r="J2" s="263" t="s">
        <v>5430</v>
      </c>
      <c r="K2" s="263" t="s">
        <v>1576</v>
      </c>
      <c r="L2" s="263" t="s">
        <v>3029</v>
      </c>
    </row>
    <row r="3" spans="1:16" s="181" customFormat="1">
      <c r="A3" s="264">
        <f t="shared" ref="A3:A120" si="0">ROW()-1</f>
        <v>2</v>
      </c>
      <c r="B3" s="264" t="s">
        <v>2573</v>
      </c>
      <c r="C3" s="264" t="s">
        <v>279</v>
      </c>
      <c r="D3" s="264">
        <v>9</v>
      </c>
      <c r="E3" s="264" t="s">
        <v>1448</v>
      </c>
      <c r="F3" s="264" t="s">
        <v>2963</v>
      </c>
      <c r="G3" s="264" t="s">
        <v>3039</v>
      </c>
      <c r="H3" s="264"/>
      <c r="I3" s="264" t="e">
        <v>#N/A</v>
      </c>
      <c r="J3" s="264" t="s">
        <v>2330</v>
      </c>
      <c r="K3" s="264" t="s">
        <v>2330</v>
      </c>
      <c r="L3" s="264" t="s">
        <v>3029</v>
      </c>
      <c r="O3" s="181" t="s">
        <v>3035</v>
      </c>
      <c r="P3" s="181" t="s">
        <v>3036</v>
      </c>
    </row>
    <row r="4" spans="1:16" s="181" customFormat="1">
      <c r="A4" s="264">
        <f t="shared" si="0"/>
        <v>3</v>
      </c>
      <c r="B4" s="264" t="s">
        <v>2574</v>
      </c>
      <c r="C4" s="264" t="s">
        <v>279</v>
      </c>
      <c r="D4" s="264">
        <v>9</v>
      </c>
      <c r="E4" s="264" t="s">
        <v>1449</v>
      </c>
      <c r="F4" s="264" t="s">
        <v>2963</v>
      </c>
      <c r="G4" s="264" t="s">
        <v>3039</v>
      </c>
      <c r="H4" s="264"/>
      <c r="I4" s="264" t="e">
        <v>#N/A</v>
      </c>
      <c r="J4" s="264" t="s">
        <v>2330</v>
      </c>
      <c r="K4" s="264" t="s">
        <v>2330</v>
      </c>
      <c r="L4" s="264" t="s">
        <v>3029</v>
      </c>
      <c r="O4" s="181" t="s">
        <v>3035</v>
      </c>
      <c r="P4" s="181" t="s">
        <v>3036</v>
      </c>
    </row>
    <row r="5" spans="1:16">
      <c r="A5" s="263">
        <f t="shared" si="0"/>
        <v>4</v>
      </c>
      <c r="B5" s="263" t="s">
        <v>2117</v>
      </c>
      <c r="C5" s="263" t="s">
        <v>279</v>
      </c>
      <c r="D5" s="263">
        <v>9</v>
      </c>
      <c r="E5" s="263" t="s">
        <v>1297</v>
      </c>
      <c r="F5" s="263" t="s">
        <v>2963</v>
      </c>
      <c r="G5" s="263" t="s">
        <v>3040</v>
      </c>
      <c r="H5" s="263"/>
      <c r="I5" s="263" t="s">
        <v>683</v>
      </c>
      <c r="J5" s="263" t="s">
        <v>3063</v>
      </c>
      <c r="K5" s="263" t="s">
        <v>3064</v>
      </c>
      <c r="L5" s="263" t="s">
        <v>3029</v>
      </c>
    </row>
    <row r="6" spans="1:16">
      <c r="A6" s="263">
        <f t="shared" si="0"/>
        <v>5</v>
      </c>
      <c r="B6" s="263" t="s">
        <v>2118</v>
      </c>
      <c r="C6" s="263" t="s">
        <v>1910</v>
      </c>
      <c r="D6" s="263">
        <v>1</v>
      </c>
      <c r="E6" s="263" t="s">
        <v>687</v>
      </c>
      <c r="F6" s="263" t="s">
        <v>2963</v>
      </c>
      <c r="G6" s="263"/>
      <c r="H6" s="263"/>
      <c r="I6" s="263" t="s">
        <v>683</v>
      </c>
      <c r="J6" s="263" t="s">
        <v>5435</v>
      </c>
      <c r="K6" s="263" t="s">
        <v>3065</v>
      </c>
      <c r="L6" s="435" t="s">
        <v>5832</v>
      </c>
    </row>
    <row r="7" spans="1:16">
      <c r="A7" s="263">
        <f t="shared" si="0"/>
        <v>6</v>
      </c>
      <c r="B7" s="263" t="s">
        <v>2575</v>
      </c>
      <c r="C7" s="263" t="s">
        <v>1910</v>
      </c>
      <c r="D7" s="263">
        <v>14</v>
      </c>
      <c r="E7" s="263" t="s">
        <v>688</v>
      </c>
      <c r="F7" s="263" t="s">
        <v>2963</v>
      </c>
      <c r="G7" s="263"/>
      <c r="H7" s="263"/>
      <c r="I7" s="263" t="s">
        <v>683</v>
      </c>
      <c r="J7" s="263" t="s">
        <v>3063</v>
      </c>
      <c r="K7" s="263" t="s">
        <v>50</v>
      </c>
      <c r="L7" s="263" t="s">
        <v>3029</v>
      </c>
    </row>
    <row r="8" spans="1:16">
      <c r="A8" s="263">
        <f t="shared" si="0"/>
        <v>7</v>
      </c>
      <c r="B8" s="263" t="s">
        <v>2576</v>
      </c>
      <c r="C8" s="263" t="s">
        <v>1910</v>
      </c>
      <c r="D8" s="263">
        <v>2</v>
      </c>
      <c r="E8" s="430" t="s">
        <v>445</v>
      </c>
      <c r="F8" s="263"/>
      <c r="G8" s="263"/>
      <c r="H8" s="263"/>
      <c r="I8" s="263"/>
      <c r="J8" s="430" t="s">
        <v>5831</v>
      </c>
      <c r="K8" s="430" t="s">
        <v>445</v>
      </c>
      <c r="L8" s="263"/>
      <c r="P8" s="448" t="s">
        <v>2570</v>
      </c>
    </row>
    <row r="9" spans="1:16">
      <c r="A9" s="263">
        <f t="shared" si="0"/>
        <v>8</v>
      </c>
      <c r="B9" s="263" t="s">
        <v>2577</v>
      </c>
      <c r="C9" s="263" t="s">
        <v>1910</v>
      </c>
      <c r="D9" s="263">
        <v>2</v>
      </c>
      <c r="E9" s="430" t="s">
        <v>5780</v>
      </c>
      <c r="F9" s="263"/>
      <c r="G9" s="263"/>
      <c r="H9" s="263"/>
      <c r="I9" s="263"/>
      <c r="J9" s="430" t="s">
        <v>5833</v>
      </c>
      <c r="K9" s="430" t="s">
        <v>5830</v>
      </c>
      <c r="L9" s="263"/>
      <c r="P9" s="448" t="s">
        <v>5779</v>
      </c>
    </row>
    <row r="10" spans="1:16">
      <c r="A10" s="263">
        <f t="shared" si="0"/>
        <v>9</v>
      </c>
      <c r="B10" s="263" t="s">
        <v>2120</v>
      </c>
      <c r="C10" s="263" t="s">
        <v>1910</v>
      </c>
      <c r="D10" s="263">
        <v>1</v>
      </c>
      <c r="E10" s="263" t="s">
        <v>689</v>
      </c>
      <c r="F10" s="263" t="s">
        <v>2963</v>
      </c>
      <c r="G10" s="263" t="s">
        <v>3041</v>
      </c>
      <c r="H10" s="263"/>
      <c r="I10" s="263" t="s">
        <v>683</v>
      </c>
      <c r="J10" s="263" t="s">
        <v>5435</v>
      </c>
      <c r="K10" s="436" t="s">
        <v>5834</v>
      </c>
      <c r="L10" s="263" t="s">
        <v>3029</v>
      </c>
    </row>
    <row r="11" spans="1:16">
      <c r="A11" s="263">
        <f t="shared" si="0"/>
        <v>10</v>
      </c>
      <c r="B11" s="263" t="s">
        <v>2121</v>
      </c>
      <c r="C11" s="263" t="s">
        <v>1910</v>
      </c>
      <c r="D11" s="263">
        <v>1</v>
      </c>
      <c r="E11" s="263" t="s">
        <v>690</v>
      </c>
      <c r="F11" s="263" t="s">
        <v>2963</v>
      </c>
      <c r="G11" s="263" t="s">
        <v>3042</v>
      </c>
      <c r="H11" s="263"/>
      <c r="I11" s="263" t="s">
        <v>683</v>
      </c>
      <c r="J11" s="263" t="s">
        <v>5435</v>
      </c>
      <c r="K11" s="436" t="s">
        <v>3588</v>
      </c>
      <c r="L11" s="263" t="s">
        <v>3029</v>
      </c>
    </row>
    <row r="12" spans="1:16">
      <c r="A12" s="263">
        <f t="shared" si="0"/>
        <v>11</v>
      </c>
      <c r="B12" s="263" t="s">
        <v>2122</v>
      </c>
      <c r="C12" s="263" t="s">
        <v>1910</v>
      </c>
      <c r="D12" s="263">
        <v>1</v>
      </c>
      <c r="E12" s="263" t="s">
        <v>691</v>
      </c>
      <c r="F12" s="263" t="s">
        <v>2963</v>
      </c>
      <c r="G12" s="263" t="s">
        <v>3043</v>
      </c>
      <c r="H12" s="263"/>
      <c r="I12" s="263" t="s">
        <v>683</v>
      </c>
      <c r="J12" s="263" t="s">
        <v>5435</v>
      </c>
      <c r="K12" s="436" t="s">
        <v>3589</v>
      </c>
      <c r="L12" s="263" t="s">
        <v>3068</v>
      </c>
    </row>
    <row r="13" spans="1:16">
      <c r="A13" s="263">
        <f t="shared" si="0"/>
        <v>12</v>
      </c>
      <c r="B13" s="263" t="s">
        <v>2605</v>
      </c>
      <c r="C13" s="263" t="s">
        <v>1910</v>
      </c>
      <c r="D13" s="263">
        <v>1</v>
      </c>
      <c r="E13" s="263" t="s">
        <v>692</v>
      </c>
      <c r="F13" s="263" t="s">
        <v>2963</v>
      </c>
      <c r="G13" s="263" t="s">
        <v>3044</v>
      </c>
      <c r="H13" s="263"/>
      <c r="I13" s="263" t="s">
        <v>683</v>
      </c>
      <c r="J13" s="263" t="s">
        <v>5435</v>
      </c>
      <c r="K13" s="436" t="s">
        <v>5880</v>
      </c>
      <c r="L13" s="263" t="s">
        <v>3029</v>
      </c>
    </row>
    <row r="14" spans="1:16">
      <c r="A14" s="263">
        <f t="shared" si="0"/>
        <v>13</v>
      </c>
      <c r="B14" s="263" t="s">
        <v>2606</v>
      </c>
      <c r="C14" s="263" t="s">
        <v>1910</v>
      </c>
      <c r="D14" s="263">
        <v>1</v>
      </c>
      <c r="E14" s="263" t="s">
        <v>693</v>
      </c>
      <c r="F14" s="263" t="s">
        <v>2963</v>
      </c>
      <c r="G14" s="263" t="s">
        <v>3045</v>
      </c>
      <c r="H14" s="263"/>
      <c r="I14" s="263" t="s">
        <v>683</v>
      </c>
      <c r="J14" s="263" t="s">
        <v>5435</v>
      </c>
      <c r="K14" s="436" t="s">
        <v>5881</v>
      </c>
      <c r="L14" s="263" t="s">
        <v>3029</v>
      </c>
    </row>
    <row r="15" spans="1:16">
      <c r="A15" s="263">
        <f t="shared" si="0"/>
        <v>14</v>
      </c>
      <c r="B15" s="263" t="s">
        <v>2123</v>
      </c>
      <c r="C15" s="263" t="s">
        <v>1910</v>
      </c>
      <c r="D15" s="263">
        <v>1</v>
      </c>
      <c r="E15" s="263" t="s">
        <v>694</v>
      </c>
      <c r="F15" s="263" t="s">
        <v>2963</v>
      </c>
      <c r="G15" s="263" t="s">
        <v>3046</v>
      </c>
      <c r="H15" s="263"/>
      <c r="I15" s="263" t="s">
        <v>683</v>
      </c>
      <c r="J15" s="263" t="s">
        <v>5435</v>
      </c>
      <c r="K15" s="436" t="s">
        <v>3590</v>
      </c>
      <c r="L15" s="263" t="s">
        <v>3029</v>
      </c>
    </row>
    <row r="16" spans="1:16">
      <c r="A16" s="263">
        <f t="shared" si="0"/>
        <v>15</v>
      </c>
      <c r="B16" s="263" t="s">
        <v>2124</v>
      </c>
      <c r="C16" s="263" t="s">
        <v>1910</v>
      </c>
      <c r="D16" s="263">
        <v>1</v>
      </c>
      <c r="E16" s="263" t="s">
        <v>695</v>
      </c>
      <c r="F16" s="263" t="s">
        <v>2963</v>
      </c>
      <c r="G16" s="263" t="s">
        <v>3047</v>
      </c>
      <c r="H16" s="263"/>
      <c r="I16" s="263" t="s">
        <v>683</v>
      </c>
      <c r="J16" s="263" t="s">
        <v>5435</v>
      </c>
      <c r="K16" s="436" t="s">
        <v>3591</v>
      </c>
      <c r="L16" s="263" t="s">
        <v>3029</v>
      </c>
    </row>
    <row r="17" spans="1:12">
      <c r="A17" s="263">
        <f t="shared" si="0"/>
        <v>16</v>
      </c>
      <c r="B17" s="263" t="s">
        <v>2125</v>
      </c>
      <c r="C17" s="263" t="s">
        <v>1910</v>
      </c>
      <c r="D17" s="263">
        <v>1</v>
      </c>
      <c r="E17" s="263" t="s">
        <v>696</v>
      </c>
      <c r="F17" s="263" t="s">
        <v>2963</v>
      </c>
      <c r="G17" s="263" t="s">
        <v>3048</v>
      </c>
      <c r="H17" s="263"/>
      <c r="I17" s="263" t="s">
        <v>683</v>
      </c>
      <c r="J17" s="263" t="s">
        <v>5435</v>
      </c>
      <c r="K17" s="436" t="s">
        <v>3592</v>
      </c>
      <c r="L17" s="263" t="s">
        <v>3029</v>
      </c>
    </row>
    <row r="18" spans="1:12">
      <c r="A18" s="263">
        <f t="shared" si="0"/>
        <v>17</v>
      </c>
      <c r="B18" s="263" t="s">
        <v>2126</v>
      </c>
      <c r="C18" s="263" t="s">
        <v>1910</v>
      </c>
      <c r="D18" s="263">
        <v>1</v>
      </c>
      <c r="E18" s="263" t="s">
        <v>697</v>
      </c>
      <c r="F18" s="263" t="s">
        <v>2963</v>
      </c>
      <c r="G18" s="263" t="s">
        <v>3049</v>
      </c>
      <c r="H18" s="263"/>
      <c r="I18" s="263" t="s">
        <v>683</v>
      </c>
      <c r="J18" s="263" t="s">
        <v>5435</v>
      </c>
      <c r="K18" s="436" t="s">
        <v>3593</v>
      </c>
      <c r="L18" s="263" t="s">
        <v>3029</v>
      </c>
    </row>
    <row r="19" spans="1:12">
      <c r="A19" s="263">
        <f t="shared" si="0"/>
        <v>18</v>
      </c>
      <c r="B19" s="263" t="s">
        <v>2127</v>
      </c>
      <c r="C19" s="263" t="s">
        <v>1910</v>
      </c>
      <c r="D19" s="263">
        <v>1</v>
      </c>
      <c r="E19" s="263" t="s">
        <v>698</v>
      </c>
      <c r="F19" s="263" t="s">
        <v>2963</v>
      </c>
      <c r="G19" s="263" t="s">
        <v>3050</v>
      </c>
      <c r="H19" s="263"/>
      <c r="I19" s="263" t="s">
        <v>683</v>
      </c>
      <c r="J19" s="263" t="s">
        <v>5435</v>
      </c>
      <c r="K19" s="436" t="s">
        <v>3594</v>
      </c>
      <c r="L19" s="263" t="s">
        <v>3029</v>
      </c>
    </row>
    <row r="20" spans="1:12">
      <c r="A20" s="263">
        <f t="shared" si="0"/>
        <v>19</v>
      </c>
      <c r="B20" s="263" t="s">
        <v>2128</v>
      </c>
      <c r="C20" s="263" t="s">
        <v>1910</v>
      </c>
      <c r="D20" s="263">
        <v>1</v>
      </c>
      <c r="E20" s="263" t="s">
        <v>699</v>
      </c>
      <c r="F20" s="263" t="s">
        <v>2963</v>
      </c>
      <c r="G20" s="263" t="s">
        <v>3051</v>
      </c>
      <c r="H20" s="263"/>
      <c r="I20" s="263" t="s">
        <v>683</v>
      </c>
      <c r="J20" s="263" t="s">
        <v>5435</v>
      </c>
      <c r="K20" s="436" t="s">
        <v>5844</v>
      </c>
      <c r="L20" s="263" t="s">
        <v>3029</v>
      </c>
    </row>
    <row r="21" spans="1:12">
      <c r="A21" s="263">
        <f t="shared" si="0"/>
        <v>20</v>
      </c>
      <c r="B21" s="263" t="s">
        <v>2129</v>
      </c>
      <c r="C21" s="263" t="s">
        <v>1910</v>
      </c>
      <c r="D21" s="263">
        <v>1</v>
      </c>
      <c r="E21" s="263" t="s">
        <v>700</v>
      </c>
      <c r="F21" s="263" t="s">
        <v>2963</v>
      </c>
      <c r="G21" s="263" t="s">
        <v>3052</v>
      </c>
      <c r="H21" s="263"/>
      <c r="I21" s="263" t="s">
        <v>683</v>
      </c>
      <c r="J21" s="263" t="s">
        <v>5435</v>
      </c>
      <c r="K21" s="436" t="s">
        <v>5836</v>
      </c>
      <c r="L21" s="263" t="s">
        <v>3029</v>
      </c>
    </row>
    <row r="22" spans="1:12">
      <c r="A22" s="263">
        <f t="shared" si="0"/>
        <v>21</v>
      </c>
      <c r="B22" s="263" t="s">
        <v>2130</v>
      </c>
      <c r="C22" s="263" t="s">
        <v>1910</v>
      </c>
      <c r="D22" s="263">
        <v>1</v>
      </c>
      <c r="E22" s="263" t="s">
        <v>701</v>
      </c>
      <c r="F22" s="263" t="s">
        <v>2963</v>
      </c>
      <c r="G22" s="263" t="s">
        <v>3053</v>
      </c>
      <c r="H22" s="263"/>
      <c r="I22" s="263" t="s">
        <v>683</v>
      </c>
      <c r="J22" s="263" t="s">
        <v>5435</v>
      </c>
      <c r="K22" s="436" t="s">
        <v>5837</v>
      </c>
      <c r="L22" s="263" t="s">
        <v>3029</v>
      </c>
    </row>
    <row r="23" spans="1:12">
      <c r="A23" s="263">
        <f t="shared" si="0"/>
        <v>22</v>
      </c>
      <c r="B23" s="263" t="s">
        <v>2138</v>
      </c>
      <c r="C23" s="263" t="s">
        <v>279</v>
      </c>
      <c r="D23" s="263">
        <v>15</v>
      </c>
      <c r="E23" s="263" t="s">
        <v>177</v>
      </c>
      <c r="F23" s="263" t="s">
        <v>2963</v>
      </c>
      <c r="G23" s="263"/>
      <c r="H23" s="263"/>
      <c r="I23" s="263" t="s">
        <v>683</v>
      </c>
      <c r="J23" s="263" t="s">
        <v>5435</v>
      </c>
      <c r="K23" s="263" t="s">
        <v>177</v>
      </c>
      <c r="L23" s="263" t="s">
        <v>3029</v>
      </c>
    </row>
    <row r="24" spans="1:12">
      <c r="A24" s="263">
        <f t="shared" si="0"/>
        <v>23</v>
      </c>
      <c r="B24" s="263" t="s">
        <v>2139</v>
      </c>
      <c r="C24" s="263" t="s">
        <v>279</v>
      </c>
      <c r="D24" s="263">
        <v>15</v>
      </c>
      <c r="E24" s="263" t="s">
        <v>178</v>
      </c>
      <c r="F24" s="263" t="s">
        <v>2963</v>
      </c>
      <c r="G24" s="263"/>
      <c r="H24" s="263"/>
      <c r="I24" s="263" t="s">
        <v>683</v>
      </c>
      <c r="J24" s="263" t="s">
        <v>5435</v>
      </c>
      <c r="K24" s="263" t="s">
        <v>178</v>
      </c>
      <c r="L24" s="263" t="s">
        <v>3029</v>
      </c>
    </row>
    <row r="25" spans="1:12">
      <c r="A25" s="263">
        <f t="shared" si="0"/>
        <v>24</v>
      </c>
      <c r="B25" s="263" t="s">
        <v>2140</v>
      </c>
      <c r="C25" s="263" t="s">
        <v>279</v>
      </c>
      <c r="D25" s="263">
        <v>15</v>
      </c>
      <c r="E25" s="263" t="s">
        <v>179</v>
      </c>
      <c r="F25" s="263" t="s">
        <v>2963</v>
      </c>
      <c r="G25" s="263"/>
      <c r="H25" s="263"/>
      <c r="I25" s="263" t="s">
        <v>683</v>
      </c>
      <c r="J25" s="263" t="s">
        <v>5435</v>
      </c>
      <c r="K25" s="263" t="s">
        <v>179</v>
      </c>
      <c r="L25" s="263" t="s">
        <v>3029</v>
      </c>
    </row>
    <row r="26" spans="1:12">
      <c r="A26" s="263">
        <f t="shared" si="0"/>
        <v>25</v>
      </c>
      <c r="B26" s="263" t="s">
        <v>2141</v>
      </c>
      <c r="C26" s="263" t="s">
        <v>279</v>
      </c>
      <c r="D26" s="263">
        <v>15</v>
      </c>
      <c r="E26" s="263" t="s">
        <v>180</v>
      </c>
      <c r="F26" s="263" t="s">
        <v>2963</v>
      </c>
      <c r="G26" s="263"/>
      <c r="H26" s="263"/>
      <c r="I26" s="263" t="s">
        <v>683</v>
      </c>
      <c r="J26" s="263" t="s">
        <v>5435</v>
      </c>
      <c r="K26" s="263" t="s">
        <v>180</v>
      </c>
      <c r="L26" s="263" t="s">
        <v>3029</v>
      </c>
    </row>
    <row r="27" spans="1:12">
      <c r="A27" s="263">
        <f t="shared" si="0"/>
        <v>26</v>
      </c>
      <c r="B27" s="263" t="s">
        <v>2142</v>
      </c>
      <c r="C27" s="263" t="s">
        <v>279</v>
      </c>
      <c r="D27" s="263">
        <v>15</v>
      </c>
      <c r="E27" s="263" t="s">
        <v>1318</v>
      </c>
      <c r="F27" s="263" t="s">
        <v>2963</v>
      </c>
      <c r="G27" s="263" t="s">
        <v>3054</v>
      </c>
      <c r="H27" s="263"/>
      <c r="I27" s="263" t="s">
        <v>683</v>
      </c>
      <c r="J27" s="263" t="s">
        <v>5435</v>
      </c>
      <c r="K27" s="263" t="s">
        <v>3080</v>
      </c>
      <c r="L27" s="263" t="s">
        <v>3029</v>
      </c>
    </row>
    <row r="28" spans="1:12">
      <c r="A28" s="263">
        <f t="shared" si="0"/>
        <v>27</v>
      </c>
      <c r="B28" s="263" t="s">
        <v>2144</v>
      </c>
      <c r="C28" s="263" t="s">
        <v>279</v>
      </c>
      <c r="D28" s="263">
        <v>15</v>
      </c>
      <c r="E28" s="263" t="s">
        <v>342</v>
      </c>
      <c r="F28" s="263" t="s">
        <v>2963</v>
      </c>
      <c r="G28" s="263"/>
      <c r="H28" s="263"/>
      <c r="I28" s="263" t="s">
        <v>683</v>
      </c>
      <c r="J28" s="263" t="s">
        <v>5435</v>
      </c>
      <c r="K28" s="263" t="s">
        <v>5845</v>
      </c>
      <c r="L28" s="263" t="s">
        <v>3084</v>
      </c>
    </row>
    <row r="29" spans="1:12">
      <c r="A29" s="263">
        <f t="shared" si="0"/>
        <v>28</v>
      </c>
      <c r="B29" s="263" t="s">
        <v>2131</v>
      </c>
      <c r="C29" s="263" t="s">
        <v>1910</v>
      </c>
      <c r="D29" s="263">
        <v>1</v>
      </c>
      <c r="E29" s="263" t="s">
        <v>731</v>
      </c>
      <c r="F29" s="263" t="s">
        <v>2963</v>
      </c>
      <c r="G29" s="263"/>
      <c r="H29" s="263"/>
      <c r="I29" s="263" t="s">
        <v>683</v>
      </c>
      <c r="J29" s="263" t="s">
        <v>5435</v>
      </c>
      <c r="K29" s="263" t="s">
        <v>174</v>
      </c>
      <c r="L29" s="263" t="s">
        <v>3029</v>
      </c>
    </row>
    <row r="30" spans="1:12">
      <c r="A30" s="263">
        <f t="shared" si="0"/>
        <v>29</v>
      </c>
      <c r="B30" s="263" t="s">
        <v>2132</v>
      </c>
      <c r="C30" s="263" t="s">
        <v>1910</v>
      </c>
      <c r="D30" s="263">
        <v>1</v>
      </c>
      <c r="E30" s="263" t="s">
        <v>730</v>
      </c>
      <c r="F30" s="263" t="s">
        <v>2963</v>
      </c>
      <c r="G30" s="263"/>
      <c r="H30" s="263"/>
      <c r="I30" s="263" t="s">
        <v>683</v>
      </c>
      <c r="J30" s="263" t="s">
        <v>5435</v>
      </c>
      <c r="K30" s="263" t="s">
        <v>173</v>
      </c>
      <c r="L30" s="263" t="s">
        <v>3029</v>
      </c>
    </row>
    <row r="31" spans="1:12">
      <c r="A31" s="263">
        <f t="shared" si="0"/>
        <v>30</v>
      </c>
      <c r="B31" s="263" t="s">
        <v>2133</v>
      </c>
      <c r="C31" s="263" t="s">
        <v>1910</v>
      </c>
      <c r="D31" s="263">
        <v>1</v>
      </c>
      <c r="E31" s="263" t="s">
        <v>732</v>
      </c>
      <c r="F31" s="263" t="s">
        <v>2963</v>
      </c>
      <c r="G31" s="263"/>
      <c r="H31" s="263"/>
      <c r="I31" s="263" t="s">
        <v>683</v>
      </c>
      <c r="J31" s="263" t="s">
        <v>5435</v>
      </c>
      <c r="K31" s="263" t="s">
        <v>175</v>
      </c>
      <c r="L31" s="263" t="s">
        <v>3029</v>
      </c>
    </row>
    <row r="32" spans="1:12">
      <c r="A32" s="263">
        <f t="shared" si="0"/>
        <v>31</v>
      </c>
      <c r="B32" s="263" t="s">
        <v>2134</v>
      </c>
      <c r="C32" s="263" t="s">
        <v>1910</v>
      </c>
      <c r="D32" s="263">
        <v>1</v>
      </c>
      <c r="E32" s="263" t="s">
        <v>733</v>
      </c>
      <c r="F32" s="263" t="s">
        <v>2963</v>
      </c>
      <c r="G32" s="263"/>
      <c r="H32" s="263"/>
      <c r="I32" s="263" t="s">
        <v>683</v>
      </c>
      <c r="J32" s="263" t="s">
        <v>5435</v>
      </c>
      <c r="K32" s="263" t="s">
        <v>176</v>
      </c>
      <c r="L32" s="263" t="s">
        <v>3029</v>
      </c>
    </row>
    <row r="33" spans="1:16">
      <c r="A33" s="263">
        <f t="shared" si="0"/>
        <v>32</v>
      </c>
      <c r="B33" s="263" t="s">
        <v>2135</v>
      </c>
      <c r="C33" s="263" t="s">
        <v>1910</v>
      </c>
      <c r="D33" s="263">
        <v>1</v>
      </c>
      <c r="E33" s="263" t="s">
        <v>181</v>
      </c>
      <c r="F33" s="263" t="s">
        <v>2963</v>
      </c>
      <c r="G33" s="263"/>
      <c r="H33" s="263"/>
      <c r="I33" s="263" t="s">
        <v>683</v>
      </c>
      <c r="J33" s="263" t="s">
        <v>5435</v>
      </c>
      <c r="K33" s="263" t="s">
        <v>181</v>
      </c>
      <c r="L33" s="263" t="s">
        <v>3029</v>
      </c>
    </row>
    <row r="34" spans="1:16" s="181" customFormat="1">
      <c r="A34" s="264">
        <f t="shared" si="0"/>
        <v>33</v>
      </c>
      <c r="B34" s="264" t="s">
        <v>2136</v>
      </c>
      <c r="C34" s="264" t="s">
        <v>1910</v>
      </c>
      <c r="D34" s="264">
        <v>2</v>
      </c>
      <c r="E34" s="264" t="s">
        <v>685</v>
      </c>
      <c r="F34" s="264" t="s">
        <v>2963</v>
      </c>
      <c r="G34" s="264"/>
      <c r="H34" s="264"/>
      <c r="I34" s="264" t="s">
        <v>683</v>
      </c>
      <c r="J34" s="264" t="s">
        <v>3081</v>
      </c>
      <c r="K34" s="264" t="s">
        <v>3081</v>
      </c>
      <c r="L34" s="264" t="s">
        <v>3029</v>
      </c>
      <c r="P34" s="181" t="s">
        <v>3105</v>
      </c>
    </row>
    <row r="35" spans="1:16">
      <c r="A35" s="263">
        <f t="shared" si="0"/>
        <v>34</v>
      </c>
      <c r="B35" s="263" t="s">
        <v>2137</v>
      </c>
      <c r="C35" s="263" t="s">
        <v>279</v>
      </c>
      <c r="D35" s="263">
        <v>15</v>
      </c>
      <c r="E35" s="263" t="s">
        <v>686</v>
      </c>
      <c r="F35" s="263" t="s">
        <v>2963</v>
      </c>
      <c r="G35" s="263"/>
      <c r="H35" s="263"/>
      <c r="I35" s="263" t="s">
        <v>683</v>
      </c>
      <c r="J35" s="263" t="s">
        <v>5435</v>
      </c>
      <c r="K35" s="263" t="s">
        <v>1317</v>
      </c>
      <c r="L35" s="263" t="s">
        <v>3029</v>
      </c>
      <c r="P35" s="178" t="s">
        <v>3104</v>
      </c>
    </row>
    <row r="36" spans="1:16">
      <c r="A36" s="263">
        <f t="shared" si="0"/>
        <v>35</v>
      </c>
      <c r="B36" s="263" t="s">
        <v>2145</v>
      </c>
      <c r="C36" s="263" t="s">
        <v>279</v>
      </c>
      <c r="D36" s="263">
        <v>15</v>
      </c>
      <c r="E36" s="263" t="s">
        <v>1322</v>
      </c>
      <c r="F36" s="263" t="s">
        <v>2963</v>
      </c>
      <c r="G36" s="263"/>
      <c r="H36" s="263"/>
      <c r="I36" s="263" t="s">
        <v>683</v>
      </c>
      <c r="J36" s="263" t="s">
        <v>5435</v>
      </c>
      <c r="K36" s="263" t="s">
        <v>5846</v>
      </c>
      <c r="L36" s="263" t="s">
        <v>3029</v>
      </c>
    </row>
    <row r="37" spans="1:16">
      <c r="A37" s="263">
        <f t="shared" si="0"/>
        <v>36</v>
      </c>
      <c r="B37" s="263" t="s">
        <v>2146</v>
      </c>
      <c r="C37" s="263" t="s">
        <v>279</v>
      </c>
      <c r="D37" s="263">
        <v>15</v>
      </c>
      <c r="E37" s="263" t="s">
        <v>343</v>
      </c>
      <c r="F37" s="263" t="s">
        <v>2963</v>
      </c>
      <c r="G37" s="263"/>
      <c r="H37" s="263"/>
      <c r="I37" s="263" t="s">
        <v>683</v>
      </c>
      <c r="J37" s="263" t="s">
        <v>5435</v>
      </c>
      <c r="K37" s="263" t="s">
        <v>3086</v>
      </c>
      <c r="L37" s="263" t="s">
        <v>3029</v>
      </c>
    </row>
    <row r="38" spans="1:16">
      <c r="A38" s="263">
        <f t="shared" si="0"/>
        <v>37</v>
      </c>
      <c r="B38" s="263" t="s">
        <v>2147</v>
      </c>
      <c r="C38" s="263" t="s">
        <v>279</v>
      </c>
      <c r="D38" s="263">
        <v>15</v>
      </c>
      <c r="E38" s="263" t="s">
        <v>344</v>
      </c>
      <c r="F38" s="263" t="s">
        <v>2963</v>
      </c>
      <c r="G38" s="263"/>
      <c r="H38" s="263"/>
      <c r="I38" s="263" t="s">
        <v>683</v>
      </c>
      <c r="J38" s="263" t="s">
        <v>5435</v>
      </c>
      <c r="K38" s="263" t="s">
        <v>3087</v>
      </c>
      <c r="L38" s="263" t="s">
        <v>3029</v>
      </c>
    </row>
    <row r="39" spans="1:16">
      <c r="A39" s="263">
        <f t="shared" si="0"/>
        <v>38</v>
      </c>
      <c r="B39" s="263" t="s">
        <v>2143</v>
      </c>
      <c r="C39" s="263" t="s">
        <v>279</v>
      </c>
      <c r="D39" s="263">
        <v>15</v>
      </c>
      <c r="E39" s="263" t="s">
        <v>345</v>
      </c>
      <c r="F39" s="263" t="s">
        <v>2963</v>
      </c>
      <c r="G39" s="263"/>
      <c r="H39" s="263"/>
      <c r="I39" s="263" t="s">
        <v>683</v>
      </c>
      <c r="J39" s="263" t="s">
        <v>5435</v>
      </c>
      <c r="K39" s="263" t="s">
        <v>1326</v>
      </c>
      <c r="L39" s="263" t="s">
        <v>3029</v>
      </c>
    </row>
    <row r="40" spans="1:16">
      <c r="A40" s="263">
        <f t="shared" si="0"/>
        <v>39</v>
      </c>
      <c r="B40" s="263" t="s">
        <v>2148</v>
      </c>
      <c r="C40" s="263" t="s">
        <v>279</v>
      </c>
      <c r="D40" s="263">
        <v>15</v>
      </c>
      <c r="E40" s="263" t="s">
        <v>346</v>
      </c>
      <c r="F40" s="263" t="s">
        <v>2963</v>
      </c>
      <c r="G40" s="263"/>
      <c r="H40" s="263"/>
      <c r="I40" s="263" t="s">
        <v>683</v>
      </c>
      <c r="J40" s="263" t="s">
        <v>5435</v>
      </c>
      <c r="K40" s="263" t="s">
        <v>739</v>
      </c>
      <c r="L40" s="263" t="s">
        <v>3029</v>
      </c>
    </row>
    <row r="41" spans="1:16">
      <c r="A41" s="263">
        <f t="shared" si="0"/>
        <v>40</v>
      </c>
      <c r="B41" s="263" t="s">
        <v>2149</v>
      </c>
      <c r="C41" s="263" t="s">
        <v>279</v>
      </c>
      <c r="D41" s="263">
        <v>15</v>
      </c>
      <c r="E41" s="263" t="s">
        <v>1319</v>
      </c>
      <c r="F41" s="263" t="s">
        <v>2963</v>
      </c>
      <c r="G41" s="263"/>
      <c r="H41" s="263"/>
      <c r="I41" s="263" t="s">
        <v>683</v>
      </c>
      <c r="J41" s="263" t="s">
        <v>5435</v>
      </c>
      <c r="K41" s="263" t="s">
        <v>3089</v>
      </c>
      <c r="L41" s="263" t="s">
        <v>3029</v>
      </c>
    </row>
    <row r="42" spans="1:16">
      <c r="A42" s="263">
        <f t="shared" si="0"/>
        <v>41</v>
      </c>
      <c r="B42" s="263" t="s">
        <v>2150</v>
      </c>
      <c r="C42" s="263" t="s">
        <v>1910</v>
      </c>
      <c r="D42" s="263">
        <v>3</v>
      </c>
      <c r="E42" s="263" t="s">
        <v>2972</v>
      </c>
      <c r="F42" s="263" t="s">
        <v>2963</v>
      </c>
      <c r="G42" s="435" t="s">
        <v>3059</v>
      </c>
      <c r="H42" s="435"/>
      <c r="I42" s="263"/>
      <c r="J42" s="263" t="s">
        <v>5430</v>
      </c>
      <c r="K42" s="263" t="s">
        <v>3060</v>
      </c>
      <c r="L42" s="263" t="s">
        <v>3029</v>
      </c>
      <c r="O42" s="178" t="s">
        <v>3058</v>
      </c>
    </row>
    <row r="43" spans="1:16">
      <c r="A43" s="263">
        <f t="shared" si="0"/>
        <v>42</v>
      </c>
      <c r="B43" s="263" t="s">
        <v>2151</v>
      </c>
      <c r="C43" s="263" t="s">
        <v>1910</v>
      </c>
      <c r="D43" s="263">
        <v>1</v>
      </c>
      <c r="E43" s="263" t="s">
        <v>2973</v>
      </c>
      <c r="F43" s="263" t="s">
        <v>2963</v>
      </c>
      <c r="G43" s="263" t="s">
        <v>3055</v>
      </c>
      <c r="H43" s="263"/>
      <c r="I43" s="263"/>
      <c r="J43" s="263" t="s">
        <v>5430</v>
      </c>
      <c r="K43" s="263" t="s">
        <v>3062</v>
      </c>
      <c r="L43" s="263" t="s">
        <v>3029</v>
      </c>
    </row>
    <row r="44" spans="1:16" s="328" customFormat="1">
      <c r="A44" s="277">
        <f t="shared" si="0"/>
        <v>43</v>
      </c>
      <c r="B44" s="277" t="s">
        <v>2152</v>
      </c>
      <c r="C44" s="277" t="s">
        <v>279</v>
      </c>
      <c r="D44" s="277">
        <v>15</v>
      </c>
      <c r="E44" s="277" t="s">
        <v>2974</v>
      </c>
      <c r="F44" s="277" t="s">
        <v>2963</v>
      </c>
      <c r="G44" s="277" t="s">
        <v>3056</v>
      </c>
      <c r="H44" s="277"/>
      <c r="I44" s="277" t="s">
        <v>683</v>
      </c>
      <c r="J44" s="263" t="s">
        <v>5435</v>
      </c>
      <c r="K44" s="277" t="s">
        <v>3513</v>
      </c>
      <c r="L44" s="277" t="s">
        <v>3029</v>
      </c>
      <c r="O44" s="328" t="s">
        <v>3515</v>
      </c>
      <c r="P44" s="328" t="s">
        <v>3514</v>
      </c>
    </row>
    <row r="45" spans="1:16">
      <c r="A45" s="263">
        <f t="shared" si="0"/>
        <v>44</v>
      </c>
      <c r="B45" s="263" t="s">
        <v>2153</v>
      </c>
      <c r="C45" s="263" t="s">
        <v>279</v>
      </c>
      <c r="D45" s="263">
        <v>15</v>
      </c>
      <c r="E45" s="263" t="s">
        <v>2975</v>
      </c>
      <c r="F45" s="263" t="s">
        <v>2963</v>
      </c>
      <c r="G45" s="263" t="s">
        <v>3056</v>
      </c>
      <c r="H45" s="263"/>
      <c r="I45" s="263"/>
      <c r="J45" s="263" t="s">
        <v>5437</v>
      </c>
      <c r="K45" s="263" t="s">
        <v>5850</v>
      </c>
      <c r="L45" s="263"/>
    </row>
    <row r="46" spans="1:16">
      <c r="A46" s="263">
        <f t="shared" si="0"/>
        <v>45</v>
      </c>
      <c r="B46" s="263" t="s">
        <v>2154</v>
      </c>
      <c r="C46" s="263" t="s">
        <v>279</v>
      </c>
      <c r="D46" s="263">
        <v>15</v>
      </c>
      <c r="E46" s="263" t="s">
        <v>2976</v>
      </c>
      <c r="F46" s="263" t="s">
        <v>2963</v>
      </c>
      <c r="G46" s="263" t="s">
        <v>3056</v>
      </c>
      <c r="H46" s="263"/>
      <c r="I46" s="263"/>
      <c r="J46" s="263" t="s">
        <v>5848</v>
      </c>
      <c r="K46" s="263" t="s">
        <v>5849</v>
      </c>
      <c r="L46" s="263"/>
      <c r="M46" s="349"/>
    </row>
    <row r="47" spans="1:16">
      <c r="A47" s="263">
        <f t="shared" si="0"/>
        <v>46</v>
      </c>
      <c r="B47" s="263" t="s">
        <v>2155</v>
      </c>
      <c r="C47" s="263" t="s">
        <v>279</v>
      </c>
      <c r="D47" s="263">
        <v>15</v>
      </c>
      <c r="E47" s="263" t="s">
        <v>3634</v>
      </c>
      <c r="F47" s="263" t="s">
        <v>3623</v>
      </c>
      <c r="G47" s="263" t="s">
        <v>3635</v>
      </c>
      <c r="H47" s="263"/>
      <c r="I47" s="324" t="s">
        <v>3332</v>
      </c>
      <c r="J47" s="345" t="s">
        <v>5142</v>
      </c>
      <c r="K47" s="263" t="s">
        <v>3636</v>
      </c>
      <c r="L47" s="263"/>
      <c r="M47" s="349"/>
    </row>
    <row r="48" spans="1:16">
      <c r="A48" s="263">
        <f t="shared" si="0"/>
        <v>47</v>
      </c>
      <c r="B48" s="263" t="s">
        <v>3628</v>
      </c>
      <c r="C48" s="263" t="s">
        <v>279</v>
      </c>
      <c r="D48" s="263">
        <v>2</v>
      </c>
      <c r="E48" s="263" t="s">
        <v>3629</v>
      </c>
      <c r="F48" s="263" t="s">
        <v>3630</v>
      </c>
      <c r="G48" s="263" t="s">
        <v>3621</v>
      </c>
      <c r="H48" s="263"/>
      <c r="I48" s="324" t="s">
        <v>3332</v>
      </c>
      <c r="J48" s="345" t="s">
        <v>5142</v>
      </c>
      <c r="K48" s="344" t="s">
        <v>3619</v>
      </c>
      <c r="L48" s="263"/>
      <c r="M48" s="349"/>
    </row>
    <row r="49" spans="1:16">
      <c r="A49" s="263">
        <f t="shared" si="0"/>
        <v>48</v>
      </c>
      <c r="B49" s="263" t="s">
        <v>2157</v>
      </c>
      <c r="C49" s="263" t="s">
        <v>279</v>
      </c>
      <c r="D49" s="263">
        <v>15</v>
      </c>
      <c r="E49" s="263" t="s">
        <v>3752</v>
      </c>
      <c r="F49" s="263" t="s">
        <v>3332</v>
      </c>
      <c r="G49" s="263"/>
      <c r="H49" s="263"/>
      <c r="I49" s="324" t="s">
        <v>3332</v>
      </c>
      <c r="J49" s="345" t="s">
        <v>5142</v>
      </c>
      <c r="K49" s="344" t="s">
        <v>5184</v>
      </c>
      <c r="L49" s="263"/>
      <c r="M49" s="349"/>
    </row>
    <row r="50" spans="1:16">
      <c r="A50" s="263">
        <f t="shared" si="0"/>
        <v>49</v>
      </c>
      <c r="B50" s="263" t="s">
        <v>2158</v>
      </c>
      <c r="C50" s="263" t="s">
        <v>279</v>
      </c>
      <c r="D50" s="263">
        <v>15</v>
      </c>
      <c r="E50" s="263" t="s">
        <v>5192</v>
      </c>
      <c r="F50" s="263"/>
      <c r="G50" s="263"/>
      <c r="H50" s="263"/>
      <c r="I50" s="324"/>
      <c r="J50" s="345" t="s">
        <v>5435</v>
      </c>
      <c r="K50" s="344" t="s">
        <v>5089</v>
      </c>
      <c r="L50" s="344"/>
      <c r="M50" s="349"/>
    </row>
    <row r="51" spans="1:16">
      <c r="A51" s="263">
        <f t="shared" si="0"/>
        <v>50</v>
      </c>
      <c r="B51" s="263" t="s">
        <v>2159</v>
      </c>
      <c r="C51" s="263" t="s">
        <v>279</v>
      </c>
      <c r="D51" s="263">
        <v>15</v>
      </c>
      <c r="E51" s="263" t="s">
        <v>3943</v>
      </c>
      <c r="F51" s="263"/>
      <c r="G51" s="263"/>
      <c r="H51" s="263" t="s">
        <v>5677</v>
      </c>
      <c r="I51" s="324"/>
      <c r="J51" s="263" t="s">
        <v>5430</v>
      </c>
      <c r="K51" s="344" t="s">
        <v>5882</v>
      </c>
      <c r="L51" s="345" t="s">
        <v>5436</v>
      </c>
      <c r="M51" s="349"/>
      <c r="P51" s="178" t="s">
        <v>7525</v>
      </c>
    </row>
    <row r="52" spans="1:16">
      <c r="A52" s="263">
        <f t="shared" si="0"/>
        <v>51</v>
      </c>
      <c r="B52" s="263" t="s">
        <v>2607</v>
      </c>
      <c r="C52" s="263" t="s">
        <v>1910</v>
      </c>
      <c r="D52" s="263">
        <v>2</v>
      </c>
      <c r="E52" s="263" t="s">
        <v>4396</v>
      </c>
      <c r="F52" s="263" t="s">
        <v>2963</v>
      </c>
      <c r="G52" s="263"/>
      <c r="H52" s="263"/>
      <c r="I52" s="324" t="s">
        <v>5666</v>
      </c>
      <c r="J52" s="345" t="s">
        <v>5438</v>
      </c>
      <c r="K52" s="344" t="s">
        <v>5439</v>
      </c>
      <c r="L52" s="344"/>
      <c r="M52" s="349"/>
    </row>
    <row r="53" spans="1:16">
      <c r="A53" s="263">
        <f t="shared" si="0"/>
        <v>52</v>
      </c>
      <c r="B53" s="263" t="s">
        <v>2608</v>
      </c>
      <c r="C53" s="263" t="s">
        <v>279</v>
      </c>
      <c r="D53" s="263">
        <v>3</v>
      </c>
      <c r="E53" s="263" t="s">
        <v>4397</v>
      </c>
      <c r="F53" s="263" t="s">
        <v>2963</v>
      </c>
      <c r="G53" s="263"/>
      <c r="H53" s="263"/>
      <c r="I53" s="324" t="s">
        <v>5666</v>
      </c>
      <c r="J53" s="345" t="s">
        <v>5438</v>
      </c>
      <c r="K53" s="263" t="s">
        <v>4397</v>
      </c>
      <c r="L53" s="344"/>
      <c r="M53" s="349"/>
    </row>
    <row r="54" spans="1:16">
      <c r="A54" s="263">
        <f t="shared" si="0"/>
        <v>53</v>
      </c>
      <c r="B54" s="263" t="s">
        <v>2609</v>
      </c>
      <c r="C54" s="263" t="s">
        <v>279</v>
      </c>
      <c r="D54" s="263">
        <v>5</v>
      </c>
      <c r="E54" s="263" t="s">
        <v>4398</v>
      </c>
      <c r="F54" s="263" t="s">
        <v>2963</v>
      </c>
      <c r="G54" s="263"/>
      <c r="H54" s="263"/>
      <c r="I54" s="324" t="s">
        <v>5666</v>
      </c>
      <c r="J54" s="345" t="s">
        <v>5438</v>
      </c>
      <c r="K54" s="263" t="s">
        <v>4398</v>
      </c>
      <c r="L54" s="344"/>
      <c r="M54" s="349"/>
    </row>
    <row r="55" spans="1:16">
      <c r="A55" s="263">
        <f t="shared" si="0"/>
        <v>54</v>
      </c>
      <c r="B55" s="263" t="s">
        <v>2610</v>
      </c>
      <c r="C55" s="263" t="s">
        <v>1910</v>
      </c>
      <c r="D55" s="263">
        <v>1</v>
      </c>
      <c r="E55" s="263" t="s">
        <v>4399</v>
      </c>
      <c r="F55" s="263" t="s">
        <v>2963</v>
      </c>
      <c r="G55" s="263"/>
      <c r="H55" s="263"/>
      <c r="I55" s="324" t="s">
        <v>5666</v>
      </c>
      <c r="J55" s="345" t="s">
        <v>5438</v>
      </c>
      <c r="K55" s="263" t="s">
        <v>4399</v>
      </c>
      <c r="L55" s="344"/>
      <c r="M55" s="349"/>
    </row>
    <row r="56" spans="1:16">
      <c r="A56" s="263">
        <f t="shared" si="0"/>
        <v>55</v>
      </c>
      <c r="B56" s="263" t="s">
        <v>2611</v>
      </c>
      <c r="C56" s="263" t="s">
        <v>1910</v>
      </c>
      <c r="D56" s="263">
        <v>1</v>
      </c>
      <c r="E56" s="263" t="s">
        <v>4400</v>
      </c>
      <c r="F56" s="263" t="s">
        <v>2963</v>
      </c>
      <c r="G56" s="263"/>
      <c r="H56" s="263"/>
      <c r="I56" s="324" t="s">
        <v>5666</v>
      </c>
      <c r="J56" s="345" t="s">
        <v>5438</v>
      </c>
      <c r="K56" s="263" t="s">
        <v>4400</v>
      </c>
      <c r="L56" s="344"/>
      <c r="M56" s="349"/>
    </row>
    <row r="57" spans="1:16">
      <c r="A57" s="263">
        <f t="shared" si="0"/>
        <v>56</v>
      </c>
      <c r="B57" s="263" t="s">
        <v>2612</v>
      </c>
      <c r="C57" s="263" t="s">
        <v>1910</v>
      </c>
      <c r="D57" s="263">
        <v>1</v>
      </c>
      <c r="E57" s="263" t="s">
        <v>4401</v>
      </c>
      <c r="F57" s="263" t="s">
        <v>2963</v>
      </c>
      <c r="G57" s="263"/>
      <c r="H57" s="263"/>
      <c r="I57" s="324" t="s">
        <v>5666</v>
      </c>
      <c r="J57" s="345" t="s">
        <v>5438</v>
      </c>
      <c r="K57" s="263" t="s">
        <v>4401</v>
      </c>
      <c r="L57" s="344"/>
      <c r="M57" s="349"/>
    </row>
    <row r="58" spans="1:16">
      <c r="A58" s="263">
        <f t="shared" si="0"/>
        <v>57</v>
      </c>
      <c r="B58" s="263" t="s">
        <v>2613</v>
      </c>
      <c r="C58" s="263" t="s">
        <v>1910</v>
      </c>
      <c r="D58" s="263">
        <v>2</v>
      </c>
      <c r="E58" s="263" t="s">
        <v>4402</v>
      </c>
      <c r="F58" s="263" t="s">
        <v>2963</v>
      </c>
      <c r="G58" s="263"/>
      <c r="H58" s="263"/>
      <c r="I58" s="324" t="s">
        <v>5666</v>
      </c>
      <c r="J58" s="345" t="s">
        <v>5438</v>
      </c>
      <c r="K58" s="263" t="s">
        <v>4402</v>
      </c>
      <c r="L58" s="344"/>
      <c r="M58" s="349"/>
    </row>
    <row r="59" spans="1:16">
      <c r="A59" s="263">
        <f t="shared" si="0"/>
        <v>58</v>
      </c>
      <c r="B59" s="263" t="s">
        <v>2614</v>
      </c>
      <c r="C59" s="263" t="s">
        <v>279</v>
      </c>
      <c r="D59" s="263">
        <v>5</v>
      </c>
      <c r="E59" s="263" t="s">
        <v>4403</v>
      </c>
      <c r="F59" s="263" t="s">
        <v>2963</v>
      </c>
      <c r="G59" s="263"/>
      <c r="H59" s="263"/>
      <c r="I59" s="324" t="s">
        <v>5666</v>
      </c>
      <c r="J59" s="345" t="s">
        <v>5438</v>
      </c>
      <c r="K59" s="263" t="s">
        <v>4403</v>
      </c>
      <c r="L59" s="344"/>
      <c r="M59" s="349"/>
    </row>
    <row r="60" spans="1:16">
      <c r="A60" s="263">
        <f t="shared" si="0"/>
        <v>59</v>
      </c>
      <c r="B60" s="263" t="s">
        <v>2615</v>
      </c>
      <c r="C60" s="263" t="s">
        <v>1910</v>
      </c>
      <c r="D60" s="263">
        <v>2</v>
      </c>
      <c r="E60" s="263" t="s">
        <v>4404</v>
      </c>
      <c r="F60" s="263" t="s">
        <v>2963</v>
      </c>
      <c r="G60" s="263"/>
      <c r="H60" s="263"/>
      <c r="I60" s="324" t="s">
        <v>5666</v>
      </c>
      <c r="J60" s="345" t="s">
        <v>5438</v>
      </c>
      <c r="K60" s="263" t="s">
        <v>4404</v>
      </c>
      <c r="L60" s="344"/>
      <c r="M60" s="349"/>
    </row>
    <row r="61" spans="1:16">
      <c r="A61" s="263">
        <f t="shared" si="0"/>
        <v>60</v>
      </c>
      <c r="B61" s="263" t="s">
        <v>2616</v>
      </c>
      <c r="C61" s="263" t="s">
        <v>279</v>
      </c>
      <c r="D61" s="263">
        <v>5</v>
      </c>
      <c r="E61" s="263" t="s">
        <v>4405</v>
      </c>
      <c r="F61" s="263" t="s">
        <v>2963</v>
      </c>
      <c r="G61" s="263"/>
      <c r="H61" s="263"/>
      <c r="I61" s="324" t="s">
        <v>5666</v>
      </c>
      <c r="J61" s="345" t="s">
        <v>5438</v>
      </c>
      <c r="K61" s="263" t="s">
        <v>4405</v>
      </c>
      <c r="L61" s="344"/>
      <c r="M61" s="349"/>
    </row>
    <row r="62" spans="1:16">
      <c r="A62" s="263">
        <f t="shared" si="0"/>
        <v>61</v>
      </c>
      <c r="B62" s="263" t="s">
        <v>2617</v>
      </c>
      <c r="C62" s="263" t="s">
        <v>279</v>
      </c>
      <c r="D62" s="263">
        <v>15</v>
      </c>
      <c r="E62" s="263" t="s">
        <v>4406</v>
      </c>
      <c r="F62" s="263" t="s">
        <v>2963</v>
      </c>
      <c r="G62" s="263"/>
      <c r="H62" s="263"/>
      <c r="I62" s="324" t="s">
        <v>5666</v>
      </c>
      <c r="J62" s="345" t="s">
        <v>5438</v>
      </c>
      <c r="K62" s="263" t="s">
        <v>4406</v>
      </c>
      <c r="L62" s="344"/>
      <c r="M62" s="349"/>
    </row>
    <row r="63" spans="1:16">
      <c r="A63" s="263">
        <f t="shared" si="0"/>
        <v>62</v>
      </c>
      <c r="B63" s="263" t="s">
        <v>2618</v>
      </c>
      <c r="C63" s="263" t="s">
        <v>279</v>
      </c>
      <c r="D63" s="263">
        <v>15</v>
      </c>
      <c r="E63" s="263" t="s">
        <v>4407</v>
      </c>
      <c r="F63" s="263" t="s">
        <v>2963</v>
      </c>
      <c r="G63" s="263"/>
      <c r="H63" s="263"/>
      <c r="I63" s="324" t="s">
        <v>5666</v>
      </c>
      <c r="J63" s="345" t="s">
        <v>5438</v>
      </c>
      <c r="K63" s="263" t="s">
        <v>4407</v>
      </c>
      <c r="L63" s="344"/>
      <c r="M63" s="349"/>
    </row>
    <row r="64" spans="1:16">
      <c r="A64" s="263">
        <f t="shared" si="0"/>
        <v>63</v>
      </c>
      <c r="B64" s="263" t="s">
        <v>2619</v>
      </c>
      <c r="C64" s="263" t="s">
        <v>279</v>
      </c>
      <c r="D64" s="263">
        <v>15</v>
      </c>
      <c r="E64" s="263" t="s">
        <v>5193</v>
      </c>
      <c r="F64" s="263"/>
      <c r="G64" s="263"/>
      <c r="H64" s="263"/>
      <c r="I64" s="324"/>
      <c r="J64" s="345" t="s">
        <v>5435</v>
      </c>
      <c r="K64" s="344" t="s">
        <v>5105</v>
      </c>
      <c r="L64" s="344"/>
      <c r="M64" s="349"/>
    </row>
    <row r="65" spans="1:13">
      <c r="A65" s="263">
        <f t="shared" si="0"/>
        <v>64</v>
      </c>
      <c r="B65" s="263" t="s">
        <v>2620</v>
      </c>
      <c r="C65" s="263" t="s">
        <v>279</v>
      </c>
      <c r="D65" s="263">
        <v>15</v>
      </c>
      <c r="E65" s="263" t="s">
        <v>5194</v>
      </c>
      <c r="F65" s="263"/>
      <c r="G65" s="263"/>
      <c r="H65" s="263" t="s">
        <v>5677</v>
      </c>
      <c r="I65" s="324"/>
      <c r="J65" s="345" t="s">
        <v>5430</v>
      </c>
      <c r="K65" s="344" t="s">
        <v>5106</v>
      </c>
      <c r="L65" s="344"/>
      <c r="M65" s="349"/>
    </row>
    <row r="66" spans="1:13">
      <c r="A66" s="263">
        <f t="shared" si="0"/>
        <v>65</v>
      </c>
      <c r="B66" s="263" t="s">
        <v>2621</v>
      </c>
      <c r="C66" s="263" t="s">
        <v>1910</v>
      </c>
      <c r="D66" s="263">
        <v>1</v>
      </c>
      <c r="E66" s="263" t="s">
        <v>3940</v>
      </c>
      <c r="F66" s="263"/>
      <c r="G66" s="263"/>
      <c r="H66" s="263"/>
      <c r="I66" s="324"/>
      <c r="J66" s="345" t="s">
        <v>5437</v>
      </c>
      <c r="K66" s="344" t="s">
        <v>3940</v>
      </c>
      <c r="L66" s="344"/>
      <c r="M66" s="349"/>
    </row>
    <row r="67" spans="1:13">
      <c r="A67" s="263">
        <f t="shared" si="0"/>
        <v>66</v>
      </c>
      <c r="B67" s="263" t="s">
        <v>2624</v>
      </c>
      <c r="C67" s="263" t="s">
        <v>279</v>
      </c>
      <c r="D67" s="263">
        <v>15</v>
      </c>
      <c r="E67" s="263" t="s">
        <v>4409</v>
      </c>
      <c r="F67" s="263" t="s">
        <v>2963</v>
      </c>
      <c r="G67" s="263"/>
      <c r="H67" s="263"/>
      <c r="I67" s="324" t="s">
        <v>5666</v>
      </c>
      <c r="J67" s="345" t="s">
        <v>5438</v>
      </c>
      <c r="K67" s="344" t="s">
        <v>5440</v>
      </c>
      <c r="L67" s="344"/>
      <c r="M67" s="349"/>
    </row>
    <row r="68" spans="1:13">
      <c r="A68" s="263">
        <f t="shared" si="0"/>
        <v>67</v>
      </c>
      <c r="B68" s="263" t="s">
        <v>2625</v>
      </c>
      <c r="C68" s="263" t="s">
        <v>279</v>
      </c>
      <c r="D68" s="263">
        <v>15</v>
      </c>
      <c r="E68" s="263" t="s">
        <v>4410</v>
      </c>
      <c r="F68" s="263" t="s">
        <v>2963</v>
      </c>
      <c r="G68" s="263"/>
      <c r="H68" s="263"/>
      <c r="I68" s="324" t="s">
        <v>5666</v>
      </c>
      <c r="J68" s="345" t="s">
        <v>5438</v>
      </c>
      <c r="K68" s="344" t="s">
        <v>5441</v>
      </c>
      <c r="L68" s="344"/>
      <c r="M68" s="349"/>
    </row>
    <row r="69" spans="1:13">
      <c r="A69" s="263">
        <f t="shared" si="0"/>
        <v>68</v>
      </c>
      <c r="B69" s="263" t="s">
        <v>5143</v>
      </c>
      <c r="C69" s="263" t="s">
        <v>279</v>
      </c>
      <c r="D69" s="263">
        <v>15</v>
      </c>
      <c r="E69" s="263" t="s">
        <v>5145</v>
      </c>
      <c r="F69" s="263" t="s">
        <v>2963</v>
      </c>
      <c r="G69" s="263"/>
      <c r="H69" s="263"/>
      <c r="I69" s="324" t="s">
        <v>5116</v>
      </c>
      <c r="J69" s="263" t="s">
        <v>5853</v>
      </c>
      <c r="K69" s="263" t="s">
        <v>5854</v>
      </c>
      <c r="L69" s="344"/>
      <c r="M69" s="349"/>
    </row>
    <row r="70" spans="1:13">
      <c r="A70" s="263">
        <f t="shared" si="0"/>
        <v>69</v>
      </c>
      <c r="B70" s="263" t="s">
        <v>5144</v>
      </c>
      <c r="C70" s="263" t="s">
        <v>279</v>
      </c>
      <c r="D70" s="263">
        <v>15</v>
      </c>
      <c r="E70" s="263" t="s">
        <v>5146</v>
      </c>
      <c r="F70" s="263"/>
      <c r="G70" s="263"/>
      <c r="H70" s="263"/>
      <c r="I70" s="324"/>
      <c r="J70" s="344" t="s">
        <v>5435</v>
      </c>
      <c r="K70" s="263" t="s">
        <v>5111</v>
      </c>
      <c r="L70" s="344"/>
      <c r="M70" s="349"/>
    </row>
    <row r="71" spans="1:13">
      <c r="A71" s="263">
        <f t="shared" si="0"/>
        <v>70</v>
      </c>
      <c r="B71" s="263" t="s">
        <v>2628</v>
      </c>
      <c r="C71" s="263" t="s">
        <v>279</v>
      </c>
      <c r="D71" s="263">
        <v>15</v>
      </c>
      <c r="E71" s="263" t="s">
        <v>5147</v>
      </c>
      <c r="F71" s="263" t="s">
        <v>2963</v>
      </c>
      <c r="G71" s="263"/>
      <c r="H71" s="263"/>
      <c r="I71" s="324" t="s">
        <v>5116</v>
      </c>
      <c r="J71" s="339" t="s">
        <v>5853</v>
      </c>
      <c r="K71" s="263" t="s">
        <v>5855</v>
      </c>
      <c r="L71" s="344"/>
      <c r="M71" s="349"/>
    </row>
    <row r="72" spans="1:13">
      <c r="A72" s="263">
        <f t="shared" si="0"/>
        <v>71</v>
      </c>
      <c r="B72" s="263" t="s">
        <v>2629</v>
      </c>
      <c r="C72" s="263" t="s">
        <v>279</v>
      </c>
      <c r="D72" s="263">
        <v>15</v>
      </c>
      <c r="E72" s="263" t="s">
        <v>5148</v>
      </c>
      <c r="F72" s="263"/>
      <c r="G72" s="263"/>
      <c r="H72" s="263"/>
      <c r="I72" s="324"/>
      <c r="J72" s="344" t="s">
        <v>5435</v>
      </c>
      <c r="K72" s="263" t="s">
        <v>5136</v>
      </c>
      <c r="L72" s="344"/>
      <c r="M72" s="349"/>
    </row>
    <row r="73" spans="1:13">
      <c r="A73" s="263">
        <f t="shared" si="0"/>
        <v>72</v>
      </c>
      <c r="B73" s="263" t="s">
        <v>2630</v>
      </c>
      <c r="C73" s="619" t="s">
        <v>4258</v>
      </c>
      <c r="D73" s="619" t="s">
        <v>4263</v>
      </c>
      <c r="E73" s="263" t="s">
        <v>5431</v>
      </c>
      <c r="F73" s="263"/>
      <c r="G73" s="263"/>
      <c r="H73" s="263"/>
      <c r="I73" s="324"/>
      <c r="J73" s="345" t="s">
        <v>5430</v>
      </c>
      <c r="K73" s="263" t="s">
        <v>5429</v>
      </c>
      <c r="L73" s="344"/>
      <c r="M73" s="349"/>
    </row>
    <row r="74" spans="1:13">
      <c r="A74" s="263">
        <f t="shared" si="0"/>
        <v>73</v>
      </c>
      <c r="B74" s="263" t="s">
        <v>2631</v>
      </c>
      <c r="C74" s="619" t="s">
        <v>52</v>
      </c>
      <c r="D74" s="619" t="s">
        <v>4262</v>
      </c>
      <c r="E74" s="263" t="s">
        <v>280</v>
      </c>
      <c r="F74" s="263" t="s">
        <v>2963</v>
      </c>
      <c r="G74" s="263"/>
      <c r="H74" s="263"/>
      <c r="I74" s="324" t="s">
        <v>5665</v>
      </c>
      <c r="J74" s="345" t="s">
        <v>5141</v>
      </c>
      <c r="K74" s="344" t="s">
        <v>189</v>
      </c>
      <c r="L74" s="344"/>
      <c r="M74" s="349"/>
    </row>
    <row r="75" spans="1:13">
      <c r="A75" s="263">
        <f t="shared" si="0"/>
        <v>74</v>
      </c>
      <c r="B75" s="263" t="s">
        <v>2632</v>
      </c>
      <c r="C75" s="619" t="s">
        <v>4258</v>
      </c>
      <c r="D75" s="619" t="s">
        <v>4262</v>
      </c>
      <c r="E75" s="344" t="s">
        <v>276</v>
      </c>
      <c r="F75" s="263" t="s">
        <v>2963</v>
      </c>
      <c r="G75" s="263"/>
      <c r="H75" s="263"/>
      <c r="I75" s="324" t="s">
        <v>5665</v>
      </c>
      <c r="J75" s="345" t="s">
        <v>5141</v>
      </c>
      <c r="K75" s="344" t="s">
        <v>276</v>
      </c>
      <c r="L75" s="344"/>
      <c r="M75" s="349"/>
    </row>
    <row r="76" spans="1:13">
      <c r="A76" s="263">
        <f t="shared" si="0"/>
        <v>75</v>
      </c>
      <c r="B76" s="263" t="s">
        <v>2633</v>
      </c>
      <c r="C76" s="619" t="s">
        <v>52</v>
      </c>
      <c r="D76" s="619" t="s">
        <v>4262</v>
      </c>
      <c r="E76" s="263" t="s">
        <v>325</v>
      </c>
      <c r="F76" s="263" t="s">
        <v>2963</v>
      </c>
      <c r="G76" s="263"/>
      <c r="H76" s="263"/>
      <c r="I76" s="324" t="s">
        <v>5665</v>
      </c>
      <c r="J76" s="345" t="s">
        <v>5141</v>
      </c>
      <c r="K76" s="344" t="s">
        <v>3389</v>
      </c>
      <c r="L76" s="344"/>
      <c r="M76" s="349"/>
    </row>
    <row r="77" spans="1:13">
      <c r="A77" s="263">
        <f t="shared" si="0"/>
        <v>76</v>
      </c>
      <c r="B77" s="263" t="s">
        <v>2634</v>
      </c>
      <c r="C77" s="619" t="s">
        <v>4258</v>
      </c>
      <c r="D77" s="619" t="s">
        <v>4264</v>
      </c>
      <c r="E77" s="263" t="s">
        <v>5433</v>
      </c>
      <c r="F77" s="263" t="s">
        <v>2963</v>
      </c>
      <c r="G77" s="263"/>
      <c r="H77" s="263"/>
      <c r="I77" s="324" t="s">
        <v>5665</v>
      </c>
      <c r="J77" s="345" t="s">
        <v>5141</v>
      </c>
      <c r="K77" s="344" t="s">
        <v>208</v>
      </c>
      <c r="L77" s="344"/>
      <c r="M77" s="349"/>
    </row>
    <row r="78" spans="1:13">
      <c r="A78" s="263">
        <f t="shared" si="0"/>
        <v>77</v>
      </c>
      <c r="B78" s="263" t="s">
        <v>2635</v>
      </c>
      <c r="C78" s="619" t="s">
        <v>4258</v>
      </c>
      <c r="D78" s="619" t="s">
        <v>4264</v>
      </c>
      <c r="E78" s="263" t="s">
        <v>5434</v>
      </c>
      <c r="F78" s="263" t="s">
        <v>2963</v>
      </c>
      <c r="G78" s="263"/>
      <c r="H78" s="263"/>
      <c r="I78" s="324" t="s">
        <v>5665</v>
      </c>
      <c r="J78" s="345" t="s">
        <v>5141</v>
      </c>
      <c r="K78" s="344" t="s">
        <v>212</v>
      </c>
      <c r="L78" s="344"/>
      <c r="M78" s="349"/>
    </row>
    <row r="79" spans="1:13">
      <c r="A79" s="263">
        <f t="shared" si="0"/>
        <v>78</v>
      </c>
      <c r="B79" s="263" t="s">
        <v>2636</v>
      </c>
      <c r="C79" s="619" t="s">
        <v>52</v>
      </c>
      <c r="D79" s="619" t="s">
        <v>4262</v>
      </c>
      <c r="E79" s="263" t="s">
        <v>4058</v>
      </c>
      <c r="F79" s="263" t="s">
        <v>2963</v>
      </c>
      <c r="G79" s="263"/>
      <c r="H79" s="263"/>
      <c r="I79" s="324" t="s">
        <v>1697</v>
      </c>
      <c r="J79" s="345" t="s">
        <v>5427</v>
      </c>
      <c r="K79" s="344" t="s">
        <v>5432</v>
      </c>
      <c r="L79" s="344"/>
      <c r="M79" s="349"/>
    </row>
    <row r="80" spans="1:13">
      <c r="A80" s="263">
        <f t="shared" si="0"/>
        <v>79</v>
      </c>
      <c r="B80" s="263" t="s">
        <v>2637</v>
      </c>
      <c r="C80" s="619" t="s">
        <v>4258</v>
      </c>
      <c r="D80" s="619" t="s">
        <v>7437</v>
      </c>
      <c r="E80" s="344" t="s">
        <v>5428</v>
      </c>
      <c r="F80" s="263" t="s">
        <v>2963</v>
      </c>
      <c r="G80" s="263"/>
      <c r="H80" s="263"/>
      <c r="I80" s="324" t="s">
        <v>1697</v>
      </c>
      <c r="J80" s="345" t="s">
        <v>5427</v>
      </c>
      <c r="K80" s="344" t="s">
        <v>5428</v>
      </c>
      <c r="L80" s="344"/>
      <c r="M80" s="349"/>
    </row>
    <row r="81" spans="1:16">
      <c r="A81" s="263">
        <f t="shared" si="0"/>
        <v>80</v>
      </c>
      <c r="B81" s="263" t="s">
        <v>2638</v>
      </c>
      <c r="C81" s="619" t="s">
        <v>4258</v>
      </c>
      <c r="D81" s="619" t="s">
        <v>4263</v>
      </c>
      <c r="E81" s="263" t="s">
        <v>4062</v>
      </c>
      <c r="F81" s="263"/>
      <c r="G81" s="263"/>
      <c r="H81" s="263"/>
      <c r="I81" s="324"/>
      <c r="J81" s="263" t="s">
        <v>5856</v>
      </c>
      <c r="K81" s="263" t="s">
        <v>5857</v>
      </c>
      <c r="L81" s="263" t="s">
        <v>5858</v>
      </c>
      <c r="M81" s="349"/>
    </row>
    <row r="82" spans="1:16">
      <c r="A82" s="339">
        <f t="shared" si="0"/>
        <v>81</v>
      </c>
      <c r="B82" s="339" t="s">
        <v>2639</v>
      </c>
      <c r="C82" s="623" t="s">
        <v>4258</v>
      </c>
      <c r="D82" s="623" t="s">
        <v>4264</v>
      </c>
      <c r="E82" s="339" t="s">
        <v>5902</v>
      </c>
      <c r="F82" s="339"/>
      <c r="G82" s="339"/>
      <c r="H82" s="339"/>
      <c r="I82" s="324"/>
      <c r="J82" s="339"/>
      <c r="K82" s="339" t="s">
        <v>5852</v>
      </c>
      <c r="L82" s="263"/>
      <c r="M82" s="349"/>
      <c r="P82" s="449" t="s">
        <v>5170</v>
      </c>
    </row>
    <row r="83" spans="1:16">
      <c r="A83" s="339">
        <f t="shared" si="0"/>
        <v>82</v>
      </c>
      <c r="B83" s="339" t="s">
        <v>2640</v>
      </c>
      <c r="C83" s="623" t="s">
        <v>4258</v>
      </c>
      <c r="D83" s="623" t="s">
        <v>4264</v>
      </c>
      <c r="E83" s="339" t="s">
        <v>5903</v>
      </c>
      <c r="F83" s="339"/>
      <c r="G83" s="339"/>
      <c r="H83" s="339"/>
      <c r="I83" s="324"/>
      <c r="J83" s="339"/>
      <c r="K83" s="339" t="s">
        <v>5903</v>
      </c>
      <c r="L83" s="263"/>
      <c r="M83" s="349"/>
      <c r="P83" s="449" t="s">
        <v>5910</v>
      </c>
    </row>
    <row r="84" spans="1:16">
      <c r="A84" s="339">
        <f t="shared" si="0"/>
        <v>83</v>
      </c>
      <c r="B84" s="339" t="s">
        <v>5904</v>
      </c>
      <c r="C84" s="623" t="s">
        <v>4258</v>
      </c>
      <c r="D84" s="623" t="s">
        <v>4264</v>
      </c>
      <c r="E84" s="339" t="s">
        <v>685</v>
      </c>
      <c r="F84" s="339"/>
      <c r="G84" s="339"/>
      <c r="H84" s="339"/>
      <c r="I84" s="339" t="s">
        <v>683</v>
      </c>
      <c r="J84" s="339" t="s">
        <v>5435</v>
      </c>
      <c r="K84" s="339" t="s">
        <v>1316</v>
      </c>
      <c r="L84" s="263"/>
      <c r="M84" s="349"/>
      <c r="P84" s="448" t="s">
        <v>2586</v>
      </c>
    </row>
    <row r="85" spans="1:16">
      <c r="A85" s="339">
        <f t="shared" si="0"/>
        <v>84</v>
      </c>
      <c r="B85" s="339" t="s">
        <v>2643</v>
      </c>
      <c r="C85" s="623" t="s">
        <v>52</v>
      </c>
      <c r="D85" s="623" t="s">
        <v>4262</v>
      </c>
      <c r="E85" s="339" t="s">
        <v>5905</v>
      </c>
      <c r="F85" s="339"/>
      <c r="G85" s="339"/>
      <c r="H85" s="339"/>
      <c r="I85" s="339" t="s">
        <v>683</v>
      </c>
      <c r="J85" s="624" t="s">
        <v>5909</v>
      </c>
      <c r="K85" s="624">
        <v>0</v>
      </c>
      <c r="L85" s="263"/>
      <c r="M85" s="349"/>
      <c r="P85" s="448" t="s">
        <v>2600</v>
      </c>
    </row>
    <row r="86" spans="1:16">
      <c r="A86" s="339">
        <f t="shared" si="0"/>
        <v>85</v>
      </c>
      <c r="B86" s="339" t="s">
        <v>2644</v>
      </c>
      <c r="C86" s="623" t="s">
        <v>52</v>
      </c>
      <c r="D86" s="623" t="s">
        <v>4262</v>
      </c>
      <c r="E86" s="339" t="s">
        <v>5906</v>
      </c>
      <c r="F86" s="339"/>
      <c r="G86" s="339"/>
      <c r="H86" s="339"/>
      <c r="I86" s="339" t="s">
        <v>683</v>
      </c>
      <c r="J86" s="624" t="s">
        <v>5909</v>
      </c>
      <c r="K86" s="624">
        <v>0</v>
      </c>
      <c r="L86" s="263"/>
      <c r="M86" s="349"/>
      <c r="P86" s="448" t="s">
        <v>2601</v>
      </c>
    </row>
    <row r="87" spans="1:16">
      <c r="A87" s="339">
        <f t="shared" si="0"/>
        <v>86</v>
      </c>
      <c r="B87" s="339" t="s">
        <v>2645</v>
      </c>
      <c r="C87" s="623" t="s">
        <v>4258</v>
      </c>
      <c r="D87" s="623" t="s">
        <v>4263</v>
      </c>
      <c r="E87" s="339" t="s">
        <v>1327</v>
      </c>
      <c r="F87" s="339"/>
      <c r="G87" s="339"/>
      <c r="H87" s="339"/>
      <c r="I87" s="339" t="s">
        <v>683</v>
      </c>
      <c r="J87" s="339">
        <v>0</v>
      </c>
      <c r="K87" s="339" t="s">
        <v>1328</v>
      </c>
      <c r="L87" s="263"/>
      <c r="M87" s="349"/>
      <c r="P87" s="448" t="s">
        <v>2602</v>
      </c>
    </row>
    <row r="88" spans="1:16">
      <c r="A88" s="339">
        <f t="shared" si="0"/>
        <v>87</v>
      </c>
      <c r="B88" s="339" t="s">
        <v>2646</v>
      </c>
      <c r="C88" s="623" t="s">
        <v>4258</v>
      </c>
      <c r="D88" s="623" t="s">
        <v>4264</v>
      </c>
      <c r="E88" s="339" t="s">
        <v>296</v>
      </c>
      <c r="F88" s="339"/>
      <c r="G88" s="339"/>
      <c r="H88" s="339"/>
      <c r="I88" s="339" t="s">
        <v>683</v>
      </c>
      <c r="J88" s="339" t="s">
        <v>5435</v>
      </c>
      <c r="K88" s="339" t="s">
        <v>296</v>
      </c>
      <c r="L88" s="263"/>
      <c r="M88" s="349"/>
      <c r="P88" s="448" t="s">
        <v>5911</v>
      </c>
    </row>
    <row r="89" spans="1:16">
      <c r="A89" s="339">
        <f t="shared" si="0"/>
        <v>88</v>
      </c>
      <c r="B89" s="339" t="s">
        <v>2647</v>
      </c>
      <c r="C89" s="623" t="s">
        <v>4258</v>
      </c>
      <c r="D89" s="623" t="s">
        <v>4264</v>
      </c>
      <c r="E89" s="339" t="s">
        <v>5907</v>
      </c>
      <c r="F89" s="339"/>
      <c r="G89" s="339"/>
      <c r="H89" s="339"/>
      <c r="I89" s="339" t="s">
        <v>683</v>
      </c>
      <c r="J89" s="339" t="s">
        <v>5435</v>
      </c>
      <c r="K89" s="339" t="s">
        <v>3532</v>
      </c>
      <c r="L89" s="263"/>
      <c r="M89" s="349"/>
      <c r="P89" s="448" t="s">
        <v>3527</v>
      </c>
    </row>
    <row r="90" spans="1:16">
      <c r="A90" s="339">
        <f t="shared" si="0"/>
        <v>89</v>
      </c>
      <c r="B90" s="339" t="s">
        <v>2648</v>
      </c>
      <c r="C90" s="623" t="s">
        <v>52</v>
      </c>
      <c r="D90" s="623" t="s">
        <v>4262</v>
      </c>
      <c r="E90" s="339" t="s">
        <v>5908</v>
      </c>
      <c r="F90" s="339"/>
      <c r="G90" s="339"/>
      <c r="H90" s="339"/>
      <c r="I90" s="339" t="s">
        <v>683</v>
      </c>
      <c r="J90" s="339" t="s">
        <v>5435</v>
      </c>
      <c r="K90" s="339" t="s">
        <v>3533</v>
      </c>
      <c r="L90" s="263"/>
      <c r="M90" s="349"/>
      <c r="P90" s="451" t="s">
        <v>3528</v>
      </c>
    </row>
    <row r="91" spans="1:16">
      <c r="A91" s="339">
        <f t="shared" si="0"/>
        <v>90</v>
      </c>
      <c r="B91" s="339" t="s">
        <v>2649</v>
      </c>
      <c r="C91" s="623" t="s">
        <v>52</v>
      </c>
      <c r="D91" s="623" t="s">
        <v>4262</v>
      </c>
      <c r="E91" s="339" t="s">
        <v>5912</v>
      </c>
      <c r="F91" s="339"/>
      <c r="G91" s="339"/>
      <c r="H91" s="339"/>
      <c r="I91" s="339" t="s">
        <v>683</v>
      </c>
      <c r="J91" s="339" t="s">
        <v>5435</v>
      </c>
      <c r="K91" s="339" t="s">
        <v>3534</v>
      </c>
      <c r="L91" s="263"/>
      <c r="M91" s="349"/>
      <c r="P91" s="448" t="s">
        <v>3529</v>
      </c>
    </row>
    <row r="92" spans="1:16">
      <c r="A92" s="339">
        <f t="shared" si="0"/>
        <v>91</v>
      </c>
      <c r="B92" s="339" t="s">
        <v>2650</v>
      </c>
      <c r="C92" s="623" t="s">
        <v>52</v>
      </c>
      <c r="D92" s="623" t="s">
        <v>4262</v>
      </c>
      <c r="E92" s="339" t="s">
        <v>5913</v>
      </c>
      <c r="F92" s="339"/>
      <c r="G92" s="339"/>
      <c r="H92" s="339"/>
      <c r="I92" s="339" t="s">
        <v>683</v>
      </c>
      <c r="J92" s="339" t="s">
        <v>5435</v>
      </c>
      <c r="K92" s="339" t="s">
        <v>3535</v>
      </c>
      <c r="L92" s="263"/>
      <c r="M92" s="349"/>
      <c r="P92" s="448" t="s">
        <v>3530</v>
      </c>
    </row>
    <row r="93" spans="1:16">
      <c r="A93" s="339">
        <f t="shared" si="0"/>
        <v>92</v>
      </c>
      <c r="B93" s="339" t="s">
        <v>2651</v>
      </c>
      <c r="C93" s="623" t="s">
        <v>52</v>
      </c>
      <c r="D93" s="623" t="s">
        <v>4262</v>
      </c>
      <c r="E93" s="339" t="s">
        <v>5914</v>
      </c>
      <c r="F93" s="339"/>
      <c r="G93" s="339"/>
      <c r="H93" s="339"/>
      <c r="I93" s="339" t="s">
        <v>683</v>
      </c>
      <c r="J93" s="339" t="s">
        <v>5435</v>
      </c>
      <c r="K93" s="339" t="s">
        <v>3536</v>
      </c>
      <c r="L93" s="263"/>
      <c r="M93" s="349"/>
      <c r="P93" s="448" t="s">
        <v>3531</v>
      </c>
    </row>
    <row r="94" spans="1:16">
      <c r="A94" s="339">
        <f t="shared" si="0"/>
        <v>93</v>
      </c>
      <c r="B94" s="339" t="s">
        <v>2652</v>
      </c>
      <c r="C94" s="623" t="s">
        <v>4258</v>
      </c>
      <c r="D94" s="623" t="s">
        <v>5299</v>
      </c>
      <c r="E94" s="625" t="s">
        <v>7435</v>
      </c>
      <c r="F94" s="626"/>
      <c r="G94" s="626"/>
      <c r="H94" s="626"/>
      <c r="I94" s="626"/>
      <c r="J94" s="626" t="s">
        <v>7439</v>
      </c>
      <c r="K94" s="626" t="s">
        <v>7435</v>
      </c>
      <c r="L94" s="620"/>
      <c r="M94" s="349"/>
      <c r="P94" s="448"/>
    </row>
    <row r="95" spans="1:16">
      <c r="A95" s="339">
        <f t="shared" si="0"/>
        <v>94</v>
      </c>
      <c r="B95" s="339" t="s">
        <v>2653</v>
      </c>
      <c r="C95" s="623" t="s">
        <v>52</v>
      </c>
      <c r="D95" s="623" t="s">
        <v>5299</v>
      </c>
      <c r="E95" s="625" t="s">
        <v>7436</v>
      </c>
      <c r="F95" s="626"/>
      <c r="G95" s="626"/>
      <c r="H95" s="626"/>
      <c r="I95" s="626"/>
      <c r="J95" s="626" t="s">
        <v>7439</v>
      </c>
      <c r="K95" s="626" t="s">
        <v>7436</v>
      </c>
      <c r="L95" s="620"/>
      <c r="M95" s="349"/>
      <c r="P95" s="448"/>
    </row>
    <row r="96" spans="1:16">
      <c r="A96" s="339">
        <f t="shared" si="0"/>
        <v>95</v>
      </c>
      <c r="B96" s="339" t="s">
        <v>2654</v>
      </c>
      <c r="C96" s="623" t="s">
        <v>52</v>
      </c>
      <c r="D96" s="623" t="s">
        <v>5299</v>
      </c>
      <c r="E96" s="625" t="s">
        <v>2983</v>
      </c>
      <c r="F96" s="626"/>
      <c r="G96" s="626"/>
      <c r="H96" s="626"/>
      <c r="I96" s="626"/>
      <c r="J96" s="626" t="s">
        <v>7439</v>
      </c>
      <c r="K96" s="626" t="s">
        <v>2983</v>
      </c>
      <c r="L96" s="620"/>
      <c r="M96" s="349"/>
      <c r="P96" s="448"/>
    </row>
    <row r="97" spans="1:16">
      <c r="A97" s="339">
        <f t="shared" si="0"/>
        <v>96</v>
      </c>
      <c r="B97" s="339" t="s">
        <v>2655</v>
      </c>
      <c r="C97" s="623" t="s">
        <v>52</v>
      </c>
      <c r="D97" s="623" t="s">
        <v>5299</v>
      </c>
      <c r="E97" s="625" t="s">
        <v>7403</v>
      </c>
      <c r="F97" s="626"/>
      <c r="G97" s="626"/>
      <c r="H97" s="626"/>
      <c r="I97" s="532" t="s">
        <v>3332</v>
      </c>
      <c r="J97" s="626" t="s">
        <v>7414</v>
      </c>
      <c r="K97" s="626" t="s">
        <v>7413</v>
      </c>
      <c r="L97" s="620"/>
      <c r="M97" s="349"/>
      <c r="P97" s="448"/>
    </row>
    <row r="98" spans="1:16">
      <c r="A98" s="339">
        <f t="shared" si="0"/>
        <v>97</v>
      </c>
      <c r="B98" s="339" t="s">
        <v>2656</v>
      </c>
      <c r="C98" s="623" t="s">
        <v>52</v>
      </c>
      <c r="D98" s="623" t="s">
        <v>5299</v>
      </c>
      <c r="E98" s="625" t="s">
        <v>7404</v>
      </c>
      <c r="F98" s="339"/>
      <c r="G98" s="339"/>
      <c r="H98" s="339"/>
      <c r="I98" s="532" t="s">
        <v>3332</v>
      </c>
      <c r="J98" s="339" t="s">
        <v>7415</v>
      </c>
      <c r="K98" s="339" t="s">
        <v>7416</v>
      </c>
      <c r="L98" s="263"/>
      <c r="M98" s="349"/>
      <c r="P98" s="448"/>
    </row>
    <row r="99" spans="1:16" s="181" customFormat="1">
      <c r="A99" s="263">
        <f t="shared" si="0"/>
        <v>98</v>
      </c>
      <c r="B99" s="264" t="s">
        <v>2331</v>
      </c>
      <c r="C99" s="264" t="s">
        <v>279</v>
      </c>
      <c r="D99" s="264">
        <v>9</v>
      </c>
      <c r="E99" s="264" t="s">
        <v>1392</v>
      </c>
      <c r="F99" s="264" t="s">
        <v>2964</v>
      </c>
      <c r="G99" s="264"/>
      <c r="H99" s="264" t="s">
        <v>3327</v>
      </c>
      <c r="I99" s="264" t="s">
        <v>626</v>
      </c>
      <c r="J99" s="264"/>
      <c r="K99" s="264" t="s">
        <v>1394</v>
      </c>
      <c r="L99" s="264" t="s">
        <v>1393</v>
      </c>
      <c r="M99" s="444" t="s">
        <v>29</v>
      </c>
      <c r="N99" s="181">
        <v>62</v>
      </c>
    </row>
    <row r="100" spans="1:16" s="181" customFormat="1">
      <c r="A100" s="263">
        <f t="shared" si="0"/>
        <v>99</v>
      </c>
      <c r="B100" s="264" t="s">
        <v>2332</v>
      </c>
      <c r="C100" s="264" t="s">
        <v>279</v>
      </c>
      <c r="D100" s="264">
        <v>9</v>
      </c>
      <c r="E100" s="264" t="s">
        <v>1395</v>
      </c>
      <c r="F100" s="264" t="s">
        <v>2964</v>
      </c>
      <c r="G100" s="264"/>
      <c r="H100" s="264" t="s">
        <v>3327</v>
      </c>
      <c r="I100" s="264" t="s">
        <v>626</v>
      </c>
      <c r="J100" s="264"/>
      <c r="K100" s="264" t="s">
        <v>1397</v>
      </c>
      <c r="L100" s="264" t="s">
        <v>1396</v>
      </c>
      <c r="M100" s="181" t="s">
        <v>29</v>
      </c>
      <c r="N100" s="181">
        <v>62</v>
      </c>
    </row>
    <row r="101" spans="1:16" s="181" customFormat="1">
      <c r="A101" s="263">
        <f t="shared" si="0"/>
        <v>100</v>
      </c>
      <c r="B101" s="264" t="s">
        <v>2333</v>
      </c>
      <c r="C101" s="264" t="s">
        <v>279</v>
      </c>
      <c r="D101" s="264">
        <v>9</v>
      </c>
      <c r="E101" s="264" t="s">
        <v>1401</v>
      </c>
      <c r="F101" s="264" t="s">
        <v>2964</v>
      </c>
      <c r="G101" s="264"/>
      <c r="H101" s="264" t="s">
        <v>3327</v>
      </c>
      <c r="I101" s="264" t="s">
        <v>626</v>
      </c>
      <c r="J101" s="264"/>
      <c r="K101" s="264" t="s">
        <v>2988</v>
      </c>
      <c r="L101" s="264" t="s">
        <v>1402</v>
      </c>
      <c r="M101" s="181" t="s">
        <v>29</v>
      </c>
      <c r="N101" s="181">
        <v>62</v>
      </c>
    </row>
    <row r="102" spans="1:16" s="181" customFormat="1">
      <c r="A102" s="263">
        <f t="shared" si="0"/>
        <v>101</v>
      </c>
      <c r="B102" s="264" t="s">
        <v>2334</v>
      </c>
      <c r="C102" s="264" t="s">
        <v>279</v>
      </c>
      <c r="D102" s="264">
        <v>9</v>
      </c>
      <c r="E102" s="264" t="s">
        <v>1404</v>
      </c>
      <c r="F102" s="264" t="s">
        <v>2964</v>
      </c>
      <c r="G102" s="264"/>
      <c r="H102" s="264" t="s">
        <v>3327</v>
      </c>
      <c r="I102" s="264" t="s">
        <v>626</v>
      </c>
      <c r="J102" s="264"/>
      <c r="K102" s="264" t="s">
        <v>1406</v>
      </c>
      <c r="L102" s="264" t="s">
        <v>1405</v>
      </c>
      <c r="M102" s="181" t="s">
        <v>29</v>
      </c>
      <c r="N102" s="181">
        <v>62</v>
      </c>
    </row>
    <row r="103" spans="1:16" s="181" customFormat="1">
      <c r="A103" s="263">
        <f t="shared" si="0"/>
        <v>102</v>
      </c>
      <c r="B103" s="264" t="s">
        <v>2335</v>
      </c>
      <c r="C103" s="264" t="s">
        <v>279</v>
      </c>
      <c r="D103" s="264">
        <v>9</v>
      </c>
      <c r="E103" s="264" t="s">
        <v>1371</v>
      </c>
      <c r="F103" s="264" t="s">
        <v>2964</v>
      </c>
      <c r="G103" s="264"/>
      <c r="H103" s="264" t="s">
        <v>3327</v>
      </c>
      <c r="I103" s="264" t="s">
        <v>626</v>
      </c>
      <c r="J103" s="264"/>
      <c r="K103" s="264" t="s">
        <v>2989</v>
      </c>
      <c r="L103" s="264" t="s">
        <v>1372</v>
      </c>
      <c r="M103" s="181" t="s">
        <v>29</v>
      </c>
      <c r="N103" s="181">
        <v>62</v>
      </c>
    </row>
    <row r="104" spans="1:16" s="181" customFormat="1">
      <c r="A104" s="263">
        <f t="shared" si="0"/>
        <v>103</v>
      </c>
      <c r="B104" s="264" t="s">
        <v>2336</v>
      </c>
      <c r="C104" s="264" t="s">
        <v>279</v>
      </c>
      <c r="D104" s="264">
        <v>9</v>
      </c>
      <c r="E104" s="264" t="s">
        <v>1389</v>
      </c>
      <c r="F104" s="264" t="s">
        <v>2964</v>
      </c>
      <c r="G104" s="264"/>
      <c r="H104" s="264" t="s">
        <v>3327</v>
      </c>
      <c r="I104" s="264" t="s">
        <v>626</v>
      </c>
      <c r="J104" s="264"/>
      <c r="K104" s="264" t="s">
        <v>2990</v>
      </c>
      <c r="L104" s="264" t="s">
        <v>1390</v>
      </c>
      <c r="M104" s="181" t="s">
        <v>29</v>
      </c>
      <c r="N104" s="181">
        <v>62</v>
      </c>
    </row>
    <row r="105" spans="1:16" s="181" customFormat="1">
      <c r="A105" s="263">
        <f t="shared" si="0"/>
        <v>104</v>
      </c>
      <c r="B105" s="264" t="s">
        <v>2337</v>
      </c>
      <c r="C105" s="264" t="s">
        <v>279</v>
      </c>
      <c r="D105" s="264">
        <v>9</v>
      </c>
      <c r="E105" s="264" t="s">
        <v>1374</v>
      </c>
      <c r="F105" s="264" t="s">
        <v>2964</v>
      </c>
      <c r="G105" s="264"/>
      <c r="H105" s="264" t="s">
        <v>3327</v>
      </c>
      <c r="I105" s="264" t="s">
        <v>626</v>
      </c>
      <c r="J105" s="264"/>
      <c r="K105" s="264" t="s">
        <v>2991</v>
      </c>
      <c r="L105" s="264" t="s">
        <v>1375</v>
      </c>
      <c r="M105" s="181" t="s">
        <v>29</v>
      </c>
      <c r="N105" s="181">
        <v>62</v>
      </c>
    </row>
    <row r="106" spans="1:16" s="181" customFormat="1">
      <c r="A106" s="263">
        <f t="shared" si="0"/>
        <v>105</v>
      </c>
      <c r="B106" s="264" t="s">
        <v>2338</v>
      </c>
      <c r="C106" s="264" t="s">
        <v>279</v>
      </c>
      <c r="D106" s="264">
        <v>9</v>
      </c>
      <c r="E106" s="264" t="s">
        <v>1398</v>
      </c>
      <c r="F106" s="264" t="s">
        <v>2964</v>
      </c>
      <c r="G106" s="264"/>
      <c r="H106" s="264" t="s">
        <v>3327</v>
      </c>
      <c r="I106" s="264" t="s">
        <v>626</v>
      </c>
      <c r="J106" s="264"/>
      <c r="K106" s="264" t="s">
        <v>2992</v>
      </c>
      <c r="L106" s="264" t="s">
        <v>1399</v>
      </c>
      <c r="M106" s="181" t="s">
        <v>29</v>
      </c>
      <c r="N106" s="181">
        <v>62</v>
      </c>
    </row>
    <row r="107" spans="1:16" s="181" customFormat="1">
      <c r="A107" s="263">
        <f t="shared" si="0"/>
        <v>106</v>
      </c>
      <c r="B107" s="264" t="s">
        <v>2339</v>
      </c>
      <c r="C107" s="264" t="s">
        <v>279</v>
      </c>
      <c r="D107" s="264">
        <v>9</v>
      </c>
      <c r="E107" s="264" t="s">
        <v>1377</v>
      </c>
      <c r="F107" s="264" t="s">
        <v>2964</v>
      </c>
      <c r="G107" s="264"/>
      <c r="H107" s="264" t="s">
        <v>3327</v>
      </c>
      <c r="I107" s="264" t="s">
        <v>626</v>
      </c>
      <c r="J107" s="264"/>
      <c r="K107" s="264" t="s">
        <v>2993</v>
      </c>
      <c r="L107" s="264" t="s">
        <v>1378</v>
      </c>
      <c r="M107" s="181" t="s">
        <v>29</v>
      </c>
      <c r="N107" s="181">
        <v>62</v>
      </c>
    </row>
    <row r="108" spans="1:16" s="181" customFormat="1">
      <c r="A108" s="263">
        <f t="shared" si="0"/>
        <v>107</v>
      </c>
      <c r="B108" s="264" t="s">
        <v>2340</v>
      </c>
      <c r="C108" s="264" t="s">
        <v>279</v>
      </c>
      <c r="D108" s="264">
        <v>9</v>
      </c>
      <c r="E108" s="264" t="s">
        <v>1380</v>
      </c>
      <c r="F108" s="264" t="s">
        <v>2964</v>
      </c>
      <c r="G108" s="264"/>
      <c r="H108" s="264" t="s">
        <v>3327</v>
      </c>
      <c r="I108" s="264" t="s">
        <v>626</v>
      </c>
      <c r="J108" s="264"/>
      <c r="K108" s="264" t="s">
        <v>2994</v>
      </c>
      <c r="L108" s="264" t="s">
        <v>1381</v>
      </c>
      <c r="M108" s="181" t="s">
        <v>29</v>
      </c>
      <c r="N108" s="181">
        <v>62</v>
      </c>
    </row>
    <row r="109" spans="1:16" s="181" customFormat="1">
      <c r="A109" s="263">
        <f t="shared" si="0"/>
        <v>108</v>
      </c>
      <c r="B109" s="264" t="s">
        <v>2341</v>
      </c>
      <c r="C109" s="264" t="s">
        <v>279</v>
      </c>
      <c r="D109" s="264">
        <v>9</v>
      </c>
      <c r="E109" s="264" t="s">
        <v>1383</v>
      </c>
      <c r="F109" s="264" t="s">
        <v>2964</v>
      </c>
      <c r="G109" s="264"/>
      <c r="H109" s="264" t="s">
        <v>3327</v>
      </c>
      <c r="I109" s="264" t="s">
        <v>626</v>
      </c>
      <c r="J109" s="264"/>
      <c r="K109" s="264" t="s">
        <v>2995</v>
      </c>
      <c r="L109" s="264" t="s">
        <v>1384</v>
      </c>
      <c r="M109" s="181" t="s">
        <v>29</v>
      </c>
      <c r="N109" s="181">
        <v>62</v>
      </c>
    </row>
    <row r="110" spans="1:16" s="181" customFormat="1">
      <c r="A110" s="263">
        <f t="shared" si="0"/>
        <v>109</v>
      </c>
      <c r="B110" s="264" t="s">
        <v>2342</v>
      </c>
      <c r="C110" s="264" t="s">
        <v>279</v>
      </c>
      <c r="D110" s="264">
        <v>9</v>
      </c>
      <c r="E110" s="264" t="s">
        <v>896</v>
      </c>
      <c r="F110" s="264" t="s">
        <v>2964</v>
      </c>
      <c r="G110" s="264"/>
      <c r="H110" s="264" t="s">
        <v>3327</v>
      </c>
      <c r="I110" s="264" t="s">
        <v>626</v>
      </c>
      <c r="J110" s="264"/>
      <c r="K110" s="264" t="s">
        <v>2996</v>
      </c>
      <c r="L110" s="264" t="s">
        <v>897</v>
      </c>
      <c r="M110" s="181" t="s">
        <v>29</v>
      </c>
      <c r="N110" s="181">
        <v>62</v>
      </c>
    </row>
    <row r="111" spans="1:16" s="181" customFormat="1">
      <c r="A111" s="263">
        <f t="shared" si="0"/>
        <v>110</v>
      </c>
      <c r="B111" s="264" t="s">
        <v>2343</v>
      </c>
      <c r="C111" s="264" t="s">
        <v>279</v>
      </c>
      <c r="D111" s="264">
        <v>9</v>
      </c>
      <c r="E111" s="264" t="s">
        <v>801</v>
      </c>
      <c r="F111" s="264" t="s">
        <v>2964</v>
      </c>
      <c r="G111" s="264"/>
      <c r="H111" s="264" t="s">
        <v>3327</v>
      </c>
      <c r="I111" s="264" t="s">
        <v>626</v>
      </c>
      <c r="J111" s="264"/>
      <c r="K111" s="264" t="s">
        <v>803</v>
      </c>
      <c r="L111" s="264" t="s">
        <v>802</v>
      </c>
      <c r="M111" s="181" t="s">
        <v>29</v>
      </c>
      <c r="N111" s="181">
        <v>62</v>
      </c>
    </row>
    <row r="112" spans="1:16" s="181" customFormat="1">
      <c r="A112" s="263">
        <f t="shared" si="0"/>
        <v>111</v>
      </c>
      <c r="B112" s="264" t="s">
        <v>2344</v>
      </c>
      <c r="C112" s="264" t="s">
        <v>279</v>
      </c>
      <c r="D112" s="264">
        <v>9</v>
      </c>
      <c r="E112" s="264" t="s">
        <v>1411</v>
      </c>
      <c r="F112" s="264" t="s">
        <v>2964</v>
      </c>
      <c r="G112" s="264"/>
      <c r="H112" s="264" t="s">
        <v>3327</v>
      </c>
      <c r="I112" s="264" t="s">
        <v>626</v>
      </c>
      <c r="J112" s="264"/>
      <c r="K112" s="264" t="s">
        <v>892</v>
      </c>
      <c r="L112" s="264" t="s">
        <v>891</v>
      </c>
      <c r="M112" s="181" t="s">
        <v>29</v>
      </c>
      <c r="N112" s="181">
        <v>62</v>
      </c>
    </row>
    <row r="113" spans="1:14" s="181" customFormat="1">
      <c r="A113" s="263">
        <f t="shared" si="0"/>
        <v>112</v>
      </c>
      <c r="B113" s="264" t="s">
        <v>2345</v>
      </c>
      <c r="C113" s="264" t="s">
        <v>279</v>
      </c>
      <c r="D113" s="264">
        <v>9</v>
      </c>
      <c r="E113" s="264" t="s">
        <v>1350</v>
      </c>
      <c r="F113" s="264" t="s">
        <v>2964</v>
      </c>
      <c r="G113" s="264"/>
      <c r="H113" s="264" t="s">
        <v>3327</v>
      </c>
      <c r="I113" s="264" t="s">
        <v>626</v>
      </c>
      <c r="J113" s="264"/>
      <c r="K113" s="264" t="s">
        <v>2997</v>
      </c>
      <c r="L113" s="264" t="s">
        <v>1351</v>
      </c>
      <c r="M113" s="181" t="s">
        <v>29</v>
      </c>
      <c r="N113" s="181">
        <v>62</v>
      </c>
    </row>
    <row r="114" spans="1:14">
      <c r="A114" s="263">
        <f t="shared" si="0"/>
        <v>113</v>
      </c>
      <c r="B114" s="263" t="s">
        <v>2346</v>
      </c>
      <c r="C114" s="263" t="s">
        <v>1910</v>
      </c>
      <c r="D114" s="263">
        <v>3</v>
      </c>
      <c r="E114" s="263" t="s">
        <v>3026</v>
      </c>
      <c r="F114" s="263" t="s">
        <v>2964</v>
      </c>
      <c r="G114" s="263"/>
      <c r="H114" s="263" t="s">
        <v>3327</v>
      </c>
      <c r="I114" s="263" t="s">
        <v>625</v>
      </c>
      <c r="J114" s="263" t="s">
        <v>5673</v>
      </c>
      <c r="K114" s="263" t="s">
        <v>1415</v>
      </c>
      <c r="L114" s="263" t="s">
        <v>918</v>
      </c>
      <c r="M114" s="178" t="s">
        <v>29</v>
      </c>
      <c r="N114" s="178">
        <v>64</v>
      </c>
    </row>
    <row r="115" spans="1:14">
      <c r="A115" s="263">
        <f t="shared" si="0"/>
        <v>114</v>
      </c>
      <c r="B115" s="263" t="s">
        <v>2347</v>
      </c>
      <c r="C115" s="263" t="s">
        <v>1910</v>
      </c>
      <c r="D115" s="263">
        <v>3</v>
      </c>
      <c r="E115" s="263" t="s">
        <v>1438</v>
      </c>
      <c r="F115" s="263" t="s">
        <v>2964</v>
      </c>
      <c r="G115" s="263"/>
      <c r="H115" s="263" t="s">
        <v>3327</v>
      </c>
      <c r="I115" s="263" t="s">
        <v>625</v>
      </c>
      <c r="J115" s="263" t="s">
        <v>5673</v>
      </c>
      <c r="K115" s="263" t="s">
        <v>1416</v>
      </c>
      <c r="L115" s="263" t="s">
        <v>918</v>
      </c>
      <c r="M115" s="178" t="s">
        <v>29</v>
      </c>
      <c r="N115" s="178">
        <v>64</v>
      </c>
    </row>
    <row r="116" spans="1:14">
      <c r="A116" s="263">
        <f t="shared" si="0"/>
        <v>115</v>
      </c>
      <c r="B116" s="263" t="s">
        <v>2348</v>
      </c>
      <c r="C116" s="263" t="s">
        <v>1910</v>
      </c>
      <c r="D116" s="263">
        <v>3</v>
      </c>
      <c r="E116" s="263" t="s">
        <v>1439</v>
      </c>
      <c r="F116" s="263" t="s">
        <v>2964</v>
      </c>
      <c r="G116" s="263"/>
      <c r="H116" s="263" t="s">
        <v>3327</v>
      </c>
      <c r="I116" s="263" t="s">
        <v>625</v>
      </c>
      <c r="J116" s="263" t="s">
        <v>5673</v>
      </c>
      <c r="K116" s="263" t="s">
        <v>1417</v>
      </c>
      <c r="L116" s="263" t="s">
        <v>918</v>
      </c>
      <c r="M116" s="178" t="s">
        <v>29</v>
      </c>
      <c r="N116" s="178">
        <v>64</v>
      </c>
    </row>
    <row r="117" spans="1:14" s="181" customFormat="1">
      <c r="A117" s="263">
        <f t="shared" si="0"/>
        <v>116</v>
      </c>
      <c r="B117" s="264" t="s">
        <v>2349</v>
      </c>
      <c r="C117" s="264" t="s">
        <v>279</v>
      </c>
      <c r="D117" s="264">
        <v>9</v>
      </c>
      <c r="E117" s="264" t="s">
        <v>764</v>
      </c>
      <c r="F117" s="264" t="s">
        <v>2964</v>
      </c>
      <c r="G117" s="264"/>
      <c r="H117" s="264" t="s">
        <v>3327</v>
      </c>
      <c r="I117" s="264" t="s">
        <v>626</v>
      </c>
      <c r="J117" s="264"/>
      <c r="K117" s="264" t="s">
        <v>766</v>
      </c>
      <c r="L117" s="264" t="s">
        <v>765</v>
      </c>
      <c r="M117" s="181" t="s">
        <v>29</v>
      </c>
      <c r="N117" s="181">
        <v>62</v>
      </c>
    </row>
    <row r="118" spans="1:14" s="181" customFormat="1">
      <c r="A118" s="263">
        <f t="shared" si="0"/>
        <v>117</v>
      </c>
      <c r="B118" s="264" t="s">
        <v>2350</v>
      </c>
      <c r="C118" s="264" t="s">
        <v>279</v>
      </c>
      <c r="D118" s="264">
        <v>9</v>
      </c>
      <c r="E118" s="264" t="s">
        <v>1343</v>
      </c>
      <c r="F118" s="264" t="s">
        <v>2964</v>
      </c>
      <c r="G118" s="264"/>
      <c r="H118" s="264" t="s">
        <v>3327</v>
      </c>
      <c r="I118" s="264" t="s">
        <v>626</v>
      </c>
      <c r="J118" s="264"/>
      <c r="K118" s="264" t="s">
        <v>2998</v>
      </c>
      <c r="L118" s="264" t="s">
        <v>1344</v>
      </c>
      <c r="M118" s="181" t="s">
        <v>29</v>
      </c>
      <c r="N118" s="181">
        <v>62</v>
      </c>
    </row>
    <row r="119" spans="1:14">
      <c r="A119" s="263">
        <f t="shared" si="0"/>
        <v>118</v>
      </c>
      <c r="B119" s="263" t="s">
        <v>2351</v>
      </c>
      <c r="C119" s="263" t="s">
        <v>279</v>
      </c>
      <c r="D119" s="263">
        <v>9</v>
      </c>
      <c r="E119" s="263" t="s">
        <v>783</v>
      </c>
      <c r="F119" s="263" t="s">
        <v>2964</v>
      </c>
      <c r="G119" s="263"/>
      <c r="H119" s="263" t="s">
        <v>3327</v>
      </c>
      <c r="I119" s="263" t="s">
        <v>626</v>
      </c>
      <c r="J119" s="263" t="s">
        <v>5613</v>
      </c>
      <c r="K119" s="263" t="s">
        <v>785</v>
      </c>
      <c r="L119" s="263" t="s">
        <v>784</v>
      </c>
      <c r="M119" s="178" t="s">
        <v>29</v>
      </c>
      <c r="N119" s="178">
        <v>62</v>
      </c>
    </row>
    <row r="120" spans="1:14">
      <c r="A120" s="263">
        <f t="shared" si="0"/>
        <v>119</v>
      </c>
      <c r="B120" s="263" t="s">
        <v>2352</v>
      </c>
      <c r="C120" s="263" t="s">
        <v>279</v>
      </c>
      <c r="D120" s="263">
        <v>9</v>
      </c>
      <c r="E120" s="263" t="s">
        <v>1347</v>
      </c>
      <c r="F120" s="263" t="s">
        <v>2964</v>
      </c>
      <c r="G120" s="263"/>
      <c r="H120" s="263" t="s">
        <v>3327</v>
      </c>
      <c r="I120" s="263" t="s">
        <v>626</v>
      </c>
      <c r="J120" s="263" t="s">
        <v>5613</v>
      </c>
      <c r="K120" s="263" t="s">
        <v>2999</v>
      </c>
      <c r="L120" s="263" t="s">
        <v>1348</v>
      </c>
      <c r="M120" s="178" t="s">
        <v>29</v>
      </c>
      <c r="N120" s="178">
        <v>62</v>
      </c>
    </row>
    <row r="121" spans="1:14" s="181" customFormat="1">
      <c r="A121" s="263">
        <f t="shared" ref="A121:A184" si="1">ROW()-1</f>
        <v>120</v>
      </c>
      <c r="B121" s="264" t="s">
        <v>2353</v>
      </c>
      <c r="C121" s="264" t="s">
        <v>279</v>
      </c>
      <c r="D121" s="264">
        <v>9</v>
      </c>
      <c r="E121" s="264" t="s">
        <v>1353</v>
      </c>
      <c r="F121" s="264" t="s">
        <v>2964</v>
      </c>
      <c r="G121" s="264"/>
      <c r="H121" s="264" t="s">
        <v>3327</v>
      </c>
      <c r="I121" s="264" t="s">
        <v>626</v>
      </c>
      <c r="J121" s="264"/>
      <c r="K121" s="264" t="s">
        <v>3000</v>
      </c>
      <c r="L121" s="264" t="s">
        <v>1354</v>
      </c>
      <c r="M121" s="181" t="s">
        <v>29</v>
      </c>
      <c r="N121" s="181">
        <v>62</v>
      </c>
    </row>
    <row r="122" spans="1:14" s="181" customFormat="1">
      <c r="A122" s="263">
        <f t="shared" si="1"/>
        <v>121</v>
      </c>
      <c r="B122" s="264" t="s">
        <v>2354</v>
      </c>
      <c r="C122" s="264" t="s">
        <v>279</v>
      </c>
      <c r="D122" s="264">
        <v>9</v>
      </c>
      <c r="E122" s="264" t="s">
        <v>1368</v>
      </c>
      <c r="F122" s="264" t="s">
        <v>2964</v>
      </c>
      <c r="G122" s="264"/>
      <c r="H122" s="264" t="s">
        <v>3327</v>
      </c>
      <c r="I122" s="264" t="s">
        <v>626</v>
      </c>
      <c r="J122" s="264"/>
      <c r="K122" s="264" t="s">
        <v>3001</v>
      </c>
      <c r="L122" s="264" t="s">
        <v>1369</v>
      </c>
      <c r="M122" s="181" t="s">
        <v>29</v>
      </c>
      <c r="N122" s="181">
        <v>62</v>
      </c>
    </row>
    <row r="123" spans="1:14" s="181" customFormat="1">
      <c r="A123" s="263">
        <f t="shared" si="1"/>
        <v>122</v>
      </c>
      <c r="B123" s="264" t="s">
        <v>2355</v>
      </c>
      <c r="C123" s="264" t="s">
        <v>279</v>
      </c>
      <c r="D123" s="264">
        <v>9</v>
      </c>
      <c r="E123" s="264" t="s">
        <v>874</v>
      </c>
      <c r="F123" s="264" t="s">
        <v>2964</v>
      </c>
      <c r="G123" s="264"/>
      <c r="H123" s="264" t="s">
        <v>3327</v>
      </c>
      <c r="I123" s="264" t="s">
        <v>626</v>
      </c>
      <c r="J123" s="264"/>
      <c r="K123" s="264" t="s">
        <v>3002</v>
      </c>
      <c r="L123" s="264" t="s">
        <v>875</v>
      </c>
      <c r="M123" s="181" t="s">
        <v>29</v>
      </c>
      <c r="N123" s="181">
        <v>62</v>
      </c>
    </row>
    <row r="124" spans="1:14">
      <c r="A124" s="263">
        <f t="shared" si="1"/>
        <v>123</v>
      </c>
      <c r="B124" s="263" t="s">
        <v>2356</v>
      </c>
      <c r="C124" s="263" t="s">
        <v>279</v>
      </c>
      <c r="D124" s="263">
        <v>9</v>
      </c>
      <c r="E124" s="263" t="s">
        <v>754</v>
      </c>
      <c r="F124" s="263" t="s">
        <v>2964</v>
      </c>
      <c r="G124" s="263"/>
      <c r="H124" s="263" t="s">
        <v>3327</v>
      </c>
      <c r="I124" s="263" t="s">
        <v>626</v>
      </c>
      <c r="J124" s="263" t="s">
        <v>5613</v>
      </c>
      <c r="K124" s="263" t="s">
        <v>756</v>
      </c>
      <c r="L124" s="263" t="s">
        <v>755</v>
      </c>
      <c r="M124" s="178" t="s">
        <v>29</v>
      </c>
      <c r="N124" s="178">
        <v>62</v>
      </c>
    </row>
    <row r="125" spans="1:14">
      <c r="A125" s="263">
        <f t="shared" si="1"/>
        <v>124</v>
      </c>
      <c r="B125" s="263" t="s">
        <v>2357</v>
      </c>
      <c r="C125" s="263" t="s">
        <v>279</v>
      </c>
      <c r="D125" s="263">
        <v>9</v>
      </c>
      <c r="E125" s="263" t="s">
        <v>798</v>
      </c>
      <c r="F125" s="263" t="s">
        <v>2964</v>
      </c>
      <c r="G125" s="263"/>
      <c r="H125" s="263" t="s">
        <v>3327</v>
      </c>
      <c r="I125" s="263" t="s">
        <v>626</v>
      </c>
      <c r="J125" s="263" t="s">
        <v>5613</v>
      </c>
      <c r="K125" s="263" t="s">
        <v>800</v>
      </c>
      <c r="L125" s="263" t="s">
        <v>799</v>
      </c>
      <c r="M125" s="178" t="s">
        <v>29</v>
      </c>
      <c r="N125" s="178">
        <v>62</v>
      </c>
    </row>
    <row r="126" spans="1:14">
      <c r="A126" s="263">
        <f t="shared" si="1"/>
        <v>125</v>
      </c>
      <c r="B126" s="263" t="s">
        <v>2358</v>
      </c>
      <c r="C126" s="263" t="s">
        <v>279</v>
      </c>
      <c r="D126" s="263">
        <v>9</v>
      </c>
      <c r="E126" s="263" t="s">
        <v>767</v>
      </c>
      <c r="F126" s="263" t="s">
        <v>2964</v>
      </c>
      <c r="G126" s="263"/>
      <c r="H126" s="263" t="s">
        <v>3327</v>
      </c>
      <c r="I126" s="263" t="s">
        <v>626</v>
      </c>
      <c r="J126" s="263" t="s">
        <v>5613</v>
      </c>
      <c r="K126" s="263" t="s">
        <v>769</v>
      </c>
      <c r="L126" s="263" t="s">
        <v>768</v>
      </c>
      <c r="M126" s="178" t="s">
        <v>29</v>
      </c>
      <c r="N126" s="178">
        <v>62</v>
      </c>
    </row>
    <row r="127" spans="1:14">
      <c r="A127" s="263">
        <f t="shared" si="1"/>
        <v>126</v>
      </c>
      <c r="B127" s="263" t="s">
        <v>2359</v>
      </c>
      <c r="C127" s="263" t="s">
        <v>279</v>
      </c>
      <c r="D127" s="263">
        <v>9</v>
      </c>
      <c r="E127" s="263" t="s">
        <v>1337</v>
      </c>
      <c r="F127" s="263" t="s">
        <v>2964</v>
      </c>
      <c r="G127" s="263"/>
      <c r="H127" s="263" t="s">
        <v>3327</v>
      </c>
      <c r="I127" s="263" t="s">
        <v>626</v>
      </c>
      <c r="J127" s="263" t="s">
        <v>5613</v>
      </c>
      <c r="K127" s="263" t="s">
        <v>763</v>
      </c>
      <c r="L127" s="263" t="s">
        <v>762</v>
      </c>
      <c r="M127" s="178" t="s">
        <v>29</v>
      </c>
      <c r="N127" s="178">
        <v>62</v>
      </c>
    </row>
    <row r="128" spans="1:14">
      <c r="A128" s="263">
        <f t="shared" si="1"/>
        <v>127</v>
      </c>
      <c r="B128" s="263" t="s">
        <v>2360</v>
      </c>
      <c r="C128" s="263" t="s">
        <v>279</v>
      </c>
      <c r="D128" s="263">
        <v>9</v>
      </c>
      <c r="E128" s="263" t="s">
        <v>770</v>
      </c>
      <c r="F128" s="263" t="s">
        <v>2964</v>
      </c>
      <c r="G128" s="263"/>
      <c r="H128" s="263" t="s">
        <v>3327</v>
      </c>
      <c r="I128" s="263" t="s">
        <v>626</v>
      </c>
      <c r="J128" s="263" t="s">
        <v>5613</v>
      </c>
      <c r="K128" s="263" t="s">
        <v>772</v>
      </c>
      <c r="L128" s="263" t="s">
        <v>771</v>
      </c>
      <c r="M128" s="178" t="s">
        <v>29</v>
      </c>
      <c r="N128" s="178">
        <v>62</v>
      </c>
    </row>
    <row r="129" spans="1:14">
      <c r="A129" s="263">
        <f t="shared" si="1"/>
        <v>128</v>
      </c>
      <c r="B129" s="263" t="s">
        <v>2361</v>
      </c>
      <c r="C129" s="263" t="s">
        <v>279</v>
      </c>
      <c r="D129" s="263">
        <v>9</v>
      </c>
      <c r="E129" s="263" t="s">
        <v>786</v>
      </c>
      <c r="F129" s="263" t="s">
        <v>2964</v>
      </c>
      <c r="G129" s="263"/>
      <c r="H129" s="263" t="s">
        <v>3327</v>
      </c>
      <c r="I129" s="263" t="s">
        <v>626</v>
      </c>
      <c r="J129" s="263" t="s">
        <v>5613</v>
      </c>
      <c r="K129" s="263" t="s">
        <v>788</v>
      </c>
      <c r="L129" s="263" t="s">
        <v>787</v>
      </c>
      <c r="M129" s="178" t="s">
        <v>29</v>
      </c>
      <c r="N129" s="178">
        <v>62</v>
      </c>
    </row>
    <row r="130" spans="1:14">
      <c r="A130" s="263">
        <f t="shared" si="1"/>
        <v>129</v>
      </c>
      <c r="B130" s="263" t="s">
        <v>2362</v>
      </c>
      <c r="C130" s="263" t="s">
        <v>279</v>
      </c>
      <c r="D130" s="263">
        <v>9</v>
      </c>
      <c r="E130" s="263" t="s">
        <v>789</v>
      </c>
      <c r="F130" s="263" t="s">
        <v>2964</v>
      </c>
      <c r="G130" s="263"/>
      <c r="H130" s="263" t="s">
        <v>3327</v>
      </c>
      <c r="I130" s="263" t="s">
        <v>626</v>
      </c>
      <c r="J130" s="263" t="s">
        <v>5613</v>
      </c>
      <c r="K130" s="263" t="s">
        <v>791</v>
      </c>
      <c r="L130" s="263" t="s">
        <v>790</v>
      </c>
      <c r="M130" s="178" t="s">
        <v>29</v>
      </c>
      <c r="N130" s="178">
        <v>62</v>
      </c>
    </row>
    <row r="131" spans="1:14">
      <c r="A131" s="263">
        <f t="shared" si="1"/>
        <v>130</v>
      </c>
      <c r="B131" s="263" t="s">
        <v>2363</v>
      </c>
      <c r="C131" s="263" t="s">
        <v>279</v>
      </c>
      <c r="D131" s="263">
        <v>9</v>
      </c>
      <c r="E131" s="263" t="s">
        <v>795</v>
      </c>
      <c r="F131" s="263" t="s">
        <v>2964</v>
      </c>
      <c r="G131" s="263"/>
      <c r="H131" s="263" t="s">
        <v>3327</v>
      </c>
      <c r="I131" s="263" t="s">
        <v>626</v>
      </c>
      <c r="J131" s="263" t="s">
        <v>5613</v>
      </c>
      <c r="K131" s="263" t="s">
        <v>797</v>
      </c>
      <c r="L131" s="263" t="s">
        <v>796</v>
      </c>
      <c r="M131" s="178" t="s">
        <v>29</v>
      </c>
      <c r="N131" s="178">
        <v>62</v>
      </c>
    </row>
    <row r="132" spans="1:14">
      <c r="A132" s="263">
        <f t="shared" si="1"/>
        <v>131</v>
      </c>
      <c r="B132" s="263" t="s">
        <v>2364</v>
      </c>
      <c r="C132" s="263" t="s">
        <v>279</v>
      </c>
      <c r="D132" s="263">
        <v>9</v>
      </c>
      <c r="E132" s="263" t="s">
        <v>792</v>
      </c>
      <c r="F132" s="263" t="s">
        <v>2964</v>
      </c>
      <c r="G132" s="263"/>
      <c r="H132" s="263" t="s">
        <v>3327</v>
      </c>
      <c r="I132" s="263" t="s">
        <v>626</v>
      </c>
      <c r="J132" s="263" t="s">
        <v>5613</v>
      </c>
      <c r="K132" s="263" t="s">
        <v>794</v>
      </c>
      <c r="L132" s="263" t="s">
        <v>793</v>
      </c>
      <c r="M132" s="178" t="s">
        <v>29</v>
      </c>
      <c r="N132" s="178">
        <v>62</v>
      </c>
    </row>
    <row r="133" spans="1:14">
      <c r="A133" s="263">
        <f t="shared" si="1"/>
        <v>132</v>
      </c>
      <c r="B133" s="263" t="s">
        <v>2365</v>
      </c>
      <c r="C133" s="263" t="s">
        <v>279</v>
      </c>
      <c r="D133" s="263">
        <v>9</v>
      </c>
      <c r="E133" s="263" t="s">
        <v>855</v>
      </c>
      <c r="F133" s="263" t="s">
        <v>2964</v>
      </c>
      <c r="G133" s="263"/>
      <c r="H133" s="263" t="s">
        <v>3327</v>
      </c>
      <c r="I133" s="263" t="s">
        <v>626</v>
      </c>
      <c r="J133" s="263" t="s">
        <v>5613</v>
      </c>
      <c r="K133" s="263" t="s">
        <v>857</v>
      </c>
      <c r="L133" s="263" t="s">
        <v>856</v>
      </c>
      <c r="M133" s="178" t="s">
        <v>29</v>
      </c>
      <c r="N133" s="178">
        <v>62</v>
      </c>
    </row>
    <row r="134" spans="1:14">
      <c r="A134" s="263">
        <f t="shared" si="1"/>
        <v>133</v>
      </c>
      <c r="B134" s="263" t="s">
        <v>2366</v>
      </c>
      <c r="C134" s="263" t="s">
        <v>279</v>
      </c>
      <c r="D134" s="263">
        <v>9</v>
      </c>
      <c r="E134" s="263" t="s">
        <v>1333</v>
      </c>
      <c r="F134" s="263" t="s">
        <v>2964</v>
      </c>
      <c r="G134" s="263"/>
      <c r="H134" s="263" t="s">
        <v>3327</v>
      </c>
      <c r="I134" s="263" t="s">
        <v>627</v>
      </c>
      <c r="J134" s="263" t="s">
        <v>5613</v>
      </c>
      <c r="K134" s="263" t="s">
        <v>1336</v>
      </c>
      <c r="L134" s="263" t="s">
        <v>1335</v>
      </c>
      <c r="M134" s="178" t="s">
        <v>29</v>
      </c>
      <c r="N134" s="178">
        <v>61</v>
      </c>
    </row>
    <row r="135" spans="1:14">
      <c r="A135" s="263">
        <f t="shared" si="1"/>
        <v>134</v>
      </c>
      <c r="B135" s="263" t="s">
        <v>2367</v>
      </c>
      <c r="C135" s="263" t="s">
        <v>279</v>
      </c>
      <c r="D135" s="263">
        <v>9</v>
      </c>
      <c r="E135" s="263" t="s">
        <v>871</v>
      </c>
      <c r="F135" s="263" t="s">
        <v>2964</v>
      </c>
      <c r="G135" s="263"/>
      <c r="H135" s="263" t="s">
        <v>3327</v>
      </c>
      <c r="I135" s="263" t="s">
        <v>626</v>
      </c>
      <c r="J135" s="263" t="s">
        <v>5613</v>
      </c>
      <c r="K135" s="263" t="s">
        <v>873</v>
      </c>
      <c r="L135" s="263" t="s">
        <v>872</v>
      </c>
      <c r="M135" s="178" t="s">
        <v>29</v>
      </c>
      <c r="N135" s="178">
        <v>62</v>
      </c>
    </row>
    <row r="136" spans="1:14">
      <c r="A136" s="263">
        <f t="shared" si="1"/>
        <v>135</v>
      </c>
      <c r="B136" s="263" t="s">
        <v>2368</v>
      </c>
      <c r="C136" s="263" t="s">
        <v>279</v>
      </c>
      <c r="D136" s="263">
        <v>9</v>
      </c>
      <c r="E136" s="263" t="s">
        <v>1340</v>
      </c>
      <c r="F136" s="263" t="s">
        <v>2964</v>
      </c>
      <c r="G136" s="263"/>
      <c r="H136" s="263" t="s">
        <v>3327</v>
      </c>
      <c r="I136" s="263" t="s">
        <v>626</v>
      </c>
      <c r="J136" s="263" t="s">
        <v>5613</v>
      </c>
      <c r="K136" s="263" t="s">
        <v>3004</v>
      </c>
      <c r="L136" s="263" t="s">
        <v>1341</v>
      </c>
      <c r="M136" s="178" t="s">
        <v>29</v>
      </c>
      <c r="N136" s="178">
        <v>62</v>
      </c>
    </row>
    <row r="137" spans="1:14">
      <c r="A137" s="263">
        <f t="shared" si="1"/>
        <v>136</v>
      </c>
      <c r="B137" s="263" t="s">
        <v>2369</v>
      </c>
      <c r="C137" s="263" t="s">
        <v>279</v>
      </c>
      <c r="D137" s="263">
        <v>9</v>
      </c>
      <c r="E137" s="263" t="s">
        <v>1346</v>
      </c>
      <c r="F137" s="263" t="s">
        <v>2964</v>
      </c>
      <c r="G137" s="263"/>
      <c r="H137" s="263" t="s">
        <v>3327</v>
      </c>
      <c r="I137" s="263" t="s">
        <v>626</v>
      </c>
      <c r="J137" s="263" t="s">
        <v>5613</v>
      </c>
      <c r="K137" s="263" t="s">
        <v>774</v>
      </c>
      <c r="L137" s="263" t="s">
        <v>773</v>
      </c>
      <c r="M137" s="178" t="s">
        <v>29</v>
      </c>
      <c r="N137" s="178">
        <v>62</v>
      </c>
    </row>
    <row r="138" spans="1:14">
      <c r="A138" s="263">
        <f t="shared" si="1"/>
        <v>137</v>
      </c>
      <c r="B138" s="263" t="s">
        <v>2370</v>
      </c>
      <c r="C138" s="263" t="s">
        <v>279</v>
      </c>
      <c r="D138" s="263">
        <v>9</v>
      </c>
      <c r="E138" s="263" t="s">
        <v>1356</v>
      </c>
      <c r="F138" s="263" t="s">
        <v>2964</v>
      </c>
      <c r="G138" s="263"/>
      <c r="H138" s="263" t="s">
        <v>3327</v>
      </c>
      <c r="I138" s="263" t="s">
        <v>626</v>
      </c>
      <c r="J138" s="263" t="s">
        <v>5613</v>
      </c>
      <c r="K138" s="263" t="s">
        <v>3005</v>
      </c>
      <c r="L138" s="263" t="s">
        <v>1357</v>
      </c>
      <c r="M138" s="178" t="s">
        <v>29</v>
      </c>
      <c r="N138" s="178">
        <v>62</v>
      </c>
    </row>
    <row r="139" spans="1:14">
      <c r="A139" s="263">
        <f t="shared" si="1"/>
        <v>138</v>
      </c>
      <c r="B139" s="263" t="s">
        <v>2371</v>
      </c>
      <c r="C139" s="263" t="s">
        <v>279</v>
      </c>
      <c r="D139" s="263">
        <v>9</v>
      </c>
      <c r="E139" s="263" t="s">
        <v>1365</v>
      </c>
      <c r="F139" s="263" t="s">
        <v>2964</v>
      </c>
      <c r="G139" s="263"/>
      <c r="H139" s="263" t="s">
        <v>3327</v>
      </c>
      <c r="I139" s="263" t="s">
        <v>626</v>
      </c>
      <c r="J139" s="263" t="s">
        <v>5613</v>
      </c>
      <c r="K139" s="263" t="s">
        <v>3006</v>
      </c>
      <c r="L139" s="263" t="s">
        <v>1366</v>
      </c>
      <c r="M139" s="178" t="s">
        <v>29</v>
      </c>
      <c r="N139" s="178">
        <v>62</v>
      </c>
    </row>
    <row r="140" spans="1:14" s="181" customFormat="1">
      <c r="A140" s="263">
        <f t="shared" si="1"/>
        <v>139</v>
      </c>
      <c r="B140" s="264" t="s">
        <v>2372</v>
      </c>
      <c r="C140" s="264" t="s">
        <v>279</v>
      </c>
      <c r="D140" s="264">
        <v>9</v>
      </c>
      <c r="E140" s="264" t="s">
        <v>1386</v>
      </c>
      <c r="F140" s="264" t="s">
        <v>2964</v>
      </c>
      <c r="G140" s="264"/>
      <c r="H140" s="264" t="s">
        <v>3327</v>
      </c>
      <c r="I140" s="264" t="s">
        <v>626</v>
      </c>
      <c r="J140" s="264"/>
      <c r="K140" s="264" t="s">
        <v>3007</v>
      </c>
      <c r="L140" s="264" t="s">
        <v>1387</v>
      </c>
      <c r="M140" s="181" t="s">
        <v>29</v>
      </c>
      <c r="N140" s="181">
        <v>62</v>
      </c>
    </row>
    <row r="141" spans="1:14" s="181" customFormat="1">
      <c r="A141" s="263">
        <f t="shared" si="1"/>
        <v>140</v>
      </c>
      <c r="B141" s="264" t="s">
        <v>2373</v>
      </c>
      <c r="C141" s="264" t="s">
        <v>279</v>
      </c>
      <c r="D141" s="264">
        <v>9</v>
      </c>
      <c r="E141" s="264" t="s">
        <v>1359</v>
      </c>
      <c r="F141" s="264" t="s">
        <v>2964</v>
      </c>
      <c r="G141" s="264"/>
      <c r="H141" s="264" t="s">
        <v>3327</v>
      </c>
      <c r="I141" s="264" t="s">
        <v>626</v>
      </c>
      <c r="J141" s="264"/>
      <c r="K141" s="264" t="s">
        <v>2875</v>
      </c>
      <c r="L141" s="264" t="s">
        <v>1360</v>
      </c>
      <c r="M141" s="181" t="s">
        <v>29</v>
      </c>
      <c r="N141" s="181">
        <v>62</v>
      </c>
    </row>
    <row r="142" spans="1:14">
      <c r="A142" s="263">
        <f t="shared" si="1"/>
        <v>141</v>
      </c>
      <c r="B142" s="263" t="s">
        <v>2374</v>
      </c>
      <c r="C142" s="263" t="s">
        <v>279</v>
      </c>
      <c r="D142" s="263">
        <v>9</v>
      </c>
      <c r="E142" s="263" t="s">
        <v>1362</v>
      </c>
      <c r="F142" s="263" t="s">
        <v>2964</v>
      </c>
      <c r="G142" s="263"/>
      <c r="H142" s="263" t="s">
        <v>3327</v>
      </c>
      <c r="I142" s="263" t="s">
        <v>626</v>
      </c>
      <c r="J142" s="263" t="s">
        <v>5613</v>
      </c>
      <c r="K142" s="263" t="s">
        <v>3008</v>
      </c>
      <c r="L142" s="263" t="s">
        <v>1363</v>
      </c>
      <c r="M142" s="178" t="s">
        <v>29</v>
      </c>
      <c r="N142" s="178">
        <v>62</v>
      </c>
    </row>
    <row r="143" spans="1:14">
      <c r="A143" s="263">
        <f t="shared" si="1"/>
        <v>142</v>
      </c>
      <c r="B143" s="263" t="s">
        <v>2375</v>
      </c>
      <c r="C143" s="263" t="s">
        <v>279</v>
      </c>
      <c r="D143" s="263">
        <v>9</v>
      </c>
      <c r="E143" s="263" t="s">
        <v>1407</v>
      </c>
      <c r="F143" s="263" t="s">
        <v>2964</v>
      </c>
      <c r="G143" s="263"/>
      <c r="H143" s="263" t="s">
        <v>3327</v>
      </c>
      <c r="I143" s="263" t="s">
        <v>626</v>
      </c>
      <c r="J143" s="263" t="s">
        <v>5613</v>
      </c>
      <c r="K143" s="263" t="s">
        <v>3009</v>
      </c>
      <c r="L143" s="263" t="s">
        <v>1408</v>
      </c>
      <c r="M143" s="178" t="s">
        <v>29</v>
      </c>
      <c r="N143" s="178">
        <v>62</v>
      </c>
    </row>
    <row r="144" spans="1:14">
      <c r="A144" s="263">
        <f t="shared" si="1"/>
        <v>143</v>
      </c>
      <c r="B144" s="263" t="s">
        <v>2376</v>
      </c>
      <c r="C144" s="263" t="s">
        <v>279</v>
      </c>
      <c r="D144" s="263">
        <v>9</v>
      </c>
      <c r="E144" s="263" t="s">
        <v>757</v>
      </c>
      <c r="F144" s="263" t="s">
        <v>2964</v>
      </c>
      <c r="G144" s="263"/>
      <c r="H144" s="263" t="s">
        <v>3327</v>
      </c>
      <c r="I144" s="263" t="s">
        <v>626</v>
      </c>
      <c r="J144" s="263" t="s">
        <v>5613</v>
      </c>
      <c r="K144" s="263" t="s">
        <v>761</v>
      </c>
      <c r="L144" s="263" t="s">
        <v>759</v>
      </c>
      <c r="M144" s="178" t="s">
        <v>29</v>
      </c>
      <c r="N144" s="178">
        <v>62</v>
      </c>
    </row>
    <row r="145" spans="1:14">
      <c r="A145" s="263">
        <f t="shared" si="1"/>
        <v>144</v>
      </c>
      <c r="B145" s="263" t="s">
        <v>2377</v>
      </c>
      <c r="C145" s="263" t="s">
        <v>279</v>
      </c>
      <c r="D145" s="263">
        <v>9</v>
      </c>
      <c r="E145" s="263" t="s">
        <v>866</v>
      </c>
      <c r="F145" s="263" t="s">
        <v>2964</v>
      </c>
      <c r="G145" s="263"/>
      <c r="H145" s="263" t="s">
        <v>3327</v>
      </c>
      <c r="I145" s="263" t="s">
        <v>626</v>
      </c>
      <c r="J145" s="263" t="s">
        <v>5613</v>
      </c>
      <c r="K145" s="263" t="s">
        <v>3010</v>
      </c>
      <c r="L145" s="263" t="s">
        <v>867</v>
      </c>
      <c r="M145" s="178" t="s">
        <v>29</v>
      </c>
      <c r="N145" s="178">
        <v>62</v>
      </c>
    </row>
    <row r="146" spans="1:14">
      <c r="A146" s="263">
        <f t="shared" si="1"/>
        <v>145</v>
      </c>
      <c r="B146" s="263" t="s">
        <v>2378</v>
      </c>
      <c r="C146" s="263" t="s">
        <v>279</v>
      </c>
      <c r="D146" s="263">
        <v>9</v>
      </c>
      <c r="E146" s="263" t="s">
        <v>868</v>
      </c>
      <c r="F146" s="263" t="s">
        <v>2964</v>
      </c>
      <c r="G146" s="263"/>
      <c r="H146" s="263" t="s">
        <v>3327</v>
      </c>
      <c r="I146" s="263" t="s">
        <v>626</v>
      </c>
      <c r="J146" s="263" t="s">
        <v>5613</v>
      </c>
      <c r="K146" s="263" t="s">
        <v>3011</v>
      </c>
      <c r="L146" s="263" t="s">
        <v>869</v>
      </c>
      <c r="M146" s="178" t="s">
        <v>29</v>
      </c>
      <c r="N146" s="178">
        <v>62</v>
      </c>
    </row>
    <row r="147" spans="1:14">
      <c r="A147" s="263">
        <f t="shared" si="1"/>
        <v>146</v>
      </c>
      <c r="B147" s="263" t="s">
        <v>2379</v>
      </c>
      <c r="C147" s="263" t="s">
        <v>279</v>
      </c>
      <c r="D147" s="263">
        <v>9</v>
      </c>
      <c r="E147" s="263" t="s">
        <v>863</v>
      </c>
      <c r="F147" s="263" t="s">
        <v>2964</v>
      </c>
      <c r="G147" s="263"/>
      <c r="H147" s="263" t="s">
        <v>3327</v>
      </c>
      <c r="I147" s="263" t="s">
        <v>626</v>
      </c>
      <c r="J147" s="263" t="s">
        <v>5613</v>
      </c>
      <c r="K147" s="263" t="s">
        <v>865</v>
      </c>
      <c r="L147" s="263" t="s">
        <v>864</v>
      </c>
      <c r="M147" s="178" t="s">
        <v>29</v>
      </c>
      <c r="N147" s="178">
        <v>62</v>
      </c>
    </row>
    <row r="148" spans="1:14">
      <c r="A148" s="263">
        <f t="shared" si="1"/>
        <v>147</v>
      </c>
      <c r="B148" s="263" t="s">
        <v>2380</v>
      </c>
      <c r="C148" s="263" t="s">
        <v>279</v>
      </c>
      <c r="D148" s="263">
        <v>9</v>
      </c>
      <c r="E148" s="263" t="s">
        <v>893</v>
      </c>
      <c r="F148" s="263" t="s">
        <v>2964</v>
      </c>
      <c r="G148" s="263"/>
      <c r="H148" s="263" t="s">
        <v>3327</v>
      </c>
      <c r="I148" s="263" t="s">
        <v>626</v>
      </c>
      <c r="J148" s="263" t="s">
        <v>5613</v>
      </c>
      <c r="K148" s="263" t="s">
        <v>895</v>
      </c>
      <c r="L148" s="263" t="s">
        <v>894</v>
      </c>
      <c r="M148" s="178" t="s">
        <v>29</v>
      </c>
      <c r="N148" s="178">
        <v>62</v>
      </c>
    </row>
    <row r="149" spans="1:14">
      <c r="A149" s="263">
        <f t="shared" si="1"/>
        <v>148</v>
      </c>
      <c r="B149" s="263" t="s">
        <v>2381</v>
      </c>
      <c r="C149" s="263" t="s">
        <v>279</v>
      </c>
      <c r="D149" s="263">
        <v>4</v>
      </c>
      <c r="E149" s="263" t="s">
        <v>917</v>
      </c>
      <c r="F149" s="263" t="s">
        <v>2964</v>
      </c>
      <c r="G149" s="263"/>
      <c r="H149" s="263" t="s">
        <v>3327</v>
      </c>
      <c r="I149" s="263" t="s">
        <v>625</v>
      </c>
      <c r="J149" s="263" t="s">
        <v>5673</v>
      </c>
      <c r="K149" s="263" t="s">
        <v>92</v>
      </c>
      <c r="L149" s="263" t="s">
        <v>918</v>
      </c>
      <c r="M149" s="178" t="s">
        <v>29</v>
      </c>
      <c r="N149" s="178">
        <v>64</v>
      </c>
    </row>
    <row r="150" spans="1:14">
      <c r="A150" s="263">
        <f t="shared" si="1"/>
        <v>149</v>
      </c>
      <c r="B150" s="263" t="s">
        <v>2382</v>
      </c>
      <c r="C150" s="263" t="s">
        <v>279</v>
      </c>
      <c r="D150" s="263">
        <v>4</v>
      </c>
      <c r="E150" s="263" t="s">
        <v>1441</v>
      </c>
      <c r="F150" s="263" t="s">
        <v>2964</v>
      </c>
      <c r="G150" s="263"/>
      <c r="H150" s="263" t="s">
        <v>3327</v>
      </c>
      <c r="I150" s="263" t="s">
        <v>625</v>
      </c>
      <c r="J150" s="263" t="s">
        <v>5673</v>
      </c>
      <c r="K150" s="263" t="s">
        <v>3013</v>
      </c>
      <c r="L150" s="263" t="s">
        <v>920</v>
      </c>
      <c r="M150" s="178" t="s">
        <v>29</v>
      </c>
      <c r="N150" s="178">
        <v>64</v>
      </c>
    </row>
    <row r="151" spans="1:14">
      <c r="A151" s="263">
        <f t="shared" si="1"/>
        <v>150</v>
      </c>
      <c r="B151" s="263" t="s">
        <v>2383</v>
      </c>
      <c r="C151" s="263" t="s">
        <v>279</v>
      </c>
      <c r="D151" s="263">
        <v>4</v>
      </c>
      <c r="E151" s="263" t="s">
        <v>914</v>
      </c>
      <c r="F151" s="263" t="s">
        <v>2964</v>
      </c>
      <c r="G151" s="263"/>
      <c r="H151" s="263" t="s">
        <v>3327</v>
      </c>
      <c r="I151" s="263" t="s">
        <v>625</v>
      </c>
      <c r="J151" s="263" t="s">
        <v>5673</v>
      </c>
      <c r="K151" s="263" t="s">
        <v>3014</v>
      </c>
      <c r="L151" s="263" t="s">
        <v>915</v>
      </c>
      <c r="M151" s="178" t="s">
        <v>29</v>
      </c>
      <c r="N151" s="178">
        <v>64</v>
      </c>
    </row>
    <row r="152" spans="1:14">
      <c r="A152" s="263">
        <f t="shared" si="1"/>
        <v>151</v>
      </c>
      <c r="B152" s="263" t="s">
        <v>2384</v>
      </c>
      <c r="C152" s="263" t="s">
        <v>279</v>
      </c>
      <c r="D152" s="263">
        <v>4</v>
      </c>
      <c r="E152" s="263" t="s">
        <v>1442</v>
      </c>
      <c r="F152" s="263" t="s">
        <v>2964</v>
      </c>
      <c r="G152" s="263"/>
      <c r="H152" s="263" t="s">
        <v>3327</v>
      </c>
      <c r="I152" s="263" t="s">
        <v>625</v>
      </c>
      <c r="J152" s="263" t="s">
        <v>5673</v>
      </c>
      <c r="K152" s="263" t="s">
        <v>2736</v>
      </c>
      <c r="L152" s="263" t="s">
        <v>906</v>
      </c>
      <c r="M152" s="178" t="s">
        <v>29</v>
      </c>
      <c r="N152" s="178">
        <v>64</v>
      </c>
    </row>
    <row r="153" spans="1:14">
      <c r="A153" s="263">
        <f t="shared" si="1"/>
        <v>152</v>
      </c>
      <c r="B153" s="263" t="s">
        <v>2385</v>
      </c>
      <c r="C153" s="263" t="s">
        <v>279</v>
      </c>
      <c r="D153" s="263">
        <v>4</v>
      </c>
      <c r="E153" s="263" t="s">
        <v>1443</v>
      </c>
      <c r="F153" s="263" t="s">
        <v>2964</v>
      </c>
      <c r="G153" s="263"/>
      <c r="H153" s="263" t="s">
        <v>3327</v>
      </c>
      <c r="I153" s="263" t="s">
        <v>625</v>
      </c>
      <c r="J153" s="263" t="s">
        <v>5673</v>
      </c>
      <c r="K153" s="263" t="s">
        <v>3015</v>
      </c>
      <c r="L153" s="263" t="s">
        <v>909</v>
      </c>
      <c r="M153" s="178" t="s">
        <v>29</v>
      </c>
      <c r="N153" s="178">
        <v>64</v>
      </c>
    </row>
    <row r="154" spans="1:14" ht="45">
      <c r="A154" s="263">
        <f t="shared" si="1"/>
        <v>153</v>
      </c>
      <c r="B154" s="263" t="s">
        <v>2386</v>
      </c>
      <c r="C154" s="263" t="s">
        <v>279</v>
      </c>
      <c r="D154" s="263">
        <v>9</v>
      </c>
      <c r="E154" s="263" t="s">
        <v>1444</v>
      </c>
      <c r="F154" s="263" t="s">
        <v>2964</v>
      </c>
      <c r="G154" s="263"/>
      <c r="H154" s="263"/>
      <c r="I154" s="263" t="e">
        <v>#N/A</v>
      </c>
      <c r="J154" s="265" t="s">
        <v>3027</v>
      </c>
      <c r="K154" s="263" t="s">
        <v>3016</v>
      </c>
      <c r="L154" s="263" t="s">
        <v>3029</v>
      </c>
      <c r="M154" s="178" t="e">
        <v>#N/A</v>
      </c>
      <c r="N154" s="178" t="e">
        <v>#N/A</v>
      </c>
    </row>
    <row r="155" spans="1:14">
      <c r="A155" s="263">
        <f t="shared" si="1"/>
        <v>154</v>
      </c>
      <c r="B155" s="263" t="s">
        <v>2387</v>
      </c>
      <c r="C155" s="263" t="s">
        <v>279</v>
      </c>
      <c r="D155" s="263">
        <v>9</v>
      </c>
      <c r="E155" s="263" t="s">
        <v>858</v>
      </c>
      <c r="F155" s="263" t="s">
        <v>2964</v>
      </c>
      <c r="G155" s="263"/>
      <c r="H155" s="263" t="s">
        <v>3327</v>
      </c>
      <c r="I155" s="263" t="s">
        <v>626</v>
      </c>
      <c r="J155" s="263" t="s">
        <v>5613</v>
      </c>
      <c r="K155" s="263" t="s">
        <v>191</v>
      </c>
      <c r="L155" s="263" t="s">
        <v>859</v>
      </c>
      <c r="M155" s="178" t="s">
        <v>29</v>
      </c>
      <c r="N155" s="178">
        <v>62</v>
      </c>
    </row>
    <row r="156" spans="1:14" s="181" customFormat="1">
      <c r="A156" s="263">
        <f t="shared" si="1"/>
        <v>155</v>
      </c>
      <c r="B156" s="264" t="s">
        <v>2388</v>
      </c>
      <c r="C156" s="264" t="s">
        <v>279</v>
      </c>
      <c r="D156" s="264">
        <v>9</v>
      </c>
      <c r="E156" s="264" t="s">
        <v>1447</v>
      </c>
      <c r="F156" s="264" t="s">
        <v>2964</v>
      </c>
      <c r="G156" s="264"/>
      <c r="H156" s="264" t="s">
        <v>2964</v>
      </c>
      <c r="I156" s="264" t="s">
        <v>625</v>
      </c>
      <c r="J156" s="264"/>
      <c r="K156" s="264" t="s">
        <v>842</v>
      </c>
      <c r="L156" s="264" t="s">
        <v>841</v>
      </c>
      <c r="M156" s="181" t="s">
        <v>29</v>
      </c>
      <c r="N156" s="181">
        <v>64</v>
      </c>
    </row>
    <row r="157" spans="1:14" s="181" customFormat="1">
      <c r="A157" s="263">
        <f t="shared" si="1"/>
        <v>156</v>
      </c>
      <c r="B157" s="264" t="s">
        <v>2389</v>
      </c>
      <c r="C157" s="264" t="s">
        <v>279</v>
      </c>
      <c r="D157" s="264">
        <v>4</v>
      </c>
      <c r="E157" s="264" t="s">
        <v>1418</v>
      </c>
      <c r="F157" s="264" t="s">
        <v>2964</v>
      </c>
      <c r="G157" s="264"/>
      <c r="H157" s="264" t="s">
        <v>2964</v>
      </c>
      <c r="I157" s="264" t="s">
        <v>625</v>
      </c>
      <c r="J157" s="264"/>
      <c r="K157" s="264" t="s">
        <v>1419</v>
      </c>
      <c r="L157" s="264" t="s">
        <v>923</v>
      </c>
      <c r="M157" s="181" t="s">
        <v>29</v>
      </c>
      <c r="N157" s="181">
        <v>64</v>
      </c>
    </row>
    <row r="158" spans="1:14" s="181" customFormat="1">
      <c r="A158" s="263">
        <f t="shared" si="1"/>
        <v>157</v>
      </c>
      <c r="B158" s="264" t="s">
        <v>2390</v>
      </c>
      <c r="C158" s="264" t="s">
        <v>279</v>
      </c>
      <c r="D158" s="264">
        <v>4</v>
      </c>
      <c r="E158" s="264" t="s">
        <v>922</v>
      </c>
      <c r="F158" s="264" t="s">
        <v>2964</v>
      </c>
      <c r="G158" s="264" t="s">
        <v>3057</v>
      </c>
      <c r="H158" s="264" t="s">
        <v>2964</v>
      </c>
      <c r="I158" s="264" t="s">
        <v>625</v>
      </c>
      <c r="J158" s="264"/>
      <c r="K158" s="264" t="s">
        <v>924</v>
      </c>
      <c r="L158" s="264" t="s">
        <v>923</v>
      </c>
      <c r="M158" s="181" t="s">
        <v>29</v>
      </c>
      <c r="N158" s="181">
        <v>64</v>
      </c>
    </row>
    <row r="159" spans="1:14" s="181" customFormat="1">
      <c r="A159" s="263">
        <f t="shared" si="1"/>
        <v>158</v>
      </c>
      <c r="B159" s="264" t="s">
        <v>2391</v>
      </c>
      <c r="C159" s="264" t="s">
        <v>279</v>
      </c>
      <c r="D159" s="264">
        <v>4</v>
      </c>
      <c r="E159" s="264" t="s">
        <v>1420</v>
      </c>
      <c r="F159" s="264" t="s">
        <v>2964</v>
      </c>
      <c r="G159" s="264"/>
      <c r="H159" s="264" t="s">
        <v>2964</v>
      </c>
      <c r="I159" s="264" t="s">
        <v>625</v>
      </c>
      <c r="J159" s="264"/>
      <c r="K159" s="264" t="s">
        <v>1421</v>
      </c>
      <c r="L159" s="264" t="s">
        <v>923</v>
      </c>
      <c r="M159" s="181" t="s">
        <v>29</v>
      </c>
      <c r="N159" s="181">
        <v>64</v>
      </c>
    </row>
    <row r="160" spans="1:14" s="181" customFormat="1">
      <c r="A160" s="263">
        <f t="shared" si="1"/>
        <v>159</v>
      </c>
      <c r="B160" s="264" t="s">
        <v>2519</v>
      </c>
      <c r="C160" s="264" t="s">
        <v>279</v>
      </c>
      <c r="D160" s="264">
        <v>4</v>
      </c>
      <c r="E160" s="264" t="s">
        <v>1422</v>
      </c>
      <c r="F160" s="264" t="s">
        <v>2964</v>
      </c>
      <c r="G160" s="264"/>
      <c r="H160" s="264" t="s">
        <v>2964</v>
      </c>
      <c r="I160" s="264" t="s">
        <v>625</v>
      </c>
      <c r="J160" s="264"/>
      <c r="K160" s="264" t="s">
        <v>1423</v>
      </c>
      <c r="L160" s="264" t="s">
        <v>923</v>
      </c>
      <c r="M160" s="181" t="s">
        <v>29</v>
      </c>
      <c r="N160" s="181">
        <v>64</v>
      </c>
    </row>
    <row r="161" spans="1:14" s="181" customFormat="1">
      <c r="A161" s="263">
        <f t="shared" si="1"/>
        <v>160</v>
      </c>
      <c r="B161" s="264" t="s">
        <v>2961</v>
      </c>
      <c r="C161" s="264" t="s">
        <v>279</v>
      </c>
      <c r="D161" s="264">
        <v>4</v>
      </c>
      <c r="E161" s="264" t="s">
        <v>1424</v>
      </c>
      <c r="F161" s="264" t="s">
        <v>2964</v>
      </c>
      <c r="G161" s="264"/>
      <c r="H161" s="264" t="s">
        <v>2964</v>
      </c>
      <c r="I161" s="264" t="s">
        <v>625</v>
      </c>
      <c r="J161" s="264"/>
      <c r="K161" s="264" t="s">
        <v>1425</v>
      </c>
      <c r="L161" s="264" t="s">
        <v>923</v>
      </c>
      <c r="M161" s="181" t="s">
        <v>29</v>
      </c>
      <c r="N161" s="181">
        <v>64</v>
      </c>
    </row>
    <row r="162" spans="1:14">
      <c r="A162" s="263">
        <f t="shared" si="1"/>
        <v>161</v>
      </c>
      <c r="B162" s="263" t="s">
        <v>2962</v>
      </c>
      <c r="C162" s="263" t="s">
        <v>279</v>
      </c>
      <c r="D162" s="263">
        <v>4</v>
      </c>
      <c r="E162" s="263" t="s">
        <v>2977</v>
      </c>
      <c r="F162" s="263" t="s">
        <v>2964</v>
      </c>
      <c r="G162" s="263"/>
      <c r="H162" s="263" t="s">
        <v>2964</v>
      </c>
      <c r="I162" s="503" t="s">
        <v>625</v>
      </c>
      <c r="J162" s="263" t="s">
        <v>5673</v>
      </c>
      <c r="K162" s="263" t="s">
        <v>3017</v>
      </c>
      <c r="L162" s="263" t="s">
        <v>2967</v>
      </c>
      <c r="M162" s="178" t="e">
        <v>#N/A</v>
      </c>
      <c r="N162" s="178" t="e">
        <v>#N/A</v>
      </c>
    </row>
    <row r="163" spans="1:14">
      <c r="A163" s="263">
        <f t="shared" si="1"/>
        <v>162</v>
      </c>
      <c r="B163" s="263" t="s">
        <v>3643</v>
      </c>
      <c r="C163" s="263" t="s">
        <v>279</v>
      </c>
      <c r="D163" s="263">
        <v>9</v>
      </c>
      <c r="E163" s="263" t="s">
        <v>5195</v>
      </c>
      <c r="F163" s="263" t="s">
        <v>2964</v>
      </c>
      <c r="G163" s="263" t="s">
        <v>5667</v>
      </c>
      <c r="H163" s="263" t="s">
        <v>2964</v>
      </c>
      <c r="I163" s="503" t="s">
        <v>5669</v>
      </c>
      <c r="J163" s="263" t="s">
        <v>5669</v>
      </c>
      <c r="K163" s="263" t="s">
        <v>5874</v>
      </c>
      <c r="L163" s="263"/>
      <c r="M163" s="178" t="s">
        <v>5668</v>
      </c>
    </row>
    <row r="164" spans="1:14">
      <c r="A164" s="263">
        <f t="shared" si="1"/>
        <v>163</v>
      </c>
      <c r="B164" s="263" t="s">
        <v>3644</v>
      </c>
      <c r="C164" s="263" t="s">
        <v>279</v>
      </c>
      <c r="D164" s="263">
        <v>9</v>
      </c>
      <c r="E164" s="263" t="s">
        <v>842</v>
      </c>
      <c r="F164" s="263" t="s">
        <v>2964</v>
      </c>
      <c r="G164" s="263"/>
      <c r="H164" s="263" t="s">
        <v>2964</v>
      </c>
      <c r="I164" s="503" t="s">
        <v>5613</v>
      </c>
      <c r="J164" s="263" t="s">
        <v>5613</v>
      </c>
      <c r="K164" s="263" t="s">
        <v>5670</v>
      </c>
      <c r="L164" s="263" t="s">
        <v>4437</v>
      </c>
    </row>
    <row r="165" spans="1:14" s="181" customFormat="1">
      <c r="A165" s="263">
        <f t="shared" si="1"/>
        <v>164</v>
      </c>
      <c r="B165" s="264" t="s">
        <v>3645</v>
      </c>
      <c r="C165" s="264" t="s">
        <v>279</v>
      </c>
      <c r="D165" s="264">
        <v>9</v>
      </c>
      <c r="E165" s="264" t="s">
        <v>3666</v>
      </c>
      <c r="F165" s="264"/>
      <c r="G165" s="264"/>
      <c r="H165" s="264"/>
      <c r="I165" s="504"/>
      <c r="J165" s="264"/>
      <c r="K165" s="264"/>
      <c r="L165" s="264"/>
    </row>
    <row r="166" spans="1:14" s="181" customFormat="1">
      <c r="A166" s="263">
        <f t="shared" si="1"/>
        <v>165</v>
      </c>
      <c r="B166" s="264" t="s">
        <v>3646</v>
      </c>
      <c r="C166" s="264" t="s">
        <v>279</v>
      </c>
      <c r="D166" s="264">
        <v>9</v>
      </c>
      <c r="E166" s="264" t="s">
        <v>3667</v>
      </c>
      <c r="F166" s="264"/>
      <c r="G166" s="264"/>
      <c r="H166" s="264"/>
      <c r="I166" s="504"/>
      <c r="J166" s="264"/>
      <c r="K166" s="264"/>
      <c r="L166" s="264"/>
    </row>
    <row r="167" spans="1:14" s="181" customFormat="1">
      <c r="A167" s="263">
        <f t="shared" si="1"/>
        <v>166</v>
      </c>
      <c r="B167" s="264" t="s">
        <v>3647</v>
      </c>
      <c r="C167" s="264" t="s">
        <v>279</v>
      </c>
      <c r="D167" s="264">
        <v>9</v>
      </c>
      <c r="E167" s="264" t="s">
        <v>3668</v>
      </c>
      <c r="F167" s="264"/>
      <c r="G167" s="264"/>
      <c r="H167" s="264"/>
      <c r="I167" s="504"/>
      <c r="J167" s="264"/>
      <c r="K167" s="264"/>
      <c r="L167" s="264"/>
    </row>
    <row r="168" spans="1:14">
      <c r="A168" s="263">
        <f t="shared" si="1"/>
        <v>167</v>
      </c>
      <c r="B168" s="263" t="s">
        <v>3648</v>
      </c>
      <c r="C168" s="263" t="s">
        <v>279</v>
      </c>
      <c r="D168" s="263">
        <v>9</v>
      </c>
      <c r="E168" s="263" t="s">
        <v>3673</v>
      </c>
      <c r="F168" s="263" t="s">
        <v>3327</v>
      </c>
      <c r="G168" s="263"/>
      <c r="H168" s="263" t="s">
        <v>3327</v>
      </c>
      <c r="I168" s="263" t="s">
        <v>5613</v>
      </c>
      <c r="J168" s="263" t="s">
        <v>5613</v>
      </c>
      <c r="K168" s="263" t="s">
        <v>5671</v>
      </c>
      <c r="L168" s="263" t="s">
        <v>3663</v>
      </c>
    </row>
    <row r="169" spans="1:14">
      <c r="A169" s="263">
        <f t="shared" si="1"/>
        <v>168</v>
      </c>
      <c r="B169" s="263" t="s">
        <v>3649</v>
      </c>
      <c r="C169" s="263" t="s">
        <v>279</v>
      </c>
      <c r="D169" s="263">
        <v>9</v>
      </c>
      <c r="E169" s="263" t="s">
        <v>925</v>
      </c>
      <c r="F169" s="263" t="s">
        <v>3327</v>
      </c>
      <c r="G169" s="263"/>
      <c r="H169" s="263" t="s">
        <v>3327</v>
      </c>
      <c r="I169" s="263" t="s">
        <v>5673</v>
      </c>
      <c r="J169" s="263" t="s">
        <v>5673</v>
      </c>
      <c r="K169" s="263" t="s">
        <v>926</v>
      </c>
      <c r="L169" s="263" t="s">
        <v>5672</v>
      </c>
    </row>
    <row r="170" spans="1:14">
      <c r="A170" s="263">
        <f t="shared" si="1"/>
        <v>169</v>
      </c>
      <c r="B170" s="263" t="s">
        <v>3650</v>
      </c>
      <c r="C170" s="263" t="s">
        <v>279</v>
      </c>
      <c r="D170" s="263">
        <v>9</v>
      </c>
      <c r="E170" s="263" t="s">
        <v>5196</v>
      </c>
      <c r="F170" s="263" t="s">
        <v>3327</v>
      </c>
      <c r="G170" s="263"/>
      <c r="H170" s="263" t="s">
        <v>3327</v>
      </c>
      <c r="I170" s="263" t="s">
        <v>5673</v>
      </c>
      <c r="J170" s="263" t="s">
        <v>5673</v>
      </c>
      <c r="K170" s="263" t="s">
        <v>900</v>
      </c>
      <c r="L170" s="263" t="s">
        <v>5674</v>
      </c>
    </row>
    <row r="171" spans="1:14">
      <c r="A171" s="263">
        <f t="shared" si="1"/>
        <v>170</v>
      </c>
      <c r="B171" s="263" t="s">
        <v>3651</v>
      </c>
      <c r="C171" s="263" t="s">
        <v>279</v>
      </c>
      <c r="D171" s="263">
        <v>15</v>
      </c>
      <c r="E171" s="263" t="s">
        <v>5197</v>
      </c>
      <c r="F171" s="263" t="s">
        <v>3327</v>
      </c>
      <c r="G171" s="263"/>
      <c r="H171" s="263" t="s">
        <v>3327</v>
      </c>
      <c r="I171" s="263" t="s">
        <v>5673</v>
      </c>
      <c r="J171" s="263" t="s">
        <v>5673</v>
      </c>
      <c r="K171" s="263" t="s">
        <v>5197</v>
      </c>
      <c r="L171" s="263" t="s">
        <v>5402</v>
      </c>
    </row>
    <row r="172" spans="1:14">
      <c r="A172" s="263">
        <f t="shared" si="1"/>
        <v>171</v>
      </c>
      <c r="B172" s="263" t="s">
        <v>3712</v>
      </c>
      <c r="C172" s="263" t="s">
        <v>1910</v>
      </c>
      <c r="D172" s="263">
        <v>4</v>
      </c>
      <c r="E172" s="263" t="s">
        <v>2534</v>
      </c>
      <c r="F172" s="263" t="s">
        <v>3327</v>
      </c>
      <c r="G172" s="263"/>
      <c r="H172" s="263" t="s">
        <v>3327</v>
      </c>
      <c r="I172" s="263" t="s">
        <v>5673</v>
      </c>
      <c r="J172" s="263" t="s">
        <v>5673</v>
      </c>
      <c r="K172" s="263" t="s">
        <v>5675</v>
      </c>
      <c r="L172" s="263" t="s">
        <v>3109</v>
      </c>
    </row>
    <row r="173" spans="1:14">
      <c r="A173" s="263">
        <f t="shared" si="1"/>
        <v>172</v>
      </c>
      <c r="B173" s="263" t="s">
        <v>3713</v>
      </c>
      <c r="C173" s="263" t="s">
        <v>1910</v>
      </c>
      <c r="D173" s="263">
        <v>4</v>
      </c>
      <c r="E173" s="263" t="s">
        <v>4230</v>
      </c>
      <c r="F173" s="263" t="s">
        <v>3327</v>
      </c>
      <c r="G173" s="263"/>
      <c r="H173" s="263" t="s">
        <v>3327</v>
      </c>
      <c r="I173" s="263" t="s">
        <v>5673</v>
      </c>
      <c r="J173" s="263" t="s">
        <v>5673</v>
      </c>
      <c r="K173" s="263" t="s">
        <v>5404</v>
      </c>
      <c r="L173" s="263" t="s">
        <v>5403</v>
      </c>
    </row>
    <row r="174" spans="1:14">
      <c r="A174" s="263">
        <f t="shared" si="1"/>
        <v>173</v>
      </c>
      <c r="B174" s="263" t="s">
        <v>4305</v>
      </c>
      <c r="C174" s="263"/>
      <c r="D174" s="263"/>
      <c r="E174" s="263" t="s">
        <v>5679</v>
      </c>
      <c r="F174" s="263" t="s">
        <v>3327</v>
      </c>
      <c r="G174" s="263"/>
      <c r="H174" s="263" t="s">
        <v>3327</v>
      </c>
      <c r="I174" s="265" t="s">
        <v>5453</v>
      </c>
      <c r="J174" s="263" t="s">
        <v>5613</v>
      </c>
      <c r="K174" s="263" t="s">
        <v>884</v>
      </c>
      <c r="L174" s="263" t="s">
        <v>885</v>
      </c>
    </row>
    <row r="175" spans="1:14">
      <c r="A175" s="263">
        <f t="shared" si="1"/>
        <v>174</v>
      </c>
      <c r="B175" s="263" t="s">
        <v>4306</v>
      </c>
      <c r="C175" s="263"/>
      <c r="D175" s="263"/>
      <c r="E175" s="263" t="s">
        <v>5680</v>
      </c>
      <c r="F175" s="263" t="s">
        <v>3327</v>
      </c>
      <c r="G175" s="263"/>
      <c r="H175" s="263" t="s">
        <v>3327</v>
      </c>
      <c r="I175" s="265" t="s">
        <v>5453</v>
      </c>
      <c r="J175" s="263" t="s">
        <v>5613</v>
      </c>
      <c r="K175" s="263" t="s">
        <v>5681</v>
      </c>
      <c r="L175" s="263" t="s">
        <v>4447</v>
      </c>
    </row>
    <row r="176" spans="1:14">
      <c r="A176" s="263">
        <f t="shared" si="1"/>
        <v>175</v>
      </c>
      <c r="B176" s="263" t="s">
        <v>4307</v>
      </c>
      <c r="C176" s="263"/>
      <c r="D176" s="263"/>
      <c r="E176" s="263" t="s">
        <v>5682</v>
      </c>
      <c r="F176" s="263" t="s">
        <v>3327</v>
      </c>
      <c r="G176" s="263"/>
      <c r="H176" s="263" t="s">
        <v>3327</v>
      </c>
      <c r="I176" s="265" t="s">
        <v>5453</v>
      </c>
      <c r="J176" s="263" t="s">
        <v>5613</v>
      </c>
      <c r="K176" s="263" t="s">
        <v>5683</v>
      </c>
      <c r="L176" s="263" t="s">
        <v>4448</v>
      </c>
    </row>
    <row r="177" spans="1:12">
      <c r="A177" s="263">
        <f t="shared" si="1"/>
        <v>176</v>
      </c>
      <c r="B177" s="263" t="s">
        <v>4308</v>
      </c>
      <c r="C177" s="263"/>
      <c r="D177" s="263"/>
      <c r="E177" s="263" t="s">
        <v>5684</v>
      </c>
      <c r="F177" s="263" t="s">
        <v>3327</v>
      </c>
      <c r="G177" s="263"/>
      <c r="H177" s="263" t="s">
        <v>3327</v>
      </c>
      <c r="I177" s="265" t="s">
        <v>5453</v>
      </c>
      <c r="J177" s="263" t="s">
        <v>5613</v>
      </c>
      <c r="K177" s="263" t="s">
        <v>5685</v>
      </c>
      <c r="L177" s="263" t="s">
        <v>4449</v>
      </c>
    </row>
    <row r="178" spans="1:12">
      <c r="A178" s="263">
        <f t="shared" si="1"/>
        <v>177</v>
      </c>
      <c r="B178" s="263" t="s">
        <v>4309</v>
      </c>
      <c r="C178" s="263"/>
      <c r="D178" s="263"/>
      <c r="E178" s="263" t="s">
        <v>5686</v>
      </c>
      <c r="F178" s="263" t="s">
        <v>3327</v>
      </c>
      <c r="G178" s="263"/>
      <c r="H178" s="263" t="s">
        <v>3327</v>
      </c>
      <c r="I178" s="265" t="s">
        <v>5453</v>
      </c>
      <c r="J178" s="263" t="s">
        <v>5613</v>
      </c>
      <c r="K178" s="263" t="s">
        <v>5687</v>
      </c>
      <c r="L178" s="263" t="s">
        <v>4450</v>
      </c>
    </row>
    <row r="179" spans="1:12">
      <c r="A179" s="263">
        <f t="shared" si="1"/>
        <v>178</v>
      </c>
      <c r="B179" s="263" t="s">
        <v>4310</v>
      </c>
      <c r="C179" s="263"/>
      <c r="D179" s="263"/>
      <c r="E179" s="263" t="s">
        <v>5688</v>
      </c>
      <c r="F179" s="263" t="s">
        <v>3327</v>
      </c>
      <c r="G179" s="263"/>
      <c r="H179" s="263" t="s">
        <v>3327</v>
      </c>
      <c r="I179" s="265" t="s">
        <v>5453</v>
      </c>
      <c r="J179" s="263" t="s">
        <v>5613</v>
      </c>
      <c r="K179" s="263" t="s">
        <v>5689</v>
      </c>
      <c r="L179" s="263" t="s">
        <v>4451</v>
      </c>
    </row>
    <row r="180" spans="1:12">
      <c r="A180" s="263">
        <f t="shared" si="1"/>
        <v>179</v>
      </c>
      <c r="B180" s="263" t="s">
        <v>4311</v>
      </c>
      <c r="C180" s="263"/>
      <c r="D180" s="263"/>
      <c r="E180" s="263" t="s">
        <v>5691</v>
      </c>
      <c r="F180" s="263" t="s">
        <v>3327</v>
      </c>
      <c r="G180" s="263"/>
      <c r="H180" s="263" t="s">
        <v>3327</v>
      </c>
      <c r="I180" s="265" t="s">
        <v>5453</v>
      </c>
      <c r="J180" s="263" t="s">
        <v>5613</v>
      </c>
      <c r="K180" s="263" t="s">
        <v>5692</v>
      </c>
      <c r="L180" s="263" t="s">
        <v>5690</v>
      </c>
    </row>
    <row r="181" spans="1:12">
      <c r="A181" s="263">
        <f t="shared" si="1"/>
        <v>180</v>
      </c>
      <c r="B181" s="263" t="s">
        <v>4312</v>
      </c>
      <c r="C181" s="263"/>
      <c r="D181" s="263"/>
      <c r="E181" s="263" t="s">
        <v>5694</v>
      </c>
      <c r="F181" s="263" t="s">
        <v>3327</v>
      </c>
      <c r="G181" s="263"/>
      <c r="H181" s="263" t="s">
        <v>3327</v>
      </c>
      <c r="I181" s="265" t="s">
        <v>5453</v>
      </c>
      <c r="J181" s="263" t="s">
        <v>5613</v>
      </c>
      <c r="K181" s="263" t="s">
        <v>5695</v>
      </c>
      <c r="L181" s="263" t="s">
        <v>5693</v>
      </c>
    </row>
    <row r="182" spans="1:12">
      <c r="A182" s="263">
        <f t="shared" si="1"/>
        <v>181</v>
      </c>
      <c r="B182" s="263" t="s">
        <v>4313</v>
      </c>
      <c r="C182" s="263"/>
      <c r="D182" s="263"/>
      <c r="E182" s="263" t="s">
        <v>5697</v>
      </c>
      <c r="F182" s="263" t="s">
        <v>3327</v>
      </c>
      <c r="G182" s="263"/>
      <c r="H182" s="263" t="s">
        <v>3327</v>
      </c>
      <c r="I182" s="265" t="s">
        <v>5453</v>
      </c>
      <c r="J182" s="263" t="s">
        <v>5613</v>
      </c>
      <c r="K182" s="263" t="s">
        <v>5698</v>
      </c>
      <c r="L182" s="263" t="s">
        <v>5696</v>
      </c>
    </row>
    <row r="183" spans="1:12">
      <c r="A183" s="263">
        <f t="shared" si="1"/>
        <v>182</v>
      </c>
      <c r="B183" s="263" t="s">
        <v>4314</v>
      </c>
      <c r="C183" s="263"/>
      <c r="D183" s="263"/>
      <c r="E183" s="263" t="s">
        <v>5699</v>
      </c>
      <c r="F183" s="263" t="s">
        <v>3327</v>
      </c>
      <c r="G183" s="263"/>
      <c r="H183" s="263" t="s">
        <v>3327</v>
      </c>
      <c r="I183" s="265" t="s">
        <v>5453</v>
      </c>
      <c r="J183" s="263" t="s">
        <v>5613</v>
      </c>
      <c r="K183" s="263" t="s">
        <v>5700</v>
      </c>
      <c r="L183" s="263" t="s">
        <v>776</v>
      </c>
    </row>
    <row r="184" spans="1:12">
      <c r="A184" s="263">
        <f t="shared" si="1"/>
        <v>183</v>
      </c>
      <c r="B184" s="263" t="s">
        <v>5701</v>
      </c>
      <c r="C184" s="263"/>
      <c r="D184" s="263"/>
      <c r="E184" s="263" t="s">
        <v>5703</v>
      </c>
      <c r="F184" s="263" t="s">
        <v>3327</v>
      </c>
      <c r="G184" s="263"/>
      <c r="H184" s="263" t="s">
        <v>3327</v>
      </c>
      <c r="I184" s="265" t="s">
        <v>5453</v>
      </c>
      <c r="J184" s="263" t="s">
        <v>5613</v>
      </c>
      <c r="K184" s="263" t="s">
        <v>5704</v>
      </c>
      <c r="L184" s="263" t="s">
        <v>5702</v>
      </c>
    </row>
    <row r="185" spans="1:12">
      <c r="A185" s="263">
        <f t="shared" ref="A185:A223" si="2">ROW()-1</f>
        <v>184</v>
      </c>
      <c r="B185" s="263" t="s">
        <v>5705</v>
      </c>
      <c r="C185" s="263"/>
      <c r="D185" s="263"/>
      <c r="E185" s="263" t="s">
        <v>5706</v>
      </c>
      <c r="F185" s="263" t="s">
        <v>3327</v>
      </c>
      <c r="G185" s="263"/>
      <c r="H185" s="263" t="s">
        <v>3327</v>
      </c>
      <c r="I185" s="265" t="s">
        <v>5453</v>
      </c>
      <c r="J185" s="263" t="s">
        <v>5613</v>
      </c>
      <c r="K185" s="263" t="s">
        <v>5707</v>
      </c>
      <c r="L185" s="263" t="s">
        <v>4630</v>
      </c>
    </row>
    <row r="186" spans="1:12">
      <c r="A186" s="263">
        <f t="shared" si="2"/>
        <v>185</v>
      </c>
      <c r="B186" s="263" t="s">
        <v>5708</v>
      </c>
      <c r="C186" s="263"/>
      <c r="D186" s="263"/>
      <c r="E186" s="263" t="s">
        <v>5710</v>
      </c>
      <c r="F186" s="263" t="s">
        <v>3327</v>
      </c>
      <c r="G186" s="263"/>
      <c r="H186" s="263" t="s">
        <v>3327</v>
      </c>
      <c r="I186" s="265" t="s">
        <v>5453</v>
      </c>
      <c r="J186" s="263" t="s">
        <v>5613</v>
      </c>
      <c r="K186" s="263" t="s">
        <v>5711</v>
      </c>
      <c r="L186" s="263" t="s">
        <v>5709</v>
      </c>
    </row>
    <row r="187" spans="1:12">
      <c r="A187" s="263">
        <f t="shared" si="2"/>
        <v>186</v>
      </c>
      <c r="B187" s="263" t="s">
        <v>5712</v>
      </c>
      <c r="C187" s="263"/>
      <c r="D187" s="263"/>
      <c r="E187" s="263" t="s">
        <v>5714</v>
      </c>
      <c r="F187" s="263" t="s">
        <v>3327</v>
      </c>
      <c r="G187" s="263"/>
      <c r="H187" s="263" t="s">
        <v>3327</v>
      </c>
      <c r="I187" s="265" t="s">
        <v>5453</v>
      </c>
      <c r="J187" s="263" t="s">
        <v>5613</v>
      </c>
      <c r="K187" s="263" t="s">
        <v>5715</v>
      </c>
      <c r="L187" s="263" t="s">
        <v>5713</v>
      </c>
    </row>
    <row r="188" spans="1:12">
      <c r="A188" s="263">
        <f t="shared" si="2"/>
        <v>187</v>
      </c>
      <c r="B188" s="263" t="s">
        <v>5716</v>
      </c>
      <c r="C188" s="263"/>
      <c r="D188" s="263"/>
      <c r="E188" s="263" t="s">
        <v>5718</v>
      </c>
      <c r="F188" s="263" t="s">
        <v>3327</v>
      </c>
      <c r="G188" s="263"/>
      <c r="H188" s="263" t="s">
        <v>3327</v>
      </c>
      <c r="I188" s="265" t="s">
        <v>5453</v>
      </c>
      <c r="J188" s="263" t="s">
        <v>5613</v>
      </c>
      <c r="K188" s="263" t="s">
        <v>5719</v>
      </c>
      <c r="L188" s="263" t="s">
        <v>5717</v>
      </c>
    </row>
    <row r="189" spans="1:12">
      <c r="A189" s="263">
        <f t="shared" si="2"/>
        <v>188</v>
      </c>
      <c r="B189" s="263" t="s">
        <v>5720</v>
      </c>
      <c r="C189" s="263"/>
      <c r="D189" s="263"/>
      <c r="E189" s="263" t="s">
        <v>5722</v>
      </c>
      <c r="F189" s="263" t="s">
        <v>3327</v>
      </c>
      <c r="G189" s="263"/>
      <c r="H189" s="263" t="s">
        <v>3327</v>
      </c>
      <c r="I189" s="265" t="s">
        <v>5453</v>
      </c>
      <c r="J189" s="263" t="s">
        <v>5613</v>
      </c>
      <c r="K189" s="263" t="s">
        <v>5723</v>
      </c>
      <c r="L189" s="263" t="s">
        <v>5721</v>
      </c>
    </row>
    <row r="190" spans="1:12">
      <c r="A190" s="263">
        <f t="shared" si="2"/>
        <v>189</v>
      </c>
      <c r="B190" s="263" t="s">
        <v>5724</v>
      </c>
      <c r="C190" s="263"/>
      <c r="D190" s="263"/>
      <c r="E190" s="263" t="s">
        <v>5726</v>
      </c>
      <c r="F190" s="263" t="s">
        <v>3327</v>
      </c>
      <c r="G190" s="263"/>
      <c r="H190" s="263" t="s">
        <v>3327</v>
      </c>
      <c r="I190" s="265" t="s">
        <v>5453</v>
      </c>
      <c r="J190" s="263" t="s">
        <v>5613</v>
      </c>
      <c r="K190" s="263" t="s">
        <v>5727</v>
      </c>
      <c r="L190" s="263" t="s">
        <v>5725</v>
      </c>
    </row>
    <row r="191" spans="1:12">
      <c r="A191" s="263">
        <f t="shared" si="2"/>
        <v>190</v>
      </c>
      <c r="B191" s="263" t="s">
        <v>5728</v>
      </c>
      <c r="C191" s="263"/>
      <c r="D191" s="263"/>
      <c r="E191" s="263" t="s">
        <v>5730</v>
      </c>
      <c r="F191" s="263" t="s">
        <v>3327</v>
      </c>
      <c r="G191" s="263"/>
      <c r="H191" s="263" t="s">
        <v>3327</v>
      </c>
      <c r="I191" s="265" t="s">
        <v>5453</v>
      </c>
      <c r="J191" s="263" t="s">
        <v>5613</v>
      </c>
      <c r="K191" s="263" t="s">
        <v>5731</v>
      </c>
      <c r="L191" s="263" t="s">
        <v>5729</v>
      </c>
    </row>
    <row r="192" spans="1:12">
      <c r="A192" s="263">
        <f t="shared" si="2"/>
        <v>191</v>
      </c>
      <c r="B192" s="263" t="s">
        <v>5732</v>
      </c>
      <c r="C192" s="263"/>
      <c r="D192" s="263"/>
      <c r="E192" s="263" t="s">
        <v>5734</v>
      </c>
      <c r="F192" s="263" t="s">
        <v>3327</v>
      </c>
      <c r="G192" s="263"/>
      <c r="H192" s="263" t="s">
        <v>3327</v>
      </c>
      <c r="I192" s="265" t="s">
        <v>5453</v>
      </c>
      <c r="J192" s="263" t="s">
        <v>5613</v>
      </c>
      <c r="K192" s="263" t="s">
        <v>5735</v>
      </c>
      <c r="L192" s="263" t="s">
        <v>5733</v>
      </c>
    </row>
    <row r="193" spans="1:16">
      <c r="A193" s="263">
        <f t="shared" si="2"/>
        <v>192</v>
      </c>
      <c r="B193" s="263" t="s">
        <v>5736</v>
      </c>
      <c r="C193" s="263"/>
      <c r="D193" s="263"/>
      <c r="E193" s="263" t="s">
        <v>5743</v>
      </c>
      <c r="F193" s="263" t="s">
        <v>3327</v>
      </c>
      <c r="G193" s="263"/>
      <c r="H193" s="263" t="s">
        <v>3327</v>
      </c>
      <c r="I193" s="265" t="s">
        <v>5453</v>
      </c>
      <c r="J193" s="263" t="s">
        <v>5613</v>
      </c>
      <c r="K193" s="263" t="s">
        <v>5737</v>
      </c>
      <c r="L193" s="263" t="s">
        <v>5742</v>
      </c>
    </row>
    <row r="194" spans="1:16">
      <c r="A194" s="263">
        <f t="shared" si="2"/>
        <v>193</v>
      </c>
      <c r="B194" s="263" t="s">
        <v>5738</v>
      </c>
      <c r="C194" s="263"/>
      <c r="D194" s="263"/>
      <c r="E194" s="263" t="s">
        <v>5739</v>
      </c>
      <c r="F194" s="263" t="s">
        <v>3327</v>
      </c>
      <c r="G194" s="263"/>
      <c r="H194" s="263" t="s">
        <v>3327</v>
      </c>
      <c r="I194" s="265" t="s">
        <v>5453</v>
      </c>
      <c r="J194" s="263" t="s">
        <v>5613</v>
      </c>
      <c r="K194" s="263" t="s">
        <v>5741</v>
      </c>
      <c r="L194" s="263" t="s">
        <v>5740</v>
      </c>
    </row>
    <row r="195" spans="1:16">
      <c r="A195" s="263">
        <f t="shared" si="2"/>
        <v>194</v>
      </c>
      <c r="B195" s="501" t="s">
        <v>6080</v>
      </c>
      <c r="C195" s="430" t="s">
        <v>4421</v>
      </c>
      <c r="D195" s="263"/>
      <c r="E195" s="430" t="s">
        <v>6081</v>
      </c>
      <c r="F195" s="430" t="s">
        <v>626</v>
      </c>
      <c r="G195" s="430" t="s">
        <v>805</v>
      </c>
      <c r="H195" s="430" t="s">
        <v>5613</v>
      </c>
      <c r="I195" s="263"/>
      <c r="J195" s="263"/>
      <c r="K195" s="430" t="s">
        <v>806</v>
      </c>
      <c r="L195" s="430"/>
      <c r="P195" s="448" t="s">
        <v>2346</v>
      </c>
    </row>
    <row r="196" spans="1:16">
      <c r="A196" s="263">
        <f t="shared" si="2"/>
        <v>195</v>
      </c>
      <c r="B196" s="501" t="s">
        <v>6082</v>
      </c>
      <c r="C196" s="430" t="s">
        <v>275</v>
      </c>
      <c r="D196" s="263"/>
      <c r="E196" s="430" t="s">
        <v>6083</v>
      </c>
      <c r="F196" s="430" t="s">
        <v>626</v>
      </c>
      <c r="G196" s="501" t="s">
        <v>808</v>
      </c>
      <c r="H196" s="501" t="s">
        <v>5613</v>
      </c>
      <c r="I196" s="263"/>
      <c r="J196" s="263"/>
      <c r="K196" s="501" t="s">
        <v>809</v>
      </c>
      <c r="L196" s="430"/>
      <c r="P196" s="448" t="s">
        <v>2347</v>
      </c>
    </row>
    <row r="197" spans="1:16">
      <c r="A197" s="263">
        <f t="shared" si="2"/>
        <v>196</v>
      </c>
      <c r="B197" s="501" t="s">
        <v>6084</v>
      </c>
      <c r="C197" s="430" t="s">
        <v>4415</v>
      </c>
      <c r="D197" s="263"/>
      <c r="E197" s="430" t="s">
        <v>6085</v>
      </c>
      <c r="F197" s="430" t="s">
        <v>626</v>
      </c>
      <c r="G197" s="430" t="s">
        <v>811</v>
      </c>
      <c r="H197" s="430" t="s">
        <v>5613</v>
      </c>
      <c r="I197" s="263"/>
      <c r="J197" s="263"/>
      <c r="K197" s="430" t="s">
        <v>812</v>
      </c>
      <c r="L197" s="430"/>
      <c r="P197" s="448" t="s">
        <v>2348</v>
      </c>
    </row>
    <row r="198" spans="1:16">
      <c r="A198" s="263">
        <f t="shared" si="2"/>
        <v>197</v>
      </c>
      <c r="B198" s="501" t="s">
        <v>6086</v>
      </c>
      <c r="C198" s="430" t="s">
        <v>4421</v>
      </c>
      <c r="D198" s="263"/>
      <c r="E198" s="430" t="s">
        <v>6087</v>
      </c>
      <c r="F198" s="430" t="s">
        <v>626</v>
      </c>
      <c r="G198" s="430" t="s">
        <v>814</v>
      </c>
      <c r="H198" s="430" t="s">
        <v>5613</v>
      </c>
      <c r="I198" s="263"/>
      <c r="J198" s="263"/>
      <c r="K198" s="430" t="s">
        <v>815</v>
      </c>
      <c r="L198" s="430"/>
      <c r="P198" s="448" t="s">
        <v>2349</v>
      </c>
    </row>
    <row r="199" spans="1:16">
      <c r="A199" s="263">
        <f t="shared" si="2"/>
        <v>198</v>
      </c>
      <c r="B199" s="501" t="s">
        <v>6088</v>
      </c>
      <c r="C199" s="430" t="s">
        <v>275</v>
      </c>
      <c r="D199" s="263"/>
      <c r="E199" s="430" t="s">
        <v>6089</v>
      </c>
      <c r="F199" s="430" t="s">
        <v>626</v>
      </c>
      <c r="G199" s="501" t="s">
        <v>817</v>
      </c>
      <c r="H199" s="501" t="s">
        <v>5613</v>
      </c>
      <c r="I199" s="263"/>
      <c r="J199" s="263"/>
      <c r="K199" s="501" t="s">
        <v>818</v>
      </c>
      <c r="L199" s="430"/>
      <c r="P199" s="448" t="s">
        <v>2350</v>
      </c>
    </row>
    <row r="200" spans="1:16">
      <c r="A200" s="263">
        <f t="shared" si="2"/>
        <v>199</v>
      </c>
      <c r="B200" s="501" t="s">
        <v>6090</v>
      </c>
      <c r="C200" s="430" t="s">
        <v>275</v>
      </c>
      <c r="D200" s="263"/>
      <c r="E200" s="430" t="s">
        <v>6091</v>
      </c>
      <c r="F200" s="430" t="s">
        <v>626</v>
      </c>
      <c r="G200" s="430" t="s">
        <v>820</v>
      </c>
      <c r="H200" s="430" t="s">
        <v>5613</v>
      </c>
      <c r="I200" s="263"/>
      <c r="J200" s="263"/>
      <c r="K200" s="430" t="s">
        <v>821</v>
      </c>
      <c r="L200" s="430"/>
      <c r="P200" s="448" t="s">
        <v>2351</v>
      </c>
    </row>
    <row r="201" spans="1:16">
      <c r="A201" s="263">
        <f t="shared" si="2"/>
        <v>200</v>
      </c>
      <c r="B201" s="501" t="s">
        <v>6092</v>
      </c>
      <c r="C201" s="430" t="s">
        <v>275</v>
      </c>
      <c r="D201" s="263"/>
      <c r="E201" s="430" t="s">
        <v>6093</v>
      </c>
      <c r="F201" s="430" t="s">
        <v>626</v>
      </c>
      <c r="G201" s="430" t="s">
        <v>823</v>
      </c>
      <c r="H201" s="430" t="s">
        <v>5613</v>
      </c>
      <c r="I201" s="263"/>
      <c r="J201" s="263"/>
      <c r="K201" s="430" t="s">
        <v>824</v>
      </c>
      <c r="L201" s="430"/>
      <c r="P201" s="448" t="s">
        <v>2352</v>
      </c>
    </row>
    <row r="202" spans="1:16">
      <c r="A202" s="263">
        <f t="shared" si="2"/>
        <v>201</v>
      </c>
      <c r="B202" s="501" t="s">
        <v>6094</v>
      </c>
      <c r="C202" s="430" t="s">
        <v>275</v>
      </c>
      <c r="D202" s="263"/>
      <c r="E202" s="430" t="s">
        <v>6095</v>
      </c>
      <c r="F202" s="430" t="s">
        <v>626</v>
      </c>
      <c r="G202" s="430" t="s">
        <v>826</v>
      </c>
      <c r="H202" s="430" t="s">
        <v>5613</v>
      </c>
      <c r="I202" s="263"/>
      <c r="J202" s="263"/>
      <c r="K202" s="430" t="s">
        <v>827</v>
      </c>
      <c r="L202" s="430"/>
      <c r="P202" s="448" t="s">
        <v>2353</v>
      </c>
    </row>
    <row r="203" spans="1:16">
      <c r="A203" s="263">
        <f t="shared" si="2"/>
        <v>202</v>
      </c>
      <c r="B203" s="501" t="s">
        <v>6096</v>
      </c>
      <c r="C203" s="430" t="s">
        <v>275</v>
      </c>
      <c r="D203" s="263"/>
      <c r="E203" s="430" t="s">
        <v>6097</v>
      </c>
      <c r="F203" s="430" t="s">
        <v>626</v>
      </c>
      <c r="G203" s="430" t="s">
        <v>829</v>
      </c>
      <c r="H203" s="430" t="s">
        <v>5613</v>
      </c>
      <c r="I203" s="263"/>
      <c r="J203" s="263"/>
      <c r="K203" s="430" t="s">
        <v>830</v>
      </c>
      <c r="L203" s="430"/>
      <c r="P203" s="448" t="s">
        <v>2354</v>
      </c>
    </row>
    <row r="204" spans="1:16">
      <c r="A204" s="263">
        <f t="shared" si="2"/>
        <v>203</v>
      </c>
      <c r="B204" s="501" t="s">
        <v>6098</v>
      </c>
      <c r="C204" s="430" t="s">
        <v>4421</v>
      </c>
      <c r="D204" s="263"/>
      <c r="E204" s="430" t="s">
        <v>6099</v>
      </c>
      <c r="F204" s="430" t="s">
        <v>626</v>
      </c>
      <c r="G204" s="430" t="s">
        <v>832</v>
      </c>
      <c r="H204" s="430" t="s">
        <v>5613</v>
      </c>
      <c r="I204" s="263"/>
      <c r="J204" s="263"/>
      <c r="K204" s="430" t="s">
        <v>833</v>
      </c>
      <c r="L204" s="430"/>
      <c r="P204" s="448" t="s">
        <v>2355</v>
      </c>
    </row>
    <row r="205" spans="1:16">
      <c r="A205" s="263">
        <f t="shared" si="2"/>
        <v>204</v>
      </c>
      <c r="B205" s="501" t="s">
        <v>6100</v>
      </c>
      <c r="C205" s="430" t="s">
        <v>4415</v>
      </c>
      <c r="D205" s="263"/>
      <c r="E205" s="430" t="s">
        <v>6101</v>
      </c>
      <c r="F205" s="430" t="s">
        <v>626</v>
      </c>
      <c r="G205" s="430" t="s">
        <v>835</v>
      </c>
      <c r="H205" s="430" t="s">
        <v>5613</v>
      </c>
      <c r="I205" s="263"/>
      <c r="J205" s="263"/>
      <c r="K205" s="430" t="s">
        <v>836</v>
      </c>
      <c r="L205" s="430"/>
      <c r="P205" s="448" t="s">
        <v>2356</v>
      </c>
    </row>
    <row r="206" spans="1:16">
      <c r="A206" s="263">
        <f t="shared" si="2"/>
        <v>205</v>
      </c>
      <c r="B206" s="501" t="s">
        <v>6102</v>
      </c>
      <c r="C206" s="430" t="s">
        <v>4415</v>
      </c>
      <c r="D206" s="263"/>
      <c r="E206" s="430" t="s">
        <v>6103</v>
      </c>
      <c r="F206" s="430" t="s">
        <v>626</v>
      </c>
      <c r="G206" s="430" t="s">
        <v>838</v>
      </c>
      <c r="H206" s="430" t="s">
        <v>5613</v>
      </c>
      <c r="I206" s="263"/>
      <c r="J206" s="263"/>
      <c r="K206" s="430" t="s">
        <v>839</v>
      </c>
      <c r="L206" s="430"/>
      <c r="P206" s="448" t="s">
        <v>2357</v>
      </c>
    </row>
    <row r="207" spans="1:16">
      <c r="A207" s="263">
        <f t="shared" si="2"/>
        <v>206</v>
      </c>
      <c r="B207" s="501" t="s">
        <v>6104</v>
      </c>
      <c r="C207" s="430" t="s">
        <v>4415</v>
      </c>
      <c r="D207" s="263"/>
      <c r="E207" s="430" t="s">
        <v>6105</v>
      </c>
      <c r="F207" s="430" t="s">
        <v>626</v>
      </c>
      <c r="G207" s="430" t="s">
        <v>841</v>
      </c>
      <c r="H207" s="430" t="s">
        <v>5613</v>
      </c>
      <c r="I207" s="263"/>
      <c r="J207" s="263"/>
      <c r="K207" s="430" t="s">
        <v>6106</v>
      </c>
      <c r="L207" s="430"/>
      <c r="P207" s="448" t="s">
        <v>2358</v>
      </c>
    </row>
    <row r="208" spans="1:16">
      <c r="A208" s="263">
        <f t="shared" si="2"/>
        <v>207</v>
      </c>
      <c r="B208" s="501" t="s">
        <v>6107</v>
      </c>
      <c r="C208" s="430" t="s">
        <v>4415</v>
      </c>
      <c r="D208" s="263"/>
      <c r="E208" s="430" t="s">
        <v>6108</v>
      </c>
      <c r="F208" s="430" t="s">
        <v>626</v>
      </c>
      <c r="G208" s="430" t="s">
        <v>844</v>
      </c>
      <c r="H208" s="430" t="s">
        <v>5613</v>
      </c>
      <c r="I208" s="263"/>
      <c r="J208" s="263"/>
      <c r="K208" s="430" t="s">
        <v>845</v>
      </c>
      <c r="L208" s="430"/>
      <c r="P208" s="448" t="s">
        <v>2359</v>
      </c>
    </row>
    <row r="209" spans="1:16">
      <c r="A209" s="263">
        <f t="shared" si="2"/>
        <v>208</v>
      </c>
      <c r="B209" s="501" t="s">
        <v>6109</v>
      </c>
      <c r="C209" s="430" t="s">
        <v>4415</v>
      </c>
      <c r="D209" s="263"/>
      <c r="E209" s="430" t="s">
        <v>6110</v>
      </c>
      <c r="F209" s="430" t="s">
        <v>626</v>
      </c>
      <c r="G209" s="430" t="s">
        <v>847</v>
      </c>
      <c r="H209" s="430" t="s">
        <v>5613</v>
      </c>
      <c r="I209" s="263"/>
      <c r="J209" s="263"/>
      <c r="K209" s="430" t="s">
        <v>848</v>
      </c>
      <c r="L209" s="430"/>
      <c r="P209" s="448" t="s">
        <v>2360</v>
      </c>
    </row>
    <row r="210" spans="1:16">
      <c r="A210" s="263">
        <f t="shared" si="2"/>
        <v>209</v>
      </c>
      <c r="B210" s="501" t="s">
        <v>6111</v>
      </c>
      <c r="C210" s="430" t="s">
        <v>4415</v>
      </c>
      <c r="D210" s="263"/>
      <c r="E210" s="430" t="s">
        <v>6112</v>
      </c>
      <c r="F210" s="430" t="s">
        <v>626</v>
      </c>
      <c r="G210" s="430" t="s">
        <v>850</v>
      </c>
      <c r="H210" s="430" t="s">
        <v>5613</v>
      </c>
      <c r="I210" s="263"/>
      <c r="J210" s="263"/>
      <c r="K210" s="430" t="s">
        <v>851</v>
      </c>
      <c r="L210" s="430"/>
      <c r="P210" s="448" t="s">
        <v>2361</v>
      </c>
    </row>
    <row r="211" spans="1:16">
      <c r="A211" s="263">
        <f t="shared" si="2"/>
        <v>210</v>
      </c>
      <c r="B211" s="501" t="s">
        <v>6113</v>
      </c>
      <c r="C211" s="430" t="s">
        <v>4421</v>
      </c>
      <c r="D211" s="263"/>
      <c r="E211" s="430" t="s">
        <v>6114</v>
      </c>
      <c r="F211" s="430" t="s">
        <v>626</v>
      </c>
      <c r="G211" s="430" t="s">
        <v>853</v>
      </c>
      <c r="H211" s="430" t="s">
        <v>5613</v>
      </c>
      <c r="I211" s="263"/>
      <c r="J211" s="263"/>
      <c r="K211" s="430" t="s">
        <v>854</v>
      </c>
      <c r="L211" s="430"/>
      <c r="P211" s="448" t="s">
        <v>2362</v>
      </c>
    </row>
    <row r="212" spans="1:16">
      <c r="A212" s="263">
        <f t="shared" si="2"/>
        <v>211</v>
      </c>
      <c r="B212" s="501" t="s">
        <v>6115</v>
      </c>
      <c r="C212" s="430" t="s">
        <v>4415</v>
      </c>
      <c r="D212" s="263"/>
      <c r="E212" s="430" t="s">
        <v>6116</v>
      </c>
      <c r="F212" s="430" t="s">
        <v>626</v>
      </c>
      <c r="G212" s="430" t="s">
        <v>861</v>
      </c>
      <c r="H212" s="430" t="s">
        <v>5613</v>
      </c>
      <c r="I212" s="263"/>
      <c r="J212" s="263"/>
      <c r="K212" s="430" t="s">
        <v>862</v>
      </c>
      <c r="L212" s="430"/>
      <c r="P212" s="448" t="s">
        <v>2365</v>
      </c>
    </row>
    <row r="213" spans="1:16">
      <c r="A213" s="263">
        <f t="shared" si="2"/>
        <v>212</v>
      </c>
      <c r="B213" s="501" t="s">
        <v>6117</v>
      </c>
      <c r="C213" s="430" t="s">
        <v>275</v>
      </c>
      <c r="D213" s="263"/>
      <c r="E213" s="430" t="s">
        <v>6118</v>
      </c>
      <c r="F213" s="430" t="s">
        <v>625</v>
      </c>
      <c r="G213" s="430" t="s">
        <v>902</v>
      </c>
      <c r="H213" s="430" t="s">
        <v>5673</v>
      </c>
      <c r="I213" s="263"/>
      <c r="J213" s="263"/>
      <c r="K213" s="430" t="s">
        <v>904</v>
      </c>
      <c r="L213" s="430"/>
      <c r="P213" s="448" t="s">
        <v>2381</v>
      </c>
    </row>
    <row r="214" spans="1:16">
      <c r="A214" s="263">
        <f t="shared" si="2"/>
        <v>213</v>
      </c>
      <c r="B214" s="501" t="s">
        <v>6119</v>
      </c>
      <c r="C214" s="430" t="s">
        <v>275</v>
      </c>
      <c r="D214" s="263"/>
      <c r="E214" s="430" t="s">
        <v>6120</v>
      </c>
      <c r="F214" s="430" t="s">
        <v>625</v>
      </c>
      <c r="G214" s="430" t="s">
        <v>912</v>
      </c>
      <c r="H214" s="430" t="s">
        <v>5673</v>
      </c>
      <c r="I214" s="263"/>
      <c r="J214" s="263"/>
      <c r="K214" s="430" t="s">
        <v>913</v>
      </c>
      <c r="L214" s="430"/>
      <c r="P214" s="448" t="s">
        <v>2384</v>
      </c>
    </row>
    <row r="215" spans="1:16">
      <c r="A215" s="263">
        <f t="shared" si="2"/>
        <v>214</v>
      </c>
      <c r="B215" s="501" t="s">
        <v>6121</v>
      </c>
      <c r="C215" s="430" t="s">
        <v>275</v>
      </c>
      <c r="D215" s="263"/>
      <c r="E215" s="430" t="s">
        <v>6122</v>
      </c>
      <c r="F215" s="430" t="s">
        <v>5873</v>
      </c>
      <c r="G215" s="430"/>
      <c r="H215" s="430" t="s">
        <v>5870</v>
      </c>
      <c r="I215" s="263"/>
      <c r="J215" s="263"/>
      <c r="K215" s="430" t="s">
        <v>5871</v>
      </c>
      <c r="L215" s="430"/>
      <c r="P215" s="448" t="s">
        <v>2961</v>
      </c>
    </row>
    <row r="216" spans="1:16">
      <c r="A216" s="263">
        <f t="shared" si="2"/>
        <v>215</v>
      </c>
      <c r="B216" s="501" t="s">
        <v>6123</v>
      </c>
      <c r="C216" s="430" t="s">
        <v>275</v>
      </c>
      <c r="D216" s="263"/>
      <c r="E216" s="430" t="s">
        <v>6124</v>
      </c>
      <c r="F216" s="430" t="s">
        <v>626</v>
      </c>
      <c r="G216" s="430" t="s">
        <v>3654</v>
      </c>
      <c r="H216" s="430" t="s">
        <v>5613</v>
      </c>
      <c r="I216" s="263"/>
      <c r="J216" s="263"/>
      <c r="K216" s="430" t="s">
        <v>5386</v>
      </c>
      <c r="L216" s="430"/>
      <c r="P216" s="448" t="s">
        <v>3643</v>
      </c>
    </row>
    <row r="217" spans="1:16">
      <c r="A217" s="263">
        <f t="shared" si="2"/>
        <v>216</v>
      </c>
      <c r="B217" s="501" t="s">
        <v>6125</v>
      </c>
      <c r="C217" s="430" t="s">
        <v>4421</v>
      </c>
      <c r="D217" s="263"/>
      <c r="E217" s="430" t="s">
        <v>6126</v>
      </c>
      <c r="F217" s="430" t="s">
        <v>626</v>
      </c>
      <c r="G217" s="430" t="s">
        <v>5395</v>
      </c>
      <c r="H217" s="430" t="s">
        <v>5613</v>
      </c>
      <c r="I217" s="263"/>
      <c r="J217" s="263"/>
      <c r="K217" s="430" t="s">
        <v>5387</v>
      </c>
      <c r="L217" s="430"/>
      <c r="P217" s="448" t="s">
        <v>3644</v>
      </c>
    </row>
    <row r="218" spans="1:16">
      <c r="A218" s="263">
        <f t="shared" si="2"/>
        <v>217</v>
      </c>
      <c r="B218" s="501" t="s">
        <v>6127</v>
      </c>
      <c r="C218" s="430" t="s">
        <v>275</v>
      </c>
      <c r="D218" s="263"/>
      <c r="E218" s="430" t="s">
        <v>6128</v>
      </c>
      <c r="F218" s="430" t="s">
        <v>626</v>
      </c>
      <c r="G218" s="430" t="s">
        <v>5396</v>
      </c>
      <c r="H218" s="430" t="s">
        <v>5613</v>
      </c>
      <c r="I218" s="263"/>
      <c r="J218" s="263"/>
      <c r="K218" s="430" t="s">
        <v>5388</v>
      </c>
      <c r="L218" s="430"/>
      <c r="P218" s="448" t="s">
        <v>3645</v>
      </c>
    </row>
    <row r="219" spans="1:16">
      <c r="A219" s="263">
        <f t="shared" si="2"/>
        <v>218</v>
      </c>
      <c r="B219" s="501" t="s">
        <v>6129</v>
      </c>
      <c r="C219" s="430" t="s">
        <v>275</v>
      </c>
      <c r="D219" s="263"/>
      <c r="E219" s="430" t="s">
        <v>6130</v>
      </c>
      <c r="F219" s="430" t="s">
        <v>626</v>
      </c>
      <c r="G219" s="430" t="s">
        <v>5397</v>
      </c>
      <c r="H219" s="430" t="s">
        <v>5613</v>
      </c>
      <c r="I219" s="263"/>
      <c r="J219" s="263"/>
      <c r="K219" s="430" t="s">
        <v>5389</v>
      </c>
      <c r="L219" s="430"/>
      <c r="P219" s="448" t="s">
        <v>3646</v>
      </c>
    </row>
    <row r="220" spans="1:16">
      <c r="A220" s="263">
        <f t="shared" si="2"/>
        <v>219</v>
      </c>
      <c r="B220" s="501" t="s">
        <v>6131</v>
      </c>
      <c r="C220" s="430" t="s">
        <v>4421</v>
      </c>
      <c r="D220" s="263"/>
      <c r="E220" s="430" t="s">
        <v>6132</v>
      </c>
      <c r="F220" s="430" t="s">
        <v>626</v>
      </c>
      <c r="G220" s="430" t="s">
        <v>5398</v>
      </c>
      <c r="H220" s="430" t="s">
        <v>5613</v>
      </c>
      <c r="I220" s="263"/>
      <c r="J220" s="263"/>
      <c r="K220" s="430" t="s">
        <v>5390</v>
      </c>
      <c r="L220" s="430"/>
      <c r="P220" s="448" t="s">
        <v>3647</v>
      </c>
    </row>
    <row r="221" spans="1:16">
      <c r="A221" s="263">
        <f t="shared" si="2"/>
        <v>220</v>
      </c>
      <c r="B221" s="501" t="s">
        <v>6133</v>
      </c>
      <c r="C221" s="430" t="s">
        <v>275</v>
      </c>
      <c r="D221" s="263"/>
      <c r="E221" s="430" t="s">
        <v>6134</v>
      </c>
      <c r="F221" s="430" t="s">
        <v>626</v>
      </c>
      <c r="G221" s="430" t="s">
        <v>5399</v>
      </c>
      <c r="H221" s="430" t="s">
        <v>5613</v>
      </c>
      <c r="I221" s="263"/>
      <c r="J221" s="263"/>
      <c r="K221" s="430" t="s">
        <v>5391</v>
      </c>
      <c r="L221" s="430"/>
      <c r="P221" s="448" t="s">
        <v>3648</v>
      </c>
    </row>
    <row r="222" spans="1:16">
      <c r="A222" s="263">
        <f t="shared" si="2"/>
        <v>221</v>
      </c>
      <c r="B222" s="501" t="s">
        <v>6135</v>
      </c>
      <c r="C222" s="430" t="s">
        <v>275</v>
      </c>
      <c r="D222" s="263"/>
      <c r="E222" s="430" t="s">
        <v>6136</v>
      </c>
      <c r="F222" s="430" t="s">
        <v>626</v>
      </c>
      <c r="G222" s="430" t="s">
        <v>5400</v>
      </c>
      <c r="H222" s="430" t="s">
        <v>5613</v>
      </c>
      <c r="I222" s="263"/>
      <c r="J222" s="263"/>
      <c r="K222" s="430" t="s">
        <v>5392</v>
      </c>
      <c r="L222" s="430"/>
      <c r="P222" s="448" t="s">
        <v>3649</v>
      </c>
    </row>
    <row r="223" spans="1:16">
      <c r="A223" s="263">
        <f t="shared" si="2"/>
        <v>222</v>
      </c>
      <c r="B223" s="501" t="s">
        <v>6137</v>
      </c>
      <c r="C223" s="430" t="s">
        <v>275</v>
      </c>
      <c r="D223" s="263"/>
      <c r="E223" s="430" t="s">
        <v>6138</v>
      </c>
      <c r="F223" s="430" t="s">
        <v>626</v>
      </c>
      <c r="G223" s="430" t="s">
        <v>5401</v>
      </c>
      <c r="H223" s="430" t="s">
        <v>5613</v>
      </c>
      <c r="I223" s="263"/>
      <c r="J223" s="263"/>
      <c r="K223" s="430" t="s">
        <v>5393</v>
      </c>
      <c r="L223" s="430"/>
      <c r="P223" s="448" t="s">
        <v>3650</v>
      </c>
    </row>
    <row r="224" spans="1:16">
      <c r="A224" s="263">
        <f t="shared" ref="A224:A385" si="3">ROW()-1</f>
        <v>223</v>
      </c>
      <c r="B224" s="263" t="s">
        <v>2392</v>
      </c>
      <c r="C224" s="263" t="s">
        <v>279</v>
      </c>
      <c r="D224" s="263">
        <v>4</v>
      </c>
      <c r="E224" s="263" t="s">
        <v>1023</v>
      </c>
      <c r="F224" s="263" t="s">
        <v>2965</v>
      </c>
      <c r="G224" s="263"/>
      <c r="H224" s="263" t="s">
        <v>3328</v>
      </c>
      <c r="I224" s="265" t="s">
        <v>5453</v>
      </c>
      <c r="J224" s="263" t="s">
        <v>5453</v>
      </c>
      <c r="K224" s="263" t="s">
        <v>5876</v>
      </c>
      <c r="L224" s="263" t="s">
        <v>5454</v>
      </c>
      <c r="M224" s="178" t="s">
        <v>932</v>
      </c>
      <c r="N224" s="178">
        <v>0</v>
      </c>
    </row>
    <row r="225" spans="1:14">
      <c r="A225" s="263">
        <f t="shared" si="3"/>
        <v>224</v>
      </c>
      <c r="B225" s="263" t="s">
        <v>2393</v>
      </c>
      <c r="C225" s="263" t="s">
        <v>279</v>
      </c>
      <c r="D225" s="263">
        <v>2</v>
      </c>
      <c r="E225" s="263" t="s">
        <v>1427</v>
      </c>
      <c r="F225" s="263" t="s">
        <v>2965</v>
      </c>
      <c r="G225" s="263"/>
      <c r="H225" s="263"/>
      <c r="I225" s="265" t="s">
        <v>5455</v>
      </c>
      <c r="J225" s="263"/>
      <c r="K225" s="263" t="s">
        <v>5883</v>
      </c>
      <c r="L225" s="263" t="s">
        <v>1428</v>
      </c>
      <c r="M225" s="178" t="s">
        <v>932</v>
      </c>
      <c r="N225" s="178">
        <v>0</v>
      </c>
    </row>
    <row r="226" spans="1:14">
      <c r="A226" s="263">
        <f t="shared" si="3"/>
        <v>225</v>
      </c>
      <c r="B226" s="263" t="s">
        <v>2394</v>
      </c>
      <c r="C226" s="263" t="s">
        <v>279</v>
      </c>
      <c r="D226" s="263">
        <v>3</v>
      </c>
      <c r="E226" s="263" t="s">
        <v>987</v>
      </c>
      <c r="F226" s="263" t="s">
        <v>2965</v>
      </c>
      <c r="G226" s="263"/>
      <c r="H226" s="263" t="s">
        <v>3328</v>
      </c>
      <c r="I226" s="265" t="s">
        <v>5453</v>
      </c>
      <c r="J226" s="263" t="s">
        <v>5453</v>
      </c>
      <c r="K226" s="263" t="s">
        <v>989</v>
      </c>
      <c r="L226" s="263" t="s">
        <v>988</v>
      </c>
      <c r="M226" s="178" t="s">
        <v>932</v>
      </c>
      <c r="N226" s="178">
        <v>0</v>
      </c>
    </row>
    <row r="227" spans="1:14">
      <c r="A227" s="263">
        <f t="shared" si="3"/>
        <v>226</v>
      </c>
      <c r="B227" s="263" t="s">
        <v>2395</v>
      </c>
      <c r="C227" s="263" t="s">
        <v>279</v>
      </c>
      <c r="D227" s="263">
        <v>3</v>
      </c>
      <c r="E227" s="263" t="s">
        <v>979</v>
      </c>
      <c r="F227" s="263" t="s">
        <v>2965</v>
      </c>
      <c r="G227" s="263"/>
      <c r="H227" s="263" t="s">
        <v>3328</v>
      </c>
      <c r="I227" s="265" t="s">
        <v>5453</v>
      </c>
      <c r="J227" s="263" t="s">
        <v>5453</v>
      </c>
      <c r="K227" s="263" t="s">
        <v>981</v>
      </c>
      <c r="L227" s="263" t="s">
        <v>980</v>
      </c>
      <c r="M227" s="178" t="s">
        <v>932</v>
      </c>
      <c r="N227" s="178">
        <v>0</v>
      </c>
    </row>
    <row r="228" spans="1:14">
      <c r="A228" s="263">
        <f t="shared" si="3"/>
        <v>227</v>
      </c>
      <c r="B228" s="263" t="s">
        <v>2396</v>
      </c>
      <c r="C228" s="263" t="s">
        <v>279</v>
      </c>
      <c r="D228" s="263">
        <v>9</v>
      </c>
      <c r="E228" s="263" t="s">
        <v>1429</v>
      </c>
      <c r="F228" s="263" t="s">
        <v>2965</v>
      </c>
      <c r="G228" s="263"/>
      <c r="H228" s="263" t="s">
        <v>3328</v>
      </c>
      <c r="I228" s="265" t="s">
        <v>5453</v>
      </c>
      <c r="J228" s="263" t="s">
        <v>5453</v>
      </c>
      <c r="K228" s="263" t="s">
        <v>983</v>
      </c>
      <c r="L228" s="263" t="s">
        <v>982</v>
      </c>
      <c r="M228" s="178" t="s">
        <v>932</v>
      </c>
      <c r="N228" s="178">
        <v>0</v>
      </c>
    </row>
    <row r="229" spans="1:14">
      <c r="A229" s="263">
        <f t="shared" si="3"/>
        <v>228</v>
      </c>
      <c r="B229" s="263" t="s">
        <v>2397</v>
      </c>
      <c r="C229" s="263" t="s">
        <v>279</v>
      </c>
      <c r="D229" s="263">
        <v>9</v>
      </c>
      <c r="E229" s="263" t="s">
        <v>961</v>
      </c>
      <c r="F229" s="263" t="s">
        <v>2965</v>
      </c>
      <c r="G229" s="263"/>
      <c r="H229" s="263" t="s">
        <v>3328</v>
      </c>
      <c r="I229" s="265" t="s">
        <v>5453</v>
      </c>
      <c r="J229" s="263" t="s">
        <v>5453</v>
      </c>
      <c r="K229" s="263" t="s">
        <v>963</v>
      </c>
      <c r="L229" s="263" t="s">
        <v>962</v>
      </c>
      <c r="M229" s="178" t="s">
        <v>932</v>
      </c>
      <c r="N229" s="178">
        <v>0</v>
      </c>
    </row>
    <row r="230" spans="1:14">
      <c r="A230" s="263">
        <f t="shared" si="3"/>
        <v>229</v>
      </c>
      <c r="B230" s="263" t="s">
        <v>2398</v>
      </c>
      <c r="C230" s="263" t="s">
        <v>279</v>
      </c>
      <c r="D230" s="263">
        <v>9</v>
      </c>
      <c r="E230" s="263" t="s">
        <v>964</v>
      </c>
      <c r="F230" s="263" t="s">
        <v>2965</v>
      </c>
      <c r="G230" s="263"/>
      <c r="H230" s="263" t="s">
        <v>3328</v>
      </c>
      <c r="I230" s="265" t="s">
        <v>5453</v>
      </c>
      <c r="J230" s="263" t="s">
        <v>5453</v>
      </c>
      <c r="K230" s="263" t="s">
        <v>966</v>
      </c>
      <c r="L230" s="263" t="s">
        <v>965</v>
      </c>
      <c r="M230" s="178" t="s">
        <v>932</v>
      </c>
      <c r="N230" s="178">
        <v>0</v>
      </c>
    </row>
    <row r="231" spans="1:14">
      <c r="A231" s="263">
        <f t="shared" si="3"/>
        <v>230</v>
      </c>
      <c r="B231" s="263" t="s">
        <v>2399</v>
      </c>
      <c r="C231" s="263" t="s">
        <v>279</v>
      </c>
      <c r="D231" s="263">
        <v>3</v>
      </c>
      <c r="E231" s="263" t="s">
        <v>1430</v>
      </c>
      <c r="F231" s="263" t="s">
        <v>2965</v>
      </c>
      <c r="G231" s="263"/>
      <c r="H231" s="263" t="s">
        <v>3328</v>
      </c>
      <c r="I231" s="265" t="s">
        <v>5453</v>
      </c>
      <c r="J231" s="263" t="s">
        <v>5453</v>
      </c>
      <c r="K231" s="263" t="s">
        <v>2839</v>
      </c>
      <c r="L231" s="263" t="s">
        <v>1431</v>
      </c>
      <c r="M231" s="178" t="s">
        <v>932</v>
      </c>
      <c r="N231" s="178">
        <v>0</v>
      </c>
    </row>
    <row r="232" spans="1:14" s="181" customFormat="1">
      <c r="A232" s="264">
        <f t="shared" si="3"/>
        <v>231</v>
      </c>
      <c r="B232" s="264" t="s">
        <v>2400</v>
      </c>
      <c r="C232" s="264" t="s">
        <v>279</v>
      </c>
      <c r="D232" s="264">
        <v>9</v>
      </c>
      <c r="E232" s="264" t="s">
        <v>1433</v>
      </c>
      <c r="F232" s="264" t="s">
        <v>2965</v>
      </c>
      <c r="G232" s="264"/>
      <c r="H232" s="264"/>
      <c r="I232" s="266" t="s">
        <v>5453</v>
      </c>
      <c r="J232" s="264" t="s">
        <v>3019</v>
      </c>
      <c r="K232" s="264" t="s">
        <v>1052</v>
      </c>
      <c r="L232" s="264" t="s">
        <v>1051</v>
      </c>
      <c r="M232" s="181" t="s">
        <v>932</v>
      </c>
      <c r="N232" s="181">
        <v>0</v>
      </c>
    </row>
    <row r="233" spans="1:14" s="181" customFormat="1">
      <c r="A233" s="264">
        <f t="shared" si="3"/>
        <v>232</v>
      </c>
      <c r="B233" s="264" t="s">
        <v>2401</v>
      </c>
      <c r="C233" s="264" t="s">
        <v>279</v>
      </c>
      <c r="D233" s="264">
        <v>5</v>
      </c>
      <c r="E233" s="264" t="s">
        <v>2978</v>
      </c>
      <c r="F233" s="264" t="s">
        <v>2965</v>
      </c>
      <c r="G233" s="264"/>
      <c r="H233" s="264"/>
      <c r="I233" s="505" t="s">
        <v>635</v>
      </c>
      <c r="J233" s="264" t="s">
        <v>3019</v>
      </c>
      <c r="K233" s="264" t="s">
        <v>3020</v>
      </c>
      <c r="L233" s="264" t="s">
        <v>2968</v>
      </c>
      <c r="M233" s="181" t="e">
        <v>#N/A</v>
      </c>
      <c r="N233" s="181" t="e">
        <v>#N/A</v>
      </c>
    </row>
    <row r="234" spans="1:14" s="181" customFormat="1">
      <c r="A234" s="264">
        <f t="shared" si="3"/>
        <v>233</v>
      </c>
      <c r="B234" s="264" t="s">
        <v>2402</v>
      </c>
      <c r="C234" s="264" t="s">
        <v>1910</v>
      </c>
      <c r="D234" s="264">
        <v>9</v>
      </c>
      <c r="E234" s="264" t="s">
        <v>2979</v>
      </c>
      <c r="F234" s="264" t="s">
        <v>2965</v>
      </c>
      <c r="G234" s="264"/>
      <c r="H234" s="264"/>
      <c r="I234" s="505" t="s">
        <v>635</v>
      </c>
      <c r="J234" s="264" t="s">
        <v>3019</v>
      </c>
      <c r="K234" s="264" t="s">
        <v>3021</v>
      </c>
      <c r="L234" s="264" t="s">
        <v>2969</v>
      </c>
      <c r="M234" s="181" t="e">
        <v>#N/A</v>
      </c>
      <c r="N234" s="181" t="e">
        <v>#N/A</v>
      </c>
    </row>
    <row r="235" spans="1:14" s="181" customFormat="1">
      <c r="A235" s="264">
        <f t="shared" si="3"/>
        <v>234</v>
      </c>
      <c r="B235" s="264" t="s">
        <v>2403</v>
      </c>
      <c r="C235" s="264" t="s">
        <v>1910</v>
      </c>
      <c r="D235" s="264">
        <v>9</v>
      </c>
      <c r="E235" s="264" t="s">
        <v>2980</v>
      </c>
      <c r="F235" s="264" t="s">
        <v>2965</v>
      </c>
      <c r="G235" s="264"/>
      <c r="H235" s="264"/>
      <c r="I235" s="505" t="s">
        <v>635</v>
      </c>
      <c r="J235" s="264" t="s">
        <v>3019</v>
      </c>
      <c r="K235" s="264" t="s">
        <v>3022</v>
      </c>
      <c r="L235" s="264" t="s">
        <v>2970</v>
      </c>
      <c r="M235" s="181" t="e">
        <v>#N/A</v>
      </c>
      <c r="N235" s="181" t="e">
        <v>#N/A</v>
      </c>
    </row>
    <row r="236" spans="1:14" s="181" customFormat="1">
      <c r="A236" s="264">
        <f t="shared" si="3"/>
        <v>235</v>
      </c>
      <c r="B236" s="264" t="s">
        <v>2404</v>
      </c>
      <c r="C236" s="264" t="s">
        <v>1910</v>
      </c>
      <c r="D236" s="264">
        <v>9</v>
      </c>
      <c r="E236" s="264" t="s">
        <v>2981</v>
      </c>
      <c r="F236" s="264" t="s">
        <v>2965</v>
      </c>
      <c r="G236" s="264"/>
      <c r="H236" s="264"/>
      <c r="I236" s="505" t="s">
        <v>635</v>
      </c>
      <c r="J236" s="264" t="s">
        <v>3019</v>
      </c>
      <c r="K236" s="264" t="s">
        <v>3023</v>
      </c>
      <c r="L236" s="264" t="s">
        <v>2971</v>
      </c>
      <c r="M236" s="181" t="e">
        <v>#N/A</v>
      </c>
      <c r="N236" s="181" t="e">
        <v>#N/A</v>
      </c>
    </row>
    <row r="237" spans="1:14">
      <c r="A237" s="263">
        <f t="shared" si="3"/>
        <v>236</v>
      </c>
      <c r="B237" s="263" t="s">
        <v>2405</v>
      </c>
      <c r="C237" s="263" t="s">
        <v>279</v>
      </c>
      <c r="D237" s="263"/>
      <c r="E237" s="263" t="s">
        <v>5205</v>
      </c>
      <c r="F237" s="263" t="s">
        <v>2965</v>
      </c>
      <c r="G237" s="263" t="s">
        <v>1295</v>
      </c>
      <c r="H237" s="263" t="s">
        <v>3328</v>
      </c>
      <c r="I237" s="263" t="s">
        <v>5885</v>
      </c>
      <c r="J237" s="263" t="s">
        <v>5878</v>
      </c>
      <c r="K237" s="263" t="s">
        <v>5874</v>
      </c>
      <c r="L237" s="263" t="s">
        <v>5884</v>
      </c>
    </row>
    <row r="238" spans="1:14">
      <c r="A238" s="263">
        <f t="shared" si="3"/>
        <v>237</v>
      </c>
      <c r="B238" s="263" t="s">
        <v>2406</v>
      </c>
      <c r="C238" s="263" t="s">
        <v>279</v>
      </c>
      <c r="D238" s="263"/>
      <c r="E238" s="263" t="s">
        <v>5206</v>
      </c>
      <c r="F238" s="263" t="s">
        <v>2965</v>
      </c>
      <c r="G238" s="263"/>
      <c r="H238" s="263" t="s">
        <v>3328</v>
      </c>
      <c r="I238" s="265" t="s">
        <v>5453</v>
      </c>
      <c r="J238" s="263" t="s">
        <v>5453</v>
      </c>
      <c r="K238" s="263" t="s">
        <v>5456</v>
      </c>
      <c r="L238" s="263" t="s">
        <v>4495</v>
      </c>
    </row>
    <row r="239" spans="1:14">
      <c r="A239" s="263">
        <f t="shared" si="3"/>
        <v>238</v>
      </c>
      <c r="B239" s="263" t="s">
        <v>2407</v>
      </c>
      <c r="C239" s="263" t="s">
        <v>279</v>
      </c>
      <c r="D239" s="263"/>
      <c r="E239" s="263" t="s">
        <v>5207</v>
      </c>
      <c r="F239" s="263" t="s">
        <v>2965</v>
      </c>
      <c r="G239" s="263"/>
      <c r="H239" s="263" t="s">
        <v>3328</v>
      </c>
      <c r="I239" s="265" t="s">
        <v>5453</v>
      </c>
      <c r="J239" s="263" t="s">
        <v>5453</v>
      </c>
      <c r="K239" s="263" t="s">
        <v>5457</v>
      </c>
      <c r="L239" s="263" t="s">
        <v>4497</v>
      </c>
    </row>
    <row r="240" spans="1:14">
      <c r="A240" s="263">
        <f t="shared" si="3"/>
        <v>239</v>
      </c>
      <c r="B240" s="263" t="s">
        <v>2408</v>
      </c>
      <c r="C240" s="263" t="s">
        <v>279</v>
      </c>
      <c r="D240" s="263"/>
      <c r="E240" s="263" t="s">
        <v>5208</v>
      </c>
      <c r="F240" s="263" t="s">
        <v>2965</v>
      </c>
      <c r="G240" s="263"/>
      <c r="H240" s="263" t="s">
        <v>3328</v>
      </c>
      <c r="I240" s="265" t="s">
        <v>5453</v>
      </c>
      <c r="J240" s="263" t="s">
        <v>5453</v>
      </c>
      <c r="K240" s="263" t="s">
        <v>5458</v>
      </c>
      <c r="L240" s="263" t="s">
        <v>4499</v>
      </c>
    </row>
    <row r="241" spans="1:12">
      <c r="A241" s="263">
        <f t="shared" si="3"/>
        <v>240</v>
      </c>
      <c r="B241" s="263" t="s">
        <v>2409</v>
      </c>
      <c r="C241" s="263" t="s">
        <v>279</v>
      </c>
      <c r="D241" s="263"/>
      <c r="E241" s="263" t="s">
        <v>5209</v>
      </c>
      <c r="F241" s="263" t="s">
        <v>2965</v>
      </c>
      <c r="G241" s="263"/>
      <c r="H241" s="263" t="s">
        <v>3328</v>
      </c>
      <c r="I241" s="265" t="s">
        <v>5453</v>
      </c>
      <c r="J241" s="263" t="s">
        <v>5453</v>
      </c>
      <c r="K241" s="263" t="s">
        <v>5459</v>
      </c>
      <c r="L241" s="263" t="s">
        <v>4501</v>
      </c>
    </row>
    <row r="242" spans="1:12">
      <c r="A242" s="263">
        <f t="shared" si="3"/>
        <v>241</v>
      </c>
      <c r="B242" s="263" t="s">
        <v>2410</v>
      </c>
      <c r="C242" s="263" t="s">
        <v>279</v>
      </c>
      <c r="D242" s="263"/>
      <c r="E242" s="263" t="s">
        <v>5210</v>
      </c>
      <c r="F242" s="263" t="s">
        <v>2965</v>
      </c>
      <c r="G242" s="263"/>
      <c r="H242" s="263" t="s">
        <v>3328</v>
      </c>
      <c r="I242" s="265" t="s">
        <v>5453</v>
      </c>
      <c r="J242" s="263" t="s">
        <v>5453</v>
      </c>
      <c r="K242" s="263" t="s">
        <v>5460</v>
      </c>
      <c r="L242" s="263" t="s">
        <v>5461</v>
      </c>
    </row>
    <row r="243" spans="1:12">
      <c r="A243" s="263">
        <f t="shared" si="3"/>
        <v>242</v>
      </c>
      <c r="B243" s="359" t="s">
        <v>2412</v>
      </c>
      <c r="C243" s="360" t="s">
        <v>52</v>
      </c>
      <c r="D243" s="360" t="s">
        <v>4262</v>
      </c>
      <c r="E243" s="359" t="s">
        <v>5257</v>
      </c>
      <c r="F243" s="263" t="s">
        <v>3328</v>
      </c>
      <c r="G243" s="263"/>
      <c r="H243" s="263" t="s">
        <v>3328</v>
      </c>
      <c r="I243" s="265" t="s">
        <v>5453</v>
      </c>
      <c r="J243" s="263" t="s">
        <v>5453</v>
      </c>
      <c r="K243" s="263" t="s">
        <v>1064</v>
      </c>
      <c r="L243" s="503" t="s">
        <v>1063</v>
      </c>
    </row>
    <row r="244" spans="1:12">
      <c r="A244" s="263">
        <f t="shared" si="3"/>
        <v>243</v>
      </c>
      <c r="B244" s="359" t="s">
        <v>2413</v>
      </c>
      <c r="C244" s="360" t="s">
        <v>52</v>
      </c>
      <c r="D244" s="360" t="s">
        <v>4262</v>
      </c>
      <c r="E244" s="359" t="s">
        <v>4505</v>
      </c>
      <c r="F244" s="263" t="s">
        <v>3328</v>
      </c>
      <c r="G244" s="263"/>
      <c r="H244" s="263" t="s">
        <v>3328</v>
      </c>
      <c r="I244" s="265" t="s">
        <v>5453</v>
      </c>
      <c r="J244" s="263" t="s">
        <v>5453</v>
      </c>
      <c r="K244" s="263" t="s">
        <v>1067</v>
      </c>
      <c r="L244" s="503" t="s">
        <v>1066</v>
      </c>
    </row>
    <row r="245" spans="1:12">
      <c r="A245" s="263">
        <f t="shared" si="3"/>
        <v>244</v>
      </c>
      <c r="B245" s="359" t="s">
        <v>2414</v>
      </c>
      <c r="C245" s="360" t="s">
        <v>52</v>
      </c>
      <c r="D245" s="360" t="s">
        <v>4262</v>
      </c>
      <c r="E245" s="359" t="s">
        <v>1059</v>
      </c>
      <c r="F245" s="263" t="s">
        <v>3328</v>
      </c>
      <c r="G245" s="263"/>
      <c r="H245" s="263" t="s">
        <v>3328</v>
      </c>
      <c r="I245" s="265" t="s">
        <v>5453</v>
      </c>
      <c r="J245" s="263" t="s">
        <v>5453</v>
      </c>
      <c r="K245" s="263" t="s">
        <v>1061</v>
      </c>
      <c r="L245" s="503" t="s">
        <v>1060</v>
      </c>
    </row>
    <row r="246" spans="1:12">
      <c r="A246" s="263">
        <f t="shared" si="3"/>
        <v>245</v>
      </c>
      <c r="B246" s="359" t="s">
        <v>2415</v>
      </c>
      <c r="C246" s="360" t="s">
        <v>52</v>
      </c>
      <c r="D246" s="360" t="s">
        <v>4262</v>
      </c>
      <c r="E246" s="359" t="s">
        <v>1031</v>
      </c>
      <c r="F246" s="263" t="s">
        <v>3328</v>
      </c>
      <c r="G246" s="263"/>
      <c r="H246" s="263" t="s">
        <v>3328</v>
      </c>
      <c r="I246" s="265" t="s">
        <v>5453</v>
      </c>
      <c r="J246" s="263" t="s">
        <v>5453</v>
      </c>
      <c r="K246" s="263" t="s">
        <v>1033</v>
      </c>
      <c r="L246" s="503" t="s">
        <v>1032</v>
      </c>
    </row>
    <row r="247" spans="1:12">
      <c r="A247" s="263">
        <f t="shared" si="3"/>
        <v>246</v>
      </c>
      <c r="B247" s="359" t="s">
        <v>2416</v>
      </c>
      <c r="C247" s="360" t="s">
        <v>52</v>
      </c>
      <c r="D247" s="360" t="s">
        <v>4262</v>
      </c>
      <c r="E247" s="359" t="s">
        <v>1034</v>
      </c>
      <c r="F247" s="263" t="s">
        <v>3328</v>
      </c>
      <c r="G247" s="263"/>
      <c r="H247" s="263" t="s">
        <v>3328</v>
      </c>
      <c r="I247" s="265" t="s">
        <v>5453</v>
      </c>
      <c r="J247" s="263" t="s">
        <v>5453</v>
      </c>
      <c r="K247" s="263" t="s">
        <v>3338</v>
      </c>
      <c r="L247" s="503" t="s">
        <v>1035</v>
      </c>
    </row>
    <row r="248" spans="1:12">
      <c r="A248" s="263">
        <f t="shared" si="3"/>
        <v>247</v>
      </c>
      <c r="B248" s="359" t="s">
        <v>2417</v>
      </c>
      <c r="C248" s="360" t="s">
        <v>52</v>
      </c>
      <c r="D248" s="360" t="s">
        <v>4262</v>
      </c>
      <c r="E248" s="359" t="s">
        <v>1043</v>
      </c>
      <c r="F248" s="263" t="s">
        <v>3328</v>
      </c>
      <c r="G248" s="263"/>
      <c r="H248" s="263" t="s">
        <v>3328</v>
      </c>
      <c r="I248" s="265" t="s">
        <v>5453</v>
      </c>
      <c r="J248" s="263" t="s">
        <v>5453</v>
      </c>
      <c r="K248" s="263" t="s">
        <v>1045</v>
      </c>
      <c r="L248" s="503" t="s">
        <v>1044</v>
      </c>
    </row>
    <row r="249" spans="1:12">
      <c r="A249" s="263">
        <f t="shared" si="3"/>
        <v>248</v>
      </c>
      <c r="B249" s="359" t="s">
        <v>2418</v>
      </c>
      <c r="C249" s="360" t="s">
        <v>52</v>
      </c>
      <c r="D249" s="360" t="s">
        <v>4262</v>
      </c>
      <c r="E249" s="359" t="s">
        <v>1046</v>
      </c>
      <c r="F249" s="263" t="s">
        <v>3328</v>
      </c>
      <c r="G249" s="263"/>
      <c r="H249" s="263" t="s">
        <v>3328</v>
      </c>
      <c r="I249" s="265" t="s">
        <v>5453</v>
      </c>
      <c r="J249" s="263" t="s">
        <v>5453</v>
      </c>
      <c r="K249" s="263" t="s">
        <v>1048</v>
      </c>
      <c r="L249" s="503" t="s">
        <v>1047</v>
      </c>
    </row>
    <row r="250" spans="1:12">
      <c r="A250" s="263">
        <f t="shared" si="3"/>
        <v>249</v>
      </c>
      <c r="B250" s="359" t="s">
        <v>2419</v>
      </c>
      <c r="C250" s="360" t="s">
        <v>52</v>
      </c>
      <c r="D250" s="360" t="s">
        <v>4262</v>
      </c>
      <c r="E250" s="359" t="s">
        <v>3855</v>
      </c>
      <c r="F250" s="263" t="s">
        <v>3328</v>
      </c>
      <c r="G250" s="263"/>
      <c r="H250" s="263" t="s">
        <v>3328</v>
      </c>
      <c r="I250" s="265" t="s">
        <v>5453</v>
      </c>
      <c r="J250" s="263" t="s">
        <v>5453</v>
      </c>
      <c r="K250" s="263" t="s">
        <v>5469</v>
      </c>
      <c r="L250" s="503" t="s">
        <v>4506</v>
      </c>
    </row>
    <row r="251" spans="1:12">
      <c r="A251" s="263">
        <f t="shared" si="3"/>
        <v>250</v>
      </c>
      <c r="B251" s="359" t="s">
        <v>2420</v>
      </c>
      <c r="C251" s="360" t="s">
        <v>52</v>
      </c>
      <c r="D251" s="360" t="s">
        <v>4262</v>
      </c>
      <c r="E251" s="359" t="s">
        <v>1053</v>
      </c>
      <c r="F251" s="263" t="s">
        <v>3328</v>
      </c>
      <c r="G251" s="263"/>
      <c r="H251" s="263" t="s">
        <v>3328</v>
      </c>
      <c r="I251" s="265" t="s">
        <v>5453</v>
      </c>
      <c r="J251" s="263" t="s">
        <v>5453</v>
      </c>
      <c r="K251" s="263" t="s">
        <v>1055</v>
      </c>
      <c r="L251" s="503" t="s">
        <v>1054</v>
      </c>
    </row>
    <row r="252" spans="1:12">
      <c r="A252" s="263">
        <f t="shared" si="3"/>
        <v>251</v>
      </c>
      <c r="B252" s="359" t="s">
        <v>2421</v>
      </c>
      <c r="C252" s="360" t="s">
        <v>52</v>
      </c>
      <c r="D252" s="360" t="s">
        <v>4262</v>
      </c>
      <c r="E252" s="359" t="s">
        <v>3522</v>
      </c>
      <c r="F252" s="263" t="s">
        <v>3328</v>
      </c>
      <c r="G252" s="263"/>
      <c r="H252" s="263" t="s">
        <v>3328</v>
      </c>
      <c r="I252" s="265" t="s">
        <v>5453</v>
      </c>
      <c r="J252" s="263" t="s">
        <v>5453</v>
      </c>
      <c r="K252" s="263" t="s">
        <v>5470</v>
      </c>
      <c r="L252" s="503" t="s">
        <v>3454</v>
      </c>
    </row>
    <row r="253" spans="1:12">
      <c r="A253" s="263">
        <f t="shared" si="3"/>
        <v>252</v>
      </c>
      <c r="B253" s="359" t="s">
        <v>2422</v>
      </c>
      <c r="C253" s="360" t="s">
        <v>52</v>
      </c>
      <c r="D253" s="360" t="s">
        <v>4262</v>
      </c>
      <c r="E253" s="359" t="s">
        <v>3523</v>
      </c>
      <c r="F253" s="263" t="s">
        <v>3328</v>
      </c>
      <c r="G253" s="263"/>
      <c r="H253" s="263" t="s">
        <v>3328</v>
      </c>
      <c r="I253" s="265" t="s">
        <v>5453</v>
      </c>
      <c r="J253" s="263" t="s">
        <v>5453</v>
      </c>
      <c r="K253" s="263" t="s">
        <v>5471</v>
      </c>
      <c r="L253" s="503" t="s">
        <v>3455</v>
      </c>
    </row>
    <row r="254" spans="1:12">
      <c r="A254" s="263">
        <f t="shared" si="3"/>
        <v>253</v>
      </c>
      <c r="B254" s="359" t="s">
        <v>2423</v>
      </c>
      <c r="C254" s="360" t="s">
        <v>52</v>
      </c>
      <c r="D254" s="360" t="s">
        <v>4262</v>
      </c>
      <c r="E254" s="359" t="s">
        <v>3524</v>
      </c>
      <c r="F254" s="263" t="s">
        <v>3328</v>
      </c>
      <c r="G254" s="263"/>
      <c r="H254" s="263" t="s">
        <v>3328</v>
      </c>
      <c r="I254" s="265" t="s">
        <v>5453</v>
      </c>
      <c r="J254" s="263" t="s">
        <v>5453</v>
      </c>
      <c r="K254" s="263" t="s">
        <v>5472</v>
      </c>
      <c r="L254" s="503" t="s">
        <v>3456</v>
      </c>
    </row>
    <row r="255" spans="1:12">
      <c r="A255" s="263">
        <f t="shared" si="3"/>
        <v>254</v>
      </c>
      <c r="B255" s="359" t="s">
        <v>2425</v>
      </c>
      <c r="C255" s="360" t="s">
        <v>52</v>
      </c>
      <c r="D255" s="360" t="s">
        <v>4262</v>
      </c>
      <c r="E255" s="359" t="s">
        <v>3924</v>
      </c>
      <c r="F255" s="263" t="s">
        <v>3328</v>
      </c>
      <c r="G255" s="263"/>
      <c r="H255" s="263" t="s">
        <v>3328</v>
      </c>
      <c r="I255" s="265" t="s">
        <v>5453</v>
      </c>
      <c r="J255" s="263" t="s">
        <v>5453</v>
      </c>
      <c r="K255" s="263" t="s">
        <v>3924</v>
      </c>
      <c r="L255" s="503" t="s">
        <v>5155</v>
      </c>
    </row>
    <row r="256" spans="1:12">
      <c r="A256" s="263">
        <f t="shared" si="3"/>
        <v>255</v>
      </c>
      <c r="B256" s="359" t="s">
        <v>2427</v>
      </c>
      <c r="C256" s="360" t="s">
        <v>52</v>
      </c>
      <c r="D256" s="360" t="s">
        <v>4262</v>
      </c>
      <c r="E256" s="359" t="s">
        <v>4514</v>
      </c>
      <c r="F256" s="263" t="s">
        <v>3328</v>
      </c>
      <c r="G256" s="263"/>
      <c r="H256" s="263" t="s">
        <v>3328</v>
      </c>
      <c r="I256" s="265" t="s">
        <v>5453</v>
      </c>
      <c r="J256" s="263" t="s">
        <v>5453</v>
      </c>
      <c r="K256" s="263" t="s">
        <v>5473</v>
      </c>
      <c r="L256" s="503" t="s">
        <v>4513</v>
      </c>
    </row>
    <row r="257" spans="1:14">
      <c r="A257" s="263">
        <f t="shared" si="3"/>
        <v>256</v>
      </c>
      <c r="B257" s="359" t="s">
        <v>2428</v>
      </c>
      <c r="C257" s="360" t="s">
        <v>4258</v>
      </c>
      <c r="D257" s="360" t="s">
        <v>4264</v>
      </c>
      <c r="E257" s="359" t="s">
        <v>3899</v>
      </c>
      <c r="F257" s="263" t="s">
        <v>3328</v>
      </c>
      <c r="G257" s="263"/>
      <c r="H257" s="263" t="s">
        <v>3328</v>
      </c>
      <c r="I257" s="265" t="s">
        <v>5453</v>
      </c>
      <c r="J257" s="263" t="s">
        <v>5453</v>
      </c>
      <c r="K257" s="263" t="s">
        <v>3899</v>
      </c>
      <c r="L257" s="503" t="s">
        <v>4515</v>
      </c>
    </row>
    <row r="258" spans="1:14">
      <c r="A258" s="263">
        <f t="shared" si="3"/>
        <v>257</v>
      </c>
      <c r="B258" s="359" t="s">
        <v>2429</v>
      </c>
      <c r="C258" s="360" t="s">
        <v>4258</v>
      </c>
      <c r="D258" s="360" t="s">
        <v>4264</v>
      </c>
      <c r="E258" s="359" t="s">
        <v>5258</v>
      </c>
      <c r="F258" s="263" t="s">
        <v>3328</v>
      </c>
      <c r="G258" s="263"/>
      <c r="H258" s="263" t="s">
        <v>3328</v>
      </c>
      <c r="I258" s="265" t="s">
        <v>5453</v>
      </c>
      <c r="J258" s="263" t="s">
        <v>5453</v>
      </c>
      <c r="K258" s="263" t="s">
        <v>5474</v>
      </c>
      <c r="L258" s="503" t="s">
        <v>5462</v>
      </c>
      <c r="N258" s="178" t="s">
        <v>3664</v>
      </c>
    </row>
    <row r="259" spans="1:14">
      <c r="A259" s="263">
        <f t="shared" si="3"/>
        <v>258</v>
      </c>
      <c r="B259" s="359" t="s">
        <v>2430</v>
      </c>
      <c r="C259" s="360" t="s">
        <v>4258</v>
      </c>
      <c r="D259" s="360" t="s">
        <v>4264</v>
      </c>
      <c r="E259" s="359" t="s">
        <v>5259</v>
      </c>
      <c r="F259" s="263" t="s">
        <v>3328</v>
      </c>
      <c r="G259" s="263"/>
      <c r="H259" s="263" t="s">
        <v>3328</v>
      </c>
      <c r="I259" s="265" t="s">
        <v>5453</v>
      </c>
      <c r="J259" s="263" t="s">
        <v>5453</v>
      </c>
      <c r="K259" s="263" t="s">
        <v>5475</v>
      </c>
      <c r="L259" s="503" t="s">
        <v>4516</v>
      </c>
    </row>
    <row r="260" spans="1:14">
      <c r="A260" s="263">
        <f t="shared" si="3"/>
        <v>259</v>
      </c>
      <c r="B260" s="359" t="s">
        <v>2431</v>
      </c>
      <c r="C260" s="360" t="s">
        <v>4258</v>
      </c>
      <c r="D260" s="360" t="s">
        <v>4264</v>
      </c>
      <c r="E260" s="359" t="s">
        <v>5260</v>
      </c>
      <c r="F260" s="263" t="s">
        <v>3328</v>
      </c>
      <c r="G260" s="263"/>
      <c r="H260" s="263" t="s">
        <v>3328</v>
      </c>
      <c r="I260" s="265" t="s">
        <v>5453</v>
      </c>
      <c r="J260" s="263" t="s">
        <v>5453</v>
      </c>
      <c r="K260" s="263" t="s">
        <v>5476</v>
      </c>
      <c r="L260" s="503" t="s">
        <v>4518</v>
      </c>
    </row>
    <row r="261" spans="1:14">
      <c r="A261" s="263">
        <f t="shared" si="3"/>
        <v>260</v>
      </c>
      <c r="B261" s="359" t="s">
        <v>2432</v>
      </c>
      <c r="C261" s="360" t="s">
        <v>4258</v>
      </c>
      <c r="D261" s="360" t="s">
        <v>4264</v>
      </c>
      <c r="E261" s="359" t="s">
        <v>5261</v>
      </c>
      <c r="F261" s="263" t="s">
        <v>3328</v>
      </c>
      <c r="G261" s="263"/>
      <c r="H261" s="263" t="s">
        <v>3328</v>
      </c>
      <c r="I261" s="265" t="s">
        <v>5453</v>
      </c>
      <c r="J261" s="263" t="s">
        <v>5453</v>
      </c>
      <c r="K261" s="263" t="s">
        <v>5477</v>
      </c>
      <c r="L261" s="503" t="s">
        <v>4520</v>
      </c>
    </row>
    <row r="262" spans="1:14">
      <c r="A262" s="263">
        <f t="shared" si="3"/>
        <v>261</v>
      </c>
      <c r="B262" s="359" t="s">
        <v>2433</v>
      </c>
      <c r="C262" s="360" t="s">
        <v>4258</v>
      </c>
      <c r="D262" s="360" t="s">
        <v>4264</v>
      </c>
      <c r="E262" s="359" t="s">
        <v>5262</v>
      </c>
      <c r="F262" s="263" t="s">
        <v>3328</v>
      </c>
      <c r="G262" s="263"/>
      <c r="H262" s="263" t="s">
        <v>3328</v>
      </c>
      <c r="I262" s="265" t="s">
        <v>5453</v>
      </c>
      <c r="J262" s="263" t="s">
        <v>5453</v>
      </c>
      <c r="K262" s="263" t="s">
        <v>3903</v>
      </c>
      <c r="L262" s="503" t="s">
        <v>4522</v>
      </c>
    </row>
    <row r="263" spans="1:14">
      <c r="A263" s="263">
        <f t="shared" si="3"/>
        <v>262</v>
      </c>
      <c r="B263" s="359" t="s">
        <v>2434</v>
      </c>
      <c r="C263" s="360" t="s">
        <v>4258</v>
      </c>
      <c r="D263" s="360" t="s">
        <v>4264</v>
      </c>
      <c r="E263" s="359" t="s">
        <v>5263</v>
      </c>
      <c r="F263" s="263" t="s">
        <v>3328</v>
      </c>
      <c r="G263" s="263"/>
      <c r="H263" s="263" t="s">
        <v>3328</v>
      </c>
      <c r="I263" s="265" t="s">
        <v>5453</v>
      </c>
      <c r="J263" s="263" t="s">
        <v>5453</v>
      </c>
      <c r="K263" s="263" t="s">
        <v>3905</v>
      </c>
      <c r="L263" s="503" t="s">
        <v>4524</v>
      </c>
    </row>
    <row r="264" spans="1:14">
      <c r="A264" s="263">
        <f t="shared" si="3"/>
        <v>263</v>
      </c>
      <c r="B264" s="359" t="s">
        <v>2435</v>
      </c>
      <c r="C264" s="360" t="s">
        <v>4258</v>
      </c>
      <c r="D264" s="360" t="s">
        <v>4264</v>
      </c>
      <c r="E264" s="359" t="s">
        <v>5264</v>
      </c>
      <c r="F264" s="263" t="s">
        <v>3328</v>
      </c>
      <c r="G264" s="263"/>
      <c r="H264" s="263" t="s">
        <v>3328</v>
      </c>
      <c r="I264" s="265" t="s">
        <v>5453</v>
      </c>
      <c r="J264" s="263" t="s">
        <v>5453</v>
      </c>
      <c r="K264" s="263" t="s">
        <v>3907</v>
      </c>
      <c r="L264" s="503" t="s">
        <v>4526</v>
      </c>
    </row>
    <row r="265" spans="1:14">
      <c r="A265" s="263">
        <f t="shared" si="3"/>
        <v>264</v>
      </c>
      <c r="B265" s="359" t="s">
        <v>2436</v>
      </c>
      <c r="C265" s="360" t="s">
        <v>4258</v>
      </c>
      <c r="D265" s="360" t="s">
        <v>4264</v>
      </c>
      <c r="E265" s="359" t="s">
        <v>5265</v>
      </c>
      <c r="F265" s="263" t="s">
        <v>3328</v>
      </c>
      <c r="G265" s="263"/>
      <c r="H265" s="263" t="s">
        <v>3328</v>
      </c>
      <c r="I265" s="265" t="s">
        <v>5453</v>
      </c>
      <c r="J265" s="263" t="s">
        <v>5453</v>
      </c>
      <c r="K265" s="263" t="s">
        <v>5478</v>
      </c>
      <c r="L265" s="503" t="s">
        <v>4528</v>
      </c>
    </row>
    <row r="266" spans="1:14">
      <c r="A266" s="263">
        <f t="shared" si="3"/>
        <v>265</v>
      </c>
      <c r="B266" s="359" t="s">
        <v>2437</v>
      </c>
      <c r="C266" s="360" t="s">
        <v>4258</v>
      </c>
      <c r="D266" s="360" t="s">
        <v>4264</v>
      </c>
      <c r="E266" s="359" t="s">
        <v>5266</v>
      </c>
      <c r="F266" s="263" t="s">
        <v>3328</v>
      </c>
      <c r="G266" s="263"/>
      <c r="H266" s="263" t="s">
        <v>3328</v>
      </c>
      <c r="I266" s="265" t="s">
        <v>5453</v>
      </c>
      <c r="J266" s="263" t="s">
        <v>5453</v>
      </c>
      <c r="K266" s="263" t="s">
        <v>5479</v>
      </c>
      <c r="L266" s="503" t="s">
        <v>4998</v>
      </c>
    </row>
    <row r="267" spans="1:14">
      <c r="A267" s="263">
        <f t="shared" si="3"/>
        <v>266</v>
      </c>
      <c r="B267" s="359" t="s">
        <v>2438</v>
      </c>
      <c r="C267" s="360" t="s">
        <v>4258</v>
      </c>
      <c r="D267" s="360" t="s">
        <v>4264</v>
      </c>
      <c r="E267" s="359" t="s">
        <v>5267</v>
      </c>
      <c r="F267" s="263" t="s">
        <v>3328</v>
      </c>
      <c r="G267" s="263"/>
      <c r="H267" s="263" t="s">
        <v>3328</v>
      </c>
      <c r="I267" s="265" t="s">
        <v>5453</v>
      </c>
      <c r="J267" s="263" t="s">
        <v>5453</v>
      </c>
      <c r="K267" s="263" t="s">
        <v>5480</v>
      </c>
      <c r="L267" s="503" t="s">
        <v>5463</v>
      </c>
    </row>
    <row r="268" spans="1:14">
      <c r="A268" s="263">
        <f t="shared" si="3"/>
        <v>267</v>
      </c>
      <c r="B268" s="359" t="s">
        <v>2439</v>
      </c>
      <c r="C268" s="360" t="s">
        <v>4258</v>
      </c>
      <c r="D268" s="360" t="s">
        <v>4264</v>
      </c>
      <c r="E268" s="359" t="s">
        <v>5268</v>
      </c>
      <c r="F268" s="263" t="s">
        <v>3328</v>
      </c>
      <c r="G268" s="263"/>
      <c r="H268" s="263" t="s">
        <v>3328</v>
      </c>
      <c r="I268" s="265" t="s">
        <v>5453</v>
      </c>
      <c r="J268" s="263" t="s">
        <v>5453</v>
      </c>
      <c r="K268" s="263" t="s">
        <v>3901</v>
      </c>
      <c r="L268" s="503" t="s">
        <v>4531</v>
      </c>
    </row>
    <row r="269" spans="1:14">
      <c r="A269" s="263">
        <f t="shared" si="3"/>
        <v>268</v>
      </c>
      <c r="B269" s="359" t="s">
        <v>2440</v>
      </c>
      <c r="C269" s="360" t="s">
        <v>4258</v>
      </c>
      <c r="D269" s="360" t="s">
        <v>4264</v>
      </c>
      <c r="E269" s="359" t="s">
        <v>5269</v>
      </c>
      <c r="F269" s="263" t="s">
        <v>3328</v>
      </c>
      <c r="G269" s="263"/>
      <c r="H269" s="263" t="s">
        <v>3328</v>
      </c>
      <c r="I269" s="265" t="s">
        <v>5453</v>
      </c>
      <c r="J269" s="263" t="s">
        <v>5453</v>
      </c>
      <c r="K269" s="263" t="s">
        <v>5481</v>
      </c>
      <c r="L269" s="503" t="s">
        <v>4533</v>
      </c>
    </row>
    <row r="270" spans="1:14">
      <c r="A270" s="263">
        <f t="shared" si="3"/>
        <v>269</v>
      </c>
      <c r="B270" s="359" t="s">
        <v>2520</v>
      </c>
      <c r="C270" s="360" t="s">
        <v>52</v>
      </c>
      <c r="D270" s="360" t="s">
        <v>5278</v>
      </c>
      <c r="E270" s="359" t="s">
        <v>5270</v>
      </c>
      <c r="F270" s="263" t="s">
        <v>3328</v>
      </c>
      <c r="G270" s="263"/>
      <c r="H270" s="263" t="s">
        <v>3328</v>
      </c>
      <c r="I270" s="265" t="s">
        <v>5453</v>
      </c>
      <c r="J270" s="263" t="s">
        <v>5453</v>
      </c>
      <c r="K270" s="263" t="s">
        <v>995</v>
      </c>
      <c r="L270" s="503" t="s">
        <v>994</v>
      </c>
    </row>
    <row r="271" spans="1:14">
      <c r="A271" s="263">
        <f t="shared" si="3"/>
        <v>270</v>
      </c>
      <c r="B271" s="359" t="s">
        <v>3422</v>
      </c>
      <c r="C271" s="360" t="s">
        <v>52</v>
      </c>
      <c r="D271" s="360" t="s">
        <v>4262</v>
      </c>
      <c r="E271" s="359" t="s">
        <v>3936</v>
      </c>
      <c r="F271" s="263" t="s">
        <v>3328</v>
      </c>
      <c r="G271" s="263"/>
      <c r="H271" s="263" t="s">
        <v>3328</v>
      </c>
      <c r="I271" s="265" t="s">
        <v>5453</v>
      </c>
      <c r="J271" s="263" t="s">
        <v>5453</v>
      </c>
      <c r="K271" s="263" t="s">
        <v>5409</v>
      </c>
      <c r="L271" s="503" t="s">
        <v>5413</v>
      </c>
    </row>
    <row r="272" spans="1:14">
      <c r="A272" s="263">
        <f t="shared" si="3"/>
        <v>271</v>
      </c>
      <c r="B272" s="359" t="s">
        <v>3423</v>
      </c>
      <c r="C272" s="360" t="s">
        <v>52</v>
      </c>
      <c r="D272" s="360" t="s">
        <v>4262</v>
      </c>
      <c r="E272" s="359" t="s">
        <v>3938</v>
      </c>
      <c r="F272" s="263" t="s">
        <v>3328</v>
      </c>
      <c r="G272" s="263"/>
      <c r="H272" s="263" t="s">
        <v>3328</v>
      </c>
      <c r="I272" s="265" t="s">
        <v>5453</v>
      </c>
      <c r="J272" s="263" t="s">
        <v>5453</v>
      </c>
      <c r="K272" s="263" t="s">
        <v>5482</v>
      </c>
      <c r="L272" s="503" t="s">
        <v>5414</v>
      </c>
    </row>
    <row r="273" spans="1:16">
      <c r="A273" s="263">
        <f t="shared" si="3"/>
        <v>272</v>
      </c>
      <c r="B273" s="359" t="s">
        <v>3424</v>
      </c>
      <c r="C273" s="360" t="s">
        <v>52</v>
      </c>
      <c r="D273" s="360" t="s">
        <v>4262</v>
      </c>
      <c r="E273" s="359" t="s">
        <v>5271</v>
      </c>
      <c r="F273" s="263" t="s">
        <v>3328</v>
      </c>
      <c r="G273" s="263"/>
      <c r="H273" s="263" t="s">
        <v>3328</v>
      </c>
      <c r="I273" s="265" t="s">
        <v>5453</v>
      </c>
      <c r="J273" s="263" t="s">
        <v>5453</v>
      </c>
      <c r="K273" s="263" t="s">
        <v>5271</v>
      </c>
      <c r="L273" s="503" t="s">
        <v>4541</v>
      </c>
    </row>
    <row r="274" spans="1:16">
      <c r="A274" s="263">
        <f t="shared" si="3"/>
        <v>273</v>
      </c>
      <c r="B274" s="359" t="s">
        <v>5272</v>
      </c>
      <c r="C274" s="360" t="s">
        <v>52</v>
      </c>
      <c r="D274" s="360" t="s">
        <v>4262</v>
      </c>
      <c r="E274" s="359" t="s">
        <v>5273</v>
      </c>
      <c r="F274" s="263" t="s">
        <v>3328</v>
      </c>
      <c r="G274" s="263"/>
      <c r="H274" s="263" t="s">
        <v>3328</v>
      </c>
      <c r="I274" s="265" t="s">
        <v>5453</v>
      </c>
      <c r="J274" s="263" t="s">
        <v>5453</v>
      </c>
      <c r="K274" s="263" t="s">
        <v>5273</v>
      </c>
      <c r="L274" s="503" t="s">
        <v>4543</v>
      </c>
    </row>
    <row r="275" spans="1:16">
      <c r="A275" s="263">
        <f t="shared" si="3"/>
        <v>274</v>
      </c>
      <c r="B275" s="359" t="s">
        <v>5274</v>
      </c>
      <c r="C275" s="360" t="s">
        <v>52</v>
      </c>
      <c r="D275" s="360" t="s">
        <v>4262</v>
      </c>
      <c r="E275" s="359" t="s">
        <v>5275</v>
      </c>
      <c r="F275" s="263" t="s">
        <v>3328</v>
      </c>
      <c r="G275" s="263"/>
      <c r="H275" s="263" t="s">
        <v>3328</v>
      </c>
      <c r="I275" s="265" t="s">
        <v>5453</v>
      </c>
      <c r="J275" s="263" t="s">
        <v>5453</v>
      </c>
      <c r="K275" s="263" t="s">
        <v>992</v>
      </c>
      <c r="L275" s="503" t="s">
        <v>991</v>
      </c>
    </row>
    <row r="276" spans="1:16">
      <c r="A276" s="263">
        <f t="shared" si="3"/>
        <v>275</v>
      </c>
      <c r="B276" s="359" t="s">
        <v>5276</v>
      </c>
      <c r="C276" s="360" t="s">
        <v>52</v>
      </c>
      <c r="D276" s="360" t="s">
        <v>4262</v>
      </c>
      <c r="E276" s="359" t="s">
        <v>5277</v>
      </c>
      <c r="F276" s="263" t="s">
        <v>3328</v>
      </c>
      <c r="G276" s="263"/>
      <c r="H276" s="263" t="s">
        <v>3328</v>
      </c>
      <c r="I276" s="265" t="s">
        <v>5453</v>
      </c>
      <c r="J276" s="263" t="s">
        <v>5453</v>
      </c>
      <c r="K276" s="263" t="s">
        <v>5483</v>
      </c>
      <c r="L276" s="503" t="s">
        <v>4546</v>
      </c>
    </row>
    <row r="277" spans="1:16">
      <c r="A277" s="263">
        <f t="shared" si="3"/>
        <v>276</v>
      </c>
      <c r="B277" s="359" t="s">
        <v>5405</v>
      </c>
      <c r="C277" s="360" t="s">
        <v>4258</v>
      </c>
      <c r="D277" s="360" t="s">
        <v>4264</v>
      </c>
      <c r="E277" s="263" t="s">
        <v>5489</v>
      </c>
      <c r="F277" s="263" t="s">
        <v>3328</v>
      </c>
      <c r="G277" s="263"/>
      <c r="H277" s="263" t="s">
        <v>3328</v>
      </c>
      <c r="I277" s="265" t="s">
        <v>5453</v>
      </c>
      <c r="J277" s="263" t="s">
        <v>5453</v>
      </c>
      <c r="K277" s="263" t="s">
        <v>5484</v>
      </c>
      <c r="L277" s="503" t="s">
        <v>5464</v>
      </c>
    </row>
    <row r="278" spans="1:16">
      <c r="A278" s="263">
        <f t="shared" si="3"/>
        <v>277</v>
      </c>
      <c r="B278" s="359" t="s">
        <v>3676</v>
      </c>
      <c r="C278" s="360" t="s">
        <v>4258</v>
      </c>
      <c r="D278" s="360" t="s">
        <v>4264</v>
      </c>
      <c r="E278" s="263" t="s">
        <v>5490</v>
      </c>
      <c r="F278" s="263" t="s">
        <v>3328</v>
      </c>
      <c r="G278" s="263"/>
      <c r="H278" s="263" t="s">
        <v>3328</v>
      </c>
      <c r="I278" s="265" t="s">
        <v>5453</v>
      </c>
      <c r="J278" s="263" t="s">
        <v>5453</v>
      </c>
      <c r="K278" s="263" t="s">
        <v>5485</v>
      </c>
      <c r="L278" s="503" t="s">
        <v>5465</v>
      </c>
    </row>
    <row r="279" spans="1:16">
      <c r="A279" s="263">
        <f t="shared" si="3"/>
        <v>278</v>
      </c>
      <c r="B279" s="359" t="s">
        <v>3677</v>
      </c>
      <c r="C279" s="360" t="s">
        <v>4258</v>
      </c>
      <c r="D279" s="360" t="s">
        <v>4264</v>
      </c>
      <c r="E279" s="263" t="s">
        <v>5491</v>
      </c>
      <c r="F279" s="263" t="s">
        <v>3328</v>
      </c>
      <c r="G279" s="263"/>
      <c r="H279" s="263" t="s">
        <v>3328</v>
      </c>
      <c r="I279" s="265" t="s">
        <v>5453</v>
      </c>
      <c r="J279" s="263" t="s">
        <v>5453</v>
      </c>
      <c r="K279" s="263" t="s">
        <v>5486</v>
      </c>
      <c r="L279" s="503" t="s">
        <v>5466</v>
      </c>
    </row>
    <row r="280" spans="1:16">
      <c r="A280" s="263">
        <f t="shared" si="3"/>
        <v>279</v>
      </c>
      <c r="B280" s="359" t="s">
        <v>4927</v>
      </c>
      <c r="C280" s="360" t="s">
        <v>4258</v>
      </c>
      <c r="D280" s="360" t="s">
        <v>4264</v>
      </c>
      <c r="E280" s="263" t="s">
        <v>5492</v>
      </c>
      <c r="F280" s="263" t="s">
        <v>3328</v>
      </c>
      <c r="G280" s="263"/>
      <c r="H280" s="263" t="s">
        <v>3328</v>
      </c>
      <c r="I280" s="265" t="s">
        <v>5453</v>
      </c>
      <c r="J280" s="263" t="s">
        <v>5453</v>
      </c>
      <c r="K280" s="263" t="s">
        <v>5487</v>
      </c>
      <c r="L280" s="503" t="s">
        <v>5467</v>
      </c>
    </row>
    <row r="281" spans="1:16">
      <c r="A281" s="263">
        <f t="shared" si="3"/>
        <v>280</v>
      </c>
      <c r="B281" s="359" t="s">
        <v>3923</v>
      </c>
      <c r="C281" s="360" t="s">
        <v>4258</v>
      </c>
      <c r="D281" s="360" t="s">
        <v>4264</v>
      </c>
      <c r="E281" s="263" t="s">
        <v>5493</v>
      </c>
      <c r="F281" s="263" t="s">
        <v>3328</v>
      </c>
      <c r="G281" s="263"/>
      <c r="H281" s="263" t="s">
        <v>3328</v>
      </c>
      <c r="I281" s="265" t="s">
        <v>5453</v>
      </c>
      <c r="J281" s="263" t="s">
        <v>5453</v>
      </c>
      <c r="K281" s="263" t="s">
        <v>5488</v>
      </c>
      <c r="L281" s="503" t="s">
        <v>5468</v>
      </c>
    </row>
    <row r="282" spans="1:16" s="341" customFormat="1">
      <c r="A282" s="339">
        <f t="shared" si="3"/>
        <v>281</v>
      </c>
      <c r="B282" s="339" t="s">
        <v>6139</v>
      </c>
      <c r="C282" s="619" t="s">
        <v>52</v>
      </c>
      <c r="D282" s="619" t="s">
        <v>5278</v>
      </c>
      <c r="E282" s="339" t="s">
        <v>6140</v>
      </c>
      <c r="F282" s="339" t="s">
        <v>3328</v>
      </c>
      <c r="G282" s="339"/>
      <c r="H282" s="339" t="s">
        <v>3328</v>
      </c>
      <c r="I282" s="340" t="s">
        <v>5453</v>
      </c>
      <c r="J282" s="339" t="s">
        <v>5453</v>
      </c>
      <c r="K282" s="339" t="s">
        <v>940</v>
      </c>
      <c r="L282" s="339" t="s">
        <v>6141</v>
      </c>
      <c r="P282" s="628" t="s">
        <v>2395</v>
      </c>
    </row>
    <row r="283" spans="1:16" s="341" customFormat="1">
      <c r="A283" s="339">
        <f t="shared" si="3"/>
        <v>282</v>
      </c>
      <c r="B283" s="339" t="s">
        <v>3927</v>
      </c>
      <c r="C283" s="619" t="s">
        <v>52</v>
      </c>
      <c r="D283" s="619" t="s">
        <v>5278</v>
      </c>
      <c r="E283" s="339" t="s">
        <v>6142</v>
      </c>
      <c r="F283" s="339" t="s">
        <v>3328</v>
      </c>
      <c r="G283" s="339"/>
      <c r="H283" s="339" t="s">
        <v>3328</v>
      </c>
      <c r="I283" s="340" t="s">
        <v>5453</v>
      </c>
      <c r="J283" s="339" t="s">
        <v>5453</v>
      </c>
      <c r="K283" s="339" t="s">
        <v>1016</v>
      </c>
      <c r="L283" s="339" t="s">
        <v>5366</v>
      </c>
      <c r="P283" s="628" t="s">
        <v>2421</v>
      </c>
    </row>
    <row r="284" spans="1:16" s="341" customFormat="1">
      <c r="A284" s="339">
        <f t="shared" si="3"/>
        <v>283</v>
      </c>
      <c r="B284" s="339" t="s">
        <v>3929</v>
      </c>
      <c r="C284" s="619" t="s">
        <v>52</v>
      </c>
      <c r="D284" s="619" t="s">
        <v>4267</v>
      </c>
      <c r="E284" s="339" t="s">
        <v>6143</v>
      </c>
      <c r="F284" s="339" t="s">
        <v>3328</v>
      </c>
      <c r="G284" s="339"/>
      <c r="H284" s="339" t="s">
        <v>3328</v>
      </c>
      <c r="I284" s="340" t="s">
        <v>5453</v>
      </c>
      <c r="J284" s="339" t="s">
        <v>5453</v>
      </c>
      <c r="K284" s="339" t="s">
        <v>1039</v>
      </c>
      <c r="L284" s="339" t="s">
        <v>1038</v>
      </c>
      <c r="P284" s="628" t="s">
        <v>2430</v>
      </c>
    </row>
    <row r="285" spans="1:16" s="341" customFormat="1">
      <c r="A285" s="339">
        <f t="shared" si="3"/>
        <v>284</v>
      </c>
      <c r="B285" s="339" t="s">
        <v>3931</v>
      </c>
      <c r="C285" s="619" t="s">
        <v>4258</v>
      </c>
      <c r="D285" s="619" t="s">
        <v>4264</v>
      </c>
      <c r="E285" s="339" t="s">
        <v>6144</v>
      </c>
      <c r="F285" s="339" t="s">
        <v>3328</v>
      </c>
      <c r="G285" s="339"/>
      <c r="H285" s="339" t="s">
        <v>3328</v>
      </c>
      <c r="I285" s="340" t="s">
        <v>5453</v>
      </c>
      <c r="J285" s="339" t="s">
        <v>5453</v>
      </c>
      <c r="K285" s="339" t="s">
        <v>1042</v>
      </c>
      <c r="L285" s="339" t="s">
        <v>1041</v>
      </c>
      <c r="P285" s="628" t="s">
        <v>2431</v>
      </c>
    </row>
    <row r="286" spans="1:16" s="341" customFormat="1">
      <c r="A286" s="339">
        <f t="shared" si="3"/>
        <v>285</v>
      </c>
      <c r="B286" s="339" t="s">
        <v>3933</v>
      </c>
      <c r="C286" s="619" t="s">
        <v>4258</v>
      </c>
      <c r="D286" s="619" t="s">
        <v>5299</v>
      </c>
      <c r="E286" s="339" t="s">
        <v>6145</v>
      </c>
      <c r="F286" s="339" t="s">
        <v>3328</v>
      </c>
      <c r="G286" s="339"/>
      <c r="H286" s="339" t="s">
        <v>3328</v>
      </c>
      <c r="I286" s="340" t="s">
        <v>5453</v>
      </c>
      <c r="J286" s="339" t="s">
        <v>5453</v>
      </c>
      <c r="K286" s="339" t="s">
        <v>1050</v>
      </c>
      <c r="L286" s="339" t="s">
        <v>3110</v>
      </c>
      <c r="P286" s="628" t="s">
        <v>2434</v>
      </c>
    </row>
    <row r="287" spans="1:16" s="341" customFormat="1">
      <c r="A287" s="339">
        <f t="shared" si="3"/>
        <v>286</v>
      </c>
      <c r="B287" s="339" t="s">
        <v>3935</v>
      </c>
      <c r="C287" s="619" t="s">
        <v>52</v>
      </c>
      <c r="D287" s="619" t="s">
        <v>4262</v>
      </c>
      <c r="E287" s="339" t="s">
        <v>6146</v>
      </c>
      <c r="F287" s="339" t="s">
        <v>3328</v>
      </c>
      <c r="G287" s="339"/>
      <c r="H287" s="339" t="s">
        <v>3328</v>
      </c>
      <c r="I287" s="340" t="s">
        <v>5453</v>
      </c>
      <c r="J287" s="339" t="s">
        <v>5453</v>
      </c>
      <c r="K287" s="339" t="s">
        <v>1052</v>
      </c>
      <c r="L287" s="339" t="s">
        <v>1051</v>
      </c>
      <c r="P287" s="628" t="s">
        <v>2435</v>
      </c>
    </row>
    <row r="288" spans="1:16" s="341" customFormat="1">
      <c r="A288" s="339">
        <f t="shared" si="3"/>
        <v>287</v>
      </c>
      <c r="B288" s="339" t="s">
        <v>3937</v>
      </c>
      <c r="C288" s="619" t="s">
        <v>52</v>
      </c>
      <c r="D288" s="619" t="s">
        <v>4270</v>
      </c>
      <c r="E288" s="339" t="s">
        <v>6147</v>
      </c>
      <c r="F288" s="339" t="s">
        <v>3328</v>
      </c>
      <c r="G288" s="339"/>
      <c r="H288" s="339" t="s">
        <v>3328</v>
      </c>
      <c r="I288" s="340" t="s">
        <v>5453</v>
      </c>
      <c r="J288" s="339" t="s">
        <v>5453</v>
      </c>
      <c r="K288" s="339" t="s">
        <v>1058</v>
      </c>
      <c r="L288" s="339" t="s">
        <v>1057</v>
      </c>
      <c r="P288" s="628" t="s">
        <v>2437</v>
      </c>
    </row>
    <row r="289" spans="1:17" s="341" customFormat="1">
      <c r="A289" s="339">
        <f t="shared" si="3"/>
        <v>288</v>
      </c>
      <c r="B289" s="339" t="s">
        <v>7318</v>
      </c>
      <c r="C289" s="619" t="s">
        <v>52</v>
      </c>
      <c r="D289" s="619" t="s">
        <v>4262</v>
      </c>
      <c r="E289" s="339" t="s">
        <v>6148</v>
      </c>
      <c r="F289" s="339" t="s">
        <v>3328</v>
      </c>
      <c r="G289" s="339"/>
      <c r="H289" s="339" t="s">
        <v>3328</v>
      </c>
      <c r="I289" s="340" t="s">
        <v>5453</v>
      </c>
      <c r="J289" s="339" t="s">
        <v>5453</v>
      </c>
      <c r="K289" s="339" t="s">
        <v>3473</v>
      </c>
      <c r="L289" s="339" t="s">
        <v>3467</v>
      </c>
      <c r="P289" s="628" t="s">
        <v>5272</v>
      </c>
    </row>
    <row r="290" spans="1:17">
      <c r="A290" s="263">
        <f t="shared" si="3"/>
        <v>289</v>
      </c>
      <c r="B290" s="517" t="s">
        <v>7319</v>
      </c>
      <c r="C290" s="619" t="s">
        <v>52</v>
      </c>
      <c r="D290" s="619" t="s">
        <v>4262</v>
      </c>
      <c r="E290" s="517" t="s">
        <v>7010</v>
      </c>
      <c r="F290" s="339" t="s">
        <v>3328</v>
      </c>
      <c r="G290" s="339"/>
      <c r="H290" s="339" t="s">
        <v>3328</v>
      </c>
      <c r="I290" s="340" t="s">
        <v>5453</v>
      </c>
      <c r="J290" s="339" t="s">
        <v>5453</v>
      </c>
      <c r="K290" s="544" t="s">
        <v>7407</v>
      </c>
      <c r="L290" s="532" t="s">
        <v>7009</v>
      </c>
      <c r="O290" s="178" t="s">
        <v>5494</v>
      </c>
    </row>
    <row r="291" spans="1:17">
      <c r="A291" s="339">
        <f t="shared" si="3"/>
        <v>290</v>
      </c>
      <c r="B291" s="339" t="s">
        <v>5821</v>
      </c>
      <c r="C291" s="619" t="s">
        <v>4258</v>
      </c>
      <c r="D291" s="619" t="s">
        <v>4264</v>
      </c>
      <c r="E291" s="622" t="s">
        <v>7314</v>
      </c>
      <c r="F291" s="339" t="s">
        <v>3328</v>
      </c>
      <c r="G291" s="339"/>
      <c r="H291" s="339" t="s">
        <v>3328</v>
      </c>
      <c r="I291" s="340" t="s">
        <v>5453</v>
      </c>
      <c r="J291" s="339" t="s">
        <v>5453</v>
      </c>
      <c r="K291" s="631" t="s">
        <v>7408</v>
      </c>
      <c r="L291" s="620" t="s">
        <v>7316</v>
      </c>
    </row>
    <row r="292" spans="1:17">
      <c r="A292" s="263">
        <f t="shared" si="3"/>
        <v>291</v>
      </c>
      <c r="B292" s="359" t="s">
        <v>5279</v>
      </c>
      <c r="C292" s="360" t="s">
        <v>52</v>
      </c>
      <c r="D292" s="360" t="s">
        <v>5278</v>
      </c>
      <c r="E292" s="359" t="s">
        <v>5280</v>
      </c>
      <c r="F292" s="263" t="s">
        <v>3328</v>
      </c>
      <c r="G292" s="263"/>
      <c r="H292" s="263" t="s">
        <v>3328</v>
      </c>
      <c r="I292" s="265" t="s">
        <v>5453</v>
      </c>
      <c r="J292" s="263" t="s">
        <v>5453</v>
      </c>
      <c r="K292" s="263" t="s">
        <v>5496</v>
      </c>
      <c r="L292" s="263" t="s">
        <v>7445</v>
      </c>
    </row>
    <row r="293" spans="1:17">
      <c r="A293" s="263">
        <f t="shared" si="3"/>
        <v>292</v>
      </c>
      <c r="B293" s="359" t="s">
        <v>5281</v>
      </c>
      <c r="C293" s="360" t="s">
        <v>4258</v>
      </c>
      <c r="D293" s="360" t="s">
        <v>5299</v>
      </c>
      <c r="E293" s="359" t="s">
        <v>5282</v>
      </c>
      <c r="F293" s="263" t="s">
        <v>3328</v>
      </c>
      <c r="G293" s="263"/>
      <c r="H293" s="263" t="s">
        <v>3328</v>
      </c>
      <c r="I293" s="265" t="s">
        <v>5453</v>
      </c>
      <c r="J293" s="263" t="s">
        <v>5453</v>
      </c>
      <c r="K293" s="263" t="s">
        <v>5498</v>
      </c>
      <c r="L293" s="263" t="s">
        <v>5497</v>
      </c>
    </row>
    <row r="294" spans="1:17">
      <c r="A294" s="263">
        <f t="shared" si="3"/>
        <v>293</v>
      </c>
      <c r="B294" s="359" t="s">
        <v>5283</v>
      </c>
      <c r="C294" s="360" t="s">
        <v>4258</v>
      </c>
      <c r="D294" s="360" t="s">
        <v>5299</v>
      </c>
      <c r="E294" s="359" t="s">
        <v>5284</v>
      </c>
      <c r="F294" s="263" t="s">
        <v>3328</v>
      </c>
      <c r="G294" s="263"/>
      <c r="H294" s="263" t="s">
        <v>3328</v>
      </c>
      <c r="I294" s="265" t="s">
        <v>5453</v>
      </c>
      <c r="J294" s="263" t="s">
        <v>5453</v>
      </c>
      <c r="K294" s="263" t="s">
        <v>5500</v>
      </c>
      <c r="L294" s="263" t="s">
        <v>5499</v>
      </c>
    </row>
    <row r="295" spans="1:17">
      <c r="A295" s="263">
        <f t="shared" si="3"/>
        <v>294</v>
      </c>
      <c r="B295" s="359" t="s">
        <v>5285</v>
      </c>
      <c r="C295" s="360" t="s">
        <v>4258</v>
      </c>
      <c r="D295" s="360" t="s">
        <v>5299</v>
      </c>
      <c r="E295" s="359" t="s">
        <v>5286</v>
      </c>
      <c r="F295" s="263" t="s">
        <v>3328</v>
      </c>
      <c r="G295" s="263"/>
      <c r="H295" s="263" t="s">
        <v>3328</v>
      </c>
      <c r="I295" s="265" t="s">
        <v>5453</v>
      </c>
      <c r="J295" s="263" t="s">
        <v>5453</v>
      </c>
      <c r="K295" s="263" t="s">
        <v>5502</v>
      </c>
      <c r="L295" s="263" t="s">
        <v>5501</v>
      </c>
    </row>
    <row r="296" spans="1:17">
      <c r="A296" s="263">
        <f t="shared" si="3"/>
        <v>295</v>
      </c>
      <c r="B296" s="359" t="s">
        <v>5287</v>
      </c>
      <c r="C296" s="360" t="s">
        <v>4258</v>
      </c>
      <c r="D296" s="360" t="s">
        <v>5299</v>
      </c>
      <c r="E296" s="359" t="s">
        <v>5288</v>
      </c>
      <c r="F296" s="263" t="s">
        <v>3328</v>
      </c>
      <c r="G296" s="263"/>
      <c r="H296" s="263" t="s">
        <v>3328</v>
      </c>
      <c r="I296" s="265" t="s">
        <v>5453</v>
      </c>
      <c r="J296" s="263" t="s">
        <v>5453</v>
      </c>
      <c r="K296" s="263" t="s">
        <v>5504</v>
      </c>
      <c r="L296" s="263" t="s">
        <v>5503</v>
      </c>
      <c r="N296" s="178" t="s">
        <v>5495</v>
      </c>
    </row>
    <row r="297" spans="1:17">
      <c r="A297" s="263">
        <f t="shared" si="3"/>
        <v>296</v>
      </c>
      <c r="B297" s="359" t="s">
        <v>5289</v>
      </c>
      <c r="C297" s="360" t="s">
        <v>52</v>
      </c>
      <c r="D297" s="360" t="s">
        <v>5278</v>
      </c>
      <c r="E297" s="359" t="s">
        <v>5290</v>
      </c>
      <c r="F297" s="263" t="s">
        <v>3328</v>
      </c>
      <c r="G297" s="263"/>
      <c r="H297" s="263" t="s">
        <v>3328</v>
      </c>
      <c r="I297" s="265" t="s">
        <v>5453</v>
      </c>
      <c r="J297" s="263" t="s">
        <v>5453</v>
      </c>
      <c r="K297" s="263" t="s">
        <v>5506</v>
      </c>
      <c r="L297" s="263" t="s">
        <v>5505</v>
      </c>
    </row>
    <row r="298" spans="1:17">
      <c r="A298" s="263">
        <f t="shared" si="3"/>
        <v>297</v>
      </c>
      <c r="B298" s="359" t="s">
        <v>5291</v>
      </c>
      <c r="C298" s="360" t="s">
        <v>4258</v>
      </c>
      <c r="D298" s="360" t="s">
        <v>5299</v>
      </c>
      <c r="E298" s="359" t="s">
        <v>5292</v>
      </c>
      <c r="F298" s="263" t="s">
        <v>3328</v>
      </c>
      <c r="G298" s="263"/>
      <c r="H298" s="263" t="s">
        <v>3328</v>
      </c>
      <c r="I298" s="265" t="s">
        <v>5453</v>
      </c>
      <c r="J298" s="263" t="s">
        <v>5453</v>
      </c>
      <c r="K298" s="263" t="s">
        <v>5508</v>
      </c>
      <c r="L298" s="263" t="s">
        <v>5507</v>
      </c>
    </row>
    <row r="299" spans="1:17">
      <c r="A299" s="263">
        <f t="shared" si="3"/>
        <v>298</v>
      </c>
      <c r="B299" s="359" t="s">
        <v>5293</v>
      </c>
      <c r="C299" s="360" t="s">
        <v>4258</v>
      </c>
      <c r="D299" s="360" t="s">
        <v>5299</v>
      </c>
      <c r="E299" s="359" t="s">
        <v>5294</v>
      </c>
      <c r="F299" s="263" t="s">
        <v>3328</v>
      </c>
      <c r="G299" s="263"/>
      <c r="H299" s="263" t="s">
        <v>3328</v>
      </c>
      <c r="I299" s="265" t="s">
        <v>5453</v>
      </c>
      <c r="J299" s="263" t="s">
        <v>5453</v>
      </c>
      <c r="K299" s="263" t="s">
        <v>5510</v>
      </c>
      <c r="L299" s="263" t="s">
        <v>5509</v>
      </c>
    </row>
    <row r="300" spans="1:17">
      <c r="A300" s="263">
        <f t="shared" si="3"/>
        <v>299</v>
      </c>
      <c r="B300" s="359" t="s">
        <v>5295</v>
      </c>
      <c r="C300" s="360" t="s">
        <v>4258</v>
      </c>
      <c r="D300" s="360" t="s">
        <v>5299</v>
      </c>
      <c r="E300" s="359" t="s">
        <v>5296</v>
      </c>
      <c r="F300" s="263" t="s">
        <v>3328</v>
      </c>
      <c r="G300" s="263"/>
      <c r="H300" s="263" t="s">
        <v>3328</v>
      </c>
      <c r="I300" s="265" t="s">
        <v>5453</v>
      </c>
      <c r="J300" s="263" t="s">
        <v>5453</v>
      </c>
      <c r="K300" s="263" t="s">
        <v>5512</v>
      </c>
      <c r="L300" s="263" t="s">
        <v>5511</v>
      </c>
    </row>
    <row r="301" spans="1:17" s="443" customFormat="1">
      <c r="A301" s="263">
        <f t="shared" si="3"/>
        <v>300</v>
      </c>
      <c r="B301" s="359" t="s">
        <v>5297</v>
      </c>
      <c r="C301" s="360" t="s">
        <v>4258</v>
      </c>
      <c r="D301" s="360" t="s">
        <v>5299</v>
      </c>
      <c r="E301" s="359" t="s">
        <v>5298</v>
      </c>
      <c r="F301" s="263" t="s">
        <v>3328</v>
      </c>
      <c r="G301" s="263"/>
      <c r="H301" s="263" t="s">
        <v>3328</v>
      </c>
      <c r="I301" s="265" t="s">
        <v>5453</v>
      </c>
      <c r="J301" s="263" t="s">
        <v>5453</v>
      </c>
      <c r="K301" s="263" t="s">
        <v>5514</v>
      </c>
      <c r="L301" s="320" t="s">
        <v>5513</v>
      </c>
      <c r="M301" s="627"/>
      <c r="N301" s="441"/>
      <c r="O301" s="242"/>
      <c r="P301" s="242"/>
      <c r="Q301" s="442"/>
    </row>
    <row r="302" spans="1:17">
      <c r="A302" s="263">
        <f t="shared" si="3"/>
        <v>301</v>
      </c>
      <c r="B302" s="359" t="s">
        <v>7440</v>
      </c>
      <c r="C302" s="619" t="s">
        <v>4258</v>
      </c>
      <c r="D302" s="619" t="s">
        <v>5299</v>
      </c>
      <c r="E302" s="622" t="s">
        <v>7442</v>
      </c>
      <c r="F302" s="263" t="s">
        <v>3328</v>
      </c>
      <c r="G302" s="620"/>
      <c r="H302" s="263" t="s">
        <v>3328</v>
      </c>
      <c r="I302" s="265" t="s">
        <v>634</v>
      </c>
      <c r="J302" s="263" t="s">
        <v>7444</v>
      </c>
      <c r="K302" s="620" t="s">
        <v>103</v>
      </c>
      <c r="L302" s="620" t="s">
        <v>7321</v>
      </c>
    </row>
    <row r="303" spans="1:17" s="443" customFormat="1">
      <c r="A303" s="263">
        <f t="shared" si="3"/>
        <v>302</v>
      </c>
      <c r="B303" s="359" t="s">
        <v>7441</v>
      </c>
      <c r="C303" s="619" t="s">
        <v>52</v>
      </c>
      <c r="D303" s="619" t="s">
        <v>4262</v>
      </c>
      <c r="E303" s="622" t="s">
        <v>7443</v>
      </c>
      <c r="F303" s="263" t="s">
        <v>3328</v>
      </c>
      <c r="G303" s="263"/>
      <c r="H303" s="263" t="s">
        <v>3328</v>
      </c>
      <c r="I303" s="265" t="s">
        <v>634</v>
      </c>
      <c r="J303" s="263" t="s">
        <v>7444</v>
      </c>
      <c r="K303" s="263" t="s">
        <v>104</v>
      </c>
      <c r="L303" s="320" t="s">
        <v>7321</v>
      </c>
      <c r="M303" s="499"/>
      <c r="N303" s="441"/>
      <c r="O303" s="242"/>
      <c r="P303" s="242"/>
      <c r="Q303" s="442"/>
    </row>
    <row r="304" spans="1:17" s="443" customFormat="1">
      <c r="A304" s="263">
        <f t="shared" si="3"/>
        <v>303</v>
      </c>
      <c r="B304" s="442" t="s">
        <v>2441</v>
      </c>
      <c r="C304" s="506" t="s">
        <v>275</v>
      </c>
      <c r="D304" s="506">
        <v>1</v>
      </c>
      <c r="E304" s="507" t="s">
        <v>1068</v>
      </c>
      <c r="F304" s="442" t="s">
        <v>3133</v>
      </c>
      <c r="G304" s="442"/>
      <c r="H304" s="508" t="s">
        <v>3327</v>
      </c>
      <c r="I304" s="442" t="s">
        <v>3122</v>
      </c>
      <c r="J304" s="507" t="s">
        <v>3325</v>
      </c>
      <c r="K304" s="507" t="s">
        <v>1070</v>
      </c>
      <c r="L304" s="442" t="s">
        <v>1071</v>
      </c>
      <c r="M304" s="500" t="s">
        <v>32</v>
      </c>
      <c r="N304" s="441"/>
      <c r="O304" s="242"/>
      <c r="P304" s="242"/>
      <c r="Q304" s="442"/>
    </row>
    <row r="305" spans="1:17" s="443" customFormat="1">
      <c r="A305" s="263">
        <f t="shared" si="3"/>
        <v>304</v>
      </c>
      <c r="B305" s="442" t="s">
        <v>2442</v>
      </c>
      <c r="C305" s="506" t="s">
        <v>275</v>
      </c>
      <c r="D305" s="506">
        <v>1</v>
      </c>
      <c r="E305" s="507" t="s">
        <v>3115</v>
      </c>
      <c r="F305" s="442" t="s">
        <v>3133</v>
      </c>
      <c r="G305" s="442"/>
      <c r="H305" s="508" t="s">
        <v>2964</v>
      </c>
      <c r="I305" s="442" t="s">
        <v>3122</v>
      </c>
      <c r="J305" s="507" t="s">
        <v>3325</v>
      </c>
      <c r="K305" s="507" t="s">
        <v>3211</v>
      </c>
      <c r="L305" s="442" t="s">
        <v>1073</v>
      </c>
      <c r="M305" s="500" t="s">
        <v>32</v>
      </c>
      <c r="N305" s="441"/>
      <c r="O305" s="242"/>
      <c r="P305" s="242"/>
      <c r="Q305" s="442"/>
    </row>
    <row r="306" spans="1:17" s="443" customFormat="1">
      <c r="A306" s="263">
        <f t="shared" si="3"/>
        <v>305</v>
      </c>
      <c r="B306" s="442" t="s">
        <v>2443</v>
      </c>
      <c r="C306" s="506" t="s">
        <v>275</v>
      </c>
      <c r="D306" s="506">
        <v>1</v>
      </c>
      <c r="E306" s="507" t="s">
        <v>1072</v>
      </c>
      <c r="F306" s="442" t="s">
        <v>3133</v>
      </c>
      <c r="G306" s="442"/>
      <c r="H306" s="508" t="s">
        <v>2964</v>
      </c>
      <c r="I306" s="442" t="s">
        <v>3122</v>
      </c>
      <c r="J306" s="507" t="s">
        <v>3325</v>
      </c>
      <c r="K306" s="507" t="s">
        <v>3212</v>
      </c>
      <c r="L306" s="442" t="s">
        <v>1075</v>
      </c>
      <c r="M306" s="500" t="s">
        <v>32</v>
      </c>
      <c r="N306" s="441"/>
      <c r="O306" s="242"/>
      <c r="P306" s="242"/>
      <c r="Q306" s="442"/>
    </row>
    <row r="307" spans="1:17" s="443" customFormat="1">
      <c r="A307" s="263">
        <f t="shared" si="3"/>
        <v>306</v>
      </c>
      <c r="B307" s="442" t="s">
        <v>2444</v>
      </c>
      <c r="C307" s="506" t="s">
        <v>275</v>
      </c>
      <c r="D307" s="506">
        <v>1</v>
      </c>
      <c r="E307" s="507" t="s">
        <v>1074</v>
      </c>
      <c r="F307" s="442" t="s">
        <v>3133</v>
      </c>
      <c r="G307" s="442"/>
      <c r="H307" s="508" t="s">
        <v>2964</v>
      </c>
      <c r="I307" s="442" t="s">
        <v>3122</v>
      </c>
      <c r="J307" s="507" t="s">
        <v>3325</v>
      </c>
      <c r="K307" s="507" t="s">
        <v>3213</v>
      </c>
      <c r="L307" s="442" t="s">
        <v>1077</v>
      </c>
      <c r="M307" s="500" t="s">
        <v>32</v>
      </c>
      <c r="N307" s="441"/>
      <c r="O307" s="242"/>
      <c r="P307" s="242"/>
      <c r="Q307" s="442"/>
    </row>
    <row r="308" spans="1:17" s="443" customFormat="1">
      <c r="A308" s="263">
        <f t="shared" si="3"/>
        <v>307</v>
      </c>
      <c r="B308" s="442" t="s">
        <v>2445</v>
      </c>
      <c r="C308" s="506" t="s">
        <v>275</v>
      </c>
      <c r="D308" s="506">
        <v>1</v>
      </c>
      <c r="E308" s="507" t="s">
        <v>1076</v>
      </c>
      <c r="F308" s="442" t="s">
        <v>3133</v>
      </c>
      <c r="G308" s="442"/>
      <c r="H308" s="508" t="s">
        <v>2964</v>
      </c>
      <c r="I308" s="442" t="s">
        <v>3122</v>
      </c>
      <c r="J308" s="507" t="s">
        <v>3325</v>
      </c>
      <c r="K308" s="507" t="s">
        <v>1078</v>
      </c>
      <c r="L308" s="442" t="s">
        <v>1080</v>
      </c>
      <c r="M308" s="500" t="s">
        <v>32</v>
      </c>
      <c r="N308" s="441"/>
      <c r="O308" s="242"/>
      <c r="P308" s="242"/>
      <c r="Q308" s="442"/>
    </row>
    <row r="309" spans="1:17" s="443" customFormat="1">
      <c r="A309" s="263">
        <f t="shared" si="3"/>
        <v>308</v>
      </c>
      <c r="B309" s="442" t="s">
        <v>2446</v>
      </c>
      <c r="C309" s="506" t="s">
        <v>275</v>
      </c>
      <c r="D309" s="506">
        <v>1</v>
      </c>
      <c r="E309" s="507" t="s">
        <v>1079</v>
      </c>
      <c r="F309" s="442" t="s">
        <v>3133</v>
      </c>
      <c r="G309" s="442"/>
      <c r="H309" s="508" t="s">
        <v>2964</v>
      </c>
      <c r="I309" s="442" t="s">
        <v>3122</v>
      </c>
      <c r="J309" s="507" t="s">
        <v>3325</v>
      </c>
      <c r="K309" s="507" t="s">
        <v>1081</v>
      </c>
      <c r="L309" s="442" t="s">
        <v>1083</v>
      </c>
      <c r="M309" s="500" t="s">
        <v>32</v>
      </c>
      <c r="N309" s="441"/>
      <c r="O309" s="242"/>
      <c r="P309" s="242"/>
      <c r="Q309" s="442"/>
    </row>
    <row r="310" spans="1:17" s="443" customFormat="1">
      <c r="A310" s="263">
        <f t="shared" si="3"/>
        <v>309</v>
      </c>
      <c r="B310" s="442" t="s">
        <v>2447</v>
      </c>
      <c r="C310" s="506" t="s">
        <v>275</v>
      </c>
      <c r="D310" s="506">
        <v>1</v>
      </c>
      <c r="E310" s="507" t="s">
        <v>1082</v>
      </c>
      <c r="F310" s="442" t="s">
        <v>3133</v>
      </c>
      <c r="G310" s="442"/>
      <c r="H310" s="508" t="s">
        <v>2964</v>
      </c>
      <c r="I310" s="442" t="s">
        <v>3122</v>
      </c>
      <c r="J310" s="507" t="s">
        <v>3325</v>
      </c>
      <c r="K310" s="507" t="s">
        <v>1084</v>
      </c>
      <c r="L310" s="442" t="s">
        <v>1086</v>
      </c>
      <c r="M310" s="500" t="s">
        <v>32</v>
      </c>
      <c r="N310" s="441"/>
      <c r="O310" s="242"/>
      <c r="P310" s="242"/>
      <c r="Q310" s="442"/>
    </row>
    <row r="311" spans="1:17" s="443" customFormat="1">
      <c r="A311" s="263">
        <f t="shared" si="3"/>
        <v>310</v>
      </c>
      <c r="B311" s="442" t="s">
        <v>2448</v>
      </c>
      <c r="C311" s="506" t="s">
        <v>275</v>
      </c>
      <c r="D311" s="506">
        <v>1</v>
      </c>
      <c r="E311" s="507" t="s">
        <v>1085</v>
      </c>
      <c r="F311" s="442" t="s">
        <v>3133</v>
      </c>
      <c r="G311" s="442"/>
      <c r="H311" s="508" t="s">
        <v>2964</v>
      </c>
      <c r="I311" s="442" t="s">
        <v>3122</v>
      </c>
      <c r="J311" s="507" t="s">
        <v>3325</v>
      </c>
      <c r="K311" s="507" t="s">
        <v>1087</v>
      </c>
      <c r="L311" s="442" t="s">
        <v>1089</v>
      </c>
      <c r="M311" s="500" t="s">
        <v>32</v>
      </c>
      <c r="N311" s="441"/>
      <c r="O311" s="242"/>
      <c r="P311" s="242"/>
      <c r="Q311" s="442"/>
    </row>
    <row r="312" spans="1:17" s="443" customFormat="1">
      <c r="A312" s="263">
        <f t="shared" si="3"/>
        <v>311</v>
      </c>
      <c r="B312" s="442" t="s">
        <v>2449</v>
      </c>
      <c r="C312" s="506" t="s">
        <v>275</v>
      </c>
      <c r="D312" s="506">
        <v>1</v>
      </c>
      <c r="E312" s="507" t="s">
        <v>1088</v>
      </c>
      <c r="F312" s="442" t="s">
        <v>3133</v>
      </c>
      <c r="G312" s="442"/>
      <c r="H312" s="508" t="s">
        <v>2964</v>
      </c>
      <c r="I312" s="442" t="s">
        <v>3122</v>
      </c>
      <c r="J312" s="507" t="s">
        <v>3325</v>
      </c>
      <c r="K312" s="507" t="s">
        <v>1090</v>
      </c>
      <c r="L312" s="442" t="s">
        <v>1092</v>
      </c>
      <c r="M312" s="500" t="s">
        <v>32</v>
      </c>
      <c r="N312" s="441"/>
      <c r="O312" s="242"/>
      <c r="P312" s="242"/>
      <c r="Q312" s="442"/>
    </row>
    <row r="313" spans="1:17" s="443" customFormat="1">
      <c r="A313" s="263">
        <f t="shared" si="3"/>
        <v>312</v>
      </c>
      <c r="B313" s="442" t="s">
        <v>2450</v>
      </c>
      <c r="C313" s="506" t="s">
        <v>275</v>
      </c>
      <c r="D313" s="506">
        <v>1</v>
      </c>
      <c r="E313" s="507" t="s">
        <v>1091</v>
      </c>
      <c r="F313" s="442" t="s">
        <v>3133</v>
      </c>
      <c r="G313" s="442"/>
      <c r="H313" s="508" t="s">
        <v>2964</v>
      </c>
      <c r="I313" s="442" t="s">
        <v>3122</v>
      </c>
      <c r="J313" s="507" t="s">
        <v>3325</v>
      </c>
      <c r="K313" s="507" t="s">
        <v>1093</v>
      </c>
      <c r="L313" s="442" t="s">
        <v>1095</v>
      </c>
      <c r="M313" s="499" t="s">
        <v>32</v>
      </c>
      <c r="N313" s="441"/>
      <c r="O313" s="242"/>
      <c r="P313" s="242"/>
      <c r="Q313" s="442"/>
    </row>
    <row r="314" spans="1:17" s="443" customFormat="1">
      <c r="A314" s="263">
        <f t="shared" si="3"/>
        <v>313</v>
      </c>
      <c r="B314" s="442" t="s">
        <v>2451</v>
      </c>
      <c r="C314" s="506" t="s">
        <v>275</v>
      </c>
      <c r="D314" s="506">
        <v>1</v>
      </c>
      <c r="E314" s="507" t="s">
        <v>1094</v>
      </c>
      <c r="F314" s="442" t="s">
        <v>3133</v>
      </c>
      <c r="G314" s="442"/>
      <c r="H314" s="508" t="s">
        <v>2964</v>
      </c>
      <c r="I314" s="442" t="s">
        <v>3122</v>
      </c>
      <c r="J314" s="507" t="s">
        <v>3325</v>
      </c>
      <c r="K314" s="507" t="s">
        <v>1096</v>
      </c>
      <c r="L314" s="442" t="s">
        <v>1098</v>
      </c>
      <c r="M314" s="499" t="s">
        <v>32</v>
      </c>
      <c r="N314" s="441"/>
      <c r="O314" s="242"/>
      <c r="P314" s="242"/>
      <c r="Q314" s="442"/>
    </row>
    <row r="315" spans="1:17" s="443" customFormat="1">
      <c r="A315" s="263">
        <f t="shared" si="3"/>
        <v>314</v>
      </c>
      <c r="B315" s="442" t="s">
        <v>2452</v>
      </c>
      <c r="C315" s="506" t="s">
        <v>275</v>
      </c>
      <c r="D315" s="506">
        <v>1</v>
      </c>
      <c r="E315" s="507" t="s">
        <v>1097</v>
      </c>
      <c r="F315" s="442" t="s">
        <v>3133</v>
      </c>
      <c r="G315" s="442"/>
      <c r="H315" s="508" t="s">
        <v>2964</v>
      </c>
      <c r="I315" s="442" t="s">
        <v>3122</v>
      </c>
      <c r="J315" s="507" t="s">
        <v>3325</v>
      </c>
      <c r="K315" s="507" t="s">
        <v>1099</v>
      </c>
      <c r="L315" s="442" t="s">
        <v>1101</v>
      </c>
      <c r="M315" s="499" t="s">
        <v>32</v>
      </c>
      <c r="N315" s="441"/>
      <c r="O315" s="242"/>
      <c r="P315" s="242"/>
      <c r="Q315" s="442"/>
    </row>
    <row r="316" spans="1:17" s="443" customFormat="1">
      <c r="A316" s="263">
        <f t="shared" si="3"/>
        <v>315</v>
      </c>
      <c r="B316" s="442" t="s">
        <v>2453</v>
      </c>
      <c r="C316" s="506" t="s">
        <v>275</v>
      </c>
      <c r="D316" s="506">
        <v>1</v>
      </c>
      <c r="E316" s="507" t="s">
        <v>1100</v>
      </c>
      <c r="F316" s="442" t="s">
        <v>3133</v>
      </c>
      <c r="G316" s="442"/>
      <c r="H316" s="508" t="s">
        <v>2964</v>
      </c>
      <c r="I316" s="442" t="s">
        <v>3122</v>
      </c>
      <c r="J316" s="507" t="s">
        <v>3325</v>
      </c>
      <c r="K316" s="507" t="s">
        <v>1102</v>
      </c>
      <c r="L316" s="442" t="s">
        <v>1104</v>
      </c>
      <c r="M316" s="499" t="s">
        <v>32</v>
      </c>
      <c r="N316" s="441"/>
      <c r="O316" s="242"/>
      <c r="P316" s="242"/>
      <c r="Q316" s="442"/>
    </row>
    <row r="317" spans="1:17" s="443" customFormat="1">
      <c r="A317" s="263">
        <f t="shared" si="3"/>
        <v>316</v>
      </c>
      <c r="B317" s="442" t="s">
        <v>2454</v>
      </c>
      <c r="C317" s="506" t="s">
        <v>275</v>
      </c>
      <c r="D317" s="506">
        <v>1</v>
      </c>
      <c r="E317" s="507" t="s">
        <v>1103</v>
      </c>
      <c r="F317" s="442" t="s">
        <v>3133</v>
      </c>
      <c r="G317" s="442"/>
      <c r="H317" s="508" t="s">
        <v>2964</v>
      </c>
      <c r="I317" s="442" t="s">
        <v>3122</v>
      </c>
      <c r="J317" s="507" t="s">
        <v>3325</v>
      </c>
      <c r="K317" s="507" t="s">
        <v>1105</v>
      </c>
      <c r="L317" s="442" t="s">
        <v>1107</v>
      </c>
      <c r="M317" s="499" t="s">
        <v>32</v>
      </c>
      <c r="N317" s="441"/>
      <c r="O317" s="242"/>
      <c r="P317" s="242"/>
      <c r="Q317" s="442"/>
    </row>
    <row r="318" spans="1:17" s="443" customFormat="1">
      <c r="A318" s="263">
        <f t="shared" si="3"/>
        <v>317</v>
      </c>
      <c r="B318" s="442" t="s">
        <v>2455</v>
      </c>
      <c r="C318" s="506" t="s">
        <v>275</v>
      </c>
      <c r="D318" s="506">
        <v>1</v>
      </c>
      <c r="E318" s="507" t="s">
        <v>1106</v>
      </c>
      <c r="F318" s="442" t="s">
        <v>3133</v>
      </c>
      <c r="G318" s="442"/>
      <c r="H318" s="508" t="s">
        <v>2964</v>
      </c>
      <c r="I318" s="442" t="s">
        <v>3122</v>
      </c>
      <c r="J318" s="507" t="s">
        <v>3325</v>
      </c>
      <c r="K318" s="507" t="s">
        <v>1108</v>
      </c>
      <c r="L318" s="442" t="s">
        <v>1110</v>
      </c>
      <c r="M318" s="499" t="s">
        <v>32</v>
      </c>
      <c r="N318" s="441"/>
      <c r="O318" s="242"/>
      <c r="P318" s="242"/>
      <c r="Q318" s="442"/>
    </row>
    <row r="319" spans="1:17" s="443" customFormat="1">
      <c r="A319" s="263">
        <f t="shared" si="3"/>
        <v>318</v>
      </c>
      <c r="B319" s="442" t="s">
        <v>2456</v>
      </c>
      <c r="C319" s="506" t="s">
        <v>275</v>
      </c>
      <c r="D319" s="506">
        <v>1</v>
      </c>
      <c r="E319" s="507" t="s">
        <v>1109</v>
      </c>
      <c r="F319" s="442" t="s">
        <v>3133</v>
      </c>
      <c r="G319" s="442"/>
      <c r="H319" s="508" t="s">
        <v>2964</v>
      </c>
      <c r="I319" s="442" t="s">
        <v>3122</v>
      </c>
      <c r="J319" s="507" t="s">
        <v>3325</v>
      </c>
      <c r="K319" s="507" t="s">
        <v>1111</v>
      </c>
      <c r="L319" s="442" t="s">
        <v>1113</v>
      </c>
      <c r="M319" s="499" t="s">
        <v>32</v>
      </c>
      <c r="N319" s="441"/>
      <c r="O319" s="242"/>
      <c r="P319" s="242"/>
      <c r="Q319" s="442"/>
    </row>
    <row r="320" spans="1:17" s="443" customFormat="1">
      <c r="A320" s="263">
        <f t="shared" si="3"/>
        <v>319</v>
      </c>
      <c r="B320" s="442" t="s">
        <v>2457</v>
      </c>
      <c r="C320" s="506" t="s">
        <v>275</v>
      </c>
      <c r="D320" s="506">
        <v>1</v>
      </c>
      <c r="E320" s="507" t="s">
        <v>1112</v>
      </c>
      <c r="F320" s="442" t="s">
        <v>3133</v>
      </c>
      <c r="G320" s="442"/>
      <c r="H320" s="508" t="s">
        <v>2964</v>
      </c>
      <c r="I320" s="442" t="s">
        <v>3122</v>
      </c>
      <c r="J320" s="507" t="s">
        <v>3325</v>
      </c>
      <c r="K320" s="507" t="s">
        <v>1114</v>
      </c>
      <c r="L320" s="442" t="s">
        <v>1116</v>
      </c>
      <c r="M320" s="499" t="s">
        <v>32</v>
      </c>
      <c r="N320" s="441"/>
      <c r="O320" s="242"/>
      <c r="P320" s="242"/>
      <c r="Q320" s="442"/>
    </row>
    <row r="321" spans="1:17" s="443" customFormat="1">
      <c r="A321" s="263">
        <f t="shared" si="3"/>
        <v>320</v>
      </c>
      <c r="B321" s="442" t="s">
        <v>2458</v>
      </c>
      <c r="C321" s="506" t="s">
        <v>275</v>
      </c>
      <c r="D321" s="506">
        <v>1</v>
      </c>
      <c r="E321" s="507" t="s">
        <v>1115</v>
      </c>
      <c r="F321" s="442" t="s">
        <v>3133</v>
      </c>
      <c r="G321" s="442"/>
      <c r="H321" s="508" t="s">
        <v>2964</v>
      </c>
      <c r="I321" s="442" t="s">
        <v>3122</v>
      </c>
      <c r="J321" s="507" t="s">
        <v>3325</v>
      </c>
      <c r="K321" s="507" t="s">
        <v>1117</v>
      </c>
      <c r="L321" s="442" t="s">
        <v>1119</v>
      </c>
      <c r="M321" s="499" t="s">
        <v>32</v>
      </c>
      <c r="N321" s="441"/>
      <c r="O321" s="242"/>
      <c r="P321" s="242"/>
      <c r="Q321" s="442"/>
    </row>
    <row r="322" spans="1:17" s="443" customFormat="1">
      <c r="A322" s="263">
        <f t="shared" si="3"/>
        <v>321</v>
      </c>
      <c r="B322" s="442" t="s">
        <v>2459</v>
      </c>
      <c r="C322" s="506" t="s">
        <v>275</v>
      </c>
      <c r="D322" s="506">
        <v>1</v>
      </c>
      <c r="E322" s="507" t="s">
        <v>1118</v>
      </c>
      <c r="F322" s="442" t="s">
        <v>3133</v>
      </c>
      <c r="G322" s="442"/>
      <c r="H322" s="508" t="s">
        <v>2964</v>
      </c>
      <c r="I322" s="442" t="s">
        <v>3122</v>
      </c>
      <c r="J322" s="507" t="s">
        <v>3325</v>
      </c>
      <c r="K322" s="507" t="s">
        <v>1120</v>
      </c>
      <c r="L322" s="442" t="s">
        <v>1122</v>
      </c>
      <c r="M322" s="499" t="s">
        <v>32</v>
      </c>
      <c r="N322" s="441"/>
      <c r="O322" s="242"/>
      <c r="P322" s="242"/>
      <c r="Q322" s="442"/>
    </row>
    <row r="323" spans="1:17" s="443" customFormat="1">
      <c r="A323" s="263">
        <f t="shared" si="3"/>
        <v>322</v>
      </c>
      <c r="B323" s="442" t="s">
        <v>2460</v>
      </c>
      <c r="C323" s="506" t="s">
        <v>275</v>
      </c>
      <c r="D323" s="506">
        <v>1</v>
      </c>
      <c r="E323" s="507" t="s">
        <v>1121</v>
      </c>
      <c r="F323" s="442" t="s">
        <v>3133</v>
      </c>
      <c r="G323" s="442"/>
      <c r="H323" s="508" t="s">
        <v>2964</v>
      </c>
      <c r="I323" s="442" t="s">
        <v>3122</v>
      </c>
      <c r="J323" s="507" t="s">
        <v>3325</v>
      </c>
      <c r="K323" s="507" t="s">
        <v>1123</v>
      </c>
      <c r="L323" s="442" t="s">
        <v>1125</v>
      </c>
      <c r="M323" s="499" t="s">
        <v>32</v>
      </c>
      <c r="N323" s="441"/>
      <c r="O323" s="242"/>
      <c r="P323" s="242"/>
      <c r="Q323" s="442"/>
    </row>
    <row r="324" spans="1:17" s="443" customFormat="1">
      <c r="A324" s="263">
        <f t="shared" si="3"/>
        <v>323</v>
      </c>
      <c r="B324" s="442" t="s">
        <v>2461</v>
      </c>
      <c r="C324" s="506" t="s">
        <v>275</v>
      </c>
      <c r="D324" s="506">
        <v>1</v>
      </c>
      <c r="E324" s="507" t="s">
        <v>1124</v>
      </c>
      <c r="F324" s="442" t="s">
        <v>3133</v>
      </c>
      <c r="G324" s="442"/>
      <c r="H324" s="508" t="s">
        <v>2964</v>
      </c>
      <c r="I324" s="442" t="s">
        <v>3122</v>
      </c>
      <c r="J324" s="507" t="s">
        <v>3325</v>
      </c>
      <c r="K324" s="507" t="s">
        <v>1126</v>
      </c>
      <c r="L324" s="442" t="s">
        <v>1128</v>
      </c>
      <c r="M324" s="499" t="s">
        <v>32</v>
      </c>
      <c r="N324" s="441"/>
      <c r="O324" s="242"/>
      <c r="P324" s="242"/>
      <c r="Q324" s="442"/>
    </row>
    <row r="325" spans="1:17" s="443" customFormat="1">
      <c r="A325" s="263">
        <f t="shared" si="3"/>
        <v>324</v>
      </c>
      <c r="B325" s="442" t="s">
        <v>2462</v>
      </c>
      <c r="C325" s="506" t="s">
        <v>275</v>
      </c>
      <c r="D325" s="506">
        <v>1</v>
      </c>
      <c r="E325" s="507" t="s">
        <v>1127</v>
      </c>
      <c r="F325" s="442" t="s">
        <v>3133</v>
      </c>
      <c r="G325" s="442"/>
      <c r="H325" s="508" t="s">
        <v>2964</v>
      </c>
      <c r="I325" s="442" t="s">
        <v>3122</v>
      </c>
      <c r="J325" s="507" t="s">
        <v>3325</v>
      </c>
      <c r="K325" s="507" t="s">
        <v>1129</v>
      </c>
      <c r="L325" s="442" t="s">
        <v>1131</v>
      </c>
      <c r="M325" s="499" t="s">
        <v>32</v>
      </c>
      <c r="N325" s="441"/>
      <c r="O325" s="242"/>
      <c r="P325" s="242"/>
      <c r="Q325" s="442"/>
    </row>
    <row r="326" spans="1:17" s="443" customFormat="1">
      <c r="A326" s="263">
        <f t="shared" si="3"/>
        <v>325</v>
      </c>
      <c r="B326" s="442" t="s">
        <v>2463</v>
      </c>
      <c r="C326" s="506" t="s">
        <v>275</v>
      </c>
      <c r="D326" s="506">
        <v>1</v>
      </c>
      <c r="E326" s="507" t="s">
        <v>1130</v>
      </c>
      <c r="F326" s="442" t="s">
        <v>3133</v>
      </c>
      <c r="G326" s="442"/>
      <c r="H326" s="508" t="s">
        <v>2964</v>
      </c>
      <c r="I326" s="442" t="s">
        <v>3122</v>
      </c>
      <c r="J326" s="507" t="s">
        <v>3325</v>
      </c>
      <c r="K326" s="507" t="s">
        <v>1132</v>
      </c>
      <c r="L326" s="442" t="s">
        <v>1134</v>
      </c>
      <c r="M326" s="499" t="s">
        <v>32</v>
      </c>
      <c r="N326" s="441"/>
      <c r="O326" s="242"/>
      <c r="P326" s="242"/>
      <c r="Q326" s="442"/>
    </row>
    <row r="327" spans="1:17" s="443" customFormat="1">
      <c r="A327" s="263">
        <f t="shared" si="3"/>
        <v>326</v>
      </c>
      <c r="B327" s="442" t="s">
        <v>2464</v>
      </c>
      <c r="C327" s="506" t="s">
        <v>275</v>
      </c>
      <c r="D327" s="506">
        <v>1</v>
      </c>
      <c r="E327" s="507" t="s">
        <v>1133</v>
      </c>
      <c r="F327" s="442" t="s">
        <v>3133</v>
      </c>
      <c r="G327" s="442"/>
      <c r="H327" s="508" t="s">
        <v>2964</v>
      </c>
      <c r="I327" s="442" t="s">
        <v>3122</v>
      </c>
      <c r="J327" s="507" t="s">
        <v>3325</v>
      </c>
      <c r="K327" s="507" t="s">
        <v>1135</v>
      </c>
      <c r="L327" s="442" t="s">
        <v>1137</v>
      </c>
      <c r="M327" s="499" t="s">
        <v>32</v>
      </c>
      <c r="N327" s="441"/>
      <c r="O327" s="242"/>
      <c r="P327" s="242"/>
      <c r="Q327" s="442"/>
    </row>
    <row r="328" spans="1:17" s="443" customFormat="1">
      <c r="A328" s="263">
        <f t="shared" si="3"/>
        <v>327</v>
      </c>
      <c r="B328" s="442" t="s">
        <v>2465</v>
      </c>
      <c r="C328" s="506" t="s">
        <v>275</v>
      </c>
      <c r="D328" s="506">
        <v>1</v>
      </c>
      <c r="E328" s="507" t="s">
        <v>1136</v>
      </c>
      <c r="F328" s="442" t="s">
        <v>3133</v>
      </c>
      <c r="G328" s="442"/>
      <c r="H328" s="508" t="s">
        <v>2964</v>
      </c>
      <c r="I328" s="442" t="s">
        <v>3122</v>
      </c>
      <c r="J328" s="507" t="s">
        <v>3325</v>
      </c>
      <c r="K328" s="507" t="s">
        <v>1138</v>
      </c>
      <c r="L328" s="442" t="s">
        <v>1140</v>
      </c>
      <c r="M328" s="499" t="s">
        <v>32</v>
      </c>
      <c r="N328" s="441"/>
      <c r="O328" s="242"/>
      <c r="P328" s="242"/>
      <c r="Q328" s="442"/>
    </row>
    <row r="329" spans="1:17" s="443" customFormat="1">
      <c r="A329" s="263">
        <f t="shared" si="3"/>
        <v>328</v>
      </c>
      <c r="B329" s="442" t="s">
        <v>2466</v>
      </c>
      <c r="C329" s="506" t="s">
        <v>275</v>
      </c>
      <c r="D329" s="506">
        <v>1</v>
      </c>
      <c r="E329" s="507" t="s">
        <v>1139</v>
      </c>
      <c r="F329" s="442" t="s">
        <v>3133</v>
      </c>
      <c r="G329" s="442"/>
      <c r="H329" s="508" t="s">
        <v>2964</v>
      </c>
      <c r="I329" s="442" t="s">
        <v>3122</v>
      </c>
      <c r="J329" s="507" t="s">
        <v>3325</v>
      </c>
      <c r="K329" s="507" t="s">
        <v>1141</v>
      </c>
      <c r="L329" s="442" t="s">
        <v>1143</v>
      </c>
      <c r="M329" s="499" t="s">
        <v>32</v>
      </c>
      <c r="N329" s="441"/>
      <c r="O329" s="242"/>
      <c r="P329" s="242"/>
      <c r="Q329" s="442"/>
    </row>
    <row r="330" spans="1:17" s="443" customFormat="1">
      <c r="A330" s="263">
        <f t="shared" si="3"/>
        <v>329</v>
      </c>
      <c r="B330" s="442" t="s">
        <v>2467</v>
      </c>
      <c r="C330" s="506" t="s">
        <v>275</v>
      </c>
      <c r="D330" s="506">
        <v>1</v>
      </c>
      <c r="E330" s="507" t="s">
        <v>1142</v>
      </c>
      <c r="F330" s="442" t="s">
        <v>3133</v>
      </c>
      <c r="G330" s="442"/>
      <c r="H330" s="508" t="s">
        <v>2964</v>
      </c>
      <c r="I330" s="442" t="s">
        <v>3122</v>
      </c>
      <c r="J330" s="507" t="s">
        <v>3325</v>
      </c>
      <c r="K330" s="507" t="s">
        <v>1144</v>
      </c>
      <c r="L330" s="442" t="s">
        <v>1146</v>
      </c>
      <c r="M330" s="499" t="s">
        <v>32</v>
      </c>
      <c r="N330" s="441"/>
      <c r="O330" s="242"/>
      <c r="P330" s="242"/>
      <c r="Q330" s="442"/>
    </row>
    <row r="331" spans="1:17" s="443" customFormat="1">
      <c r="A331" s="263">
        <f t="shared" si="3"/>
        <v>330</v>
      </c>
      <c r="B331" s="442" t="s">
        <v>2468</v>
      </c>
      <c r="C331" s="506" t="s">
        <v>275</v>
      </c>
      <c r="D331" s="506">
        <v>1</v>
      </c>
      <c r="E331" s="507" t="s">
        <v>1145</v>
      </c>
      <c r="F331" s="442" t="s">
        <v>3133</v>
      </c>
      <c r="G331" s="442"/>
      <c r="H331" s="508" t="s">
        <v>2964</v>
      </c>
      <c r="I331" s="442" t="s">
        <v>3122</v>
      </c>
      <c r="J331" s="507" t="s">
        <v>3325</v>
      </c>
      <c r="K331" s="507" t="s">
        <v>1147</v>
      </c>
      <c r="L331" s="442" t="s">
        <v>1149</v>
      </c>
      <c r="M331" s="499" t="s">
        <v>32</v>
      </c>
      <c r="N331" s="441"/>
      <c r="O331" s="242"/>
      <c r="P331" s="242"/>
      <c r="Q331" s="442"/>
    </row>
    <row r="332" spans="1:17" s="443" customFormat="1">
      <c r="A332" s="263">
        <f t="shared" si="3"/>
        <v>331</v>
      </c>
      <c r="B332" s="442" t="s">
        <v>2469</v>
      </c>
      <c r="C332" s="506" t="s">
        <v>275</v>
      </c>
      <c r="D332" s="506">
        <v>1</v>
      </c>
      <c r="E332" s="507" t="s">
        <v>1148</v>
      </c>
      <c r="F332" s="442" t="s">
        <v>3133</v>
      </c>
      <c r="G332" s="442"/>
      <c r="H332" s="508" t="s">
        <v>2964</v>
      </c>
      <c r="I332" s="442" t="s">
        <v>3122</v>
      </c>
      <c r="J332" s="507" t="s">
        <v>3325</v>
      </c>
      <c r="K332" s="507" t="s">
        <v>1150</v>
      </c>
      <c r="L332" s="442" t="s">
        <v>1152</v>
      </c>
      <c r="M332" s="499" t="s">
        <v>32</v>
      </c>
      <c r="N332" s="441"/>
      <c r="O332" s="242"/>
      <c r="P332" s="242"/>
      <c r="Q332" s="442"/>
    </row>
    <row r="333" spans="1:17" s="443" customFormat="1">
      <c r="A333" s="263">
        <f t="shared" si="3"/>
        <v>332</v>
      </c>
      <c r="B333" s="442" t="s">
        <v>2470</v>
      </c>
      <c r="C333" s="506" t="s">
        <v>275</v>
      </c>
      <c r="D333" s="506">
        <v>1</v>
      </c>
      <c r="E333" s="507" t="s">
        <v>1151</v>
      </c>
      <c r="F333" s="442" t="s">
        <v>3133</v>
      </c>
      <c r="G333" s="442"/>
      <c r="H333" s="508" t="s">
        <v>2964</v>
      </c>
      <c r="I333" s="442" t="s">
        <v>3122</v>
      </c>
      <c r="J333" s="507" t="s">
        <v>3325</v>
      </c>
      <c r="K333" s="507" t="s">
        <v>1153</v>
      </c>
      <c r="L333" s="442" t="s">
        <v>1155</v>
      </c>
      <c r="M333" s="499" t="s">
        <v>32</v>
      </c>
      <c r="N333" s="441"/>
      <c r="O333" s="242"/>
      <c r="P333" s="242"/>
      <c r="Q333" s="442"/>
    </row>
    <row r="334" spans="1:17" s="443" customFormat="1">
      <c r="A334" s="263">
        <f t="shared" si="3"/>
        <v>333</v>
      </c>
      <c r="B334" s="442" t="s">
        <v>2471</v>
      </c>
      <c r="C334" s="506" t="s">
        <v>275</v>
      </c>
      <c r="D334" s="506">
        <v>1</v>
      </c>
      <c r="E334" s="507" t="s">
        <v>1154</v>
      </c>
      <c r="F334" s="442" t="s">
        <v>3133</v>
      </c>
      <c r="G334" s="442"/>
      <c r="H334" s="508" t="s">
        <v>2964</v>
      </c>
      <c r="I334" s="442" t="s">
        <v>3122</v>
      </c>
      <c r="J334" s="507" t="s">
        <v>3325</v>
      </c>
      <c r="K334" s="507" t="s">
        <v>1156</v>
      </c>
      <c r="L334" s="442" t="s">
        <v>1158</v>
      </c>
      <c r="M334" s="499" t="s">
        <v>32</v>
      </c>
      <c r="N334" s="441"/>
      <c r="O334" s="242"/>
      <c r="P334" s="242"/>
      <c r="Q334" s="442"/>
    </row>
    <row r="335" spans="1:17" s="443" customFormat="1">
      <c r="A335" s="263">
        <f t="shared" si="3"/>
        <v>334</v>
      </c>
      <c r="B335" s="442" t="s">
        <v>2472</v>
      </c>
      <c r="C335" s="506" t="s">
        <v>275</v>
      </c>
      <c r="D335" s="506">
        <v>1</v>
      </c>
      <c r="E335" s="507" t="s">
        <v>1157</v>
      </c>
      <c r="F335" s="442" t="s">
        <v>3133</v>
      </c>
      <c r="G335" s="442"/>
      <c r="H335" s="508" t="s">
        <v>2964</v>
      </c>
      <c r="I335" s="442" t="s">
        <v>3122</v>
      </c>
      <c r="J335" s="507" t="s">
        <v>3325</v>
      </c>
      <c r="K335" s="507" t="s">
        <v>1159</v>
      </c>
      <c r="L335" s="442" t="s">
        <v>1161</v>
      </c>
      <c r="M335" s="499" t="s">
        <v>32</v>
      </c>
      <c r="N335" s="441"/>
      <c r="O335" s="242"/>
      <c r="P335" s="242"/>
      <c r="Q335" s="442"/>
    </row>
    <row r="336" spans="1:17" s="443" customFormat="1">
      <c r="A336" s="263">
        <f t="shared" si="3"/>
        <v>335</v>
      </c>
      <c r="B336" s="442" t="s">
        <v>2473</v>
      </c>
      <c r="C336" s="506" t="s">
        <v>275</v>
      </c>
      <c r="D336" s="506">
        <v>1</v>
      </c>
      <c r="E336" s="507" t="s">
        <v>1160</v>
      </c>
      <c r="F336" s="442" t="s">
        <v>3133</v>
      </c>
      <c r="G336" s="442"/>
      <c r="H336" s="508" t="s">
        <v>2964</v>
      </c>
      <c r="I336" s="442" t="s">
        <v>3122</v>
      </c>
      <c r="J336" s="507" t="s">
        <v>3325</v>
      </c>
      <c r="K336" s="507" t="s">
        <v>3326</v>
      </c>
      <c r="L336" s="442" t="s">
        <v>1163</v>
      </c>
      <c r="M336" s="499" t="s">
        <v>32</v>
      </c>
      <c r="N336" s="441"/>
      <c r="O336" s="242"/>
      <c r="P336" s="242"/>
      <c r="Q336" s="442"/>
    </row>
    <row r="337" spans="1:17" s="443" customFormat="1">
      <c r="A337" s="263">
        <f t="shared" si="3"/>
        <v>336</v>
      </c>
      <c r="B337" s="442" t="s">
        <v>2474</v>
      </c>
      <c r="C337" s="506" t="s">
        <v>275</v>
      </c>
      <c r="D337" s="506">
        <v>1</v>
      </c>
      <c r="E337" s="507" t="s">
        <v>1162</v>
      </c>
      <c r="F337" s="442" t="s">
        <v>3133</v>
      </c>
      <c r="G337" s="442"/>
      <c r="H337" s="508" t="s">
        <v>2964</v>
      </c>
      <c r="I337" s="442" t="s">
        <v>3122</v>
      </c>
      <c r="J337" s="507" t="s">
        <v>3325</v>
      </c>
      <c r="K337" s="507" t="s">
        <v>1164</v>
      </c>
      <c r="L337" s="442" t="s">
        <v>1166</v>
      </c>
      <c r="M337" s="499" t="s">
        <v>32</v>
      </c>
      <c r="N337" s="441"/>
      <c r="O337" s="242"/>
      <c r="P337" s="242"/>
      <c r="Q337" s="442"/>
    </row>
    <row r="338" spans="1:17" s="443" customFormat="1">
      <c r="A338" s="263">
        <f t="shared" si="3"/>
        <v>337</v>
      </c>
      <c r="B338" s="442" t="s">
        <v>2475</v>
      </c>
      <c r="C338" s="506" t="s">
        <v>275</v>
      </c>
      <c r="D338" s="506">
        <v>1</v>
      </c>
      <c r="E338" s="507" t="s">
        <v>1165</v>
      </c>
      <c r="F338" s="442" t="s">
        <v>3133</v>
      </c>
      <c r="G338" s="442"/>
      <c r="H338" s="508" t="s">
        <v>2964</v>
      </c>
      <c r="I338" s="442" t="s">
        <v>3122</v>
      </c>
      <c r="J338" s="507" t="s">
        <v>3325</v>
      </c>
      <c r="K338" s="507" t="s">
        <v>1167</v>
      </c>
      <c r="L338" s="442" t="s">
        <v>1169</v>
      </c>
      <c r="M338" s="499" t="s">
        <v>32</v>
      </c>
      <c r="N338" s="441"/>
      <c r="O338" s="242"/>
      <c r="P338" s="242"/>
      <c r="Q338" s="442"/>
    </row>
    <row r="339" spans="1:17" s="443" customFormat="1">
      <c r="A339" s="263">
        <f t="shared" si="3"/>
        <v>338</v>
      </c>
      <c r="B339" s="442" t="s">
        <v>2476</v>
      </c>
      <c r="C339" s="506" t="s">
        <v>275</v>
      </c>
      <c r="D339" s="506">
        <v>1</v>
      </c>
      <c r="E339" s="507" t="s">
        <v>1168</v>
      </c>
      <c r="F339" s="442" t="s">
        <v>3133</v>
      </c>
      <c r="G339" s="442"/>
      <c r="H339" s="508" t="s">
        <v>2964</v>
      </c>
      <c r="I339" s="442" t="s">
        <v>3122</v>
      </c>
      <c r="J339" s="507" t="s">
        <v>3325</v>
      </c>
      <c r="K339" s="507" t="s">
        <v>1170</v>
      </c>
      <c r="L339" s="442" t="s">
        <v>1172</v>
      </c>
      <c r="M339" s="499" t="s">
        <v>32</v>
      </c>
      <c r="N339" s="441"/>
      <c r="O339" s="242"/>
      <c r="P339" s="242"/>
      <c r="Q339" s="442"/>
    </row>
    <row r="340" spans="1:17" s="443" customFormat="1">
      <c r="A340" s="263">
        <f t="shared" si="3"/>
        <v>339</v>
      </c>
      <c r="B340" s="442" t="s">
        <v>2477</v>
      </c>
      <c r="C340" s="506" t="s">
        <v>275</v>
      </c>
      <c r="D340" s="506">
        <v>1</v>
      </c>
      <c r="E340" s="507" t="s">
        <v>1171</v>
      </c>
      <c r="F340" s="442" t="s">
        <v>3133</v>
      </c>
      <c r="G340" s="442"/>
      <c r="H340" s="508" t="s">
        <v>2964</v>
      </c>
      <c r="I340" s="442" t="s">
        <v>3122</v>
      </c>
      <c r="J340" s="507" t="s">
        <v>3325</v>
      </c>
      <c r="K340" s="507" t="s">
        <v>1173</v>
      </c>
      <c r="L340" s="442" t="s">
        <v>1175</v>
      </c>
      <c r="M340" s="499" t="s">
        <v>32</v>
      </c>
      <c r="N340" s="441"/>
      <c r="O340" s="242"/>
      <c r="P340" s="242"/>
      <c r="Q340" s="442"/>
    </row>
    <row r="341" spans="1:17" s="443" customFormat="1">
      <c r="A341" s="263">
        <f t="shared" si="3"/>
        <v>340</v>
      </c>
      <c r="B341" s="442" t="s">
        <v>2478</v>
      </c>
      <c r="C341" s="506" t="s">
        <v>275</v>
      </c>
      <c r="D341" s="506">
        <v>1</v>
      </c>
      <c r="E341" s="507" t="s">
        <v>1174</v>
      </c>
      <c r="F341" s="442" t="s">
        <v>3133</v>
      </c>
      <c r="G341" s="442"/>
      <c r="H341" s="508" t="s">
        <v>2964</v>
      </c>
      <c r="I341" s="442" t="s">
        <v>3122</v>
      </c>
      <c r="J341" s="507" t="s">
        <v>3325</v>
      </c>
      <c r="K341" s="507" t="s">
        <v>1176</v>
      </c>
      <c r="L341" s="442" t="s">
        <v>1178</v>
      </c>
      <c r="M341" s="499" t="s">
        <v>32</v>
      </c>
      <c r="N341" s="441"/>
      <c r="O341" s="242"/>
      <c r="P341" s="242"/>
      <c r="Q341" s="442"/>
    </row>
    <row r="342" spans="1:17" s="443" customFormat="1">
      <c r="A342" s="263">
        <f t="shared" si="3"/>
        <v>341</v>
      </c>
      <c r="B342" s="442" t="s">
        <v>2479</v>
      </c>
      <c r="C342" s="506" t="s">
        <v>275</v>
      </c>
      <c r="D342" s="506">
        <v>1</v>
      </c>
      <c r="E342" s="507" t="s">
        <v>1177</v>
      </c>
      <c r="F342" s="442" t="s">
        <v>3133</v>
      </c>
      <c r="G342" s="442"/>
      <c r="H342" s="508" t="s">
        <v>2964</v>
      </c>
      <c r="I342" s="442" t="s">
        <v>3122</v>
      </c>
      <c r="J342" s="507" t="s">
        <v>3325</v>
      </c>
      <c r="K342" s="507" t="s">
        <v>1179</v>
      </c>
      <c r="L342" s="442" t="s">
        <v>1181</v>
      </c>
      <c r="M342" s="499" t="s">
        <v>32</v>
      </c>
      <c r="N342" s="441"/>
      <c r="O342" s="242"/>
      <c r="P342" s="242"/>
      <c r="Q342" s="442"/>
    </row>
    <row r="343" spans="1:17" s="443" customFormat="1">
      <c r="A343" s="263">
        <f t="shared" si="3"/>
        <v>342</v>
      </c>
      <c r="B343" s="442" t="s">
        <v>2480</v>
      </c>
      <c r="C343" s="506" t="s">
        <v>275</v>
      </c>
      <c r="D343" s="506">
        <v>1</v>
      </c>
      <c r="E343" s="507" t="s">
        <v>1180</v>
      </c>
      <c r="F343" s="442" t="s">
        <v>3133</v>
      </c>
      <c r="G343" s="442"/>
      <c r="H343" s="508" t="s">
        <v>2964</v>
      </c>
      <c r="I343" s="442" t="s">
        <v>3122</v>
      </c>
      <c r="J343" s="507" t="s">
        <v>3325</v>
      </c>
      <c r="K343" s="507" t="s">
        <v>1182</v>
      </c>
      <c r="L343" s="442" t="s">
        <v>1184</v>
      </c>
      <c r="M343" s="499" t="s">
        <v>3119</v>
      </c>
      <c r="N343" s="441"/>
      <c r="O343" s="242"/>
      <c r="P343" s="242"/>
      <c r="Q343" s="442"/>
    </row>
    <row r="344" spans="1:17" s="443" customFormat="1">
      <c r="A344" s="263">
        <f t="shared" si="3"/>
        <v>343</v>
      </c>
      <c r="B344" s="442" t="s">
        <v>2481</v>
      </c>
      <c r="C344" s="506" t="s">
        <v>275</v>
      </c>
      <c r="D344" s="506">
        <v>1</v>
      </c>
      <c r="E344" s="507" t="s">
        <v>1183</v>
      </c>
      <c r="F344" s="442" t="s">
        <v>3133</v>
      </c>
      <c r="G344" s="442"/>
      <c r="H344" s="508" t="s">
        <v>3331</v>
      </c>
      <c r="I344" s="442" t="s">
        <v>3123</v>
      </c>
      <c r="J344" s="507" t="s">
        <v>3341</v>
      </c>
      <c r="K344" s="507" t="s">
        <v>1185</v>
      </c>
      <c r="L344" s="442" t="s">
        <v>1187</v>
      </c>
      <c r="M344" s="499" t="s">
        <v>3119</v>
      </c>
      <c r="N344" s="441"/>
      <c r="O344" s="242"/>
      <c r="P344" s="242"/>
      <c r="Q344" s="442"/>
    </row>
    <row r="345" spans="1:17" s="443" customFormat="1">
      <c r="A345" s="263">
        <f t="shared" si="3"/>
        <v>344</v>
      </c>
      <c r="B345" s="442" t="s">
        <v>2482</v>
      </c>
      <c r="C345" s="506" t="s">
        <v>275</v>
      </c>
      <c r="D345" s="506">
        <v>1</v>
      </c>
      <c r="E345" s="507" t="s">
        <v>1186</v>
      </c>
      <c r="F345" s="442" t="s">
        <v>3133</v>
      </c>
      <c r="G345" s="442"/>
      <c r="H345" s="508" t="s">
        <v>2965</v>
      </c>
      <c r="I345" s="442" t="s">
        <v>3123</v>
      </c>
      <c r="J345" s="507" t="s">
        <v>3341</v>
      </c>
      <c r="K345" s="507" t="s">
        <v>1188</v>
      </c>
      <c r="L345" s="442" t="s">
        <v>1190</v>
      </c>
      <c r="M345" s="499" t="s">
        <v>3119</v>
      </c>
      <c r="N345" s="441"/>
      <c r="O345" s="242"/>
      <c r="P345" s="242"/>
      <c r="Q345" s="442"/>
    </row>
    <row r="346" spans="1:17" s="443" customFormat="1">
      <c r="A346" s="263">
        <f t="shared" si="3"/>
        <v>345</v>
      </c>
      <c r="B346" s="442" t="s">
        <v>2483</v>
      </c>
      <c r="C346" s="506" t="s">
        <v>275</v>
      </c>
      <c r="D346" s="506">
        <v>1</v>
      </c>
      <c r="E346" s="507" t="s">
        <v>1189</v>
      </c>
      <c r="F346" s="442" t="s">
        <v>3133</v>
      </c>
      <c r="G346" s="442"/>
      <c r="H346" s="508" t="s">
        <v>2965</v>
      </c>
      <c r="I346" s="442" t="s">
        <v>3123</v>
      </c>
      <c r="J346" s="507" t="s">
        <v>3341</v>
      </c>
      <c r="K346" s="507" t="s">
        <v>1191</v>
      </c>
      <c r="L346" s="442" t="s">
        <v>1193</v>
      </c>
      <c r="M346" s="499" t="s">
        <v>3119</v>
      </c>
      <c r="N346" s="441"/>
      <c r="O346" s="242"/>
      <c r="P346" s="242"/>
      <c r="Q346" s="442"/>
    </row>
    <row r="347" spans="1:17" s="443" customFormat="1">
      <c r="A347" s="263">
        <f t="shared" si="3"/>
        <v>346</v>
      </c>
      <c r="B347" s="442" t="s">
        <v>2484</v>
      </c>
      <c r="C347" s="506" t="s">
        <v>275</v>
      </c>
      <c r="D347" s="506">
        <v>1</v>
      </c>
      <c r="E347" s="507" t="s">
        <v>1192</v>
      </c>
      <c r="F347" s="442" t="s">
        <v>3133</v>
      </c>
      <c r="G347" s="442"/>
      <c r="H347" s="508" t="s">
        <v>2965</v>
      </c>
      <c r="I347" s="442" t="s">
        <v>3123</v>
      </c>
      <c r="J347" s="507" t="s">
        <v>3341</v>
      </c>
      <c r="K347" s="507" t="s">
        <v>1194</v>
      </c>
      <c r="L347" s="442" t="s">
        <v>1196</v>
      </c>
      <c r="M347" s="499" t="s">
        <v>3119</v>
      </c>
      <c r="N347" s="441"/>
      <c r="O347" s="242"/>
      <c r="P347" s="242"/>
      <c r="Q347" s="442"/>
    </row>
    <row r="348" spans="1:17" s="443" customFormat="1">
      <c r="A348" s="263">
        <f t="shared" si="3"/>
        <v>347</v>
      </c>
      <c r="B348" s="442" t="s">
        <v>2485</v>
      </c>
      <c r="C348" s="506" t="s">
        <v>275</v>
      </c>
      <c r="D348" s="506">
        <v>1</v>
      </c>
      <c r="E348" s="507" t="s">
        <v>1195</v>
      </c>
      <c r="F348" s="442" t="s">
        <v>3133</v>
      </c>
      <c r="G348" s="442"/>
      <c r="H348" s="508" t="s">
        <v>2965</v>
      </c>
      <c r="I348" s="442" t="s">
        <v>3123</v>
      </c>
      <c r="J348" s="507" t="s">
        <v>3341</v>
      </c>
      <c r="K348" s="507" t="s">
        <v>1197</v>
      </c>
      <c r="L348" s="442" t="s">
        <v>1199</v>
      </c>
      <c r="M348" s="499" t="s">
        <v>3119</v>
      </c>
      <c r="N348" s="441"/>
      <c r="O348" s="242"/>
      <c r="P348" s="242"/>
      <c r="Q348" s="442"/>
    </row>
    <row r="349" spans="1:17" s="443" customFormat="1">
      <c r="A349" s="263">
        <f t="shared" si="3"/>
        <v>348</v>
      </c>
      <c r="B349" s="442" t="s">
        <v>2486</v>
      </c>
      <c r="C349" s="506" t="s">
        <v>275</v>
      </c>
      <c r="D349" s="506">
        <v>1</v>
      </c>
      <c r="E349" s="507" t="s">
        <v>1198</v>
      </c>
      <c r="F349" s="442" t="s">
        <v>3133</v>
      </c>
      <c r="G349" s="442"/>
      <c r="H349" s="508" t="s">
        <v>2965</v>
      </c>
      <c r="I349" s="442" t="s">
        <v>3123</v>
      </c>
      <c r="J349" s="507" t="s">
        <v>3341</v>
      </c>
      <c r="K349" s="507" t="s">
        <v>1200</v>
      </c>
      <c r="L349" s="442" t="s">
        <v>1202</v>
      </c>
      <c r="M349" s="499" t="s">
        <v>3119</v>
      </c>
      <c r="N349" s="441"/>
      <c r="O349" s="242"/>
      <c r="P349" s="242"/>
      <c r="Q349" s="442"/>
    </row>
    <row r="350" spans="1:17" s="443" customFormat="1">
      <c r="A350" s="263">
        <f t="shared" si="3"/>
        <v>349</v>
      </c>
      <c r="B350" s="442" t="s">
        <v>2487</v>
      </c>
      <c r="C350" s="506" t="s">
        <v>275</v>
      </c>
      <c r="D350" s="506">
        <v>1</v>
      </c>
      <c r="E350" s="507" t="s">
        <v>1201</v>
      </c>
      <c r="F350" s="442" t="s">
        <v>3133</v>
      </c>
      <c r="G350" s="442"/>
      <c r="H350" s="508" t="s">
        <v>2965</v>
      </c>
      <c r="I350" s="442" t="s">
        <v>3123</v>
      </c>
      <c r="J350" s="507" t="s">
        <v>3341</v>
      </c>
      <c r="K350" s="507" t="s">
        <v>1203</v>
      </c>
      <c r="L350" s="442" t="s">
        <v>1205</v>
      </c>
      <c r="M350" s="499" t="s">
        <v>3119</v>
      </c>
      <c r="N350" s="441"/>
      <c r="O350" s="242"/>
      <c r="P350" s="242"/>
      <c r="Q350" s="442"/>
    </row>
    <row r="351" spans="1:17" s="443" customFormat="1">
      <c r="A351" s="263">
        <f t="shared" si="3"/>
        <v>350</v>
      </c>
      <c r="B351" s="442" t="s">
        <v>2488</v>
      </c>
      <c r="C351" s="506" t="s">
        <v>275</v>
      </c>
      <c r="D351" s="506">
        <v>1</v>
      </c>
      <c r="E351" s="507" t="s">
        <v>1204</v>
      </c>
      <c r="F351" s="442" t="s">
        <v>3133</v>
      </c>
      <c r="G351" s="442"/>
      <c r="H351" s="508" t="s">
        <v>2965</v>
      </c>
      <c r="I351" s="442" t="s">
        <v>3123</v>
      </c>
      <c r="J351" s="507" t="s">
        <v>3341</v>
      </c>
      <c r="K351" s="507" t="s">
        <v>1206</v>
      </c>
      <c r="L351" s="442" t="s">
        <v>1208</v>
      </c>
      <c r="M351" s="499" t="s">
        <v>3119</v>
      </c>
      <c r="N351" s="441"/>
      <c r="O351" s="242"/>
      <c r="P351" s="242"/>
      <c r="Q351" s="442"/>
    </row>
    <row r="352" spans="1:17" s="443" customFormat="1">
      <c r="A352" s="263">
        <f t="shared" si="3"/>
        <v>351</v>
      </c>
      <c r="B352" s="442" t="s">
        <v>2489</v>
      </c>
      <c r="C352" s="506" t="s">
        <v>275</v>
      </c>
      <c r="D352" s="506">
        <v>1</v>
      </c>
      <c r="E352" s="507" t="s">
        <v>1207</v>
      </c>
      <c r="F352" s="442" t="s">
        <v>3133</v>
      </c>
      <c r="G352" s="442"/>
      <c r="H352" s="508" t="s">
        <v>2965</v>
      </c>
      <c r="I352" s="442" t="s">
        <v>3123</v>
      </c>
      <c r="J352" s="507" t="s">
        <v>3341</v>
      </c>
      <c r="K352" s="507" t="s">
        <v>1209</v>
      </c>
      <c r="L352" s="442" t="s">
        <v>1211</v>
      </c>
      <c r="M352" s="499" t="s">
        <v>3119</v>
      </c>
      <c r="N352" s="441"/>
      <c r="O352" s="242"/>
      <c r="P352" s="242"/>
      <c r="Q352" s="442"/>
    </row>
    <row r="353" spans="1:17" s="443" customFormat="1">
      <c r="A353" s="263">
        <f t="shared" si="3"/>
        <v>352</v>
      </c>
      <c r="B353" s="442" t="s">
        <v>2490</v>
      </c>
      <c r="C353" s="506" t="s">
        <v>275</v>
      </c>
      <c r="D353" s="506">
        <v>1</v>
      </c>
      <c r="E353" s="507" t="s">
        <v>1210</v>
      </c>
      <c r="F353" s="442" t="s">
        <v>3133</v>
      </c>
      <c r="G353" s="442"/>
      <c r="H353" s="508" t="s">
        <v>2965</v>
      </c>
      <c r="I353" s="442" t="s">
        <v>3123</v>
      </c>
      <c r="J353" s="507" t="s">
        <v>3341</v>
      </c>
      <c r="K353" s="507" t="s">
        <v>1212</v>
      </c>
      <c r="L353" s="442" t="s">
        <v>1214</v>
      </c>
      <c r="M353" s="499" t="s">
        <v>3119</v>
      </c>
      <c r="N353" s="441"/>
      <c r="O353" s="242"/>
      <c r="P353" s="242"/>
      <c r="Q353" s="442"/>
    </row>
    <row r="354" spans="1:17" s="443" customFormat="1">
      <c r="A354" s="263">
        <f t="shared" si="3"/>
        <v>353</v>
      </c>
      <c r="B354" s="442" t="s">
        <v>2491</v>
      </c>
      <c r="C354" s="506" t="s">
        <v>275</v>
      </c>
      <c r="D354" s="506">
        <v>1</v>
      </c>
      <c r="E354" s="507" t="s">
        <v>1213</v>
      </c>
      <c r="F354" s="442" t="s">
        <v>3133</v>
      </c>
      <c r="G354" s="442"/>
      <c r="H354" s="508" t="s">
        <v>2965</v>
      </c>
      <c r="I354" s="442" t="s">
        <v>3123</v>
      </c>
      <c r="J354" s="507" t="s">
        <v>3341</v>
      </c>
      <c r="K354" s="507" t="s">
        <v>1215</v>
      </c>
      <c r="L354" s="442" t="s">
        <v>1217</v>
      </c>
      <c r="M354" s="499" t="s">
        <v>3119</v>
      </c>
      <c r="N354" s="441"/>
      <c r="O354" s="242"/>
      <c r="P354" s="242"/>
      <c r="Q354" s="442"/>
    </row>
    <row r="355" spans="1:17" s="443" customFormat="1">
      <c r="A355" s="263">
        <f t="shared" si="3"/>
        <v>354</v>
      </c>
      <c r="B355" s="442" t="s">
        <v>2492</v>
      </c>
      <c r="C355" s="506" t="s">
        <v>275</v>
      </c>
      <c r="D355" s="506">
        <v>1</v>
      </c>
      <c r="E355" s="507" t="s">
        <v>1216</v>
      </c>
      <c r="F355" s="442" t="s">
        <v>3133</v>
      </c>
      <c r="G355" s="442"/>
      <c r="H355" s="508" t="s">
        <v>2965</v>
      </c>
      <c r="I355" s="442" t="s">
        <v>3123</v>
      </c>
      <c r="J355" s="507" t="s">
        <v>3341</v>
      </c>
      <c r="K355" s="507" t="s">
        <v>1218</v>
      </c>
      <c r="L355" s="442" t="s">
        <v>1220</v>
      </c>
      <c r="M355" s="499" t="s">
        <v>3119</v>
      </c>
      <c r="N355" s="441"/>
      <c r="O355" s="242"/>
      <c r="P355" s="242"/>
      <c r="Q355" s="442"/>
    </row>
    <row r="356" spans="1:17" s="443" customFormat="1">
      <c r="A356" s="263">
        <f t="shared" si="3"/>
        <v>355</v>
      </c>
      <c r="B356" s="442" t="s">
        <v>2493</v>
      </c>
      <c r="C356" s="506" t="s">
        <v>275</v>
      </c>
      <c r="D356" s="506">
        <v>1</v>
      </c>
      <c r="E356" s="507" t="s">
        <v>1219</v>
      </c>
      <c r="F356" s="442" t="s">
        <v>3133</v>
      </c>
      <c r="G356" s="442"/>
      <c r="H356" s="508" t="s">
        <v>2965</v>
      </c>
      <c r="I356" s="442" t="s">
        <v>3123</v>
      </c>
      <c r="J356" s="507" t="s">
        <v>3341</v>
      </c>
      <c r="K356" s="507" t="s">
        <v>1221</v>
      </c>
      <c r="L356" s="442" t="s">
        <v>1223</v>
      </c>
      <c r="M356" s="499" t="s">
        <v>3119</v>
      </c>
      <c r="N356" s="441"/>
      <c r="O356" s="242"/>
      <c r="P356" s="242"/>
      <c r="Q356" s="442"/>
    </row>
    <row r="357" spans="1:17" s="443" customFormat="1">
      <c r="A357" s="263">
        <f t="shared" si="3"/>
        <v>356</v>
      </c>
      <c r="B357" s="442" t="s">
        <v>2494</v>
      </c>
      <c r="C357" s="506" t="s">
        <v>275</v>
      </c>
      <c r="D357" s="506">
        <v>1</v>
      </c>
      <c r="E357" s="507" t="s">
        <v>1222</v>
      </c>
      <c r="F357" s="442" t="s">
        <v>3133</v>
      </c>
      <c r="G357" s="442"/>
      <c r="H357" s="508" t="s">
        <v>2965</v>
      </c>
      <c r="I357" s="442" t="s">
        <v>3123</v>
      </c>
      <c r="J357" s="507" t="s">
        <v>3341</v>
      </c>
      <c r="K357" s="507" t="s">
        <v>1224</v>
      </c>
      <c r="L357" s="442" t="s">
        <v>1226</v>
      </c>
      <c r="M357" s="499" t="s">
        <v>3119</v>
      </c>
      <c r="N357" s="441"/>
      <c r="O357" s="242"/>
      <c r="P357" s="242"/>
      <c r="Q357" s="442"/>
    </row>
    <row r="358" spans="1:17" s="443" customFormat="1">
      <c r="A358" s="263">
        <f t="shared" si="3"/>
        <v>357</v>
      </c>
      <c r="B358" s="442" t="s">
        <v>2495</v>
      </c>
      <c r="C358" s="506" t="s">
        <v>275</v>
      </c>
      <c r="D358" s="506">
        <v>1</v>
      </c>
      <c r="E358" s="507" t="s">
        <v>1225</v>
      </c>
      <c r="F358" s="442" t="s">
        <v>3133</v>
      </c>
      <c r="G358" s="442"/>
      <c r="H358" s="508" t="s">
        <v>2965</v>
      </c>
      <c r="I358" s="442" t="s">
        <v>3123</v>
      </c>
      <c r="J358" s="507" t="s">
        <v>3341</v>
      </c>
      <c r="K358" s="507" t="s">
        <v>1227</v>
      </c>
      <c r="L358" s="442" t="s">
        <v>1229</v>
      </c>
      <c r="M358" s="499" t="s">
        <v>3119</v>
      </c>
      <c r="N358" s="441"/>
      <c r="O358" s="242"/>
      <c r="P358" s="242"/>
      <c r="Q358" s="442"/>
    </row>
    <row r="359" spans="1:17" s="443" customFormat="1">
      <c r="A359" s="263">
        <f t="shared" si="3"/>
        <v>358</v>
      </c>
      <c r="B359" s="442" t="s">
        <v>2496</v>
      </c>
      <c r="C359" s="506" t="s">
        <v>275</v>
      </c>
      <c r="D359" s="506">
        <v>1</v>
      </c>
      <c r="E359" s="507" t="s">
        <v>1228</v>
      </c>
      <c r="F359" s="442" t="s">
        <v>3133</v>
      </c>
      <c r="G359" s="442"/>
      <c r="H359" s="508" t="s">
        <v>2965</v>
      </c>
      <c r="I359" s="442" t="s">
        <v>3123</v>
      </c>
      <c r="J359" s="507" t="s">
        <v>3341</v>
      </c>
      <c r="K359" s="507" t="s">
        <v>1230</v>
      </c>
      <c r="L359" s="442" t="s">
        <v>1232</v>
      </c>
      <c r="M359" s="499" t="s">
        <v>3119</v>
      </c>
      <c r="N359" s="441"/>
      <c r="O359" s="242"/>
      <c r="P359" s="242"/>
      <c r="Q359" s="442"/>
    </row>
    <row r="360" spans="1:17" s="443" customFormat="1">
      <c r="A360" s="263">
        <f t="shared" si="3"/>
        <v>359</v>
      </c>
      <c r="B360" s="442" t="s">
        <v>2497</v>
      </c>
      <c r="C360" s="506" t="s">
        <v>275</v>
      </c>
      <c r="D360" s="506">
        <v>1</v>
      </c>
      <c r="E360" s="507" t="s">
        <v>1231</v>
      </c>
      <c r="F360" s="442" t="s">
        <v>3133</v>
      </c>
      <c r="G360" s="442"/>
      <c r="H360" s="508" t="s">
        <v>2965</v>
      </c>
      <c r="I360" s="442" t="s">
        <v>3123</v>
      </c>
      <c r="J360" s="507" t="s">
        <v>3341</v>
      </c>
      <c r="K360" s="507" t="s">
        <v>1233</v>
      </c>
      <c r="L360" s="442" t="s">
        <v>1235</v>
      </c>
      <c r="M360" s="499" t="s">
        <v>3119</v>
      </c>
      <c r="N360" s="441"/>
      <c r="O360" s="242"/>
      <c r="P360" s="242"/>
      <c r="Q360" s="442"/>
    </row>
    <row r="361" spans="1:17" s="443" customFormat="1">
      <c r="A361" s="263">
        <f t="shared" si="3"/>
        <v>360</v>
      </c>
      <c r="B361" s="442" t="s">
        <v>2498</v>
      </c>
      <c r="C361" s="506" t="s">
        <v>275</v>
      </c>
      <c r="D361" s="506">
        <v>1</v>
      </c>
      <c r="E361" s="507" t="s">
        <v>1234</v>
      </c>
      <c r="F361" s="442" t="s">
        <v>3133</v>
      </c>
      <c r="G361" s="442"/>
      <c r="H361" s="508" t="s">
        <v>2965</v>
      </c>
      <c r="I361" s="442" t="s">
        <v>3123</v>
      </c>
      <c r="J361" s="507" t="s">
        <v>3341</v>
      </c>
      <c r="K361" s="507" t="s">
        <v>1236</v>
      </c>
      <c r="L361" s="442" t="s">
        <v>1238</v>
      </c>
      <c r="M361" s="499" t="s">
        <v>3119</v>
      </c>
      <c r="N361" s="441"/>
      <c r="O361" s="242"/>
      <c r="P361" s="242"/>
      <c r="Q361" s="442"/>
    </row>
    <row r="362" spans="1:17" s="443" customFormat="1">
      <c r="A362" s="263">
        <f t="shared" si="3"/>
        <v>361</v>
      </c>
      <c r="B362" s="442" t="s">
        <v>2499</v>
      </c>
      <c r="C362" s="506" t="s">
        <v>275</v>
      </c>
      <c r="D362" s="506">
        <v>1</v>
      </c>
      <c r="E362" s="507" t="s">
        <v>1237</v>
      </c>
      <c r="F362" s="442" t="s">
        <v>3133</v>
      </c>
      <c r="G362" s="442"/>
      <c r="H362" s="508" t="s">
        <v>2965</v>
      </c>
      <c r="I362" s="442" t="s">
        <v>3123</v>
      </c>
      <c r="J362" s="507" t="s">
        <v>3341</v>
      </c>
      <c r="K362" s="507" t="s">
        <v>1239</v>
      </c>
      <c r="L362" s="442" t="s">
        <v>1241</v>
      </c>
      <c r="M362" s="499" t="s">
        <v>3119</v>
      </c>
      <c r="N362" s="441"/>
      <c r="O362" s="242"/>
      <c r="P362" s="242"/>
      <c r="Q362" s="442"/>
    </row>
    <row r="363" spans="1:17" s="443" customFormat="1">
      <c r="A363" s="263">
        <f t="shared" si="3"/>
        <v>362</v>
      </c>
      <c r="B363" s="442" t="s">
        <v>2500</v>
      </c>
      <c r="C363" s="506" t="s">
        <v>275</v>
      </c>
      <c r="D363" s="506">
        <v>1</v>
      </c>
      <c r="E363" s="507" t="s">
        <v>1240</v>
      </c>
      <c r="F363" s="442" t="s">
        <v>3133</v>
      </c>
      <c r="G363" s="442"/>
      <c r="H363" s="508" t="s">
        <v>2965</v>
      </c>
      <c r="I363" s="442" t="s">
        <v>3123</v>
      </c>
      <c r="J363" s="507" t="s">
        <v>3341</v>
      </c>
      <c r="K363" s="507" t="s">
        <v>1242</v>
      </c>
      <c r="L363" s="442" t="s">
        <v>1244</v>
      </c>
      <c r="M363" s="499" t="s">
        <v>3119</v>
      </c>
      <c r="N363" s="441"/>
      <c r="O363" s="242"/>
      <c r="P363" s="242"/>
      <c r="Q363" s="442"/>
    </row>
    <row r="364" spans="1:17" s="443" customFormat="1">
      <c r="A364" s="263">
        <f t="shared" si="3"/>
        <v>363</v>
      </c>
      <c r="B364" s="442" t="s">
        <v>2501</v>
      </c>
      <c r="C364" s="506" t="s">
        <v>275</v>
      </c>
      <c r="D364" s="506">
        <v>1</v>
      </c>
      <c r="E364" s="507" t="s">
        <v>1243</v>
      </c>
      <c r="F364" s="442" t="s">
        <v>3133</v>
      </c>
      <c r="G364" s="442"/>
      <c r="H364" s="508" t="s">
        <v>2965</v>
      </c>
      <c r="I364" s="442" t="s">
        <v>3123</v>
      </c>
      <c r="J364" s="507" t="s">
        <v>3341</v>
      </c>
      <c r="K364" s="507" t="s">
        <v>1245</v>
      </c>
      <c r="L364" s="442" t="s">
        <v>1247</v>
      </c>
      <c r="M364" s="499" t="s">
        <v>3119</v>
      </c>
      <c r="N364" s="441"/>
      <c r="O364" s="242"/>
      <c r="P364" s="242"/>
      <c r="Q364" s="442"/>
    </row>
    <row r="365" spans="1:17" s="443" customFormat="1">
      <c r="A365" s="263">
        <f t="shared" si="3"/>
        <v>364</v>
      </c>
      <c r="B365" s="442" t="s">
        <v>2502</v>
      </c>
      <c r="C365" s="506" t="s">
        <v>275</v>
      </c>
      <c r="D365" s="506">
        <v>1</v>
      </c>
      <c r="E365" s="507" t="s">
        <v>1246</v>
      </c>
      <c r="F365" s="442" t="s">
        <v>3133</v>
      </c>
      <c r="G365" s="442"/>
      <c r="H365" s="508" t="s">
        <v>2965</v>
      </c>
      <c r="I365" s="442" t="s">
        <v>3123</v>
      </c>
      <c r="J365" s="507" t="s">
        <v>3341</v>
      </c>
      <c r="K365" s="507" t="s">
        <v>1248</v>
      </c>
      <c r="L365" s="442" t="s">
        <v>1250</v>
      </c>
      <c r="M365" s="499" t="s">
        <v>3119</v>
      </c>
      <c r="N365" s="441"/>
      <c r="O365" s="242"/>
      <c r="P365" s="242"/>
      <c r="Q365" s="442"/>
    </row>
    <row r="366" spans="1:17" s="443" customFormat="1">
      <c r="A366" s="263">
        <f t="shared" si="3"/>
        <v>365</v>
      </c>
      <c r="B366" s="442" t="s">
        <v>2503</v>
      </c>
      <c r="C366" s="506" t="s">
        <v>275</v>
      </c>
      <c r="D366" s="506">
        <v>1</v>
      </c>
      <c r="E366" s="507" t="s">
        <v>1249</v>
      </c>
      <c r="F366" s="442" t="s">
        <v>3133</v>
      </c>
      <c r="G366" s="442"/>
      <c r="H366" s="508" t="s">
        <v>2965</v>
      </c>
      <c r="I366" s="442" t="s">
        <v>3123</v>
      </c>
      <c r="J366" s="507" t="s">
        <v>3341</v>
      </c>
      <c r="K366" s="507" t="s">
        <v>1251</v>
      </c>
      <c r="L366" s="442" t="s">
        <v>1253</v>
      </c>
      <c r="M366" s="499" t="s">
        <v>3119</v>
      </c>
      <c r="N366" s="441"/>
      <c r="O366" s="242"/>
      <c r="P366" s="242"/>
      <c r="Q366" s="442"/>
    </row>
    <row r="367" spans="1:17" s="443" customFormat="1">
      <c r="A367" s="263">
        <f t="shared" si="3"/>
        <v>366</v>
      </c>
      <c r="B367" s="442" t="s">
        <v>2504</v>
      </c>
      <c r="C367" s="506" t="s">
        <v>275</v>
      </c>
      <c r="D367" s="506">
        <v>1</v>
      </c>
      <c r="E367" s="507" t="s">
        <v>1252</v>
      </c>
      <c r="F367" s="442" t="s">
        <v>3133</v>
      </c>
      <c r="G367" s="442"/>
      <c r="H367" s="508" t="s">
        <v>2965</v>
      </c>
      <c r="I367" s="442" t="s">
        <v>3123</v>
      </c>
      <c r="J367" s="507" t="s">
        <v>3341</v>
      </c>
      <c r="K367" s="507" t="s">
        <v>1254</v>
      </c>
      <c r="L367" s="442" t="s">
        <v>1256</v>
      </c>
      <c r="M367" s="499" t="s">
        <v>3119</v>
      </c>
      <c r="N367" s="441"/>
      <c r="O367" s="242"/>
      <c r="P367" s="242"/>
      <c r="Q367" s="442"/>
    </row>
    <row r="368" spans="1:17" s="443" customFormat="1">
      <c r="A368" s="263">
        <f t="shared" si="3"/>
        <v>367</v>
      </c>
      <c r="B368" s="442" t="s">
        <v>2505</v>
      </c>
      <c r="C368" s="506" t="s">
        <v>275</v>
      </c>
      <c r="D368" s="506">
        <v>1</v>
      </c>
      <c r="E368" s="507" t="s">
        <v>1255</v>
      </c>
      <c r="F368" s="442" t="s">
        <v>3133</v>
      </c>
      <c r="G368" s="442"/>
      <c r="H368" s="508" t="s">
        <v>2965</v>
      </c>
      <c r="I368" s="442" t="s">
        <v>3123</v>
      </c>
      <c r="J368" s="507" t="s">
        <v>3341</v>
      </c>
      <c r="K368" s="507" t="s">
        <v>1257</v>
      </c>
      <c r="L368" s="442" t="s">
        <v>1259</v>
      </c>
      <c r="M368" s="499" t="s">
        <v>3119</v>
      </c>
      <c r="N368" s="441"/>
      <c r="O368" s="242"/>
      <c r="P368" s="242"/>
      <c r="Q368" s="442"/>
    </row>
    <row r="369" spans="1:17" s="443" customFormat="1">
      <c r="A369" s="263">
        <f t="shared" si="3"/>
        <v>368</v>
      </c>
      <c r="B369" s="442" t="s">
        <v>2506</v>
      </c>
      <c r="C369" s="506" t="s">
        <v>275</v>
      </c>
      <c r="D369" s="506">
        <v>1</v>
      </c>
      <c r="E369" s="507" t="s">
        <v>1258</v>
      </c>
      <c r="F369" s="442" t="s">
        <v>3133</v>
      </c>
      <c r="G369" s="442"/>
      <c r="H369" s="508" t="s">
        <v>2965</v>
      </c>
      <c r="I369" s="442" t="s">
        <v>3123</v>
      </c>
      <c r="J369" s="507" t="s">
        <v>3341</v>
      </c>
      <c r="K369" s="507" t="s">
        <v>3214</v>
      </c>
      <c r="L369" s="442" t="s">
        <v>1261</v>
      </c>
      <c r="M369" s="499" t="s">
        <v>3119</v>
      </c>
      <c r="N369" s="441"/>
      <c r="O369" s="242"/>
      <c r="P369" s="242"/>
      <c r="Q369" s="442"/>
    </row>
    <row r="370" spans="1:17" s="443" customFormat="1">
      <c r="A370" s="263">
        <f t="shared" si="3"/>
        <v>369</v>
      </c>
      <c r="B370" s="442" t="s">
        <v>2507</v>
      </c>
      <c r="C370" s="506" t="s">
        <v>275</v>
      </c>
      <c r="D370" s="506">
        <v>1</v>
      </c>
      <c r="E370" s="507" t="s">
        <v>1260</v>
      </c>
      <c r="F370" s="442" t="s">
        <v>3133</v>
      </c>
      <c r="G370" s="442"/>
      <c r="H370" s="508" t="s">
        <v>2965</v>
      </c>
      <c r="I370" s="442" t="s">
        <v>3123</v>
      </c>
      <c r="J370" s="507" t="s">
        <v>3341</v>
      </c>
      <c r="K370" s="507" t="s">
        <v>1262</v>
      </c>
      <c r="L370" s="442" t="s">
        <v>1264</v>
      </c>
      <c r="M370" s="499" t="s">
        <v>3119</v>
      </c>
      <c r="N370" s="441"/>
      <c r="O370" s="242"/>
      <c r="P370" s="242"/>
      <c r="Q370" s="442"/>
    </row>
    <row r="371" spans="1:17" s="443" customFormat="1">
      <c r="A371" s="263">
        <f t="shared" si="3"/>
        <v>370</v>
      </c>
      <c r="B371" s="442" t="s">
        <v>2508</v>
      </c>
      <c r="C371" s="506" t="s">
        <v>275</v>
      </c>
      <c r="D371" s="506">
        <v>1</v>
      </c>
      <c r="E371" s="507" t="s">
        <v>1263</v>
      </c>
      <c r="F371" s="442" t="s">
        <v>3133</v>
      </c>
      <c r="G371" s="442"/>
      <c r="H371" s="508" t="s">
        <v>2965</v>
      </c>
      <c r="I371" s="442" t="s">
        <v>3123</v>
      </c>
      <c r="J371" s="507" t="s">
        <v>3341</v>
      </c>
      <c r="K371" s="507" t="s">
        <v>1265</v>
      </c>
      <c r="L371" s="442" t="s">
        <v>1267</v>
      </c>
      <c r="M371" s="499" t="s">
        <v>3119</v>
      </c>
      <c r="N371" s="441"/>
      <c r="O371" s="242"/>
      <c r="P371" s="242"/>
      <c r="Q371" s="442"/>
    </row>
    <row r="372" spans="1:17" s="443" customFormat="1">
      <c r="A372" s="263">
        <f t="shared" si="3"/>
        <v>371</v>
      </c>
      <c r="B372" s="442" t="s">
        <v>2509</v>
      </c>
      <c r="C372" s="506" t="s">
        <v>275</v>
      </c>
      <c r="D372" s="506">
        <v>1</v>
      </c>
      <c r="E372" s="507" t="s">
        <v>1266</v>
      </c>
      <c r="F372" s="442" t="s">
        <v>3133</v>
      </c>
      <c r="G372" s="442"/>
      <c r="H372" s="508" t="s">
        <v>2965</v>
      </c>
      <c r="I372" s="442" t="s">
        <v>3123</v>
      </c>
      <c r="J372" s="507" t="s">
        <v>3341</v>
      </c>
      <c r="K372" s="507" t="s">
        <v>1268</v>
      </c>
      <c r="L372" s="442" t="s">
        <v>1270</v>
      </c>
      <c r="M372" s="499" t="s">
        <v>3119</v>
      </c>
      <c r="N372" s="441"/>
      <c r="O372" s="242"/>
      <c r="P372" s="242"/>
      <c r="Q372" s="442"/>
    </row>
    <row r="373" spans="1:17" s="443" customFormat="1">
      <c r="A373" s="263">
        <f t="shared" si="3"/>
        <v>372</v>
      </c>
      <c r="B373" s="442" t="s">
        <v>2510</v>
      </c>
      <c r="C373" s="506" t="s">
        <v>275</v>
      </c>
      <c r="D373" s="506">
        <v>1</v>
      </c>
      <c r="E373" s="507" t="s">
        <v>1269</v>
      </c>
      <c r="F373" s="442" t="s">
        <v>3133</v>
      </c>
      <c r="G373" s="442"/>
      <c r="H373" s="508" t="s">
        <v>2965</v>
      </c>
      <c r="I373" s="442" t="s">
        <v>3123</v>
      </c>
      <c r="J373" s="507" t="s">
        <v>3341</v>
      </c>
      <c r="K373" s="507" t="s">
        <v>3215</v>
      </c>
      <c r="L373" s="442" t="s">
        <v>1272</v>
      </c>
      <c r="M373" s="499" t="s">
        <v>3119</v>
      </c>
      <c r="N373" s="441"/>
      <c r="O373" s="242"/>
      <c r="P373" s="242"/>
      <c r="Q373" s="442"/>
    </row>
    <row r="374" spans="1:17" s="443" customFormat="1">
      <c r="A374" s="263">
        <f t="shared" si="3"/>
        <v>373</v>
      </c>
      <c r="B374" s="442" t="s">
        <v>2511</v>
      </c>
      <c r="C374" s="506" t="s">
        <v>275</v>
      </c>
      <c r="D374" s="506">
        <v>1</v>
      </c>
      <c r="E374" s="507" t="s">
        <v>1271</v>
      </c>
      <c r="F374" s="442" t="s">
        <v>3133</v>
      </c>
      <c r="G374" s="442"/>
      <c r="H374" s="508" t="s">
        <v>2965</v>
      </c>
      <c r="I374" s="442" t="s">
        <v>3123</v>
      </c>
      <c r="J374" s="507" t="s">
        <v>3341</v>
      </c>
      <c r="K374" s="507" t="s">
        <v>1273</v>
      </c>
      <c r="L374" s="442" t="s">
        <v>1275</v>
      </c>
      <c r="M374" s="499" t="s">
        <v>3119</v>
      </c>
      <c r="N374" s="441"/>
      <c r="O374" s="242"/>
      <c r="P374" s="242"/>
      <c r="Q374" s="442"/>
    </row>
    <row r="375" spans="1:17" s="443" customFormat="1">
      <c r="A375" s="263">
        <f t="shared" si="3"/>
        <v>374</v>
      </c>
      <c r="B375" s="442" t="s">
        <v>2512</v>
      </c>
      <c r="C375" s="506" t="s">
        <v>275</v>
      </c>
      <c r="D375" s="506">
        <v>1</v>
      </c>
      <c r="E375" s="507" t="s">
        <v>1274</v>
      </c>
      <c r="F375" s="442" t="s">
        <v>3133</v>
      </c>
      <c r="G375" s="442"/>
      <c r="H375" s="508" t="s">
        <v>2965</v>
      </c>
      <c r="I375" s="442" t="s">
        <v>3123</v>
      </c>
      <c r="J375" s="507" t="s">
        <v>3341</v>
      </c>
      <c r="K375" s="507" t="s">
        <v>1276</v>
      </c>
      <c r="L375" s="442" t="s">
        <v>1278</v>
      </c>
      <c r="M375" s="499" t="s">
        <v>3119</v>
      </c>
      <c r="N375" s="441"/>
      <c r="O375" s="242"/>
      <c r="P375" s="242"/>
      <c r="Q375" s="442"/>
    </row>
    <row r="376" spans="1:17" s="443" customFormat="1">
      <c r="A376" s="263">
        <f t="shared" si="3"/>
        <v>375</v>
      </c>
      <c r="B376" s="442" t="s">
        <v>2513</v>
      </c>
      <c r="C376" s="506" t="s">
        <v>275</v>
      </c>
      <c r="D376" s="506">
        <v>1</v>
      </c>
      <c r="E376" s="507" t="s">
        <v>1277</v>
      </c>
      <c r="F376" s="442" t="s">
        <v>3133</v>
      </c>
      <c r="G376" s="442"/>
      <c r="H376" s="508" t="s">
        <v>2965</v>
      </c>
      <c r="I376" s="442" t="s">
        <v>3123</v>
      </c>
      <c r="J376" s="507" t="s">
        <v>3341</v>
      </c>
      <c r="K376" s="507" t="s">
        <v>1279</v>
      </c>
      <c r="L376" s="442" t="s">
        <v>1281</v>
      </c>
      <c r="M376" s="499" t="s">
        <v>3119</v>
      </c>
      <c r="N376" s="441"/>
      <c r="O376" s="242"/>
      <c r="P376" s="242"/>
      <c r="Q376" s="442"/>
    </row>
    <row r="377" spans="1:17" s="443" customFormat="1">
      <c r="A377" s="263">
        <f t="shared" si="3"/>
        <v>376</v>
      </c>
      <c r="B377" s="442" t="s">
        <v>2514</v>
      </c>
      <c r="C377" s="506" t="s">
        <v>275</v>
      </c>
      <c r="D377" s="506">
        <v>1</v>
      </c>
      <c r="E377" s="507" t="s">
        <v>1280</v>
      </c>
      <c r="F377" s="442" t="s">
        <v>3133</v>
      </c>
      <c r="G377" s="442"/>
      <c r="H377" s="508" t="s">
        <v>2965</v>
      </c>
      <c r="I377" s="442" t="s">
        <v>3123</v>
      </c>
      <c r="J377" s="507" t="s">
        <v>3341</v>
      </c>
      <c r="K377" s="507" t="s">
        <v>1282</v>
      </c>
      <c r="L377" s="442" t="s">
        <v>1284</v>
      </c>
      <c r="M377" s="499" t="s">
        <v>3119</v>
      </c>
      <c r="N377" s="441"/>
      <c r="O377" s="242"/>
      <c r="P377" s="242"/>
      <c r="Q377" s="442"/>
    </row>
    <row r="378" spans="1:17" s="443" customFormat="1">
      <c r="A378" s="263">
        <f t="shared" si="3"/>
        <v>377</v>
      </c>
      <c r="B378" s="442" t="s">
        <v>2515</v>
      </c>
      <c r="C378" s="506" t="s">
        <v>275</v>
      </c>
      <c r="D378" s="506">
        <v>1</v>
      </c>
      <c r="E378" s="507" t="s">
        <v>1283</v>
      </c>
      <c r="F378" s="442" t="s">
        <v>3133</v>
      </c>
      <c r="G378" s="442"/>
      <c r="H378" s="508" t="s">
        <v>2965</v>
      </c>
      <c r="I378" s="442" t="s">
        <v>3123</v>
      </c>
      <c r="J378" s="507" t="s">
        <v>3341</v>
      </c>
      <c r="K378" s="507" t="s">
        <v>1285</v>
      </c>
      <c r="L378" s="442" t="s">
        <v>1287</v>
      </c>
      <c r="M378" s="499" t="s">
        <v>3119</v>
      </c>
      <c r="N378" s="441"/>
      <c r="O378" s="242"/>
      <c r="P378" s="242"/>
      <c r="Q378" s="442"/>
    </row>
    <row r="379" spans="1:17" s="443" customFormat="1">
      <c r="A379" s="263">
        <f t="shared" si="3"/>
        <v>378</v>
      </c>
      <c r="B379" s="442" t="s">
        <v>2516</v>
      </c>
      <c r="C379" s="506" t="s">
        <v>275</v>
      </c>
      <c r="D379" s="506">
        <v>1</v>
      </c>
      <c r="E379" s="507" t="s">
        <v>1286</v>
      </c>
      <c r="F379" s="442" t="s">
        <v>3133</v>
      </c>
      <c r="G379" s="442"/>
      <c r="H379" s="508" t="s">
        <v>2965</v>
      </c>
      <c r="I379" s="442" t="s">
        <v>3123</v>
      </c>
      <c r="J379" s="507" t="s">
        <v>3341</v>
      </c>
      <c r="K379" s="507" t="s">
        <v>1288</v>
      </c>
      <c r="L379" s="442" t="s">
        <v>1290</v>
      </c>
      <c r="M379" s="499" t="s">
        <v>3119</v>
      </c>
      <c r="N379" s="441"/>
      <c r="O379" s="242"/>
      <c r="P379" s="242"/>
      <c r="Q379" s="442"/>
    </row>
    <row r="380" spans="1:17" s="443" customFormat="1">
      <c r="A380" s="263">
        <f t="shared" si="3"/>
        <v>379</v>
      </c>
      <c r="B380" s="442" t="s">
        <v>2517</v>
      </c>
      <c r="C380" s="506" t="s">
        <v>275</v>
      </c>
      <c r="D380" s="506">
        <v>1</v>
      </c>
      <c r="E380" s="507" t="s">
        <v>1289</v>
      </c>
      <c r="F380" s="442" t="s">
        <v>3133</v>
      </c>
      <c r="G380" s="442"/>
      <c r="H380" s="508" t="s">
        <v>2965</v>
      </c>
      <c r="I380" s="442" t="s">
        <v>3123</v>
      </c>
      <c r="J380" s="507" t="s">
        <v>3341</v>
      </c>
      <c r="K380" s="507" t="s">
        <v>1291</v>
      </c>
      <c r="L380" s="442" t="s">
        <v>1293</v>
      </c>
      <c r="M380" s="499" t="s">
        <v>3119</v>
      </c>
      <c r="N380" s="441"/>
      <c r="O380" s="242"/>
      <c r="P380" s="242"/>
      <c r="Q380" s="442"/>
    </row>
    <row r="381" spans="1:17">
      <c r="A381" s="263">
        <f t="shared" si="3"/>
        <v>380</v>
      </c>
      <c r="B381" s="442" t="s">
        <v>2518</v>
      </c>
      <c r="C381" s="506" t="s">
        <v>275</v>
      </c>
      <c r="D381" s="506">
        <v>1</v>
      </c>
      <c r="E381" s="507" t="s">
        <v>1292</v>
      </c>
      <c r="F381" s="442" t="s">
        <v>3133</v>
      </c>
      <c r="G381" s="442"/>
      <c r="H381" s="508" t="s">
        <v>2965</v>
      </c>
      <c r="I381" s="442" t="s">
        <v>3123</v>
      </c>
      <c r="J381" s="507" t="s">
        <v>3341</v>
      </c>
      <c r="K381" s="507" t="s">
        <v>1294</v>
      </c>
      <c r="L381" s="263" t="s">
        <v>3029</v>
      </c>
      <c r="M381" s="178" t="e">
        <v>#N/A</v>
      </c>
      <c r="N381" s="178" t="e">
        <v>#N/A</v>
      </c>
    </row>
    <row r="382" spans="1:17">
      <c r="A382" s="263">
        <f t="shared" si="3"/>
        <v>381</v>
      </c>
      <c r="B382" s="263" t="s">
        <v>3585</v>
      </c>
      <c r="C382" s="263" t="s">
        <v>1910</v>
      </c>
      <c r="D382" s="263">
        <v>4</v>
      </c>
      <c r="E382" s="263" t="s">
        <v>2982</v>
      </c>
      <c r="F382" s="263" t="s">
        <v>2966</v>
      </c>
      <c r="G382" s="263"/>
      <c r="H382" s="263"/>
      <c r="I382" s="509" t="s">
        <v>3034</v>
      </c>
      <c r="J382" s="263" t="s">
        <v>5444</v>
      </c>
      <c r="K382" s="263" t="s">
        <v>3025</v>
      </c>
      <c r="L382" s="263" t="s">
        <v>3029</v>
      </c>
      <c r="M382" s="178" t="e">
        <v>#N/A</v>
      </c>
      <c r="N382" s="178" t="e">
        <v>#N/A</v>
      </c>
    </row>
    <row r="383" spans="1:17">
      <c r="A383" s="263">
        <f t="shared" si="3"/>
        <v>382</v>
      </c>
      <c r="B383" s="263" t="s">
        <v>3586</v>
      </c>
      <c r="C383" s="263" t="s">
        <v>279</v>
      </c>
      <c r="D383" s="263">
        <v>5</v>
      </c>
      <c r="E383" s="263" t="s">
        <v>2983</v>
      </c>
      <c r="F383" s="263" t="s">
        <v>2966</v>
      </c>
      <c r="G383" s="263"/>
      <c r="H383" s="263"/>
      <c r="I383" s="509" t="s">
        <v>3034</v>
      </c>
      <c r="J383" s="263" t="s">
        <v>5444</v>
      </c>
      <c r="K383" s="263" t="s">
        <v>2983</v>
      </c>
      <c r="L383" s="263" t="s">
        <v>3029</v>
      </c>
      <c r="M383" s="178" t="e">
        <v>#N/A</v>
      </c>
      <c r="N383" s="178" t="e">
        <v>#N/A</v>
      </c>
    </row>
    <row r="384" spans="1:17">
      <c r="A384" s="263">
        <f t="shared" si="3"/>
        <v>383</v>
      </c>
      <c r="B384" s="263" t="s">
        <v>3587</v>
      </c>
      <c r="C384" s="263" t="s">
        <v>279</v>
      </c>
      <c r="D384" s="263">
        <v>5</v>
      </c>
      <c r="E384" s="263" t="s">
        <v>2984</v>
      </c>
      <c r="F384" s="263" t="s">
        <v>2966</v>
      </c>
      <c r="G384" s="263"/>
      <c r="H384" s="263"/>
      <c r="I384" s="509" t="s">
        <v>3034</v>
      </c>
      <c r="J384" s="263" t="s">
        <v>5444</v>
      </c>
      <c r="K384" s="263" t="s">
        <v>2984</v>
      </c>
      <c r="L384" s="263"/>
    </row>
    <row r="385" spans="1:12">
      <c r="A385" s="263">
        <f t="shared" si="3"/>
        <v>384</v>
      </c>
      <c r="B385" s="263" t="s">
        <v>3721</v>
      </c>
      <c r="C385" s="263"/>
      <c r="D385" s="263"/>
      <c r="E385" s="263" t="s">
        <v>3750</v>
      </c>
      <c r="F385" s="263" t="s">
        <v>3134</v>
      </c>
      <c r="G385" s="263"/>
      <c r="H385" s="263" t="s">
        <v>5614</v>
      </c>
      <c r="I385" s="345" t="s">
        <v>3125</v>
      </c>
      <c r="J385" s="344" t="s">
        <v>3342</v>
      </c>
      <c r="K385" s="263" t="s">
        <v>5182</v>
      </c>
      <c r="L385" s="263"/>
    </row>
    <row r="386" spans="1:12">
      <c r="A386" s="263">
        <f t="shared" ref="A386:A450" si="4">ROW()-1</f>
        <v>385</v>
      </c>
      <c r="B386" s="263" t="s">
        <v>3722</v>
      </c>
      <c r="C386" s="263"/>
      <c r="D386" s="263"/>
      <c r="E386" s="263" t="s">
        <v>3751</v>
      </c>
      <c r="F386" s="263" t="s">
        <v>3134</v>
      </c>
      <c r="G386" s="263"/>
      <c r="H386" s="263" t="s">
        <v>5614</v>
      </c>
      <c r="I386" s="345" t="s">
        <v>3125</v>
      </c>
      <c r="J386" s="344" t="s">
        <v>3342</v>
      </c>
      <c r="K386" s="263" t="s">
        <v>5183</v>
      </c>
      <c r="L386" s="263"/>
    </row>
    <row r="387" spans="1:12">
      <c r="A387" s="263">
        <f t="shared" si="4"/>
        <v>386</v>
      </c>
      <c r="B387" s="263" t="s">
        <v>3723</v>
      </c>
      <c r="C387" s="263"/>
      <c r="D387" s="263"/>
      <c r="E387" s="263" t="s">
        <v>3752</v>
      </c>
      <c r="F387" s="263" t="s">
        <v>3134</v>
      </c>
      <c r="G387" s="263"/>
      <c r="H387" s="263" t="s">
        <v>5614</v>
      </c>
      <c r="I387" s="345" t="s">
        <v>3125</v>
      </c>
      <c r="J387" s="344" t="s">
        <v>3342</v>
      </c>
      <c r="K387" s="263" t="s">
        <v>5184</v>
      </c>
      <c r="L387" s="263"/>
    </row>
    <row r="388" spans="1:12">
      <c r="A388" s="263">
        <f t="shared" si="4"/>
        <v>387</v>
      </c>
      <c r="B388" s="263" t="s">
        <v>3724</v>
      </c>
      <c r="C388" s="263"/>
      <c r="D388" s="263"/>
      <c r="E388" s="263" t="s">
        <v>3753</v>
      </c>
      <c r="F388" s="263" t="s">
        <v>3134</v>
      </c>
      <c r="G388" s="263"/>
      <c r="H388" s="263" t="s">
        <v>5614</v>
      </c>
      <c r="I388" s="345" t="s">
        <v>3125</v>
      </c>
      <c r="J388" s="344" t="s">
        <v>3342</v>
      </c>
      <c r="K388" s="263" t="s">
        <v>5182</v>
      </c>
      <c r="L388" s="263"/>
    </row>
    <row r="389" spans="1:12">
      <c r="A389" s="263">
        <f t="shared" si="4"/>
        <v>388</v>
      </c>
      <c r="B389" s="263" t="s">
        <v>3725</v>
      </c>
      <c r="C389" s="263"/>
      <c r="D389" s="263"/>
      <c r="E389" s="263" t="s">
        <v>3754</v>
      </c>
      <c r="F389" s="263" t="s">
        <v>3134</v>
      </c>
      <c r="G389" s="263"/>
      <c r="H389" s="263" t="s">
        <v>5614</v>
      </c>
      <c r="I389" s="345" t="s">
        <v>3125</v>
      </c>
      <c r="J389" s="344" t="s">
        <v>3342</v>
      </c>
      <c r="K389" s="263" t="s">
        <v>5185</v>
      </c>
      <c r="L389" s="263"/>
    </row>
    <row r="390" spans="1:12">
      <c r="A390" s="263">
        <f t="shared" si="4"/>
        <v>389</v>
      </c>
      <c r="B390" s="263" t="s">
        <v>4206</v>
      </c>
      <c r="C390" s="263"/>
      <c r="D390" s="263"/>
      <c r="E390" s="263" t="s">
        <v>3755</v>
      </c>
      <c r="F390" s="263" t="s">
        <v>3134</v>
      </c>
      <c r="G390" s="263"/>
      <c r="H390" s="263" t="s">
        <v>5614</v>
      </c>
      <c r="I390" s="345" t="s">
        <v>3125</v>
      </c>
      <c r="J390" s="344" t="s">
        <v>3342</v>
      </c>
      <c r="K390" s="263" t="s">
        <v>5186</v>
      </c>
      <c r="L390" s="263"/>
    </row>
    <row r="391" spans="1:12">
      <c r="A391" s="263">
        <f t="shared" si="4"/>
        <v>390</v>
      </c>
      <c r="B391" s="263" t="s">
        <v>3726</v>
      </c>
      <c r="C391" s="263"/>
      <c r="D391" s="263"/>
      <c r="E391" s="263" t="s">
        <v>3756</v>
      </c>
      <c r="F391" s="263" t="s">
        <v>3134</v>
      </c>
      <c r="G391" s="263"/>
      <c r="H391" s="263" t="s">
        <v>5614</v>
      </c>
      <c r="I391" s="345" t="s">
        <v>3125</v>
      </c>
      <c r="J391" s="344" t="s">
        <v>3342</v>
      </c>
      <c r="K391" s="263" t="s">
        <v>5187</v>
      </c>
      <c r="L391" s="263"/>
    </row>
    <row r="392" spans="1:12">
      <c r="A392" s="263">
        <f t="shared" si="4"/>
        <v>391</v>
      </c>
      <c r="B392" s="263" t="s">
        <v>3727</v>
      </c>
      <c r="C392" s="263"/>
      <c r="D392" s="263"/>
      <c r="E392" s="263" t="s">
        <v>3757</v>
      </c>
      <c r="F392" s="263" t="s">
        <v>3134</v>
      </c>
      <c r="G392" s="263"/>
      <c r="H392" s="263" t="s">
        <v>5614</v>
      </c>
      <c r="I392" s="345" t="s">
        <v>3125</v>
      </c>
      <c r="J392" s="344" t="s">
        <v>3342</v>
      </c>
      <c r="K392" s="263" t="s">
        <v>5188</v>
      </c>
      <c r="L392" s="263"/>
    </row>
    <row r="393" spans="1:12">
      <c r="A393" s="263">
        <f t="shared" si="4"/>
        <v>392</v>
      </c>
      <c r="B393" s="263" t="s">
        <v>3731</v>
      </c>
      <c r="C393" s="263"/>
      <c r="D393" s="263"/>
      <c r="E393" s="263" t="s">
        <v>3758</v>
      </c>
      <c r="F393" s="263" t="s">
        <v>3134</v>
      </c>
      <c r="G393" s="263"/>
      <c r="H393" s="263" t="s">
        <v>5614</v>
      </c>
      <c r="I393" s="345" t="s">
        <v>3125</v>
      </c>
      <c r="J393" s="344" t="s">
        <v>3342</v>
      </c>
      <c r="K393" s="263" t="s">
        <v>5189</v>
      </c>
      <c r="L393" s="263"/>
    </row>
    <row r="394" spans="1:12">
      <c r="A394" s="263">
        <f t="shared" si="4"/>
        <v>393</v>
      </c>
      <c r="B394" s="263" t="s">
        <v>3732</v>
      </c>
      <c r="C394" s="263"/>
      <c r="D394" s="263"/>
      <c r="E394" s="263" t="s">
        <v>3746</v>
      </c>
      <c r="F394" s="263"/>
      <c r="G394" s="263"/>
      <c r="H394" s="263"/>
      <c r="I394" s="263" t="s">
        <v>5448</v>
      </c>
      <c r="J394" s="345" t="s">
        <v>5444</v>
      </c>
      <c r="K394" s="263" t="s">
        <v>5445</v>
      </c>
      <c r="L394" s="263"/>
    </row>
    <row r="395" spans="1:12">
      <c r="A395" s="263">
        <f t="shared" si="4"/>
        <v>394</v>
      </c>
      <c r="B395" s="263" t="s">
        <v>3733</v>
      </c>
      <c r="C395" s="263"/>
      <c r="D395" s="263"/>
      <c r="E395" s="263" t="s">
        <v>3747</v>
      </c>
      <c r="F395" s="263"/>
      <c r="G395" s="263"/>
      <c r="H395" s="263"/>
      <c r="I395" s="263" t="s">
        <v>5448</v>
      </c>
      <c r="J395" s="345" t="s">
        <v>5444</v>
      </c>
      <c r="K395" s="263" t="s">
        <v>5446</v>
      </c>
      <c r="L395" s="263"/>
    </row>
    <row r="396" spans="1:12">
      <c r="A396" s="263">
        <f t="shared" si="4"/>
        <v>395</v>
      </c>
      <c r="B396" s="263" t="s">
        <v>3734</v>
      </c>
      <c r="C396" s="263"/>
      <c r="D396" s="263"/>
      <c r="E396" s="263" t="s">
        <v>3748</v>
      </c>
      <c r="F396" s="263"/>
      <c r="G396" s="263"/>
      <c r="H396" s="263"/>
      <c r="I396" s="263" t="s">
        <v>5448</v>
      </c>
      <c r="J396" s="345" t="s">
        <v>5444</v>
      </c>
      <c r="K396" s="263" t="s">
        <v>5447</v>
      </c>
      <c r="L396" s="263"/>
    </row>
    <row r="397" spans="1:12">
      <c r="A397" s="263">
        <f t="shared" si="4"/>
        <v>396</v>
      </c>
      <c r="B397" s="263" t="s">
        <v>5442</v>
      </c>
      <c r="C397" s="263"/>
      <c r="D397" s="263"/>
      <c r="E397" s="263" t="s">
        <v>5451</v>
      </c>
      <c r="F397" s="263" t="s">
        <v>3134</v>
      </c>
      <c r="G397" s="263"/>
      <c r="H397" s="263" t="s">
        <v>5614</v>
      </c>
      <c r="I397" s="345" t="s">
        <v>3125</v>
      </c>
      <c r="J397" s="344" t="s">
        <v>5142</v>
      </c>
      <c r="K397" s="263" t="s">
        <v>5449</v>
      </c>
      <c r="L397" s="263"/>
    </row>
    <row r="398" spans="1:12">
      <c r="A398" s="263">
        <f t="shared" si="4"/>
        <v>397</v>
      </c>
      <c r="B398" s="263" t="s">
        <v>5443</v>
      </c>
      <c r="C398" s="263"/>
      <c r="D398" s="263"/>
      <c r="E398" s="263" t="s">
        <v>5452</v>
      </c>
      <c r="F398" s="263" t="s">
        <v>3134</v>
      </c>
      <c r="G398" s="263"/>
      <c r="H398" s="263" t="s">
        <v>5614</v>
      </c>
      <c r="I398" s="345" t="s">
        <v>3125</v>
      </c>
      <c r="J398" s="344" t="s">
        <v>5142</v>
      </c>
      <c r="K398" s="263" t="s">
        <v>5450</v>
      </c>
      <c r="L398" s="263"/>
    </row>
    <row r="399" spans="1:12">
      <c r="A399" s="263">
        <f t="shared" si="4"/>
        <v>398</v>
      </c>
      <c r="B399" s="263" t="s">
        <v>5615</v>
      </c>
      <c r="C399" s="263"/>
      <c r="D399" s="263"/>
      <c r="E399" s="263" t="s">
        <v>50</v>
      </c>
      <c r="F399" s="263"/>
      <c r="G399" s="263"/>
      <c r="H399" s="345" t="s">
        <v>5677</v>
      </c>
      <c r="I399" s="263"/>
      <c r="J399" s="344" t="s">
        <v>5430</v>
      </c>
      <c r="K399" s="263" t="s">
        <v>5617</v>
      </c>
      <c r="L399" s="263"/>
    </row>
    <row r="400" spans="1:12">
      <c r="A400" s="263">
        <f t="shared" si="4"/>
        <v>399</v>
      </c>
      <c r="B400" s="263" t="s">
        <v>5616</v>
      </c>
      <c r="C400" s="263"/>
      <c r="D400" s="263"/>
      <c r="E400" s="263" t="s">
        <v>5618</v>
      </c>
      <c r="F400" s="263" t="s">
        <v>5678</v>
      </c>
      <c r="G400" s="263"/>
      <c r="H400" s="263"/>
      <c r="I400" s="324" t="s">
        <v>5676</v>
      </c>
      <c r="J400" s="345" t="s">
        <v>5619</v>
      </c>
      <c r="K400" s="263" t="s">
        <v>5620</v>
      </c>
      <c r="L400" s="263"/>
    </row>
    <row r="401" spans="1:16">
      <c r="A401" s="263">
        <f t="shared" si="4"/>
        <v>400</v>
      </c>
      <c r="B401" s="263" t="s">
        <v>2161</v>
      </c>
      <c r="C401" s="263"/>
      <c r="D401" s="263"/>
      <c r="E401" s="263" t="s">
        <v>5622</v>
      </c>
      <c r="F401" s="263" t="s">
        <v>5678</v>
      </c>
      <c r="G401" s="263"/>
      <c r="H401" s="263"/>
      <c r="I401" s="324" t="s">
        <v>5676</v>
      </c>
      <c r="J401" s="345" t="s">
        <v>5619</v>
      </c>
      <c r="K401" s="263" t="s">
        <v>5621</v>
      </c>
      <c r="L401" s="263"/>
    </row>
    <row r="402" spans="1:16">
      <c r="A402" s="263">
        <f t="shared" si="4"/>
        <v>401</v>
      </c>
      <c r="B402" s="263" t="s">
        <v>2162</v>
      </c>
      <c r="C402" s="263"/>
      <c r="D402" s="263"/>
      <c r="E402" s="263" t="s">
        <v>5627</v>
      </c>
      <c r="F402" s="263" t="s">
        <v>5678</v>
      </c>
      <c r="G402" s="263"/>
      <c r="H402" s="263"/>
      <c r="I402" s="324" t="s">
        <v>5676</v>
      </c>
      <c r="J402" s="345" t="s">
        <v>5619</v>
      </c>
      <c r="K402" s="263"/>
      <c r="L402" s="263"/>
    </row>
    <row r="403" spans="1:16">
      <c r="A403" s="263">
        <f t="shared" si="4"/>
        <v>402</v>
      </c>
      <c r="B403" s="263" t="s">
        <v>2163</v>
      </c>
      <c r="C403" s="263"/>
      <c r="D403" s="263"/>
      <c r="E403" s="344" t="s">
        <v>5623</v>
      </c>
      <c r="F403" s="263"/>
      <c r="G403" s="263"/>
      <c r="H403" s="263"/>
      <c r="I403" s="345" t="s">
        <v>5455</v>
      </c>
      <c r="J403" s="344" t="s">
        <v>5625</v>
      </c>
      <c r="K403" s="263" t="s">
        <v>5628</v>
      </c>
      <c r="L403" s="263"/>
    </row>
    <row r="404" spans="1:16">
      <c r="A404" s="263">
        <f t="shared" si="4"/>
        <v>403</v>
      </c>
      <c r="B404" s="263" t="s">
        <v>2164</v>
      </c>
      <c r="C404" s="263"/>
      <c r="D404" s="263"/>
      <c r="E404" s="263" t="s">
        <v>5624</v>
      </c>
      <c r="F404" s="263"/>
      <c r="G404" s="263"/>
      <c r="H404" s="263"/>
      <c r="I404" s="345" t="s">
        <v>5455</v>
      </c>
      <c r="J404" s="344" t="s">
        <v>5625</v>
      </c>
      <c r="K404" s="263" t="s">
        <v>5626</v>
      </c>
      <c r="L404" s="263"/>
    </row>
    <row r="405" spans="1:16">
      <c r="A405" s="263">
        <f t="shared" si="4"/>
        <v>404</v>
      </c>
      <c r="B405" s="263" t="s">
        <v>2165</v>
      </c>
      <c r="C405" s="263"/>
      <c r="D405" s="263"/>
      <c r="E405" s="263" t="s">
        <v>5629</v>
      </c>
      <c r="F405" s="263" t="s">
        <v>5678</v>
      </c>
      <c r="G405" s="263"/>
      <c r="H405" s="263"/>
      <c r="I405" s="324" t="s">
        <v>5676</v>
      </c>
      <c r="J405" s="345" t="s">
        <v>5619</v>
      </c>
      <c r="K405" s="263" t="s">
        <v>5630</v>
      </c>
      <c r="L405" s="263"/>
    </row>
    <row r="406" spans="1:16">
      <c r="A406" s="263">
        <f t="shared" si="4"/>
        <v>405</v>
      </c>
      <c r="B406" s="263" t="s">
        <v>2166</v>
      </c>
      <c r="C406" s="263"/>
      <c r="D406" s="263"/>
      <c r="E406" s="263" t="s">
        <v>5631</v>
      </c>
      <c r="F406" s="263" t="s">
        <v>5678</v>
      </c>
      <c r="G406" s="263"/>
      <c r="H406" s="263"/>
      <c r="I406" s="324" t="s">
        <v>5676</v>
      </c>
      <c r="J406" s="345" t="s">
        <v>5619</v>
      </c>
      <c r="K406" s="263" t="s">
        <v>5642</v>
      </c>
      <c r="L406" s="263"/>
    </row>
    <row r="407" spans="1:16">
      <c r="A407" s="263">
        <f t="shared" si="4"/>
        <v>406</v>
      </c>
      <c r="B407" s="263" t="s">
        <v>2167</v>
      </c>
      <c r="C407" s="263"/>
      <c r="D407" s="263"/>
      <c r="E407" s="263" t="s">
        <v>5632</v>
      </c>
      <c r="F407" s="263" t="s">
        <v>5678</v>
      </c>
      <c r="G407" s="263"/>
      <c r="H407" s="263"/>
      <c r="I407" s="324" t="s">
        <v>5676</v>
      </c>
      <c r="J407" s="345" t="s">
        <v>5619</v>
      </c>
      <c r="K407" s="263" t="s">
        <v>5643</v>
      </c>
      <c r="L407" s="263"/>
    </row>
    <row r="408" spans="1:16">
      <c r="A408" s="263">
        <f t="shared" si="4"/>
        <v>407</v>
      </c>
      <c r="B408" s="263" t="s">
        <v>2168</v>
      </c>
      <c r="C408" s="263"/>
      <c r="D408" s="263"/>
      <c r="E408" s="263" t="s">
        <v>5633</v>
      </c>
      <c r="F408" s="263" t="s">
        <v>5678</v>
      </c>
      <c r="G408" s="263"/>
      <c r="H408" s="263"/>
      <c r="I408" s="324" t="s">
        <v>5676</v>
      </c>
      <c r="J408" s="345" t="s">
        <v>5619</v>
      </c>
      <c r="K408" s="263" t="s">
        <v>5644</v>
      </c>
      <c r="L408" s="263"/>
    </row>
    <row r="409" spans="1:16">
      <c r="A409" s="263">
        <f t="shared" si="4"/>
        <v>408</v>
      </c>
      <c r="B409" s="263" t="s">
        <v>2169</v>
      </c>
      <c r="C409" s="263"/>
      <c r="D409" s="263"/>
      <c r="E409" s="263" t="s">
        <v>5634</v>
      </c>
      <c r="F409" s="263" t="s">
        <v>5678</v>
      </c>
      <c r="G409" s="263"/>
      <c r="H409" s="263"/>
      <c r="I409" s="324" t="s">
        <v>5676</v>
      </c>
      <c r="J409" s="345" t="s">
        <v>5619</v>
      </c>
      <c r="K409" s="263" t="s">
        <v>5645</v>
      </c>
      <c r="L409" s="263"/>
    </row>
    <row r="410" spans="1:16">
      <c r="A410" s="263">
        <f t="shared" si="4"/>
        <v>409</v>
      </c>
      <c r="B410" s="263" t="s">
        <v>2170</v>
      </c>
      <c r="C410" s="263"/>
      <c r="D410" s="263"/>
      <c r="E410" s="263" t="s">
        <v>5635</v>
      </c>
      <c r="F410" s="263" t="s">
        <v>5678</v>
      </c>
      <c r="G410" s="263"/>
      <c r="H410" s="263"/>
      <c r="I410" s="324" t="s">
        <v>5676</v>
      </c>
      <c r="J410" s="345" t="s">
        <v>5619</v>
      </c>
      <c r="K410" s="263" t="s">
        <v>5646</v>
      </c>
      <c r="L410" s="263"/>
    </row>
    <row r="411" spans="1:16">
      <c r="A411" s="263">
        <f t="shared" si="4"/>
        <v>410</v>
      </c>
      <c r="B411" s="263" t="s">
        <v>2171</v>
      </c>
      <c r="C411" s="263"/>
      <c r="D411" s="263"/>
      <c r="E411" s="263" t="s">
        <v>5636</v>
      </c>
      <c r="F411" s="263" t="s">
        <v>5678</v>
      </c>
      <c r="G411" s="263"/>
      <c r="H411" s="263"/>
      <c r="I411" s="324" t="s">
        <v>5676</v>
      </c>
      <c r="J411" s="345" t="s">
        <v>5619</v>
      </c>
      <c r="K411" s="263" t="s">
        <v>5647</v>
      </c>
      <c r="L411" s="263"/>
    </row>
    <row r="412" spans="1:16">
      <c r="A412" s="263">
        <f t="shared" si="4"/>
        <v>411</v>
      </c>
      <c r="B412" s="263" t="s">
        <v>2172</v>
      </c>
      <c r="C412" s="263"/>
      <c r="D412" s="263"/>
      <c r="E412" s="263" t="s">
        <v>5637</v>
      </c>
      <c r="F412" s="263" t="s">
        <v>5678</v>
      </c>
      <c r="G412" s="263"/>
      <c r="H412" s="263"/>
      <c r="I412" s="324" t="s">
        <v>5676</v>
      </c>
      <c r="J412" s="345" t="s">
        <v>5619</v>
      </c>
      <c r="K412" s="263" t="s">
        <v>5648</v>
      </c>
      <c r="L412" s="263"/>
    </row>
    <row r="413" spans="1:16">
      <c r="A413" s="263">
        <f t="shared" si="4"/>
        <v>412</v>
      </c>
      <c r="B413" s="263" t="s">
        <v>2173</v>
      </c>
      <c r="C413" s="263"/>
      <c r="D413" s="263"/>
      <c r="E413" s="263" t="s">
        <v>5638</v>
      </c>
      <c r="F413" s="263" t="s">
        <v>5678</v>
      </c>
      <c r="G413" s="263"/>
      <c r="H413" s="263"/>
      <c r="I413" s="324" t="s">
        <v>5676</v>
      </c>
      <c r="J413" s="345" t="s">
        <v>5619</v>
      </c>
      <c r="K413" s="263" t="s">
        <v>5649</v>
      </c>
      <c r="L413" s="263"/>
    </row>
    <row r="414" spans="1:16">
      <c r="A414" s="263">
        <f t="shared" si="4"/>
        <v>413</v>
      </c>
      <c r="B414" s="263" t="s">
        <v>2174</v>
      </c>
      <c r="C414" s="263"/>
      <c r="D414" s="263"/>
      <c r="E414" s="263" t="s">
        <v>5639</v>
      </c>
      <c r="F414" s="263" t="s">
        <v>5678</v>
      </c>
      <c r="G414" s="263"/>
      <c r="H414" s="263"/>
      <c r="I414" s="324" t="s">
        <v>5676</v>
      </c>
      <c r="J414" s="345" t="s">
        <v>5619</v>
      </c>
      <c r="K414" s="263" t="s">
        <v>5650</v>
      </c>
      <c r="L414" s="263"/>
    </row>
    <row r="415" spans="1:16">
      <c r="A415" s="263">
        <f t="shared" si="4"/>
        <v>414</v>
      </c>
      <c r="B415" s="263" t="s">
        <v>2175</v>
      </c>
      <c r="C415" s="263"/>
      <c r="D415" s="263"/>
      <c r="E415" s="263" t="s">
        <v>5640</v>
      </c>
      <c r="F415" s="263" t="s">
        <v>5678</v>
      </c>
      <c r="G415" s="263"/>
      <c r="H415" s="263"/>
      <c r="I415" s="324" t="s">
        <v>5676</v>
      </c>
      <c r="J415" s="345" t="s">
        <v>5619</v>
      </c>
      <c r="K415" s="263" t="s">
        <v>5651</v>
      </c>
      <c r="L415" s="263"/>
    </row>
    <row r="416" spans="1:16">
      <c r="A416" s="263">
        <f t="shared" si="4"/>
        <v>415</v>
      </c>
      <c r="B416" s="263" t="s">
        <v>2176</v>
      </c>
      <c r="C416" s="263"/>
      <c r="D416" s="263"/>
      <c r="E416" s="263" t="s">
        <v>5641</v>
      </c>
      <c r="F416" s="263" t="s">
        <v>5678</v>
      </c>
      <c r="G416" s="263"/>
      <c r="H416" s="263"/>
      <c r="I416" s="324" t="s">
        <v>5676</v>
      </c>
      <c r="J416" s="345" t="s">
        <v>5619</v>
      </c>
      <c r="K416" s="263" t="s">
        <v>5652</v>
      </c>
      <c r="L416" s="339"/>
      <c r="P416" s="448" t="s">
        <v>2121</v>
      </c>
    </row>
    <row r="417" spans="1:16">
      <c r="A417" s="263">
        <f t="shared" si="4"/>
        <v>416</v>
      </c>
      <c r="B417" s="263" t="s">
        <v>2177</v>
      </c>
      <c r="C417" s="263"/>
      <c r="D417" s="263"/>
      <c r="E417" s="263" t="s">
        <v>7447</v>
      </c>
      <c r="F417" s="263" t="s">
        <v>5678</v>
      </c>
      <c r="G417" s="263"/>
      <c r="H417" s="263"/>
      <c r="I417" s="324" t="s">
        <v>5676</v>
      </c>
      <c r="J417" s="345" t="s">
        <v>5619</v>
      </c>
      <c r="K417" s="263" t="s">
        <v>7446</v>
      </c>
      <c r="L417" s="339"/>
      <c r="P417" s="448" t="s">
        <v>2121</v>
      </c>
    </row>
    <row r="418" spans="1:16">
      <c r="A418" s="263">
        <f t="shared" si="4"/>
        <v>417</v>
      </c>
      <c r="B418" s="501" t="s">
        <v>5915</v>
      </c>
      <c r="C418" s="430" t="s">
        <v>275</v>
      </c>
      <c r="D418" s="263"/>
      <c r="E418" s="430" t="s">
        <v>5916</v>
      </c>
      <c r="F418" s="430" t="s">
        <v>682</v>
      </c>
      <c r="G418" s="430"/>
      <c r="H418" s="430" t="s">
        <v>5427</v>
      </c>
      <c r="I418" s="263"/>
      <c r="J418" s="263"/>
      <c r="K418" s="430" t="s">
        <v>2818</v>
      </c>
      <c r="L418" s="430"/>
      <c r="P418" s="448" t="s">
        <v>2122</v>
      </c>
    </row>
    <row r="419" spans="1:16">
      <c r="A419" s="263">
        <f t="shared" si="4"/>
        <v>418</v>
      </c>
      <c r="B419" s="501" t="s">
        <v>5917</v>
      </c>
      <c r="C419" s="430" t="s">
        <v>275</v>
      </c>
      <c r="D419" s="263"/>
      <c r="E419" s="430" t="s">
        <v>5918</v>
      </c>
      <c r="F419" s="430" t="s">
        <v>682</v>
      </c>
      <c r="G419" s="430"/>
      <c r="H419" s="430" t="s">
        <v>5427</v>
      </c>
      <c r="I419" s="263"/>
      <c r="J419" s="263"/>
      <c r="K419" s="430" t="s">
        <v>2706</v>
      </c>
      <c r="L419" s="430"/>
      <c r="P419" s="448" t="s">
        <v>2605</v>
      </c>
    </row>
    <row r="420" spans="1:16">
      <c r="A420" s="263">
        <f t="shared" si="4"/>
        <v>419</v>
      </c>
      <c r="B420" s="501" t="s">
        <v>5919</v>
      </c>
      <c r="C420" s="430" t="s">
        <v>275</v>
      </c>
      <c r="D420" s="263"/>
      <c r="E420" s="430" t="s">
        <v>5920</v>
      </c>
      <c r="F420" s="430" t="s">
        <v>682</v>
      </c>
      <c r="G420" s="430"/>
      <c r="H420" s="430" t="s">
        <v>5427</v>
      </c>
      <c r="I420" s="263"/>
      <c r="J420" s="263"/>
      <c r="K420" s="430" t="s">
        <v>2819</v>
      </c>
      <c r="L420" s="430"/>
      <c r="P420" s="448" t="s">
        <v>2606</v>
      </c>
    </row>
    <row r="421" spans="1:16">
      <c r="A421" s="263">
        <f t="shared" si="4"/>
        <v>420</v>
      </c>
      <c r="B421" s="501" t="s">
        <v>5921</v>
      </c>
      <c r="C421" s="430" t="s">
        <v>275</v>
      </c>
      <c r="D421" s="263"/>
      <c r="E421" s="430" t="s">
        <v>5922</v>
      </c>
      <c r="F421" s="430" t="s">
        <v>682</v>
      </c>
      <c r="G421" s="430"/>
      <c r="H421" s="430" t="s">
        <v>5427</v>
      </c>
      <c r="I421" s="263"/>
      <c r="J421" s="263"/>
      <c r="K421" s="430" t="s">
        <v>2708</v>
      </c>
      <c r="L421" s="430"/>
      <c r="P421" s="448" t="s">
        <v>2125</v>
      </c>
    </row>
    <row r="422" spans="1:16">
      <c r="A422" s="263">
        <f t="shared" si="4"/>
        <v>421</v>
      </c>
      <c r="B422" s="501" t="s">
        <v>5923</v>
      </c>
      <c r="C422" s="430" t="s">
        <v>4415</v>
      </c>
      <c r="D422" s="263"/>
      <c r="E422" s="430" t="s">
        <v>5924</v>
      </c>
      <c r="F422" s="430" t="s">
        <v>682</v>
      </c>
      <c r="G422" s="430"/>
      <c r="H422" s="430" t="s">
        <v>5427</v>
      </c>
      <c r="I422" s="263"/>
      <c r="J422" s="263"/>
      <c r="K422" s="430" t="s">
        <v>253</v>
      </c>
      <c r="L422" s="430"/>
      <c r="P422" s="448" t="s">
        <v>2126</v>
      </c>
    </row>
    <row r="423" spans="1:16">
      <c r="A423" s="263">
        <f t="shared" si="4"/>
        <v>422</v>
      </c>
      <c r="B423" s="501" t="s">
        <v>5925</v>
      </c>
      <c r="C423" s="430" t="s">
        <v>4415</v>
      </c>
      <c r="D423" s="263"/>
      <c r="E423" s="430" t="s">
        <v>5926</v>
      </c>
      <c r="F423" s="430" t="s">
        <v>682</v>
      </c>
      <c r="G423" s="430"/>
      <c r="H423" s="430" t="s">
        <v>5427</v>
      </c>
      <c r="I423" s="263"/>
      <c r="J423" s="263"/>
      <c r="K423" s="430" t="s">
        <v>2822</v>
      </c>
      <c r="L423" s="430"/>
      <c r="P423" s="448" t="s">
        <v>2127</v>
      </c>
    </row>
    <row r="424" spans="1:16">
      <c r="A424" s="263">
        <f t="shared" si="4"/>
        <v>423</v>
      </c>
      <c r="B424" s="501" t="s">
        <v>5927</v>
      </c>
      <c r="C424" s="430" t="s">
        <v>4415</v>
      </c>
      <c r="D424" s="263"/>
      <c r="E424" s="430" t="s">
        <v>5928</v>
      </c>
      <c r="F424" s="430" t="s">
        <v>682</v>
      </c>
      <c r="G424" s="430"/>
      <c r="H424" s="430" t="s">
        <v>5427</v>
      </c>
      <c r="I424" s="263"/>
      <c r="J424" s="263"/>
      <c r="K424" s="430" t="s">
        <v>2823</v>
      </c>
      <c r="L424" s="430"/>
      <c r="P424" s="448" t="s">
        <v>2128</v>
      </c>
    </row>
    <row r="425" spans="1:16">
      <c r="A425" s="263">
        <f t="shared" si="4"/>
        <v>424</v>
      </c>
      <c r="B425" s="501" t="s">
        <v>5929</v>
      </c>
      <c r="C425" s="430" t="s">
        <v>4415</v>
      </c>
      <c r="D425" s="263"/>
      <c r="E425" s="430" t="s">
        <v>5930</v>
      </c>
      <c r="F425" s="430" t="s">
        <v>682</v>
      </c>
      <c r="G425" s="430"/>
      <c r="H425" s="430" t="s">
        <v>5427</v>
      </c>
      <c r="I425" s="263"/>
      <c r="J425" s="263"/>
      <c r="K425" s="430" t="s">
        <v>2824</v>
      </c>
      <c r="L425" s="430"/>
      <c r="P425" s="448" t="s">
        <v>2129</v>
      </c>
    </row>
    <row r="426" spans="1:16">
      <c r="A426" s="263">
        <f t="shared" si="4"/>
        <v>425</v>
      </c>
      <c r="B426" s="501" t="s">
        <v>5931</v>
      </c>
      <c r="C426" s="430" t="s">
        <v>4415</v>
      </c>
      <c r="D426" s="263"/>
      <c r="E426" s="430" t="s">
        <v>5932</v>
      </c>
      <c r="F426" s="430" t="s">
        <v>682</v>
      </c>
      <c r="G426" s="430"/>
      <c r="H426" s="430" t="s">
        <v>5427</v>
      </c>
      <c r="I426" s="263"/>
      <c r="J426" s="263"/>
      <c r="K426" s="430" t="s">
        <v>2825</v>
      </c>
      <c r="L426" s="430"/>
      <c r="P426" s="448" t="s">
        <v>2130</v>
      </c>
    </row>
    <row r="427" spans="1:16">
      <c r="A427" s="263">
        <f t="shared" si="4"/>
        <v>426</v>
      </c>
      <c r="B427" s="501" t="s">
        <v>5933</v>
      </c>
      <c r="C427" s="430" t="s">
        <v>4415</v>
      </c>
      <c r="D427" s="263"/>
      <c r="E427" s="430" t="s">
        <v>5934</v>
      </c>
      <c r="F427" s="430" t="s">
        <v>682</v>
      </c>
      <c r="G427" s="430"/>
      <c r="H427" s="430" t="s">
        <v>5427</v>
      </c>
      <c r="I427" s="263"/>
      <c r="J427" s="263"/>
      <c r="K427" s="430" t="s">
        <v>2826</v>
      </c>
      <c r="L427" s="430"/>
      <c r="P427" s="448" t="s">
        <v>2138</v>
      </c>
    </row>
    <row r="428" spans="1:16">
      <c r="A428" s="263">
        <f t="shared" si="4"/>
        <v>427</v>
      </c>
      <c r="B428" s="501" t="s">
        <v>5935</v>
      </c>
      <c r="C428" s="430" t="s">
        <v>4415</v>
      </c>
      <c r="D428" s="263"/>
      <c r="E428" s="430" t="s">
        <v>5936</v>
      </c>
      <c r="F428" s="430" t="s">
        <v>682</v>
      </c>
      <c r="G428" s="430"/>
      <c r="H428" s="430" t="s">
        <v>5427</v>
      </c>
      <c r="I428" s="263"/>
      <c r="J428" s="263"/>
      <c r="K428" s="430" t="s">
        <v>14</v>
      </c>
      <c r="L428" s="430"/>
      <c r="P428" s="448" t="s">
        <v>2139</v>
      </c>
    </row>
    <row r="429" spans="1:16">
      <c r="A429" s="263">
        <f t="shared" si="4"/>
        <v>428</v>
      </c>
      <c r="B429" s="501" t="s">
        <v>5937</v>
      </c>
      <c r="C429" s="430" t="s">
        <v>4415</v>
      </c>
      <c r="D429" s="263"/>
      <c r="E429" s="430" t="s">
        <v>5938</v>
      </c>
      <c r="F429" s="430" t="s">
        <v>682</v>
      </c>
      <c r="G429" s="430"/>
      <c r="H429" s="430" t="s">
        <v>5427</v>
      </c>
      <c r="I429" s="263"/>
      <c r="J429" s="263"/>
      <c r="K429" s="430" t="s">
        <v>2828</v>
      </c>
      <c r="L429" s="430"/>
      <c r="P429" s="448" t="s">
        <v>2140</v>
      </c>
    </row>
    <row r="430" spans="1:16">
      <c r="A430" s="263">
        <f t="shared" si="4"/>
        <v>429</v>
      </c>
      <c r="B430" s="501" t="s">
        <v>5939</v>
      </c>
      <c r="C430" s="430" t="s">
        <v>4415</v>
      </c>
      <c r="D430" s="263"/>
      <c r="E430" s="430" t="s">
        <v>5940</v>
      </c>
      <c r="F430" s="430" t="s">
        <v>682</v>
      </c>
      <c r="G430" s="430"/>
      <c r="H430" s="430" t="s">
        <v>5427</v>
      </c>
      <c r="I430" s="263"/>
      <c r="J430" s="263"/>
      <c r="K430" s="430" t="s">
        <v>2829</v>
      </c>
      <c r="L430" s="430"/>
      <c r="P430" s="448" t="s">
        <v>2141</v>
      </c>
    </row>
    <row r="431" spans="1:16">
      <c r="A431" s="263">
        <f t="shared" si="4"/>
        <v>430</v>
      </c>
      <c r="B431" s="501" t="s">
        <v>5941</v>
      </c>
      <c r="C431" s="430" t="s">
        <v>4415</v>
      </c>
      <c r="D431" s="263"/>
      <c r="E431" s="430" t="s">
        <v>5942</v>
      </c>
      <c r="F431" s="430" t="s">
        <v>682</v>
      </c>
      <c r="G431" s="430"/>
      <c r="H431" s="430" t="s">
        <v>5427</v>
      </c>
      <c r="I431" s="263"/>
      <c r="J431" s="263"/>
      <c r="K431" s="430" t="s">
        <v>251</v>
      </c>
      <c r="L431" s="430"/>
      <c r="P431" s="448" t="s">
        <v>2142</v>
      </c>
    </row>
    <row r="432" spans="1:16">
      <c r="A432" s="263">
        <f t="shared" si="4"/>
        <v>431</v>
      </c>
      <c r="B432" s="501" t="s">
        <v>5943</v>
      </c>
      <c r="C432" s="430" t="s">
        <v>275</v>
      </c>
      <c r="D432" s="263"/>
      <c r="E432" s="430" t="s">
        <v>5944</v>
      </c>
      <c r="F432" s="430" t="s">
        <v>682</v>
      </c>
      <c r="G432" s="430"/>
      <c r="H432" s="430" t="s">
        <v>5427</v>
      </c>
      <c r="I432" s="263"/>
      <c r="J432" s="263"/>
      <c r="K432" s="430" t="s">
        <v>2830</v>
      </c>
      <c r="L432" s="430"/>
      <c r="P432" s="448" t="s">
        <v>2144</v>
      </c>
    </row>
    <row r="433" spans="1:16">
      <c r="A433" s="263">
        <f t="shared" si="4"/>
        <v>432</v>
      </c>
      <c r="B433" s="501" t="s">
        <v>5945</v>
      </c>
      <c r="C433" s="430" t="s">
        <v>4421</v>
      </c>
      <c r="D433" s="263"/>
      <c r="E433" s="430" t="s">
        <v>5946</v>
      </c>
      <c r="F433" s="430" t="s">
        <v>682</v>
      </c>
      <c r="G433" s="430"/>
      <c r="H433" s="430" t="s">
        <v>5427</v>
      </c>
      <c r="I433" s="263"/>
      <c r="J433" s="263"/>
      <c r="K433" s="430" t="s">
        <v>1298</v>
      </c>
      <c r="L433" s="430"/>
      <c r="P433" s="448" t="s">
        <v>2146</v>
      </c>
    </row>
    <row r="434" spans="1:16">
      <c r="A434" s="263">
        <f t="shared" si="4"/>
        <v>433</v>
      </c>
      <c r="B434" s="501" t="s">
        <v>5947</v>
      </c>
      <c r="C434" s="430" t="s">
        <v>4415</v>
      </c>
      <c r="D434" s="263"/>
      <c r="E434" s="430" t="s">
        <v>5948</v>
      </c>
      <c r="F434" s="430" t="s">
        <v>682</v>
      </c>
      <c r="G434" s="430"/>
      <c r="H434" s="430" t="s">
        <v>5427</v>
      </c>
      <c r="I434" s="263"/>
      <c r="J434" s="263"/>
      <c r="K434" s="430" t="s">
        <v>254</v>
      </c>
      <c r="L434" s="430"/>
      <c r="P434" s="450" t="s">
        <v>2147</v>
      </c>
    </row>
    <row r="435" spans="1:16">
      <c r="A435" s="263">
        <f t="shared" si="4"/>
        <v>434</v>
      </c>
      <c r="B435" s="501" t="s">
        <v>5949</v>
      </c>
      <c r="C435" s="430" t="s">
        <v>4421</v>
      </c>
      <c r="D435" s="263"/>
      <c r="E435" s="430" t="s">
        <v>5950</v>
      </c>
      <c r="F435" s="430" t="s">
        <v>682</v>
      </c>
      <c r="G435" s="430"/>
      <c r="H435" s="430" t="s">
        <v>5427</v>
      </c>
      <c r="I435" s="263"/>
      <c r="J435" s="263"/>
      <c r="K435" s="430" t="s">
        <v>2838</v>
      </c>
      <c r="L435" s="430"/>
      <c r="P435" s="448" t="s">
        <v>2149</v>
      </c>
    </row>
    <row r="436" spans="1:16">
      <c r="A436" s="263">
        <f t="shared" si="4"/>
        <v>435</v>
      </c>
      <c r="B436" s="501" t="s">
        <v>5951</v>
      </c>
      <c r="C436" s="430" t="s">
        <v>275</v>
      </c>
      <c r="D436" s="263"/>
      <c r="E436" s="502" t="s">
        <v>5952</v>
      </c>
      <c r="F436" s="430" t="s">
        <v>682</v>
      </c>
      <c r="G436" s="430"/>
      <c r="H436" s="430" t="s">
        <v>5427</v>
      </c>
      <c r="I436" s="263"/>
      <c r="J436" s="263"/>
      <c r="K436" s="430" t="s">
        <v>2841</v>
      </c>
      <c r="L436" s="430"/>
      <c r="P436" s="448" t="s">
        <v>2151</v>
      </c>
    </row>
    <row r="437" spans="1:16">
      <c r="A437" s="263">
        <f t="shared" si="4"/>
        <v>436</v>
      </c>
      <c r="B437" s="501" t="s">
        <v>5953</v>
      </c>
      <c r="C437" s="430" t="s">
        <v>275</v>
      </c>
      <c r="D437" s="263"/>
      <c r="E437" s="430" t="s">
        <v>5954</v>
      </c>
      <c r="F437" s="430" t="s">
        <v>682</v>
      </c>
      <c r="G437" s="430"/>
      <c r="H437" s="430" t="s">
        <v>5427</v>
      </c>
      <c r="I437" s="263"/>
      <c r="J437" s="263"/>
      <c r="K437" s="430" t="s">
        <v>2728</v>
      </c>
      <c r="L437" s="430"/>
      <c r="P437" s="448" t="s">
        <v>2610</v>
      </c>
    </row>
    <row r="438" spans="1:16">
      <c r="A438" s="263">
        <f t="shared" si="4"/>
        <v>437</v>
      </c>
      <c r="B438" s="501" t="s">
        <v>5955</v>
      </c>
      <c r="C438" s="430" t="s">
        <v>4421</v>
      </c>
      <c r="D438" s="263"/>
      <c r="E438" s="430" t="s">
        <v>3964</v>
      </c>
      <c r="F438" s="430" t="s">
        <v>682</v>
      </c>
      <c r="G438" s="430"/>
      <c r="H438" s="430" t="s">
        <v>5427</v>
      </c>
      <c r="I438" s="263"/>
      <c r="J438" s="263"/>
      <c r="K438" s="430" t="s">
        <v>2740</v>
      </c>
      <c r="L438" s="430"/>
      <c r="P438" s="448" t="s">
        <v>2611</v>
      </c>
    </row>
    <row r="439" spans="1:16">
      <c r="A439" s="263">
        <f t="shared" si="4"/>
        <v>438</v>
      </c>
      <c r="B439" s="501" t="s">
        <v>5956</v>
      </c>
      <c r="C439" s="430" t="s">
        <v>275</v>
      </c>
      <c r="D439" s="263"/>
      <c r="E439" s="430" t="s">
        <v>5957</v>
      </c>
      <c r="F439" s="430" t="s">
        <v>682</v>
      </c>
      <c r="G439" s="430"/>
      <c r="H439" s="430" t="s">
        <v>5427</v>
      </c>
      <c r="I439" s="263"/>
      <c r="J439" s="263"/>
      <c r="K439" s="430" t="s">
        <v>1027</v>
      </c>
      <c r="L439" s="430"/>
      <c r="P439" s="448" t="s">
        <v>2612</v>
      </c>
    </row>
    <row r="440" spans="1:16">
      <c r="A440" s="263">
        <f t="shared" si="4"/>
        <v>439</v>
      </c>
      <c r="B440" s="501" t="s">
        <v>5958</v>
      </c>
      <c r="C440" s="430" t="s">
        <v>4421</v>
      </c>
      <c r="D440" s="263"/>
      <c r="E440" s="430" t="s">
        <v>3966</v>
      </c>
      <c r="F440" s="430" t="s">
        <v>682</v>
      </c>
      <c r="G440" s="430"/>
      <c r="H440" s="430" t="s">
        <v>5427</v>
      </c>
      <c r="I440" s="263"/>
      <c r="J440" s="263"/>
      <c r="K440" s="430" t="s">
        <v>2742</v>
      </c>
      <c r="L440" s="430"/>
      <c r="P440" s="448" t="s">
        <v>2613</v>
      </c>
    </row>
    <row r="441" spans="1:16">
      <c r="A441" s="263">
        <f t="shared" si="4"/>
        <v>440</v>
      </c>
      <c r="B441" s="501" t="s">
        <v>5959</v>
      </c>
      <c r="C441" s="430" t="s">
        <v>275</v>
      </c>
      <c r="D441" s="263"/>
      <c r="E441" s="430" t="s">
        <v>5960</v>
      </c>
      <c r="F441" s="430" t="s">
        <v>682</v>
      </c>
      <c r="G441" s="430"/>
      <c r="H441" s="430" t="s">
        <v>5427</v>
      </c>
      <c r="I441" s="263"/>
      <c r="J441" s="263"/>
      <c r="K441" s="430" t="s">
        <v>92</v>
      </c>
      <c r="L441" s="430"/>
      <c r="P441" s="448" t="s">
        <v>2616</v>
      </c>
    </row>
    <row r="442" spans="1:16">
      <c r="A442" s="263">
        <f t="shared" si="4"/>
        <v>441</v>
      </c>
      <c r="B442" s="501" t="s">
        <v>5961</v>
      </c>
      <c r="C442" s="430" t="s">
        <v>275</v>
      </c>
      <c r="D442" s="263"/>
      <c r="E442" s="430" t="s">
        <v>5962</v>
      </c>
      <c r="F442" s="430" t="s">
        <v>682</v>
      </c>
      <c r="G442" s="430"/>
      <c r="H442" s="430" t="s">
        <v>5427</v>
      </c>
      <c r="I442" s="263"/>
      <c r="J442" s="263"/>
      <c r="K442" s="430" t="s">
        <v>3580</v>
      </c>
      <c r="L442" s="430"/>
      <c r="P442" s="448" t="s">
        <v>2617</v>
      </c>
    </row>
    <row r="443" spans="1:16">
      <c r="A443" s="263">
        <f t="shared" si="4"/>
        <v>442</v>
      </c>
      <c r="B443" s="501" t="s">
        <v>5963</v>
      </c>
      <c r="C443" s="430" t="s">
        <v>4421</v>
      </c>
      <c r="D443" s="263"/>
      <c r="E443" s="430" t="s">
        <v>5964</v>
      </c>
      <c r="F443" s="430" t="s">
        <v>682</v>
      </c>
      <c r="G443" s="430"/>
      <c r="H443" s="430" t="s">
        <v>5427</v>
      </c>
      <c r="I443" s="263"/>
      <c r="J443" s="263"/>
      <c r="K443" s="430" t="s">
        <v>5859</v>
      </c>
      <c r="L443" s="430"/>
      <c r="P443" s="448" t="s">
        <v>2618</v>
      </c>
    </row>
    <row r="444" spans="1:16">
      <c r="A444" s="263">
        <f t="shared" si="4"/>
        <v>443</v>
      </c>
      <c r="B444" s="501" t="s">
        <v>5965</v>
      </c>
      <c r="C444" s="430" t="s">
        <v>4421</v>
      </c>
      <c r="D444" s="263"/>
      <c r="E444" s="430" t="s">
        <v>5966</v>
      </c>
      <c r="F444" s="430" t="s">
        <v>682</v>
      </c>
      <c r="G444" s="430"/>
      <c r="H444" s="430" t="s">
        <v>5427</v>
      </c>
      <c r="I444" s="263"/>
      <c r="J444" s="263"/>
      <c r="K444" s="430" t="s">
        <v>5860</v>
      </c>
      <c r="L444" s="430"/>
      <c r="P444" s="448" t="s">
        <v>2620</v>
      </c>
    </row>
    <row r="445" spans="1:16">
      <c r="A445" s="263">
        <f t="shared" si="4"/>
        <v>444</v>
      </c>
      <c r="B445" s="501" t="s">
        <v>5967</v>
      </c>
      <c r="C445" s="430" t="s">
        <v>275</v>
      </c>
      <c r="D445" s="263"/>
      <c r="E445" s="430" t="s">
        <v>5968</v>
      </c>
      <c r="F445" s="430" t="s">
        <v>682</v>
      </c>
      <c r="G445" s="430"/>
      <c r="H445" s="430" t="s">
        <v>5427</v>
      </c>
      <c r="I445" s="263"/>
      <c r="J445" s="263"/>
      <c r="K445" s="430" t="s">
        <v>5861</v>
      </c>
      <c r="L445" s="430"/>
      <c r="P445" s="448" t="s">
        <v>2621</v>
      </c>
    </row>
    <row r="446" spans="1:16">
      <c r="A446" s="263">
        <f t="shared" si="4"/>
        <v>445</v>
      </c>
      <c r="B446" s="501" t="s">
        <v>5969</v>
      </c>
      <c r="C446" s="430" t="s">
        <v>275</v>
      </c>
      <c r="D446" s="263"/>
      <c r="E446" s="430" t="s">
        <v>5970</v>
      </c>
      <c r="F446" s="430" t="s">
        <v>682</v>
      </c>
      <c r="G446" s="430"/>
      <c r="H446" s="430" t="s">
        <v>5427</v>
      </c>
      <c r="I446" s="263"/>
      <c r="J446" s="263"/>
      <c r="K446" s="430" t="s">
        <v>2748</v>
      </c>
      <c r="L446" s="430"/>
      <c r="P446" s="448" t="s">
        <v>2624</v>
      </c>
    </row>
    <row r="447" spans="1:16">
      <c r="A447" s="263">
        <f t="shared" si="4"/>
        <v>446</v>
      </c>
      <c r="B447" s="501" t="s">
        <v>5971</v>
      </c>
      <c r="C447" s="430" t="s">
        <v>4415</v>
      </c>
      <c r="D447" s="263"/>
      <c r="E447" s="430" t="s">
        <v>5972</v>
      </c>
      <c r="F447" s="430" t="s">
        <v>682</v>
      </c>
      <c r="G447" s="430"/>
      <c r="H447" s="430" t="s">
        <v>5427</v>
      </c>
      <c r="I447" s="263"/>
      <c r="J447" s="263"/>
      <c r="K447" s="430" t="s">
        <v>5862</v>
      </c>
      <c r="L447" s="430"/>
      <c r="P447" s="448" t="s">
        <v>2625</v>
      </c>
    </row>
    <row r="448" spans="1:16">
      <c r="A448" s="263">
        <f t="shared" si="4"/>
        <v>447</v>
      </c>
      <c r="B448" s="501" t="s">
        <v>5973</v>
      </c>
      <c r="C448" s="430" t="s">
        <v>4415</v>
      </c>
      <c r="D448" s="263"/>
      <c r="E448" s="430" t="s">
        <v>5974</v>
      </c>
      <c r="F448" s="430" t="s">
        <v>682</v>
      </c>
      <c r="G448" s="430"/>
      <c r="H448" s="430" t="s">
        <v>5427</v>
      </c>
      <c r="I448" s="263"/>
      <c r="J448" s="263"/>
      <c r="K448" s="430" t="s">
        <v>2855</v>
      </c>
      <c r="L448" s="430"/>
      <c r="P448" s="448" t="s">
        <v>2626</v>
      </c>
    </row>
    <row r="449" spans="1:16">
      <c r="A449" s="263">
        <f t="shared" si="4"/>
        <v>448</v>
      </c>
      <c r="B449" s="501" t="s">
        <v>5975</v>
      </c>
      <c r="C449" s="430" t="s">
        <v>4415</v>
      </c>
      <c r="D449" s="263"/>
      <c r="E449" s="430" t="s">
        <v>5976</v>
      </c>
      <c r="F449" s="430" t="s">
        <v>682</v>
      </c>
      <c r="G449" s="430"/>
      <c r="H449" s="430" t="s">
        <v>5427</v>
      </c>
      <c r="I449" s="263"/>
      <c r="J449" s="263"/>
      <c r="K449" s="430" t="s">
        <v>2856</v>
      </c>
      <c r="L449" s="430"/>
      <c r="P449" s="448" t="s">
        <v>2627</v>
      </c>
    </row>
    <row r="450" spans="1:16">
      <c r="A450" s="263">
        <f t="shared" si="4"/>
        <v>449</v>
      </c>
      <c r="B450" s="501" t="s">
        <v>5977</v>
      </c>
      <c r="C450" s="430" t="s">
        <v>4415</v>
      </c>
      <c r="D450" s="263"/>
      <c r="E450" s="430" t="s">
        <v>5978</v>
      </c>
      <c r="F450" s="430" t="s">
        <v>682</v>
      </c>
      <c r="G450" s="430"/>
      <c r="H450" s="430" t="s">
        <v>5427</v>
      </c>
      <c r="I450" s="263"/>
      <c r="J450" s="263"/>
      <c r="K450" s="430" t="s">
        <v>2857</v>
      </c>
      <c r="L450" s="430"/>
      <c r="P450" s="448" t="s">
        <v>2628</v>
      </c>
    </row>
    <row r="451" spans="1:16">
      <c r="A451" s="263">
        <f t="shared" ref="A451:A514" si="5">ROW()-1</f>
        <v>450</v>
      </c>
      <c r="B451" s="501" t="s">
        <v>5979</v>
      </c>
      <c r="C451" s="430" t="s">
        <v>4415</v>
      </c>
      <c r="D451" s="263"/>
      <c r="E451" s="430" t="s">
        <v>5980</v>
      </c>
      <c r="F451" s="430" t="s">
        <v>682</v>
      </c>
      <c r="G451" s="430"/>
      <c r="H451" s="430" t="s">
        <v>5427</v>
      </c>
      <c r="I451" s="263"/>
      <c r="J451" s="263"/>
      <c r="K451" s="430" t="s">
        <v>2858</v>
      </c>
      <c r="L451" s="430"/>
      <c r="P451" s="448" t="s">
        <v>2631</v>
      </c>
    </row>
    <row r="452" spans="1:16">
      <c r="A452" s="263">
        <f t="shared" si="5"/>
        <v>451</v>
      </c>
      <c r="B452" s="501" t="s">
        <v>5981</v>
      </c>
      <c r="C452" s="430" t="s">
        <v>275</v>
      </c>
      <c r="D452" s="263"/>
      <c r="E452" s="430" t="s">
        <v>5982</v>
      </c>
      <c r="F452" s="430" t="s">
        <v>682</v>
      </c>
      <c r="G452" s="430"/>
      <c r="H452" s="430" t="s">
        <v>5427</v>
      </c>
      <c r="I452" s="263"/>
      <c r="J452" s="263"/>
      <c r="K452" s="430" t="s">
        <v>2753</v>
      </c>
      <c r="L452" s="430"/>
      <c r="P452" s="448" t="s">
        <v>2634</v>
      </c>
    </row>
    <row r="453" spans="1:16">
      <c r="A453" s="263">
        <f t="shared" si="5"/>
        <v>452</v>
      </c>
      <c r="B453" s="501" t="s">
        <v>5983</v>
      </c>
      <c r="C453" s="430" t="s">
        <v>275</v>
      </c>
      <c r="D453" s="263"/>
      <c r="E453" s="430" t="s">
        <v>5984</v>
      </c>
      <c r="F453" s="430" t="s">
        <v>682</v>
      </c>
      <c r="G453" s="430"/>
      <c r="H453" s="430" t="s">
        <v>5427</v>
      </c>
      <c r="I453" s="263"/>
      <c r="J453" s="263"/>
      <c r="K453" s="430" t="s">
        <v>7</v>
      </c>
      <c r="L453" s="430"/>
      <c r="P453" s="448" t="s">
        <v>2636</v>
      </c>
    </row>
    <row r="454" spans="1:16">
      <c r="A454" s="263">
        <f t="shared" si="5"/>
        <v>453</v>
      </c>
      <c r="B454" s="501" t="s">
        <v>5985</v>
      </c>
      <c r="C454" s="430" t="s">
        <v>275</v>
      </c>
      <c r="D454" s="263"/>
      <c r="E454" s="430" t="s">
        <v>5986</v>
      </c>
      <c r="F454" s="430" t="s">
        <v>682</v>
      </c>
      <c r="G454" s="430"/>
      <c r="H454" s="430" t="s">
        <v>5427</v>
      </c>
      <c r="I454" s="263"/>
      <c r="J454" s="263"/>
      <c r="K454" s="430" t="s">
        <v>2861</v>
      </c>
      <c r="L454" s="430"/>
      <c r="P454" s="448" t="s">
        <v>2637</v>
      </c>
    </row>
    <row r="455" spans="1:16">
      <c r="A455" s="263">
        <f t="shared" si="5"/>
        <v>454</v>
      </c>
      <c r="B455" s="501" t="s">
        <v>5987</v>
      </c>
      <c r="C455" s="430" t="s">
        <v>275</v>
      </c>
      <c r="D455" s="263"/>
      <c r="E455" s="430" t="s">
        <v>5988</v>
      </c>
      <c r="F455" s="430" t="s">
        <v>682</v>
      </c>
      <c r="G455" s="430"/>
      <c r="H455" s="430" t="s">
        <v>5427</v>
      </c>
      <c r="I455" s="263"/>
      <c r="J455" s="263"/>
      <c r="K455" s="430" t="s">
        <v>2862</v>
      </c>
      <c r="L455" s="430"/>
      <c r="P455" s="448" t="s">
        <v>2640</v>
      </c>
    </row>
    <row r="456" spans="1:16">
      <c r="A456" s="263">
        <f t="shared" si="5"/>
        <v>455</v>
      </c>
      <c r="B456" s="501" t="s">
        <v>5989</v>
      </c>
      <c r="C456" s="430" t="s">
        <v>4415</v>
      </c>
      <c r="D456" s="263"/>
      <c r="E456" s="430" t="s">
        <v>5990</v>
      </c>
      <c r="F456" s="430" t="s">
        <v>682</v>
      </c>
      <c r="G456" s="430"/>
      <c r="H456" s="430" t="s">
        <v>5427</v>
      </c>
      <c r="I456" s="263"/>
      <c r="J456" s="263"/>
      <c r="K456" s="430" t="s">
        <v>2864</v>
      </c>
      <c r="L456" s="430"/>
      <c r="P456" s="448" t="s">
        <v>2641</v>
      </c>
    </row>
    <row r="457" spans="1:16">
      <c r="A457" s="263">
        <f t="shared" si="5"/>
        <v>456</v>
      </c>
      <c r="B457" s="501" t="s">
        <v>5991</v>
      </c>
      <c r="C457" s="430" t="s">
        <v>4415</v>
      </c>
      <c r="D457" s="263"/>
      <c r="E457" s="430" t="s">
        <v>5992</v>
      </c>
      <c r="F457" s="430" t="s">
        <v>682</v>
      </c>
      <c r="G457" s="430"/>
      <c r="H457" s="430" t="s">
        <v>5427</v>
      </c>
      <c r="I457" s="263"/>
      <c r="J457" s="263"/>
      <c r="K457" s="430" t="s">
        <v>5863</v>
      </c>
      <c r="L457" s="511"/>
      <c r="P457" s="452" t="s">
        <v>2642</v>
      </c>
    </row>
    <row r="458" spans="1:16">
      <c r="A458" s="263">
        <f t="shared" si="5"/>
        <v>457</v>
      </c>
      <c r="B458" s="510" t="s">
        <v>5993</v>
      </c>
      <c r="C458" s="511" t="s">
        <v>275</v>
      </c>
      <c r="D458" s="263"/>
      <c r="E458" s="511" t="s">
        <v>5994</v>
      </c>
      <c r="F458" s="511" t="s">
        <v>682</v>
      </c>
      <c r="G458" s="511"/>
      <c r="H458" s="511" t="s">
        <v>5427</v>
      </c>
      <c r="I458" s="263"/>
      <c r="J458" s="263"/>
      <c r="K458" s="511" t="s">
        <v>5864</v>
      </c>
      <c r="L458" s="430"/>
      <c r="P458" s="448" t="s">
        <v>2643</v>
      </c>
    </row>
    <row r="459" spans="1:16">
      <c r="A459" s="263">
        <f t="shared" si="5"/>
        <v>458</v>
      </c>
      <c r="B459" s="501" t="s">
        <v>5995</v>
      </c>
      <c r="C459" s="430" t="s">
        <v>275</v>
      </c>
      <c r="D459" s="263"/>
      <c r="E459" s="430" t="s">
        <v>5996</v>
      </c>
      <c r="F459" s="430" t="s">
        <v>682</v>
      </c>
      <c r="G459" s="430"/>
      <c r="H459" s="430" t="s">
        <v>5427</v>
      </c>
      <c r="I459" s="263"/>
      <c r="J459" s="263"/>
      <c r="K459" s="430" t="s">
        <v>2865</v>
      </c>
      <c r="L459" s="430"/>
      <c r="P459" s="448" t="s">
        <v>2644</v>
      </c>
    </row>
    <row r="460" spans="1:16">
      <c r="A460" s="263">
        <f t="shared" si="5"/>
        <v>459</v>
      </c>
      <c r="B460" s="501" t="s">
        <v>5997</v>
      </c>
      <c r="C460" s="430" t="s">
        <v>275</v>
      </c>
      <c r="D460" s="263"/>
      <c r="E460" s="430" t="s">
        <v>5998</v>
      </c>
      <c r="F460" s="430" t="s">
        <v>682</v>
      </c>
      <c r="G460" s="430"/>
      <c r="H460" s="430" t="s">
        <v>5427</v>
      </c>
      <c r="I460" s="263"/>
      <c r="J460" s="263"/>
      <c r="K460" s="430" t="s">
        <v>2866</v>
      </c>
      <c r="L460" s="430"/>
      <c r="P460" s="448" t="s">
        <v>2645</v>
      </c>
    </row>
    <row r="461" spans="1:16">
      <c r="A461" s="263">
        <f t="shared" si="5"/>
        <v>460</v>
      </c>
      <c r="B461" s="501" t="s">
        <v>5999</v>
      </c>
      <c r="C461" s="430" t="s">
        <v>275</v>
      </c>
      <c r="D461" s="263"/>
      <c r="E461" s="430" t="s">
        <v>6000</v>
      </c>
      <c r="F461" s="430" t="s">
        <v>682</v>
      </c>
      <c r="G461" s="430"/>
      <c r="H461" s="430" t="s">
        <v>5427</v>
      </c>
      <c r="I461" s="263"/>
      <c r="J461" s="263"/>
      <c r="K461" s="430" t="s">
        <v>96</v>
      </c>
      <c r="L461" s="430"/>
      <c r="P461" s="448" t="s">
        <v>2646</v>
      </c>
    </row>
    <row r="462" spans="1:16">
      <c r="A462" s="263">
        <f t="shared" si="5"/>
        <v>461</v>
      </c>
      <c r="B462" s="501" t="s">
        <v>6001</v>
      </c>
      <c r="C462" s="430" t="s">
        <v>275</v>
      </c>
      <c r="D462" s="263"/>
      <c r="E462" s="430" t="s">
        <v>6002</v>
      </c>
      <c r="F462" s="430" t="s">
        <v>682</v>
      </c>
      <c r="G462" s="430"/>
      <c r="H462" s="430" t="s">
        <v>5427</v>
      </c>
      <c r="I462" s="263"/>
      <c r="J462" s="263"/>
      <c r="K462" s="430" t="s">
        <v>97</v>
      </c>
      <c r="L462" s="430"/>
      <c r="P462" s="448" t="s">
        <v>2647</v>
      </c>
    </row>
    <row r="463" spans="1:16">
      <c r="A463" s="263">
        <f t="shared" si="5"/>
        <v>462</v>
      </c>
      <c r="B463" s="501" t="s">
        <v>6003</v>
      </c>
      <c r="C463" s="430" t="s">
        <v>275</v>
      </c>
      <c r="D463" s="263"/>
      <c r="E463" s="430" t="s">
        <v>6004</v>
      </c>
      <c r="F463" s="430" t="s">
        <v>682</v>
      </c>
      <c r="G463" s="430"/>
      <c r="H463" s="430" t="s">
        <v>5427</v>
      </c>
      <c r="I463" s="263"/>
      <c r="J463" s="263"/>
      <c r="K463" s="430" t="s">
        <v>98</v>
      </c>
      <c r="L463" s="430"/>
      <c r="P463" s="448" t="s">
        <v>2648</v>
      </c>
    </row>
    <row r="464" spans="1:16">
      <c r="A464" s="263">
        <f t="shared" si="5"/>
        <v>463</v>
      </c>
      <c r="B464" s="501" t="s">
        <v>6005</v>
      </c>
      <c r="C464" s="430" t="s">
        <v>275</v>
      </c>
      <c r="D464" s="263"/>
      <c r="E464" s="430" t="s">
        <v>6006</v>
      </c>
      <c r="F464" s="430" t="s">
        <v>682</v>
      </c>
      <c r="G464" s="430"/>
      <c r="H464" s="430" t="s">
        <v>5427</v>
      </c>
      <c r="I464" s="263"/>
      <c r="J464" s="263"/>
      <c r="K464" s="430" t="s">
        <v>2766</v>
      </c>
      <c r="L464" s="430"/>
      <c r="P464" s="448" t="s">
        <v>2649</v>
      </c>
    </row>
    <row r="465" spans="1:16">
      <c r="A465" s="263">
        <f t="shared" si="5"/>
        <v>464</v>
      </c>
      <c r="B465" s="501" t="s">
        <v>6007</v>
      </c>
      <c r="C465" s="430" t="s">
        <v>275</v>
      </c>
      <c r="D465" s="263"/>
      <c r="E465" s="430" t="s">
        <v>6008</v>
      </c>
      <c r="F465" s="430" t="s">
        <v>682</v>
      </c>
      <c r="G465" s="430"/>
      <c r="H465" s="430" t="s">
        <v>5427</v>
      </c>
      <c r="I465" s="263"/>
      <c r="J465" s="263"/>
      <c r="K465" s="430" t="s">
        <v>2867</v>
      </c>
      <c r="L465" s="430"/>
      <c r="P465" s="448" t="s">
        <v>2650</v>
      </c>
    </row>
    <row r="466" spans="1:16">
      <c r="A466" s="263">
        <f t="shared" si="5"/>
        <v>465</v>
      </c>
      <c r="B466" s="501" t="s">
        <v>6009</v>
      </c>
      <c r="C466" s="430" t="s">
        <v>275</v>
      </c>
      <c r="D466" s="263"/>
      <c r="E466" s="430" t="s">
        <v>6010</v>
      </c>
      <c r="F466" s="430" t="s">
        <v>682</v>
      </c>
      <c r="G466" s="430"/>
      <c r="H466" s="430" t="s">
        <v>5427</v>
      </c>
      <c r="I466" s="263"/>
      <c r="J466" s="263"/>
      <c r="K466" s="430" t="s">
        <v>2868</v>
      </c>
      <c r="L466" s="430"/>
      <c r="P466" s="448" t="s">
        <v>2661</v>
      </c>
    </row>
    <row r="467" spans="1:16">
      <c r="A467" s="263">
        <f t="shared" si="5"/>
        <v>466</v>
      </c>
      <c r="B467" s="501" t="s">
        <v>6011</v>
      </c>
      <c r="C467" s="430" t="s">
        <v>275</v>
      </c>
      <c r="D467" s="263"/>
      <c r="E467" s="430" t="s">
        <v>6012</v>
      </c>
      <c r="F467" s="430" t="s">
        <v>682</v>
      </c>
      <c r="G467" s="430"/>
      <c r="H467" s="430" t="s">
        <v>5427</v>
      </c>
      <c r="I467" s="263"/>
      <c r="J467" s="263"/>
      <c r="K467" s="430" t="s">
        <v>2878</v>
      </c>
      <c r="L467" s="430"/>
      <c r="P467" s="448" t="s">
        <v>2664</v>
      </c>
    </row>
    <row r="468" spans="1:16">
      <c r="A468" s="263">
        <f t="shared" si="5"/>
        <v>467</v>
      </c>
      <c r="B468" s="501" t="s">
        <v>6013</v>
      </c>
      <c r="C468" s="430" t="s">
        <v>275</v>
      </c>
      <c r="D468" s="263"/>
      <c r="E468" s="430" t="s">
        <v>6014</v>
      </c>
      <c r="F468" s="430" t="s">
        <v>682</v>
      </c>
      <c r="G468" s="430"/>
      <c r="H468" s="430" t="s">
        <v>5427</v>
      </c>
      <c r="I468" s="263"/>
      <c r="J468" s="263"/>
      <c r="K468" s="430" t="s">
        <v>3353</v>
      </c>
      <c r="L468" s="430"/>
      <c r="P468" s="448" t="s">
        <v>2665</v>
      </c>
    </row>
    <row r="469" spans="1:16">
      <c r="A469" s="263">
        <f t="shared" si="5"/>
        <v>468</v>
      </c>
      <c r="B469" s="501" t="s">
        <v>6015</v>
      </c>
      <c r="C469" s="430" t="s">
        <v>275</v>
      </c>
      <c r="D469" s="263"/>
      <c r="E469" s="430" t="s">
        <v>6016</v>
      </c>
      <c r="F469" s="430" t="s">
        <v>682</v>
      </c>
      <c r="G469" s="430"/>
      <c r="H469" s="430" t="s">
        <v>5427</v>
      </c>
      <c r="I469" s="263"/>
      <c r="J469" s="263"/>
      <c r="K469" s="430" t="s">
        <v>249</v>
      </c>
      <c r="L469" s="501"/>
      <c r="P469" s="448" t="s">
        <v>2666</v>
      </c>
    </row>
    <row r="470" spans="1:16">
      <c r="A470" s="263">
        <f t="shared" si="5"/>
        <v>469</v>
      </c>
      <c r="B470" s="501" t="s">
        <v>6017</v>
      </c>
      <c r="C470" s="501" t="s">
        <v>275</v>
      </c>
      <c r="D470" s="263"/>
      <c r="E470" s="501" t="s">
        <v>6018</v>
      </c>
      <c r="F470" s="501" t="s">
        <v>682</v>
      </c>
      <c r="G470" s="501"/>
      <c r="H470" s="501" t="s">
        <v>5427</v>
      </c>
      <c r="I470" s="263"/>
      <c r="J470" s="263"/>
      <c r="K470" s="501" t="s">
        <v>2239</v>
      </c>
      <c r="L470" s="430"/>
      <c r="P470" s="448" t="s">
        <v>2668</v>
      </c>
    </row>
    <row r="471" spans="1:16">
      <c r="A471" s="263">
        <f t="shared" si="5"/>
        <v>470</v>
      </c>
      <c r="B471" s="501" t="s">
        <v>6019</v>
      </c>
      <c r="C471" s="430" t="s">
        <v>275</v>
      </c>
      <c r="D471" s="263"/>
      <c r="E471" s="430" t="s">
        <v>6020</v>
      </c>
      <c r="F471" s="430" t="s">
        <v>682</v>
      </c>
      <c r="G471" s="430"/>
      <c r="H471" s="430" t="s">
        <v>5427</v>
      </c>
      <c r="I471" s="263"/>
      <c r="J471" s="263"/>
      <c r="K471" s="430" t="s">
        <v>5865</v>
      </c>
      <c r="L471" s="501"/>
      <c r="P471" s="450" t="s">
        <v>2671</v>
      </c>
    </row>
    <row r="472" spans="1:16">
      <c r="A472" s="263">
        <f t="shared" si="5"/>
        <v>471</v>
      </c>
      <c r="B472" s="501" t="s">
        <v>6021</v>
      </c>
      <c r="C472" s="501" t="s">
        <v>4415</v>
      </c>
      <c r="D472" s="263"/>
      <c r="E472" s="501" t="s">
        <v>6022</v>
      </c>
      <c r="F472" s="501" t="s">
        <v>682</v>
      </c>
      <c r="G472" s="501"/>
      <c r="H472" s="501" t="s">
        <v>5427</v>
      </c>
      <c r="I472" s="263"/>
      <c r="J472" s="263"/>
      <c r="K472" s="501" t="s">
        <v>3359</v>
      </c>
      <c r="L472" s="430"/>
      <c r="P472" s="448" t="s">
        <v>2673</v>
      </c>
    </row>
    <row r="473" spans="1:16">
      <c r="A473" s="263">
        <f t="shared" si="5"/>
        <v>472</v>
      </c>
      <c r="B473" s="501" t="s">
        <v>6023</v>
      </c>
      <c r="C473" s="430" t="s">
        <v>275</v>
      </c>
      <c r="D473" s="263"/>
      <c r="E473" s="430" t="s">
        <v>6024</v>
      </c>
      <c r="F473" s="430" t="s">
        <v>682</v>
      </c>
      <c r="G473" s="430"/>
      <c r="H473" s="430" t="s">
        <v>5427</v>
      </c>
      <c r="I473" s="263"/>
      <c r="J473" s="263"/>
      <c r="K473" s="430" t="s">
        <v>2884</v>
      </c>
      <c r="L473" s="430"/>
      <c r="P473" s="448" t="s">
        <v>2674</v>
      </c>
    </row>
    <row r="474" spans="1:16">
      <c r="A474" s="263">
        <f t="shared" si="5"/>
        <v>473</v>
      </c>
      <c r="B474" s="501" t="s">
        <v>6025</v>
      </c>
      <c r="C474" s="430" t="s">
        <v>275</v>
      </c>
      <c r="D474" s="263"/>
      <c r="E474" s="430" t="s">
        <v>6026</v>
      </c>
      <c r="F474" s="430" t="s">
        <v>682</v>
      </c>
      <c r="G474" s="430"/>
      <c r="H474" s="430" t="s">
        <v>5427</v>
      </c>
      <c r="I474" s="263"/>
      <c r="J474" s="263"/>
      <c r="K474" s="430" t="s">
        <v>2885</v>
      </c>
      <c r="L474" s="430"/>
      <c r="P474" s="448" t="s">
        <v>2681</v>
      </c>
    </row>
    <row r="475" spans="1:16">
      <c r="A475" s="263">
        <f t="shared" si="5"/>
        <v>474</v>
      </c>
      <c r="B475" s="501" t="s">
        <v>6027</v>
      </c>
      <c r="C475" s="430" t="s">
        <v>4415</v>
      </c>
      <c r="D475" s="263"/>
      <c r="E475" s="430" t="s">
        <v>6028</v>
      </c>
      <c r="F475" s="430" t="s">
        <v>682</v>
      </c>
      <c r="G475" s="430"/>
      <c r="H475" s="430" t="s">
        <v>5427</v>
      </c>
      <c r="I475" s="263"/>
      <c r="J475" s="263"/>
      <c r="K475" s="430" t="s">
        <v>2890</v>
      </c>
      <c r="L475" s="430"/>
      <c r="P475" s="448" t="s">
        <v>2684</v>
      </c>
    </row>
    <row r="476" spans="1:16">
      <c r="A476" s="263">
        <f t="shared" si="5"/>
        <v>475</v>
      </c>
      <c r="B476" s="430" t="s">
        <v>6029</v>
      </c>
      <c r="C476" s="430" t="s">
        <v>4415</v>
      </c>
      <c r="D476" s="263"/>
      <c r="E476" s="430" t="s">
        <v>6030</v>
      </c>
      <c r="F476" s="430" t="s">
        <v>682</v>
      </c>
      <c r="G476" s="430"/>
      <c r="H476" s="430" t="s">
        <v>5427</v>
      </c>
      <c r="I476" s="263"/>
      <c r="J476" s="263"/>
      <c r="K476" s="430" t="s">
        <v>2893</v>
      </c>
      <c r="L476" s="430"/>
      <c r="P476" s="450" t="s">
        <v>2700</v>
      </c>
    </row>
    <row r="477" spans="1:16">
      <c r="A477" s="263">
        <f t="shared" si="5"/>
        <v>476</v>
      </c>
      <c r="B477" s="501" t="s">
        <v>6031</v>
      </c>
      <c r="C477" s="430" t="s">
        <v>275</v>
      </c>
      <c r="D477" s="263"/>
      <c r="E477" s="430" t="s">
        <v>6032</v>
      </c>
      <c r="F477" s="430" t="s">
        <v>682</v>
      </c>
      <c r="G477" s="430"/>
      <c r="H477" s="430" t="s">
        <v>5427</v>
      </c>
      <c r="I477" s="263"/>
      <c r="J477" s="263"/>
      <c r="K477" s="430" t="s">
        <v>2907</v>
      </c>
      <c r="L477" s="430"/>
      <c r="P477" s="448" t="s">
        <v>2701</v>
      </c>
    </row>
    <row r="478" spans="1:16">
      <c r="A478" s="263">
        <f t="shared" si="5"/>
        <v>477</v>
      </c>
      <c r="B478" s="501" t="s">
        <v>6033</v>
      </c>
      <c r="C478" s="430" t="s">
        <v>275</v>
      </c>
      <c r="D478" s="263"/>
      <c r="E478" s="430" t="s">
        <v>6034</v>
      </c>
      <c r="F478" s="430" t="s">
        <v>682</v>
      </c>
      <c r="G478" s="430"/>
      <c r="H478" s="430" t="s">
        <v>5427</v>
      </c>
      <c r="I478" s="263"/>
      <c r="J478" s="263"/>
      <c r="K478" s="430" t="s">
        <v>2908</v>
      </c>
      <c r="L478" s="430"/>
      <c r="P478" s="448" t="s">
        <v>2702</v>
      </c>
    </row>
    <row r="479" spans="1:16">
      <c r="A479" s="263">
        <f t="shared" si="5"/>
        <v>478</v>
      </c>
      <c r="B479" s="501" t="s">
        <v>6035</v>
      </c>
      <c r="C479" s="430" t="s">
        <v>275</v>
      </c>
      <c r="D479" s="263"/>
      <c r="E479" s="430" t="s">
        <v>6036</v>
      </c>
      <c r="F479" s="430" t="s">
        <v>682</v>
      </c>
      <c r="G479" s="430"/>
      <c r="H479" s="430" t="s">
        <v>5427</v>
      </c>
      <c r="I479" s="263"/>
      <c r="J479" s="263"/>
      <c r="K479" s="430" t="s">
        <v>2799</v>
      </c>
      <c r="L479" s="430"/>
      <c r="P479" s="448" t="s">
        <v>2703</v>
      </c>
    </row>
    <row r="480" spans="1:16">
      <c r="A480" s="263">
        <f t="shared" si="5"/>
        <v>479</v>
      </c>
      <c r="B480" s="501" t="s">
        <v>6037</v>
      </c>
      <c r="C480" s="430" t="s">
        <v>275</v>
      </c>
      <c r="D480" s="263"/>
      <c r="E480" s="430" t="s">
        <v>6038</v>
      </c>
      <c r="F480" s="430" t="s">
        <v>682</v>
      </c>
      <c r="G480" s="430"/>
      <c r="H480" s="430" t="s">
        <v>5427</v>
      </c>
      <c r="I480" s="263"/>
      <c r="J480" s="263"/>
      <c r="K480" s="430" t="s">
        <v>2909</v>
      </c>
      <c r="L480" s="430"/>
      <c r="P480" s="448" t="s">
        <v>2704</v>
      </c>
    </row>
    <row r="481" spans="1:16">
      <c r="A481" s="263">
        <f t="shared" si="5"/>
        <v>480</v>
      </c>
      <c r="B481" s="501" t="s">
        <v>6039</v>
      </c>
      <c r="C481" s="430" t="s">
        <v>275</v>
      </c>
      <c r="D481" s="263"/>
      <c r="E481" s="430" t="s">
        <v>6040</v>
      </c>
      <c r="F481" s="430" t="s">
        <v>682</v>
      </c>
      <c r="G481" s="430"/>
      <c r="H481" s="430" t="s">
        <v>5427</v>
      </c>
      <c r="I481" s="263"/>
      <c r="J481" s="263"/>
      <c r="K481" s="430" t="s">
        <v>2910</v>
      </c>
      <c r="L481" s="430"/>
      <c r="P481" s="448" t="s">
        <v>3204</v>
      </c>
    </row>
    <row r="482" spans="1:16">
      <c r="A482" s="263">
        <f t="shared" si="5"/>
        <v>481</v>
      </c>
      <c r="B482" s="501" t="s">
        <v>6041</v>
      </c>
      <c r="C482" s="430" t="s">
        <v>275</v>
      </c>
      <c r="D482" s="263"/>
      <c r="E482" s="502" t="s">
        <v>6042</v>
      </c>
      <c r="F482" s="430" t="s">
        <v>682</v>
      </c>
      <c r="G482" s="430"/>
      <c r="H482" s="430" t="s">
        <v>5427</v>
      </c>
      <c r="I482" s="263"/>
      <c r="J482" s="263"/>
      <c r="K482" s="430" t="s">
        <v>252</v>
      </c>
      <c r="L482" s="430"/>
      <c r="P482" s="448" t="s">
        <v>3205</v>
      </c>
    </row>
    <row r="483" spans="1:16">
      <c r="A483" s="263">
        <f t="shared" si="5"/>
        <v>482</v>
      </c>
      <c r="B483" s="501" t="s">
        <v>6043</v>
      </c>
      <c r="C483" s="430" t="s">
        <v>4421</v>
      </c>
      <c r="D483" s="263"/>
      <c r="E483" s="430" t="s">
        <v>3219</v>
      </c>
      <c r="F483" s="430" t="s">
        <v>682</v>
      </c>
      <c r="G483" s="430"/>
      <c r="H483" s="430" t="s">
        <v>5427</v>
      </c>
      <c r="I483" s="263"/>
      <c r="J483" s="263"/>
      <c r="K483" s="430" t="s">
        <v>3565</v>
      </c>
      <c r="L483" s="430"/>
      <c r="P483" s="448" t="s">
        <v>3206</v>
      </c>
    </row>
    <row r="484" spans="1:16">
      <c r="A484" s="263">
        <f t="shared" si="5"/>
        <v>483</v>
      </c>
      <c r="B484" s="501" t="s">
        <v>6044</v>
      </c>
      <c r="C484" s="430" t="s">
        <v>275</v>
      </c>
      <c r="D484" s="263"/>
      <c r="E484" s="430" t="s">
        <v>3220</v>
      </c>
      <c r="F484" s="430" t="s">
        <v>682</v>
      </c>
      <c r="G484" s="430"/>
      <c r="H484" s="430" t="s">
        <v>5427</v>
      </c>
      <c r="I484" s="263"/>
      <c r="J484" s="263"/>
      <c r="K484" s="430" t="s">
        <v>3576</v>
      </c>
      <c r="L484" s="430"/>
      <c r="P484" s="448" t="s">
        <v>6046</v>
      </c>
    </row>
    <row r="485" spans="1:16">
      <c r="A485" s="263">
        <f t="shared" si="5"/>
        <v>484</v>
      </c>
      <c r="B485" s="501" t="s">
        <v>6045</v>
      </c>
      <c r="C485" s="430" t="s">
        <v>275</v>
      </c>
      <c r="D485" s="263"/>
      <c r="E485" s="430" t="s">
        <v>3418</v>
      </c>
      <c r="F485" s="430" t="s">
        <v>682</v>
      </c>
      <c r="G485" s="430"/>
      <c r="H485" s="430" t="s">
        <v>5427</v>
      </c>
      <c r="I485" s="263"/>
      <c r="J485" s="263"/>
      <c r="K485" s="430" t="s">
        <v>3486</v>
      </c>
      <c r="L485" s="430"/>
      <c r="P485" s="448" t="s">
        <v>6048</v>
      </c>
    </row>
    <row r="486" spans="1:16">
      <c r="A486" s="263">
        <f t="shared" si="5"/>
        <v>485</v>
      </c>
      <c r="B486" s="501" t="s">
        <v>6047</v>
      </c>
      <c r="C486" s="430" t="s">
        <v>4421</v>
      </c>
      <c r="D486" s="263"/>
      <c r="E486" s="430" t="s">
        <v>3419</v>
      </c>
      <c r="F486" s="430" t="s">
        <v>682</v>
      </c>
      <c r="G486" s="430"/>
      <c r="H486" s="430" t="s">
        <v>5427</v>
      </c>
      <c r="I486" s="263"/>
      <c r="J486" s="263"/>
      <c r="K486" s="430" t="s">
        <v>3476</v>
      </c>
      <c r="L486" s="430"/>
      <c r="P486" s="448" t="s">
        <v>6050</v>
      </c>
    </row>
    <row r="487" spans="1:16">
      <c r="A487" s="263">
        <f t="shared" si="5"/>
        <v>486</v>
      </c>
      <c r="B487" s="501" t="s">
        <v>6049</v>
      </c>
      <c r="C487" s="430" t="s">
        <v>275</v>
      </c>
      <c r="D487" s="263"/>
      <c r="E487" s="430" t="s">
        <v>3420</v>
      </c>
      <c r="F487" s="430" t="s">
        <v>682</v>
      </c>
      <c r="G487" s="430"/>
      <c r="H487" s="430" t="s">
        <v>5427</v>
      </c>
      <c r="I487" s="263"/>
      <c r="J487" s="263"/>
      <c r="K487" s="430" t="s">
        <v>3577</v>
      </c>
      <c r="L487" s="430"/>
      <c r="P487" s="448" t="s">
        <v>6052</v>
      </c>
    </row>
    <row r="488" spans="1:16">
      <c r="A488" s="263">
        <f t="shared" si="5"/>
        <v>487</v>
      </c>
      <c r="B488" s="501" t="s">
        <v>6051</v>
      </c>
      <c r="C488" s="430" t="s">
        <v>4415</v>
      </c>
      <c r="D488" s="263"/>
      <c r="E488" s="430" t="s">
        <v>3569</v>
      </c>
      <c r="F488" s="430" t="s">
        <v>682</v>
      </c>
      <c r="G488" s="430"/>
      <c r="H488" s="430" t="s">
        <v>5427</v>
      </c>
      <c r="I488" s="263"/>
      <c r="J488" s="263"/>
      <c r="K488" s="430" t="s">
        <v>3569</v>
      </c>
      <c r="L488" s="430"/>
      <c r="P488" s="448" t="s">
        <v>6054</v>
      </c>
    </row>
    <row r="489" spans="1:16">
      <c r="A489" s="263">
        <f t="shared" si="5"/>
        <v>488</v>
      </c>
      <c r="B489" s="501" t="s">
        <v>6053</v>
      </c>
      <c r="C489" s="430" t="s">
        <v>4421</v>
      </c>
      <c r="D489" s="263"/>
      <c r="E489" s="430" t="s">
        <v>3570</v>
      </c>
      <c r="F489" s="430" t="s">
        <v>682</v>
      </c>
      <c r="G489" s="430"/>
      <c r="H489" s="430" t="s">
        <v>5427</v>
      </c>
      <c r="I489" s="263"/>
      <c r="J489" s="263"/>
      <c r="K489" s="430" t="s">
        <v>3578</v>
      </c>
      <c r="L489" s="430"/>
      <c r="P489" s="448" t="s">
        <v>6056</v>
      </c>
    </row>
    <row r="490" spans="1:16">
      <c r="A490" s="263">
        <f t="shared" si="5"/>
        <v>489</v>
      </c>
      <c r="B490" s="501" t="s">
        <v>6055</v>
      </c>
      <c r="C490" s="430" t="s">
        <v>4421</v>
      </c>
      <c r="D490" s="263"/>
      <c r="E490" s="430" t="s">
        <v>3571</v>
      </c>
      <c r="F490" s="430" t="s">
        <v>682</v>
      </c>
      <c r="G490" s="430"/>
      <c r="H490" s="430" t="s">
        <v>5427</v>
      </c>
      <c r="I490" s="263"/>
      <c r="J490" s="263"/>
      <c r="K490" s="430"/>
      <c r="L490" s="430"/>
      <c r="P490" s="448" t="s">
        <v>6058</v>
      </c>
    </row>
    <row r="491" spans="1:16">
      <c r="A491" s="263">
        <f t="shared" si="5"/>
        <v>490</v>
      </c>
      <c r="B491" s="501" t="s">
        <v>6057</v>
      </c>
      <c r="C491" s="430" t="s">
        <v>4421</v>
      </c>
      <c r="D491" s="263"/>
      <c r="E491" s="430" t="s">
        <v>3572</v>
      </c>
      <c r="F491" s="430" t="s">
        <v>682</v>
      </c>
      <c r="G491" s="430"/>
      <c r="H491" s="430" t="s">
        <v>5427</v>
      </c>
      <c r="I491" s="263"/>
      <c r="J491" s="263"/>
      <c r="K491" s="430" t="s">
        <v>3579</v>
      </c>
      <c r="L491" s="430"/>
      <c r="P491" s="448" t="s">
        <v>5782</v>
      </c>
    </row>
    <row r="492" spans="1:16">
      <c r="A492" s="263">
        <f t="shared" si="5"/>
        <v>491</v>
      </c>
      <c r="B492" s="501" t="s">
        <v>6059</v>
      </c>
      <c r="C492" s="430" t="s">
        <v>4421</v>
      </c>
      <c r="D492" s="263"/>
      <c r="E492" s="430" t="s">
        <v>5783</v>
      </c>
      <c r="F492" s="430" t="s">
        <v>6060</v>
      </c>
      <c r="G492" s="430"/>
      <c r="H492" s="430" t="s">
        <v>5427</v>
      </c>
      <c r="I492" s="263"/>
      <c r="J492" s="263"/>
      <c r="K492" s="430" t="s">
        <v>5784</v>
      </c>
      <c r="L492" s="430"/>
      <c r="P492" s="448" t="s">
        <v>5785</v>
      </c>
    </row>
    <row r="493" spans="1:16">
      <c r="A493" s="263">
        <f t="shared" si="5"/>
        <v>492</v>
      </c>
      <c r="B493" s="501" t="s">
        <v>6061</v>
      </c>
      <c r="C493" s="430" t="s">
        <v>4421</v>
      </c>
      <c r="D493" s="263"/>
      <c r="E493" s="430" t="s">
        <v>5786</v>
      </c>
      <c r="F493" s="430" t="s">
        <v>6060</v>
      </c>
      <c r="G493" s="430"/>
      <c r="H493" s="430" t="s">
        <v>5427</v>
      </c>
      <c r="I493" s="263"/>
      <c r="J493" s="263"/>
      <c r="K493" s="430" t="s">
        <v>5787</v>
      </c>
      <c r="L493" s="430"/>
      <c r="P493" s="448" t="s">
        <v>5788</v>
      </c>
    </row>
    <row r="494" spans="1:16">
      <c r="A494" s="263">
        <f t="shared" si="5"/>
        <v>493</v>
      </c>
      <c r="B494" s="501" t="s">
        <v>6062</v>
      </c>
      <c r="C494" s="430" t="s">
        <v>275</v>
      </c>
      <c r="D494" s="263"/>
      <c r="E494" s="430" t="s">
        <v>5789</v>
      </c>
      <c r="F494" s="430" t="s">
        <v>6060</v>
      </c>
      <c r="G494" s="430"/>
      <c r="H494" s="430" t="s">
        <v>5427</v>
      </c>
      <c r="I494" s="263"/>
      <c r="J494" s="263"/>
      <c r="K494" s="430" t="s">
        <v>854</v>
      </c>
      <c r="L494" s="430"/>
      <c r="P494" s="448" t="s">
        <v>5790</v>
      </c>
    </row>
    <row r="495" spans="1:16">
      <c r="A495" s="263">
        <f t="shared" si="5"/>
        <v>494</v>
      </c>
      <c r="B495" s="501" t="s">
        <v>6063</v>
      </c>
      <c r="C495" s="430" t="s">
        <v>275</v>
      </c>
      <c r="D495" s="263"/>
      <c r="E495" s="430" t="s">
        <v>5791</v>
      </c>
      <c r="F495" s="430" t="s">
        <v>6060</v>
      </c>
      <c r="G495" s="430"/>
      <c r="H495" s="430" t="s">
        <v>5427</v>
      </c>
      <c r="I495" s="263"/>
      <c r="J495" s="263"/>
      <c r="K495" s="430" t="s">
        <v>3483</v>
      </c>
      <c r="L495" s="430"/>
      <c r="P495" s="448" t="s">
        <v>5792</v>
      </c>
    </row>
    <row r="496" spans="1:16">
      <c r="A496" s="263">
        <f t="shared" si="5"/>
        <v>495</v>
      </c>
      <c r="B496" s="501" t="s">
        <v>6064</v>
      </c>
      <c r="C496" s="430" t="s">
        <v>4415</v>
      </c>
      <c r="D496" s="263"/>
      <c r="E496" s="430" t="s">
        <v>5793</v>
      </c>
      <c r="F496" s="430" t="s">
        <v>6060</v>
      </c>
      <c r="G496" s="430"/>
      <c r="H496" s="430" t="s">
        <v>5427</v>
      </c>
      <c r="I496" s="263"/>
      <c r="J496" s="263"/>
      <c r="K496" s="430" t="s">
        <v>5794</v>
      </c>
      <c r="L496" s="430"/>
      <c r="P496" s="448" t="s">
        <v>5795</v>
      </c>
    </row>
    <row r="497" spans="1:16">
      <c r="A497" s="263">
        <f t="shared" si="5"/>
        <v>496</v>
      </c>
      <c r="B497" s="501" t="s">
        <v>6065</v>
      </c>
      <c r="C497" s="430" t="s">
        <v>4415</v>
      </c>
      <c r="D497" s="263"/>
      <c r="E497" s="430" t="s">
        <v>5796</v>
      </c>
      <c r="F497" s="430" t="s">
        <v>6060</v>
      </c>
      <c r="G497" s="430"/>
      <c r="H497" s="430" t="s">
        <v>5427</v>
      </c>
      <c r="I497" s="263"/>
      <c r="J497" s="263"/>
      <c r="K497" s="430" t="s">
        <v>5797</v>
      </c>
      <c r="L497" s="430"/>
      <c r="P497" s="448" t="s">
        <v>5799</v>
      </c>
    </row>
    <row r="498" spans="1:16">
      <c r="A498" s="263">
        <f t="shared" si="5"/>
        <v>497</v>
      </c>
      <c r="B498" s="501" t="s">
        <v>6066</v>
      </c>
      <c r="C498" s="430" t="s">
        <v>275</v>
      </c>
      <c r="D498" s="263"/>
      <c r="E498" s="430" t="s">
        <v>6067</v>
      </c>
      <c r="F498" s="430" t="s">
        <v>6060</v>
      </c>
      <c r="G498" s="430"/>
      <c r="H498" s="430" t="s">
        <v>5427</v>
      </c>
      <c r="I498" s="263"/>
      <c r="J498" s="263"/>
      <c r="K498" s="430" t="s">
        <v>5801</v>
      </c>
      <c r="L498" s="430"/>
      <c r="P498" s="448" t="s">
        <v>5803</v>
      </c>
    </row>
    <row r="499" spans="1:16">
      <c r="A499" s="263">
        <f t="shared" si="5"/>
        <v>498</v>
      </c>
      <c r="B499" s="501" t="s">
        <v>6068</v>
      </c>
      <c r="C499" s="430" t="s">
        <v>4421</v>
      </c>
      <c r="D499" s="263"/>
      <c r="E499" s="430" t="s">
        <v>6069</v>
      </c>
      <c r="F499" s="430" t="s">
        <v>6060</v>
      </c>
      <c r="G499" s="430"/>
      <c r="H499" s="430" t="s">
        <v>5427</v>
      </c>
      <c r="I499" s="263"/>
      <c r="J499" s="263"/>
      <c r="K499" s="430" t="s">
        <v>5805</v>
      </c>
      <c r="L499" s="430"/>
      <c r="P499" s="448" t="s">
        <v>5806</v>
      </c>
    </row>
    <row r="500" spans="1:16">
      <c r="A500" s="263">
        <f t="shared" si="5"/>
        <v>499</v>
      </c>
      <c r="B500" s="501" t="s">
        <v>6070</v>
      </c>
      <c r="C500" s="430" t="s">
        <v>275</v>
      </c>
      <c r="D500" s="263"/>
      <c r="E500" s="430" t="s">
        <v>6071</v>
      </c>
      <c r="F500" s="430" t="s">
        <v>6060</v>
      </c>
      <c r="G500" s="430"/>
      <c r="H500" s="430" t="s">
        <v>5427</v>
      </c>
      <c r="I500" s="263"/>
      <c r="J500" s="263"/>
      <c r="K500" s="430" t="s">
        <v>5808</v>
      </c>
      <c r="L500" s="430"/>
      <c r="P500" s="448" t="s">
        <v>5809</v>
      </c>
    </row>
    <row r="501" spans="1:16">
      <c r="A501" s="263">
        <f t="shared" si="5"/>
        <v>500</v>
      </c>
      <c r="B501" s="501" t="s">
        <v>6072</v>
      </c>
      <c r="C501" s="430" t="s">
        <v>4421</v>
      </c>
      <c r="D501" s="263"/>
      <c r="E501" s="430" t="s">
        <v>6073</v>
      </c>
      <c r="F501" s="430" t="s">
        <v>6060</v>
      </c>
      <c r="G501" s="430"/>
      <c r="H501" s="430" t="s">
        <v>5427</v>
      </c>
      <c r="I501" s="263"/>
      <c r="J501" s="263"/>
      <c r="K501" s="430" t="s">
        <v>5866</v>
      </c>
      <c r="L501" s="430"/>
      <c r="P501" s="448" t="s">
        <v>5811</v>
      </c>
    </row>
    <row r="502" spans="1:16">
      <c r="A502" s="263">
        <f t="shared" si="5"/>
        <v>501</v>
      </c>
      <c r="B502" s="501" t="s">
        <v>6074</v>
      </c>
      <c r="C502" s="430" t="s">
        <v>275</v>
      </c>
      <c r="D502" s="263"/>
      <c r="E502" s="430" t="s">
        <v>6075</v>
      </c>
      <c r="F502" s="430" t="s">
        <v>6060</v>
      </c>
      <c r="G502" s="430"/>
      <c r="H502" s="430" t="s">
        <v>5427</v>
      </c>
      <c r="I502" s="263"/>
      <c r="J502" s="263"/>
      <c r="K502" s="430" t="s">
        <v>5813</v>
      </c>
      <c r="L502" s="430"/>
      <c r="P502" s="448" t="s">
        <v>5814</v>
      </c>
    </row>
    <row r="503" spans="1:16">
      <c r="A503" s="263">
        <f t="shared" si="5"/>
        <v>502</v>
      </c>
      <c r="B503" s="501" t="s">
        <v>6076</v>
      </c>
      <c r="C503" s="430" t="s">
        <v>4421</v>
      </c>
      <c r="D503" s="263"/>
      <c r="E503" s="430" t="s">
        <v>6077</v>
      </c>
      <c r="F503" s="430" t="s">
        <v>6060</v>
      </c>
      <c r="G503" s="430"/>
      <c r="H503" s="430" t="s">
        <v>5427</v>
      </c>
      <c r="I503" s="263"/>
      <c r="J503" s="263"/>
      <c r="K503" s="430" t="s">
        <v>5867</v>
      </c>
      <c r="L503" s="430"/>
      <c r="P503" s="448" t="s">
        <v>5815</v>
      </c>
    </row>
    <row r="504" spans="1:16">
      <c r="A504" s="263">
        <f t="shared" si="5"/>
        <v>503</v>
      </c>
      <c r="B504" s="501" t="s">
        <v>6078</v>
      </c>
      <c r="C504" s="430" t="s">
        <v>275</v>
      </c>
      <c r="D504" s="263"/>
      <c r="E504" s="430" t="s">
        <v>6079</v>
      </c>
      <c r="F504" s="430" t="s">
        <v>6060</v>
      </c>
      <c r="G504" s="430"/>
      <c r="H504" s="430" t="s">
        <v>5427</v>
      </c>
      <c r="I504" s="263"/>
      <c r="J504" s="263"/>
      <c r="K504" s="430" t="s">
        <v>5868</v>
      </c>
      <c r="L504" s="263"/>
    </row>
    <row r="505" spans="1:16">
      <c r="A505" s="263">
        <f t="shared" si="5"/>
        <v>504</v>
      </c>
      <c r="B505" s="263" t="s">
        <v>3771</v>
      </c>
      <c r="C505" s="263"/>
      <c r="D505" s="263"/>
      <c r="E505" s="263" t="s">
        <v>3759</v>
      </c>
      <c r="F505" s="263" t="s">
        <v>5678</v>
      </c>
      <c r="G505" s="263"/>
      <c r="H505" s="263"/>
      <c r="I505" s="324" t="s">
        <v>5665</v>
      </c>
      <c r="J505" s="345" t="s">
        <v>5141</v>
      </c>
      <c r="K505" s="263" t="s">
        <v>5653</v>
      </c>
      <c r="L505" s="263"/>
    </row>
    <row r="506" spans="1:16">
      <c r="A506" s="263">
        <f t="shared" si="5"/>
        <v>505</v>
      </c>
      <c r="B506" s="263" t="s">
        <v>3772</v>
      </c>
      <c r="C506" s="263"/>
      <c r="D506" s="263"/>
      <c r="E506" s="263" t="s">
        <v>3760</v>
      </c>
      <c r="F506" s="263" t="s">
        <v>5678</v>
      </c>
      <c r="G506" s="263"/>
      <c r="H506" s="263"/>
      <c r="I506" s="324" t="s">
        <v>5665</v>
      </c>
      <c r="J506" s="345" t="s">
        <v>5141</v>
      </c>
      <c r="K506" s="263" t="s">
        <v>5654</v>
      </c>
      <c r="L506" s="263"/>
    </row>
    <row r="507" spans="1:16">
      <c r="A507" s="263">
        <f t="shared" si="5"/>
        <v>506</v>
      </c>
      <c r="B507" s="263" t="s">
        <v>3773</v>
      </c>
      <c r="C507" s="263"/>
      <c r="D507" s="263"/>
      <c r="E507" s="263" t="s">
        <v>3761</v>
      </c>
      <c r="F507" s="263" t="s">
        <v>5678</v>
      </c>
      <c r="G507" s="263"/>
      <c r="H507" s="263"/>
      <c r="I507" s="324" t="s">
        <v>5665</v>
      </c>
      <c r="J507" s="345" t="s">
        <v>5141</v>
      </c>
      <c r="K507" s="263" t="s">
        <v>5655</v>
      </c>
      <c r="L507" s="263"/>
    </row>
    <row r="508" spans="1:16">
      <c r="A508" s="263">
        <f t="shared" si="5"/>
        <v>507</v>
      </c>
      <c r="B508" s="263" t="s">
        <v>3774</v>
      </c>
      <c r="C508" s="263"/>
      <c r="D508" s="263"/>
      <c r="E508" s="263" t="s">
        <v>3762</v>
      </c>
      <c r="F508" s="263" t="s">
        <v>5678</v>
      </c>
      <c r="G508" s="263"/>
      <c r="H508" s="263"/>
      <c r="I508" s="324" t="s">
        <v>5665</v>
      </c>
      <c r="J508" s="345" t="s">
        <v>5141</v>
      </c>
      <c r="K508" s="263" t="s">
        <v>5656</v>
      </c>
      <c r="L508" s="263"/>
    </row>
    <row r="509" spans="1:16">
      <c r="A509" s="263">
        <f t="shared" si="5"/>
        <v>508</v>
      </c>
      <c r="B509" s="263" t="s">
        <v>3775</v>
      </c>
      <c r="C509" s="263"/>
      <c r="D509" s="263"/>
      <c r="E509" s="263" t="s">
        <v>3763</v>
      </c>
      <c r="F509" s="263" t="s">
        <v>5678</v>
      </c>
      <c r="G509" s="263"/>
      <c r="H509" s="263"/>
      <c r="I509" s="324" t="s">
        <v>5665</v>
      </c>
      <c r="J509" s="345" t="s">
        <v>5141</v>
      </c>
      <c r="K509" s="263" t="s">
        <v>5657</v>
      </c>
      <c r="L509" s="263"/>
    </row>
    <row r="510" spans="1:16">
      <c r="A510" s="263">
        <f t="shared" si="5"/>
        <v>509</v>
      </c>
      <c r="B510" s="263" t="s">
        <v>3776</v>
      </c>
      <c r="C510" s="263"/>
      <c r="D510" s="263"/>
      <c r="E510" s="263" t="s">
        <v>3764</v>
      </c>
      <c r="F510" s="263" t="s">
        <v>5678</v>
      </c>
      <c r="G510" s="263"/>
      <c r="H510" s="263"/>
      <c r="I510" s="324" t="s">
        <v>5665</v>
      </c>
      <c r="J510" s="345" t="s">
        <v>5141</v>
      </c>
      <c r="K510" s="263" t="s">
        <v>5658</v>
      </c>
      <c r="L510" s="263"/>
    </row>
    <row r="511" spans="1:16">
      <c r="A511" s="263">
        <f t="shared" si="5"/>
        <v>510</v>
      </c>
      <c r="B511" s="263" t="s">
        <v>3777</v>
      </c>
      <c r="C511" s="263"/>
      <c r="D511" s="263"/>
      <c r="E511" s="263" t="s">
        <v>3765</v>
      </c>
      <c r="F511" s="263" t="s">
        <v>5678</v>
      </c>
      <c r="G511" s="263"/>
      <c r="H511" s="263"/>
      <c r="I511" s="324" t="s">
        <v>5665</v>
      </c>
      <c r="J511" s="345" t="s">
        <v>5141</v>
      </c>
      <c r="K511" s="263" t="s">
        <v>5659</v>
      </c>
      <c r="L511" s="263"/>
    </row>
    <row r="512" spans="1:16">
      <c r="A512" s="263">
        <f t="shared" si="5"/>
        <v>511</v>
      </c>
      <c r="B512" s="263" t="s">
        <v>3778</v>
      </c>
      <c r="C512" s="263"/>
      <c r="D512" s="263"/>
      <c r="E512" s="263" t="s">
        <v>3766</v>
      </c>
      <c r="F512" s="263" t="s">
        <v>5678</v>
      </c>
      <c r="G512" s="263"/>
      <c r="H512" s="263"/>
      <c r="I512" s="324" t="s">
        <v>5665</v>
      </c>
      <c r="J512" s="345" t="s">
        <v>5141</v>
      </c>
      <c r="K512" s="263" t="s">
        <v>5660</v>
      </c>
      <c r="L512" s="263"/>
    </row>
    <row r="513" spans="1:12">
      <c r="A513" s="263">
        <f t="shared" si="5"/>
        <v>512</v>
      </c>
      <c r="B513" s="263" t="s">
        <v>3779</v>
      </c>
      <c r="C513" s="263"/>
      <c r="D513" s="263"/>
      <c r="E513" s="263" t="s">
        <v>3767</v>
      </c>
      <c r="F513" s="263" t="s">
        <v>5678</v>
      </c>
      <c r="G513" s="263"/>
      <c r="H513" s="263"/>
      <c r="I513" s="324" t="s">
        <v>5665</v>
      </c>
      <c r="J513" s="345" t="s">
        <v>5141</v>
      </c>
      <c r="K513" s="263" t="s">
        <v>5661</v>
      </c>
      <c r="L513" s="263"/>
    </row>
    <row r="514" spans="1:12">
      <c r="A514" s="263">
        <f t="shared" si="5"/>
        <v>513</v>
      </c>
      <c r="B514" s="263" t="s">
        <v>3780</v>
      </c>
      <c r="C514" s="263"/>
      <c r="D514" s="263"/>
      <c r="E514" s="263" t="s">
        <v>3768</v>
      </c>
      <c r="F514" s="263" t="s">
        <v>5678</v>
      </c>
      <c r="G514" s="263"/>
      <c r="H514" s="263"/>
      <c r="I514" s="324" t="s">
        <v>5665</v>
      </c>
      <c r="J514" s="345" t="s">
        <v>5141</v>
      </c>
      <c r="K514" s="263" t="s">
        <v>5662</v>
      </c>
      <c r="L514" s="263"/>
    </row>
    <row r="515" spans="1:12">
      <c r="A515" s="263">
        <f t="shared" ref="A515:A578" si="6">ROW()-1</f>
        <v>514</v>
      </c>
      <c r="B515" s="263" t="s">
        <v>3781</v>
      </c>
      <c r="C515" s="263"/>
      <c r="D515" s="263"/>
      <c r="E515" s="263" t="s">
        <v>3769</v>
      </c>
      <c r="F515" s="263" t="s">
        <v>5678</v>
      </c>
      <c r="G515" s="263"/>
      <c r="H515" s="263"/>
      <c r="I515" s="324" t="s">
        <v>5665</v>
      </c>
      <c r="J515" s="345" t="s">
        <v>5141</v>
      </c>
      <c r="K515" s="263" t="s">
        <v>5663</v>
      </c>
      <c r="L515" s="263"/>
    </row>
    <row r="516" spans="1:12">
      <c r="A516" s="263">
        <f t="shared" si="6"/>
        <v>515</v>
      </c>
      <c r="B516" s="263" t="s">
        <v>3782</v>
      </c>
      <c r="C516" s="263"/>
      <c r="D516" s="263"/>
      <c r="E516" s="263" t="s">
        <v>3770</v>
      </c>
      <c r="F516" s="263" t="s">
        <v>5678</v>
      </c>
      <c r="G516" s="263"/>
      <c r="H516" s="263"/>
      <c r="I516" s="324" t="s">
        <v>5665</v>
      </c>
      <c r="J516" s="345" t="s">
        <v>5141</v>
      </c>
      <c r="K516" s="263" t="s">
        <v>5664</v>
      </c>
      <c r="L516" s="263" t="s">
        <v>4457</v>
      </c>
    </row>
    <row r="517" spans="1:12">
      <c r="A517" s="263">
        <f t="shared" si="6"/>
        <v>516</v>
      </c>
      <c r="B517" s="359" t="s">
        <v>3783</v>
      </c>
      <c r="C517" s="360" t="s">
        <v>52</v>
      </c>
      <c r="D517" s="360" t="s">
        <v>4262</v>
      </c>
      <c r="E517" s="359" t="s">
        <v>4458</v>
      </c>
      <c r="F517" s="263" t="s">
        <v>3134</v>
      </c>
      <c r="G517" s="263"/>
      <c r="H517" s="263" t="s">
        <v>3327</v>
      </c>
      <c r="I517" s="345" t="s">
        <v>5613</v>
      </c>
      <c r="J517" s="263" t="s">
        <v>5613</v>
      </c>
      <c r="K517" s="263" t="s">
        <v>5515</v>
      </c>
      <c r="L517" s="263" t="s">
        <v>4459</v>
      </c>
    </row>
    <row r="518" spans="1:12">
      <c r="A518" s="263">
        <f t="shared" si="6"/>
        <v>517</v>
      </c>
      <c r="B518" s="359" t="s">
        <v>3784</v>
      </c>
      <c r="C518" s="360" t="s">
        <v>52</v>
      </c>
      <c r="D518" s="360" t="s">
        <v>4262</v>
      </c>
      <c r="E518" s="359" t="s">
        <v>4460</v>
      </c>
      <c r="F518" s="263" t="s">
        <v>3134</v>
      </c>
      <c r="G518" s="263"/>
      <c r="H518" s="263" t="s">
        <v>3327</v>
      </c>
      <c r="I518" s="345" t="s">
        <v>5613</v>
      </c>
      <c r="J518" s="263" t="s">
        <v>5613</v>
      </c>
      <c r="K518" s="263" t="s">
        <v>5516</v>
      </c>
      <c r="L518" s="263" t="s">
        <v>4461</v>
      </c>
    </row>
    <row r="519" spans="1:12">
      <c r="A519" s="263">
        <f t="shared" si="6"/>
        <v>518</v>
      </c>
      <c r="B519" s="359" t="s">
        <v>3785</v>
      </c>
      <c r="C519" s="360" t="s">
        <v>52</v>
      </c>
      <c r="D519" s="360" t="s">
        <v>4262</v>
      </c>
      <c r="E519" s="359" t="s">
        <v>4462</v>
      </c>
      <c r="F519" s="263" t="s">
        <v>3134</v>
      </c>
      <c r="G519" s="263"/>
      <c r="H519" s="263" t="s">
        <v>3327</v>
      </c>
      <c r="I519" s="345" t="s">
        <v>5613</v>
      </c>
      <c r="J519" s="263" t="s">
        <v>5613</v>
      </c>
      <c r="K519" s="263" t="s">
        <v>4462</v>
      </c>
      <c r="L519" s="263" t="s">
        <v>4463</v>
      </c>
    </row>
    <row r="520" spans="1:12">
      <c r="A520" s="263">
        <f t="shared" si="6"/>
        <v>519</v>
      </c>
      <c r="B520" s="359" t="s">
        <v>3786</v>
      </c>
      <c r="C520" s="360" t="s">
        <v>52</v>
      </c>
      <c r="D520" s="360" t="s">
        <v>4262</v>
      </c>
      <c r="E520" s="359" t="s">
        <v>4464</v>
      </c>
      <c r="F520" s="263" t="s">
        <v>3134</v>
      </c>
      <c r="G520" s="263"/>
      <c r="H520" s="263" t="s">
        <v>3327</v>
      </c>
      <c r="I520" s="345" t="s">
        <v>5613</v>
      </c>
      <c r="J520" s="263" t="s">
        <v>5613</v>
      </c>
      <c r="K520" s="263" t="s">
        <v>4464</v>
      </c>
      <c r="L520" s="263" t="s">
        <v>4465</v>
      </c>
    </row>
    <row r="521" spans="1:12">
      <c r="A521" s="263">
        <f t="shared" si="6"/>
        <v>520</v>
      </c>
      <c r="B521" s="359" t="s">
        <v>3787</v>
      </c>
      <c r="C521" s="360" t="s">
        <v>52</v>
      </c>
      <c r="D521" s="360" t="s">
        <v>4262</v>
      </c>
      <c r="E521" s="359" t="s">
        <v>4466</v>
      </c>
      <c r="F521" s="263" t="s">
        <v>3134</v>
      </c>
      <c r="G521" s="263"/>
      <c r="H521" s="263" t="s">
        <v>3327</v>
      </c>
      <c r="I521" s="345" t="s">
        <v>5613</v>
      </c>
      <c r="J521" s="263" t="s">
        <v>5613</v>
      </c>
      <c r="K521" s="263" t="s">
        <v>5517</v>
      </c>
      <c r="L521" s="263" t="s">
        <v>4467</v>
      </c>
    </row>
    <row r="522" spans="1:12">
      <c r="A522" s="263">
        <f t="shared" si="6"/>
        <v>521</v>
      </c>
      <c r="B522" s="359" t="s">
        <v>3788</v>
      </c>
      <c r="C522" s="360" t="s">
        <v>52</v>
      </c>
      <c r="D522" s="360" t="s">
        <v>4262</v>
      </c>
      <c r="E522" s="359" t="s">
        <v>4468</v>
      </c>
      <c r="F522" s="263" t="s">
        <v>3134</v>
      </c>
      <c r="G522" s="263"/>
      <c r="H522" s="263" t="s">
        <v>3327</v>
      </c>
      <c r="I522" s="345" t="s">
        <v>5613</v>
      </c>
      <c r="J522" s="263" t="s">
        <v>5613</v>
      </c>
      <c r="K522" s="263" t="s">
        <v>5518</v>
      </c>
      <c r="L522" s="263" t="s">
        <v>4469</v>
      </c>
    </row>
    <row r="523" spans="1:12">
      <c r="A523" s="263">
        <f t="shared" si="6"/>
        <v>522</v>
      </c>
      <c r="B523" s="359" t="s">
        <v>3789</v>
      </c>
      <c r="C523" s="360" t="s">
        <v>52</v>
      </c>
      <c r="D523" s="360" t="s">
        <v>4262</v>
      </c>
      <c r="E523" s="359" t="s">
        <v>4470</v>
      </c>
      <c r="F523" s="263" t="s">
        <v>3134</v>
      </c>
      <c r="G523" s="263"/>
      <c r="H523" s="263" t="s">
        <v>3327</v>
      </c>
      <c r="I523" s="345" t="s">
        <v>5613</v>
      </c>
      <c r="J523" s="263" t="s">
        <v>5613</v>
      </c>
      <c r="K523" s="263" t="s">
        <v>5519</v>
      </c>
      <c r="L523" s="263" t="s">
        <v>4471</v>
      </c>
    </row>
    <row r="524" spans="1:12">
      <c r="A524" s="263">
        <f t="shared" si="6"/>
        <v>523</v>
      </c>
      <c r="B524" s="359" t="s">
        <v>3790</v>
      </c>
      <c r="C524" s="360" t="s">
        <v>52</v>
      </c>
      <c r="D524" s="360" t="s">
        <v>4262</v>
      </c>
      <c r="E524" s="359" t="s">
        <v>4472</v>
      </c>
      <c r="F524" s="263" t="s">
        <v>3134</v>
      </c>
      <c r="G524" s="263"/>
      <c r="H524" s="263" t="s">
        <v>3327</v>
      </c>
      <c r="I524" s="345" t="s">
        <v>5613</v>
      </c>
      <c r="J524" s="263" t="s">
        <v>5613</v>
      </c>
      <c r="K524" s="263" t="s">
        <v>4472</v>
      </c>
      <c r="L524" s="263" t="s">
        <v>4473</v>
      </c>
    </row>
    <row r="525" spans="1:12">
      <c r="A525" s="263">
        <f t="shared" si="6"/>
        <v>524</v>
      </c>
      <c r="B525" s="359" t="s">
        <v>3791</v>
      </c>
      <c r="C525" s="360" t="s">
        <v>52</v>
      </c>
      <c r="D525" s="360" t="s">
        <v>4262</v>
      </c>
      <c r="E525" s="359" t="s">
        <v>4474</v>
      </c>
      <c r="F525" s="263" t="s">
        <v>3134</v>
      </c>
      <c r="G525" s="263"/>
      <c r="H525" s="263" t="s">
        <v>3327</v>
      </c>
      <c r="I525" s="345" t="s">
        <v>5613</v>
      </c>
      <c r="J525" s="263" t="s">
        <v>5613</v>
      </c>
      <c r="K525" s="263" t="s">
        <v>5520</v>
      </c>
      <c r="L525" s="263" t="s">
        <v>4475</v>
      </c>
    </row>
    <row r="526" spans="1:12">
      <c r="A526" s="263">
        <f t="shared" si="6"/>
        <v>525</v>
      </c>
      <c r="B526" s="359" t="s">
        <v>3792</v>
      </c>
      <c r="C526" s="360" t="s">
        <v>52</v>
      </c>
      <c r="D526" s="360" t="s">
        <v>4262</v>
      </c>
      <c r="E526" s="359" t="s">
        <v>4476</v>
      </c>
      <c r="F526" s="263" t="s">
        <v>3134</v>
      </c>
      <c r="G526" s="263"/>
      <c r="H526" s="263" t="s">
        <v>3327</v>
      </c>
      <c r="I526" s="345" t="s">
        <v>5613</v>
      </c>
      <c r="J526" s="263" t="s">
        <v>5613</v>
      </c>
      <c r="K526" s="263" t="s">
        <v>4476</v>
      </c>
      <c r="L526" s="263" t="s">
        <v>4477</v>
      </c>
    </row>
    <row r="527" spans="1:12">
      <c r="A527" s="263">
        <f t="shared" si="6"/>
        <v>526</v>
      </c>
      <c r="B527" s="359" t="s">
        <v>3793</v>
      </c>
      <c r="C527" s="360" t="s">
        <v>52</v>
      </c>
      <c r="D527" s="360" t="s">
        <v>4262</v>
      </c>
      <c r="E527" s="359" t="s">
        <v>3825</v>
      </c>
      <c r="F527" s="263" t="s">
        <v>3134</v>
      </c>
      <c r="G527" s="263"/>
      <c r="H527" s="263" t="s">
        <v>3327</v>
      </c>
      <c r="I527" s="345" t="s">
        <v>5613</v>
      </c>
      <c r="J527" s="263" t="s">
        <v>5613</v>
      </c>
      <c r="K527" s="263" t="s">
        <v>5521</v>
      </c>
      <c r="L527" s="263" t="s">
        <v>4478</v>
      </c>
    </row>
    <row r="528" spans="1:12">
      <c r="A528" s="263">
        <f t="shared" si="6"/>
        <v>527</v>
      </c>
      <c r="B528" s="359" t="s">
        <v>4316</v>
      </c>
      <c r="C528" s="360" t="s">
        <v>52</v>
      </c>
      <c r="D528" s="360" t="s">
        <v>4262</v>
      </c>
      <c r="E528" s="359" t="s">
        <v>4479</v>
      </c>
      <c r="F528" s="263" t="s">
        <v>3134</v>
      </c>
      <c r="G528" s="263"/>
      <c r="H528" s="263" t="s">
        <v>3327</v>
      </c>
      <c r="I528" s="345" t="s">
        <v>5613</v>
      </c>
      <c r="J528" s="263" t="s">
        <v>5613</v>
      </c>
      <c r="K528" s="263" t="s">
        <v>5522</v>
      </c>
      <c r="L528" s="263" t="s">
        <v>4480</v>
      </c>
    </row>
    <row r="529" spans="1:12">
      <c r="A529" s="263">
        <f t="shared" si="6"/>
        <v>528</v>
      </c>
      <c r="B529" s="359" t="s">
        <v>5226</v>
      </c>
      <c r="C529" s="360" t="s">
        <v>52</v>
      </c>
      <c r="D529" s="360" t="s">
        <v>4262</v>
      </c>
      <c r="E529" s="359" t="s">
        <v>3828</v>
      </c>
      <c r="F529" s="263" t="s">
        <v>3134</v>
      </c>
      <c r="G529" s="263"/>
      <c r="H529" s="263" t="s">
        <v>3327</v>
      </c>
      <c r="I529" s="345" t="s">
        <v>5613</v>
      </c>
      <c r="J529" s="263" t="s">
        <v>5613</v>
      </c>
      <c r="K529" s="263" t="s">
        <v>5523</v>
      </c>
      <c r="L529" s="263" t="s">
        <v>4481</v>
      </c>
    </row>
    <row r="530" spans="1:12">
      <c r="A530" s="263">
        <f t="shared" si="6"/>
        <v>529</v>
      </c>
      <c r="B530" s="359" t="s">
        <v>4318</v>
      </c>
      <c r="C530" s="360" t="s">
        <v>52</v>
      </c>
      <c r="D530" s="360" t="s">
        <v>4262</v>
      </c>
      <c r="E530" s="359" t="s">
        <v>4482</v>
      </c>
      <c r="F530" s="263" t="s">
        <v>3134</v>
      </c>
      <c r="G530" s="263"/>
      <c r="H530" s="263" t="s">
        <v>3327</v>
      </c>
      <c r="I530" s="345" t="s">
        <v>5613</v>
      </c>
      <c r="J530" s="263" t="s">
        <v>5613</v>
      </c>
      <c r="K530" s="263" t="s">
        <v>5524</v>
      </c>
      <c r="L530" s="263" t="s">
        <v>5525</v>
      </c>
    </row>
    <row r="531" spans="1:12">
      <c r="A531" s="263">
        <f t="shared" si="6"/>
        <v>530</v>
      </c>
      <c r="B531" s="359" t="s">
        <v>5227</v>
      </c>
      <c r="C531" s="360" t="s">
        <v>52</v>
      </c>
      <c r="D531" s="360" t="s">
        <v>4262</v>
      </c>
      <c r="E531" s="359" t="s">
        <v>4077</v>
      </c>
      <c r="F531" s="263" t="s">
        <v>3134</v>
      </c>
      <c r="G531" s="263"/>
      <c r="H531" s="263" t="s">
        <v>3327</v>
      </c>
      <c r="I531" s="345" t="s">
        <v>5613</v>
      </c>
      <c r="J531" s="263" t="s">
        <v>5613</v>
      </c>
      <c r="K531" s="263" t="s">
        <v>3834</v>
      </c>
      <c r="L531" s="263" t="s">
        <v>4484</v>
      </c>
    </row>
    <row r="532" spans="1:12">
      <c r="A532" s="263">
        <f t="shared" si="6"/>
        <v>531</v>
      </c>
      <c r="B532" s="359" t="s">
        <v>5605</v>
      </c>
      <c r="C532" s="360" t="s">
        <v>52</v>
      </c>
      <c r="D532" s="360" t="s">
        <v>4262</v>
      </c>
      <c r="E532" s="263" t="s">
        <v>5526</v>
      </c>
      <c r="F532" s="263" t="s">
        <v>3134</v>
      </c>
      <c r="G532" s="263"/>
      <c r="H532" s="263" t="s">
        <v>3327</v>
      </c>
      <c r="I532" s="263" t="s">
        <v>5613</v>
      </c>
      <c r="J532" s="263" t="s">
        <v>5613</v>
      </c>
      <c r="K532" s="263" t="s">
        <v>5526</v>
      </c>
      <c r="L532" s="263" t="s">
        <v>4485</v>
      </c>
    </row>
    <row r="533" spans="1:12">
      <c r="A533" s="263">
        <f t="shared" si="6"/>
        <v>532</v>
      </c>
      <c r="B533" s="359" t="s">
        <v>5606</v>
      </c>
      <c r="C533" s="360" t="s">
        <v>52</v>
      </c>
      <c r="D533" s="360" t="s">
        <v>4262</v>
      </c>
      <c r="E533" s="263" t="s">
        <v>5527</v>
      </c>
      <c r="F533" s="263" t="s">
        <v>3134</v>
      </c>
      <c r="G533" s="263"/>
      <c r="H533" s="263" t="s">
        <v>3327</v>
      </c>
      <c r="I533" s="263" t="s">
        <v>5613</v>
      </c>
      <c r="J533" s="263" t="s">
        <v>5613</v>
      </c>
      <c r="K533" s="263" t="s">
        <v>5527</v>
      </c>
      <c r="L533" s="263" t="s">
        <v>4486</v>
      </c>
    </row>
    <row r="534" spans="1:12">
      <c r="A534" s="263">
        <f t="shared" si="6"/>
        <v>533</v>
      </c>
      <c r="B534" s="359" t="s">
        <v>5607</v>
      </c>
      <c r="C534" s="360" t="s">
        <v>52</v>
      </c>
      <c r="D534" s="360" t="s">
        <v>4262</v>
      </c>
      <c r="E534" s="263" t="s">
        <v>5528</v>
      </c>
      <c r="F534" s="263" t="s">
        <v>3134</v>
      </c>
      <c r="G534" s="263"/>
      <c r="H534" s="263" t="s">
        <v>3327</v>
      </c>
      <c r="I534" s="263" t="s">
        <v>5613</v>
      </c>
      <c r="J534" s="263" t="s">
        <v>5613</v>
      </c>
      <c r="K534" s="263" t="s">
        <v>5528</v>
      </c>
      <c r="L534" s="263" t="s">
        <v>4487</v>
      </c>
    </row>
    <row r="535" spans="1:12">
      <c r="A535" s="263">
        <f t="shared" si="6"/>
        <v>534</v>
      </c>
      <c r="B535" s="359" t="s">
        <v>5608</v>
      </c>
      <c r="C535" s="360" t="s">
        <v>52</v>
      </c>
      <c r="D535" s="360" t="s">
        <v>4262</v>
      </c>
      <c r="E535" s="263" t="s">
        <v>5529</v>
      </c>
      <c r="F535" s="263" t="s">
        <v>3134</v>
      </c>
      <c r="G535" s="263"/>
      <c r="H535" s="263" t="s">
        <v>3327</v>
      </c>
      <c r="I535" s="263" t="s">
        <v>5613</v>
      </c>
      <c r="J535" s="263" t="s">
        <v>5613</v>
      </c>
      <c r="K535" s="263" t="s">
        <v>5529</v>
      </c>
      <c r="L535" s="263" t="s">
        <v>4488</v>
      </c>
    </row>
    <row r="536" spans="1:12">
      <c r="A536" s="263">
        <f t="shared" si="6"/>
        <v>535</v>
      </c>
      <c r="B536" s="359" t="s">
        <v>5609</v>
      </c>
      <c r="C536" s="360" t="s">
        <v>52</v>
      </c>
      <c r="D536" s="360" t="s">
        <v>4262</v>
      </c>
      <c r="E536" s="263" t="s">
        <v>5530</v>
      </c>
      <c r="F536" s="263" t="s">
        <v>3134</v>
      </c>
      <c r="G536" s="263"/>
      <c r="H536" s="263" t="s">
        <v>3327</v>
      </c>
      <c r="I536" s="263" t="s">
        <v>5613</v>
      </c>
      <c r="J536" s="263" t="s">
        <v>5613</v>
      </c>
      <c r="K536" s="263" t="s">
        <v>5530</v>
      </c>
      <c r="L536" s="263" t="s">
        <v>4489</v>
      </c>
    </row>
    <row r="537" spans="1:12">
      <c r="A537" s="263">
        <f t="shared" si="6"/>
        <v>536</v>
      </c>
      <c r="B537" s="359" t="s">
        <v>5610</v>
      </c>
      <c r="C537" s="360" t="s">
        <v>52</v>
      </c>
      <c r="D537" s="360" t="s">
        <v>4262</v>
      </c>
      <c r="E537" s="263" t="s">
        <v>5531</v>
      </c>
      <c r="F537" s="263" t="s">
        <v>3134</v>
      </c>
      <c r="G537" s="263"/>
      <c r="H537" s="263" t="s">
        <v>3327</v>
      </c>
      <c r="I537" s="263" t="s">
        <v>5613</v>
      </c>
      <c r="J537" s="263" t="s">
        <v>5613</v>
      </c>
      <c r="K537" s="263" t="s">
        <v>5531</v>
      </c>
      <c r="L537" s="263" t="s">
        <v>4490</v>
      </c>
    </row>
    <row r="538" spans="1:12">
      <c r="A538" s="263">
        <f t="shared" si="6"/>
        <v>537</v>
      </c>
      <c r="B538" s="359" t="s">
        <v>5611</v>
      </c>
      <c r="C538" s="360" t="s">
        <v>52</v>
      </c>
      <c r="D538" s="360" t="s">
        <v>4262</v>
      </c>
      <c r="E538" s="263" t="s">
        <v>3833</v>
      </c>
      <c r="F538" s="263" t="s">
        <v>3134</v>
      </c>
      <c r="G538" s="263"/>
      <c r="H538" s="263" t="s">
        <v>3327</v>
      </c>
      <c r="I538" s="263" t="s">
        <v>5613</v>
      </c>
      <c r="J538" s="263" t="s">
        <v>5613</v>
      </c>
      <c r="K538" s="263" t="s">
        <v>3833</v>
      </c>
      <c r="L538" s="263" t="s">
        <v>4491</v>
      </c>
    </row>
    <row r="539" spans="1:12">
      <c r="A539" s="263">
        <f t="shared" si="6"/>
        <v>538</v>
      </c>
      <c r="B539" s="359" t="s">
        <v>5612</v>
      </c>
      <c r="C539" s="360" t="s">
        <v>52</v>
      </c>
      <c r="D539" s="360" t="s">
        <v>4262</v>
      </c>
      <c r="E539" s="263" t="s">
        <v>5532</v>
      </c>
      <c r="F539" s="263" t="s">
        <v>3134</v>
      </c>
      <c r="G539" s="263"/>
      <c r="H539" s="263" t="s">
        <v>3327</v>
      </c>
      <c r="I539" s="263" t="s">
        <v>5613</v>
      </c>
      <c r="J539" s="263" t="s">
        <v>5613</v>
      </c>
      <c r="K539" s="263" t="s">
        <v>5532</v>
      </c>
      <c r="L539" s="263" t="s">
        <v>4550</v>
      </c>
    </row>
    <row r="540" spans="1:12">
      <c r="A540" s="263">
        <f t="shared" si="6"/>
        <v>539</v>
      </c>
      <c r="B540" s="359" t="s">
        <v>3794</v>
      </c>
      <c r="C540" s="360" t="s">
        <v>52</v>
      </c>
      <c r="D540" s="360" t="s">
        <v>4262</v>
      </c>
      <c r="E540" s="359" t="s">
        <v>4150</v>
      </c>
      <c r="F540" s="263" t="s">
        <v>3134</v>
      </c>
      <c r="G540" s="263"/>
      <c r="H540" s="263" t="s">
        <v>3328</v>
      </c>
      <c r="I540" s="263" t="s">
        <v>5453</v>
      </c>
      <c r="J540" s="263" t="s">
        <v>5453</v>
      </c>
      <c r="K540" s="263" t="s">
        <v>5533</v>
      </c>
      <c r="L540" s="263" t="s">
        <v>4552</v>
      </c>
    </row>
    <row r="541" spans="1:12">
      <c r="A541" s="263">
        <f t="shared" si="6"/>
        <v>540</v>
      </c>
      <c r="B541" s="359" t="s">
        <v>3795</v>
      </c>
      <c r="C541" s="360" t="s">
        <v>52</v>
      </c>
      <c r="D541" s="360" t="s">
        <v>4262</v>
      </c>
      <c r="E541" s="359" t="s">
        <v>5228</v>
      </c>
      <c r="F541" s="263" t="s">
        <v>3134</v>
      </c>
      <c r="G541" s="263"/>
      <c r="H541" s="263" t="s">
        <v>3328</v>
      </c>
      <c r="I541" s="263" t="s">
        <v>5453</v>
      </c>
      <c r="J541" s="263" t="s">
        <v>5453</v>
      </c>
      <c r="K541" s="263" t="s">
        <v>5534</v>
      </c>
      <c r="L541" s="263" t="s">
        <v>4554</v>
      </c>
    </row>
    <row r="542" spans="1:12">
      <c r="A542" s="263">
        <f t="shared" si="6"/>
        <v>541</v>
      </c>
      <c r="B542" s="359" t="s">
        <v>3796</v>
      </c>
      <c r="C542" s="360" t="s">
        <v>52</v>
      </c>
      <c r="D542" s="360" t="s">
        <v>4262</v>
      </c>
      <c r="E542" s="359" t="s">
        <v>5229</v>
      </c>
      <c r="F542" s="263" t="s">
        <v>3134</v>
      </c>
      <c r="G542" s="263"/>
      <c r="H542" s="263" t="s">
        <v>3328</v>
      </c>
      <c r="I542" s="263" t="s">
        <v>5453</v>
      </c>
      <c r="J542" s="263" t="s">
        <v>5453</v>
      </c>
      <c r="K542" s="263" t="s">
        <v>5535</v>
      </c>
      <c r="L542" s="263" t="s">
        <v>4556</v>
      </c>
    </row>
    <row r="543" spans="1:12">
      <c r="A543" s="263">
        <f t="shared" si="6"/>
        <v>542</v>
      </c>
      <c r="B543" s="359" t="s">
        <v>3797</v>
      </c>
      <c r="C543" s="360" t="s">
        <v>52</v>
      </c>
      <c r="D543" s="360" t="s">
        <v>4262</v>
      </c>
      <c r="E543" s="359" t="s">
        <v>3858</v>
      </c>
      <c r="F543" s="263" t="s">
        <v>3134</v>
      </c>
      <c r="G543" s="263"/>
      <c r="H543" s="263" t="s">
        <v>3328</v>
      </c>
      <c r="I543" s="263" t="s">
        <v>5453</v>
      </c>
      <c r="J543" s="263" t="s">
        <v>5453</v>
      </c>
      <c r="K543" s="263" t="s">
        <v>5536</v>
      </c>
      <c r="L543" s="263" t="s">
        <v>4558</v>
      </c>
    </row>
    <row r="544" spans="1:12">
      <c r="A544" s="263">
        <f t="shared" si="6"/>
        <v>543</v>
      </c>
      <c r="B544" s="359" t="s">
        <v>3798</v>
      </c>
      <c r="C544" s="360" t="s">
        <v>52</v>
      </c>
      <c r="D544" s="360" t="s">
        <v>4262</v>
      </c>
      <c r="E544" s="359" t="s">
        <v>4152</v>
      </c>
      <c r="F544" s="263" t="s">
        <v>3134</v>
      </c>
      <c r="G544" s="263"/>
      <c r="H544" s="263" t="s">
        <v>3328</v>
      </c>
      <c r="I544" s="263" t="s">
        <v>5453</v>
      </c>
      <c r="J544" s="263" t="s">
        <v>5453</v>
      </c>
      <c r="K544" s="263" t="s">
        <v>5537</v>
      </c>
      <c r="L544" s="263" t="s">
        <v>4560</v>
      </c>
    </row>
    <row r="545" spans="1:12">
      <c r="A545" s="263">
        <f t="shared" si="6"/>
        <v>544</v>
      </c>
      <c r="B545" s="359" t="s">
        <v>3799</v>
      </c>
      <c r="C545" s="360" t="s">
        <v>52</v>
      </c>
      <c r="D545" s="360" t="s">
        <v>4262</v>
      </c>
      <c r="E545" s="359" t="s">
        <v>2894</v>
      </c>
      <c r="F545" s="263" t="s">
        <v>3134</v>
      </c>
      <c r="G545" s="263"/>
      <c r="H545" s="263" t="s">
        <v>3328</v>
      </c>
      <c r="I545" s="263" t="s">
        <v>5453</v>
      </c>
      <c r="J545" s="263" t="s">
        <v>5453</v>
      </c>
      <c r="K545" s="263" t="s">
        <v>2894</v>
      </c>
      <c r="L545" s="263" t="s">
        <v>4562</v>
      </c>
    </row>
    <row r="546" spans="1:12">
      <c r="A546" s="263">
        <f t="shared" si="6"/>
        <v>545</v>
      </c>
      <c r="B546" s="359" t="s">
        <v>4339</v>
      </c>
      <c r="C546" s="360" t="s">
        <v>52</v>
      </c>
      <c r="D546" s="360" t="s">
        <v>4262</v>
      </c>
      <c r="E546" s="359" t="s">
        <v>5230</v>
      </c>
      <c r="F546" s="263" t="s">
        <v>3134</v>
      </c>
      <c r="G546" s="263"/>
      <c r="H546" s="263" t="s">
        <v>3328</v>
      </c>
      <c r="I546" s="263" t="s">
        <v>5453</v>
      </c>
      <c r="J546" s="263" t="s">
        <v>5453</v>
      </c>
      <c r="K546" s="263" t="s">
        <v>5538</v>
      </c>
      <c r="L546" s="263" t="s">
        <v>4564</v>
      </c>
    </row>
    <row r="547" spans="1:12">
      <c r="A547" s="263">
        <f t="shared" si="6"/>
        <v>546</v>
      </c>
      <c r="B547" s="359" t="s">
        <v>3800</v>
      </c>
      <c r="C547" s="360" t="s">
        <v>52</v>
      </c>
      <c r="D547" s="360" t="s">
        <v>4262</v>
      </c>
      <c r="E547" s="359" t="s">
        <v>5231</v>
      </c>
      <c r="F547" s="263" t="s">
        <v>3134</v>
      </c>
      <c r="G547" s="263"/>
      <c r="H547" s="263" t="s">
        <v>3328</v>
      </c>
      <c r="I547" s="263" t="s">
        <v>5453</v>
      </c>
      <c r="J547" s="263" t="s">
        <v>5453</v>
      </c>
      <c r="K547" s="263" t="s">
        <v>5539</v>
      </c>
      <c r="L547" s="263" t="s">
        <v>4566</v>
      </c>
    </row>
    <row r="548" spans="1:12">
      <c r="A548" s="263">
        <f t="shared" si="6"/>
        <v>547</v>
      </c>
      <c r="B548" s="359" t="s">
        <v>3801</v>
      </c>
      <c r="C548" s="360" t="s">
        <v>52</v>
      </c>
      <c r="D548" s="360" t="s">
        <v>4262</v>
      </c>
      <c r="E548" s="359" t="s">
        <v>5232</v>
      </c>
      <c r="F548" s="263" t="s">
        <v>3134</v>
      </c>
      <c r="G548" s="263"/>
      <c r="H548" s="263" t="s">
        <v>3328</v>
      </c>
      <c r="I548" s="263" t="s">
        <v>5453</v>
      </c>
      <c r="J548" s="263" t="s">
        <v>5453</v>
      </c>
      <c r="K548" s="263" t="s">
        <v>5540</v>
      </c>
      <c r="L548" s="263" t="s">
        <v>4568</v>
      </c>
    </row>
    <row r="549" spans="1:12">
      <c r="A549" s="263">
        <f t="shared" si="6"/>
        <v>548</v>
      </c>
      <c r="B549" s="359" t="s">
        <v>3802</v>
      </c>
      <c r="C549" s="360" t="s">
        <v>52</v>
      </c>
      <c r="D549" s="360" t="s">
        <v>4262</v>
      </c>
      <c r="E549" s="359" t="s">
        <v>3865</v>
      </c>
      <c r="F549" s="263" t="s">
        <v>3134</v>
      </c>
      <c r="G549" s="263"/>
      <c r="H549" s="263" t="s">
        <v>3328</v>
      </c>
      <c r="I549" s="263" t="s">
        <v>5453</v>
      </c>
      <c r="J549" s="263" t="s">
        <v>5453</v>
      </c>
      <c r="K549" s="263" t="s">
        <v>3865</v>
      </c>
      <c r="L549" s="263" t="s">
        <v>4570</v>
      </c>
    </row>
    <row r="550" spans="1:12">
      <c r="A550" s="263">
        <f t="shared" si="6"/>
        <v>549</v>
      </c>
      <c r="B550" s="359" t="s">
        <v>3803</v>
      </c>
      <c r="C550" s="360" t="s">
        <v>52</v>
      </c>
      <c r="D550" s="360" t="s">
        <v>4262</v>
      </c>
      <c r="E550" s="359" t="s">
        <v>3837</v>
      </c>
      <c r="F550" s="263" t="s">
        <v>3134</v>
      </c>
      <c r="G550" s="263"/>
      <c r="H550" s="263" t="s">
        <v>3328</v>
      </c>
      <c r="I550" s="263" t="s">
        <v>5453</v>
      </c>
      <c r="J550" s="263" t="s">
        <v>5453</v>
      </c>
      <c r="K550" s="263" t="s">
        <v>5541</v>
      </c>
      <c r="L550" s="263" t="s">
        <v>5542</v>
      </c>
    </row>
    <row r="551" spans="1:12">
      <c r="A551" s="263">
        <f t="shared" si="6"/>
        <v>550</v>
      </c>
      <c r="B551" s="359" t="s">
        <v>3804</v>
      </c>
      <c r="C551" s="360" t="s">
        <v>52</v>
      </c>
      <c r="D551" s="360" t="s">
        <v>4262</v>
      </c>
      <c r="E551" s="359" t="s">
        <v>5233</v>
      </c>
      <c r="F551" s="263" t="s">
        <v>3134</v>
      </c>
      <c r="G551" s="263"/>
      <c r="H551" s="263" t="s">
        <v>3328</v>
      </c>
      <c r="I551" s="263" t="s">
        <v>5453</v>
      </c>
      <c r="J551" s="263" t="s">
        <v>5453</v>
      </c>
      <c r="K551" s="263" t="s">
        <v>5543</v>
      </c>
      <c r="L551" s="263" t="s">
        <v>4574</v>
      </c>
    </row>
    <row r="552" spans="1:12">
      <c r="A552" s="263">
        <f t="shared" si="6"/>
        <v>551</v>
      </c>
      <c r="B552" s="359" t="s">
        <v>3805</v>
      </c>
      <c r="C552" s="360" t="s">
        <v>52</v>
      </c>
      <c r="D552" s="360" t="s">
        <v>4262</v>
      </c>
      <c r="E552" s="359" t="s">
        <v>3845</v>
      </c>
      <c r="F552" s="263" t="s">
        <v>3134</v>
      </c>
      <c r="G552" s="263"/>
      <c r="H552" s="263" t="s">
        <v>3328</v>
      </c>
      <c r="I552" s="263" t="s">
        <v>5453</v>
      </c>
      <c r="J552" s="263" t="s">
        <v>5453</v>
      </c>
      <c r="K552" s="263" t="s">
        <v>5544</v>
      </c>
      <c r="L552" s="263" t="s">
        <v>4576</v>
      </c>
    </row>
    <row r="553" spans="1:12">
      <c r="A553" s="263">
        <f t="shared" si="6"/>
        <v>552</v>
      </c>
      <c r="B553" s="359" t="s">
        <v>3806</v>
      </c>
      <c r="C553" s="360" t="s">
        <v>52</v>
      </c>
      <c r="D553" s="360" t="s">
        <v>4262</v>
      </c>
      <c r="E553" s="359" t="s">
        <v>5234</v>
      </c>
      <c r="F553" s="263" t="s">
        <v>3134</v>
      </c>
      <c r="G553" s="263"/>
      <c r="H553" s="263" t="s">
        <v>3328</v>
      </c>
      <c r="I553" s="263" t="s">
        <v>5453</v>
      </c>
      <c r="J553" s="263" t="s">
        <v>5453</v>
      </c>
      <c r="K553" s="263" t="s">
        <v>5234</v>
      </c>
      <c r="L553" s="263" t="s">
        <v>4578</v>
      </c>
    </row>
    <row r="554" spans="1:12">
      <c r="A554" s="263">
        <f t="shared" si="6"/>
        <v>553</v>
      </c>
      <c r="B554" s="359" t="s">
        <v>3807</v>
      </c>
      <c r="C554" s="360" t="s">
        <v>52</v>
      </c>
      <c r="D554" s="360" t="s">
        <v>4262</v>
      </c>
      <c r="E554" s="359" t="s">
        <v>5235</v>
      </c>
      <c r="F554" s="263" t="s">
        <v>3134</v>
      </c>
      <c r="G554" s="263"/>
      <c r="H554" s="263" t="s">
        <v>3328</v>
      </c>
      <c r="I554" s="263" t="s">
        <v>5453</v>
      </c>
      <c r="J554" s="263" t="s">
        <v>5453</v>
      </c>
      <c r="K554" s="263" t="s">
        <v>5235</v>
      </c>
      <c r="L554" s="263" t="s">
        <v>4580</v>
      </c>
    </row>
    <row r="555" spans="1:12">
      <c r="A555" s="263">
        <f t="shared" si="6"/>
        <v>554</v>
      </c>
      <c r="B555" s="359" t="s">
        <v>3808</v>
      </c>
      <c r="C555" s="360" t="s">
        <v>52</v>
      </c>
      <c r="D555" s="360" t="s">
        <v>4262</v>
      </c>
      <c r="E555" s="359" t="s">
        <v>5236</v>
      </c>
      <c r="F555" s="263" t="s">
        <v>3134</v>
      </c>
      <c r="G555" s="263"/>
      <c r="H555" s="263" t="s">
        <v>3328</v>
      </c>
      <c r="I555" s="263" t="s">
        <v>5453</v>
      </c>
      <c r="J555" s="263" t="s">
        <v>5453</v>
      </c>
      <c r="K555" s="263" t="s">
        <v>5236</v>
      </c>
      <c r="L555" s="263" t="s">
        <v>4582</v>
      </c>
    </row>
    <row r="556" spans="1:12">
      <c r="A556" s="263">
        <f t="shared" si="6"/>
        <v>555</v>
      </c>
      <c r="B556" s="359" t="s">
        <v>3809</v>
      </c>
      <c r="C556" s="360" t="s">
        <v>52</v>
      </c>
      <c r="D556" s="360" t="s">
        <v>4262</v>
      </c>
      <c r="E556" s="359" t="s">
        <v>5237</v>
      </c>
      <c r="F556" s="263" t="s">
        <v>3134</v>
      </c>
      <c r="G556" s="263"/>
      <c r="H556" s="263" t="s">
        <v>3328</v>
      </c>
      <c r="I556" s="263" t="s">
        <v>5453</v>
      </c>
      <c r="J556" s="263" t="s">
        <v>5453</v>
      </c>
      <c r="K556" s="263" t="s">
        <v>5545</v>
      </c>
      <c r="L556" s="263" t="s">
        <v>4584</v>
      </c>
    </row>
    <row r="557" spans="1:12">
      <c r="A557" s="263">
        <f t="shared" si="6"/>
        <v>556</v>
      </c>
      <c r="B557" s="359" t="s">
        <v>3810</v>
      </c>
      <c r="C557" s="360" t="s">
        <v>52</v>
      </c>
      <c r="D557" s="360" t="s">
        <v>4262</v>
      </c>
      <c r="E557" s="359" t="s">
        <v>5238</v>
      </c>
      <c r="F557" s="263" t="s">
        <v>3134</v>
      </c>
      <c r="G557" s="263"/>
      <c r="H557" s="263" t="s">
        <v>3328</v>
      </c>
      <c r="I557" s="263" t="s">
        <v>5453</v>
      </c>
      <c r="J557" s="263" t="s">
        <v>5453</v>
      </c>
      <c r="K557" s="263" t="s">
        <v>5546</v>
      </c>
      <c r="L557" s="263" t="s">
        <v>4586</v>
      </c>
    </row>
    <row r="558" spans="1:12">
      <c r="A558" s="263">
        <f t="shared" si="6"/>
        <v>557</v>
      </c>
      <c r="B558" s="359" t="s">
        <v>3811</v>
      </c>
      <c r="C558" s="360" t="s">
        <v>52</v>
      </c>
      <c r="D558" s="360" t="s">
        <v>4262</v>
      </c>
      <c r="E558" s="359" t="s">
        <v>5239</v>
      </c>
      <c r="F558" s="263" t="s">
        <v>3134</v>
      </c>
      <c r="G558" s="263"/>
      <c r="H558" s="263" t="s">
        <v>3328</v>
      </c>
      <c r="I558" s="263" t="s">
        <v>5453</v>
      </c>
      <c r="J558" s="263" t="s">
        <v>5453</v>
      </c>
      <c r="K558" s="263" t="s">
        <v>5547</v>
      </c>
      <c r="L558" s="263" t="s">
        <v>4588</v>
      </c>
    </row>
    <row r="559" spans="1:12">
      <c r="A559" s="263">
        <f t="shared" si="6"/>
        <v>558</v>
      </c>
      <c r="B559" s="359" t="s">
        <v>3812</v>
      </c>
      <c r="C559" s="360" t="s">
        <v>52</v>
      </c>
      <c r="D559" s="360" t="s">
        <v>4262</v>
      </c>
      <c r="E559" s="359" t="s">
        <v>5240</v>
      </c>
      <c r="F559" s="263" t="s">
        <v>3134</v>
      </c>
      <c r="G559" s="263"/>
      <c r="H559" s="263" t="s">
        <v>3328</v>
      </c>
      <c r="I559" s="263" t="s">
        <v>5453</v>
      </c>
      <c r="J559" s="263" t="s">
        <v>5453</v>
      </c>
      <c r="K559" s="263" t="s">
        <v>5548</v>
      </c>
      <c r="L559" s="263" t="s">
        <v>4590</v>
      </c>
    </row>
    <row r="560" spans="1:12">
      <c r="A560" s="263">
        <f t="shared" si="6"/>
        <v>559</v>
      </c>
      <c r="B560" s="359" t="s">
        <v>3813</v>
      </c>
      <c r="C560" s="360" t="s">
        <v>52</v>
      </c>
      <c r="D560" s="360" t="s">
        <v>4262</v>
      </c>
      <c r="E560" s="359" t="s">
        <v>5241</v>
      </c>
      <c r="F560" s="263" t="s">
        <v>3134</v>
      </c>
      <c r="G560" s="263"/>
      <c r="H560" s="263" t="s">
        <v>3328</v>
      </c>
      <c r="I560" s="263" t="s">
        <v>5453</v>
      </c>
      <c r="J560" s="263" t="s">
        <v>5453</v>
      </c>
      <c r="K560" s="263" t="s">
        <v>5549</v>
      </c>
      <c r="L560" s="263" t="s">
        <v>4592</v>
      </c>
    </row>
    <row r="561" spans="1:12">
      <c r="A561" s="263">
        <f t="shared" si="6"/>
        <v>560</v>
      </c>
      <c r="B561" s="359" t="s">
        <v>3814</v>
      </c>
      <c r="C561" s="360" t="s">
        <v>52</v>
      </c>
      <c r="D561" s="360" t="s">
        <v>4262</v>
      </c>
      <c r="E561" s="359" t="s">
        <v>5242</v>
      </c>
      <c r="F561" s="263" t="s">
        <v>3134</v>
      </c>
      <c r="G561" s="263"/>
      <c r="H561" s="263" t="s">
        <v>3328</v>
      </c>
      <c r="I561" s="263" t="s">
        <v>5453</v>
      </c>
      <c r="J561" s="263" t="s">
        <v>5453</v>
      </c>
      <c r="K561" s="263" t="s">
        <v>5550</v>
      </c>
      <c r="L561" s="263" t="s">
        <v>4594</v>
      </c>
    </row>
    <row r="562" spans="1:12">
      <c r="A562" s="263">
        <f t="shared" si="6"/>
        <v>561</v>
      </c>
      <c r="B562" s="359" t="s">
        <v>3815</v>
      </c>
      <c r="C562" s="360" t="s">
        <v>52</v>
      </c>
      <c r="D562" s="360" t="s">
        <v>4262</v>
      </c>
      <c r="E562" s="359" t="s">
        <v>5243</v>
      </c>
      <c r="F562" s="263" t="s">
        <v>3134</v>
      </c>
      <c r="G562" s="263"/>
      <c r="H562" s="263" t="s">
        <v>3328</v>
      </c>
      <c r="I562" s="263" t="s">
        <v>5453</v>
      </c>
      <c r="J562" s="263" t="s">
        <v>5453</v>
      </c>
      <c r="K562" s="263" t="s">
        <v>5551</v>
      </c>
      <c r="L562" s="263" t="s">
        <v>4596</v>
      </c>
    </row>
    <row r="563" spans="1:12">
      <c r="A563" s="263">
        <f t="shared" si="6"/>
        <v>562</v>
      </c>
      <c r="B563" s="359" t="s">
        <v>3816</v>
      </c>
      <c r="C563" s="360" t="s">
        <v>52</v>
      </c>
      <c r="D563" s="360" t="s">
        <v>4262</v>
      </c>
      <c r="E563" s="359" t="s">
        <v>5244</v>
      </c>
      <c r="F563" s="263" t="s">
        <v>3134</v>
      </c>
      <c r="G563" s="263"/>
      <c r="H563" s="263" t="s">
        <v>3328</v>
      </c>
      <c r="I563" s="263" t="s">
        <v>5453</v>
      </c>
      <c r="J563" s="263" t="s">
        <v>5453</v>
      </c>
      <c r="K563" s="263" t="s">
        <v>5552</v>
      </c>
      <c r="L563" s="263" t="s">
        <v>4598</v>
      </c>
    </row>
    <row r="564" spans="1:12">
      <c r="A564" s="263">
        <f t="shared" si="6"/>
        <v>563</v>
      </c>
      <c r="B564" s="359" t="s">
        <v>3817</v>
      </c>
      <c r="C564" s="360" t="s">
        <v>52</v>
      </c>
      <c r="D564" s="360" t="s">
        <v>4262</v>
      </c>
      <c r="E564" s="359" t="s">
        <v>5245</v>
      </c>
      <c r="F564" s="263" t="s">
        <v>3134</v>
      </c>
      <c r="G564" s="263"/>
      <c r="H564" s="263" t="s">
        <v>3328</v>
      </c>
      <c r="I564" s="263" t="s">
        <v>5453</v>
      </c>
      <c r="J564" s="263" t="s">
        <v>5453</v>
      </c>
      <c r="K564" s="263" t="s">
        <v>5245</v>
      </c>
      <c r="L564" s="263" t="s">
        <v>4600</v>
      </c>
    </row>
    <row r="565" spans="1:12">
      <c r="A565" s="263">
        <f t="shared" si="6"/>
        <v>564</v>
      </c>
      <c r="B565" s="359" t="s">
        <v>3818</v>
      </c>
      <c r="C565" s="360" t="s">
        <v>52</v>
      </c>
      <c r="D565" s="360" t="s">
        <v>4262</v>
      </c>
      <c r="E565" s="359" t="s">
        <v>5246</v>
      </c>
      <c r="F565" s="263" t="s">
        <v>3134</v>
      </c>
      <c r="G565" s="263"/>
      <c r="H565" s="263" t="s">
        <v>3328</v>
      </c>
      <c r="I565" s="263" t="s">
        <v>5453</v>
      </c>
      <c r="J565" s="263" t="s">
        <v>5453</v>
      </c>
      <c r="K565" s="263" t="s">
        <v>5246</v>
      </c>
      <c r="L565" s="263" t="s">
        <v>4602</v>
      </c>
    </row>
    <row r="566" spans="1:12">
      <c r="A566" s="263">
        <f t="shared" si="6"/>
        <v>565</v>
      </c>
      <c r="B566" s="359" t="s">
        <v>3819</v>
      </c>
      <c r="C566" s="360" t="s">
        <v>52</v>
      </c>
      <c r="D566" s="360" t="s">
        <v>4262</v>
      </c>
      <c r="E566" s="359" t="s">
        <v>5247</v>
      </c>
      <c r="F566" s="263" t="s">
        <v>3134</v>
      </c>
      <c r="G566" s="263"/>
      <c r="H566" s="263" t="s">
        <v>3328</v>
      </c>
      <c r="I566" s="263" t="s">
        <v>5453</v>
      </c>
      <c r="J566" s="263" t="s">
        <v>5453</v>
      </c>
      <c r="K566" s="263" t="s">
        <v>5553</v>
      </c>
      <c r="L566" s="263" t="s">
        <v>4604</v>
      </c>
    </row>
    <row r="567" spans="1:12">
      <c r="A567" s="263">
        <f t="shared" si="6"/>
        <v>566</v>
      </c>
      <c r="B567" s="359" t="s">
        <v>3820</v>
      </c>
      <c r="C567" s="360" t="s">
        <v>52</v>
      </c>
      <c r="D567" s="360" t="s">
        <v>4262</v>
      </c>
      <c r="E567" s="359" t="s">
        <v>5248</v>
      </c>
      <c r="F567" s="263" t="s">
        <v>3134</v>
      </c>
      <c r="G567" s="263"/>
      <c r="H567" s="263" t="s">
        <v>3328</v>
      </c>
      <c r="I567" s="263" t="s">
        <v>5453</v>
      </c>
      <c r="J567" s="263" t="s">
        <v>5453</v>
      </c>
      <c r="K567" s="263" t="s">
        <v>5248</v>
      </c>
      <c r="L567" s="263" t="s">
        <v>4606</v>
      </c>
    </row>
    <row r="568" spans="1:12">
      <c r="A568" s="263">
        <f t="shared" si="6"/>
        <v>567</v>
      </c>
      <c r="B568" s="359" t="s">
        <v>4340</v>
      </c>
      <c r="C568" s="360" t="s">
        <v>52</v>
      </c>
      <c r="D568" s="360" t="s">
        <v>4262</v>
      </c>
      <c r="E568" s="359" t="s">
        <v>5249</v>
      </c>
      <c r="F568" s="263" t="s">
        <v>3134</v>
      </c>
      <c r="G568" s="263"/>
      <c r="H568" s="263" t="s">
        <v>3328</v>
      </c>
      <c r="I568" s="263" t="s">
        <v>5453</v>
      </c>
      <c r="J568" s="263" t="s">
        <v>5453</v>
      </c>
      <c r="K568" s="263" t="s">
        <v>5554</v>
      </c>
      <c r="L568" s="263" t="s">
        <v>4608</v>
      </c>
    </row>
    <row r="569" spans="1:12">
      <c r="A569" s="263">
        <f t="shared" si="6"/>
        <v>568</v>
      </c>
      <c r="B569" s="359" t="s">
        <v>3821</v>
      </c>
      <c r="C569" s="360" t="s">
        <v>52</v>
      </c>
      <c r="D569" s="360" t="s">
        <v>4262</v>
      </c>
      <c r="E569" s="359" t="s">
        <v>3856</v>
      </c>
      <c r="F569" s="263" t="s">
        <v>3134</v>
      </c>
      <c r="G569" s="263"/>
      <c r="H569" s="263" t="s">
        <v>3328</v>
      </c>
      <c r="I569" s="263" t="s">
        <v>5453</v>
      </c>
      <c r="J569" s="263" t="s">
        <v>5453</v>
      </c>
      <c r="K569" s="263" t="s">
        <v>5555</v>
      </c>
      <c r="L569" s="263" t="s">
        <v>4610</v>
      </c>
    </row>
    <row r="570" spans="1:12">
      <c r="A570" s="263">
        <f t="shared" si="6"/>
        <v>569</v>
      </c>
      <c r="B570" s="359" t="s">
        <v>3822</v>
      </c>
      <c r="C570" s="360" t="s">
        <v>52</v>
      </c>
      <c r="D570" s="360" t="s">
        <v>4262</v>
      </c>
      <c r="E570" s="359" t="s">
        <v>3859</v>
      </c>
      <c r="F570" s="263" t="s">
        <v>3134</v>
      </c>
      <c r="G570" s="263"/>
      <c r="H570" s="263" t="s">
        <v>3328</v>
      </c>
      <c r="I570" s="263" t="s">
        <v>5453</v>
      </c>
      <c r="J570" s="263" t="s">
        <v>5453</v>
      </c>
      <c r="K570" s="263" t="s">
        <v>5556</v>
      </c>
      <c r="L570" s="263" t="s">
        <v>4612</v>
      </c>
    </row>
    <row r="571" spans="1:12">
      <c r="A571" s="263">
        <f t="shared" si="6"/>
        <v>570</v>
      </c>
      <c r="B571" s="359" t="s">
        <v>3823</v>
      </c>
      <c r="C571" s="360" t="s">
        <v>52</v>
      </c>
      <c r="D571" s="360" t="s">
        <v>4262</v>
      </c>
      <c r="E571" s="359" t="s">
        <v>5250</v>
      </c>
      <c r="F571" s="263" t="s">
        <v>3134</v>
      </c>
      <c r="G571" s="263"/>
      <c r="H571" s="263" t="s">
        <v>3328</v>
      </c>
      <c r="I571" s="263" t="s">
        <v>5453</v>
      </c>
      <c r="J571" s="263" t="s">
        <v>5453</v>
      </c>
      <c r="K571" s="263" t="s">
        <v>5557</v>
      </c>
      <c r="L571" s="263" t="s">
        <v>4614</v>
      </c>
    </row>
    <row r="572" spans="1:12">
      <c r="A572" s="263">
        <f t="shared" si="6"/>
        <v>571</v>
      </c>
      <c r="B572" s="359" t="s">
        <v>3824</v>
      </c>
      <c r="C572" s="360" t="s">
        <v>52</v>
      </c>
      <c r="D572" s="360" t="s">
        <v>4262</v>
      </c>
      <c r="E572" s="359" t="s">
        <v>5251</v>
      </c>
      <c r="F572" s="263" t="s">
        <v>3134</v>
      </c>
      <c r="G572" s="263"/>
      <c r="H572" s="263" t="s">
        <v>3328</v>
      </c>
      <c r="I572" s="263" t="s">
        <v>5453</v>
      </c>
      <c r="J572" s="263" t="s">
        <v>5453</v>
      </c>
      <c r="K572" s="263" t="s">
        <v>5558</v>
      </c>
      <c r="L572" s="263" t="s">
        <v>4616</v>
      </c>
    </row>
    <row r="573" spans="1:12">
      <c r="A573" s="263">
        <f t="shared" si="6"/>
        <v>572</v>
      </c>
      <c r="B573" s="359" t="s">
        <v>4341</v>
      </c>
      <c r="C573" s="360" t="s">
        <v>52</v>
      </c>
      <c r="D573" s="360" t="s">
        <v>4262</v>
      </c>
      <c r="E573" s="359" t="s">
        <v>5252</v>
      </c>
      <c r="F573" s="263" t="s">
        <v>3134</v>
      </c>
      <c r="G573" s="263"/>
      <c r="H573" s="263" t="s">
        <v>3328</v>
      </c>
      <c r="I573" s="263" t="s">
        <v>5453</v>
      </c>
      <c r="J573" s="263" t="s">
        <v>5453</v>
      </c>
      <c r="K573" s="263" t="s">
        <v>5559</v>
      </c>
      <c r="L573" s="263" t="s">
        <v>4618</v>
      </c>
    </row>
    <row r="574" spans="1:12">
      <c r="A574" s="263">
        <f t="shared" si="6"/>
        <v>573</v>
      </c>
      <c r="B574" s="359" t="s">
        <v>4342</v>
      </c>
      <c r="C574" s="360" t="s">
        <v>52</v>
      </c>
      <c r="D574" s="360" t="s">
        <v>4262</v>
      </c>
      <c r="E574" s="359" t="s">
        <v>3844</v>
      </c>
      <c r="F574" s="263" t="s">
        <v>3134</v>
      </c>
      <c r="G574" s="263"/>
      <c r="H574" s="263" t="s">
        <v>3328</v>
      </c>
      <c r="I574" s="263" t="s">
        <v>5453</v>
      </c>
      <c r="J574" s="263" t="s">
        <v>5453</v>
      </c>
      <c r="K574" s="263" t="s">
        <v>5560</v>
      </c>
      <c r="L574" s="263" t="s">
        <v>4620</v>
      </c>
    </row>
    <row r="575" spans="1:12">
      <c r="A575" s="263">
        <f t="shared" si="6"/>
        <v>574</v>
      </c>
      <c r="B575" s="359" t="s">
        <v>4343</v>
      </c>
      <c r="C575" s="360" t="s">
        <v>52</v>
      </c>
      <c r="D575" s="360" t="s">
        <v>4262</v>
      </c>
      <c r="E575" s="359" t="s">
        <v>3861</v>
      </c>
      <c r="F575" s="263" t="s">
        <v>3134</v>
      </c>
      <c r="G575" s="263"/>
      <c r="H575" s="263" t="s">
        <v>3328</v>
      </c>
      <c r="I575" s="263" t="s">
        <v>5453</v>
      </c>
      <c r="J575" s="263" t="s">
        <v>5453</v>
      </c>
      <c r="K575" s="263" t="s">
        <v>5561</v>
      </c>
      <c r="L575" s="263" t="s">
        <v>4622</v>
      </c>
    </row>
    <row r="576" spans="1:12">
      <c r="A576" s="263">
        <f t="shared" si="6"/>
        <v>575</v>
      </c>
      <c r="B576" s="359" t="s">
        <v>4344</v>
      </c>
      <c r="C576" s="360" t="s">
        <v>52</v>
      </c>
      <c r="D576" s="360" t="s">
        <v>4262</v>
      </c>
      <c r="E576" s="359" t="s">
        <v>5253</v>
      </c>
      <c r="F576" s="263" t="s">
        <v>3134</v>
      </c>
      <c r="G576" s="263"/>
      <c r="H576" s="263" t="s">
        <v>3328</v>
      </c>
      <c r="I576" s="263" t="s">
        <v>5453</v>
      </c>
      <c r="J576" s="263" t="s">
        <v>5453</v>
      </c>
      <c r="K576" s="263" t="s">
        <v>5562</v>
      </c>
      <c r="L576" s="263" t="s">
        <v>4624</v>
      </c>
    </row>
    <row r="577" spans="1:12">
      <c r="A577" s="263">
        <f t="shared" si="6"/>
        <v>576</v>
      </c>
      <c r="B577" s="359" t="s">
        <v>4345</v>
      </c>
      <c r="C577" s="360" t="s">
        <v>52</v>
      </c>
      <c r="D577" s="360" t="s">
        <v>4262</v>
      </c>
      <c r="E577" s="359" t="s">
        <v>3846</v>
      </c>
      <c r="F577" s="263" t="s">
        <v>3134</v>
      </c>
      <c r="G577" s="263"/>
      <c r="H577" s="263" t="s">
        <v>3328</v>
      </c>
      <c r="I577" s="263" t="s">
        <v>5453</v>
      </c>
      <c r="J577" s="263" t="s">
        <v>5453</v>
      </c>
      <c r="K577" s="263" t="s">
        <v>3846</v>
      </c>
      <c r="L577" s="263" t="s">
        <v>4626</v>
      </c>
    </row>
    <row r="578" spans="1:12">
      <c r="A578" s="263">
        <f t="shared" si="6"/>
        <v>577</v>
      </c>
      <c r="B578" s="359" t="s">
        <v>4346</v>
      </c>
      <c r="C578" s="360" t="s">
        <v>52</v>
      </c>
      <c r="D578" s="360" t="s">
        <v>4262</v>
      </c>
      <c r="E578" s="359" t="s">
        <v>3847</v>
      </c>
      <c r="F578" s="263" t="s">
        <v>3134</v>
      </c>
      <c r="G578" s="263"/>
      <c r="H578" s="263" t="s">
        <v>3328</v>
      </c>
      <c r="I578" s="263" t="s">
        <v>5453</v>
      </c>
      <c r="J578" s="263" t="s">
        <v>5453</v>
      </c>
      <c r="K578" s="263" t="s">
        <v>5563</v>
      </c>
      <c r="L578" s="263" t="s">
        <v>4628</v>
      </c>
    </row>
    <row r="579" spans="1:12">
      <c r="A579" s="263">
        <f t="shared" ref="A579:A642" si="7">ROW()-1</f>
        <v>578</v>
      </c>
      <c r="B579" s="359" t="s">
        <v>4347</v>
      </c>
      <c r="C579" s="360" t="s">
        <v>52</v>
      </c>
      <c r="D579" s="360" t="s">
        <v>4262</v>
      </c>
      <c r="E579" s="359" t="s">
        <v>5161</v>
      </c>
      <c r="F579" s="263" t="s">
        <v>3134</v>
      </c>
      <c r="G579" s="263"/>
      <c r="H579" s="263" t="s">
        <v>3328</v>
      </c>
      <c r="I579" s="263" t="s">
        <v>5453</v>
      </c>
      <c r="J579" s="263" t="s">
        <v>5453</v>
      </c>
      <c r="K579" s="263" t="s">
        <v>5564</v>
      </c>
      <c r="L579" s="263" t="s">
        <v>4630</v>
      </c>
    </row>
    <row r="580" spans="1:12">
      <c r="A580" s="263">
        <f t="shared" si="7"/>
        <v>579</v>
      </c>
      <c r="B580" s="359" t="s">
        <v>4348</v>
      </c>
      <c r="C580" s="360" t="s">
        <v>52</v>
      </c>
      <c r="D580" s="360" t="s">
        <v>4262</v>
      </c>
      <c r="E580" s="359" t="s">
        <v>5254</v>
      </c>
      <c r="F580" s="263" t="s">
        <v>3134</v>
      </c>
      <c r="G580" s="263"/>
      <c r="H580" s="263" t="s">
        <v>3328</v>
      </c>
      <c r="I580" s="263" t="s">
        <v>5453</v>
      </c>
      <c r="J580" s="263" t="s">
        <v>5453</v>
      </c>
      <c r="K580" s="263" t="s">
        <v>5565</v>
      </c>
      <c r="L580" s="263" t="s">
        <v>4632</v>
      </c>
    </row>
    <row r="581" spans="1:12">
      <c r="A581" s="263">
        <f t="shared" si="7"/>
        <v>580</v>
      </c>
      <c r="B581" s="359" t="s">
        <v>4349</v>
      </c>
      <c r="C581" s="360" t="s">
        <v>52</v>
      </c>
      <c r="D581" s="360" t="s">
        <v>4262</v>
      </c>
      <c r="E581" s="359" t="s">
        <v>5255</v>
      </c>
      <c r="F581" s="263" t="s">
        <v>3134</v>
      </c>
      <c r="G581" s="263"/>
      <c r="H581" s="263" t="s">
        <v>3328</v>
      </c>
      <c r="I581" s="263" t="s">
        <v>5453</v>
      </c>
      <c r="J581" s="263" t="s">
        <v>5453</v>
      </c>
      <c r="K581" s="263" t="s">
        <v>5566</v>
      </c>
      <c r="L581" s="263" t="s">
        <v>4634</v>
      </c>
    </row>
    <row r="582" spans="1:12">
      <c r="A582" s="263">
        <f t="shared" si="7"/>
        <v>581</v>
      </c>
      <c r="B582" s="359" t="s">
        <v>4350</v>
      </c>
      <c r="C582" s="360" t="s">
        <v>52</v>
      </c>
      <c r="D582" s="360" t="s">
        <v>4262</v>
      </c>
      <c r="E582" s="359" t="s">
        <v>3852</v>
      </c>
      <c r="F582" s="263" t="s">
        <v>3134</v>
      </c>
      <c r="G582" s="263"/>
      <c r="H582" s="263" t="s">
        <v>3328</v>
      </c>
      <c r="I582" s="263" t="s">
        <v>5453</v>
      </c>
      <c r="J582" s="263" t="s">
        <v>5453</v>
      </c>
      <c r="K582" s="263" t="s">
        <v>5567</v>
      </c>
      <c r="L582" s="263" t="s">
        <v>4636</v>
      </c>
    </row>
    <row r="583" spans="1:12">
      <c r="A583" s="263">
        <f t="shared" si="7"/>
        <v>582</v>
      </c>
      <c r="B583" s="359" t="s">
        <v>4351</v>
      </c>
      <c r="C583" s="360" t="s">
        <v>52</v>
      </c>
      <c r="D583" s="360" t="s">
        <v>4262</v>
      </c>
      <c r="E583" s="359" t="s">
        <v>3854</v>
      </c>
      <c r="F583" s="263" t="s">
        <v>3134</v>
      </c>
      <c r="G583" s="263"/>
      <c r="H583" s="263" t="s">
        <v>3328</v>
      </c>
      <c r="I583" s="263" t="s">
        <v>5453</v>
      </c>
      <c r="J583" s="263" t="s">
        <v>5453</v>
      </c>
      <c r="K583" s="263" t="s">
        <v>3854</v>
      </c>
      <c r="L583" s="263" t="s">
        <v>4638</v>
      </c>
    </row>
    <row r="584" spans="1:12">
      <c r="A584" s="263">
        <f t="shared" si="7"/>
        <v>583</v>
      </c>
      <c r="B584" s="359" t="s">
        <v>4352</v>
      </c>
      <c r="C584" s="360" t="s">
        <v>52</v>
      </c>
      <c r="D584" s="360" t="s">
        <v>4262</v>
      </c>
      <c r="E584" s="359" t="s">
        <v>3840</v>
      </c>
      <c r="F584" s="263" t="s">
        <v>3134</v>
      </c>
      <c r="G584" s="263"/>
      <c r="H584" s="263" t="s">
        <v>3328</v>
      </c>
      <c r="I584" s="263" t="s">
        <v>5453</v>
      </c>
      <c r="J584" s="263" t="s">
        <v>5453</v>
      </c>
      <c r="K584" s="263" t="s">
        <v>3840</v>
      </c>
      <c r="L584" s="263" t="s">
        <v>4640</v>
      </c>
    </row>
    <row r="585" spans="1:12">
      <c r="A585" s="263">
        <f t="shared" si="7"/>
        <v>584</v>
      </c>
      <c r="B585" s="359" t="s">
        <v>4353</v>
      </c>
      <c r="C585" s="360" t="s">
        <v>52</v>
      </c>
      <c r="D585" s="360" t="s">
        <v>4262</v>
      </c>
      <c r="E585" s="359" t="s">
        <v>3864</v>
      </c>
      <c r="F585" s="263" t="s">
        <v>3134</v>
      </c>
      <c r="G585" s="263"/>
      <c r="H585" s="263" t="s">
        <v>3328</v>
      </c>
      <c r="I585" s="263" t="s">
        <v>5453</v>
      </c>
      <c r="J585" s="263" t="s">
        <v>5453</v>
      </c>
      <c r="K585" s="263" t="s">
        <v>5568</v>
      </c>
      <c r="L585" s="263" t="s">
        <v>4642</v>
      </c>
    </row>
    <row r="586" spans="1:12">
      <c r="A586" s="263">
        <f t="shared" si="7"/>
        <v>585</v>
      </c>
      <c r="B586" s="359" t="s">
        <v>4354</v>
      </c>
      <c r="C586" s="360" t="s">
        <v>52</v>
      </c>
      <c r="D586" s="360" t="s">
        <v>4262</v>
      </c>
      <c r="E586" s="359" t="s">
        <v>5156</v>
      </c>
      <c r="F586" s="263" t="s">
        <v>3134</v>
      </c>
      <c r="G586" s="263"/>
      <c r="H586" s="263" t="s">
        <v>3328</v>
      </c>
      <c r="I586" s="263" t="s">
        <v>5453</v>
      </c>
      <c r="J586" s="263" t="s">
        <v>5453</v>
      </c>
      <c r="K586" s="263" t="s">
        <v>5569</v>
      </c>
      <c r="L586" s="263" t="s">
        <v>4644</v>
      </c>
    </row>
    <row r="587" spans="1:12">
      <c r="A587" s="263">
        <f t="shared" si="7"/>
        <v>586</v>
      </c>
      <c r="B587" s="359" t="s">
        <v>4355</v>
      </c>
      <c r="C587" s="360" t="s">
        <v>52</v>
      </c>
      <c r="D587" s="360" t="s">
        <v>4262</v>
      </c>
      <c r="E587" s="359" t="s">
        <v>5158</v>
      </c>
      <c r="F587" s="263" t="s">
        <v>3134</v>
      </c>
      <c r="G587" s="263"/>
      <c r="H587" s="263" t="s">
        <v>3328</v>
      </c>
      <c r="I587" s="263" t="s">
        <v>5453</v>
      </c>
      <c r="J587" s="263" t="s">
        <v>5453</v>
      </c>
      <c r="K587" s="263" t="s">
        <v>5570</v>
      </c>
      <c r="L587" s="263" t="s">
        <v>4646</v>
      </c>
    </row>
    <row r="588" spans="1:12">
      <c r="A588" s="263">
        <f t="shared" si="7"/>
        <v>587</v>
      </c>
      <c r="B588" s="359" t="s">
        <v>4356</v>
      </c>
      <c r="C588" s="360" t="s">
        <v>52</v>
      </c>
      <c r="D588" s="360" t="s">
        <v>4262</v>
      </c>
      <c r="E588" s="359" t="s">
        <v>5159</v>
      </c>
      <c r="F588" s="263" t="s">
        <v>3134</v>
      </c>
      <c r="G588" s="263"/>
      <c r="H588" s="263" t="s">
        <v>3328</v>
      </c>
      <c r="I588" s="263" t="s">
        <v>5453</v>
      </c>
      <c r="J588" s="263" t="s">
        <v>5453</v>
      </c>
      <c r="K588" s="263" t="s">
        <v>5571</v>
      </c>
      <c r="L588" s="263" t="s">
        <v>4648</v>
      </c>
    </row>
    <row r="589" spans="1:12">
      <c r="A589" s="263">
        <f t="shared" si="7"/>
        <v>588</v>
      </c>
      <c r="B589" s="359" t="s">
        <v>4357</v>
      </c>
      <c r="C589" s="360" t="s">
        <v>52</v>
      </c>
      <c r="D589" s="360" t="s">
        <v>4262</v>
      </c>
      <c r="E589" s="359" t="s">
        <v>5161</v>
      </c>
      <c r="F589" s="263" t="s">
        <v>3134</v>
      </c>
      <c r="G589" s="263"/>
      <c r="H589" s="263" t="s">
        <v>3328</v>
      </c>
      <c r="I589" s="263" t="s">
        <v>5453</v>
      </c>
      <c r="J589" s="263" t="s">
        <v>5453</v>
      </c>
      <c r="K589" s="263" t="s">
        <v>5572</v>
      </c>
      <c r="L589" s="263" t="s">
        <v>4650</v>
      </c>
    </row>
    <row r="590" spans="1:12">
      <c r="A590" s="263">
        <f t="shared" si="7"/>
        <v>589</v>
      </c>
      <c r="B590" s="359" t="s">
        <v>4358</v>
      </c>
      <c r="C590" s="360" t="s">
        <v>52</v>
      </c>
      <c r="D590" s="360" t="s">
        <v>4262</v>
      </c>
      <c r="E590" s="359" t="s">
        <v>5162</v>
      </c>
      <c r="F590" s="263" t="s">
        <v>3134</v>
      </c>
      <c r="G590" s="263"/>
      <c r="H590" s="263" t="s">
        <v>3328</v>
      </c>
      <c r="I590" s="263" t="s">
        <v>5453</v>
      </c>
      <c r="J590" s="263" t="s">
        <v>5453</v>
      </c>
      <c r="K590" s="263" t="s">
        <v>5573</v>
      </c>
      <c r="L590" s="263" t="s">
        <v>4652</v>
      </c>
    </row>
    <row r="591" spans="1:12">
      <c r="A591" s="263">
        <f t="shared" si="7"/>
        <v>590</v>
      </c>
      <c r="B591" s="359" t="s">
        <v>4359</v>
      </c>
      <c r="C591" s="360" t="s">
        <v>52</v>
      </c>
      <c r="D591" s="360" t="s">
        <v>4262</v>
      </c>
      <c r="E591" s="359" t="s">
        <v>5164</v>
      </c>
      <c r="F591" s="263" t="s">
        <v>3134</v>
      </c>
      <c r="G591" s="263"/>
      <c r="H591" s="263" t="s">
        <v>3328</v>
      </c>
      <c r="I591" s="263" t="s">
        <v>5453</v>
      </c>
      <c r="J591" s="263" t="s">
        <v>5453</v>
      </c>
      <c r="K591" s="263" t="s">
        <v>5574</v>
      </c>
      <c r="L591" s="263" t="s">
        <v>5154</v>
      </c>
    </row>
    <row r="592" spans="1:12">
      <c r="A592" s="263">
        <f t="shared" si="7"/>
        <v>591</v>
      </c>
      <c r="B592" s="359" t="s">
        <v>4360</v>
      </c>
      <c r="C592" s="360" t="s">
        <v>52</v>
      </c>
      <c r="D592" s="360" t="s">
        <v>4262</v>
      </c>
      <c r="E592" s="359" t="s">
        <v>5166</v>
      </c>
      <c r="F592" s="263" t="s">
        <v>3134</v>
      </c>
      <c r="G592" s="263"/>
      <c r="H592" s="263" t="s">
        <v>3328</v>
      </c>
      <c r="I592" s="263" t="s">
        <v>5453</v>
      </c>
      <c r="J592" s="263" t="s">
        <v>5453</v>
      </c>
      <c r="K592" s="263" t="s">
        <v>5575</v>
      </c>
      <c r="L592" s="263" t="s">
        <v>977</v>
      </c>
    </row>
    <row r="593" spans="1:12">
      <c r="A593" s="263">
        <f t="shared" si="7"/>
        <v>592</v>
      </c>
      <c r="B593" s="359" t="s">
        <v>4361</v>
      </c>
      <c r="C593" s="360" t="s">
        <v>52</v>
      </c>
      <c r="D593" s="360" t="s">
        <v>4262</v>
      </c>
      <c r="E593" s="359" t="s">
        <v>4482</v>
      </c>
      <c r="F593" s="263" t="s">
        <v>3134</v>
      </c>
      <c r="G593" s="263"/>
      <c r="H593" s="263" t="s">
        <v>3328</v>
      </c>
      <c r="I593" s="263" t="s">
        <v>5453</v>
      </c>
      <c r="J593" s="263" t="s">
        <v>5453</v>
      </c>
      <c r="K593" s="263" t="s">
        <v>978</v>
      </c>
      <c r="L593" s="263" t="s">
        <v>974</v>
      </c>
    </row>
    <row r="594" spans="1:12">
      <c r="A594" s="263">
        <f t="shared" si="7"/>
        <v>593</v>
      </c>
      <c r="B594" s="359" t="s">
        <v>4362</v>
      </c>
      <c r="C594" s="360" t="s">
        <v>52</v>
      </c>
      <c r="D594" s="360" t="s">
        <v>4262</v>
      </c>
      <c r="E594" s="359" t="s">
        <v>5256</v>
      </c>
      <c r="F594" s="263" t="s">
        <v>3134</v>
      </c>
      <c r="G594" s="263"/>
      <c r="H594" s="263" t="s">
        <v>3328</v>
      </c>
      <c r="I594" s="263" t="s">
        <v>5453</v>
      </c>
      <c r="J594" s="263" t="s">
        <v>5453</v>
      </c>
      <c r="K594" s="263" t="s">
        <v>975</v>
      </c>
      <c r="L594" s="263" t="s">
        <v>971</v>
      </c>
    </row>
    <row r="595" spans="1:12">
      <c r="A595" s="263">
        <f t="shared" si="7"/>
        <v>594</v>
      </c>
      <c r="B595" s="359" t="s">
        <v>5589</v>
      </c>
      <c r="C595" s="360" t="s">
        <v>52</v>
      </c>
      <c r="D595" s="360" t="s">
        <v>4262</v>
      </c>
      <c r="E595" s="263" t="s">
        <v>972</v>
      </c>
      <c r="F595" s="263" t="s">
        <v>3134</v>
      </c>
      <c r="G595" s="263"/>
      <c r="H595" s="263" t="s">
        <v>3328</v>
      </c>
      <c r="I595" s="263" t="s">
        <v>5453</v>
      </c>
      <c r="J595" s="263" t="s">
        <v>5453</v>
      </c>
      <c r="K595" s="263" t="s">
        <v>972</v>
      </c>
      <c r="L595" s="263" t="s">
        <v>4658</v>
      </c>
    </row>
    <row r="596" spans="1:12">
      <c r="A596" s="263">
        <f t="shared" si="7"/>
        <v>595</v>
      </c>
      <c r="B596" s="359" t="s">
        <v>5590</v>
      </c>
      <c r="C596" s="360" t="s">
        <v>52</v>
      </c>
      <c r="D596" s="360" t="s">
        <v>4262</v>
      </c>
      <c r="E596" s="263" t="s">
        <v>5576</v>
      </c>
      <c r="F596" s="263" t="s">
        <v>3134</v>
      </c>
      <c r="G596" s="263"/>
      <c r="H596" s="263" t="s">
        <v>3328</v>
      </c>
      <c r="I596" s="263" t="s">
        <v>5453</v>
      </c>
      <c r="J596" s="263" t="s">
        <v>5453</v>
      </c>
      <c r="K596" s="263" t="s">
        <v>5576</v>
      </c>
      <c r="L596" s="263" t="s">
        <v>4659</v>
      </c>
    </row>
    <row r="597" spans="1:12">
      <c r="A597" s="263">
        <f t="shared" si="7"/>
        <v>596</v>
      </c>
      <c r="B597" s="359" t="s">
        <v>5591</v>
      </c>
      <c r="C597" s="360" t="s">
        <v>52</v>
      </c>
      <c r="D597" s="360" t="s">
        <v>4262</v>
      </c>
      <c r="E597" s="263" t="s">
        <v>5577</v>
      </c>
      <c r="F597" s="263" t="s">
        <v>3134</v>
      </c>
      <c r="G597" s="263"/>
      <c r="H597" s="263" t="s">
        <v>3328</v>
      </c>
      <c r="I597" s="263" t="s">
        <v>5453</v>
      </c>
      <c r="J597" s="263" t="s">
        <v>5453</v>
      </c>
      <c r="K597" s="263" t="s">
        <v>5577</v>
      </c>
      <c r="L597" s="263" t="s">
        <v>4660</v>
      </c>
    </row>
    <row r="598" spans="1:12">
      <c r="A598" s="263">
        <f t="shared" si="7"/>
        <v>597</v>
      </c>
      <c r="B598" s="359" t="s">
        <v>5592</v>
      </c>
      <c r="C598" s="360" t="s">
        <v>52</v>
      </c>
      <c r="D598" s="360" t="s">
        <v>4262</v>
      </c>
      <c r="E598" s="263" t="s">
        <v>5578</v>
      </c>
      <c r="F598" s="263" t="s">
        <v>3134</v>
      </c>
      <c r="G598" s="263"/>
      <c r="H598" s="263" t="s">
        <v>3328</v>
      </c>
      <c r="I598" s="263" t="s">
        <v>5453</v>
      </c>
      <c r="J598" s="263" t="s">
        <v>5453</v>
      </c>
      <c r="K598" s="263" t="s">
        <v>5578</v>
      </c>
      <c r="L598" s="263" t="s">
        <v>4661</v>
      </c>
    </row>
    <row r="599" spans="1:12">
      <c r="A599" s="263">
        <f t="shared" si="7"/>
        <v>598</v>
      </c>
      <c r="B599" s="359" t="s">
        <v>5593</v>
      </c>
      <c r="C599" s="360" t="s">
        <v>52</v>
      </c>
      <c r="D599" s="360" t="s">
        <v>4262</v>
      </c>
      <c r="E599" s="263" t="s">
        <v>3841</v>
      </c>
      <c r="F599" s="263" t="s">
        <v>3134</v>
      </c>
      <c r="G599" s="263"/>
      <c r="H599" s="263" t="s">
        <v>3328</v>
      </c>
      <c r="I599" s="263" t="s">
        <v>5453</v>
      </c>
      <c r="J599" s="263" t="s">
        <v>5453</v>
      </c>
      <c r="K599" s="263" t="s">
        <v>3841</v>
      </c>
      <c r="L599" s="263" t="s">
        <v>4662</v>
      </c>
    </row>
    <row r="600" spans="1:12">
      <c r="A600" s="263">
        <f t="shared" si="7"/>
        <v>599</v>
      </c>
      <c r="B600" s="359" t="s">
        <v>5594</v>
      </c>
      <c r="C600" s="360" t="s">
        <v>52</v>
      </c>
      <c r="D600" s="360" t="s">
        <v>4262</v>
      </c>
      <c r="E600" s="263" t="s">
        <v>3842</v>
      </c>
      <c r="F600" s="263" t="s">
        <v>3134</v>
      </c>
      <c r="G600" s="263"/>
      <c r="H600" s="263" t="s">
        <v>3328</v>
      </c>
      <c r="I600" s="263" t="s">
        <v>5453</v>
      </c>
      <c r="J600" s="263" t="s">
        <v>5453</v>
      </c>
      <c r="K600" s="263" t="s">
        <v>3842</v>
      </c>
      <c r="L600" s="263" t="s">
        <v>4663</v>
      </c>
    </row>
    <row r="601" spans="1:12">
      <c r="A601" s="263">
        <f t="shared" si="7"/>
        <v>600</v>
      </c>
      <c r="B601" s="359" t="s">
        <v>5595</v>
      </c>
      <c r="C601" s="360" t="s">
        <v>52</v>
      </c>
      <c r="D601" s="360" t="s">
        <v>4262</v>
      </c>
      <c r="E601" s="263" t="s">
        <v>5579</v>
      </c>
      <c r="F601" s="263" t="s">
        <v>3134</v>
      </c>
      <c r="G601" s="263"/>
      <c r="H601" s="263" t="s">
        <v>3328</v>
      </c>
      <c r="I601" s="263" t="s">
        <v>5453</v>
      </c>
      <c r="J601" s="263" t="s">
        <v>5453</v>
      </c>
      <c r="K601" s="263" t="s">
        <v>5579</v>
      </c>
      <c r="L601" s="263" t="s">
        <v>4664</v>
      </c>
    </row>
    <row r="602" spans="1:12">
      <c r="A602" s="263">
        <f t="shared" si="7"/>
        <v>601</v>
      </c>
      <c r="B602" s="359" t="s">
        <v>5596</v>
      </c>
      <c r="C602" s="360" t="s">
        <v>52</v>
      </c>
      <c r="D602" s="360" t="s">
        <v>4262</v>
      </c>
      <c r="E602" s="263" t="s">
        <v>5580</v>
      </c>
      <c r="F602" s="263" t="s">
        <v>3134</v>
      </c>
      <c r="G602" s="263"/>
      <c r="H602" s="263" t="s">
        <v>3328</v>
      </c>
      <c r="I602" s="263" t="s">
        <v>5453</v>
      </c>
      <c r="J602" s="263" t="s">
        <v>5453</v>
      </c>
      <c r="K602" s="263" t="s">
        <v>5580</v>
      </c>
      <c r="L602" s="263" t="s">
        <v>4665</v>
      </c>
    </row>
    <row r="603" spans="1:12">
      <c r="A603" s="263">
        <f t="shared" si="7"/>
        <v>602</v>
      </c>
      <c r="B603" s="359" t="s">
        <v>5597</v>
      </c>
      <c r="C603" s="360" t="s">
        <v>52</v>
      </c>
      <c r="D603" s="360" t="s">
        <v>4262</v>
      </c>
      <c r="E603" s="263" t="s">
        <v>5581</v>
      </c>
      <c r="F603" s="263" t="s">
        <v>3134</v>
      </c>
      <c r="G603" s="263"/>
      <c r="H603" s="263" t="s">
        <v>3328</v>
      </c>
      <c r="I603" s="263" t="s">
        <v>5453</v>
      </c>
      <c r="J603" s="263" t="s">
        <v>5453</v>
      </c>
      <c r="K603" s="263" t="s">
        <v>5581</v>
      </c>
      <c r="L603" s="263" t="s">
        <v>4666</v>
      </c>
    </row>
    <row r="604" spans="1:12">
      <c r="A604" s="263">
        <f t="shared" si="7"/>
        <v>603</v>
      </c>
      <c r="B604" s="359" t="s">
        <v>5598</v>
      </c>
      <c r="C604" s="360" t="s">
        <v>52</v>
      </c>
      <c r="D604" s="360" t="s">
        <v>4262</v>
      </c>
      <c r="E604" s="263" t="s">
        <v>5582</v>
      </c>
      <c r="F604" s="263" t="s">
        <v>3134</v>
      </c>
      <c r="G604" s="263"/>
      <c r="H604" s="263" t="s">
        <v>3328</v>
      </c>
      <c r="I604" s="263" t="s">
        <v>5453</v>
      </c>
      <c r="J604" s="263" t="s">
        <v>5453</v>
      </c>
      <c r="K604" s="263" t="s">
        <v>5582</v>
      </c>
      <c r="L604" s="263" t="s">
        <v>4667</v>
      </c>
    </row>
    <row r="605" spans="1:12">
      <c r="A605" s="263">
        <f t="shared" si="7"/>
        <v>604</v>
      </c>
      <c r="B605" s="359" t="s">
        <v>5599</v>
      </c>
      <c r="C605" s="360" t="s">
        <v>52</v>
      </c>
      <c r="D605" s="360" t="s">
        <v>4262</v>
      </c>
      <c r="E605" s="263" t="s">
        <v>5583</v>
      </c>
      <c r="F605" s="263" t="s">
        <v>3134</v>
      </c>
      <c r="G605" s="263"/>
      <c r="H605" s="263" t="s">
        <v>3328</v>
      </c>
      <c r="I605" s="263" t="s">
        <v>5453</v>
      </c>
      <c r="J605" s="263" t="s">
        <v>5453</v>
      </c>
      <c r="K605" s="263" t="s">
        <v>5583</v>
      </c>
      <c r="L605" s="263" t="s">
        <v>7032</v>
      </c>
    </row>
    <row r="606" spans="1:12">
      <c r="A606" s="263">
        <f t="shared" si="7"/>
        <v>605</v>
      </c>
      <c r="B606" s="359" t="s">
        <v>5600</v>
      </c>
      <c r="C606" s="360" t="s">
        <v>52</v>
      </c>
      <c r="D606" s="360" t="s">
        <v>4262</v>
      </c>
      <c r="E606" s="263" t="s">
        <v>5584</v>
      </c>
      <c r="F606" s="263" t="s">
        <v>3134</v>
      </c>
      <c r="G606" s="263"/>
      <c r="H606" s="263" t="s">
        <v>3328</v>
      </c>
      <c r="I606" s="263" t="s">
        <v>5453</v>
      </c>
      <c r="J606" s="263" t="s">
        <v>5453</v>
      </c>
      <c r="K606" s="263" t="s">
        <v>5584</v>
      </c>
      <c r="L606" s="263" t="s">
        <v>4669</v>
      </c>
    </row>
    <row r="607" spans="1:12">
      <c r="A607" s="263">
        <f t="shared" si="7"/>
        <v>606</v>
      </c>
      <c r="B607" s="359" t="s">
        <v>5601</v>
      </c>
      <c r="C607" s="360" t="s">
        <v>52</v>
      </c>
      <c r="D607" s="360" t="s">
        <v>4262</v>
      </c>
      <c r="E607" s="263" t="s">
        <v>5585</v>
      </c>
      <c r="F607" s="263" t="s">
        <v>3134</v>
      </c>
      <c r="G607" s="263"/>
      <c r="H607" s="263" t="s">
        <v>3328</v>
      </c>
      <c r="I607" s="263" t="s">
        <v>5453</v>
      </c>
      <c r="J607" s="263" t="s">
        <v>5453</v>
      </c>
      <c r="K607" s="263" t="s">
        <v>5585</v>
      </c>
      <c r="L607" s="263" t="s">
        <v>4670</v>
      </c>
    </row>
    <row r="608" spans="1:12">
      <c r="A608" s="263">
        <f t="shared" si="7"/>
        <v>607</v>
      </c>
      <c r="B608" s="359" t="s">
        <v>5602</v>
      </c>
      <c r="C608" s="360" t="s">
        <v>52</v>
      </c>
      <c r="D608" s="360" t="s">
        <v>4262</v>
      </c>
      <c r="E608" s="263" t="s">
        <v>5586</v>
      </c>
      <c r="F608" s="263" t="s">
        <v>3134</v>
      </c>
      <c r="G608" s="263"/>
      <c r="H608" s="263" t="s">
        <v>3328</v>
      </c>
      <c r="I608" s="263" t="s">
        <v>5453</v>
      </c>
      <c r="J608" s="263" t="s">
        <v>5453</v>
      </c>
      <c r="K608" s="263" t="s">
        <v>5586</v>
      </c>
      <c r="L608" s="263" t="s">
        <v>4671</v>
      </c>
    </row>
    <row r="609" spans="1:12">
      <c r="A609" s="263">
        <f t="shared" si="7"/>
        <v>608</v>
      </c>
      <c r="B609" s="359" t="s">
        <v>5603</v>
      </c>
      <c r="C609" s="360" t="s">
        <v>52</v>
      </c>
      <c r="D609" s="360" t="s">
        <v>4262</v>
      </c>
      <c r="E609" s="263" t="s">
        <v>5587</v>
      </c>
      <c r="F609" s="263" t="s">
        <v>3134</v>
      </c>
      <c r="G609" s="263"/>
      <c r="H609" s="263" t="s">
        <v>3328</v>
      </c>
      <c r="I609" s="263" t="s">
        <v>5453</v>
      </c>
      <c r="J609" s="263" t="s">
        <v>5453</v>
      </c>
      <c r="K609" s="263" t="s">
        <v>5587</v>
      </c>
      <c r="L609" s="263" t="s">
        <v>4672</v>
      </c>
    </row>
    <row r="610" spans="1:12">
      <c r="A610" s="263">
        <f t="shared" si="7"/>
        <v>609</v>
      </c>
      <c r="B610" s="359" t="s">
        <v>5604</v>
      </c>
      <c r="C610" s="360" t="s">
        <v>52</v>
      </c>
      <c r="D610" s="360" t="s">
        <v>4262</v>
      </c>
      <c r="E610" s="263" t="s">
        <v>5588</v>
      </c>
      <c r="F610" s="263" t="s">
        <v>3134</v>
      </c>
      <c r="G610" s="263"/>
      <c r="H610" s="263" t="s">
        <v>3328</v>
      </c>
      <c r="I610" s="263" t="s">
        <v>5453</v>
      </c>
      <c r="J610" s="263" t="s">
        <v>5453</v>
      </c>
      <c r="K610" s="263" t="s">
        <v>5588</v>
      </c>
      <c r="L610" s="462" t="s">
        <v>6271</v>
      </c>
    </row>
    <row r="611" spans="1:12">
      <c r="A611" s="263">
        <f t="shared" si="7"/>
        <v>610</v>
      </c>
      <c r="B611" s="460" t="s">
        <v>6241</v>
      </c>
      <c r="C611" s="461" t="s">
        <v>275</v>
      </c>
      <c r="D611" s="263"/>
      <c r="E611" s="462" t="s">
        <v>7373</v>
      </c>
      <c r="F611" s="263"/>
      <c r="G611" s="263"/>
      <c r="H611" s="461" t="s">
        <v>6486</v>
      </c>
      <c r="I611" s="263"/>
      <c r="J611" s="263"/>
      <c r="K611" s="263" t="e">
        <v>#N/A</v>
      </c>
      <c r="L611" s="463" t="s">
        <v>6345</v>
      </c>
    </row>
    <row r="612" spans="1:12">
      <c r="A612" s="263">
        <f t="shared" si="7"/>
        <v>611</v>
      </c>
      <c r="B612" s="460" t="s">
        <v>6242</v>
      </c>
      <c r="C612" s="461" t="s">
        <v>275</v>
      </c>
      <c r="D612" s="263"/>
      <c r="E612" s="462" t="s">
        <v>6345</v>
      </c>
      <c r="F612" s="263"/>
      <c r="G612" s="263"/>
      <c r="H612" s="461" t="s">
        <v>6486</v>
      </c>
      <c r="I612" s="263"/>
      <c r="J612" s="263"/>
      <c r="K612" s="263" t="e">
        <v>#N/A</v>
      </c>
      <c r="L612" s="462" t="s">
        <v>6610</v>
      </c>
    </row>
    <row r="613" spans="1:12">
      <c r="A613" s="263">
        <f t="shared" si="7"/>
        <v>612</v>
      </c>
      <c r="B613" s="460" t="s">
        <v>2483</v>
      </c>
      <c r="C613" s="461" t="s">
        <v>4415</v>
      </c>
      <c r="D613" s="263"/>
      <c r="E613" s="462" t="s">
        <v>6610</v>
      </c>
      <c r="F613" s="263"/>
      <c r="G613" s="263"/>
      <c r="H613" s="461" t="s">
        <v>6486</v>
      </c>
      <c r="I613" s="263"/>
      <c r="J613" s="263"/>
      <c r="K613" s="263" t="e">
        <v>#N/A</v>
      </c>
      <c r="L613" s="462" t="s">
        <v>6346</v>
      </c>
    </row>
    <row r="614" spans="1:12">
      <c r="A614" s="263">
        <f t="shared" si="7"/>
        <v>613</v>
      </c>
      <c r="B614" s="460" t="s">
        <v>2484</v>
      </c>
      <c r="C614" s="461" t="s">
        <v>4415</v>
      </c>
      <c r="D614" s="263"/>
      <c r="E614" s="462" t="s">
        <v>6346</v>
      </c>
      <c r="F614" s="263"/>
      <c r="G614" s="263"/>
      <c r="H614" s="461" t="s">
        <v>6486</v>
      </c>
      <c r="I614" s="263"/>
      <c r="J614" s="263"/>
      <c r="K614" s="263" t="e">
        <v>#N/A</v>
      </c>
      <c r="L614" s="462" t="s">
        <v>6347</v>
      </c>
    </row>
    <row r="615" spans="1:12">
      <c r="A615" s="263">
        <f t="shared" si="7"/>
        <v>614</v>
      </c>
      <c r="B615" s="460" t="s">
        <v>2485</v>
      </c>
      <c r="C615" s="461" t="s">
        <v>4415</v>
      </c>
      <c r="D615" s="263"/>
      <c r="E615" s="462" t="s">
        <v>6347</v>
      </c>
      <c r="F615" s="263"/>
      <c r="G615" s="263"/>
      <c r="H615" s="461" t="s">
        <v>6486</v>
      </c>
      <c r="I615" s="263"/>
      <c r="J615" s="263"/>
      <c r="K615" s="263" t="e">
        <v>#N/A</v>
      </c>
      <c r="L615" s="462" t="s">
        <v>6348</v>
      </c>
    </row>
    <row r="616" spans="1:12">
      <c r="A616" s="263">
        <f t="shared" si="7"/>
        <v>615</v>
      </c>
      <c r="B616" s="460" t="s">
        <v>2486</v>
      </c>
      <c r="C616" s="461" t="s">
        <v>4421</v>
      </c>
      <c r="D616" s="263"/>
      <c r="E616" s="462" t="s">
        <v>6348</v>
      </c>
      <c r="F616" s="263"/>
      <c r="G616" s="263"/>
      <c r="H616" s="461" t="s">
        <v>6486</v>
      </c>
      <c r="I616" s="263"/>
      <c r="J616" s="263"/>
      <c r="K616" s="263" t="e">
        <v>#N/A</v>
      </c>
      <c r="L616" s="462" t="s">
        <v>6349</v>
      </c>
    </row>
    <row r="617" spans="1:12">
      <c r="A617" s="263">
        <f t="shared" si="7"/>
        <v>616</v>
      </c>
      <c r="B617" s="460" t="s">
        <v>2487</v>
      </c>
      <c r="C617" s="461" t="s">
        <v>4421</v>
      </c>
      <c r="D617" s="263"/>
      <c r="E617" s="462" t="s">
        <v>6349</v>
      </c>
      <c r="F617" s="263"/>
      <c r="G617" s="263"/>
      <c r="H617" s="461" t="s">
        <v>6486</v>
      </c>
      <c r="I617" s="263"/>
      <c r="J617" s="263"/>
      <c r="K617" s="263" t="e">
        <v>#N/A</v>
      </c>
      <c r="L617" s="462" t="s">
        <v>6350</v>
      </c>
    </row>
    <row r="618" spans="1:12">
      <c r="A618" s="263">
        <f t="shared" si="7"/>
        <v>617</v>
      </c>
      <c r="B618" s="460" t="s">
        <v>2488</v>
      </c>
      <c r="C618" s="461" t="s">
        <v>4415</v>
      </c>
      <c r="D618" s="263"/>
      <c r="E618" s="462" t="s">
        <v>6350</v>
      </c>
      <c r="F618" s="263"/>
      <c r="G618" s="263"/>
      <c r="H618" s="461" t="s">
        <v>6486</v>
      </c>
      <c r="I618" s="263"/>
      <c r="J618" s="263"/>
      <c r="K618" s="263" t="e">
        <v>#N/A</v>
      </c>
      <c r="L618" s="462" t="s">
        <v>6351</v>
      </c>
    </row>
    <row r="619" spans="1:12">
      <c r="A619" s="263">
        <f t="shared" si="7"/>
        <v>618</v>
      </c>
      <c r="B619" s="460" t="s">
        <v>2489</v>
      </c>
      <c r="C619" s="461" t="s">
        <v>4421</v>
      </c>
      <c r="D619" s="263"/>
      <c r="E619" s="462" t="s">
        <v>6351</v>
      </c>
      <c r="F619" s="263"/>
      <c r="G619" s="263"/>
      <c r="H619" s="461" t="s">
        <v>6486</v>
      </c>
      <c r="I619" s="263"/>
      <c r="J619" s="263"/>
      <c r="K619" s="263" t="e">
        <v>#N/A</v>
      </c>
      <c r="L619" s="462" t="s">
        <v>6611</v>
      </c>
    </row>
    <row r="620" spans="1:12">
      <c r="A620" s="263">
        <f t="shared" si="7"/>
        <v>619</v>
      </c>
      <c r="B620" s="460" t="s">
        <v>2490</v>
      </c>
      <c r="C620" s="461" t="s">
        <v>275</v>
      </c>
      <c r="D620" s="263"/>
      <c r="E620" s="462" t="s">
        <v>6611</v>
      </c>
      <c r="F620" s="263"/>
      <c r="G620" s="263"/>
      <c r="H620" s="461" t="s">
        <v>6486</v>
      </c>
      <c r="I620" s="263"/>
      <c r="J620" s="263"/>
      <c r="K620" s="263" t="e">
        <v>#N/A</v>
      </c>
      <c r="L620" s="463" t="s">
        <v>6352</v>
      </c>
    </row>
    <row r="621" spans="1:12">
      <c r="A621" s="263">
        <f t="shared" si="7"/>
        <v>620</v>
      </c>
      <c r="B621" s="460" t="s">
        <v>2491</v>
      </c>
      <c r="C621" s="461" t="s">
        <v>275</v>
      </c>
      <c r="D621" s="263"/>
      <c r="E621" s="462" t="s">
        <v>6352</v>
      </c>
      <c r="F621" s="263"/>
      <c r="G621" s="263"/>
      <c r="H621" s="461" t="s">
        <v>6486</v>
      </c>
      <c r="I621" s="263"/>
      <c r="J621" s="263"/>
      <c r="K621" s="263" t="e">
        <v>#N/A</v>
      </c>
      <c r="L621" s="462" t="s">
        <v>6612</v>
      </c>
    </row>
    <row r="622" spans="1:12">
      <c r="A622" s="263">
        <f t="shared" si="7"/>
        <v>621</v>
      </c>
      <c r="B622" s="460" t="s">
        <v>2492</v>
      </c>
      <c r="C622" s="461" t="s">
        <v>275</v>
      </c>
      <c r="D622" s="263"/>
      <c r="E622" s="462" t="s">
        <v>6612</v>
      </c>
      <c r="F622" s="263"/>
      <c r="G622" s="263"/>
      <c r="H622" s="461" t="s">
        <v>6486</v>
      </c>
      <c r="I622" s="263"/>
      <c r="J622" s="263"/>
      <c r="K622" s="263" t="e">
        <v>#N/A</v>
      </c>
      <c r="L622" s="462" t="s">
        <v>6613</v>
      </c>
    </row>
    <row r="623" spans="1:12">
      <c r="A623" s="263">
        <f t="shared" si="7"/>
        <v>622</v>
      </c>
      <c r="B623" s="460" t="s">
        <v>2493</v>
      </c>
      <c r="C623" s="461" t="s">
        <v>4421</v>
      </c>
      <c r="D623" s="263"/>
      <c r="E623" s="462" t="s">
        <v>6613</v>
      </c>
      <c r="F623" s="263"/>
      <c r="G623" s="263"/>
      <c r="H623" s="461" t="s">
        <v>6486</v>
      </c>
      <c r="I623" s="263"/>
      <c r="J623" s="263"/>
      <c r="K623" s="263" t="e">
        <v>#N/A</v>
      </c>
      <c r="L623" s="466"/>
    </row>
    <row r="624" spans="1:12">
      <c r="A624" s="263">
        <f t="shared" si="7"/>
        <v>623</v>
      </c>
      <c r="B624" s="464" t="s">
        <v>6489</v>
      </c>
      <c r="C624" s="465" t="s">
        <v>275</v>
      </c>
      <c r="D624" s="263"/>
      <c r="E624" s="466" t="s">
        <v>6353</v>
      </c>
      <c r="F624" s="263"/>
      <c r="G624" s="263"/>
      <c r="H624" s="467" t="s">
        <v>3327</v>
      </c>
      <c r="I624" s="345" t="s">
        <v>5613</v>
      </c>
      <c r="J624" s="263" t="s">
        <v>5613</v>
      </c>
      <c r="K624" s="263" t="s">
        <v>6424</v>
      </c>
      <c r="L624" s="466" t="s">
        <v>6280</v>
      </c>
    </row>
    <row r="625" spans="1:13">
      <c r="A625" s="263">
        <f t="shared" si="7"/>
        <v>624</v>
      </c>
      <c r="B625" s="460" t="s">
        <v>6490</v>
      </c>
      <c r="C625" s="465" t="s">
        <v>4421</v>
      </c>
      <c r="D625" s="263"/>
      <c r="E625" s="462" t="s">
        <v>6354</v>
      </c>
      <c r="F625" s="263"/>
      <c r="G625" s="263"/>
      <c r="H625" s="461" t="s">
        <v>3327</v>
      </c>
      <c r="I625" s="345" t="s">
        <v>5613</v>
      </c>
      <c r="J625" s="263" t="s">
        <v>5613</v>
      </c>
      <c r="K625" s="263" t="s">
        <v>6425</v>
      </c>
      <c r="L625" s="462" t="s">
        <v>6281</v>
      </c>
    </row>
    <row r="626" spans="1:13">
      <c r="A626" s="263">
        <f t="shared" si="7"/>
        <v>625</v>
      </c>
      <c r="B626" s="460" t="s">
        <v>6491</v>
      </c>
      <c r="C626" s="465" t="s">
        <v>4421</v>
      </c>
      <c r="D626" s="263"/>
      <c r="E626" s="462" t="s">
        <v>6355</v>
      </c>
      <c r="F626" s="263"/>
      <c r="G626" s="263"/>
      <c r="H626" s="461" t="s">
        <v>3327</v>
      </c>
      <c r="I626" s="345" t="s">
        <v>5613</v>
      </c>
      <c r="J626" s="263" t="s">
        <v>5613</v>
      </c>
      <c r="K626" s="263" t="s">
        <v>6426</v>
      </c>
      <c r="L626" s="462" t="s">
        <v>6282</v>
      </c>
    </row>
    <row r="627" spans="1:13">
      <c r="A627" s="263">
        <f t="shared" si="7"/>
        <v>626</v>
      </c>
      <c r="B627" s="460" t="s">
        <v>6492</v>
      </c>
      <c r="C627" s="465" t="s">
        <v>4421</v>
      </c>
      <c r="D627" s="263"/>
      <c r="E627" s="462" t="s">
        <v>6356</v>
      </c>
      <c r="F627" s="263"/>
      <c r="G627" s="263"/>
      <c r="H627" s="461" t="s">
        <v>3327</v>
      </c>
      <c r="I627" s="345" t="s">
        <v>5613</v>
      </c>
      <c r="J627" s="263" t="s">
        <v>5613</v>
      </c>
      <c r="K627" s="263" t="s">
        <v>7035</v>
      </c>
      <c r="L627" s="462" t="s">
        <v>6283</v>
      </c>
      <c r="M627" s="178" t="s">
        <v>7374</v>
      </c>
    </row>
    <row r="628" spans="1:13">
      <c r="A628" s="263">
        <f t="shared" si="7"/>
        <v>627</v>
      </c>
      <c r="B628" s="460" t="s">
        <v>6493</v>
      </c>
      <c r="C628" s="465" t="s">
        <v>4421</v>
      </c>
      <c r="D628" s="263"/>
      <c r="E628" s="462" t="s">
        <v>6357</v>
      </c>
      <c r="F628" s="263"/>
      <c r="G628" s="263"/>
      <c r="H628" s="461" t="s">
        <v>3327</v>
      </c>
      <c r="I628" s="345" t="s">
        <v>5613</v>
      </c>
      <c r="J628" s="263" t="s">
        <v>5613</v>
      </c>
      <c r="K628" s="263" t="s">
        <v>6427</v>
      </c>
      <c r="L628" s="462" t="s">
        <v>6284</v>
      </c>
    </row>
    <row r="629" spans="1:13">
      <c r="A629" s="263">
        <f t="shared" si="7"/>
        <v>628</v>
      </c>
      <c r="B629" s="460" t="s">
        <v>6494</v>
      </c>
      <c r="C629" s="465" t="s">
        <v>4421</v>
      </c>
      <c r="D629" s="263"/>
      <c r="E629" s="462" t="s">
        <v>6358</v>
      </c>
      <c r="F629" s="263"/>
      <c r="G629" s="263"/>
      <c r="H629" s="461" t="s">
        <v>3327</v>
      </c>
      <c r="I629" s="345" t="s">
        <v>5613</v>
      </c>
      <c r="J629" s="263" t="s">
        <v>5613</v>
      </c>
      <c r="K629" s="263" t="s">
        <v>6428</v>
      </c>
      <c r="L629" s="462" t="s">
        <v>6285</v>
      </c>
    </row>
    <row r="630" spans="1:13">
      <c r="A630" s="263">
        <f t="shared" si="7"/>
        <v>629</v>
      </c>
      <c r="B630" s="460" t="s">
        <v>6495</v>
      </c>
      <c r="C630" s="465" t="s">
        <v>4421</v>
      </c>
      <c r="D630" s="263"/>
      <c r="E630" s="462" t="s">
        <v>6359</v>
      </c>
      <c r="F630" s="263"/>
      <c r="G630" s="263"/>
      <c r="H630" s="461" t="s">
        <v>3327</v>
      </c>
      <c r="I630" s="345" t="s">
        <v>5613</v>
      </c>
      <c r="J630" s="263" t="s">
        <v>5613</v>
      </c>
      <c r="K630" s="263" t="s">
        <v>6429</v>
      </c>
      <c r="L630" s="462" t="s">
        <v>6286</v>
      </c>
    </row>
    <row r="631" spans="1:13">
      <c r="A631" s="263">
        <f t="shared" si="7"/>
        <v>630</v>
      </c>
      <c r="B631" s="460" t="s">
        <v>6496</v>
      </c>
      <c r="C631" s="465" t="s">
        <v>4421</v>
      </c>
      <c r="D631" s="263"/>
      <c r="E631" s="462" t="s">
        <v>6360</v>
      </c>
      <c r="F631" s="263"/>
      <c r="G631" s="263"/>
      <c r="H631" s="461" t="s">
        <v>3327</v>
      </c>
      <c r="I631" s="345" t="s">
        <v>5613</v>
      </c>
      <c r="J631" s="263" t="s">
        <v>5613</v>
      </c>
      <c r="K631" s="263" t="s">
        <v>6430</v>
      </c>
      <c r="L631" s="462" t="s">
        <v>6287</v>
      </c>
    </row>
    <row r="632" spans="1:13">
      <c r="A632" s="263">
        <f t="shared" si="7"/>
        <v>631</v>
      </c>
      <c r="B632" s="464" t="s">
        <v>6497</v>
      </c>
      <c r="C632" s="465" t="s">
        <v>4421</v>
      </c>
      <c r="D632" s="263"/>
      <c r="E632" s="466" t="s">
        <v>6695</v>
      </c>
      <c r="F632" s="263"/>
      <c r="G632" s="263"/>
      <c r="H632" s="467" t="s">
        <v>6849</v>
      </c>
      <c r="I632" s="263" t="s">
        <v>6854</v>
      </c>
      <c r="J632" s="263" t="s">
        <v>6855</v>
      </c>
      <c r="K632" s="263" t="s">
        <v>6777</v>
      </c>
      <c r="L632" s="466" t="s">
        <v>6614</v>
      </c>
    </row>
    <row r="633" spans="1:13">
      <c r="A633" s="263">
        <f t="shared" si="7"/>
        <v>632</v>
      </c>
      <c r="B633" s="460" t="s">
        <v>6498</v>
      </c>
      <c r="C633" s="465" t="s">
        <v>4421</v>
      </c>
      <c r="D633" s="263"/>
      <c r="E633" s="462" t="s">
        <v>6696</v>
      </c>
      <c r="F633" s="263"/>
      <c r="G633" s="263"/>
      <c r="H633" s="461" t="s">
        <v>6849</v>
      </c>
      <c r="I633" s="263" t="s">
        <v>6854</v>
      </c>
      <c r="J633" s="263" t="s">
        <v>6855</v>
      </c>
      <c r="K633" s="263" t="s">
        <v>6778</v>
      </c>
      <c r="L633" s="462" t="s">
        <v>6615</v>
      </c>
    </row>
    <row r="634" spans="1:13">
      <c r="A634" s="263">
        <f t="shared" si="7"/>
        <v>633</v>
      </c>
      <c r="B634" s="460" t="s">
        <v>6499</v>
      </c>
      <c r="C634" s="465" t="s">
        <v>4421</v>
      </c>
      <c r="D634" s="263"/>
      <c r="E634" s="462" t="s">
        <v>6697</v>
      </c>
      <c r="F634" s="263"/>
      <c r="G634" s="263"/>
      <c r="H634" s="461" t="s">
        <v>6849</v>
      </c>
      <c r="I634" s="263" t="s">
        <v>6854</v>
      </c>
      <c r="J634" s="263" t="s">
        <v>6855</v>
      </c>
      <c r="K634" s="263" t="s">
        <v>6779</v>
      </c>
      <c r="L634" s="462" t="s">
        <v>6616</v>
      </c>
    </row>
    <row r="635" spans="1:13">
      <c r="A635" s="263">
        <f t="shared" si="7"/>
        <v>634</v>
      </c>
      <c r="B635" s="460" t="s">
        <v>6500</v>
      </c>
      <c r="C635" s="465" t="s">
        <v>4421</v>
      </c>
      <c r="D635" s="263"/>
      <c r="E635" s="462" t="s">
        <v>6698</v>
      </c>
      <c r="F635" s="263"/>
      <c r="G635" s="263"/>
      <c r="H635" s="461" t="s">
        <v>6849</v>
      </c>
      <c r="I635" s="263" t="s">
        <v>6854</v>
      </c>
      <c r="J635" s="263" t="s">
        <v>6855</v>
      </c>
      <c r="K635" s="263" t="s">
        <v>6780</v>
      </c>
      <c r="L635" s="462" t="s">
        <v>6617</v>
      </c>
    </row>
    <row r="636" spans="1:13">
      <c r="A636" s="263">
        <f t="shared" si="7"/>
        <v>635</v>
      </c>
      <c r="B636" s="460" t="s">
        <v>6501</v>
      </c>
      <c r="C636" s="465" t="s">
        <v>4421</v>
      </c>
      <c r="D636" s="263"/>
      <c r="E636" s="462" t="s">
        <v>6699</v>
      </c>
      <c r="F636" s="263"/>
      <c r="G636" s="263"/>
      <c r="H636" s="461" t="s">
        <v>6849</v>
      </c>
      <c r="I636" s="263" t="s">
        <v>6854</v>
      </c>
      <c r="J636" s="263" t="s">
        <v>6855</v>
      </c>
      <c r="K636" s="263" t="s">
        <v>6781</v>
      </c>
      <c r="L636" s="462" t="s">
        <v>6618</v>
      </c>
    </row>
    <row r="637" spans="1:13">
      <c r="A637" s="263">
        <f t="shared" si="7"/>
        <v>636</v>
      </c>
      <c r="B637" s="460" t="s">
        <v>6502</v>
      </c>
      <c r="C637" s="465" t="s">
        <v>4421</v>
      </c>
      <c r="D637" s="263"/>
      <c r="E637" s="462" t="s">
        <v>6700</v>
      </c>
      <c r="F637" s="263"/>
      <c r="G637" s="263"/>
      <c r="H637" s="461" t="s">
        <v>6849</v>
      </c>
      <c r="I637" s="263" t="s">
        <v>6854</v>
      </c>
      <c r="J637" s="263" t="s">
        <v>6855</v>
      </c>
      <c r="K637" s="263" t="s">
        <v>6782</v>
      </c>
      <c r="L637" s="462" t="s">
        <v>6619</v>
      </c>
    </row>
    <row r="638" spans="1:13">
      <c r="A638" s="263">
        <f t="shared" si="7"/>
        <v>637</v>
      </c>
      <c r="B638" s="460" t="s">
        <v>6503</v>
      </c>
      <c r="C638" s="465" t="s">
        <v>4421</v>
      </c>
      <c r="D638" s="263"/>
      <c r="E638" s="462" t="s">
        <v>6701</v>
      </c>
      <c r="F638" s="263"/>
      <c r="G638" s="263"/>
      <c r="H638" s="461" t="s">
        <v>6849</v>
      </c>
      <c r="I638" s="263" t="s">
        <v>6854</v>
      </c>
      <c r="J638" s="263" t="s">
        <v>6855</v>
      </c>
      <c r="K638" s="263" t="s">
        <v>6783</v>
      </c>
      <c r="L638" s="462" t="s">
        <v>6620</v>
      </c>
    </row>
    <row r="639" spans="1:13">
      <c r="A639" s="263">
        <f t="shared" si="7"/>
        <v>638</v>
      </c>
      <c r="B639" s="460" t="s">
        <v>6504</v>
      </c>
      <c r="C639" s="465" t="s">
        <v>4421</v>
      </c>
      <c r="D639" s="263"/>
      <c r="E639" s="462" t="s">
        <v>6702</v>
      </c>
      <c r="F639" s="263"/>
      <c r="G639" s="263"/>
      <c r="H639" s="461" t="s">
        <v>6849</v>
      </c>
      <c r="I639" s="263" t="s">
        <v>6854</v>
      </c>
      <c r="J639" s="263" t="s">
        <v>6855</v>
      </c>
      <c r="K639" s="263" t="s">
        <v>6784</v>
      </c>
      <c r="L639" s="462" t="s">
        <v>6621</v>
      </c>
    </row>
    <row r="640" spans="1:13">
      <c r="A640" s="263">
        <f t="shared" si="7"/>
        <v>639</v>
      </c>
      <c r="B640" s="460" t="s">
        <v>6505</v>
      </c>
      <c r="C640" s="465" t="s">
        <v>4421</v>
      </c>
      <c r="D640" s="263"/>
      <c r="E640" s="462" t="s">
        <v>6703</v>
      </c>
      <c r="F640" s="263"/>
      <c r="G640" s="263"/>
      <c r="H640" s="461" t="s">
        <v>6849</v>
      </c>
      <c r="I640" s="263" t="s">
        <v>6854</v>
      </c>
      <c r="J640" s="263" t="s">
        <v>6855</v>
      </c>
      <c r="K640" s="263" t="s">
        <v>6785</v>
      </c>
      <c r="L640" s="462" t="s">
        <v>6622</v>
      </c>
    </row>
    <row r="641" spans="1:12">
      <c r="A641" s="263">
        <f t="shared" si="7"/>
        <v>640</v>
      </c>
      <c r="B641" s="460" t="s">
        <v>6506</v>
      </c>
      <c r="C641" s="465" t="s">
        <v>4421</v>
      </c>
      <c r="D641" s="263"/>
      <c r="E641" s="462" t="s">
        <v>6704</v>
      </c>
      <c r="F641" s="263"/>
      <c r="G641" s="263"/>
      <c r="H641" s="461" t="s">
        <v>6849</v>
      </c>
      <c r="I641" s="263" t="s">
        <v>6854</v>
      </c>
      <c r="J641" s="263" t="s">
        <v>6855</v>
      </c>
      <c r="K641" s="263" t="s">
        <v>6786</v>
      </c>
      <c r="L641" s="462" t="s">
        <v>6623</v>
      </c>
    </row>
    <row r="642" spans="1:12">
      <c r="A642" s="263">
        <f t="shared" si="7"/>
        <v>641</v>
      </c>
      <c r="B642" s="460" t="s">
        <v>6507</v>
      </c>
      <c r="C642" s="465" t="s">
        <v>4421</v>
      </c>
      <c r="D642" s="263"/>
      <c r="E642" s="462" t="s">
        <v>6705</v>
      </c>
      <c r="F642" s="263"/>
      <c r="G642" s="263"/>
      <c r="H642" s="461" t="s">
        <v>6849</v>
      </c>
      <c r="I642" s="263" t="s">
        <v>6854</v>
      </c>
      <c r="J642" s="263" t="s">
        <v>6855</v>
      </c>
      <c r="K642" s="263" t="s">
        <v>6787</v>
      </c>
      <c r="L642" s="462" t="s">
        <v>6624</v>
      </c>
    </row>
    <row r="643" spans="1:12">
      <c r="A643" s="263">
        <f t="shared" ref="A643:A706" si="8">ROW()-1</f>
        <v>642</v>
      </c>
      <c r="B643" s="460" t="s">
        <v>6508</v>
      </c>
      <c r="C643" s="465" t="s">
        <v>4421</v>
      </c>
      <c r="D643" s="263"/>
      <c r="E643" s="462" t="s">
        <v>6706</v>
      </c>
      <c r="F643" s="263"/>
      <c r="G643" s="263"/>
      <c r="H643" s="461" t="s">
        <v>6849</v>
      </c>
      <c r="I643" s="263" t="s">
        <v>6854</v>
      </c>
      <c r="J643" s="263" t="s">
        <v>6855</v>
      </c>
      <c r="K643" s="263" t="s">
        <v>6788</v>
      </c>
      <c r="L643" s="462" t="s">
        <v>6625</v>
      </c>
    </row>
    <row r="644" spans="1:12">
      <c r="A644" s="263">
        <f t="shared" si="8"/>
        <v>643</v>
      </c>
      <c r="B644" s="460" t="s">
        <v>6509</v>
      </c>
      <c r="C644" s="465" t="s">
        <v>4421</v>
      </c>
      <c r="D644" s="263"/>
      <c r="E644" s="462" t="s">
        <v>6707</v>
      </c>
      <c r="F644" s="263"/>
      <c r="G644" s="263"/>
      <c r="H644" s="461" t="s">
        <v>6849</v>
      </c>
      <c r="I644" s="263" t="s">
        <v>6854</v>
      </c>
      <c r="J644" s="263" t="s">
        <v>6855</v>
      </c>
      <c r="K644" s="263" t="s">
        <v>6789</v>
      </c>
      <c r="L644" s="462" t="s">
        <v>6626</v>
      </c>
    </row>
    <row r="645" spans="1:12">
      <c r="A645" s="263">
        <f t="shared" si="8"/>
        <v>644</v>
      </c>
      <c r="B645" s="460" t="s">
        <v>6510</v>
      </c>
      <c r="C645" s="465" t="s">
        <v>4421</v>
      </c>
      <c r="D645" s="263"/>
      <c r="E645" s="462" t="s">
        <v>6708</v>
      </c>
      <c r="F645" s="263"/>
      <c r="G645" s="263"/>
      <c r="H645" s="461" t="s">
        <v>6849</v>
      </c>
      <c r="I645" s="263" t="s">
        <v>6854</v>
      </c>
      <c r="J645" s="263" t="s">
        <v>6855</v>
      </c>
      <c r="K645" s="263" t="s">
        <v>6790</v>
      </c>
      <c r="L645" s="462" t="s">
        <v>6627</v>
      </c>
    </row>
    <row r="646" spans="1:12">
      <c r="A646" s="263">
        <f t="shared" si="8"/>
        <v>645</v>
      </c>
      <c r="B646" s="460" t="s">
        <v>6511</v>
      </c>
      <c r="C646" s="468" t="s">
        <v>1735</v>
      </c>
      <c r="D646" s="263"/>
      <c r="E646" s="462" t="s">
        <v>6709</v>
      </c>
      <c r="F646" s="263"/>
      <c r="G646" s="263"/>
      <c r="H646" s="461" t="s">
        <v>6849</v>
      </c>
      <c r="I646" s="263" t="s">
        <v>6854</v>
      </c>
      <c r="J646" s="263" t="s">
        <v>6855</v>
      </c>
      <c r="K646" s="263" t="e">
        <v>#N/A</v>
      </c>
      <c r="L646" s="462" t="s">
        <v>585</v>
      </c>
    </row>
    <row r="647" spans="1:12">
      <c r="A647" s="263">
        <f t="shared" si="8"/>
        <v>646</v>
      </c>
      <c r="B647" s="464" t="s">
        <v>6512</v>
      </c>
      <c r="C647" s="468" t="s">
        <v>4421</v>
      </c>
      <c r="D647" s="263"/>
      <c r="E647" s="466" t="s">
        <v>6710</v>
      </c>
      <c r="F647" s="263"/>
      <c r="G647" s="263"/>
      <c r="H647" s="469" t="s">
        <v>3328</v>
      </c>
      <c r="I647" s="263" t="s">
        <v>5453</v>
      </c>
      <c r="J647" s="263" t="s">
        <v>5453</v>
      </c>
      <c r="K647" s="263" t="s">
        <v>6791</v>
      </c>
      <c r="L647" s="466" t="s">
        <v>6628</v>
      </c>
    </row>
    <row r="648" spans="1:12">
      <c r="A648" s="263">
        <f t="shared" si="8"/>
        <v>647</v>
      </c>
      <c r="B648" s="460" t="s">
        <v>6245</v>
      </c>
      <c r="C648" s="465" t="s">
        <v>4421</v>
      </c>
      <c r="D648" s="263"/>
      <c r="E648" s="462" t="s">
        <v>6711</v>
      </c>
      <c r="F648" s="263"/>
      <c r="G648" s="263"/>
      <c r="H648" s="465" t="s">
        <v>3328</v>
      </c>
      <c r="I648" s="263" t="s">
        <v>5453</v>
      </c>
      <c r="J648" s="263" t="s">
        <v>5453</v>
      </c>
      <c r="K648" s="263" t="s">
        <v>6792</v>
      </c>
      <c r="L648" s="462" t="s">
        <v>6629</v>
      </c>
    </row>
    <row r="649" spans="1:12">
      <c r="A649" s="263">
        <f t="shared" si="8"/>
        <v>648</v>
      </c>
      <c r="B649" s="460" t="s">
        <v>6246</v>
      </c>
      <c r="C649" s="465" t="s">
        <v>4421</v>
      </c>
      <c r="D649" s="263"/>
      <c r="E649" s="462" t="s">
        <v>6361</v>
      </c>
      <c r="F649" s="263"/>
      <c r="G649" s="263"/>
      <c r="H649" s="465" t="s">
        <v>3328</v>
      </c>
      <c r="I649" s="263" t="s">
        <v>5453</v>
      </c>
      <c r="J649" s="263" t="s">
        <v>5453</v>
      </c>
      <c r="K649" s="263" t="s">
        <v>6431</v>
      </c>
      <c r="L649" s="462" t="s">
        <v>6288</v>
      </c>
    </row>
    <row r="650" spans="1:12">
      <c r="A650" s="263">
        <f t="shared" si="8"/>
        <v>649</v>
      </c>
      <c r="B650" s="460" t="s">
        <v>6247</v>
      </c>
      <c r="C650" s="465" t="s">
        <v>4421</v>
      </c>
      <c r="D650" s="263"/>
      <c r="E650" s="462" t="s">
        <v>6712</v>
      </c>
      <c r="F650" s="263"/>
      <c r="G650" s="263"/>
      <c r="H650" s="465" t="s">
        <v>3328</v>
      </c>
      <c r="I650" s="263" t="s">
        <v>5453</v>
      </c>
      <c r="J650" s="263" t="s">
        <v>5453</v>
      </c>
      <c r="K650" s="263" t="s">
        <v>6793</v>
      </c>
      <c r="L650" s="462" t="s">
        <v>6630</v>
      </c>
    </row>
    <row r="651" spans="1:12">
      <c r="A651" s="263">
        <f t="shared" si="8"/>
        <v>650</v>
      </c>
      <c r="B651" s="460" t="s">
        <v>6248</v>
      </c>
      <c r="C651" s="465" t="s">
        <v>275</v>
      </c>
      <c r="D651" s="263"/>
      <c r="E651" s="462" t="s">
        <v>6713</v>
      </c>
      <c r="F651" s="263"/>
      <c r="G651" s="263"/>
      <c r="H651" s="465" t="s">
        <v>3328</v>
      </c>
      <c r="I651" s="263" t="s">
        <v>5453</v>
      </c>
      <c r="J651" s="263" t="s">
        <v>5453</v>
      </c>
      <c r="K651" s="263" t="s">
        <v>6794</v>
      </c>
      <c r="L651" s="462" t="s">
        <v>6631</v>
      </c>
    </row>
    <row r="652" spans="1:12">
      <c r="A652" s="263">
        <f t="shared" si="8"/>
        <v>651</v>
      </c>
      <c r="B652" s="460" t="s">
        <v>6249</v>
      </c>
      <c r="C652" s="465" t="s">
        <v>275</v>
      </c>
      <c r="D652" s="263"/>
      <c r="E652" s="462" t="s">
        <v>6714</v>
      </c>
      <c r="F652" s="263"/>
      <c r="G652" s="263"/>
      <c r="H652" s="465" t="s">
        <v>3328</v>
      </c>
      <c r="I652" s="263" t="s">
        <v>5453</v>
      </c>
      <c r="J652" s="263" t="s">
        <v>5453</v>
      </c>
      <c r="K652" s="263" t="s">
        <v>6795</v>
      </c>
      <c r="L652" s="462" t="s">
        <v>6632</v>
      </c>
    </row>
    <row r="653" spans="1:12">
      <c r="A653" s="263">
        <f t="shared" si="8"/>
        <v>652</v>
      </c>
      <c r="B653" s="460" t="s">
        <v>6250</v>
      </c>
      <c r="C653" s="465" t="s">
        <v>275</v>
      </c>
      <c r="D653" s="263"/>
      <c r="E653" s="462" t="s">
        <v>6362</v>
      </c>
      <c r="F653" s="263"/>
      <c r="G653" s="263"/>
      <c r="H653" s="465" t="s">
        <v>3328</v>
      </c>
      <c r="I653" s="263" t="s">
        <v>5453</v>
      </c>
      <c r="J653" s="263" t="s">
        <v>5453</v>
      </c>
      <c r="K653" s="263" t="s">
        <v>6432</v>
      </c>
      <c r="L653" s="462" t="s">
        <v>6289</v>
      </c>
    </row>
    <row r="654" spans="1:12">
      <c r="A654" s="263">
        <f t="shared" si="8"/>
        <v>653</v>
      </c>
      <c r="B654" s="460" t="s">
        <v>6251</v>
      </c>
      <c r="C654" s="468" t="s">
        <v>275</v>
      </c>
      <c r="D654" s="263"/>
      <c r="E654" s="462" t="s">
        <v>6715</v>
      </c>
      <c r="F654" s="263"/>
      <c r="G654" s="263"/>
      <c r="H654" s="465" t="s">
        <v>3328</v>
      </c>
      <c r="I654" s="263" t="s">
        <v>5453</v>
      </c>
      <c r="J654" s="263" t="s">
        <v>5453</v>
      </c>
      <c r="K654" s="263" t="s">
        <v>6796</v>
      </c>
      <c r="L654" s="470" t="s">
        <v>6633</v>
      </c>
    </row>
    <row r="655" spans="1:12">
      <c r="A655" s="263">
        <f t="shared" si="8"/>
        <v>654</v>
      </c>
      <c r="B655" s="460" t="s">
        <v>6252</v>
      </c>
      <c r="C655" s="468" t="s">
        <v>275</v>
      </c>
      <c r="D655" s="263"/>
      <c r="E655" s="462" t="s">
        <v>6716</v>
      </c>
      <c r="F655" s="263"/>
      <c r="G655" s="263"/>
      <c r="H655" s="465" t="s">
        <v>3328</v>
      </c>
      <c r="I655" s="263" t="s">
        <v>5453</v>
      </c>
      <c r="J655" s="263" t="s">
        <v>5453</v>
      </c>
      <c r="K655" s="263" t="s">
        <v>6797</v>
      </c>
      <c r="L655" s="470" t="s">
        <v>6634</v>
      </c>
    </row>
    <row r="656" spans="1:12">
      <c r="A656" s="263">
        <f t="shared" si="8"/>
        <v>655</v>
      </c>
      <c r="B656" s="460" t="s">
        <v>6253</v>
      </c>
      <c r="C656" s="468" t="s">
        <v>275</v>
      </c>
      <c r="D656" s="263"/>
      <c r="E656" s="462" t="s">
        <v>6717</v>
      </c>
      <c r="F656" s="263"/>
      <c r="G656" s="263"/>
      <c r="H656" s="465" t="s">
        <v>3328</v>
      </c>
      <c r="I656" s="263" t="s">
        <v>5453</v>
      </c>
      <c r="J656" s="263" t="s">
        <v>5453</v>
      </c>
      <c r="K656" s="263" t="s">
        <v>6798</v>
      </c>
      <c r="L656" s="470" t="s">
        <v>6635</v>
      </c>
    </row>
    <row r="657" spans="1:12">
      <c r="A657" s="263">
        <f t="shared" si="8"/>
        <v>656</v>
      </c>
      <c r="B657" s="460" t="s">
        <v>6254</v>
      </c>
      <c r="C657" s="468" t="s">
        <v>275</v>
      </c>
      <c r="D657" s="263"/>
      <c r="E657" s="462" t="s">
        <v>6718</v>
      </c>
      <c r="F657" s="263"/>
      <c r="G657" s="263"/>
      <c r="H657" s="465" t="s">
        <v>3328</v>
      </c>
      <c r="I657" s="263" t="s">
        <v>5453</v>
      </c>
      <c r="J657" s="263" t="s">
        <v>5453</v>
      </c>
      <c r="K657" s="263" t="s">
        <v>6799</v>
      </c>
      <c r="L657" s="470" t="s">
        <v>6636</v>
      </c>
    </row>
    <row r="658" spans="1:12">
      <c r="A658" s="263">
        <f t="shared" si="8"/>
        <v>657</v>
      </c>
      <c r="B658" s="460" t="s">
        <v>6255</v>
      </c>
      <c r="C658" s="468" t="s">
        <v>4421</v>
      </c>
      <c r="D658" s="263"/>
      <c r="E658" s="462" t="s">
        <v>6363</v>
      </c>
      <c r="F658" s="263"/>
      <c r="G658" s="263"/>
      <c r="H658" s="465" t="s">
        <v>3328</v>
      </c>
      <c r="I658" s="263" t="s">
        <v>5453</v>
      </c>
      <c r="J658" s="263" t="s">
        <v>5453</v>
      </c>
      <c r="K658" s="263" t="s">
        <v>6433</v>
      </c>
      <c r="L658" s="470" t="s">
        <v>6290</v>
      </c>
    </row>
    <row r="659" spans="1:12">
      <c r="A659" s="263">
        <f t="shared" si="8"/>
        <v>658</v>
      </c>
      <c r="B659" s="460" t="s">
        <v>6256</v>
      </c>
      <c r="C659" s="468" t="s">
        <v>275</v>
      </c>
      <c r="D659" s="263"/>
      <c r="E659" s="462" t="s">
        <v>6719</v>
      </c>
      <c r="F659" s="263"/>
      <c r="G659" s="263"/>
      <c r="H659" s="465" t="s">
        <v>3328</v>
      </c>
      <c r="I659" s="263" t="s">
        <v>5453</v>
      </c>
      <c r="J659" s="263" t="s">
        <v>5453</v>
      </c>
      <c r="K659" s="263" t="s">
        <v>6800</v>
      </c>
      <c r="L659" s="470" t="s">
        <v>6637</v>
      </c>
    </row>
    <row r="660" spans="1:12">
      <c r="A660" s="263">
        <f t="shared" si="8"/>
        <v>659</v>
      </c>
      <c r="B660" s="460" t="s">
        <v>6257</v>
      </c>
      <c r="C660" s="468" t="s">
        <v>275</v>
      </c>
      <c r="D660" s="263"/>
      <c r="E660" s="462" t="s">
        <v>6720</v>
      </c>
      <c r="F660" s="263"/>
      <c r="G660" s="263"/>
      <c r="H660" s="465" t="s">
        <v>3328</v>
      </c>
      <c r="I660" s="263" t="s">
        <v>5453</v>
      </c>
      <c r="J660" s="263" t="s">
        <v>5453</v>
      </c>
      <c r="K660" s="263" t="s">
        <v>6801</v>
      </c>
      <c r="L660" s="470" t="s">
        <v>6638</v>
      </c>
    </row>
    <row r="661" spans="1:12">
      <c r="A661" s="263">
        <f t="shared" si="8"/>
        <v>660</v>
      </c>
      <c r="B661" s="460" t="s">
        <v>6258</v>
      </c>
      <c r="C661" s="468" t="s">
        <v>275</v>
      </c>
      <c r="D661" s="263"/>
      <c r="E661" s="462" t="s">
        <v>6721</v>
      </c>
      <c r="F661" s="263"/>
      <c r="G661" s="263"/>
      <c r="H661" s="465" t="s">
        <v>3328</v>
      </c>
      <c r="I661" s="263" t="s">
        <v>5453</v>
      </c>
      <c r="J661" s="263" t="s">
        <v>5453</v>
      </c>
      <c r="K661" s="263" t="s">
        <v>6802</v>
      </c>
      <c r="L661" s="470" t="s">
        <v>6639</v>
      </c>
    </row>
    <row r="662" spans="1:12">
      <c r="A662" s="263">
        <f t="shared" si="8"/>
        <v>661</v>
      </c>
      <c r="B662" s="460" t="s">
        <v>6259</v>
      </c>
      <c r="C662" s="465" t="s">
        <v>4421</v>
      </c>
      <c r="D662" s="263"/>
      <c r="E662" s="462" t="s">
        <v>6365</v>
      </c>
      <c r="F662" s="263"/>
      <c r="G662" s="263"/>
      <c r="H662" s="461" t="s">
        <v>2965</v>
      </c>
      <c r="I662" s="263" t="s">
        <v>5453</v>
      </c>
      <c r="J662" s="263" t="s">
        <v>5453</v>
      </c>
      <c r="K662" s="263" t="s">
        <v>6434</v>
      </c>
      <c r="L662" s="462" t="s">
        <v>6291</v>
      </c>
    </row>
    <row r="663" spans="1:12">
      <c r="A663" s="263">
        <f t="shared" si="8"/>
        <v>662</v>
      </c>
      <c r="B663" s="460" t="s">
        <v>6260</v>
      </c>
      <c r="C663" s="465" t="s">
        <v>4421</v>
      </c>
      <c r="D663" s="263"/>
      <c r="E663" s="462" t="s">
        <v>6366</v>
      </c>
      <c r="F663" s="263"/>
      <c r="G663" s="263"/>
      <c r="H663" s="461" t="s">
        <v>2965</v>
      </c>
      <c r="I663" s="263" t="s">
        <v>5453</v>
      </c>
      <c r="J663" s="263" t="s">
        <v>5453</v>
      </c>
      <c r="K663" s="263" t="s">
        <v>6435</v>
      </c>
      <c r="L663" s="462" t="s">
        <v>6292</v>
      </c>
    </row>
    <row r="664" spans="1:12">
      <c r="A664" s="263">
        <f t="shared" si="8"/>
        <v>663</v>
      </c>
      <c r="B664" s="460" t="s">
        <v>6261</v>
      </c>
      <c r="C664" s="465" t="s">
        <v>4421</v>
      </c>
      <c r="D664" s="263"/>
      <c r="E664" s="462" t="s">
        <v>6722</v>
      </c>
      <c r="F664" s="263"/>
      <c r="G664" s="263"/>
      <c r="H664" s="461" t="s">
        <v>2965</v>
      </c>
      <c r="I664" s="263" t="s">
        <v>5453</v>
      </c>
      <c r="J664" s="263" t="s">
        <v>5453</v>
      </c>
      <c r="K664" s="263" t="s">
        <v>6803</v>
      </c>
      <c r="L664" s="462" t="s">
        <v>6640</v>
      </c>
    </row>
    <row r="665" spans="1:12">
      <c r="A665" s="263">
        <f t="shared" si="8"/>
        <v>664</v>
      </c>
      <c r="B665" s="460" t="s">
        <v>6262</v>
      </c>
      <c r="C665" s="465" t="s">
        <v>4415</v>
      </c>
      <c r="D665" s="263"/>
      <c r="E665" s="462" t="s">
        <v>6367</v>
      </c>
      <c r="F665" s="263"/>
      <c r="G665" s="263"/>
      <c r="H665" s="461" t="s">
        <v>2965</v>
      </c>
      <c r="I665" s="263" t="s">
        <v>5453</v>
      </c>
      <c r="J665" s="263" t="s">
        <v>5453</v>
      </c>
      <c r="K665" s="263" t="s">
        <v>6436</v>
      </c>
      <c r="L665" s="462" t="s">
        <v>6293</v>
      </c>
    </row>
    <row r="666" spans="1:12">
      <c r="A666" s="263">
        <f t="shared" si="8"/>
        <v>665</v>
      </c>
      <c r="B666" s="460" t="s">
        <v>6263</v>
      </c>
      <c r="C666" s="465" t="s">
        <v>4415</v>
      </c>
      <c r="D666" s="263"/>
      <c r="E666" s="462" t="s">
        <v>6368</v>
      </c>
      <c r="F666" s="263"/>
      <c r="G666" s="263"/>
      <c r="H666" s="461" t="s">
        <v>2965</v>
      </c>
      <c r="I666" s="263" t="s">
        <v>5453</v>
      </c>
      <c r="J666" s="263" t="s">
        <v>5453</v>
      </c>
      <c r="K666" s="263" t="s">
        <v>6437</v>
      </c>
      <c r="L666" s="462" t="s">
        <v>6294</v>
      </c>
    </row>
    <row r="667" spans="1:12">
      <c r="A667" s="263">
        <f t="shared" si="8"/>
        <v>666</v>
      </c>
      <c r="B667" s="460" t="s">
        <v>6264</v>
      </c>
      <c r="C667" s="465" t="s">
        <v>4421</v>
      </c>
      <c r="D667" s="263"/>
      <c r="E667" s="462" t="s">
        <v>6369</v>
      </c>
      <c r="F667" s="263"/>
      <c r="G667" s="263"/>
      <c r="H667" s="461" t="s">
        <v>2965</v>
      </c>
      <c r="I667" s="263" t="s">
        <v>5453</v>
      </c>
      <c r="J667" s="263" t="s">
        <v>5453</v>
      </c>
      <c r="K667" s="263" t="s">
        <v>7006</v>
      </c>
      <c r="L667" s="462" t="s">
        <v>6295</v>
      </c>
    </row>
    <row r="668" spans="1:12">
      <c r="A668" s="263">
        <f t="shared" si="8"/>
        <v>667</v>
      </c>
      <c r="B668" s="460" t="s">
        <v>6265</v>
      </c>
      <c r="C668" s="465" t="s">
        <v>4415</v>
      </c>
      <c r="D668" s="263"/>
      <c r="E668" s="462" t="s">
        <v>6370</v>
      </c>
      <c r="F668" s="263"/>
      <c r="G668" s="263"/>
      <c r="H668" s="461" t="s">
        <v>2965</v>
      </c>
      <c r="I668" s="263" t="s">
        <v>5453</v>
      </c>
      <c r="J668" s="263" t="s">
        <v>5453</v>
      </c>
      <c r="K668" s="263" t="s">
        <v>6438</v>
      </c>
      <c r="L668" s="462" t="s">
        <v>6296</v>
      </c>
    </row>
    <row r="669" spans="1:12">
      <c r="A669" s="263">
        <f t="shared" si="8"/>
        <v>668</v>
      </c>
      <c r="B669" s="460" t="s">
        <v>6266</v>
      </c>
      <c r="C669" s="465" t="s">
        <v>4415</v>
      </c>
      <c r="D669" s="263"/>
      <c r="E669" s="462" t="s">
        <v>6372</v>
      </c>
      <c r="F669" s="263"/>
      <c r="G669" s="263"/>
      <c r="H669" s="461" t="s">
        <v>2965</v>
      </c>
      <c r="I669" s="263" t="s">
        <v>5453</v>
      </c>
      <c r="J669" s="263" t="s">
        <v>5453</v>
      </c>
      <c r="K669" s="263" t="s">
        <v>6439</v>
      </c>
      <c r="L669" s="462" t="s">
        <v>6297</v>
      </c>
    </row>
    <row r="670" spans="1:12">
      <c r="A670" s="263">
        <f t="shared" si="8"/>
        <v>669</v>
      </c>
      <c r="B670" s="460" t="s">
        <v>6267</v>
      </c>
      <c r="C670" s="465" t="s">
        <v>4421</v>
      </c>
      <c r="D670" s="263"/>
      <c r="E670" s="462" t="s">
        <v>6373</v>
      </c>
      <c r="F670" s="263"/>
      <c r="G670" s="263"/>
      <c r="H670" s="461" t="s">
        <v>2965</v>
      </c>
      <c r="I670" s="263" t="s">
        <v>5453</v>
      </c>
      <c r="J670" s="263" t="s">
        <v>5453</v>
      </c>
      <c r="K670" s="263" t="s">
        <v>6440</v>
      </c>
      <c r="L670" s="462" t="s">
        <v>6298</v>
      </c>
    </row>
    <row r="671" spans="1:12">
      <c r="A671" s="263">
        <f t="shared" si="8"/>
        <v>670</v>
      </c>
      <c r="B671" s="460" t="s">
        <v>6268</v>
      </c>
      <c r="C671" s="465" t="s">
        <v>4421</v>
      </c>
      <c r="D671" s="263"/>
      <c r="E671" s="462" t="s">
        <v>6374</v>
      </c>
      <c r="F671" s="263"/>
      <c r="G671" s="263"/>
      <c r="H671" s="461" t="s">
        <v>2965</v>
      </c>
      <c r="I671" s="263" t="s">
        <v>5453</v>
      </c>
      <c r="J671" s="263" t="s">
        <v>5453</v>
      </c>
      <c r="K671" s="263" t="s">
        <v>6441</v>
      </c>
      <c r="L671" s="462" t="s">
        <v>6299</v>
      </c>
    </row>
    <row r="672" spans="1:12">
      <c r="A672" s="263">
        <f t="shared" si="8"/>
        <v>671</v>
      </c>
      <c r="B672" s="460" t="s">
        <v>6269</v>
      </c>
      <c r="C672" s="465" t="s">
        <v>4421</v>
      </c>
      <c r="D672" s="263"/>
      <c r="E672" s="462" t="s">
        <v>6375</v>
      </c>
      <c r="F672" s="263"/>
      <c r="G672" s="263"/>
      <c r="H672" s="461" t="s">
        <v>2965</v>
      </c>
      <c r="I672" s="263" t="s">
        <v>5453</v>
      </c>
      <c r="J672" s="263" t="s">
        <v>5453</v>
      </c>
      <c r="K672" s="263" t="s">
        <v>6442</v>
      </c>
      <c r="L672" s="462" t="s">
        <v>6300</v>
      </c>
    </row>
    <row r="673" spans="1:12">
      <c r="A673" s="263">
        <f t="shared" si="8"/>
        <v>672</v>
      </c>
      <c r="B673" s="460" t="s">
        <v>6270</v>
      </c>
      <c r="C673" s="465" t="s">
        <v>4421</v>
      </c>
      <c r="D673" s="263"/>
      <c r="E673" s="462" t="s">
        <v>6376</v>
      </c>
      <c r="F673" s="263"/>
      <c r="G673" s="263"/>
      <c r="H673" s="461" t="s">
        <v>2965</v>
      </c>
      <c r="I673" s="263" t="s">
        <v>5453</v>
      </c>
      <c r="J673" s="263" t="s">
        <v>5453</v>
      </c>
      <c r="K673" s="263" t="s">
        <v>6443</v>
      </c>
      <c r="L673" s="470" t="s">
        <v>6301</v>
      </c>
    </row>
    <row r="674" spans="1:12">
      <c r="A674" s="263">
        <f t="shared" si="8"/>
        <v>673</v>
      </c>
      <c r="B674" s="460" t="s">
        <v>6513</v>
      </c>
      <c r="C674" s="465" t="s">
        <v>4421</v>
      </c>
      <c r="D674" s="263"/>
      <c r="E674" s="462" t="s">
        <v>6377</v>
      </c>
      <c r="F674" s="263"/>
      <c r="G674" s="263"/>
      <c r="H674" s="461" t="s">
        <v>2965</v>
      </c>
      <c r="I674" s="263" t="s">
        <v>5453</v>
      </c>
      <c r="J674" s="263" t="s">
        <v>5453</v>
      </c>
      <c r="K674" s="263" t="s">
        <v>6444</v>
      </c>
      <c r="L674" s="462" t="s">
        <v>6302</v>
      </c>
    </row>
    <row r="675" spans="1:12">
      <c r="A675" s="263">
        <f t="shared" si="8"/>
        <v>674</v>
      </c>
      <c r="B675" s="460" t="s">
        <v>6514</v>
      </c>
      <c r="C675" s="465" t="s">
        <v>4421</v>
      </c>
      <c r="D675" s="263"/>
      <c r="E675" s="462" t="s">
        <v>6378</v>
      </c>
      <c r="F675" s="263"/>
      <c r="G675" s="263"/>
      <c r="H675" s="461" t="s">
        <v>2965</v>
      </c>
      <c r="I675" s="263" t="s">
        <v>5453</v>
      </c>
      <c r="J675" s="263" t="s">
        <v>5453</v>
      </c>
      <c r="K675" s="263" t="s">
        <v>6445</v>
      </c>
      <c r="L675" s="462" t="s">
        <v>959</v>
      </c>
    </row>
    <row r="676" spans="1:12">
      <c r="A676" s="263">
        <f t="shared" si="8"/>
        <v>675</v>
      </c>
      <c r="B676" s="460" t="s">
        <v>6515</v>
      </c>
      <c r="C676" s="465" t="s">
        <v>4421</v>
      </c>
      <c r="D676" s="263"/>
      <c r="E676" s="462" t="s">
        <v>6379</v>
      </c>
      <c r="F676" s="263"/>
      <c r="G676" s="263"/>
      <c r="H676" s="461" t="s">
        <v>2965</v>
      </c>
      <c r="I676" s="263" t="s">
        <v>5453</v>
      </c>
      <c r="J676" s="263" t="s">
        <v>5453</v>
      </c>
      <c r="K676" s="263" t="s">
        <v>6446</v>
      </c>
      <c r="L676" s="462" t="s">
        <v>6303</v>
      </c>
    </row>
    <row r="677" spans="1:12">
      <c r="A677" s="263">
        <f t="shared" si="8"/>
        <v>676</v>
      </c>
      <c r="B677" s="460" t="s">
        <v>6516</v>
      </c>
      <c r="C677" s="465" t="s">
        <v>4421</v>
      </c>
      <c r="D677" s="263"/>
      <c r="E677" s="462" t="s">
        <v>6380</v>
      </c>
      <c r="F677" s="263"/>
      <c r="G677" s="263"/>
      <c r="H677" s="461" t="s">
        <v>2965</v>
      </c>
      <c r="I677" s="263" t="s">
        <v>5453</v>
      </c>
      <c r="J677" s="263" t="s">
        <v>5453</v>
      </c>
      <c r="K677" s="263" t="s">
        <v>6447</v>
      </c>
      <c r="L677" s="462" t="s">
        <v>6304</v>
      </c>
    </row>
    <row r="678" spans="1:12">
      <c r="A678" s="263">
        <f t="shared" si="8"/>
        <v>677</v>
      </c>
      <c r="B678" s="460" t="s">
        <v>6517</v>
      </c>
      <c r="C678" s="465" t="s">
        <v>4421</v>
      </c>
      <c r="D678" s="263"/>
      <c r="E678" s="462" t="s">
        <v>6381</v>
      </c>
      <c r="F678" s="263"/>
      <c r="G678" s="263"/>
      <c r="H678" s="461" t="s">
        <v>2965</v>
      </c>
      <c r="I678" s="263" t="s">
        <v>5453</v>
      </c>
      <c r="J678" s="263" t="s">
        <v>5453</v>
      </c>
      <c r="K678" s="263" t="s">
        <v>6448</v>
      </c>
      <c r="L678" s="462" t="s">
        <v>6305</v>
      </c>
    </row>
    <row r="679" spans="1:12">
      <c r="A679" s="263">
        <f t="shared" si="8"/>
        <v>678</v>
      </c>
      <c r="B679" s="460" t="s">
        <v>6518</v>
      </c>
      <c r="C679" s="465" t="s">
        <v>275</v>
      </c>
      <c r="D679" s="263"/>
      <c r="E679" s="462" t="s">
        <v>6382</v>
      </c>
      <c r="F679" s="263"/>
      <c r="G679" s="263"/>
      <c r="H679" s="461" t="s">
        <v>2965</v>
      </c>
      <c r="I679" s="263" t="s">
        <v>5453</v>
      </c>
      <c r="J679" s="263" t="s">
        <v>5453</v>
      </c>
      <c r="K679" s="263" t="s">
        <v>6449</v>
      </c>
      <c r="L679" s="462" t="s">
        <v>6306</v>
      </c>
    </row>
    <row r="680" spans="1:12">
      <c r="A680" s="263">
        <f t="shared" si="8"/>
        <v>679</v>
      </c>
      <c r="B680" s="460" t="s">
        <v>6519</v>
      </c>
      <c r="C680" s="465" t="s">
        <v>275</v>
      </c>
      <c r="D680" s="263"/>
      <c r="E680" s="462" t="s">
        <v>6383</v>
      </c>
      <c r="F680" s="263"/>
      <c r="G680" s="263"/>
      <c r="H680" s="461" t="s">
        <v>2965</v>
      </c>
      <c r="I680" s="263" t="s">
        <v>5453</v>
      </c>
      <c r="J680" s="263" t="s">
        <v>5453</v>
      </c>
      <c r="K680" s="263" t="s">
        <v>6450</v>
      </c>
      <c r="L680" s="462" t="s">
        <v>6307</v>
      </c>
    </row>
    <row r="681" spans="1:12">
      <c r="A681" s="263">
        <f t="shared" si="8"/>
        <v>680</v>
      </c>
      <c r="B681" s="460" t="s">
        <v>6520</v>
      </c>
      <c r="C681" s="465" t="s">
        <v>275</v>
      </c>
      <c r="D681" s="263"/>
      <c r="E681" s="462" t="s">
        <v>6384</v>
      </c>
      <c r="F681" s="263"/>
      <c r="G681" s="263"/>
      <c r="H681" s="461" t="s">
        <v>2965</v>
      </c>
      <c r="I681" s="263" t="s">
        <v>5453</v>
      </c>
      <c r="J681" s="263" t="s">
        <v>5453</v>
      </c>
      <c r="K681" s="263" t="s">
        <v>6451</v>
      </c>
      <c r="L681" s="462" t="s">
        <v>6308</v>
      </c>
    </row>
    <row r="682" spans="1:12">
      <c r="A682" s="263">
        <f t="shared" si="8"/>
        <v>681</v>
      </c>
      <c r="B682" s="460" t="s">
        <v>6521</v>
      </c>
      <c r="C682" s="465" t="s">
        <v>4421</v>
      </c>
      <c r="D682" s="263"/>
      <c r="E682" s="462" t="s">
        <v>6385</v>
      </c>
      <c r="F682" s="263"/>
      <c r="G682" s="263"/>
      <c r="H682" s="461" t="s">
        <v>2965</v>
      </c>
      <c r="I682" s="263" t="s">
        <v>5453</v>
      </c>
      <c r="J682" s="263" t="s">
        <v>5453</v>
      </c>
      <c r="K682" s="263" t="s">
        <v>6452</v>
      </c>
      <c r="L682" s="462" t="s">
        <v>6309</v>
      </c>
    </row>
    <row r="683" spans="1:12">
      <c r="A683" s="263">
        <f t="shared" si="8"/>
        <v>682</v>
      </c>
      <c r="B683" s="460" t="s">
        <v>6522</v>
      </c>
      <c r="C683" s="465" t="s">
        <v>275</v>
      </c>
      <c r="D683" s="263"/>
      <c r="E683" s="462" t="s">
        <v>6386</v>
      </c>
      <c r="F683" s="263"/>
      <c r="G683" s="263"/>
      <c r="H683" s="461" t="s">
        <v>2965</v>
      </c>
      <c r="I683" s="263" t="s">
        <v>5453</v>
      </c>
      <c r="J683" s="263" t="s">
        <v>5453</v>
      </c>
      <c r="K683" s="263" t="s">
        <v>6453</v>
      </c>
      <c r="L683" s="462" t="s">
        <v>6310</v>
      </c>
    </row>
    <row r="684" spans="1:12">
      <c r="A684" s="263">
        <f t="shared" si="8"/>
        <v>683</v>
      </c>
      <c r="B684" s="460" t="s">
        <v>6523</v>
      </c>
      <c r="C684" s="461" t="s">
        <v>4421</v>
      </c>
      <c r="D684" s="263"/>
      <c r="E684" s="462" t="s">
        <v>6387</v>
      </c>
      <c r="F684" s="263"/>
      <c r="G684" s="263"/>
      <c r="H684" s="461" t="s">
        <v>2965</v>
      </c>
      <c r="I684" s="263" t="s">
        <v>5453</v>
      </c>
      <c r="J684" s="263" t="s">
        <v>5453</v>
      </c>
      <c r="K684" s="263" t="s">
        <v>6454</v>
      </c>
      <c r="L684" s="462" t="s">
        <v>6311</v>
      </c>
    </row>
    <row r="685" spans="1:12">
      <c r="A685" s="263">
        <f t="shared" si="8"/>
        <v>684</v>
      </c>
      <c r="B685" s="460" t="s">
        <v>6524</v>
      </c>
      <c r="C685" s="461" t="s">
        <v>4421</v>
      </c>
      <c r="D685" s="263"/>
      <c r="E685" s="462" t="s">
        <v>6389</v>
      </c>
      <c r="F685" s="263"/>
      <c r="G685" s="263"/>
      <c r="H685" s="461" t="s">
        <v>2965</v>
      </c>
      <c r="I685" s="263" t="s">
        <v>5453</v>
      </c>
      <c r="J685" s="263" t="s">
        <v>5453</v>
      </c>
      <c r="K685" s="263" t="s">
        <v>6455</v>
      </c>
      <c r="L685" s="462" t="s">
        <v>7033</v>
      </c>
    </row>
    <row r="686" spans="1:12">
      <c r="A686" s="263">
        <f t="shared" si="8"/>
        <v>685</v>
      </c>
      <c r="B686" s="460" t="s">
        <v>6525</v>
      </c>
      <c r="C686" s="461" t="s">
        <v>4421</v>
      </c>
      <c r="D686" s="263"/>
      <c r="E686" s="462" t="s">
        <v>6390</v>
      </c>
      <c r="F686" s="263"/>
      <c r="G686" s="263"/>
      <c r="H686" s="461" t="s">
        <v>2965</v>
      </c>
      <c r="I686" s="263" t="s">
        <v>5453</v>
      </c>
      <c r="J686" s="263" t="s">
        <v>5453</v>
      </c>
      <c r="K686" s="263" t="s">
        <v>6456</v>
      </c>
      <c r="L686" s="462" t="s">
        <v>6312</v>
      </c>
    </row>
    <row r="687" spans="1:12">
      <c r="A687" s="263">
        <f t="shared" si="8"/>
        <v>686</v>
      </c>
      <c r="B687" s="460" t="s">
        <v>6526</v>
      </c>
      <c r="C687" s="461" t="s">
        <v>4421</v>
      </c>
      <c r="D687" s="263"/>
      <c r="E687" s="462" t="s">
        <v>6391</v>
      </c>
      <c r="F687" s="263"/>
      <c r="G687" s="263"/>
      <c r="H687" s="461" t="s">
        <v>2965</v>
      </c>
      <c r="I687" s="263" t="s">
        <v>5453</v>
      </c>
      <c r="J687" s="263" t="s">
        <v>5453</v>
      </c>
      <c r="K687" s="263" t="e">
        <v>#N/A</v>
      </c>
      <c r="L687" s="471" t="s">
        <v>6313</v>
      </c>
    </row>
    <row r="688" spans="1:12">
      <c r="A688" s="263">
        <f t="shared" si="8"/>
        <v>687</v>
      </c>
      <c r="B688" s="460" t="s">
        <v>6527</v>
      </c>
      <c r="C688" s="461" t="s">
        <v>4421</v>
      </c>
      <c r="D688" s="263"/>
      <c r="E688" s="462" t="s">
        <v>6392</v>
      </c>
      <c r="F688" s="263"/>
      <c r="G688" s="263"/>
      <c r="H688" s="461" t="s">
        <v>2965</v>
      </c>
      <c r="I688" s="263" t="s">
        <v>5453</v>
      </c>
      <c r="J688" s="263" t="s">
        <v>5453</v>
      </c>
      <c r="K688" s="263" t="s">
        <v>6457</v>
      </c>
      <c r="L688" s="462" t="s">
        <v>6314</v>
      </c>
    </row>
    <row r="689" spans="1:12">
      <c r="A689" s="263">
        <f t="shared" si="8"/>
        <v>688</v>
      </c>
      <c r="B689" s="460" t="s">
        <v>6528</v>
      </c>
      <c r="C689" s="461" t="s">
        <v>4421</v>
      </c>
      <c r="D689" s="263"/>
      <c r="E689" s="462" t="s">
        <v>6393</v>
      </c>
      <c r="F689" s="263"/>
      <c r="G689" s="263"/>
      <c r="H689" s="461" t="s">
        <v>2965</v>
      </c>
      <c r="I689" s="263" t="s">
        <v>5453</v>
      </c>
      <c r="J689" s="263" t="s">
        <v>5453</v>
      </c>
      <c r="K689" s="263" t="s">
        <v>6458</v>
      </c>
      <c r="L689" s="462" t="s">
        <v>6315</v>
      </c>
    </row>
    <row r="690" spans="1:12">
      <c r="A690" s="263">
        <f t="shared" si="8"/>
        <v>689</v>
      </c>
      <c r="B690" s="460" t="s">
        <v>6529</v>
      </c>
      <c r="C690" s="461" t="s">
        <v>4421</v>
      </c>
      <c r="D690" s="263"/>
      <c r="E690" s="462" t="s">
        <v>6394</v>
      </c>
      <c r="F690" s="263"/>
      <c r="G690" s="263"/>
      <c r="H690" s="461" t="s">
        <v>2965</v>
      </c>
      <c r="I690" s="263" t="s">
        <v>5453</v>
      </c>
      <c r="J690" s="263" t="s">
        <v>5453</v>
      </c>
      <c r="K690" s="263" t="s">
        <v>6459</v>
      </c>
      <c r="L690" s="462" t="s">
        <v>6316</v>
      </c>
    </row>
    <row r="691" spans="1:12">
      <c r="A691" s="263">
        <f t="shared" si="8"/>
        <v>690</v>
      </c>
      <c r="B691" s="460" t="s">
        <v>6530</v>
      </c>
      <c r="C691" s="461" t="s">
        <v>4421</v>
      </c>
      <c r="D691" s="263"/>
      <c r="E691" s="462" t="s">
        <v>6395</v>
      </c>
      <c r="F691" s="263"/>
      <c r="G691" s="263"/>
      <c r="H691" s="461" t="s">
        <v>2965</v>
      </c>
      <c r="I691" s="263" t="s">
        <v>5453</v>
      </c>
      <c r="J691" s="263" t="s">
        <v>5453</v>
      </c>
      <c r="K691" s="263" t="s">
        <v>6460</v>
      </c>
      <c r="L691" s="462" t="s">
        <v>6317</v>
      </c>
    </row>
    <row r="692" spans="1:12">
      <c r="A692" s="263">
        <f t="shared" si="8"/>
        <v>691</v>
      </c>
      <c r="B692" s="460" t="s">
        <v>6531</v>
      </c>
      <c r="C692" s="461" t="s">
        <v>4421</v>
      </c>
      <c r="D692" s="263"/>
      <c r="E692" s="462" t="s">
        <v>6396</v>
      </c>
      <c r="F692" s="263"/>
      <c r="G692" s="263"/>
      <c r="H692" s="461" t="s">
        <v>2965</v>
      </c>
      <c r="I692" s="263" t="s">
        <v>5453</v>
      </c>
      <c r="J692" s="263" t="s">
        <v>5453</v>
      </c>
      <c r="K692" s="263" t="s">
        <v>6461</v>
      </c>
      <c r="L692" s="462" t="s">
        <v>6318</v>
      </c>
    </row>
    <row r="693" spans="1:12">
      <c r="A693" s="263">
        <f t="shared" si="8"/>
        <v>692</v>
      </c>
      <c r="B693" s="460" t="s">
        <v>6532</v>
      </c>
      <c r="C693" s="461" t="s">
        <v>4421</v>
      </c>
      <c r="D693" s="263"/>
      <c r="E693" s="462" t="s">
        <v>6397</v>
      </c>
      <c r="F693" s="263"/>
      <c r="G693" s="263"/>
      <c r="H693" s="461" t="s">
        <v>2965</v>
      </c>
      <c r="I693" s="263" t="s">
        <v>5453</v>
      </c>
      <c r="J693" s="263" t="s">
        <v>5453</v>
      </c>
      <c r="K693" s="263" t="s">
        <v>6462</v>
      </c>
      <c r="L693" s="462" t="s">
        <v>6319</v>
      </c>
    </row>
    <row r="694" spans="1:12">
      <c r="A694" s="263">
        <f t="shared" si="8"/>
        <v>693</v>
      </c>
      <c r="B694" s="460" t="s">
        <v>6533</v>
      </c>
      <c r="C694" s="461" t="s">
        <v>4421</v>
      </c>
      <c r="D694" s="263"/>
      <c r="E694" s="462" t="s">
        <v>6398</v>
      </c>
      <c r="F694" s="263"/>
      <c r="G694" s="263"/>
      <c r="H694" s="461" t="s">
        <v>2965</v>
      </c>
      <c r="I694" s="263" t="s">
        <v>5453</v>
      </c>
      <c r="J694" s="263" t="s">
        <v>5453</v>
      </c>
      <c r="K694" s="263" t="s">
        <v>6463</v>
      </c>
      <c r="L694" s="462" t="s">
        <v>6320</v>
      </c>
    </row>
    <row r="695" spans="1:12">
      <c r="A695" s="263">
        <f t="shared" si="8"/>
        <v>694</v>
      </c>
      <c r="B695" s="460" t="s">
        <v>6534</v>
      </c>
      <c r="C695" s="461" t="s">
        <v>4421</v>
      </c>
      <c r="D695" s="263"/>
      <c r="E695" s="462" t="s">
        <v>6399</v>
      </c>
      <c r="F695" s="263"/>
      <c r="G695" s="263"/>
      <c r="H695" s="461" t="s">
        <v>2965</v>
      </c>
      <c r="I695" s="263" t="s">
        <v>5453</v>
      </c>
      <c r="J695" s="263" t="s">
        <v>5453</v>
      </c>
      <c r="K695" s="263" t="s">
        <v>6464</v>
      </c>
      <c r="L695" s="462" t="s">
        <v>6321</v>
      </c>
    </row>
    <row r="696" spans="1:12">
      <c r="A696" s="263">
        <f t="shared" si="8"/>
        <v>695</v>
      </c>
      <c r="B696" s="460" t="s">
        <v>6535</v>
      </c>
      <c r="C696" s="461" t="s">
        <v>4421</v>
      </c>
      <c r="D696" s="263"/>
      <c r="E696" s="462" t="s">
        <v>6400</v>
      </c>
      <c r="F696" s="263"/>
      <c r="G696" s="263"/>
      <c r="H696" s="461" t="s">
        <v>2965</v>
      </c>
      <c r="I696" s="263" t="s">
        <v>5453</v>
      </c>
      <c r="J696" s="263" t="s">
        <v>5453</v>
      </c>
      <c r="K696" s="263" t="s">
        <v>6465</v>
      </c>
      <c r="L696" s="462" t="s">
        <v>6322</v>
      </c>
    </row>
    <row r="697" spans="1:12">
      <c r="A697" s="263">
        <f t="shared" si="8"/>
        <v>696</v>
      </c>
      <c r="B697" s="460" t="s">
        <v>6536</v>
      </c>
      <c r="C697" s="461" t="s">
        <v>4421</v>
      </c>
      <c r="D697" s="263"/>
      <c r="E697" s="462" t="s">
        <v>6401</v>
      </c>
      <c r="F697" s="263"/>
      <c r="G697" s="263"/>
      <c r="H697" s="461" t="s">
        <v>2965</v>
      </c>
      <c r="I697" s="263" t="s">
        <v>5453</v>
      </c>
      <c r="J697" s="263" t="s">
        <v>5453</v>
      </c>
      <c r="K697" s="263" t="s">
        <v>6466</v>
      </c>
      <c r="L697" s="462" t="s">
        <v>6323</v>
      </c>
    </row>
    <row r="698" spans="1:12">
      <c r="A698" s="263">
        <f t="shared" si="8"/>
        <v>697</v>
      </c>
      <c r="B698" s="460" t="s">
        <v>6537</v>
      </c>
      <c r="C698" s="461" t="s">
        <v>4421</v>
      </c>
      <c r="D698" s="263"/>
      <c r="E698" s="462" t="s">
        <v>6402</v>
      </c>
      <c r="F698" s="263"/>
      <c r="G698" s="263"/>
      <c r="H698" s="461" t="s">
        <v>2965</v>
      </c>
      <c r="I698" s="263" t="s">
        <v>5453</v>
      </c>
      <c r="J698" s="263" t="s">
        <v>5453</v>
      </c>
      <c r="K698" s="263" t="s">
        <v>6467</v>
      </c>
      <c r="L698" s="462" t="s">
        <v>6324</v>
      </c>
    </row>
    <row r="699" spans="1:12">
      <c r="A699" s="263">
        <f t="shared" si="8"/>
        <v>698</v>
      </c>
      <c r="B699" s="460" t="s">
        <v>6538</v>
      </c>
      <c r="C699" s="461" t="s">
        <v>4421</v>
      </c>
      <c r="D699" s="263"/>
      <c r="E699" s="462" t="s">
        <v>6403</v>
      </c>
      <c r="F699" s="263"/>
      <c r="G699" s="263"/>
      <c r="H699" s="461" t="s">
        <v>2965</v>
      </c>
      <c r="I699" s="263" t="s">
        <v>5453</v>
      </c>
      <c r="J699" s="263" t="s">
        <v>5453</v>
      </c>
      <c r="K699" s="263" t="s">
        <v>6468</v>
      </c>
      <c r="L699" s="462" t="s">
        <v>6325</v>
      </c>
    </row>
    <row r="700" spans="1:12">
      <c r="A700" s="263">
        <f t="shared" si="8"/>
        <v>699</v>
      </c>
      <c r="B700" s="460" t="s">
        <v>6539</v>
      </c>
      <c r="C700" s="461" t="s">
        <v>4421</v>
      </c>
      <c r="D700" s="263"/>
      <c r="E700" s="462" t="s">
        <v>6404</v>
      </c>
      <c r="F700" s="263"/>
      <c r="G700" s="263"/>
      <c r="H700" s="461" t="s">
        <v>2965</v>
      </c>
      <c r="I700" s="263" t="s">
        <v>5453</v>
      </c>
      <c r="J700" s="263" t="s">
        <v>5453</v>
      </c>
      <c r="K700" s="263" t="s">
        <v>6469</v>
      </c>
      <c r="L700" s="462" t="s">
        <v>6326</v>
      </c>
    </row>
    <row r="701" spans="1:12">
      <c r="A701" s="263">
        <f t="shared" si="8"/>
        <v>700</v>
      </c>
      <c r="B701" s="460" t="s">
        <v>6540</v>
      </c>
      <c r="C701" s="461" t="s">
        <v>4421</v>
      </c>
      <c r="D701" s="263"/>
      <c r="E701" s="462" t="s">
        <v>6405</v>
      </c>
      <c r="F701" s="263"/>
      <c r="G701" s="263"/>
      <c r="H701" s="461" t="s">
        <v>2965</v>
      </c>
      <c r="I701" s="263" t="s">
        <v>5453</v>
      </c>
      <c r="J701" s="263" t="s">
        <v>5453</v>
      </c>
      <c r="K701" s="263" t="s">
        <v>6470</v>
      </c>
      <c r="L701" s="462" t="s">
        <v>6327</v>
      </c>
    </row>
    <row r="702" spans="1:12">
      <c r="A702" s="263">
        <f t="shared" si="8"/>
        <v>701</v>
      </c>
      <c r="B702" s="460" t="s">
        <v>6541</v>
      </c>
      <c r="C702" s="461" t="s">
        <v>4421</v>
      </c>
      <c r="D702" s="263"/>
      <c r="E702" s="462" t="s">
        <v>6406</v>
      </c>
      <c r="F702" s="263"/>
      <c r="G702" s="263"/>
      <c r="H702" s="461" t="s">
        <v>2965</v>
      </c>
      <c r="I702" s="263" t="s">
        <v>5453</v>
      </c>
      <c r="J702" s="263" t="s">
        <v>5453</v>
      </c>
      <c r="K702" s="263" t="s">
        <v>6471</v>
      </c>
      <c r="L702" s="462" t="s">
        <v>6328</v>
      </c>
    </row>
    <row r="703" spans="1:12">
      <c r="A703" s="263">
        <f t="shared" si="8"/>
        <v>702</v>
      </c>
      <c r="B703" s="460" t="s">
        <v>6542</v>
      </c>
      <c r="C703" s="461" t="s">
        <v>4421</v>
      </c>
      <c r="D703" s="263"/>
      <c r="E703" s="462" t="s">
        <v>6407</v>
      </c>
      <c r="F703" s="263"/>
      <c r="G703" s="263"/>
      <c r="H703" s="461" t="s">
        <v>2965</v>
      </c>
      <c r="I703" s="263" t="s">
        <v>5453</v>
      </c>
      <c r="J703" s="263" t="s">
        <v>5453</v>
      </c>
      <c r="K703" s="263" t="s">
        <v>6472</v>
      </c>
      <c r="L703" s="462" t="s">
        <v>6329</v>
      </c>
    </row>
    <row r="704" spans="1:12">
      <c r="A704" s="263">
        <f t="shared" si="8"/>
        <v>703</v>
      </c>
      <c r="B704" s="460" t="s">
        <v>6543</v>
      </c>
      <c r="C704" s="461" t="s">
        <v>4421</v>
      </c>
      <c r="D704" s="263"/>
      <c r="E704" s="462" t="s">
        <v>6408</v>
      </c>
      <c r="F704" s="263"/>
      <c r="G704" s="263"/>
      <c r="H704" s="461" t="s">
        <v>2965</v>
      </c>
      <c r="I704" s="263" t="s">
        <v>5453</v>
      </c>
      <c r="J704" s="263" t="s">
        <v>5453</v>
      </c>
      <c r="K704" s="263" t="s">
        <v>6473</v>
      </c>
      <c r="L704" s="462" t="s">
        <v>6330</v>
      </c>
    </row>
    <row r="705" spans="1:12">
      <c r="A705" s="263">
        <f t="shared" si="8"/>
        <v>704</v>
      </c>
      <c r="B705" s="460" t="s">
        <v>6544</v>
      </c>
      <c r="C705" s="461" t="s">
        <v>4421</v>
      </c>
      <c r="D705" s="263"/>
      <c r="E705" s="462" t="s">
        <v>6409</v>
      </c>
      <c r="F705" s="263"/>
      <c r="G705" s="263"/>
      <c r="H705" s="461" t="s">
        <v>2965</v>
      </c>
      <c r="I705" s="263" t="s">
        <v>5453</v>
      </c>
      <c r="J705" s="263" t="s">
        <v>5453</v>
      </c>
      <c r="K705" s="263" t="s">
        <v>6474</v>
      </c>
      <c r="L705" s="462" t="s">
        <v>6331</v>
      </c>
    </row>
    <row r="706" spans="1:12">
      <c r="A706" s="263">
        <f t="shared" si="8"/>
        <v>705</v>
      </c>
      <c r="B706" s="460" t="s">
        <v>6545</v>
      </c>
      <c r="C706" s="461" t="s">
        <v>4421</v>
      </c>
      <c r="D706" s="263"/>
      <c r="E706" s="462" t="s">
        <v>6410</v>
      </c>
      <c r="F706" s="263"/>
      <c r="G706" s="263"/>
      <c r="H706" s="461" t="s">
        <v>2965</v>
      </c>
      <c r="I706" s="263" t="s">
        <v>5453</v>
      </c>
      <c r="J706" s="263" t="s">
        <v>5453</v>
      </c>
      <c r="K706" s="263" t="s">
        <v>6475</v>
      </c>
      <c r="L706" s="462" t="s">
        <v>6332</v>
      </c>
    </row>
    <row r="707" spans="1:12">
      <c r="A707" s="263">
        <f t="shared" ref="A707:A770" si="9">ROW()-1</f>
        <v>706</v>
      </c>
      <c r="B707" s="460" t="s">
        <v>6546</v>
      </c>
      <c r="C707" s="461" t="s">
        <v>4421</v>
      </c>
      <c r="D707" s="263"/>
      <c r="E707" s="462" t="s">
        <v>6411</v>
      </c>
      <c r="F707" s="263"/>
      <c r="G707" s="263"/>
      <c r="H707" s="461" t="s">
        <v>2965</v>
      </c>
      <c r="I707" s="263" t="s">
        <v>5453</v>
      </c>
      <c r="J707" s="263" t="s">
        <v>5453</v>
      </c>
      <c r="K707" s="263" t="s">
        <v>6476</v>
      </c>
      <c r="L707" s="462" t="s">
        <v>6333</v>
      </c>
    </row>
    <row r="708" spans="1:12">
      <c r="A708" s="263">
        <f t="shared" si="9"/>
        <v>707</v>
      </c>
      <c r="B708" s="460" t="s">
        <v>6547</v>
      </c>
      <c r="C708" s="461" t="s">
        <v>4421</v>
      </c>
      <c r="D708" s="263"/>
      <c r="E708" s="462" t="s">
        <v>1017</v>
      </c>
      <c r="F708" s="263"/>
      <c r="G708" s="263"/>
      <c r="H708" s="461" t="s">
        <v>2965</v>
      </c>
      <c r="I708" s="263" t="s">
        <v>5453</v>
      </c>
      <c r="J708" s="263" t="s">
        <v>5453</v>
      </c>
      <c r="K708" s="263" t="s">
        <v>1019</v>
      </c>
      <c r="L708" s="462" t="s">
        <v>1018</v>
      </c>
    </row>
    <row r="709" spans="1:12">
      <c r="A709" s="263">
        <f t="shared" si="9"/>
        <v>708</v>
      </c>
      <c r="B709" s="460" t="s">
        <v>6548</v>
      </c>
      <c r="C709" s="461" t="s">
        <v>4421</v>
      </c>
      <c r="D709" s="263"/>
      <c r="E709" s="462" t="s">
        <v>6412</v>
      </c>
      <c r="F709" s="263"/>
      <c r="G709" s="263"/>
      <c r="H709" s="461" t="s">
        <v>2965</v>
      </c>
      <c r="I709" s="263" t="s">
        <v>5453</v>
      </c>
      <c r="J709" s="263" t="s">
        <v>5453</v>
      </c>
      <c r="K709" s="263" t="s">
        <v>6477</v>
      </c>
      <c r="L709" s="462" t="s">
        <v>6334</v>
      </c>
    </row>
    <row r="710" spans="1:12">
      <c r="A710" s="263">
        <f t="shared" si="9"/>
        <v>709</v>
      </c>
      <c r="B710" s="460" t="s">
        <v>6549</v>
      </c>
      <c r="C710" s="461" t="s">
        <v>4421</v>
      </c>
      <c r="D710" s="263"/>
      <c r="E710" s="462" t="s">
        <v>6413</v>
      </c>
      <c r="F710" s="263"/>
      <c r="G710" s="263"/>
      <c r="H710" s="461" t="s">
        <v>2965</v>
      </c>
      <c r="I710" s="263" t="s">
        <v>5453</v>
      </c>
      <c r="J710" s="263" t="s">
        <v>5453</v>
      </c>
      <c r="K710" s="263" t="s">
        <v>6478</v>
      </c>
      <c r="L710" s="462" t="s">
        <v>6335</v>
      </c>
    </row>
    <row r="711" spans="1:12">
      <c r="A711" s="263">
        <f t="shared" si="9"/>
        <v>710</v>
      </c>
      <c r="B711" s="460" t="s">
        <v>6550</v>
      </c>
      <c r="C711" s="461" t="s">
        <v>4421</v>
      </c>
      <c r="D711" s="263"/>
      <c r="E711" s="462" t="s">
        <v>6414</v>
      </c>
      <c r="F711" s="263"/>
      <c r="G711" s="263"/>
      <c r="H711" s="461" t="s">
        <v>2965</v>
      </c>
      <c r="I711" s="263" t="s">
        <v>5453</v>
      </c>
      <c r="J711" s="263" t="s">
        <v>5453</v>
      </c>
      <c r="K711" s="263" t="s">
        <v>6479</v>
      </c>
      <c r="L711" s="462" t="s">
        <v>6336</v>
      </c>
    </row>
    <row r="712" spans="1:12">
      <c r="A712" s="263">
        <f t="shared" si="9"/>
        <v>711</v>
      </c>
      <c r="B712" s="460" t="s">
        <v>6551</v>
      </c>
      <c r="C712" s="461" t="s">
        <v>4421</v>
      </c>
      <c r="D712" s="263"/>
      <c r="E712" s="462" t="s">
        <v>6415</v>
      </c>
      <c r="F712" s="263"/>
      <c r="G712" s="263"/>
      <c r="H712" s="461" t="s">
        <v>2965</v>
      </c>
      <c r="I712" s="263" t="s">
        <v>5453</v>
      </c>
      <c r="J712" s="263" t="s">
        <v>5453</v>
      </c>
      <c r="K712" s="263" t="s">
        <v>6480</v>
      </c>
      <c r="L712" s="462" t="s">
        <v>6337</v>
      </c>
    </row>
    <row r="713" spans="1:12">
      <c r="A713" s="263">
        <f t="shared" si="9"/>
        <v>712</v>
      </c>
      <c r="B713" s="460" t="s">
        <v>6552</v>
      </c>
      <c r="C713" s="461" t="s">
        <v>4421</v>
      </c>
      <c r="D713" s="263"/>
      <c r="E713" s="462" t="s">
        <v>6417</v>
      </c>
      <c r="F713" s="263"/>
      <c r="G713" s="263"/>
      <c r="H713" s="461" t="s">
        <v>2965</v>
      </c>
      <c r="I713" s="263" t="s">
        <v>5453</v>
      </c>
      <c r="J713" s="263" t="s">
        <v>5453</v>
      </c>
      <c r="K713" s="263" t="s">
        <v>6481</v>
      </c>
      <c r="L713" s="462" t="s">
        <v>6338</v>
      </c>
    </row>
    <row r="714" spans="1:12">
      <c r="A714" s="263">
        <f t="shared" si="9"/>
        <v>713</v>
      </c>
      <c r="B714" s="460" t="s">
        <v>6553</v>
      </c>
      <c r="C714" s="461" t="s">
        <v>4421</v>
      </c>
      <c r="D714" s="263"/>
      <c r="E714" s="462" t="s">
        <v>6418</v>
      </c>
      <c r="F714" s="263"/>
      <c r="G714" s="263"/>
      <c r="H714" s="461" t="s">
        <v>2965</v>
      </c>
      <c r="I714" s="263" t="s">
        <v>5453</v>
      </c>
      <c r="J714" s="263" t="s">
        <v>5453</v>
      </c>
      <c r="K714" s="263" t="s">
        <v>6482</v>
      </c>
      <c r="L714" s="462" t="s">
        <v>6339</v>
      </c>
    </row>
    <row r="715" spans="1:12">
      <c r="A715" s="263">
        <f t="shared" si="9"/>
        <v>714</v>
      </c>
      <c r="B715" s="460" t="s">
        <v>6554</v>
      </c>
      <c r="C715" s="461" t="s">
        <v>275</v>
      </c>
      <c r="D715" s="263"/>
      <c r="E715" s="462" t="s">
        <v>6419</v>
      </c>
      <c r="F715" s="263"/>
      <c r="G715" s="263"/>
      <c r="H715" s="461" t="s">
        <v>2965</v>
      </c>
      <c r="I715" s="263" t="s">
        <v>5453</v>
      </c>
      <c r="J715" s="263" t="s">
        <v>5453</v>
      </c>
      <c r="K715" s="263" t="s">
        <v>6483</v>
      </c>
      <c r="L715" s="462" t="s">
        <v>6340</v>
      </c>
    </row>
    <row r="716" spans="1:12">
      <c r="A716" s="263">
        <f t="shared" si="9"/>
        <v>715</v>
      </c>
      <c r="B716" s="460" t="s">
        <v>6555</v>
      </c>
      <c r="C716" s="461" t="s">
        <v>4421</v>
      </c>
      <c r="D716" s="263"/>
      <c r="E716" s="462" t="s">
        <v>6420</v>
      </c>
      <c r="F716" s="263"/>
      <c r="G716" s="263"/>
      <c r="H716" s="461" t="s">
        <v>2965</v>
      </c>
      <c r="I716" s="263" t="s">
        <v>5453</v>
      </c>
      <c r="J716" s="263" t="s">
        <v>5453</v>
      </c>
      <c r="K716" s="263" t="s">
        <v>6484</v>
      </c>
      <c r="L716" s="462" t="s">
        <v>6341</v>
      </c>
    </row>
    <row r="717" spans="1:12">
      <c r="A717" s="263">
        <f t="shared" si="9"/>
        <v>716</v>
      </c>
      <c r="B717" s="460" t="s">
        <v>6556</v>
      </c>
      <c r="C717" s="461" t="s">
        <v>275</v>
      </c>
      <c r="D717" s="263"/>
      <c r="E717" s="462" t="s">
        <v>6421</v>
      </c>
      <c r="F717" s="263"/>
      <c r="G717" s="263"/>
      <c r="H717" s="461" t="s">
        <v>2965</v>
      </c>
      <c r="I717" s="263" t="s">
        <v>5453</v>
      </c>
      <c r="J717" s="263" t="s">
        <v>5453</v>
      </c>
      <c r="K717" s="263" t="s">
        <v>7007</v>
      </c>
      <c r="L717" s="462" t="s">
        <v>6342</v>
      </c>
    </row>
    <row r="718" spans="1:12">
      <c r="A718" s="263">
        <f t="shared" si="9"/>
        <v>717</v>
      </c>
      <c r="B718" s="460" t="s">
        <v>6557</v>
      </c>
      <c r="C718" s="461" t="s">
        <v>4415</v>
      </c>
      <c r="D718" s="263"/>
      <c r="E718" s="462" t="s">
        <v>687</v>
      </c>
      <c r="F718" s="263"/>
      <c r="G718" s="263"/>
      <c r="H718" s="461" t="s">
        <v>2965</v>
      </c>
      <c r="I718" s="263" t="s">
        <v>5453</v>
      </c>
      <c r="J718" s="263" t="s">
        <v>5453</v>
      </c>
      <c r="K718" s="263" t="s">
        <v>687</v>
      </c>
      <c r="L718" s="462" t="s">
        <v>6343</v>
      </c>
    </row>
    <row r="719" spans="1:12">
      <c r="A719" s="263">
        <f t="shared" si="9"/>
        <v>718</v>
      </c>
      <c r="B719" s="460" t="s">
        <v>6558</v>
      </c>
      <c r="C719" s="461" t="s">
        <v>4421</v>
      </c>
      <c r="D719" s="263"/>
      <c r="E719" s="462" t="s">
        <v>6423</v>
      </c>
      <c r="F719" s="263"/>
      <c r="G719" s="263"/>
      <c r="H719" s="461" t="s">
        <v>2965</v>
      </c>
      <c r="I719" s="263" t="s">
        <v>5453</v>
      </c>
      <c r="J719" s="263" t="s">
        <v>5453</v>
      </c>
      <c r="K719" s="263" t="s">
        <v>6485</v>
      </c>
      <c r="L719" s="462" t="s">
        <v>6344</v>
      </c>
    </row>
    <row r="720" spans="1:12">
      <c r="A720" s="263">
        <f t="shared" si="9"/>
        <v>719</v>
      </c>
      <c r="B720" s="464" t="s">
        <v>6559</v>
      </c>
      <c r="C720" s="461" t="s">
        <v>4421</v>
      </c>
      <c r="D720" s="263"/>
      <c r="E720" s="466" t="s">
        <v>6723</v>
      </c>
      <c r="F720" s="263"/>
      <c r="G720" s="263"/>
      <c r="H720" s="467" t="s">
        <v>6850</v>
      </c>
      <c r="I720" s="263" t="s">
        <v>6856</v>
      </c>
      <c r="J720" s="263" t="s">
        <v>6857</v>
      </c>
      <c r="K720" s="263" t="s">
        <v>6804</v>
      </c>
      <c r="L720" s="466" t="s">
        <v>6641</v>
      </c>
    </row>
    <row r="721" spans="1:12">
      <c r="A721" s="263">
        <f t="shared" si="9"/>
        <v>720</v>
      </c>
      <c r="B721" s="460" t="s">
        <v>6560</v>
      </c>
      <c r="C721" s="461" t="s">
        <v>4421</v>
      </c>
      <c r="D721" s="263"/>
      <c r="E721" s="462" t="s">
        <v>6724</v>
      </c>
      <c r="F721" s="263"/>
      <c r="G721" s="263"/>
      <c r="H721" s="461" t="s">
        <v>6850</v>
      </c>
      <c r="I721" s="263" t="s">
        <v>6856</v>
      </c>
      <c r="J721" s="263" t="s">
        <v>6857</v>
      </c>
      <c r="K721" s="263" t="s">
        <v>6805</v>
      </c>
      <c r="L721" s="462" t="s">
        <v>6642</v>
      </c>
    </row>
    <row r="722" spans="1:12">
      <c r="A722" s="263">
        <f t="shared" si="9"/>
        <v>721</v>
      </c>
      <c r="B722" s="460" t="s">
        <v>6561</v>
      </c>
      <c r="C722" s="461" t="s">
        <v>4421</v>
      </c>
      <c r="D722" s="263"/>
      <c r="E722" s="462" t="s">
        <v>6725</v>
      </c>
      <c r="F722" s="263"/>
      <c r="G722" s="263"/>
      <c r="H722" s="461" t="s">
        <v>6850</v>
      </c>
      <c r="I722" s="263" t="s">
        <v>6856</v>
      </c>
      <c r="J722" s="263" t="s">
        <v>6857</v>
      </c>
      <c r="K722" s="263" t="s">
        <v>6806</v>
      </c>
      <c r="L722" s="462" t="s">
        <v>6643</v>
      </c>
    </row>
    <row r="723" spans="1:12">
      <c r="A723" s="263">
        <f t="shared" si="9"/>
        <v>722</v>
      </c>
      <c r="B723" s="460" t="s">
        <v>6562</v>
      </c>
      <c r="C723" s="461" t="s">
        <v>4415</v>
      </c>
      <c r="D723" s="263"/>
      <c r="E723" s="462" t="s">
        <v>6726</v>
      </c>
      <c r="F723" s="263"/>
      <c r="G723" s="263"/>
      <c r="H723" s="461" t="s">
        <v>6850</v>
      </c>
      <c r="I723" s="263" t="s">
        <v>6856</v>
      </c>
      <c r="J723" s="263" t="s">
        <v>6857</v>
      </c>
      <c r="K723" s="263" t="s">
        <v>6807</v>
      </c>
      <c r="L723" s="462" t="s">
        <v>6644</v>
      </c>
    </row>
    <row r="724" spans="1:12">
      <c r="A724" s="263">
        <f t="shared" si="9"/>
        <v>723</v>
      </c>
      <c r="B724" s="460" t="s">
        <v>6563</v>
      </c>
      <c r="C724" s="461" t="s">
        <v>4415</v>
      </c>
      <c r="D724" s="263"/>
      <c r="E724" s="462" t="s">
        <v>6727</v>
      </c>
      <c r="F724" s="263"/>
      <c r="G724" s="263"/>
      <c r="H724" s="461" t="s">
        <v>6850</v>
      </c>
      <c r="I724" s="263" t="s">
        <v>6856</v>
      </c>
      <c r="J724" s="263" t="s">
        <v>6857</v>
      </c>
      <c r="K724" s="263" t="e">
        <v>#N/A</v>
      </c>
      <c r="L724" s="462" t="s">
        <v>6645</v>
      </c>
    </row>
    <row r="725" spans="1:12">
      <c r="A725" s="263">
        <f t="shared" si="9"/>
        <v>724</v>
      </c>
      <c r="B725" s="460" t="s">
        <v>6564</v>
      </c>
      <c r="C725" s="461" t="s">
        <v>4421</v>
      </c>
      <c r="D725" s="263"/>
      <c r="E725" s="462" t="s">
        <v>6728</v>
      </c>
      <c r="F725" s="263"/>
      <c r="G725" s="263"/>
      <c r="H725" s="461" t="s">
        <v>6850</v>
      </c>
      <c r="I725" s="263" t="s">
        <v>6856</v>
      </c>
      <c r="J725" s="263" t="s">
        <v>6857</v>
      </c>
      <c r="K725" s="263" t="e">
        <v>#N/A</v>
      </c>
      <c r="L725" s="462" t="s">
        <v>6646</v>
      </c>
    </row>
    <row r="726" spans="1:12">
      <c r="A726" s="263">
        <f t="shared" si="9"/>
        <v>725</v>
      </c>
      <c r="B726" s="460" t="s">
        <v>6565</v>
      </c>
      <c r="C726" s="461" t="s">
        <v>4421</v>
      </c>
      <c r="D726" s="263"/>
      <c r="E726" s="462" t="s">
        <v>6729</v>
      </c>
      <c r="F726" s="263"/>
      <c r="G726" s="263"/>
      <c r="H726" s="461" t="s">
        <v>6850</v>
      </c>
      <c r="I726" s="263" t="s">
        <v>6856</v>
      </c>
      <c r="J726" s="263" t="s">
        <v>6857</v>
      </c>
      <c r="K726" s="263" t="e">
        <v>#N/A</v>
      </c>
      <c r="L726" s="462" t="s">
        <v>6647</v>
      </c>
    </row>
    <row r="727" spans="1:12">
      <c r="A727" s="263">
        <f t="shared" si="9"/>
        <v>726</v>
      </c>
      <c r="B727" s="460" t="s">
        <v>6566</v>
      </c>
      <c r="C727" s="461" t="s">
        <v>4421</v>
      </c>
      <c r="D727" s="263"/>
      <c r="E727" s="462" t="s">
        <v>6730</v>
      </c>
      <c r="F727" s="263"/>
      <c r="G727" s="263"/>
      <c r="H727" s="461" t="s">
        <v>6850</v>
      </c>
      <c r="I727" s="263" t="s">
        <v>6856</v>
      </c>
      <c r="J727" s="263" t="s">
        <v>6857</v>
      </c>
      <c r="K727" s="263" t="e">
        <v>#N/A</v>
      </c>
      <c r="L727" s="462" t="s">
        <v>6648</v>
      </c>
    </row>
    <row r="728" spans="1:12">
      <c r="A728" s="263">
        <f t="shared" si="9"/>
        <v>727</v>
      </c>
      <c r="B728" s="460" t="s">
        <v>6567</v>
      </c>
      <c r="C728" s="461" t="s">
        <v>4421</v>
      </c>
      <c r="D728" s="263"/>
      <c r="E728" s="462" t="s">
        <v>6731</v>
      </c>
      <c r="F728" s="263"/>
      <c r="G728" s="263"/>
      <c r="H728" s="461" t="s">
        <v>6850</v>
      </c>
      <c r="I728" s="263" t="s">
        <v>6856</v>
      </c>
      <c r="J728" s="263" t="s">
        <v>6857</v>
      </c>
      <c r="K728" s="263" t="s">
        <v>6808</v>
      </c>
      <c r="L728" s="462" t="s">
        <v>6649</v>
      </c>
    </row>
    <row r="729" spans="1:12">
      <c r="A729" s="263">
        <f t="shared" si="9"/>
        <v>728</v>
      </c>
      <c r="B729" s="460" t="s">
        <v>6568</v>
      </c>
      <c r="C729" s="461" t="s">
        <v>4421</v>
      </c>
      <c r="D729" s="263"/>
      <c r="E729" s="462" t="s">
        <v>6732</v>
      </c>
      <c r="F729" s="263"/>
      <c r="G729" s="263"/>
      <c r="H729" s="461" t="s">
        <v>6850</v>
      </c>
      <c r="I729" s="263" t="s">
        <v>6856</v>
      </c>
      <c r="J729" s="263" t="s">
        <v>6857</v>
      </c>
      <c r="K729" s="263" t="s">
        <v>6809</v>
      </c>
      <c r="L729" s="462" t="s">
        <v>6650</v>
      </c>
    </row>
    <row r="730" spans="1:12">
      <c r="A730" s="263">
        <f t="shared" si="9"/>
        <v>729</v>
      </c>
      <c r="B730" s="460" t="s">
        <v>6569</v>
      </c>
      <c r="C730" s="461" t="s">
        <v>4421</v>
      </c>
      <c r="D730" s="263"/>
      <c r="E730" s="462" t="s">
        <v>6733</v>
      </c>
      <c r="F730" s="263"/>
      <c r="G730" s="263"/>
      <c r="H730" s="461" t="s">
        <v>6850</v>
      </c>
      <c r="I730" s="263" t="s">
        <v>6856</v>
      </c>
      <c r="J730" s="263" t="s">
        <v>6857</v>
      </c>
      <c r="K730" s="263" t="s">
        <v>6810</v>
      </c>
      <c r="L730" s="462" t="s">
        <v>6651</v>
      </c>
    </row>
    <row r="731" spans="1:12">
      <c r="A731" s="263">
        <f t="shared" si="9"/>
        <v>730</v>
      </c>
      <c r="B731" s="460" t="s">
        <v>6570</v>
      </c>
      <c r="C731" s="461" t="s">
        <v>4421</v>
      </c>
      <c r="D731" s="263"/>
      <c r="E731" s="462" t="s">
        <v>6734</v>
      </c>
      <c r="F731" s="263"/>
      <c r="G731" s="263"/>
      <c r="H731" s="461" t="s">
        <v>6850</v>
      </c>
      <c r="I731" s="263" t="s">
        <v>6856</v>
      </c>
      <c r="J731" s="263" t="s">
        <v>6857</v>
      </c>
      <c r="K731" s="263" t="s">
        <v>6811</v>
      </c>
      <c r="L731" s="462" t="s">
        <v>6652</v>
      </c>
    </row>
    <row r="732" spans="1:12">
      <c r="A732" s="263">
        <f t="shared" si="9"/>
        <v>731</v>
      </c>
      <c r="B732" s="460" t="s">
        <v>6571</v>
      </c>
      <c r="C732" s="461" t="s">
        <v>4421</v>
      </c>
      <c r="D732" s="263"/>
      <c r="E732" s="462" t="s">
        <v>6735</v>
      </c>
      <c r="F732" s="263"/>
      <c r="G732" s="263"/>
      <c r="H732" s="461" t="s">
        <v>6850</v>
      </c>
      <c r="I732" s="263" t="s">
        <v>6856</v>
      </c>
      <c r="J732" s="263" t="s">
        <v>6857</v>
      </c>
      <c r="K732" s="263" t="s">
        <v>6812</v>
      </c>
      <c r="L732" s="462" t="s">
        <v>6653</v>
      </c>
    </row>
    <row r="733" spans="1:12">
      <c r="A733" s="263">
        <f t="shared" si="9"/>
        <v>732</v>
      </c>
      <c r="B733" s="460" t="s">
        <v>6572</v>
      </c>
      <c r="C733" s="461" t="s">
        <v>4421</v>
      </c>
      <c r="D733" s="263"/>
      <c r="E733" s="462" t="s">
        <v>6736</v>
      </c>
      <c r="F733" s="263"/>
      <c r="G733" s="263"/>
      <c r="H733" s="461" t="s">
        <v>6850</v>
      </c>
      <c r="I733" s="263" t="s">
        <v>6856</v>
      </c>
      <c r="J733" s="263" t="s">
        <v>6857</v>
      </c>
      <c r="K733" s="263" t="s">
        <v>6813</v>
      </c>
      <c r="L733" s="462" t="s">
        <v>6654</v>
      </c>
    </row>
    <row r="734" spans="1:12">
      <c r="A734" s="263">
        <f t="shared" si="9"/>
        <v>733</v>
      </c>
      <c r="B734" s="460" t="s">
        <v>6573</v>
      </c>
      <c r="C734" s="461" t="s">
        <v>4421</v>
      </c>
      <c r="D734" s="263"/>
      <c r="E734" s="462" t="s">
        <v>6737</v>
      </c>
      <c r="F734" s="263"/>
      <c r="G734" s="263"/>
      <c r="H734" s="461" t="s">
        <v>6850</v>
      </c>
      <c r="I734" s="263" t="s">
        <v>6856</v>
      </c>
      <c r="J734" s="263" t="s">
        <v>6857</v>
      </c>
      <c r="K734" s="263" t="s">
        <v>6814</v>
      </c>
      <c r="L734" s="462" t="s">
        <v>6655</v>
      </c>
    </row>
    <row r="735" spans="1:12">
      <c r="A735" s="263">
        <f t="shared" si="9"/>
        <v>734</v>
      </c>
      <c r="B735" s="460" t="s">
        <v>6574</v>
      </c>
      <c r="C735" s="461" t="s">
        <v>4421</v>
      </c>
      <c r="D735" s="263"/>
      <c r="E735" s="462" t="s">
        <v>6738</v>
      </c>
      <c r="F735" s="263"/>
      <c r="G735" s="263"/>
      <c r="H735" s="461" t="s">
        <v>6850</v>
      </c>
      <c r="I735" s="263" t="s">
        <v>6856</v>
      </c>
      <c r="J735" s="263" t="s">
        <v>6857</v>
      </c>
      <c r="K735" s="263" t="s">
        <v>6815</v>
      </c>
      <c r="L735" s="462" t="s">
        <v>6656</v>
      </c>
    </row>
    <row r="736" spans="1:12">
      <c r="A736" s="263">
        <f t="shared" si="9"/>
        <v>735</v>
      </c>
      <c r="B736" s="460" t="s">
        <v>6575</v>
      </c>
      <c r="C736" s="461" t="s">
        <v>4421</v>
      </c>
      <c r="D736" s="263"/>
      <c r="E736" s="462" t="s">
        <v>6739</v>
      </c>
      <c r="F736" s="263"/>
      <c r="G736" s="263"/>
      <c r="H736" s="461" t="s">
        <v>6850</v>
      </c>
      <c r="I736" s="263" t="s">
        <v>6856</v>
      </c>
      <c r="J736" s="263" t="s">
        <v>6857</v>
      </c>
      <c r="K736" s="263" t="s">
        <v>6816</v>
      </c>
      <c r="L736" s="462" t="s">
        <v>6657</v>
      </c>
    </row>
    <row r="737" spans="1:12">
      <c r="A737" s="263">
        <f t="shared" si="9"/>
        <v>736</v>
      </c>
      <c r="B737" s="460" t="s">
        <v>6576</v>
      </c>
      <c r="C737" s="461" t="s">
        <v>4421</v>
      </c>
      <c r="D737" s="263"/>
      <c r="E737" s="462" t="s">
        <v>6740</v>
      </c>
      <c r="F737" s="263"/>
      <c r="G737" s="263"/>
      <c r="H737" s="461" t="s">
        <v>6850</v>
      </c>
      <c r="I737" s="263" t="s">
        <v>6856</v>
      </c>
      <c r="J737" s="263" t="s">
        <v>6857</v>
      </c>
      <c r="K737" s="263" t="s">
        <v>6817</v>
      </c>
      <c r="L737" s="462" t="s">
        <v>6658</v>
      </c>
    </row>
    <row r="738" spans="1:12">
      <c r="A738" s="263">
        <f t="shared" si="9"/>
        <v>737</v>
      </c>
      <c r="B738" s="460" t="s">
        <v>6577</v>
      </c>
      <c r="C738" s="461" t="s">
        <v>4421</v>
      </c>
      <c r="D738" s="263"/>
      <c r="E738" s="462" t="s">
        <v>6741</v>
      </c>
      <c r="F738" s="263"/>
      <c r="G738" s="263"/>
      <c r="H738" s="461" t="s">
        <v>6850</v>
      </c>
      <c r="I738" s="263" t="s">
        <v>6856</v>
      </c>
      <c r="J738" s="263" t="s">
        <v>6857</v>
      </c>
      <c r="K738" s="263" t="s">
        <v>6818</v>
      </c>
      <c r="L738" s="462" t="s">
        <v>6659</v>
      </c>
    </row>
    <row r="739" spans="1:12">
      <c r="A739" s="263">
        <f t="shared" si="9"/>
        <v>738</v>
      </c>
      <c r="B739" s="460" t="s">
        <v>6578</v>
      </c>
      <c r="C739" s="461" t="s">
        <v>4421</v>
      </c>
      <c r="D739" s="263"/>
      <c r="E739" s="462" t="s">
        <v>6742</v>
      </c>
      <c r="F739" s="263"/>
      <c r="G739" s="263"/>
      <c r="H739" s="461" t="s">
        <v>6850</v>
      </c>
      <c r="I739" s="263" t="s">
        <v>6856</v>
      </c>
      <c r="J739" s="263" t="s">
        <v>6857</v>
      </c>
      <c r="K739" s="263" t="s">
        <v>6819</v>
      </c>
      <c r="L739" s="462" t="s">
        <v>6660</v>
      </c>
    </row>
    <row r="740" spans="1:12">
      <c r="A740" s="263">
        <f t="shared" si="9"/>
        <v>739</v>
      </c>
      <c r="B740" s="460" t="s">
        <v>6579</v>
      </c>
      <c r="C740" s="461" t="s">
        <v>4421</v>
      </c>
      <c r="D740" s="263"/>
      <c r="E740" s="462" t="s">
        <v>6743</v>
      </c>
      <c r="F740" s="263"/>
      <c r="G740" s="263"/>
      <c r="H740" s="461" t="s">
        <v>6850</v>
      </c>
      <c r="I740" s="263" t="s">
        <v>6856</v>
      </c>
      <c r="J740" s="263" t="s">
        <v>6857</v>
      </c>
      <c r="K740" s="263" t="s">
        <v>6820</v>
      </c>
      <c r="L740" s="462" t="s">
        <v>6661</v>
      </c>
    </row>
    <row r="741" spans="1:12">
      <c r="A741" s="263">
        <f t="shared" si="9"/>
        <v>740</v>
      </c>
      <c r="B741" s="460" t="s">
        <v>6580</v>
      </c>
      <c r="C741" s="461" t="s">
        <v>4421</v>
      </c>
      <c r="D741" s="263"/>
      <c r="E741" s="462" t="s">
        <v>6744</v>
      </c>
      <c r="F741" s="263"/>
      <c r="G741" s="263"/>
      <c r="H741" s="461" t="s">
        <v>6850</v>
      </c>
      <c r="I741" s="263" t="s">
        <v>6856</v>
      </c>
      <c r="J741" s="263" t="s">
        <v>6857</v>
      </c>
      <c r="K741" s="263" t="s">
        <v>6821</v>
      </c>
      <c r="L741" s="462" t="s">
        <v>6662</v>
      </c>
    </row>
    <row r="742" spans="1:12">
      <c r="A742" s="263">
        <f t="shared" si="9"/>
        <v>741</v>
      </c>
      <c r="B742" s="460" t="s">
        <v>6581</v>
      </c>
      <c r="C742" s="461" t="s">
        <v>4421</v>
      </c>
      <c r="D742" s="263"/>
      <c r="E742" s="462" t="s">
        <v>6745</v>
      </c>
      <c r="F742" s="263"/>
      <c r="G742" s="263"/>
      <c r="H742" s="461" t="s">
        <v>6850</v>
      </c>
      <c r="I742" s="263" t="s">
        <v>6856</v>
      </c>
      <c r="J742" s="263" t="s">
        <v>6857</v>
      </c>
      <c r="K742" s="263" t="s">
        <v>6822</v>
      </c>
      <c r="L742" s="462" t="s">
        <v>6663</v>
      </c>
    </row>
    <row r="743" spans="1:12">
      <c r="A743" s="263">
        <f t="shared" si="9"/>
        <v>742</v>
      </c>
      <c r="B743" s="460" t="s">
        <v>6582</v>
      </c>
      <c r="C743" s="461" t="s">
        <v>4421</v>
      </c>
      <c r="D743" s="263"/>
      <c r="E743" s="462" t="s">
        <v>6746</v>
      </c>
      <c r="F743" s="263"/>
      <c r="G743" s="263"/>
      <c r="H743" s="461" t="s">
        <v>6850</v>
      </c>
      <c r="I743" s="263" t="s">
        <v>6856</v>
      </c>
      <c r="J743" s="263" t="s">
        <v>6857</v>
      </c>
      <c r="K743" s="263" t="s">
        <v>6823</v>
      </c>
      <c r="L743" s="462" t="s">
        <v>6664</v>
      </c>
    </row>
    <row r="744" spans="1:12">
      <c r="A744" s="263">
        <f t="shared" si="9"/>
        <v>743</v>
      </c>
      <c r="B744" s="460" t="s">
        <v>6583</v>
      </c>
      <c r="C744" s="461" t="s">
        <v>4421</v>
      </c>
      <c r="D744" s="263"/>
      <c r="E744" s="462" t="s">
        <v>6747</v>
      </c>
      <c r="F744" s="263"/>
      <c r="G744" s="263"/>
      <c r="H744" s="461" t="s">
        <v>6850</v>
      </c>
      <c r="I744" s="263" t="s">
        <v>6856</v>
      </c>
      <c r="J744" s="263" t="s">
        <v>6857</v>
      </c>
      <c r="K744" s="263" t="s">
        <v>6824</v>
      </c>
      <c r="L744" s="462" t="s">
        <v>6665</v>
      </c>
    </row>
    <row r="745" spans="1:12">
      <c r="A745" s="263">
        <f t="shared" si="9"/>
        <v>744</v>
      </c>
      <c r="B745" s="460" t="s">
        <v>6584</v>
      </c>
      <c r="C745" s="461" t="s">
        <v>4421</v>
      </c>
      <c r="D745" s="263"/>
      <c r="E745" s="462" t="s">
        <v>6748</v>
      </c>
      <c r="F745" s="263"/>
      <c r="G745" s="263"/>
      <c r="H745" s="461" t="s">
        <v>6850</v>
      </c>
      <c r="I745" s="263" t="s">
        <v>6856</v>
      </c>
      <c r="J745" s="263" t="s">
        <v>6857</v>
      </c>
      <c r="K745" s="263" t="s">
        <v>6825</v>
      </c>
      <c r="L745" s="462" t="s">
        <v>6666</v>
      </c>
    </row>
    <row r="746" spans="1:12">
      <c r="A746" s="263">
        <f t="shared" si="9"/>
        <v>745</v>
      </c>
      <c r="B746" s="460" t="s">
        <v>6585</v>
      </c>
      <c r="C746" s="461" t="s">
        <v>4421</v>
      </c>
      <c r="D746" s="263"/>
      <c r="E746" s="462" t="s">
        <v>6749</v>
      </c>
      <c r="F746" s="263"/>
      <c r="G746" s="263"/>
      <c r="H746" s="461" t="s">
        <v>6850</v>
      </c>
      <c r="I746" s="263" t="s">
        <v>6856</v>
      </c>
      <c r="J746" s="263" t="s">
        <v>6857</v>
      </c>
      <c r="K746" s="263" t="s">
        <v>6826</v>
      </c>
      <c r="L746" s="462" t="s">
        <v>6667</v>
      </c>
    </row>
    <row r="747" spans="1:12">
      <c r="A747" s="263">
        <f t="shared" si="9"/>
        <v>746</v>
      </c>
      <c r="B747" s="460" t="s">
        <v>6586</v>
      </c>
      <c r="C747" s="461" t="s">
        <v>4421</v>
      </c>
      <c r="D747" s="263"/>
      <c r="E747" s="462" t="s">
        <v>6750</v>
      </c>
      <c r="F747" s="263"/>
      <c r="G747" s="263"/>
      <c r="H747" s="461" t="s">
        <v>6850</v>
      </c>
      <c r="I747" s="263" t="s">
        <v>6856</v>
      </c>
      <c r="J747" s="263" t="s">
        <v>6857</v>
      </c>
      <c r="K747" s="263" t="s">
        <v>6827</v>
      </c>
      <c r="L747" s="462" t="s">
        <v>6668</v>
      </c>
    </row>
    <row r="748" spans="1:12">
      <c r="A748" s="263">
        <f t="shared" si="9"/>
        <v>747</v>
      </c>
      <c r="B748" s="460" t="s">
        <v>6587</v>
      </c>
      <c r="C748" s="461" t="s">
        <v>4421</v>
      </c>
      <c r="D748" s="263"/>
      <c r="E748" s="462" t="s">
        <v>6751</v>
      </c>
      <c r="F748" s="263"/>
      <c r="G748" s="263"/>
      <c r="H748" s="461" t="s">
        <v>6850</v>
      </c>
      <c r="I748" s="263" t="s">
        <v>6856</v>
      </c>
      <c r="J748" s="263" t="s">
        <v>6857</v>
      </c>
      <c r="K748" s="263" t="s">
        <v>6828</v>
      </c>
      <c r="L748" s="462" t="s">
        <v>6669</v>
      </c>
    </row>
    <row r="749" spans="1:12">
      <c r="A749" s="263">
        <f t="shared" si="9"/>
        <v>748</v>
      </c>
      <c r="B749" s="460" t="s">
        <v>6588</v>
      </c>
      <c r="C749" s="461" t="s">
        <v>4421</v>
      </c>
      <c r="D749" s="263"/>
      <c r="E749" s="462" t="s">
        <v>6752</v>
      </c>
      <c r="F749" s="263"/>
      <c r="G749" s="263"/>
      <c r="H749" s="461" t="s">
        <v>6850</v>
      </c>
      <c r="I749" s="263" t="s">
        <v>6856</v>
      </c>
      <c r="J749" s="263" t="s">
        <v>6857</v>
      </c>
      <c r="K749" s="263" t="s">
        <v>6829</v>
      </c>
      <c r="L749" s="462" t="s">
        <v>6670</v>
      </c>
    </row>
    <row r="750" spans="1:12">
      <c r="A750" s="263">
        <f t="shared" si="9"/>
        <v>749</v>
      </c>
      <c r="B750" s="460" t="s">
        <v>6589</v>
      </c>
      <c r="C750" s="461" t="s">
        <v>4421</v>
      </c>
      <c r="D750" s="263"/>
      <c r="E750" s="462" t="s">
        <v>6753</v>
      </c>
      <c r="F750" s="263"/>
      <c r="G750" s="263"/>
      <c r="H750" s="461" t="s">
        <v>6850</v>
      </c>
      <c r="I750" s="263" t="s">
        <v>6856</v>
      </c>
      <c r="J750" s="263" t="s">
        <v>6857</v>
      </c>
      <c r="K750" s="263" t="s">
        <v>6830</v>
      </c>
      <c r="L750" s="462" t="s">
        <v>6671</v>
      </c>
    </row>
    <row r="751" spans="1:12">
      <c r="A751" s="263">
        <f t="shared" si="9"/>
        <v>750</v>
      </c>
      <c r="B751" s="464" t="s">
        <v>6590</v>
      </c>
      <c r="C751" s="461" t="s">
        <v>4421</v>
      </c>
      <c r="D751" s="263"/>
      <c r="E751" s="466" t="s">
        <v>6754</v>
      </c>
      <c r="F751" s="263"/>
      <c r="G751" s="263"/>
      <c r="H751" s="467" t="s">
        <v>6851</v>
      </c>
      <c r="I751" s="263" t="s">
        <v>6856</v>
      </c>
      <c r="J751" s="263" t="s">
        <v>6857</v>
      </c>
      <c r="K751" s="263" t="s">
        <v>6831</v>
      </c>
      <c r="L751" s="466" t="s">
        <v>6672</v>
      </c>
    </row>
    <row r="752" spans="1:12">
      <c r="A752" s="263">
        <f t="shared" si="9"/>
        <v>751</v>
      </c>
      <c r="B752" s="460" t="s">
        <v>6591</v>
      </c>
      <c r="C752" s="461" t="s">
        <v>4421</v>
      </c>
      <c r="D752" s="263"/>
      <c r="E752" s="462" t="s">
        <v>6755</v>
      </c>
      <c r="F752" s="263"/>
      <c r="G752" s="263"/>
      <c r="H752" s="461" t="s">
        <v>6851</v>
      </c>
      <c r="I752" s="263" t="s">
        <v>6856</v>
      </c>
      <c r="J752" s="263" t="s">
        <v>6857</v>
      </c>
      <c r="K752" s="263" t="s">
        <v>6832</v>
      </c>
      <c r="L752" s="462" t="s">
        <v>6673</v>
      </c>
    </row>
    <row r="753" spans="1:12">
      <c r="A753" s="263">
        <f t="shared" si="9"/>
        <v>752</v>
      </c>
      <c r="B753" s="460" t="s">
        <v>6592</v>
      </c>
      <c r="C753" s="461" t="s">
        <v>4421</v>
      </c>
      <c r="D753" s="263"/>
      <c r="E753" s="462" t="s">
        <v>6756</v>
      </c>
      <c r="F753" s="263"/>
      <c r="G753" s="263"/>
      <c r="H753" s="461" t="s">
        <v>6851</v>
      </c>
      <c r="I753" s="263" t="s">
        <v>6856</v>
      </c>
      <c r="J753" s="263" t="s">
        <v>6857</v>
      </c>
      <c r="K753" s="263" t="s">
        <v>6833</v>
      </c>
      <c r="L753" s="462" t="s">
        <v>6674</v>
      </c>
    </row>
    <row r="754" spans="1:12">
      <c r="A754" s="263">
        <f t="shared" si="9"/>
        <v>753</v>
      </c>
      <c r="B754" s="460" t="s">
        <v>6593</v>
      </c>
      <c r="C754" s="461" t="s">
        <v>4415</v>
      </c>
      <c r="D754" s="263"/>
      <c r="E754" s="462" t="s">
        <v>6757</v>
      </c>
      <c r="F754" s="263"/>
      <c r="G754" s="263"/>
      <c r="H754" s="461" t="s">
        <v>6851</v>
      </c>
      <c r="I754" s="263" t="s">
        <v>6856</v>
      </c>
      <c r="J754" s="263" t="s">
        <v>6857</v>
      </c>
      <c r="K754" s="263" t="s">
        <v>6834</v>
      </c>
      <c r="L754" s="462" t="s">
        <v>6675</v>
      </c>
    </row>
    <row r="755" spans="1:12">
      <c r="A755" s="263">
        <f t="shared" si="9"/>
        <v>754</v>
      </c>
      <c r="B755" s="460" t="s">
        <v>6594</v>
      </c>
      <c r="C755" s="461" t="s">
        <v>4421</v>
      </c>
      <c r="D755" s="263"/>
      <c r="E755" s="462" t="s">
        <v>6758</v>
      </c>
      <c r="F755" s="263"/>
      <c r="G755" s="263"/>
      <c r="H755" s="461" t="s">
        <v>6851</v>
      </c>
      <c r="I755" s="263" t="s">
        <v>6856</v>
      </c>
      <c r="J755" s="263" t="s">
        <v>6857</v>
      </c>
      <c r="K755" s="263" t="s">
        <v>6835</v>
      </c>
      <c r="L755" s="462" t="s">
        <v>6676</v>
      </c>
    </row>
    <row r="756" spans="1:12">
      <c r="A756" s="263">
        <f t="shared" si="9"/>
        <v>755</v>
      </c>
      <c r="B756" s="460" t="s">
        <v>6595</v>
      </c>
      <c r="C756" s="461" t="s">
        <v>4421</v>
      </c>
      <c r="D756" s="263"/>
      <c r="E756" s="462" t="s">
        <v>6759</v>
      </c>
      <c r="F756" s="263"/>
      <c r="G756" s="263"/>
      <c r="H756" s="461" t="s">
        <v>6851</v>
      </c>
      <c r="I756" s="263" t="s">
        <v>6856</v>
      </c>
      <c r="J756" s="263" t="s">
        <v>6857</v>
      </c>
      <c r="K756" s="263" t="s">
        <v>6836</v>
      </c>
      <c r="L756" s="462" t="s">
        <v>6677</v>
      </c>
    </row>
    <row r="757" spans="1:12">
      <c r="A757" s="263">
        <f t="shared" si="9"/>
        <v>756</v>
      </c>
      <c r="B757" s="460" t="s">
        <v>6596</v>
      </c>
      <c r="C757" s="461" t="s">
        <v>4421</v>
      </c>
      <c r="D757" s="263"/>
      <c r="E757" s="462" t="s">
        <v>6760</v>
      </c>
      <c r="F757" s="263"/>
      <c r="G757" s="263"/>
      <c r="H757" s="461" t="s">
        <v>6851</v>
      </c>
      <c r="I757" s="263" t="s">
        <v>6856</v>
      </c>
      <c r="J757" s="263" t="s">
        <v>6857</v>
      </c>
      <c r="K757" s="263" t="s">
        <v>6837</v>
      </c>
      <c r="L757" s="462" t="s">
        <v>6678</v>
      </c>
    </row>
    <row r="758" spans="1:12">
      <c r="A758" s="263">
        <f t="shared" si="9"/>
        <v>757</v>
      </c>
      <c r="B758" s="460" t="s">
        <v>6597</v>
      </c>
      <c r="C758" s="461" t="s">
        <v>4421</v>
      </c>
      <c r="D758" s="263"/>
      <c r="E758" s="462" t="s">
        <v>6761</v>
      </c>
      <c r="F758" s="263"/>
      <c r="G758" s="263"/>
      <c r="H758" s="461" t="s">
        <v>6851</v>
      </c>
      <c r="I758" s="263" t="s">
        <v>6856</v>
      </c>
      <c r="J758" s="263" t="s">
        <v>6857</v>
      </c>
      <c r="K758" s="263" t="s">
        <v>6838</v>
      </c>
      <c r="L758" s="462" t="s">
        <v>6679</v>
      </c>
    </row>
    <row r="759" spans="1:12">
      <c r="A759" s="263">
        <f t="shared" si="9"/>
        <v>758</v>
      </c>
      <c r="B759" s="460" t="s">
        <v>6598</v>
      </c>
      <c r="C759" s="461" t="s">
        <v>4421</v>
      </c>
      <c r="D759" s="263"/>
      <c r="E759" s="462" t="s">
        <v>6762</v>
      </c>
      <c r="F759" s="263"/>
      <c r="G759" s="263"/>
      <c r="H759" s="461" t="s">
        <v>6851</v>
      </c>
      <c r="I759" s="263" t="s">
        <v>6856</v>
      </c>
      <c r="J759" s="263" t="s">
        <v>6857</v>
      </c>
      <c r="K759" s="263" t="s">
        <v>6839</v>
      </c>
      <c r="L759" s="462" t="s">
        <v>6680</v>
      </c>
    </row>
    <row r="760" spans="1:12">
      <c r="A760" s="263">
        <f t="shared" si="9"/>
        <v>759</v>
      </c>
      <c r="B760" s="460" t="s">
        <v>6599</v>
      </c>
      <c r="C760" s="461" t="s">
        <v>4421</v>
      </c>
      <c r="D760" s="263"/>
      <c r="E760" s="462" t="s">
        <v>6763</v>
      </c>
      <c r="F760" s="263"/>
      <c r="G760" s="263"/>
      <c r="H760" s="461" t="s">
        <v>6851</v>
      </c>
      <c r="I760" s="263" t="s">
        <v>6856</v>
      </c>
      <c r="J760" s="263" t="s">
        <v>6857</v>
      </c>
      <c r="K760" s="263" t="s">
        <v>6840</v>
      </c>
      <c r="L760" s="462" t="s">
        <v>6681</v>
      </c>
    </row>
    <row r="761" spans="1:12">
      <c r="A761" s="263">
        <f t="shared" si="9"/>
        <v>760</v>
      </c>
      <c r="B761" s="460" t="s">
        <v>6600</v>
      </c>
      <c r="C761" s="461" t="s">
        <v>4421</v>
      </c>
      <c r="D761" s="263"/>
      <c r="E761" s="462" t="s">
        <v>6764</v>
      </c>
      <c r="F761" s="263"/>
      <c r="G761" s="263"/>
      <c r="H761" s="461" t="s">
        <v>6851</v>
      </c>
      <c r="I761" s="263" t="s">
        <v>6856</v>
      </c>
      <c r="J761" s="263" t="s">
        <v>6857</v>
      </c>
      <c r="K761" s="263" t="s">
        <v>6841</v>
      </c>
      <c r="L761" s="462" t="s">
        <v>6682</v>
      </c>
    </row>
    <row r="762" spans="1:12">
      <c r="A762" s="263">
        <f t="shared" si="9"/>
        <v>761</v>
      </c>
      <c r="B762" s="460" t="s">
        <v>6601</v>
      </c>
      <c r="C762" s="461" t="s">
        <v>4421</v>
      </c>
      <c r="D762" s="263"/>
      <c r="E762" s="462" t="s">
        <v>6765</v>
      </c>
      <c r="F762" s="263"/>
      <c r="G762" s="263"/>
      <c r="H762" s="461" t="s">
        <v>6851</v>
      </c>
      <c r="I762" s="263" t="s">
        <v>6856</v>
      </c>
      <c r="J762" s="263" t="s">
        <v>6857</v>
      </c>
      <c r="K762" s="263" t="s">
        <v>6842</v>
      </c>
      <c r="L762" s="462" t="s">
        <v>6683</v>
      </c>
    </row>
    <row r="763" spans="1:12">
      <c r="A763" s="263">
        <f t="shared" si="9"/>
        <v>762</v>
      </c>
      <c r="B763" s="460" t="s">
        <v>6602</v>
      </c>
      <c r="C763" s="461" t="s">
        <v>4421</v>
      </c>
      <c r="D763" s="263"/>
      <c r="E763" s="462" t="s">
        <v>6766</v>
      </c>
      <c r="F763" s="263"/>
      <c r="G763" s="263"/>
      <c r="H763" s="461" t="s">
        <v>6851</v>
      </c>
      <c r="I763" s="263" t="s">
        <v>6856</v>
      </c>
      <c r="J763" s="263" t="s">
        <v>6857</v>
      </c>
      <c r="K763" s="263" t="s">
        <v>6843</v>
      </c>
      <c r="L763" s="462" t="s">
        <v>6684</v>
      </c>
    </row>
    <row r="764" spans="1:12">
      <c r="A764" s="263">
        <f t="shared" si="9"/>
        <v>763</v>
      </c>
      <c r="B764" s="460" t="s">
        <v>6603</v>
      </c>
      <c r="C764" s="461" t="s">
        <v>4421</v>
      </c>
      <c r="D764" s="263"/>
      <c r="E764" s="462" t="s">
        <v>6767</v>
      </c>
      <c r="F764" s="263"/>
      <c r="G764" s="263"/>
      <c r="H764" s="461" t="s">
        <v>6851</v>
      </c>
      <c r="I764" s="263" t="s">
        <v>6856</v>
      </c>
      <c r="J764" s="263" t="s">
        <v>6857</v>
      </c>
      <c r="K764" s="263" t="s">
        <v>6844</v>
      </c>
      <c r="L764" s="462" t="s">
        <v>6685</v>
      </c>
    </row>
    <row r="765" spans="1:12">
      <c r="A765" s="263">
        <f t="shared" si="9"/>
        <v>764</v>
      </c>
      <c r="B765" s="460" t="s">
        <v>6604</v>
      </c>
      <c r="C765" s="461" t="s">
        <v>4421</v>
      </c>
      <c r="D765" s="263"/>
      <c r="E765" s="462" t="s">
        <v>6768</v>
      </c>
      <c r="F765" s="263"/>
      <c r="G765" s="263"/>
      <c r="H765" s="461" t="s">
        <v>6851</v>
      </c>
      <c r="I765" s="263" t="s">
        <v>6856</v>
      </c>
      <c r="J765" s="263" t="s">
        <v>6857</v>
      </c>
      <c r="K765" s="263" t="s">
        <v>6845</v>
      </c>
      <c r="L765" s="462" t="s">
        <v>6686</v>
      </c>
    </row>
    <row r="766" spans="1:12">
      <c r="A766" s="263">
        <f t="shared" si="9"/>
        <v>765</v>
      </c>
      <c r="B766" s="460" t="s">
        <v>6605</v>
      </c>
      <c r="C766" s="461" t="s">
        <v>4421</v>
      </c>
      <c r="D766" s="263"/>
      <c r="E766" s="462" t="s">
        <v>6769</v>
      </c>
      <c r="F766" s="263"/>
      <c r="G766" s="263"/>
      <c r="H766" s="461" t="s">
        <v>6851</v>
      </c>
      <c r="I766" s="263" t="s">
        <v>6856</v>
      </c>
      <c r="J766" s="263" t="s">
        <v>6857</v>
      </c>
      <c r="K766" s="263" t="s">
        <v>6846</v>
      </c>
      <c r="L766" s="462" t="s">
        <v>6687</v>
      </c>
    </row>
    <row r="767" spans="1:12">
      <c r="A767" s="263">
        <f t="shared" si="9"/>
        <v>766</v>
      </c>
      <c r="B767" s="460" t="s">
        <v>6606</v>
      </c>
      <c r="C767" s="461" t="s">
        <v>4421</v>
      </c>
      <c r="D767" s="263"/>
      <c r="E767" s="462" t="s">
        <v>6770</v>
      </c>
      <c r="F767" s="263"/>
      <c r="G767" s="263"/>
      <c r="H767" s="461" t="s">
        <v>6851</v>
      </c>
      <c r="I767" s="263" t="s">
        <v>6856</v>
      </c>
      <c r="J767" s="263" t="s">
        <v>6857</v>
      </c>
      <c r="K767" s="263" t="s">
        <v>6847</v>
      </c>
      <c r="L767" s="462" t="s">
        <v>6688</v>
      </c>
    </row>
    <row r="768" spans="1:12">
      <c r="A768" s="263">
        <f t="shared" si="9"/>
        <v>767</v>
      </c>
      <c r="B768" s="460" t="s">
        <v>6607</v>
      </c>
      <c r="C768" s="461" t="s">
        <v>4421</v>
      </c>
      <c r="D768" s="263"/>
      <c r="E768" s="462" t="s">
        <v>6771</v>
      </c>
      <c r="F768" s="263"/>
      <c r="G768" s="263"/>
      <c r="H768" s="461" t="s">
        <v>6851</v>
      </c>
      <c r="I768" s="263" t="s">
        <v>6856</v>
      </c>
      <c r="J768" s="263" t="s">
        <v>6857</v>
      </c>
      <c r="K768" s="263" t="s">
        <v>6848</v>
      </c>
      <c r="L768" s="462" t="s">
        <v>6689</v>
      </c>
    </row>
    <row r="769" spans="1:12">
      <c r="A769" s="263">
        <f t="shared" si="9"/>
        <v>768</v>
      </c>
      <c r="B769" s="460" t="s">
        <v>6608</v>
      </c>
      <c r="C769" s="461" t="s">
        <v>1735</v>
      </c>
      <c r="D769" s="263"/>
      <c r="E769" s="462" t="s">
        <v>6772</v>
      </c>
      <c r="F769" s="263"/>
      <c r="G769" s="263"/>
      <c r="H769" s="461" t="s">
        <v>6852</v>
      </c>
      <c r="I769" s="263" t="s">
        <v>6856</v>
      </c>
      <c r="J769" s="263" t="s">
        <v>6857</v>
      </c>
      <c r="K769" s="263" t="e">
        <v>#N/A</v>
      </c>
      <c r="L769" s="462" t="s">
        <v>585</v>
      </c>
    </row>
    <row r="770" spans="1:12">
      <c r="A770" s="263">
        <f t="shared" si="9"/>
        <v>769</v>
      </c>
      <c r="B770" s="464" t="s">
        <v>6609</v>
      </c>
      <c r="C770" s="461" t="s">
        <v>4421</v>
      </c>
      <c r="D770" s="263"/>
      <c r="E770" s="466" t="s">
        <v>6773</v>
      </c>
      <c r="F770" s="263"/>
      <c r="G770" s="263"/>
      <c r="H770" s="467" t="s">
        <v>6853</v>
      </c>
      <c r="I770" s="263"/>
      <c r="J770" s="263"/>
      <c r="K770" s="263" t="e">
        <v>#N/A</v>
      </c>
      <c r="L770" s="466" t="s">
        <v>6690</v>
      </c>
    </row>
    <row r="771" spans="1:12">
      <c r="A771" s="263">
        <f t="shared" ref="A771:A774" si="10">ROW()-1</f>
        <v>770</v>
      </c>
      <c r="B771" s="460" t="s">
        <v>2442</v>
      </c>
      <c r="C771" s="461" t="s">
        <v>4415</v>
      </c>
      <c r="D771" s="263"/>
      <c r="E771" s="462" t="s">
        <v>6774</v>
      </c>
      <c r="F771" s="263"/>
      <c r="G771" s="263"/>
      <c r="H771" s="461" t="s">
        <v>6853</v>
      </c>
      <c r="I771" s="263"/>
      <c r="J771" s="263"/>
      <c r="K771" s="263" t="e">
        <v>#N/A</v>
      </c>
      <c r="L771" s="462" t="s">
        <v>6691</v>
      </c>
    </row>
    <row r="772" spans="1:12">
      <c r="A772" s="263">
        <f t="shared" si="10"/>
        <v>771</v>
      </c>
      <c r="B772" s="460" t="s">
        <v>2443</v>
      </c>
      <c r="C772" s="461" t="s">
        <v>4421</v>
      </c>
      <c r="D772" s="263"/>
      <c r="E772" s="462" t="s">
        <v>6775</v>
      </c>
      <c r="F772" s="263"/>
      <c r="G772" s="263"/>
      <c r="H772" s="461" t="s">
        <v>6853</v>
      </c>
      <c r="I772" s="263"/>
      <c r="J772" s="263"/>
      <c r="K772" s="263" t="e">
        <v>#N/A</v>
      </c>
      <c r="L772" s="462" t="s">
        <v>6692</v>
      </c>
    </row>
    <row r="773" spans="1:12">
      <c r="A773" s="263">
        <f t="shared" si="10"/>
        <v>772</v>
      </c>
      <c r="B773" s="460" t="s">
        <v>2444</v>
      </c>
      <c r="C773" s="461" t="s">
        <v>4421</v>
      </c>
      <c r="D773" s="263"/>
      <c r="E773" s="462" t="s">
        <v>4193</v>
      </c>
      <c r="F773" s="263"/>
      <c r="G773" s="263"/>
      <c r="H773" s="461" t="s">
        <v>6853</v>
      </c>
      <c r="I773" s="263"/>
      <c r="J773" s="263"/>
      <c r="K773" s="263" t="e">
        <v>#N/A</v>
      </c>
      <c r="L773" s="462" t="s">
        <v>6693</v>
      </c>
    </row>
    <row r="774" spans="1:12">
      <c r="A774" s="263">
        <f t="shared" si="10"/>
        <v>773</v>
      </c>
      <c r="B774" s="460" t="s">
        <v>2445</v>
      </c>
      <c r="C774" s="461" t="s">
        <v>4415</v>
      </c>
      <c r="D774" s="263"/>
      <c r="E774" s="462" t="s">
        <v>6776</v>
      </c>
      <c r="F774" s="263"/>
      <c r="G774" s="263"/>
      <c r="H774" s="461" t="s">
        <v>6853</v>
      </c>
      <c r="I774" s="263"/>
      <c r="J774" s="263"/>
      <c r="K774" s="263" t="e">
        <v>#N/A</v>
      </c>
      <c r="L774" s="462" t="s">
        <v>6694</v>
      </c>
    </row>
  </sheetData>
  <phoneticPr fontId="2" type="noConversion"/>
  <conditionalFormatting sqref="L610 L612:L618">
    <cfRule type="duplicateValues" dxfId="25" priority="1"/>
  </conditionalFormatting>
  <conditionalFormatting sqref="L619 L621:L622">
    <cfRule type="duplicateValues" dxfId="24" priority="2"/>
  </conditionalFormatting>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O171"/>
  <sheetViews>
    <sheetView topLeftCell="A139" zoomScale="80" zoomScaleNormal="80" workbookViewId="0">
      <selection activeCell="J172" sqref="J172"/>
    </sheetView>
  </sheetViews>
  <sheetFormatPr defaultRowHeight="20.100000000000001" customHeight="1"/>
  <cols>
    <col min="1" max="1" width="5.875" style="10" customWidth="1"/>
    <col min="2" max="2" width="8" style="10" bestFit="1" customWidth="1"/>
    <col min="3" max="3" width="12.625" style="69" customWidth="1"/>
    <col min="4" max="4" width="29.875" style="187" bestFit="1" customWidth="1"/>
    <col min="5" max="5" width="11.625" style="10" customWidth="1"/>
    <col min="6" max="6" width="9" style="10"/>
    <col min="7" max="8" width="12.625" style="69" customWidth="1"/>
    <col min="9" max="9" width="23.25" style="187" customWidth="1"/>
    <col min="10" max="10" width="76" style="187" customWidth="1"/>
    <col min="11" max="11" width="37.75" style="187" customWidth="1"/>
    <col min="12" max="13" width="12.5" style="10" customWidth="1"/>
    <col min="14" max="16384" width="9" style="10"/>
  </cols>
  <sheetData>
    <row r="1" spans="1:15" s="109" customFormat="1" ht="20.100000000000001" customHeight="1">
      <c r="A1" s="108" t="s">
        <v>1899</v>
      </c>
      <c r="C1" s="110"/>
      <c r="D1" s="186"/>
      <c r="G1" s="110"/>
      <c r="H1" s="110"/>
      <c r="I1" s="186"/>
      <c r="J1" s="186"/>
      <c r="K1" s="186"/>
    </row>
    <row r="2" spans="1:15" ht="20.100000000000001" customHeight="1">
      <c r="A2" s="111" t="s">
        <v>1330</v>
      </c>
    </row>
    <row r="3" spans="1:15" s="110" customFormat="1" ht="20.100000000000001" customHeight="1">
      <c r="A3" s="112" t="s">
        <v>1900</v>
      </c>
      <c r="B3" s="113" t="s">
        <v>1901</v>
      </c>
      <c r="C3" s="112" t="s">
        <v>2816</v>
      </c>
      <c r="D3" s="113" t="s">
        <v>1902</v>
      </c>
      <c r="E3" s="113" t="s">
        <v>1903</v>
      </c>
      <c r="F3" s="112" t="s">
        <v>1904</v>
      </c>
      <c r="G3" s="183" t="s">
        <v>3098</v>
      </c>
      <c r="H3" s="183" t="s">
        <v>3091</v>
      </c>
      <c r="I3" s="112" t="s">
        <v>6240</v>
      </c>
      <c r="J3" s="112" t="s">
        <v>3101</v>
      </c>
      <c r="K3" s="112" t="s">
        <v>3094</v>
      </c>
    </row>
    <row r="4" spans="1:15" ht="20.100000000000001" customHeight="1">
      <c r="A4" s="2">
        <f>ROW()-3</f>
        <v>1</v>
      </c>
      <c r="B4" s="114" t="s">
        <v>1905</v>
      </c>
      <c r="C4" s="2"/>
      <c r="D4" s="188" t="s">
        <v>1906</v>
      </c>
      <c r="E4" s="114" t="s">
        <v>275</v>
      </c>
      <c r="F4" s="2"/>
      <c r="G4" s="184"/>
      <c r="H4" s="184"/>
      <c r="I4" s="190"/>
      <c r="J4" s="190"/>
      <c r="K4" s="3"/>
      <c r="N4" s="117"/>
      <c r="O4" s="10" t="s">
        <v>1709</v>
      </c>
    </row>
    <row r="5" spans="1:15" ht="20.100000000000001" customHeight="1">
      <c r="A5" s="2">
        <f t="shared" ref="A5:A68" si="0">ROW()-3</f>
        <v>2</v>
      </c>
      <c r="B5" s="114" t="s">
        <v>1905</v>
      </c>
      <c r="C5" s="118"/>
      <c r="D5" s="189" t="s">
        <v>1907</v>
      </c>
      <c r="E5" s="114" t="s">
        <v>275</v>
      </c>
      <c r="F5" s="118">
        <v>14</v>
      </c>
      <c r="G5" s="185"/>
      <c r="H5" s="185"/>
      <c r="I5" s="191"/>
      <c r="J5" s="191"/>
      <c r="K5" s="235"/>
      <c r="N5" s="115"/>
      <c r="O5" s="10" t="s">
        <v>1705</v>
      </c>
    </row>
    <row r="6" spans="1:15" ht="20.100000000000001" customHeight="1">
      <c r="A6" s="2">
        <f t="shared" si="0"/>
        <v>3</v>
      </c>
      <c r="B6" s="114" t="s">
        <v>1905</v>
      </c>
      <c r="C6" s="118"/>
      <c r="D6" s="189" t="s">
        <v>1908</v>
      </c>
      <c r="E6" s="114" t="s">
        <v>275</v>
      </c>
      <c r="F6" s="118">
        <v>10</v>
      </c>
      <c r="G6" s="185"/>
      <c r="H6" s="185"/>
      <c r="I6" s="191"/>
      <c r="J6" s="191"/>
      <c r="K6" s="235"/>
      <c r="N6" s="116"/>
      <c r="O6" s="10" t="s">
        <v>1707</v>
      </c>
    </row>
    <row r="7" spans="1:15" ht="20.100000000000001" customHeight="1">
      <c r="A7" s="2">
        <f t="shared" si="0"/>
        <v>4</v>
      </c>
      <c r="B7" s="114" t="s">
        <v>1905</v>
      </c>
      <c r="C7" s="118"/>
      <c r="D7" s="189" t="s">
        <v>1909</v>
      </c>
      <c r="E7" s="114" t="s">
        <v>275</v>
      </c>
      <c r="F7" s="118">
        <v>8</v>
      </c>
      <c r="G7" s="185"/>
      <c r="H7" s="185"/>
      <c r="I7" s="191"/>
      <c r="J7" s="191"/>
      <c r="K7" s="235"/>
    </row>
    <row r="8" spans="1:15" ht="20.100000000000001" customHeight="1">
      <c r="A8" s="2">
        <f t="shared" si="0"/>
        <v>5</v>
      </c>
      <c r="B8" s="114" t="s">
        <v>1703</v>
      </c>
      <c r="C8" s="118"/>
      <c r="D8" s="189" t="s">
        <v>3140</v>
      </c>
      <c r="E8" s="114" t="s">
        <v>2809</v>
      </c>
      <c r="F8" s="118">
        <v>20</v>
      </c>
      <c r="G8" s="185" t="s">
        <v>2808</v>
      </c>
      <c r="H8" s="185"/>
      <c r="I8" s="557"/>
      <c r="J8" s="191" t="s">
        <v>3096</v>
      </c>
      <c r="K8" s="235" t="s">
        <v>2814</v>
      </c>
    </row>
    <row r="9" spans="1:15" ht="20.100000000000001" customHeight="1">
      <c r="A9" s="2">
        <f t="shared" si="0"/>
        <v>6</v>
      </c>
      <c r="B9" s="114" t="s">
        <v>1703</v>
      </c>
      <c r="C9" s="118"/>
      <c r="D9" s="189" t="s">
        <v>3243</v>
      </c>
      <c r="E9" s="114" t="s">
        <v>2810</v>
      </c>
      <c r="F9" s="118">
        <v>20</v>
      </c>
      <c r="G9" s="185" t="s">
        <v>2811</v>
      </c>
      <c r="H9" s="185"/>
      <c r="I9" s="557"/>
      <c r="J9" s="191" t="s">
        <v>3097</v>
      </c>
      <c r="K9" s="235" t="s">
        <v>2815</v>
      </c>
    </row>
    <row r="10" spans="1:15" ht="20.100000000000001" customHeight="1">
      <c r="A10" s="2">
        <f t="shared" si="0"/>
        <v>7</v>
      </c>
      <c r="B10" s="114" t="s">
        <v>1905</v>
      </c>
      <c r="C10" s="419" t="s">
        <v>1911</v>
      </c>
      <c r="D10" s="358" t="s">
        <v>445</v>
      </c>
      <c r="E10" s="419" t="s">
        <v>5088</v>
      </c>
      <c r="F10" s="419" t="s">
        <v>4262</v>
      </c>
      <c r="G10" s="185" t="s">
        <v>3099</v>
      </c>
      <c r="H10" s="185"/>
      <c r="I10" s="190" t="s">
        <v>7352</v>
      </c>
      <c r="J10" s="191" t="s">
        <v>7369</v>
      </c>
      <c r="K10" s="235"/>
    </row>
    <row r="11" spans="1:15" ht="20.100000000000001" customHeight="1">
      <c r="A11" s="2">
        <f t="shared" si="0"/>
        <v>8</v>
      </c>
      <c r="B11" s="114" t="s">
        <v>1905</v>
      </c>
      <c r="C11" s="419" t="s">
        <v>1913</v>
      </c>
      <c r="D11" s="358" t="s">
        <v>1912</v>
      </c>
      <c r="E11" s="419" t="s">
        <v>52</v>
      </c>
      <c r="F11" s="419" t="s">
        <v>4262</v>
      </c>
      <c r="G11" s="184" t="s">
        <v>3099</v>
      </c>
      <c r="H11" s="184"/>
      <c r="I11" s="190" t="s">
        <v>6172</v>
      </c>
      <c r="J11" s="190"/>
      <c r="K11" s="3"/>
    </row>
    <row r="12" spans="1:15" ht="33" customHeight="1">
      <c r="A12" s="2">
        <f t="shared" si="0"/>
        <v>9</v>
      </c>
      <c r="B12" s="114" t="s">
        <v>1905</v>
      </c>
      <c r="C12" s="419" t="s">
        <v>1915</v>
      </c>
      <c r="D12" s="358" t="s">
        <v>1914</v>
      </c>
      <c r="E12" s="419" t="s">
        <v>52</v>
      </c>
      <c r="F12" s="419" t="s">
        <v>4262</v>
      </c>
      <c r="G12" s="416" t="s">
        <v>3099</v>
      </c>
      <c r="H12" s="184"/>
      <c r="I12" s="455" t="s">
        <v>6174</v>
      </c>
      <c r="J12" s="190"/>
      <c r="K12" s="3"/>
    </row>
    <row r="13" spans="1:15" ht="37.5" customHeight="1">
      <c r="A13" s="2">
        <f t="shared" si="0"/>
        <v>10</v>
      </c>
      <c r="B13" s="114" t="s">
        <v>1905</v>
      </c>
      <c r="C13" s="419" t="s">
        <v>1917</v>
      </c>
      <c r="D13" s="358" t="s">
        <v>1916</v>
      </c>
      <c r="E13" s="419" t="s">
        <v>52</v>
      </c>
      <c r="F13" s="419" t="s">
        <v>4262</v>
      </c>
      <c r="G13" s="416" t="s">
        <v>3099</v>
      </c>
      <c r="H13" s="184"/>
      <c r="I13" s="455" t="s">
        <v>6175</v>
      </c>
      <c r="J13" s="190"/>
      <c r="K13" s="3"/>
    </row>
    <row r="14" spans="1:15" ht="20.100000000000001" customHeight="1">
      <c r="A14" s="416">
        <f t="shared" si="0"/>
        <v>11</v>
      </c>
      <c r="B14" s="453" t="s">
        <v>1905</v>
      </c>
      <c r="C14" s="419" t="s">
        <v>1919</v>
      </c>
      <c r="D14" s="358" t="s">
        <v>1918</v>
      </c>
      <c r="E14" s="419" t="s">
        <v>5088</v>
      </c>
      <c r="F14" s="419" t="s">
        <v>4262</v>
      </c>
      <c r="G14" s="416" t="s">
        <v>3099</v>
      </c>
      <c r="H14" s="416"/>
      <c r="I14" s="417" t="s">
        <v>6176</v>
      </c>
      <c r="J14" s="417" t="s">
        <v>6177</v>
      </c>
      <c r="K14" s="417"/>
    </row>
    <row r="15" spans="1:15" ht="20.100000000000001" customHeight="1">
      <c r="A15" s="416">
        <f t="shared" si="0"/>
        <v>12</v>
      </c>
      <c r="B15" s="453" t="s">
        <v>1905</v>
      </c>
      <c r="C15" s="419" t="s">
        <v>1921</v>
      </c>
      <c r="D15" s="358" t="s">
        <v>1920</v>
      </c>
      <c r="E15" s="419" t="s">
        <v>52</v>
      </c>
      <c r="F15" s="419" t="s">
        <v>4262</v>
      </c>
      <c r="G15" s="416" t="s">
        <v>3099</v>
      </c>
      <c r="H15" s="416"/>
      <c r="I15" s="417" t="s">
        <v>6178</v>
      </c>
      <c r="J15" s="417"/>
      <c r="K15" s="417"/>
    </row>
    <row r="16" spans="1:15" ht="20.100000000000001" customHeight="1">
      <c r="A16" s="416">
        <f t="shared" si="0"/>
        <v>13</v>
      </c>
      <c r="B16" s="453" t="s">
        <v>1905</v>
      </c>
      <c r="C16" s="419" t="s">
        <v>1923</v>
      </c>
      <c r="D16" s="358" t="s">
        <v>1922</v>
      </c>
      <c r="E16" s="419" t="s">
        <v>52</v>
      </c>
      <c r="F16" s="419" t="s">
        <v>4262</v>
      </c>
      <c r="G16" s="416" t="s">
        <v>3099</v>
      </c>
      <c r="H16" s="416"/>
      <c r="I16" s="417" t="s">
        <v>6179</v>
      </c>
      <c r="J16" s="417"/>
      <c r="K16" s="417"/>
    </row>
    <row r="17" spans="1:11" ht="20.100000000000001" customHeight="1">
      <c r="A17" s="416">
        <f t="shared" si="0"/>
        <v>14</v>
      </c>
      <c r="B17" s="453" t="s">
        <v>1905</v>
      </c>
      <c r="C17" s="419" t="s">
        <v>1925</v>
      </c>
      <c r="D17" s="358" t="s">
        <v>1924</v>
      </c>
      <c r="E17" s="419" t="s">
        <v>52</v>
      </c>
      <c r="F17" s="419" t="s">
        <v>4262</v>
      </c>
      <c r="G17" s="416" t="s">
        <v>3099</v>
      </c>
      <c r="H17" s="416"/>
      <c r="I17" s="417" t="s">
        <v>6180</v>
      </c>
      <c r="J17" s="417"/>
      <c r="K17" s="417"/>
    </row>
    <row r="18" spans="1:11" ht="20.100000000000001" customHeight="1">
      <c r="A18" s="416">
        <f t="shared" si="0"/>
        <v>15</v>
      </c>
      <c r="B18" s="453" t="s">
        <v>3244</v>
      </c>
      <c r="C18" s="419" t="s">
        <v>1927</v>
      </c>
      <c r="D18" s="358" t="s">
        <v>1926</v>
      </c>
      <c r="E18" s="419" t="s">
        <v>52</v>
      </c>
      <c r="F18" s="419" t="s">
        <v>4262</v>
      </c>
      <c r="G18" s="416" t="s">
        <v>3099</v>
      </c>
      <c r="H18" s="416"/>
      <c r="I18" s="417" t="s">
        <v>6181</v>
      </c>
      <c r="J18" s="417" t="s">
        <v>3103</v>
      </c>
      <c r="K18" s="417" t="s">
        <v>1928</v>
      </c>
    </row>
    <row r="19" spans="1:11" ht="20.100000000000001" customHeight="1">
      <c r="A19" s="416">
        <f t="shared" si="0"/>
        <v>16</v>
      </c>
      <c r="B19" s="453" t="s">
        <v>3244</v>
      </c>
      <c r="C19" s="419" t="s">
        <v>1930</v>
      </c>
      <c r="D19" s="358" t="s">
        <v>1929</v>
      </c>
      <c r="E19" s="419" t="s">
        <v>52</v>
      </c>
      <c r="F19" s="419" t="s">
        <v>4262</v>
      </c>
      <c r="G19" s="416" t="s">
        <v>3099</v>
      </c>
      <c r="H19" s="416"/>
      <c r="I19" s="417" t="s">
        <v>1929</v>
      </c>
      <c r="J19" s="417"/>
      <c r="K19" s="417"/>
    </row>
    <row r="20" spans="1:11" ht="20.100000000000001" customHeight="1">
      <c r="A20" s="416">
        <f t="shared" si="0"/>
        <v>17</v>
      </c>
      <c r="B20" s="453" t="s">
        <v>3244</v>
      </c>
      <c r="C20" s="419" t="s">
        <v>1932</v>
      </c>
      <c r="D20" s="358" t="s">
        <v>1931</v>
      </c>
      <c r="E20" s="419" t="s">
        <v>52</v>
      </c>
      <c r="F20" s="419" t="s">
        <v>4262</v>
      </c>
      <c r="G20" s="416" t="s">
        <v>3099</v>
      </c>
      <c r="H20" s="416"/>
      <c r="I20" s="417" t="s">
        <v>14</v>
      </c>
      <c r="J20" s="417"/>
      <c r="K20" s="417"/>
    </row>
    <row r="21" spans="1:11" ht="20.100000000000001" customHeight="1">
      <c r="A21" s="416">
        <f t="shared" si="0"/>
        <v>18</v>
      </c>
      <c r="B21" s="453" t="s">
        <v>3244</v>
      </c>
      <c r="C21" s="419" t="s">
        <v>1934</v>
      </c>
      <c r="D21" s="358" t="s">
        <v>1933</v>
      </c>
      <c r="E21" s="419" t="s">
        <v>52</v>
      </c>
      <c r="F21" s="419" t="s">
        <v>4262</v>
      </c>
      <c r="G21" s="416" t="s">
        <v>3099</v>
      </c>
      <c r="H21" s="416"/>
      <c r="I21" s="417" t="s">
        <v>6182</v>
      </c>
      <c r="J21" s="417"/>
      <c r="K21" s="417"/>
    </row>
    <row r="22" spans="1:11" ht="20.100000000000001" customHeight="1">
      <c r="A22" s="416">
        <f t="shared" si="0"/>
        <v>19</v>
      </c>
      <c r="B22" s="453" t="s">
        <v>3244</v>
      </c>
      <c r="C22" s="419" t="s">
        <v>1936</v>
      </c>
      <c r="D22" s="358" t="s">
        <v>1935</v>
      </c>
      <c r="E22" s="419" t="s">
        <v>5088</v>
      </c>
      <c r="F22" s="419" t="s">
        <v>4262</v>
      </c>
      <c r="G22" s="416" t="s">
        <v>3099</v>
      </c>
      <c r="H22" s="416"/>
      <c r="I22" s="417" t="s">
        <v>3532</v>
      </c>
      <c r="J22" s="417"/>
      <c r="K22" s="417"/>
    </row>
    <row r="23" spans="1:11" ht="20.100000000000001" customHeight="1">
      <c r="A23" s="416">
        <f t="shared" si="0"/>
        <v>20</v>
      </c>
      <c r="B23" s="453" t="s">
        <v>3244</v>
      </c>
      <c r="C23" s="419" t="s">
        <v>1938</v>
      </c>
      <c r="D23" s="358" t="s">
        <v>1937</v>
      </c>
      <c r="E23" s="419" t="s">
        <v>52</v>
      </c>
      <c r="F23" s="419" t="s">
        <v>4262</v>
      </c>
      <c r="G23" s="416" t="s">
        <v>3099</v>
      </c>
      <c r="H23" s="416"/>
      <c r="I23" s="417" t="s">
        <v>6183</v>
      </c>
      <c r="J23" s="417"/>
      <c r="K23" s="417"/>
    </row>
    <row r="24" spans="1:11" ht="20.100000000000001" customHeight="1">
      <c r="A24" s="416">
        <f t="shared" si="0"/>
        <v>21</v>
      </c>
      <c r="B24" s="453" t="s">
        <v>3244</v>
      </c>
      <c r="C24" s="419" t="s">
        <v>1940</v>
      </c>
      <c r="D24" s="358" t="s">
        <v>1939</v>
      </c>
      <c r="E24" s="419" t="s">
        <v>52</v>
      </c>
      <c r="F24" s="419" t="s">
        <v>4262</v>
      </c>
      <c r="G24" s="416" t="s">
        <v>3099</v>
      </c>
      <c r="H24" s="416"/>
      <c r="I24" s="417" t="s">
        <v>6184</v>
      </c>
      <c r="J24" s="417"/>
      <c r="K24" s="417"/>
    </row>
    <row r="25" spans="1:11" ht="20.100000000000001" customHeight="1">
      <c r="A25" s="416">
        <f t="shared" si="0"/>
        <v>22</v>
      </c>
      <c r="B25" s="453" t="s">
        <v>3244</v>
      </c>
      <c r="C25" s="419" t="s">
        <v>1941</v>
      </c>
      <c r="D25" s="358" t="s">
        <v>54</v>
      </c>
      <c r="E25" s="419" t="s">
        <v>54</v>
      </c>
      <c r="F25" s="419" t="s">
        <v>54</v>
      </c>
      <c r="G25" s="416" t="s">
        <v>3099</v>
      </c>
      <c r="H25" s="416"/>
      <c r="I25" s="417" t="s">
        <v>6185</v>
      </c>
      <c r="J25" s="417"/>
      <c r="K25" s="417"/>
    </row>
    <row r="26" spans="1:11" ht="20.100000000000001" customHeight="1">
      <c r="A26" s="416">
        <f t="shared" si="0"/>
        <v>23</v>
      </c>
      <c r="B26" s="453" t="s">
        <v>3244</v>
      </c>
      <c r="C26" s="419" t="s">
        <v>1943</v>
      </c>
      <c r="D26" s="358" t="s">
        <v>1942</v>
      </c>
      <c r="E26" s="419" t="s">
        <v>52</v>
      </c>
      <c r="F26" s="419" t="s">
        <v>4262</v>
      </c>
      <c r="G26" s="416" t="s">
        <v>3099</v>
      </c>
      <c r="H26" s="416"/>
      <c r="I26" s="417" t="s">
        <v>196</v>
      </c>
      <c r="J26" s="417"/>
      <c r="K26" s="417"/>
    </row>
    <row r="27" spans="1:11" ht="20.100000000000001" customHeight="1">
      <c r="A27" s="416">
        <f t="shared" si="0"/>
        <v>24</v>
      </c>
      <c r="B27" s="453" t="s">
        <v>3244</v>
      </c>
      <c r="C27" s="419" t="s">
        <v>1945</v>
      </c>
      <c r="D27" s="358" t="s">
        <v>1944</v>
      </c>
      <c r="E27" s="419" t="s">
        <v>52</v>
      </c>
      <c r="F27" s="419" t="s">
        <v>4262</v>
      </c>
      <c r="G27" s="416" t="s">
        <v>3099</v>
      </c>
      <c r="H27" s="416"/>
      <c r="I27" s="417" t="s">
        <v>6186</v>
      </c>
      <c r="J27" s="417"/>
      <c r="K27" s="417"/>
    </row>
    <row r="28" spans="1:11" ht="20.100000000000001" customHeight="1">
      <c r="A28" s="416">
        <f t="shared" si="0"/>
        <v>25</v>
      </c>
      <c r="B28" s="453" t="s">
        <v>3244</v>
      </c>
      <c r="C28" s="419" t="s">
        <v>1947</v>
      </c>
      <c r="D28" s="358" t="s">
        <v>1946</v>
      </c>
      <c r="E28" s="419" t="s">
        <v>52</v>
      </c>
      <c r="F28" s="419" t="s">
        <v>4262</v>
      </c>
      <c r="G28" s="416" t="s">
        <v>3099</v>
      </c>
      <c r="H28" s="416"/>
      <c r="I28" s="417" t="s">
        <v>6187</v>
      </c>
      <c r="J28" s="417"/>
      <c r="K28" s="417"/>
    </row>
    <row r="29" spans="1:11" ht="20.100000000000001" customHeight="1">
      <c r="A29" s="416">
        <f t="shared" si="0"/>
        <v>26</v>
      </c>
      <c r="B29" s="453" t="s">
        <v>3244</v>
      </c>
      <c r="C29" s="419" t="s">
        <v>1949</v>
      </c>
      <c r="D29" s="358" t="s">
        <v>1948</v>
      </c>
      <c r="E29" s="419" t="s">
        <v>52</v>
      </c>
      <c r="F29" s="419" t="s">
        <v>4262</v>
      </c>
      <c r="G29" s="416" t="s">
        <v>3099</v>
      </c>
      <c r="H29" s="416"/>
      <c r="I29" s="417" t="s">
        <v>1948</v>
      </c>
      <c r="J29" s="417"/>
      <c r="K29" s="417"/>
    </row>
    <row r="30" spans="1:11" ht="20.100000000000001" customHeight="1">
      <c r="A30" s="416">
        <f t="shared" si="0"/>
        <v>27</v>
      </c>
      <c r="B30" s="453" t="s">
        <v>3244</v>
      </c>
      <c r="C30" s="419" t="s">
        <v>1951</v>
      </c>
      <c r="D30" s="358" t="s">
        <v>1950</v>
      </c>
      <c r="E30" s="419" t="s">
        <v>52</v>
      </c>
      <c r="F30" s="419" t="s">
        <v>4262</v>
      </c>
      <c r="G30" s="416" t="s">
        <v>3099</v>
      </c>
      <c r="H30" s="416"/>
      <c r="I30" s="417" t="s">
        <v>6173</v>
      </c>
      <c r="J30" s="417" t="s">
        <v>3103</v>
      </c>
      <c r="K30" s="417" t="s">
        <v>1928</v>
      </c>
    </row>
    <row r="31" spans="1:11" ht="20.100000000000001" customHeight="1">
      <c r="A31" s="416">
        <f t="shared" si="0"/>
        <v>28</v>
      </c>
      <c r="B31" s="453" t="s">
        <v>3244</v>
      </c>
      <c r="C31" s="419" t="s">
        <v>1953</v>
      </c>
      <c r="D31" s="358" t="s">
        <v>1952</v>
      </c>
      <c r="E31" s="419" t="s">
        <v>5088</v>
      </c>
      <c r="F31" s="419" t="s">
        <v>4262</v>
      </c>
      <c r="G31" s="416" t="s">
        <v>3099</v>
      </c>
      <c r="H31" s="416"/>
      <c r="I31" s="417" t="s">
        <v>1952</v>
      </c>
      <c r="J31" s="417" t="s">
        <v>3103</v>
      </c>
      <c r="K31" s="417" t="s">
        <v>1928</v>
      </c>
    </row>
    <row r="32" spans="1:11" ht="33.75" customHeight="1">
      <c r="A32" s="416">
        <f t="shared" si="0"/>
        <v>29</v>
      </c>
      <c r="B32" s="453" t="s">
        <v>3244</v>
      </c>
      <c r="C32" s="419" t="s">
        <v>1955</v>
      </c>
      <c r="D32" s="358" t="s">
        <v>1954</v>
      </c>
      <c r="E32" s="419" t="s">
        <v>5088</v>
      </c>
      <c r="F32" s="419" t="s">
        <v>4262</v>
      </c>
      <c r="G32" s="416" t="s">
        <v>3099</v>
      </c>
      <c r="H32" s="416"/>
      <c r="I32" s="454" t="s">
        <v>6188</v>
      </c>
      <c r="J32" s="417"/>
      <c r="K32" s="417"/>
    </row>
    <row r="33" spans="1:11" ht="20.100000000000001" customHeight="1">
      <c r="A33" s="416">
        <f t="shared" si="0"/>
        <v>30</v>
      </c>
      <c r="B33" s="453" t="s">
        <v>3244</v>
      </c>
      <c r="C33" s="419" t="s">
        <v>1957</v>
      </c>
      <c r="D33" s="358" t="s">
        <v>1956</v>
      </c>
      <c r="E33" s="419" t="s">
        <v>5088</v>
      </c>
      <c r="F33" s="419" t="s">
        <v>4262</v>
      </c>
      <c r="G33" s="416" t="s">
        <v>3099</v>
      </c>
      <c r="H33" s="416"/>
      <c r="I33" s="417" t="s">
        <v>1956</v>
      </c>
      <c r="J33" s="417"/>
      <c r="K33" s="417"/>
    </row>
    <row r="34" spans="1:11" ht="20.100000000000001" customHeight="1">
      <c r="A34" s="416">
        <f t="shared" si="0"/>
        <v>31</v>
      </c>
      <c r="B34" s="453" t="s">
        <v>3244</v>
      </c>
      <c r="C34" s="419" t="s">
        <v>1959</v>
      </c>
      <c r="D34" s="358" t="s">
        <v>1958</v>
      </c>
      <c r="E34" s="419" t="s">
        <v>52</v>
      </c>
      <c r="F34" s="419" t="s">
        <v>4262</v>
      </c>
      <c r="G34" s="416" t="s">
        <v>3099</v>
      </c>
      <c r="H34" s="416"/>
      <c r="I34" s="417" t="s">
        <v>1969</v>
      </c>
      <c r="J34" s="417"/>
      <c r="K34" s="417"/>
    </row>
    <row r="35" spans="1:11" ht="20.100000000000001" customHeight="1">
      <c r="A35" s="416">
        <f t="shared" si="0"/>
        <v>32</v>
      </c>
      <c r="B35" s="453" t="s">
        <v>3244</v>
      </c>
      <c r="C35" s="419" t="s">
        <v>1961</v>
      </c>
      <c r="D35" s="358" t="s">
        <v>1960</v>
      </c>
      <c r="E35" s="419" t="s">
        <v>52</v>
      </c>
      <c r="F35" s="419" t="s">
        <v>4262</v>
      </c>
      <c r="G35" s="416" t="s">
        <v>3099</v>
      </c>
      <c r="H35" s="416"/>
      <c r="I35" s="417" t="s">
        <v>6189</v>
      </c>
      <c r="J35" s="417"/>
      <c r="K35" s="417"/>
    </row>
    <row r="36" spans="1:11" ht="20.100000000000001" customHeight="1">
      <c r="A36" s="416">
        <f t="shared" si="0"/>
        <v>33</v>
      </c>
      <c r="B36" s="453" t="s">
        <v>3244</v>
      </c>
      <c r="C36" s="419" t="s">
        <v>1963</v>
      </c>
      <c r="D36" s="358" t="s">
        <v>1962</v>
      </c>
      <c r="E36" s="419" t="s">
        <v>52</v>
      </c>
      <c r="F36" s="419" t="s">
        <v>4262</v>
      </c>
      <c r="G36" s="416" t="s">
        <v>3099</v>
      </c>
      <c r="H36" s="416"/>
      <c r="I36" s="417" t="s">
        <v>6190</v>
      </c>
      <c r="J36" s="417" t="s">
        <v>3103</v>
      </c>
      <c r="K36" s="417" t="s">
        <v>1928</v>
      </c>
    </row>
    <row r="37" spans="1:11" ht="20.100000000000001" customHeight="1">
      <c r="A37" s="416">
        <f t="shared" si="0"/>
        <v>34</v>
      </c>
      <c r="B37" s="453" t="s">
        <v>3244</v>
      </c>
      <c r="C37" s="419" t="s">
        <v>1965</v>
      </c>
      <c r="D37" s="358" t="s">
        <v>1964</v>
      </c>
      <c r="E37" s="419" t="s">
        <v>52</v>
      </c>
      <c r="F37" s="419" t="s">
        <v>4262</v>
      </c>
      <c r="G37" s="416" t="s">
        <v>3099</v>
      </c>
      <c r="H37" s="416"/>
      <c r="I37" s="417" t="s">
        <v>1964</v>
      </c>
      <c r="J37" s="417"/>
      <c r="K37" s="417"/>
    </row>
    <row r="38" spans="1:11" ht="20.100000000000001" customHeight="1">
      <c r="A38" s="416">
        <f t="shared" si="0"/>
        <v>35</v>
      </c>
      <c r="B38" s="453" t="s">
        <v>3244</v>
      </c>
      <c r="C38" s="419" t="s">
        <v>1515</v>
      </c>
      <c r="D38" s="358" t="s">
        <v>1966</v>
      </c>
      <c r="E38" s="419" t="s">
        <v>52</v>
      </c>
      <c r="F38" s="419" t="s">
        <v>4262</v>
      </c>
      <c r="G38" s="416" t="s">
        <v>3099</v>
      </c>
      <c r="H38" s="416"/>
      <c r="I38" s="417" t="s">
        <v>6191</v>
      </c>
      <c r="J38" s="417"/>
      <c r="K38" s="417"/>
    </row>
    <row r="39" spans="1:11" ht="20.100000000000001" customHeight="1">
      <c r="A39" s="416">
        <f t="shared" si="0"/>
        <v>36</v>
      </c>
      <c r="B39" s="453" t="s">
        <v>3244</v>
      </c>
      <c r="C39" s="419" t="s">
        <v>1968</v>
      </c>
      <c r="D39" s="358" t="s">
        <v>1967</v>
      </c>
      <c r="E39" s="419" t="s">
        <v>5088</v>
      </c>
      <c r="F39" s="419" t="s">
        <v>4262</v>
      </c>
      <c r="G39" s="416" t="s">
        <v>3099</v>
      </c>
      <c r="H39" s="416"/>
      <c r="I39" s="417" t="s">
        <v>6192</v>
      </c>
      <c r="J39" s="417"/>
      <c r="K39" s="417"/>
    </row>
    <row r="40" spans="1:11" ht="20.100000000000001" customHeight="1">
      <c r="A40" s="416">
        <f t="shared" si="0"/>
        <v>37</v>
      </c>
      <c r="B40" s="453" t="s">
        <v>3244</v>
      </c>
      <c r="C40" s="419" t="s">
        <v>1970</v>
      </c>
      <c r="D40" s="358" t="s">
        <v>1969</v>
      </c>
      <c r="E40" s="419" t="s">
        <v>52</v>
      </c>
      <c r="F40" s="419" t="s">
        <v>4262</v>
      </c>
      <c r="G40" s="416" t="s">
        <v>3099</v>
      </c>
      <c r="H40" s="416"/>
      <c r="I40" s="417" t="s">
        <v>6193</v>
      </c>
      <c r="J40" s="417"/>
      <c r="K40" s="417"/>
    </row>
    <row r="41" spans="1:11" ht="20.100000000000001" customHeight="1">
      <c r="A41" s="416">
        <f t="shared" si="0"/>
        <v>38</v>
      </c>
      <c r="B41" s="453" t="s">
        <v>3244</v>
      </c>
      <c r="C41" s="419" t="s">
        <v>1972</v>
      </c>
      <c r="D41" s="358" t="s">
        <v>1971</v>
      </c>
      <c r="E41" s="419" t="s">
        <v>52</v>
      </c>
      <c r="F41" s="419" t="s">
        <v>4262</v>
      </c>
      <c r="G41" s="416" t="s">
        <v>3099</v>
      </c>
      <c r="H41" s="416"/>
      <c r="I41" s="417" t="s">
        <v>6194</v>
      </c>
      <c r="J41" s="417"/>
      <c r="K41" s="417"/>
    </row>
    <row r="42" spans="1:11" ht="20.100000000000001" customHeight="1">
      <c r="A42" s="416">
        <f t="shared" si="0"/>
        <v>39</v>
      </c>
      <c r="B42" s="453" t="s">
        <v>3244</v>
      </c>
      <c r="C42" s="419" t="s">
        <v>1974</v>
      </c>
      <c r="D42" s="358" t="s">
        <v>1973</v>
      </c>
      <c r="E42" s="419" t="s">
        <v>52</v>
      </c>
      <c r="F42" s="419" t="s">
        <v>4262</v>
      </c>
      <c r="G42" s="416" t="s">
        <v>3099</v>
      </c>
      <c r="H42" s="416"/>
      <c r="I42" s="190" t="s">
        <v>7352</v>
      </c>
      <c r="J42" s="417"/>
      <c r="K42" s="417"/>
    </row>
    <row r="43" spans="1:11" ht="20.100000000000001" customHeight="1">
      <c r="A43" s="416">
        <f t="shared" si="0"/>
        <v>40</v>
      </c>
      <c r="B43" s="453" t="s">
        <v>1905</v>
      </c>
      <c r="C43" s="419" t="s">
        <v>1976</v>
      </c>
      <c r="D43" s="358" t="s">
        <v>1975</v>
      </c>
      <c r="E43" s="419" t="s">
        <v>52</v>
      </c>
      <c r="F43" s="419" t="s">
        <v>4262</v>
      </c>
      <c r="G43" s="416" t="s">
        <v>3099</v>
      </c>
      <c r="H43" s="416"/>
      <c r="I43" s="190" t="s">
        <v>7352</v>
      </c>
      <c r="J43" s="417"/>
      <c r="K43" s="417"/>
    </row>
    <row r="44" spans="1:11" ht="20.100000000000001" customHeight="1">
      <c r="A44" s="416">
        <f t="shared" si="0"/>
        <v>41</v>
      </c>
      <c r="B44" s="453" t="s">
        <v>1905</v>
      </c>
      <c r="C44" s="419" t="s">
        <v>1978</v>
      </c>
      <c r="D44" s="358" t="s">
        <v>1977</v>
      </c>
      <c r="E44" s="419" t="s">
        <v>52</v>
      </c>
      <c r="F44" s="419" t="s">
        <v>4262</v>
      </c>
      <c r="G44" s="416" t="s">
        <v>3099</v>
      </c>
      <c r="H44" s="416"/>
      <c r="I44" s="190" t="s">
        <v>7352</v>
      </c>
      <c r="J44" s="417"/>
      <c r="K44" s="417"/>
    </row>
    <row r="45" spans="1:11" ht="20.100000000000001" customHeight="1">
      <c r="A45" s="416">
        <f t="shared" si="0"/>
        <v>42</v>
      </c>
      <c r="B45" s="453" t="s">
        <v>1905</v>
      </c>
      <c r="C45" s="419" t="s">
        <v>1980</v>
      </c>
      <c r="D45" s="358" t="s">
        <v>1979</v>
      </c>
      <c r="E45" s="419" t="s">
        <v>52</v>
      </c>
      <c r="F45" s="419" t="s">
        <v>4262</v>
      </c>
      <c r="G45" s="416" t="s">
        <v>3099</v>
      </c>
      <c r="H45" s="416"/>
      <c r="I45" s="190" t="s">
        <v>7352</v>
      </c>
      <c r="J45" s="417"/>
      <c r="K45" s="417"/>
    </row>
    <row r="46" spans="1:11" ht="20.100000000000001" customHeight="1">
      <c r="A46" s="416">
        <f t="shared" si="0"/>
        <v>43</v>
      </c>
      <c r="B46" s="453" t="s">
        <v>1905</v>
      </c>
      <c r="C46" s="419" t="s">
        <v>1982</v>
      </c>
      <c r="D46" s="358" t="s">
        <v>1981</v>
      </c>
      <c r="E46" s="419" t="s">
        <v>5088</v>
      </c>
      <c r="F46" s="419" t="s">
        <v>4262</v>
      </c>
      <c r="G46" s="416" t="s">
        <v>3099</v>
      </c>
      <c r="H46" s="416"/>
      <c r="I46" s="190" t="s">
        <v>7352</v>
      </c>
      <c r="J46" s="417"/>
      <c r="K46" s="417"/>
    </row>
    <row r="47" spans="1:11" ht="20.100000000000001" customHeight="1">
      <c r="A47" s="416">
        <f t="shared" si="0"/>
        <v>44</v>
      </c>
      <c r="B47" s="453" t="s">
        <v>1905</v>
      </c>
      <c r="C47" s="419" t="s">
        <v>1984</v>
      </c>
      <c r="D47" s="358" t="s">
        <v>1983</v>
      </c>
      <c r="E47" s="419" t="s">
        <v>52</v>
      </c>
      <c r="F47" s="419" t="s">
        <v>4262</v>
      </c>
      <c r="G47" s="416" t="s">
        <v>3099</v>
      </c>
      <c r="H47" s="416"/>
      <c r="I47" s="417" t="s">
        <v>3565</v>
      </c>
      <c r="J47" s="417"/>
      <c r="K47" s="417"/>
    </row>
    <row r="48" spans="1:11" ht="20.100000000000001" customHeight="1">
      <c r="A48" s="416">
        <f t="shared" si="0"/>
        <v>45</v>
      </c>
      <c r="B48" s="453" t="s">
        <v>1905</v>
      </c>
      <c r="C48" s="419" t="s">
        <v>1986</v>
      </c>
      <c r="D48" s="358" t="s">
        <v>1985</v>
      </c>
      <c r="E48" s="419" t="s">
        <v>5088</v>
      </c>
      <c r="F48" s="419" t="s">
        <v>4262</v>
      </c>
      <c r="G48" s="416" t="s">
        <v>3099</v>
      </c>
      <c r="H48" s="416"/>
      <c r="I48" s="417" t="s">
        <v>6195</v>
      </c>
      <c r="J48" s="417"/>
      <c r="K48" s="417"/>
    </row>
    <row r="49" spans="1:11" ht="20.100000000000001" customHeight="1">
      <c r="A49" s="416">
        <f t="shared" si="0"/>
        <v>46</v>
      </c>
      <c r="B49" s="453" t="s">
        <v>1905</v>
      </c>
      <c r="C49" s="419" t="s">
        <v>1988</v>
      </c>
      <c r="D49" s="358" t="s">
        <v>1987</v>
      </c>
      <c r="E49" s="419" t="s">
        <v>5088</v>
      </c>
      <c r="F49" s="419" t="s">
        <v>4262</v>
      </c>
      <c r="G49" s="416" t="s">
        <v>3099</v>
      </c>
      <c r="H49" s="416"/>
      <c r="I49" s="417" t="s">
        <v>3576</v>
      </c>
      <c r="J49" s="417"/>
      <c r="K49" s="417"/>
    </row>
    <row r="50" spans="1:11" ht="20.100000000000001" customHeight="1">
      <c r="A50" s="416">
        <f t="shared" si="0"/>
        <v>47</v>
      </c>
      <c r="B50" s="453" t="s">
        <v>1905</v>
      </c>
      <c r="C50" s="419" t="s">
        <v>1990</v>
      </c>
      <c r="D50" s="358" t="s">
        <v>1989</v>
      </c>
      <c r="E50" s="419" t="s">
        <v>5088</v>
      </c>
      <c r="F50" s="419" t="s">
        <v>4262</v>
      </c>
      <c r="G50" s="416" t="s">
        <v>3099</v>
      </c>
      <c r="H50" s="416"/>
      <c r="I50" s="417" t="s">
        <v>6196</v>
      </c>
      <c r="J50" s="417"/>
      <c r="K50" s="417"/>
    </row>
    <row r="51" spans="1:11" ht="20.100000000000001" customHeight="1">
      <c r="A51" s="416">
        <f t="shared" si="0"/>
        <v>48</v>
      </c>
      <c r="B51" s="453" t="s">
        <v>1703</v>
      </c>
      <c r="C51" s="419" t="s">
        <v>5006</v>
      </c>
      <c r="D51" s="358" t="s">
        <v>5211</v>
      </c>
      <c r="E51" s="419" t="s">
        <v>52</v>
      </c>
      <c r="F51" s="419" t="s">
        <v>4262</v>
      </c>
      <c r="G51" s="416" t="s">
        <v>3099</v>
      </c>
      <c r="H51" s="416"/>
      <c r="I51" s="417" t="s">
        <v>6197</v>
      </c>
      <c r="J51" s="417"/>
      <c r="K51" s="417" t="s">
        <v>1991</v>
      </c>
    </row>
    <row r="52" spans="1:11" ht="20.100000000000001" customHeight="1">
      <c r="A52" s="416">
        <f t="shared" si="0"/>
        <v>49</v>
      </c>
      <c r="B52" s="453" t="s">
        <v>3245</v>
      </c>
      <c r="C52" s="419" t="s">
        <v>5007</v>
      </c>
      <c r="D52" s="358" t="s">
        <v>5212</v>
      </c>
      <c r="E52" s="419" t="s">
        <v>52</v>
      </c>
      <c r="F52" s="419" t="s">
        <v>4262</v>
      </c>
      <c r="G52" s="416" t="s">
        <v>3099</v>
      </c>
      <c r="H52" s="416"/>
      <c r="I52" s="417" t="s">
        <v>6198</v>
      </c>
      <c r="J52" s="417"/>
      <c r="K52" s="417" t="s">
        <v>1991</v>
      </c>
    </row>
    <row r="53" spans="1:11" ht="20.100000000000001" customHeight="1">
      <c r="A53" s="416">
        <f t="shared" si="0"/>
        <v>50</v>
      </c>
      <c r="B53" s="453" t="s">
        <v>3244</v>
      </c>
      <c r="C53" s="419" t="s">
        <v>5008</v>
      </c>
      <c r="D53" s="358" t="s">
        <v>5213</v>
      </c>
      <c r="E53" s="419" t="s">
        <v>52</v>
      </c>
      <c r="F53" s="419" t="s">
        <v>4262</v>
      </c>
      <c r="G53" s="416" t="s">
        <v>3099</v>
      </c>
      <c r="H53" s="416"/>
      <c r="I53" s="417" t="s">
        <v>6199</v>
      </c>
      <c r="J53" s="417"/>
      <c r="K53" s="417" t="s">
        <v>1991</v>
      </c>
    </row>
    <row r="54" spans="1:11" ht="20.100000000000001" customHeight="1">
      <c r="A54" s="416">
        <f t="shared" si="0"/>
        <v>51</v>
      </c>
      <c r="B54" s="453" t="s">
        <v>1905</v>
      </c>
      <c r="C54" s="456" t="s">
        <v>4244</v>
      </c>
      <c r="D54" s="457" t="s">
        <v>5214</v>
      </c>
      <c r="E54" s="456" t="s">
        <v>52</v>
      </c>
      <c r="F54" s="456" t="s">
        <v>4262</v>
      </c>
      <c r="G54" s="416" t="s">
        <v>3099</v>
      </c>
      <c r="H54" s="416"/>
      <c r="I54" s="190" t="s">
        <v>7352</v>
      </c>
      <c r="J54" s="417" t="s">
        <v>3102</v>
      </c>
      <c r="K54" s="458" t="s">
        <v>1991</v>
      </c>
    </row>
    <row r="55" spans="1:11" ht="20.100000000000001" customHeight="1">
      <c r="A55" s="416">
        <f t="shared" si="0"/>
        <v>52</v>
      </c>
      <c r="B55" s="453" t="s">
        <v>1905</v>
      </c>
      <c r="C55" s="456" t="s">
        <v>4245</v>
      </c>
      <c r="D55" s="457" t="s">
        <v>5215</v>
      </c>
      <c r="E55" s="456" t="s">
        <v>52</v>
      </c>
      <c r="F55" s="456" t="s">
        <v>4262</v>
      </c>
      <c r="G55" s="416" t="s">
        <v>3099</v>
      </c>
      <c r="H55" s="416"/>
      <c r="I55" s="190" t="s">
        <v>7352</v>
      </c>
      <c r="J55" s="417" t="s">
        <v>3102</v>
      </c>
      <c r="K55" s="458" t="s">
        <v>1991</v>
      </c>
    </row>
    <row r="56" spans="1:11" ht="20.100000000000001" customHeight="1">
      <c r="A56" s="416">
        <f t="shared" si="0"/>
        <v>53</v>
      </c>
      <c r="B56" s="453" t="s">
        <v>1703</v>
      </c>
      <c r="C56" s="456" t="s">
        <v>2812</v>
      </c>
      <c r="D56" s="457" t="s">
        <v>2801</v>
      </c>
      <c r="E56" s="456" t="s">
        <v>4258</v>
      </c>
      <c r="F56" s="456" t="s">
        <v>4264</v>
      </c>
      <c r="G56" s="416" t="s">
        <v>3099</v>
      </c>
      <c r="H56" s="416"/>
      <c r="I56" s="417" t="s">
        <v>7366</v>
      </c>
      <c r="J56" s="417" t="s">
        <v>3102</v>
      </c>
      <c r="K56" s="458" t="s">
        <v>2813</v>
      </c>
    </row>
    <row r="57" spans="1:11" ht="20.100000000000001" customHeight="1">
      <c r="A57" s="416">
        <f t="shared" si="0"/>
        <v>54</v>
      </c>
      <c r="B57" s="453" t="s">
        <v>1703</v>
      </c>
      <c r="C57" s="456" t="s">
        <v>2026</v>
      </c>
      <c r="D57" s="457" t="s">
        <v>5216</v>
      </c>
      <c r="E57" s="456" t="s">
        <v>4258</v>
      </c>
      <c r="F57" s="456" t="s">
        <v>4263</v>
      </c>
      <c r="G57" s="416" t="s">
        <v>3099</v>
      </c>
      <c r="H57" s="416"/>
      <c r="I57" s="190" t="s">
        <v>7352</v>
      </c>
      <c r="J57" s="417" t="s">
        <v>3102</v>
      </c>
      <c r="K57" s="458" t="s">
        <v>2813</v>
      </c>
    </row>
    <row r="58" spans="1:11" ht="20.100000000000001" customHeight="1">
      <c r="A58" s="416">
        <f t="shared" si="0"/>
        <v>55</v>
      </c>
      <c r="B58" s="453" t="s">
        <v>1703</v>
      </c>
      <c r="C58" s="456" t="s">
        <v>2027</v>
      </c>
      <c r="D58" s="457" t="s">
        <v>5217</v>
      </c>
      <c r="E58" s="456" t="s">
        <v>4258</v>
      </c>
      <c r="F58" s="456" t="s">
        <v>4263</v>
      </c>
      <c r="G58" s="416" t="s">
        <v>3099</v>
      </c>
      <c r="H58" s="416"/>
      <c r="I58" s="417" t="s">
        <v>5217</v>
      </c>
      <c r="J58" s="417" t="s">
        <v>3102</v>
      </c>
      <c r="K58" s="458" t="s">
        <v>2813</v>
      </c>
    </row>
    <row r="59" spans="1:11" ht="20.100000000000001" customHeight="1">
      <c r="A59" s="416">
        <f t="shared" si="0"/>
        <v>56</v>
      </c>
      <c r="B59" s="453" t="s">
        <v>1703</v>
      </c>
      <c r="C59" s="456" t="s">
        <v>2028</v>
      </c>
      <c r="D59" s="457" t="s">
        <v>5218</v>
      </c>
      <c r="E59" s="456" t="s">
        <v>52</v>
      </c>
      <c r="F59" s="456" t="s">
        <v>4262</v>
      </c>
      <c r="G59" s="416" t="s">
        <v>3099</v>
      </c>
      <c r="H59" s="416"/>
      <c r="I59" s="417" t="s">
        <v>6200</v>
      </c>
      <c r="J59" s="417" t="s">
        <v>3102</v>
      </c>
      <c r="K59" s="458" t="s">
        <v>2813</v>
      </c>
    </row>
    <row r="60" spans="1:11" ht="20.100000000000001" customHeight="1">
      <c r="A60" s="416">
        <f t="shared" si="0"/>
        <v>57</v>
      </c>
      <c r="B60" s="453" t="s">
        <v>1703</v>
      </c>
      <c r="C60" s="456" t="s">
        <v>3195</v>
      </c>
      <c r="D60" s="457" t="s">
        <v>3752</v>
      </c>
      <c r="E60" s="456" t="s">
        <v>52</v>
      </c>
      <c r="F60" s="456" t="s">
        <v>4262</v>
      </c>
      <c r="G60" s="416" t="s">
        <v>3099</v>
      </c>
      <c r="H60" s="416"/>
      <c r="I60" s="417" t="s">
        <v>6201</v>
      </c>
      <c r="J60" s="417" t="s">
        <v>3102</v>
      </c>
      <c r="K60" s="458" t="s">
        <v>2813</v>
      </c>
    </row>
    <row r="61" spans="1:11" ht="20.100000000000001" customHeight="1">
      <c r="A61" s="416">
        <f t="shared" si="0"/>
        <v>58</v>
      </c>
      <c r="B61" s="453" t="s">
        <v>3246</v>
      </c>
      <c r="C61" s="421" t="s">
        <v>3238</v>
      </c>
      <c r="D61" s="420" t="s">
        <v>3988</v>
      </c>
      <c r="E61" s="421" t="s">
        <v>52</v>
      </c>
      <c r="F61" s="421" t="s">
        <v>4262</v>
      </c>
      <c r="G61" s="416" t="s">
        <v>3099</v>
      </c>
      <c r="H61" s="416"/>
      <c r="I61" s="417" t="s">
        <v>6202</v>
      </c>
      <c r="J61" s="417" t="s">
        <v>3103</v>
      </c>
      <c r="K61" s="417" t="s">
        <v>3249</v>
      </c>
    </row>
    <row r="62" spans="1:11" ht="20.100000000000001" customHeight="1">
      <c r="A62" s="416">
        <f t="shared" si="0"/>
        <v>59</v>
      </c>
      <c r="B62" s="453" t="s">
        <v>3244</v>
      </c>
      <c r="C62" s="421" t="s">
        <v>5009</v>
      </c>
      <c r="D62" s="420" t="s">
        <v>5219</v>
      </c>
      <c r="E62" s="421" t="s">
        <v>52</v>
      </c>
      <c r="F62" s="421" t="s">
        <v>4262</v>
      </c>
      <c r="G62" s="416" t="s">
        <v>3099</v>
      </c>
      <c r="H62" s="416"/>
      <c r="I62" s="417" t="s">
        <v>5219</v>
      </c>
      <c r="J62" s="417" t="s">
        <v>3103</v>
      </c>
      <c r="K62" s="417" t="s">
        <v>3249</v>
      </c>
    </row>
    <row r="63" spans="1:11" ht="20.100000000000001" customHeight="1">
      <c r="A63" s="416">
        <f t="shared" si="0"/>
        <v>60</v>
      </c>
      <c r="B63" s="453" t="s">
        <v>3246</v>
      </c>
      <c r="C63" s="419" t="s">
        <v>5010</v>
      </c>
      <c r="D63" s="358" t="s">
        <v>5220</v>
      </c>
      <c r="E63" s="419" t="s">
        <v>4258</v>
      </c>
      <c r="F63" s="419" t="s">
        <v>4264</v>
      </c>
      <c r="G63" s="416" t="s">
        <v>3099</v>
      </c>
      <c r="H63" s="416"/>
      <c r="I63" s="417" t="s">
        <v>4401</v>
      </c>
      <c r="J63" s="417" t="s">
        <v>3103</v>
      </c>
      <c r="K63" s="417" t="s">
        <v>3254</v>
      </c>
    </row>
    <row r="64" spans="1:11" ht="20.100000000000001" customHeight="1">
      <c r="A64" s="416">
        <f t="shared" si="0"/>
        <v>61</v>
      </c>
      <c r="B64" s="453" t="s">
        <v>3244</v>
      </c>
      <c r="C64" s="419" t="s">
        <v>5011</v>
      </c>
      <c r="D64" s="358" t="s">
        <v>4396</v>
      </c>
      <c r="E64" s="419" t="s">
        <v>4258</v>
      </c>
      <c r="F64" s="419" t="s">
        <v>4264</v>
      </c>
      <c r="G64" s="416" t="s">
        <v>3099</v>
      </c>
      <c r="H64" s="416"/>
      <c r="I64" s="190" t="s">
        <v>7352</v>
      </c>
      <c r="J64" s="417" t="s">
        <v>3103</v>
      </c>
      <c r="K64" s="417" t="s">
        <v>3249</v>
      </c>
    </row>
    <row r="65" spans="1:11" ht="20.100000000000001" customHeight="1">
      <c r="A65" s="416">
        <f t="shared" si="0"/>
        <v>62</v>
      </c>
      <c r="B65" s="453" t="s">
        <v>3246</v>
      </c>
      <c r="C65" s="419" t="s">
        <v>5012</v>
      </c>
      <c r="D65" s="358" t="s">
        <v>5221</v>
      </c>
      <c r="E65" s="419" t="s">
        <v>52</v>
      </c>
      <c r="F65" s="419" t="s">
        <v>4262</v>
      </c>
      <c r="G65" s="416" t="s">
        <v>3099</v>
      </c>
      <c r="H65" s="416"/>
      <c r="I65" s="190" t="s">
        <v>7352</v>
      </c>
      <c r="J65" s="417" t="s">
        <v>3103</v>
      </c>
      <c r="K65" s="417" t="s">
        <v>3249</v>
      </c>
    </row>
    <row r="66" spans="1:11" ht="20.100000000000001" customHeight="1">
      <c r="A66" s="416">
        <f t="shared" si="0"/>
        <v>63</v>
      </c>
      <c r="B66" s="453" t="s">
        <v>3244</v>
      </c>
      <c r="C66" s="419" t="s">
        <v>5013</v>
      </c>
      <c r="D66" s="358" t="s">
        <v>5222</v>
      </c>
      <c r="E66" s="419" t="s">
        <v>4258</v>
      </c>
      <c r="F66" s="419" t="s">
        <v>4263</v>
      </c>
      <c r="G66" s="416" t="s">
        <v>3099</v>
      </c>
      <c r="H66" s="416"/>
      <c r="I66" s="417" t="s">
        <v>6203</v>
      </c>
      <c r="J66" s="417" t="s">
        <v>3103</v>
      </c>
      <c r="K66" s="417" t="s">
        <v>3249</v>
      </c>
    </row>
    <row r="67" spans="1:11" ht="20.100000000000001" customHeight="1">
      <c r="A67" s="416">
        <f t="shared" si="0"/>
        <v>64</v>
      </c>
      <c r="B67" s="453" t="s">
        <v>3246</v>
      </c>
      <c r="C67" s="419" t="s">
        <v>3147</v>
      </c>
      <c r="D67" s="358" t="s">
        <v>5223</v>
      </c>
      <c r="E67" s="419" t="s">
        <v>52</v>
      </c>
      <c r="F67" s="419" t="s">
        <v>4262</v>
      </c>
      <c r="G67" s="416" t="s">
        <v>3099</v>
      </c>
      <c r="H67" s="416"/>
      <c r="I67" s="417" t="s">
        <v>5223</v>
      </c>
      <c r="J67" s="417" t="s">
        <v>3103</v>
      </c>
      <c r="K67" s="417" t="s">
        <v>3254</v>
      </c>
    </row>
    <row r="68" spans="1:11" ht="20.100000000000001" customHeight="1">
      <c r="A68" s="416">
        <f t="shared" si="0"/>
        <v>65</v>
      </c>
      <c r="B68" s="453" t="s">
        <v>3244</v>
      </c>
      <c r="C68" s="419" t="s">
        <v>3149</v>
      </c>
      <c r="D68" s="358" t="s">
        <v>5224</v>
      </c>
      <c r="E68" s="419" t="s">
        <v>52</v>
      </c>
      <c r="F68" s="419" t="s">
        <v>4262</v>
      </c>
      <c r="G68" s="416" t="s">
        <v>3099</v>
      </c>
      <c r="H68" s="416"/>
      <c r="I68" s="417" t="s">
        <v>5224</v>
      </c>
      <c r="J68" s="417" t="s">
        <v>3103</v>
      </c>
      <c r="K68" s="417" t="s">
        <v>3249</v>
      </c>
    </row>
    <row r="69" spans="1:11" ht="20.100000000000001" customHeight="1">
      <c r="A69" s="416">
        <f t="shared" ref="A69:A143" si="1">ROW()-3</f>
        <v>66</v>
      </c>
      <c r="B69" s="453" t="s">
        <v>3246</v>
      </c>
      <c r="C69" s="419" t="s">
        <v>3150</v>
      </c>
      <c r="D69" s="358" t="s">
        <v>305</v>
      </c>
      <c r="E69" s="419" t="s">
        <v>4258</v>
      </c>
      <c r="F69" s="419" t="s">
        <v>4263</v>
      </c>
      <c r="G69" s="416" t="s">
        <v>3099</v>
      </c>
      <c r="H69" s="416"/>
      <c r="I69" s="417" t="s">
        <v>305</v>
      </c>
      <c r="J69" s="417" t="s">
        <v>3103</v>
      </c>
      <c r="K69" s="417" t="s">
        <v>3254</v>
      </c>
    </row>
    <row r="70" spans="1:11" ht="20.100000000000001" customHeight="1">
      <c r="A70" s="416">
        <f t="shared" si="1"/>
        <v>67</v>
      </c>
      <c r="B70" s="453" t="s">
        <v>1703</v>
      </c>
      <c r="C70" s="419" t="s">
        <v>3158</v>
      </c>
      <c r="D70" s="358" t="s">
        <v>5225</v>
      </c>
      <c r="E70" s="419" t="s">
        <v>4258</v>
      </c>
      <c r="F70" s="419" t="s">
        <v>4263</v>
      </c>
      <c r="G70" s="416" t="s">
        <v>3099</v>
      </c>
      <c r="H70" s="416"/>
      <c r="I70" s="190" t="s">
        <v>7352</v>
      </c>
      <c r="J70" s="417"/>
      <c r="K70" s="417"/>
    </row>
    <row r="71" spans="1:11" ht="20.100000000000001" customHeight="1">
      <c r="A71" s="416">
        <f t="shared" si="1"/>
        <v>68</v>
      </c>
      <c r="B71" s="453" t="s">
        <v>1703</v>
      </c>
      <c r="C71" s="618" t="s">
        <v>3160</v>
      </c>
      <c r="D71" s="621" t="s">
        <v>7448</v>
      </c>
      <c r="E71" s="618" t="s">
        <v>4258</v>
      </c>
      <c r="F71" s="618" t="s">
        <v>4263</v>
      </c>
      <c r="G71" s="416" t="s">
        <v>6239</v>
      </c>
      <c r="H71" s="633"/>
      <c r="I71" s="634" t="s">
        <v>7448</v>
      </c>
      <c r="J71" s="634"/>
      <c r="K71" s="634"/>
    </row>
    <row r="72" spans="1:11" ht="20.100000000000001" customHeight="1">
      <c r="A72" s="416">
        <f t="shared" si="1"/>
        <v>69</v>
      </c>
      <c r="B72" s="453" t="s">
        <v>1703</v>
      </c>
      <c r="C72" s="419" t="s">
        <v>6204</v>
      </c>
      <c r="D72" s="358" t="s">
        <v>6233</v>
      </c>
      <c r="E72" s="419" t="s">
        <v>4258</v>
      </c>
      <c r="F72" s="618" t="s">
        <v>4263</v>
      </c>
      <c r="G72" s="416" t="s">
        <v>3099</v>
      </c>
      <c r="H72" s="416"/>
      <c r="I72" s="417" t="s">
        <v>6205</v>
      </c>
      <c r="J72" s="417"/>
      <c r="K72" s="417"/>
    </row>
    <row r="73" spans="1:11" ht="20.100000000000001" customHeight="1">
      <c r="A73" s="416">
        <f t="shared" si="1"/>
        <v>70</v>
      </c>
      <c r="B73" s="453" t="s">
        <v>1703</v>
      </c>
      <c r="C73" s="618" t="s">
        <v>3164</v>
      </c>
      <c r="D73" s="621" t="s">
        <v>7449</v>
      </c>
      <c r="E73" s="618" t="s">
        <v>4258</v>
      </c>
      <c r="F73" s="618" t="s">
        <v>4264</v>
      </c>
      <c r="G73" s="416" t="s">
        <v>3099</v>
      </c>
      <c r="H73" s="633"/>
      <c r="I73" s="190" t="s">
        <v>7352</v>
      </c>
      <c r="J73" s="634"/>
      <c r="K73" s="634"/>
    </row>
    <row r="74" spans="1:11" ht="20.100000000000001" customHeight="1">
      <c r="A74" s="416">
        <f t="shared" si="1"/>
        <v>71</v>
      </c>
      <c r="B74" s="453" t="s">
        <v>1703</v>
      </c>
      <c r="C74" s="419" t="s">
        <v>3166</v>
      </c>
      <c r="D74" s="621" t="s">
        <v>7450</v>
      </c>
      <c r="E74" s="618" t="s">
        <v>52</v>
      </c>
      <c r="F74" s="618" t="s">
        <v>4262</v>
      </c>
      <c r="G74" s="416" t="s">
        <v>3099</v>
      </c>
      <c r="H74" s="633"/>
      <c r="I74" s="190" t="s">
        <v>7352</v>
      </c>
      <c r="J74" s="634"/>
      <c r="K74" s="634"/>
    </row>
    <row r="75" spans="1:11" ht="20.100000000000001" customHeight="1">
      <c r="A75" s="416">
        <f t="shared" si="1"/>
        <v>72</v>
      </c>
      <c r="B75" s="453" t="s">
        <v>1703</v>
      </c>
      <c r="C75" s="419" t="s">
        <v>6206</v>
      </c>
      <c r="D75" s="358" t="s">
        <v>6231</v>
      </c>
      <c r="E75" s="419" t="s">
        <v>4258</v>
      </c>
      <c r="F75" s="618" t="s">
        <v>4264</v>
      </c>
      <c r="G75" s="416" t="s">
        <v>3099</v>
      </c>
      <c r="H75" s="416"/>
      <c r="I75" s="417" t="s">
        <v>6208</v>
      </c>
      <c r="J75" s="417"/>
      <c r="K75" s="417"/>
    </row>
    <row r="76" spans="1:11" ht="20.100000000000001" customHeight="1">
      <c r="A76" s="416">
        <f t="shared" si="1"/>
        <v>73</v>
      </c>
      <c r="B76" s="453" t="s">
        <v>1703</v>
      </c>
      <c r="C76" s="419" t="s">
        <v>6207</v>
      </c>
      <c r="D76" s="358" t="s">
        <v>6232</v>
      </c>
      <c r="E76" s="419" t="s">
        <v>4258</v>
      </c>
      <c r="F76" s="618" t="s">
        <v>4263</v>
      </c>
      <c r="G76" s="416" t="s">
        <v>3099</v>
      </c>
      <c r="H76" s="416"/>
      <c r="I76" s="417" t="s">
        <v>6209</v>
      </c>
      <c r="J76" s="417"/>
      <c r="K76" s="417"/>
    </row>
    <row r="77" spans="1:11" ht="20.100000000000001" customHeight="1">
      <c r="A77" s="416">
        <f t="shared" si="1"/>
        <v>74</v>
      </c>
      <c r="B77" s="453" t="s">
        <v>1703</v>
      </c>
      <c r="C77" s="618" t="s">
        <v>3171</v>
      </c>
      <c r="D77" s="621" t="s">
        <v>7451</v>
      </c>
      <c r="E77" s="618" t="s">
        <v>4258</v>
      </c>
      <c r="F77" s="618" t="s">
        <v>4264</v>
      </c>
      <c r="G77" s="416" t="s">
        <v>3099</v>
      </c>
      <c r="H77" s="633"/>
      <c r="I77" s="190" t="s">
        <v>7352</v>
      </c>
      <c r="J77" s="634"/>
      <c r="K77" s="634"/>
    </row>
    <row r="78" spans="1:11" ht="20.100000000000001" customHeight="1">
      <c r="A78" s="416">
        <f t="shared" si="1"/>
        <v>75</v>
      </c>
      <c r="B78" s="453" t="s">
        <v>1703</v>
      </c>
      <c r="C78" s="419" t="s">
        <v>3173</v>
      </c>
      <c r="D78" s="358" t="s">
        <v>6229</v>
      </c>
      <c r="E78" s="419" t="s">
        <v>4258</v>
      </c>
      <c r="F78" s="618" t="s">
        <v>4264</v>
      </c>
      <c r="G78" s="416" t="s">
        <v>3099</v>
      </c>
      <c r="H78" s="416"/>
      <c r="I78" s="417" t="s">
        <v>6229</v>
      </c>
      <c r="J78" s="417"/>
      <c r="K78" s="417"/>
    </row>
    <row r="79" spans="1:11" ht="20.100000000000001" customHeight="1">
      <c r="A79" s="416">
        <f t="shared" si="1"/>
        <v>76</v>
      </c>
      <c r="B79" s="453" t="s">
        <v>1703</v>
      </c>
      <c r="C79" s="419" t="s">
        <v>6228</v>
      </c>
      <c r="D79" s="358" t="s">
        <v>6230</v>
      </c>
      <c r="E79" s="419" t="s">
        <v>4258</v>
      </c>
      <c r="F79" s="618" t="s">
        <v>4267</v>
      </c>
      <c r="G79" s="416" t="s">
        <v>3099</v>
      </c>
      <c r="H79" s="416"/>
      <c r="I79" s="417" t="s">
        <v>6230</v>
      </c>
      <c r="J79" s="417"/>
      <c r="K79" s="417"/>
    </row>
    <row r="80" spans="1:11" ht="20.100000000000001" customHeight="1">
      <c r="A80" s="416">
        <f t="shared" si="1"/>
        <v>77</v>
      </c>
      <c r="B80" s="453" t="s">
        <v>1703</v>
      </c>
      <c r="C80" s="555" t="s">
        <v>3177</v>
      </c>
      <c r="D80" s="556" t="s">
        <v>7347</v>
      </c>
      <c r="E80" s="419" t="s">
        <v>52</v>
      </c>
      <c r="F80" s="419">
        <v>15</v>
      </c>
      <c r="G80" s="416" t="s">
        <v>3099</v>
      </c>
      <c r="H80" s="184"/>
      <c r="I80" s="190" t="s">
        <v>7352</v>
      </c>
      <c r="J80" s="190"/>
      <c r="K80" s="190"/>
    </row>
    <row r="81" spans="1:11" ht="20.100000000000001" customHeight="1">
      <c r="A81" s="416">
        <f t="shared" si="1"/>
        <v>78</v>
      </c>
      <c r="B81" s="453" t="s">
        <v>1703</v>
      </c>
      <c r="C81" s="555" t="s">
        <v>3179</v>
      </c>
      <c r="D81" s="556" t="s">
        <v>1327</v>
      </c>
      <c r="E81" s="419" t="s">
        <v>4258</v>
      </c>
      <c r="F81" s="555">
        <v>1</v>
      </c>
      <c r="G81" s="416" t="s">
        <v>3099</v>
      </c>
      <c r="H81" s="184"/>
      <c r="I81" s="190" t="s">
        <v>7352</v>
      </c>
      <c r="J81" s="190"/>
      <c r="K81" s="190"/>
    </row>
    <row r="82" spans="1:11" ht="20.100000000000001" customHeight="1">
      <c r="A82" s="416">
        <f t="shared" si="1"/>
        <v>79</v>
      </c>
      <c r="B82" s="453" t="s">
        <v>1703</v>
      </c>
      <c r="C82" s="555" t="s">
        <v>3181</v>
      </c>
      <c r="D82" s="556" t="s">
        <v>7292</v>
      </c>
      <c r="E82" s="419" t="s">
        <v>4258</v>
      </c>
      <c r="F82" s="555">
        <v>1</v>
      </c>
      <c r="G82" s="416" t="s">
        <v>3099</v>
      </c>
      <c r="H82" s="184"/>
      <c r="I82" s="190" t="s">
        <v>7292</v>
      </c>
      <c r="J82" s="190"/>
      <c r="K82" s="190"/>
    </row>
    <row r="83" spans="1:11" ht="20.100000000000001" customHeight="1">
      <c r="A83" s="416">
        <f t="shared" si="1"/>
        <v>80</v>
      </c>
      <c r="B83" s="453" t="s">
        <v>1703</v>
      </c>
      <c r="C83" s="555" t="s">
        <v>3183</v>
      </c>
      <c r="D83" s="556" t="s">
        <v>7348</v>
      </c>
      <c r="E83" s="419" t="s">
        <v>52</v>
      </c>
      <c r="F83" s="419">
        <v>15</v>
      </c>
      <c r="G83" s="416" t="s">
        <v>3099</v>
      </c>
      <c r="H83" s="184"/>
      <c r="I83" s="190" t="s">
        <v>7348</v>
      </c>
      <c r="J83" s="190"/>
      <c r="K83" s="190"/>
    </row>
    <row r="84" spans="1:11" ht="20.100000000000001" customHeight="1">
      <c r="A84" s="416">
        <f t="shared" si="1"/>
        <v>81</v>
      </c>
      <c r="B84" s="453" t="s">
        <v>1703</v>
      </c>
      <c r="C84" s="555" t="s">
        <v>3185</v>
      </c>
      <c r="D84" s="556" t="s">
        <v>7293</v>
      </c>
      <c r="E84" s="419" t="s">
        <v>52</v>
      </c>
      <c r="F84" s="419">
        <v>15</v>
      </c>
      <c r="G84" s="416" t="s">
        <v>3099</v>
      </c>
      <c r="H84" s="184"/>
      <c r="I84" s="190" t="s">
        <v>7293</v>
      </c>
      <c r="J84" s="190"/>
      <c r="K84" s="190"/>
    </row>
    <row r="85" spans="1:11" ht="20.100000000000001" customHeight="1">
      <c r="A85" s="416">
        <f t="shared" si="1"/>
        <v>82</v>
      </c>
      <c r="B85" s="453" t="s">
        <v>1703</v>
      </c>
      <c r="C85" s="555" t="s">
        <v>3138</v>
      </c>
      <c r="D85" s="556" t="s">
        <v>7349</v>
      </c>
      <c r="E85" s="419" t="s">
        <v>52</v>
      </c>
      <c r="F85" s="419">
        <v>15</v>
      </c>
      <c r="G85" s="416" t="s">
        <v>3099</v>
      </c>
      <c r="H85" s="184"/>
      <c r="I85" s="190" t="s">
        <v>7271</v>
      </c>
      <c r="J85" s="190"/>
      <c r="K85" s="190"/>
    </row>
    <row r="86" spans="1:11" ht="20.100000000000001" customHeight="1">
      <c r="A86" s="416">
        <f t="shared" si="1"/>
        <v>83</v>
      </c>
      <c r="B86" s="453" t="s">
        <v>1703</v>
      </c>
      <c r="C86" s="555" t="s">
        <v>3188</v>
      </c>
      <c r="D86" s="556" t="s">
        <v>7350</v>
      </c>
      <c r="E86" s="419" t="s">
        <v>52</v>
      </c>
      <c r="F86" s="419">
        <v>15</v>
      </c>
      <c r="G86" s="416" t="s">
        <v>3099</v>
      </c>
      <c r="H86" s="184"/>
      <c r="I86" s="190" t="s">
        <v>7352</v>
      </c>
      <c r="J86" s="190"/>
      <c r="K86" s="190"/>
    </row>
    <row r="87" spans="1:11" ht="20.100000000000001" customHeight="1">
      <c r="A87" s="416">
        <f t="shared" si="1"/>
        <v>84</v>
      </c>
      <c r="B87" s="453" t="s">
        <v>1703</v>
      </c>
      <c r="C87" s="555" t="s">
        <v>3190</v>
      </c>
      <c r="D87" s="556" t="s">
        <v>7351</v>
      </c>
      <c r="E87" s="419" t="s">
        <v>4258</v>
      </c>
      <c r="F87" s="555">
        <v>2</v>
      </c>
      <c r="G87" s="416" t="s">
        <v>3099</v>
      </c>
      <c r="H87" s="184"/>
      <c r="I87" s="190" t="s">
        <v>7352</v>
      </c>
      <c r="J87" s="190"/>
      <c r="K87" s="190"/>
    </row>
    <row r="88" spans="1:11" ht="20.100000000000001" customHeight="1">
      <c r="A88" s="416">
        <f t="shared" si="1"/>
        <v>85</v>
      </c>
      <c r="B88" s="453" t="s">
        <v>1703</v>
      </c>
      <c r="C88" s="419" t="s">
        <v>7452</v>
      </c>
      <c r="D88" s="621" t="s">
        <v>50</v>
      </c>
      <c r="E88" s="618" t="s">
        <v>4258</v>
      </c>
      <c r="F88" s="618" t="s">
        <v>4260</v>
      </c>
      <c r="G88" s="416" t="s">
        <v>3099</v>
      </c>
      <c r="H88" s="416"/>
      <c r="I88" s="190" t="s">
        <v>7352</v>
      </c>
      <c r="J88" s="417"/>
      <c r="K88" s="417"/>
    </row>
    <row r="89" spans="1:11" ht="20.100000000000001" customHeight="1">
      <c r="A89" s="416">
        <f t="shared" si="1"/>
        <v>86</v>
      </c>
      <c r="B89" s="453" t="s">
        <v>1703</v>
      </c>
      <c r="C89" s="419" t="s">
        <v>6210</v>
      </c>
      <c r="D89" s="358" t="s">
        <v>6216</v>
      </c>
      <c r="E89" s="419" t="s">
        <v>4258</v>
      </c>
      <c r="F89" s="618" t="s">
        <v>4263</v>
      </c>
      <c r="G89" s="416" t="s">
        <v>3099</v>
      </c>
      <c r="H89" s="416"/>
      <c r="I89" s="417" t="s">
        <v>5620</v>
      </c>
      <c r="J89" s="417"/>
      <c r="K89" s="417"/>
    </row>
    <row r="90" spans="1:11" ht="20.100000000000001" customHeight="1">
      <c r="A90" s="416">
        <f t="shared" si="1"/>
        <v>87</v>
      </c>
      <c r="B90" s="453" t="s">
        <v>1703</v>
      </c>
      <c r="C90" s="419" t="s">
        <v>6211</v>
      </c>
      <c r="D90" s="358" t="s">
        <v>5622</v>
      </c>
      <c r="E90" s="419" t="s">
        <v>4258</v>
      </c>
      <c r="F90" s="618" t="s">
        <v>4267</v>
      </c>
      <c r="G90" s="416" t="s">
        <v>3099</v>
      </c>
      <c r="H90" s="416"/>
      <c r="I90" s="417" t="s">
        <v>5621</v>
      </c>
      <c r="J90" s="417"/>
      <c r="K90" s="417"/>
    </row>
    <row r="91" spans="1:11" ht="20.100000000000001" customHeight="1">
      <c r="A91" s="416">
        <f t="shared" si="1"/>
        <v>88</v>
      </c>
      <c r="B91" s="453" t="s">
        <v>1703</v>
      </c>
      <c r="C91" s="419" t="s">
        <v>6212</v>
      </c>
      <c r="D91" s="358" t="s">
        <v>6217</v>
      </c>
      <c r="E91" s="419" t="s">
        <v>4258</v>
      </c>
      <c r="F91" s="618" t="s">
        <v>4264</v>
      </c>
      <c r="G91" s="416" t="s">
        <v>3099</v>
      </c>
      <c r="H91" s="416"/>
      <c r="I91" s="417" t="s">
        <v>5627</v>
      </c>
      <c r="J91" s="417"/>
      <c r="K91" s="417"/>
    </row>
    <row r="92" spans="1:11" ht="20.100000000000001" customHeight="1">
      <c r="A92" s="416">
        <f t="shared" si="1"/>
        <v>89</v>
      </c>
      <c r="B92" s="453" t="s">
        <v>1703</v>
      </c>
      <c r="C92" s="419" t="s">
        <v>6213</v>
      </c>
      <c r="D92" s="358" t="s">
        <v>6218</v>
      </c>
      <c r="E92" s="419" t="s">
        <v>4258</v>
      </c>
      <c r="F92" s="618" t="s">
        <v>4264</v>
      </c>
      <c r="G92" s="416" t="s">
        <v>3099</v>
      </c>
      <c r="H92" s="416"/>
      <c r="I92" s="417" t="s">
        <v>6219</v>
      </c>
      <c r="J92" s="417"/>
      <c r="K92" s="417"/>
    </row>
    <row r="93" spans="1:11" ht="20.100000000000001" customHeight="1">
      <c r="A93" s="416">
        <f t="shared" si="1"/>
        <v>90</v>
      </c>
      <c r="B93" s="453" t="s">
        <v>1703</v>
      </c>
      <c r="C93" s="419" t="s">
        <v>6214</v>
      </c>
      <c r="D93" s="358" t="s">
        <v>5624</v>
      </c>
      <c r="E93" s="419" t="s">
        <v>52</v>
      </c>
      <c r="F93" s="618" t="s">
        <v>4262</v>
      </c>
      <c r="G93" s="416" t="s">
        <v>3099</v>
      </c>
      <c r="H93" s="416"/>
      <c r="I93" s="417" t="s">
        <v>6220</v>
      </c>
      <c r="J93" s="417"/>
      <c r="K93" s="417"/>
    </row>
    <row r="94" spans="1:11" ht="20.100000000000001" customHeight="1">
      <c r="A94" s="416">
        <f t="shared" si="1"/>
        <v>91</v>
      </c>
      <c r="B94" s="453" t="s">
        <v>1703</v>
      </c>
      <c r="C94" s="419" t="s">
        <v>6215</v>
      </c>
      <c r="D94" s="358" t="s">
        <v>6221</v>
      </c>
      <c r="E94" s="419" t="s">
        <v>4258</v>
      </c>
      <c r="F94" s="419">
        <v>2</v>
      </c>
      <c r="G94" s="416" t="s">
        <v>3099</v>
      </c>
      <c r="H94" s="416"/>
      <c r="I94" s="417" t="s">
        <v>6222</v>
      </c>
      <c r="J94" s="417"/>
      <c r="K94" s="417"/>
    </row>
    <row r="95" spans="1:11" ht="20.100000000000001" customHeight="1">
      <c r="A95" s="416">
        <f t="shared" si="1"/>
        <v>92</v>
      </c>
      <c r="B95" s="453" t="s">
        <v>1703</v>
      </c>
      <c r="C95" s="555" t="s">
        <v>7353</v>
      </c>
      <c r="D95" s="556" t="s">
        <v>7354</v>
      </c>
      <c r="E95" s="419" t="s">
        <v>4258</v>
      </c>
      <c r="F95" s="419">
        <v>4</v>
      </c>
      <c r="G95" s="416" t="s">
        <v>3099</v>
      </c>
      <c r="H95" s="184"/>
      <c r="I95" s="190" t="s">
        <v>7352</v>
      </c>
      <c r="J95" s="190"/>
      <c r="K95" s="190"/>
    </row>
    <row r="96" spans="1:11" ht="20.100000000000001" customHeight="1">
      <c r="A96" s="416">
        <f t="shared" si="1"/>
        <v>93</v>
      </c>
      <c r="B96" s="453" t="s">
        <v>1703</v>
      </c>
      <c r="C96" s="555" t="s">
        <v>7355</v>
      </c>
      <c r="D96" s="556" t="s">
        <v>7356</v>
      </c>
      <c r="E96" s="419" t="s">
        <v>52</v>
      </c>
      <c r="F96" s="419">
        <v>15</v>
      </c>
      <c r="G96" s="416" t="s">
        <v>3099</v>
      </c>
      <c r="H96" s="184"/>
      <c r="I96" s="190" t="s">
        <v>7352</v>
      </c>
      <c r="J96" s="190"/>
      <c r="K96" s="190"/>
    </row>
    <row r="97" spans="1:11" ht="20.100000000000001" customHeight="1">
      <c r="A97" s="416">
        <f t="shared" si="1"/>
        <v>94</v>
      </c>
      <c r="B97" s="453" t="s">
        <v>1703</v>
      </c>
      <c r="C97" s="555" t="s">
        <v>7357</v>
      </c>
      <c r="D97" s="556" t="s">
        <v>7358</v>
      </c>
      <c r="E97" s="419" t="s">
        <v>52</v>
      </c>
      <c r="F97" s="419">
        <v>5</v>
      </c>
      <c r="G97" s="416" t="s">
        <v>3099</v>
      </c>
      <c r="H97" s="184"/>
      <c r="I97" s="190" t="s">
        <v>7352</v>
      </c>
      <c r="J97" s="190"/>
      <c r="K97" s="190"/>
    </row>
    <row r="98" spans="1:11" ht="20.100000000000001" customHeight="1">
      <c r="A98" s="416">
        <f t="shared" si="1"/>
        <v>95</v>
      </c>
      <c r="B98" s="453" t="s">
        <v>1703</v>
      </c>
      <c r="C98" s="419" t="s">
        <v>6224</v>
      </c>
      <c r="D98" s="358" t="s">
        <v>6223</v>
      </c>
      <c r="E98" s="419" t="s">
        <v>52</v>
      </c>
      <c r="F98" s="419">
        <v>15</v>
      </c>
      <c r="G98" s="416" t="s">
        <v>3099</v>
      </c>
      <c r="H98" s="416"/>
      <c r="I98" s="417" t="s">
        <v>6227</v>
      </c>
      <c r="J98" s="417"/>
      <c r="K98" s="417"/>
    </row>
    <row r="99" spans="1:11" ht="20.100000000000001" customHeight="1">
      <c r="A99" s="416">
        <f t="shared" si="1"/>
        <v>96</v>
      </c>
      <c r="B99" s="453" t="s">
        <v>1703</v>
      </c>
      <c r="C99" s="419" t="s">
        <v>6225</v>
      </c>
      <c r="D99" s="358" t="s">
        <v>6226</v>
      </c>
      <c r="E99" s="419" t="s">
        <v>4258</v>
      </c>
      <c r="F99" s="419">
        <v>1</v>
      </c>
      <c r="G99" s="416" t="s">
        <v>3099</v>
      </c>
      <c r="H99" s="416"/>
      <c r="I99" s="417" t="s">
        <v>6226</v>
      </c>
      <c r="J99" s="417"/>
      <c r="K99" s="417"/>
    </row>
    <row r="100" spans="1:11" ht="20.100000000000001" customHeight="1">
      <c r="A100" s="416">
        <f t="shared" si="1"/>
        <v>97</v>
      </c>
      <c r="B100" s="453" t="s">
        <v>1703</v>
      </c>
      <c r="C100" s="419" t="s">
        <v>7359</v>
      </c>
      <c r="D100" s="556" t="s">
        <v>7362</v>
      </c>
      <c r="E100" s="419" t="s">
        <v>52</v>
      </c>
      <c r="F100" s="419">
        <v>15</v>
      </c>
      <c r="G100" s="416" t="s">
        <v>3099</v>
      </c>
      <c r="H100" s="184"/>
      <c r="I100" s="190" t="s">
        <v>7352</v>
      </c>
      <c r="J100" s="190"/>
      <c r="K100" s="190"/>
    </row>
    <row r="101" spans="1:11" ht="20.100000000000001" customHeight="1">
      <c r="A101" s="416">
        <f t="shared" si="1"/>
        <v>98</v>
      </c>
      <c r="B101" s="453" t="s">
        <v>1703</v>
      </c>
      <c r="C101" s="419" t="s">
        <v>7360</v>
      </c>
      <c r="D101" s="556" t="s">
        <v>7363</v>
      </c>
      <c r="E101" s="419" t="s">
        <v>52</v>
      </c>
      <c r="F101" s="419">
        <v>15</v>
      </c>
      <c r="G101" s="416" t="s">
        <v>3099</v>
      </c>
      <c r="H101" s="184"/>
      <c r="I101" s="190" t="s">
        <v>7352</v>
      </c>
      <c r="J101" s="190"/>
      <c r="K101" s="190"/>
    </row>
    <row r="102" spans="1:11" ht="20.100000000000001" customHeight="1">
      <c r="A102" s="416">
        <f t="shared" si="1"/>
        <v>99</v>
      </c>
      <c r="B102" s="453" t="s">
        <v>1703</v>
      </c>
      <c r="C102" s="419" t="s">
        <v>7361</v>
      </c>
      <c r="D102" s="556" t="s">
        <v>7364</v>
      </c>
      <c r="E102" s="419" t="s">
        <v>4258</v>
      </c>
      <c r="F102" s="419">
        <v>1</v>
      </c>
      <c r="G102" s="416" t="s">
        <v>3099</v>
      </c>
      <c r="H102" s="184"/>
      <c r="I102" s="190" t="s">
        <v>7365</v>
      </c>
      <c r="J102" s="190"/>
      <c r="K102" s="190"/>
    </row>
    <row r="103" spans="1:11" ht="20.100000000000001" customHeight="1">
      <c r="A103" s="416">
        <f t="shared" si="1"/>
        <v>100</v>
      </c>
      <c r="B103" s="453" t="s">
        <v>1703</v>
      </c>
      <c r="C103" s="419" t="s">
        <v>6159</v>
      </c>
      <c r="D103" s="358" t="s">
        <v>6234</v>
      </c>
      <c r="E103" s="419" t="s">
        <v>52</v>
      </c>
      <c r="F103" s="419">
        <v>15</v>
      </c>
      <c r="G103" s="416" t="s">
        <v>6239</v>
      </c>
      <c r="H103" s="416"/>
      <c r="I103" s="417" t="s">
        <v>6160</v>
      </c>
      <c r="J103" s="417"/>
      <c r="K103" s="417"/>
    </row>
    <row r="104" spans="1:11" ht="33.75" customHeight="1">
      <c r="A104" s="416">
        <f t="shared" si="1"/>
        <v>101</v>
      </c>
      <c r="B104" s="453" t="s">
        <v>1703</v>
      </c>
      <c r="C104" s="416" t="s">
        <v>3248</v>
      </c>
      <c r="D104" s="417" t="s">
        <v>3247</v>
      </c>
      <c r="E104" s="419" t="s">
        <v>4258</v>
      </c>
      <c r="F104" s="416"/>
      <c r="G104" s="416" t="s">
        <v>6239</v>
      </c>
      <c r="H104" s="416"/>
      <c r="I104" s="454" t="s">
        <v>6161</v>
      </c>
      <c r="J104" s="417"/>
      <c r="K104" s="417"/>
    </row>
    <row r="105" spans="1:11" ht="20.100000000000001" customHeight="1">
      <c r="A105" s="416">
        <f t="shared" si="1"/>
        <v>102</v>
      </c>
      <c r="B105" s="453" t="s">
        <v>1703</v>
      </c>
      <c r="C105" s="416" t="s">
        <v>3251</v>
      </c>
      <c r="D105" s="417" t="s">
        <v>3250</v>
      </c>
      <c r="E105" s="419" t="s">
        <v>4258</v>
      </c>
      <c r="F105" s="416"/>
      <c r="G105" s="416" t="s">
        <v>6239</v>
      </c>
      <c r="H105" s="416"/>
      <c r="I105" s="417" t="s">
        <v>6162</v>
      </c>
      <c r="J105" s="417"/>
      <c r="K105" s="417"/>
    </row>
    <row r="106" spans="1:11" ht="20.100000000000001" customHeight="1">
      <c r="A106" s="416">
        <f t="shared" si="1"/>
        <v>103</v>
      </c>
      <c r="B106" s="453" t="s">
        <v>1703</v>
      </c>
      <c r="C106" s="416" t="s">
        <v>3253</v>
      </c>
      <c r="D106" s="417" t="s">
        <v>3252</v>
      </c>
      <c r="E106" s="419" t="s">
        <v>4258</v>
      </c>
      <c r="F106" s="416"/>
      <c r="G106" s="416" t="s">
        <v>6239</v>
      </c>
      <c r="H106" s="416"/>
      <c r="I106" s="417" t="s">
        <v>6163</v>
      </c>
      <c r="J106" s="417"/>
      <c r="K106" s="417"/>
    </row>
    <row r="107" spans="1:11" ht="20.100000000000001" customHeight="1">
      <c r="A107" s="416">
        <f t="shared" si="1"/>
        <v>104</v>
      </c>
      <c r="B107" s="453" t="s">
        <v>1703</v>
      </c>
      <c r="C107" s="416" t="s">
        <v>3256</v>
      </c>
      <c r="D107" s="417" t="s">
        <v>3255</v>
      </c>
      <c r="E107" s="419" t="s">
        <v>4258</v>
      </c>
      <c r="F107" s="416"/>
      <c r="G107" s="416" t="s">
        <v>6239</v>
      </c>
      <c r="H107" s="416"/>
      <c r="I107" s="417" t="s">
        <v>6164</v>
      </c>
      <c r="J107" s="417"/>
      <c r="K107" s="417"/>
    </row>
    <row r="108" spans="1:11" ht="20.100000000000001" customHeight="1">
      <c r="A108" s="416">
        <f t="shared" si="1"/>
        <v>105</v>
      </c>
      <c r="B108" s="453" t="s">
        <v>1703</v>
      </c>
      <c r="C108" s="416" t="s">
        <v>3258</v>
      </c>
      <c r="D108" s="417" t="s">
        <v>3257</v>
      </c>
      <c r="E108" s="419" t="s">
        <v>4258</v>
      </c>
      <c r="F108" s="416"/>
      <c r="G108" s="416" t="s">
        <v>6239</v>
      </c>
      <c r="H108" s="416"/>
      <c r="I108" s="417" t="s">
        <v>6165</v>
      </c>
      <c r="J108" s="417"/>
      <c r="K108" s="417"/>
    </row>
    <row r="109" spans="1:11" s="562" customFormat="1" ht="20.100000000000001" customHeight="1">
      <c r="A109" s="558">
        <f t="shared" si="1"/>
        <v>106</v>
      </c>
      <c r="B109" s="559" t="s">
        <v>1703</v>
      </c>
      <c r="C109" s="558" t="s">
        <v>3260</v>
      </c>
      <c r="D109" s="560" t="s">
        <v>3259</v>
      </c>
      <c r="E109" s="561" t="s">
        <v>52</v>
      </c>
      <c r="F109" s="561">
        <v>15</v>
      </c>
      <c r="G109" s="558" t="s">
        <v>6239</v>
      </c>
      <c r="H109" s="558"/>
      <c r="I109" s="560"/>
      <c r="J109" s="417" t="s">
        <v>7367</v>
      </c>
      <c r="K109" s="560"/>
    </row>
    <row r="110" spans="1:11" ht="20.100000000000001" customHeight="1">
      <c r="A110" s="416">
        <f t="shared" si="1"/>
        <v>107</v>
      </c>
      <c r="B110" s="453" t="s">
        <v>1703</v>
      </c>
      <c r="C110" s="416" t="s">
        <v>6167</v>
      </c>
      <c r="D110" s="417" t="s">
        <v>6235</v>
      </c>
      <c r="E110" s="419" t="s">
        <v>52</v>
      </c>
      <c r="F110" s="419">
        <v>15</v>
      </c>
      <c r="G110" s="416" t="s">
        <v>6239</v>
      </c>
      <c r="H110" s="416"/>
      <c r="I110" s="417" t="s">
        <v>6168</v>
      </c>
      <c r="J110" s="417"/>
      <c r="K110" s="417"/>
    </row>
    <row r="111" spans="1:11" ht="20.100000000000001" customHeight="1">
      <c r="A111" s="416">
        <f t="shared" si="1"/>
        <v>108</v>
      </c>
      <c r="B111" s="453" t="s">
        <v>1703</v>
      </c>
      <c r="C111" s="416" t="s">
        <v>6151</v>
      </c>
      <c r="D111" s="459" t="s">
        <v>6236</v>
      </c>
      <c r="E111" s="419" t="s">
        <v>52</v>
      </c>
      <c r="F111" s="419">
        <v>15</v>
      </c>
      <c r="G111" s="416" t="s">
        <v>6239</v>
      </c>
      <c r="H111" s="416"/>
      <c r="I111" s="417" t="s">
        <v>6152</v>
      </c>
      <c r="J111" s="417"/>
      <c r="K111" s="417"/>
    </row>
    <row r="112" spans="1:11" ht="20.100000000000001" customHeight="1">
      <c r="A112" s="416">
        <f t="shared" si="1"/>
        <v>109</v>
      </c>
      <c r="B112" s="453" t="s">
        <v>1703</v>
      </c>
      <c r="C112" s="416" t="s">
        <v>6156</v>
      </c>
      <c r="D112" s="459" t="s">
        <v>6157</v>
      </c>
      <c r="E112" s="419" t="s">
        <v>4258</v>
      </c>
      <c r="F112" s="416"/>
      <c r="G112" s="416" t="s">
        <v>6239</v>
      </c>
      <c r="H112" s="416"/>
      <c r="I112" s="417" t="s">
        <v>6158</v>
      </c>
      <c r="J112" s="417"/>
      <c r="K112" s="417"/>
    </row>
    <row r="113" spans="1:11" ht="20.100000000000001" customHeight="1">
      <c r="A113" s="416">
        <f t="shared" si="1"/>
        <v>110</v>
      </c>
      <c r="B113" s="453" t="s">
        <v>1703</v>
      </c>
      <c r="C113" s="416" t="s">
        <v>6149</v>
      </c>
      <c r="D113" s="459" t="s">
        <v>6237</v>
      </c>
      <c r="E113" s="419" t="s">
        <v>52</v>
      </c>
      <c r="F113" s="419">
        <v>15</v>
      </c>
      <c r="G113" s="416" t="s">
        <v>6239</v>
      </c>
      <c r="H113" s="416"/>
      <c r="I113" s="417" t="s">
        <v>6150</v>
      </c>
      <c r="J113" s="417"/>
      <c r="K113" s="417"/>
    </row>
    <row r="114" spans="1:11" ht="37.5" customHeight="1">
      <c r="A114" s="416">
        <f t="shared" si="1"/>
        <v>111</v>
      </c>
      <c r="B114" s="453" t="s">
        <v>1703</v>
      </c>
      <c r="C114" s="416" t="s">
        <v>3262</v>
      </c>
      <c r="D114" s="417" t="s">
        <v>3261</v>
      </c>
      <c r="E114" s="419" t="s">
        <v>4258</v>
      </c>
      <c r="F114" s="416"/>
      <c r="G114" s="416" t="s">
        <v>6239</v>
      </c>
      <c r="H114" s="416"/>
      <c r="I114" s="454" t="s">
        <v>6169</v>
      </c>
      <c r="J114" s="417"/>
      <c r="K114" s="417"/>
    </row>
    <row r="115" spans="1:11" ht="20.100000000000001" customHeight="1">
      <c r="A115" s="558">
        <f t="shared" si="1"/>
        <v>112</v>
      </c>
      <c r="B115" s="559" t="s">
        <v>1703</v>
      </c>
      <c r="C115" s="558" t="s">
        <v>3264</v>
      </c>
      <c r="D115" s="560" t="s">
        <v>3263</v>
      </c>
      <c r="E115" s="561" t="s">
        <v>52</v>
      </c>
      <c r="F115" s="561">
        <v>15</v>
      </c>
      <c r="G115" s="558" t="s">
        <v>6239</v>
      </c>
      <c r="H115" s="558"/>
      <c r="I115" s="560"/>
      <c r="J115" s="417" t="s">
        <v>7368</v>
      </c>
      <c r="K115" s="417"/>
    </row>
    <row r="116" spans="1:11" ht="20.100000000000001" customHeight="1">
      <c r="A116" s="416">
        <f t="shared" si="1"/>
        <v>113</v>
      </c>
      <c r="B116" s="453" t="s">
        <v>1703</v>
      </c>
      <c r="C116" s="416" t="s">
        <v>6170</v>
      </c>
      <c r="D116" s="417" t="s">
        <v>6238</v>
      </c>
      <c r="E116" s="419" t="s">
        <v>52</v>
      </c>
      <c r="F116" s="419">
        <v>15</v>
      </c>
      <c r="G116" s="416" t="s">
        <v>6239</v>
      </c>
      <c r="H116" s="416"/>
      <c r="I116" s="417" t="s">
        <v>6171</v>
      </c>
      <c r="J116" s="417"/>
      <c r="K116" s="417"/>
    </row>
    <row r="117" spans="1:11" ht="20.100000000000001" customHeight="1">
      <c r="A117" s="416">
        <f t="shared" si="1"/>
        <v>114</v>
      </c>
      <c r="B117" s="453" t="s">
        <v>1703</v>
      </c>
      <c r="C117" s="416" t="s">
        <v>6153</v>
      </c>
      <c r="D117" s="417" t="s">
        <v>6154</v>
      </c>
      <c r="E117" s="419" t="s">
        <v>4258</v>
      </c>
      <c r="F117" s="416"/>
      <c r="G117" s="416" t="s">
        <v>6239</v>
      </c>
      <c r="H117" s="416"/>
      <c r="I117" s="417" t="s">
        <v>6155</v>
      </c>
      <c r="J117" s="417"/>
      <c r="K117" s="417"/>
    </row>
    <row r="118" spans="1:11" ht="20.100000000000001" customHeight="1">
      <c r="A118" s="416">
        <f t="shared" si="1"/>
        <v>115</v>
      </c>
      <c r="B118" s="453" t="s">
        <v>1703</v>
      </c>
      <c r="C118" s="416" t="s">
        <v>3266</v>
      </c>
      <c r="D118" s="417" t="s">
        <v>3265</v>
      </c>
      <c r="E118" s="419" t="s">
        <v>52</v>
      </c>
      <c r="F118" s="419">
        <v>15</v>
      </c>
      <c r="G118" s="416" t="s">
        <v>6239</v>
      </c>
      <c r="H118" s="416"/>
      <c r="I118" s="417" t="s">
        <v>6166</v>
      </c>
      <c r="J118" s="417"/>
      <c r="K118" s="417"/>
    </row>
    <row r="119" spans="1:11" ht="20.100000000000001" customHeight="1">
      <c r="A119" s="416">
        <f t="shared" si="1"/>
        <v>116</v>
      </c>
      <c r="B119" s="453" t="s">
        <v>3244</v>
      </c>
      <c r="C119" s="416" t="s">
        <v>3268</v>
      </c>
      <c r="D119" s="417" t="s">
        <v>3267</v>
      </c>
      <c r="E119" s="418" t="s">
        <v>2810</v>
      </c>
      <c r="F119" s="416">
        <v>20</v>
      </c>
      <c r="G119" s="416" t="s">
        <v>3099</v>
      </c>
      <c r="H119" s="416"/>
      <c r="I119" s="417"/>
      <c r="J119" s="417"/>
      <c r="K119" s="417" t="s">
        <v>3269</v>
      </c>
    </row>
    <row r="120" spans="1:11" ht="20.100000000000001" customHeight="1">
      <c r="A120" s="416">
        <f t="shared" si="1"/>
        <v>117</v>
      </c>
      <c r="B120" s="453" t="s">
        <v>3244</v>
      </c>
      <c r="C120" s="416" t="s">
        <v>3271</v>
      </c>
      <c r="D120" s="417" t="s">
        <v>3270</v>
      </c>
      <c r="E120" s="418" t="s">
        <v>2810</v>
      </c>
      <c r="F120" s="416">
        <v>20</v>
      </c>
      <c r="G120" s="416" t="s">
        <v>3099</v>
      </c>
      <c r="H120" s="416"/>
      <c r="I120" s="417"/>
      <c r="J120" s="417"/>
      <c r="K120" s="417" t="s">
        <v>3269</v>
      </c>
    </row>
    <row r="121" spans="1:11" ht="20.100000000000001" customHeight="1">
      <c r="A121" s="416">
        <f t="shared" si="1"/>
        <v>118</v>
      </c>
      <c r="B121" s="453" t="s">
        <v>3244</v>
      </c>
      <c r="C121" s="416" t="s">
        <v>3273</v>
      </c>
      <c r="D121" s="417" t="s">
        <v>3272</v>
      </c>
      <c r="E121" s="418" t="s">
        <v>2810</v>
      </c>
      <c r="F121" s="416">
        <v>20</v>
      </c>
      <c r="G121" s="416" t="s">
        <v>3099</v>
      </c>
      <c r="H121" s="416"/>
      <c r="I121" s="417"/>
      <c r="J121" s="417"/>
      <c r="K121" s="417" t="s">
        <v>3274</v>
      </c>
    </row>
    <row r="122" spans="1:11" ht="20.100000000000001" customHeight="1">
      <c r="A122" s="416">
        <f t="shared" si="1"/>
        <v>119</v>
      </c>
      <c r="B122" s="453" t="s">
        <v>3244</v>
      </c>
      <c r="C122" s="416" t="s">
        <v>3276</v>
      </c>
      <c r="D122" s="417" t="s">
        <v>3275</v>
      </c>
      <c r="E122" s="418" t="s">
        <v>2810</v>
      </c>
      <c r="F122" s="416">
        <v>20</v>
      </c>
      <c r="G122" s="416" t="s">
        <v>3099</v>
      </c>
      <c r="H122" s="416"/>
      <c r="I122" s="417"/>
      <c r="J122" s="417"/>
      <c r="K122" s="417" t="s">
        <v>3269</v>
      </c>
    </row>
    <row r="123" spans="1:11" ht="20.100000000000001" customHeight="1">
      <c r="A123" s="416">
        <f t="shared" si="1"/>
        <v>120</v>
      </c>
      <c r="B123" s="453" t="s">
        <v>3244</v>
      </c>
      <c r="C123" s="416" t="s">
        <v>3278</v>
      </c>
      <c r="D123" s="417" t="s">
        <v>3277</v>
      </c>
      <c r="E123" s="418" t="s">
        <v>2810</v>
      </c>
      <c r="F123" s="416">
        <v>20</v>
      </c>
      <c r="G123" s="416" t="s">
        <v>3099</v>
      </c>
      <c r="H123" s="416"/>
      <c r="I123" s="417"/>
      <c r="J123" s="417"/>
      <c r="K123" s="417" t="s">
        <v>3274</v>
      </c>
    </row>
    <row r="124" spans="1:11" ht="20.100000000000001" customHeight="1">
      <c r="A124" s="416">
        <f t="shared" si="1"/>
        <v>121</v>
      </c>
      <c r="B124" s="453" t="s">
        <v>3244</v>
      </c>
      <c r="C124" s="416" t="s">
        <v>3280</v>
      </c>
      <c r="D124" s="417" t="s">
        <v>3279</v>
      </c>
      <c r="E124" s="418" t="s">
        <v>2810</v>
      </c>
      <c r="F124" s="416">
        <v>20</v>
      </c>
      <c r="G124" s="416" t="s">
        <v>3099</v>
      </c>
      <c r="H124" s="416"/>
      <c r="I124" s="417"/>
      <c r="J124" s="417"/>
      <c r="K124" s="417" t="s">
        <v>3269</v>
      </c>
    </row>
    <row r="125" spans="1:11" ht="20.100000000000001" customHeight="1">
      <c r="A125" s="416">
        <f t="shared" si="1"/>
        <v>122</v>
      </c>
      <c r="B125" s="453" t="s">
        <v>3244</v>
      </c>
      <c r="C125" s="416" t="s">
        <v>3282</v>
      </c>
      <c r="D125" s="417" t="s">
        <v>3281</v>
      </c>
      <c r="E125" s="418" t="s">
        <v>2810</v>
      </c>
      <c r="F125" s="416">
        <v>20</v>
      </c>
      <c r="G125" s="416" t="s">
        <v>3099</v>
      </c>
      <c r="H125" s="416"/>
      <c r="I125" s="417"/>
      <c r="J125" s="417"/>
      <c r="K125" s="417" t="s">
        <v>3269</v>
      </c>
    </row>
    <row r="126" spans="1:11" ht="20.100000000000001" customHeight="1">
      <c r="A126" s="416">
        <f t="shared" si="1"/>
        <v>123</v>
      </c>
      <c r="B126" s="453" t="s">
        <v>3246</v>
      </c>
      <c r="C126" s="416" t="s">
        <v>3284</v>
      </c>
      <c r="D126" s="417" t="s">
        <v>3283</v>
      </c>
      <c r="E126" s="418" t="s">
        <v>2810</v>
      </c>
      <c r="F126" s="416">
        <v>20</v>
      </c>
      <c r="G126" s="416" t="s">
        <v>3099</v>
      </c>
      <c r="H126" s="416"/>
      <c r="I126" s="417"/>
      <c r="J126" s="417"/>
      <c r="K126" s="417" t="s">
        <v>3269</v>
      </c>
    </row>
    <row r="127" spans="1:11" ht="20.100000000000001" customHeight="1">
      <c r="A127" s="2">
        <f t="shared" si="1"/>
        <v>124</v>
      </c>
      <c r="B127" s="114" t="s">
        <v>3244</v>
      </c>
      <c r="C127" s="2" t="s">
        <v>3286</v>
      </c>
      <c r="D127" s="3" t="s">
        <v>3285</v>
      </c>
      <c r="E127" s="118" t="s">
        <v>2810</v>
      </c>
      <c r="F127" s="2">
        <v>20</v>
      </c>
      <c r="G127" s="184" t="s">
        <v>3099</v>
      </c>
      <c r="H127" s="184"/>
      <c r="I127" s="190"/>
      <c r="J127" s="190"/>
      <c r="K127" s="3" t="s">
        <v>3274</v>
      </c>
    </row>
    <row r="128" spans="1:11" ht="20.100000000000001" customHeight="1">
      <c r="A128" s="2">
        <f t="shared" si="1"/>
        <v>125</v>
      </c>
      <c r="B128" s="114" t="s">
        <v>3246</v>
      </c>
      <c r="C128" s="2" t="s">
        <v>3288</v>
      </c>
      <c r="D128" s="3" t="s">
        <v>3287</v>
      </c>
      <c r="E128" s="118" t="s">
        <v>2810</v>
      </c>
      <c r="F128" s="2">
        <v>20</v>
      </c>
      <c r="G128" s="184" t="s">
        <v>3099</v>
      </c>
      <c r="H128" s="184"/>
      <c r="I128" s="190"/>
      <c r="J128" s="190"/>
      <c r="K128" s="3" t="s">
        <v>3269</v>
      </c>
    </row>
    <row r="129" spans="1:11" ht="20.100000000000001" customHeight="1">
      <c r="A129" s="2">
        <f t="shared" si="1"/>
        <v>126</v>
      </c>
      <c r="B129" s="114" t="s">
        <v>3244</v>
      </c>
      <c r="C129" s="2" t="s">
        <v>3290</v>
      </c>
      <c r="D129" s="3" t="s">
        <v>3289</v>
      </c>
      <c r="E129" s="118" t="s">
        <v>2810</v>
      </c>
      <c r="F129" s="2">
        <v>20</v>
      </c>
      <c r="G129" s="184" t="s">
        <v>3099</v>
      </c>
      <c r="H129" s="184"/>
      <c r="I129" s="190"/>
      <c r="J129" s="190"/>
      <c r="K129" s="3" t="s">
        <v>3274</v>
      </c>
    </row>
    <row r="130" spans="1:11" ht="20.100000000000001" customHeight="1">
      <c r="A130" s="2">
        <f t="shared" si="1"/>
        <v>127</v>
      </c>
      <c r="B130" s="114" t="s">
        <v>3246</v>
      </c>
      <c r="C130" s="2" t="s">
        <v>3292</v>
      </c>
      <c r="D130" s="3" t="s">
        <v>3291</v>
      </c>
      <c r="E130" s="118" t="s">
        <v>2810</v>
      </c>
      <c r="F130" s="2">
        <v>20</v>
      </c>
      <c r="G130" s="184" t="s">
        <v>3099</v>
      </c>
      <c r="H130" s="184"/>
      <c r="I130" s="190"/>
      <c r="J130" s="190"/>
      <c r="K130" s="3" t="s">
        <v>3274</v>
      </c>
    </row>
    <row r="131" spans="1:11" ht="20.100000000000001" customHeight="1">
      <c r="A131" s="2">
        <f t="shared" si="1"/>
        <v>128</v>
      </c>
      <c r="B131" s="114" t="s">
        <v>3246</v>
      </c>
      <c r="C131" s="2" t="s">
        <v>3294</v>
      </c>
      <c r="D131" s="3" t="s">
        <v>3293</v>
      </c>
      <c r="E131" s="118" t="s">
        <v>2810</v>
      </c>
      <c r="F131" s="2">
        <v>20</v>
      </c>
      <c r="G131" s="184" t="s">
        <v>3099</v>
      </c>
      <c r="H131" s="184"/>
      <c r="I131" s="190"/>
      <c r="J131" s="190"/>
      <c r="K131" s="3" t="s">
        <v>3274</v>
      </c>
    </row>
    <row r="132" spans="1:11" ht="20.100000000000001" customHeight="1">
      <c r="A132" s="2">
        <f t="shared" si="1"/>
        <v>129</v>
      </c>
      <c r="B132" s="114" t="s">
        <v>3244</v>
      </c>
      <c r="C132" s="2" t="s">
        <v>3296</v>
      </c>
      <c r="D132" s="3" t="s">
        <v>3295</v>
      </c>
      <c r="E132" s="118" t="s">
        <v>2810</v>
      </c>
      <c r="F132" s="2">
        <v>20</v>
      </c>
      <c r="G132" s="184" t="s">
        <v>3099</v>
      </c>
      <c r="H132" s="184"/>
      <c r="I132" s="190"/>
      <c r="J132" s="190"/>
      <c r="K132" s="3" t="s">
        <v>3269</v>
      </c>
    </row>
    <row r="133" spans="1:11" ht="20.100000000000001" customHeight="1">
      <c r="A133" s="2">
        <f t="shared" si="1"/>
        <v>130</v>
      </c>
      <c r="B133" s="114" t="s">
        <v>3244</v>
      </c>
      <c r="C133" s="2" t="s">
        <v>3298</v>
      </c>
      <c r="D133" s="3" t="s">
        <v>3297</v>
      </c>
      <c r="E133" s="118" t="s">
        <v>2810</v>
      </c>
      <c r="F133" s="2">
        <v>20</v>
      </c>
      <c r="G133" s="184" t="s">
        <v>3099</v>
      </c>
      <c r="H133" s="184"/>
      <c r="I133" s="190"/>
      <c r="J133" s="190"/>
      <c r="K133" s="3" t="s">
        <v>3269</v>
      </c>
    </row>
    <row r="134" spans="1:11" ht="20.100000000000001" customHeight="1">
      <c r="A134" s="2">
        <f t="shared" si="1"/>
        <v>131</v>
      </c>
      <c r="B134" s="114" t="s">
        <v>3244</v>
      </c>
      <c r="C134" s="2" t="s">
        <v>3300</v>
      </c>
      <c r="D134" s="3" t="s">
        <v>3299</v>
      </c>
      <c r="E134" s="118" t="s">
        <v>2810</v>
      </c>
      <c r="F134" s="2">
        <v>20</v>
      </c>
      <c r="G134" s="184" t="s">
        <v>3099</v>
      </c>
      <c r="H134" s="184"/>
      <c r="I134" s="190"/>
      <c r="J134" s="190"/>
      <c r="K134" s="3" t="s">
        <v>3269</v>
      </c>
    </row>
    <row r="135" spans="1:11" ht="20.100000000000001" customHeight="1">
      <c r="A135" s="2">
        <f t="shared" si="1"/>
        <v>132</v>
      </c>
      <c r="B135" s="114" t="s">
        <v>3246</v>
      </c>
      <c r="C135" s="2" t="s">
        <v>3302</v>
      </c>
      <c r="D135" s="3" t="s">
        <v>3301</v>
      </c>
      <c r="E135" s="118" t="s">
        <v>2810</v>
      </c>
      <c r="F135" s="2">
        <v>20</v>
      </c>
      <c r="G135" s="184" t="s">
        <v>3099</v>
      </c>
      <c r="H135" s="184"/>
      <c r="I135" s="190"/>
      <c r="J135" s="190"/>
      <c r="K135" s="3" t="s">
        <v>3269</v>
      </c>
    </row>
    <row r="136" spans="1:11" ht="20.100000000000001" customHeight="1">
      <c r="A136" s="2">
        <f t="shared" si="1"/>
        <v>133</v>
      </c>
      <c r="B136" s="114" t="s">
        <v>1703</v>
      </c>
      <c r="C136" s="2" t="s">
        <v>3304</v>
      </c>
      <c r="D136" s="3" t="s">
        <v>3303</v>
      </c>
      <c r="E136" s="118" t="s">
        <v>2810</v>
      </c>
      <c r="F136" s="2">
        <v>20</v>
      </c>
      <c r="G136" s="184" t="s">
        <v>3099</v>
      </c>
      <c r="H136" s="184"/>
      <c r="I136" s="190"/>
      <c r="J136" s="190"/>
      <c r="K136" s="3" t="s">
        <v>3274</v>
      </c>
    </row>
    <row r="137" spans="1:11" ht="20.100000000000001" customHeight="1">
      <c r="A137" s="2">
        <f t="shared" si="1"/>
        <v>134</v>
      </c>
      <c r="B137" s="114" t="s">
        <v>3246</v>
      </c>
      <c r="C137" s="2" t="s">
        <v>3306</v>
      </c>
      <c r="D137" s="3" t="s">
        <v>3305</v>
      </c>
      <c r="E137" s="118" t="s">
        <v>2810</v>
      </c>
      <c r="F137" s="2">
        <v>20</v>
      </c>
      <c r="G137" s="184" t="s">
        <v>3099</v>
      </c>
      <c r="H137" s="184"/>
      <c r="I137" s="190"/>
      <c r="J137" s="190"/>
      <c r="K137" s="3" t="s">
        <v>3307</v>
      </c>
    </row>
    <row r="138" spans="1:11" ht="20.100000000000001" customHeight="1">
      <c r="A138" s="2">
        <f t="shared" si="1"/>
        <v>135</v>
      </c>
      <c r="B138" s="114" t="s">
        <v>3244</v>
      </c>
      <c r="C138" s="2" t="s">
        <v>3309</v>
      </c>
      <c r="D138" s="3" t="s">
        <v>3308</v>
      </c>
      <c r="E138" s="118" t="s">
        <v>2810</v>
      </c>
      <c r="F138" s="2">
        <v>20</v>
      </c>
      <c r="G138" s="184" t="s">
        <v>3099</v>
      </c>
      <c r="H138" s="184"/>
      <c r="I138" s="190"/>
      <c r="J138" s="190"/>
      <c r="K138" s="3" t="s">
        <v>3269</v>
      </c>
    </row>
    <row r="139" spans="1:11" ht="20.100000000000001" customHeight="1">
      <c r="A139" s="633">
        <f t="shared" si="1"/>
        <v>136</v>
      </c>
      <c r="B139" s="776" t="s">
        <v>3244</v>
      </c>
      <c r="C139" s="633" t="s">
        <v>3311</v>
      </c>
      <c r="D139" s="634" t="s">
        <v>3310</v>
      </c>
      <c r="E139" s="777" t="s">
        <v>2810</v>
      </c>
      <c r="F139" s="633">
        <v>20</v>
      </c>
      <c r="G139" s="633" t="s">
        <v>3099</v>
      </c>
      <c r="H139" s="633"/>
      <c r="I139" s="634"/>
      <c r="J139" s="634"/>
      <c r="K139" s="634" t="s">
        <v>3269</v>
      </c>
    </row>
    <row r="140" spans="1:11" ht="20.100000000000001" customHeight="1">
      <c r="A140" s="633">
        <f t="shared" si="1"/>
        <v>137</v>
      </c>
      <c r="B140" s="776" t="s">
        <v>3244</v>
      </c>
      <c r="C140" s="633" t="s">
        <v>3313</v>
      </c>
      <c r="D140" s="634" t="s">
        <v>3312</v>
      </c>
      <c r="E140" s="777" t="s">
        <v>2810</v>
      </c>
      <c r="F140" s="633">
        <v>20</v>
      </c>
      <c r="G140" s="633" t="s">
        <v>3099</v>
      </c>
      <c r="H140" s="633"/>
      <c r="I140" s="634"/>
      <c r="J140" s="634"/>
      <c r="K140" s="634" t="s">
        <v>3269</v>
      </c>
    </row>
    <row r="141" spans="1:11" ht="20.100000000000001" customHeight="1">
      <c r="A141" s="633">
        <f t="shared" si="1"/>
        <v>138</v>
      </c>
      <c r="B141" s="776" t="s">
        <v>3246</v>
      </c>
      <c r="C141" s="633" t="s">
        <v>3315</v>
      </c>
      <c r="D141" s="634" t="s">
        <v>3314</v>
      </c>
      <c r="E141" s="777" t="s">
        <v>2810</v>
      </c>
      <c r="F141" s="633">
        <v>20</v>
      </c>
      <c r="G141" s="633"/>
      <c r="H141" s="633"/>
      <c r="I141" s="634"/>
      <c r="J141" s="634"/>
      <c r="K141" s="634" t="s">
        <v>3316</v>
      </c>
    </row>
    <row r="142" spans="1:11" ht="20.100000000000001" customHeight="1">
      <c r="A142" s="633">
        <f t="shared" si="1"/>
        <v>139</v>
      </c>
      <c r="B142" s="776" t="s">
        <v>3246</v>
      </c>
      <c r="C142" s="633" t="s">
        <v>3318</v>
      </c>
      <c r="D142" s="634" t="s">
        <v>3317</v>
      </c>
      <c r="E142" s="777" t="s">
        <v>2809</v>
      </c>
      <c r="F142" s="633">
        <v>20</v>
      </c>
      <c r="G142" s="633" t="s">
        <v>3100</v>
      </c>
      <c r="H142" s="633"/>
      <c r="I142" s="634"/>
      <c r="J142" s="634"/>
      <c r="K142" s="634" t="s">
        <v>3319</v>
      </c>
    </row>
    <row r="143" spans="1:11" ht="20.100000000000001" customHeight="1">
      <c r="A143" s="633">
        <f t="shared" si="1"/>
        <v>140</v>
      </c>
      <c r="B143" s="776" t="s">
        <v>1703</v>
      </c>
      <c r="C143" s="780" t="s">
        <v>7527</v>
      </c>
      <c r="D143" s="781" t="s">
        <v>4400</v>
      </c>
      <c r="E143" s="780" t="s">
        <v>275</v>
      </c>
      <c r="F143" s="633">
        <v>20</v>
      </c>
      <c r="G143" s="633" t="s">
        <v>3099</v>
      </c>
      <c r="H143" s="778"/>
      <c r="I143" s="779"/>
      <c r="J143" s="779"/>
      <c r="K143" s="779"/>
    </row>
    <row r="144" spans="1:11" ht="20.100000000000001" customHeight="1">
      <c r="A144" s="633">
        <f t="shared" ref="A144:A154" si="2">ROW()-3</f>
        <v>141</v>
      </c>
      <c r="B144" s="776" t="s">
        <v>1703</v>
      </c>
      <c r="C144" s="780" t="s">
        <v>7528</v>
      </c>
      <c r="D144" s="781" t="s">
        <v>7539</v>
      </c>
      <c r="E144" s="780" t="s">
        <v>275</v>
      </c>
      <c r="F144" s="633">
        <v>20</v>
      </c>
      <c r="G144" s="633" t="s">
        <v>3099</v>
      </c>
      <c r="H144" s="778"/>
      <c r="I144" s="779"/>
      <c r="J144" s="779"/>
      <c r="K144" s="779"/>
    </row>
    <row r="145" spans="1:11" ht="20.100000000000001" customHeight="1">
      <c r="A145" s="633">
        <f t="shared" si="2"/>
        <v>142</v>
      </c>
      <c r="B145" s="776" t="s">
        <v>1703</v>
      </c>
      <c r="C145" s="780" t="s">
        <v>7529</v>
      </c>
      <c r="D145" s="781" t="s">
        <v>7540</v>
      </c>
      <c r="E145" s="780" t="s">
        <v>275</v>
      </c>
      <c r="F145" s="633">
        <v>20</v>
      </c>
      <c r="G145" s="633" t="s">
        <v>3099</v>
      </c>
      <c r="H145" s="778"/>
      <c r="I145" s="779"/>
      <c r="J145" s="779"/>
      <c r="K145" s="779"/>
    </row>
    <row r="146" spans="1:11" ht="20.100000000000001" customHeight="1">
      <c r="A146" s="633">
        <f t="shared" si="2"/>
        <v>143</v>
      </c>
      <c r="B146" s="776" t="s">
        <v>1703</v>
      </c>
      <c r="C146" s="780" t="s">
        <v>7530</v>
      </c>
      <c r="D146" s="781" t="s">
        <v>7541</v>
      </c>
      <c r="E146" s="780" t="s">
        <v>275</v>
      </c>
      <c r="F146" s="633">
        <v>20</v>
      </c>
      <c r="G146" s="633" t="s">
        <v>3099</v>
      </c>
      <c r="H146" s="778"/>
      <c r="I146" s="779"/>
      <c r="J146" s="779"/>
      <c r="K146" s="779"/>
    </row>
    <row r="147" spans="1:11" ht="20.100000000000001" customHeight="1">
      <c r="A147" s="633">
        <f t="shared" si="2"/>
        <v>144</v>
      </c>
      <c r="B147" s="776" t="s">
        <v>1703</v>
      </c>
      <c r="C147" s="780" t="s">
        <v>7531</v>
      </c>
      <c r="D147" s="781" t="s">
        <v>7542</v>
      </c>
      <c r="E147" s="780" t="s">
        <v>275</v>
      </c>
      <c r="F147" s="633">
        <v>20</v>
      </c>
      <c r="G147" s="633" t="s">
        <v>3099</v>
      </c>
      <c r="H147" s="778"/>
      <c r="I147" s="779"/>
      <c r="J147" s="779"/>
      <c r="K147" s="779"/>
    </row>
    <row r="148" spans="1:11" ht="20.100000000000001" customHeight="1">
      <c r="A148" s="633">
        <f t="shared" si="2"/>
        <v>145</v>
      </c>
      <c r="B148" s="776" t="s">
        <v>1703</v>
      </c>
      <c r="C148" s="780" t="s">
        <v>7532</v>
      </c>
      <c r="D148" s="781" t="s">
        <v>7543</v>
      </c>
      <c r="E148" s="780" t="s">
        <v>4421</v>
      </c>
      <c r="F148" s="633">
        <v>20</v>
      </c>
      <c r="G148" s="633" t="s">
        <v>3099</v>
      </c>
      <c r="H148" s="778"/>
      <c r="I148" s="779"/>
      <c r="J148" s="779"/>
      <c r="K148" s="779"/>
    </row>
    <row r="149" spans="1:11" ht="20.100000000000001" customHeight="1">
      <c r="A149" s="633">
        <f t="shared" si="2"/>
        <v>146</v>
      </c>
      <c r="B149" s="776" t="s">
        <v>1703</v>
      </c>
      <c r="C149" s="780" t="s">
        <v>7533</v>
      </c>
      <c r="D149" s="781" t="s">
        <v>7544</v>
      </c>
      <c r="E149" s="780" t="s">
        <v>275</v>
      </c>
      <c r="F149" s="633">
        <v>20</v>
      </c>
      <c r="G149" s="633" t="s">
        <v>3099</v>
      </c>
      <c r="H149" s="778"/>
      <c r="I149" s="779"/>
      <c r="J149" s="779"/>
      <c r="K149" s="779"/>
    </row>
    <row r="150" spans="1:11" ht="20.100000000000001" customHeight="1">
      <c r="A150" s="633">
        <f t="shared" si="2"/>
        <v>147</v>
      </c>
      <c r="B150" s="776" t="s">
        <v>1703</v>
      </c>
      <c r="C150" s="780" t="s">
        <v>7534</v>
      </c>
      <c r="D150" s="781" t="s">
        <v>7545</v>
      </c>
      <c r="E150" s="780" t="s">
        <v>275</v>
      </c>
      <c r="F150" s="633">
        <v>20</v>
      </c>
      <c r="G150" s="633" t="s">
        <v>3099</v>
      </c>
      <c r="H150" s="778"/>
      <c r="I150" s="779"/>
      <c r="J150" s="779"/>
      <c r="K150" s="779"/>
    </row>
    <row r="151" spans="1:11" ht="20.100000000000001" customHeight="1">
      <c r="A151" s="633">
        <f t="shared" si="2"/>
        <v>148</v>
      </c>
      <c r="B151" s="776" t="s">
        <v>1703</v>
      </c>
      <c r="C151" s="780" t="s">
        <v>7535</v>
      </c>
      <c r="D151" s="781" t="s">
        <v>7546</v>
      </c>
      <c r="E151" s="780" t="s">
        <v>275</v>
      </c>
      <c r="F151" s="633">
        <v>20</v>
      </c>
      <c r="G151" s="633" t="s">
        <v>3099</v>
      </c>
      <c r="H151" s="778"/>
      <c r="I151" s="779"/>
      <c r="J151" s="779"/>
      <c r="K151" s="779"/>
    </row>
    <row r="152" spans="1:11" ht="20.100000000000001" customHeight="1">
      <c r="A152" s="633">
        <f t="shared" si="2"/>
        <v>149</v>
      </c>
      <c r="B152" s="776" t="s">
        <v>1703</v>
      </c>
      <c r="C152" s="780" t="s">
        <v>7536</v>
      </c>
      <c r="D152" s="781" t="s">
        <v>7547</v>
      </c>
      <c r="E152" s="780" t="s">
        <v>275</v>
      </c>
      <c r="F152" s="633">
        <v>20</v>
      </c>
      <c r="G152" s="633" t="s">
        <v>3099</v>
      </c>
      <c r="H152" s="778"/>
      <c r="I152" s="779"/>
      <c r="J152" s="779"/>
      <c r="K152" s="779"/>
    </row>
    <row r="153" spans="1:11" ht="20.100000000000001" customHeight="1">
      <c r="A153" s="633">
        <f t="shared" si="2"/>
        <v>150</v>
      </c>
      <c r="B153" s="776" t="s">
        <v>1703</v>
      </c>
      <c r="C153" s="780" t="s">
        <v>7537</v>
      </c>
      <c r="D153" s="781" t="s">
        <v>7548</v>
      </c>
      <c r="E153" s="780" t="s">
        <v>4421</v>
      </c>
      <c r="F153" s="633">
        <v>20</v>
      </c>
      <c r="G153" s="633" t="s">
        <v>3099</v>
      </c>
      <c r="H153" s="778"/>
      <c r="I153" s="779"/>
      <c r="J153" s="779"/>
      <c r="K153" s="779"/>
    </row>
    <row r="154" spans="1:11" ht="20.100000000000001" customHeight="1">
      <c r="A154" s="633">
        <f t="shared" si="2"/>
        <v>151</v>
      </c>
      <c r="B154" s="776" t="s">
        <v>1703</v>
      </c>
      <c r="C154" s="780" t="s">
        <v>7538</v>
      </c>
      <c r="D154" s="781" t="s">
        <v>7549</v>
      </c>
      <c r="E154" s="780" t="s">
        <v>275</v>
      </c>
      <c r="F154" s="633">
        <v>20</v>
      </c>
      <c r="G154" s="633" t="s">
        <v>3099</v>
      </c>
      <c r="H154" s="778"/>
      <c r="I154" s="779"/>
      <c r="J154" s="779"/>
      <c r="K154" s="779"/>
    </row>
    <row r="160" spans="1:11" ht="20.100000000000001" customHeight="1">
      <c r="C160" s="69" t="s">
        <v>7563</v>
      </c>
      <c r="D160" s="780" t="s">
        <v>7550</v>
      </c>
      <c r="E160" s="781" t="s">
        <v>7562</v>
      </c>
      <c r="F160" s="781" t="s">
        <v>4400</v>
      </c>
      <c r="G160" s="69" t="s">
        <v>7564</v>
      </c>
      <c r="I160" s="780"/>
      <c r="J160" s="781"/>
    </row>
    <row r="161" spans="3:10" ht="20.100000000000001" customHeight="1">
      <c r="C161" s="69" t="s">
        <v>7563</v>
      </c>
      <c r="D161" s="780" t="s">
        <v>7551</v>
      </c>
      <c r="E161" s="781" t="s">
        <v>7562</v>
      </c>
      <c r="F161" s="781" t="s">
        <v>7539</v>
      </c>
      <c r="G161" s="69" t="s">
        <v>7564</v>
      </c>
      <c r="I161" s="780"/>
      <c r="J161" s="781"/>
    </row>
    <row r="162" spans="3:10" ht="20.100000000000001" customHeight="1">
      <c r="C162" s="69" t="s">
        <v>7563</v>
      </c>
      <c r="D162" s="780" t="s">
        <v>7552</v>
      </c>
      <c r="E162" s="781" t="s">
        <v>7562</v>
      </c>
      <c r="F162" s="781" t="s">
        <v>7540</v>
      </c>
      <c r="G162" s="69" t="s">
        <v>7564</v>
      </c>
      <c r="I162" s="780"/>
      <c r="J162" s="781"/>
    </row>
    <row r="163" spans="3:10" ht="20.100000000000001" customHeight="1">
      <c r="C163" s="69" t="s">
        <v>7563</v>
      </c>
      <c r="D163" s="780" t="s">
        <v>7553</v>
      </c>
      <c r="E163" s="781" t="s">
        <v>7562</v>
      </c>
      <c r="F163" s="781" t="s">
        <v>7541</v>
      </c>
      <c r="G163" s="69" t="s">
        <v>7564</v>
      </c>
      <c r="I163" s="780"/>
      <c r="J163" s="781"/>
    </row>
    <row r="164" spans="3:10" ht="20.100000000000001" customHeight="1">
      <c r="C164" s="69" t="s">
        <v>7563</v>
      </c>
      <c r="D164" s="780" t="s">
        <v>7554</v>
      </c>
      <c r="E164" s="781" t="s">
        <v>7562</v>
      </c>
      <c r="F164" s="781" t="s">
        <v>7542</v>
      </c>
      <c r="G164" s="69" t="s">
        <v>7564</v>
      </c>
      <c r="I164" s="780"/>
      <c r="J164" s="781"/>
    </row>
    <row r="165" spans="3:10" ht="20.100000000000001" customHeight="1">
      <c r="C165" s="69" t="s">
        <v>7563</v>
      </c>
      <c r="D165" s="780" t="s">
        <v>7555</v>
      </c>
      <c r="E165" s="781" t="s">
        <v>7562</v>
      </c>
      <c r="F165" s="781" t="s">
        <v>7543</v>
      </c>
      <c r="G165" s="69" t="s">
        <v>7564</v>
      </c>
      <c r="I165" s="780"/>
      <c r="J165" s="781"/>
    </row>
    <row r="166" spans="3:10" ht="20.100000000000001" customHeight="1">
      <c r="C166" s="69" t="s">
        <v>7563</v>
      </c>
      <c r="D166" s="780" t="s">
        <v>7556</v>
      </c>
      <c r="E166" s="781" t="s">
        <v>7562</v>
      </c>
      <c r="F166" s="781" t="s">
        <v>7544</v>
      </c>
      <c r="G166" s="69" t="s">
        <v>7564</v>
      </c>
      <c r="I166" s="780"/>
      <c r="J166" s="781"/>
    </row>
    <row r="167" spans="3:10" ht="20.100000000000001" customHeight="1">
      <c r="C167" s="69" t="s">
        <v>7563</v>
      </c>
      <c r="D167" s="780" t="s">
        <v>7557</v>
      </c>
      <c r="E167" s="781" t="s">
        <v>7562</v>
      </c>
      <c r="F167" s="781" t="s">
        <v>7545</v>
      </c>
      <c r="G167" s="69" t="s">
        <v>7564</v>
      </c>
      <c r="I167" s="780"/>
      <c r="J167" s="781"/>
    </row>
    <row r="168" spans="3:10" ht="20.100000000000001" customHeight="1">
      <c r="C168" s="69" t="s">
        <v>7563</v>
      </c>
      <c r="D168" s="780" t="s">
        <v>7558</v>
      </c>
      <c r="E168" s="781" t="s">
        <v>7562</v>
      </c>
      <c r="F168" s="781" t="s">
        <v>7546</v>
      </c>
      <c r="G168" s="69" t="s">
        <v>7564</v>
      </c>
      <c r="I168" s="780"/>
      <c r="J168" s="781"/>
    </row>
    <row r="169" spans="3:10" ht="20.100000000000001" customHeight="1">
      <c r="C169" s="69" t="s">
        <v>7563</v>
      </c>
      <c r="D169" s="780" t="s">
        <v>7559</v>
      </c>
      <c r="E169" s="781" t="s">
        <v>7562</v>
      </c>
      <c r="F169" s="781" t="s">
        <v>7547</v>
      </c>
      <c r="G169" s="69" t="s">
        <v>7564</v>
      </c>
      <c r="I169" s="780"/>
      <c r="J169" s="781"/>
    </row>
    <row r="170" spans="3:10" ht="20.100000000000001" customHeight="1">
      <c r="C170" s="69" t="s">
        <v>7563</v>
      </c>
      <c r="D170" s="780" t="s">
        <v>7560</v>
      </c>
      <c r="E170" s="781" t="s">
        <v>7562</v>
      </c>
      <c r="F170" s="781" t="s">
        <v>7548</v>
      </c>
      <c r="G170" s="69" t="s">
        <v>7564</v>
      </c>
      <c r="I170" s="780"/>
      <c r="J170" s="781"/>
    </row>
    <row r="171" spans="3:10" ht="20.100000000000001" customHeight="1">
      <c r="C171" s="69" t="s">
        <v>7563</v>
      </c>
      <c r="D171" s="780" t="s">
        <v>7561</v>
      </c>
      <c r="E171" s="781" t="s">
        <v>7562</v>
      </c>
      <c r="F171" s="781" t="s">
        <v>7549</v>
      </c>
      <c r="G171" s="69" t="s">
        <v>7564</v>
      </c>
      <c r="I171" s="780"/>
      <c r="J171" s="781"/>
    </row>
  </sheetData>
  <autoFilter ref="A3:O142" xr:uid="{00000000-0009-0000-0000-00000D000000}"/>
  <phoneticPr fontId="16" type="noConversion"/>
  <conditionalFormatting sqref="K43:K46">
    <cfRule type="duplicateValues" dxfId="23" priority="22"/>
  </conditionalFormatting>
  <conditionalFormatting sqref="D18:D42">
    <cfRule type="duplicateValues" dxfId="22" priority="1"/>
  </conditionalFormatting>
  <conditionalFormatting sqref="D17">
    <cfRule type="duplicateValues" dxfId="21" priority="2"/>
  </conditionalFormatting>
  <conditionalFormatting sqref="D16">
    <cfRule type="duplicateValues" dxfId="20" priority="3"/>
  </conditionalFormatting>
  <conditionalFormatting sqref="D11:D13">
    <cfRule type="duplicateValues" dxfId="19" priority="4"/>
  </conditionalFormatting>
  <conditionalFormatting sqref="D43:D46">
    <cfRule type="duplicateValues" dxfId="18" priority="5"/>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65"/>
  <sheetViews>
    <sheetView workbookViewId="0">
      <selection activeCell="J40" sqref="J40"/>
    </sheetView>
  </sheetViews>
  <sheetFormatPr defaultRowHeight="11.25"/>
  <cols>
    <col min="1" max="1" width="5.25" style="195" customWidth="1"/>
    <col min="2" max="2" width="9" style="195"/>
    <col min="3" max="4" width="9" style="178"/>
    <col min="5" max="5" width="40.5" style="178" bestFit="1" customWidth="1"/>
    <col min="6" max="7" width="0" style="178" hidden="1" customWidth="1"/>
    <col min="8" max="8" width="18.875" style="195" bestFit="1" customWidth="1"/>
    <col min="9" max="9" width="18.625" style="178" customWidth="1"/>
    <col min="10" max="10" width="29.25" style="178" customWidth="1"/>
    <col min="11" max="11" width="41.375" style="178" bestFit="1" customWidth="1"/>
    <col min="12" max="12" width="12.5" style="178" bestFit="1" customWidth="1"/>
    <col min="13" max="13" width="22.25" style="178" bestFit="1" customWidth="1"/>
    <col min="14" max="16384" width="9" style="178"/>
  </cols>
  <sheetData>
    <row r="1" spans="1:17" s="193" customFormat="1">
      <c r="A1" s="207" t="s">
        <v>1332</v>
      </c>
      <c r="B1" s="207" t="s">
        <v>2960</v>
      </c>
      <c r="C1" s="207" t="s">
        <v>748</v>
      </c>
      <c r="D1" s="207" t="s">
        <v>749</v>
      </c>
      <c r="E1" s="207" t="s">
        <v>2985</v>
      </c>
      <c r="F1" s="208" t="s">
        <v>1548</v>
      </c>
      <c r="G1" s="207" t="s">
        <v>3198</v>
      </c>
      <c r="H1" s="192" t="s">
        <v>3199</v>
      </c>
      <c r="I1" s="192" t="s">
        <v>3028</v>
      </c>
      <c r="J1" s="236" t="s">
        <v>3200</v>
      </c>
      <c r="K1" s="236" t="s">
        <v>3201</v>
      </c>
      <c r="L1" s="192" t="s">
        <v>752</v>
      </c>
      <c r="M1" s="192" t="s">
        <v>751</v>
      </c>
      <c r="N1" s="192" t="s">
        <v>753</v>
      </c>
      <c r="O1" s="209" t="s">
        <v>3197</v>
      </c>
      <c r="P1" s="209" t="s">
        <v>3037</v>
      </c>
      <c r="Q1" s="322" t="s">
        <v>3452</v>
      </c>
    </row>
    <row r="2" spans="1:17" s="252" customFormat="1">
      <c r="A2" s="640">
        <f>ROW()-1</f>
        <v>1</v>
      </c>
      <c r="B2" s="635" t="s">
        <v>3128</v>
      </c>
      <c r="C2" s="635" t="s">
        <v>275</v>
      </c>
      <c r="D2" s="635">
        <v>20</v>
      </c>
      <c r="E2" s="630" t="s">
        <v>3130</v>
      </c>
      <c r="F2" s="643"/>
      <c r="G2" s="643"/>
      <c r="H2" s="644"/>
      <c r="I2" s="643"/>
      <c r="J2" s="630"/>
      <c r="K2" s="645"/>
      <c r="L2" s="643"/>
      <c r="M2" s="630"/>
      <c r="N2" s="646"/>
      <c r="O2" s="643"/>
      <c r="P2" s="643"/>
      <c r="Q2" s="642"/>
    </row>
    <row r="3" spans="1:17" s="252" customFormat="1">
      <c r="A3" s="640">
        <f t="shared" ref="A3:A76" si="0">ROW()-1</f>
        <v>2</v>
      </c>
      <c r="B3" s="635" t="s">
        <v>3129</v>
      </c>
      <c r="C3" s="635" t="s">
        <v>279</v>
      </c>
      <c r="D3" s="635">
        <v>3</v>
      </c>
      <c r="E3" s="630" t="s">
        <v>3131</v>
      </c>
      <c r="F3" s="643"/>
      <c r="G3" s="643" t="s">
        <v>3135</v>
      </c>
      <c r="H3" s="644"/>
      <c r="I3" s="643"/>
      <c r="J3" s="630"/>
      <c r="K3" s="645"/>
      <c r="L3" s="643"/>
      <c r="M3" s="630"/>
      <c r="N3" s="646"/>
      <c r="O3" s="643"/>
      <c r="P3" s="643"/>
      <c r="Q3" s="642"/>
    </row>
    <row r="4" spans="1:17">
      <c r="A4" s="640">
        <f t="shared" si="0"/>
        <v>3</v>
      </c>
      <c r="B4" s="619" t="s">
        <v>2116</v>
      </c>
      <c r="C4" s="619" t="s">
        <v>4258</v>
      </c>
      <c r="D4" s="619" t="s">
        <v>4259</v>
      </c>
      <c r="E4" s="622" t="s">
        <v>4029</v>
      </c>
      <c r="F4" s="620"/>
      <c r="G4" s="620"/>
      <c r="H4" s="647"/>
      <c r="I4" s="620"/>
      <c r="J4" s="620"/>
      <c r="K4" s="620"/>
      <c r="L4" s="620"/>
      <c r="M4" s="620"/>
      <c r="N4" s="620"/>
      <c r="O4" s="620"/>
      <c r="P4" s="620"/>
      <c r="Q4" s="620"/>
    </row>
    <row r="5" spans="1:17">
      <c r="A5" s="640">
        <f t="shared" si="0"/>
        <v>4</v>
      </c>
      <c r="B5" s="619" t="s">
        <v>2573</v>
      </c>
      <c r="C5" s="619" t="s">
        <v>4258</v>
      </c>
      <c r="D5" s="619" t="s">
        <v>4260</v>
      </c>
      <c r="E5" s="622" t="s">
        <v>4030</v>
      </c>
      <c r="F5" s="620"/>
      <c r="G5" s="620"/>
      <c r="H5" s="647"/>
      <c r="I5" s="620"/>
      <c r="J5" s="620"/>
      <c r="K5" s="620"/>
      <c r="L5" s="620"/>
      <c r="M5" s="620"/>
      <c r="N5" s="620"/>
      <c r="O5" s="620"/>
      <c r="P5" s="620"/>
      <c r="Q5" s="620"/>
    </row>
    <row r="6" spans="1:17">
      <c r="A6" s="640">
        <f t="shared" si="0"/>
        <v>5</v>
      </c>
      <c r="B6" s="619" t="s">
        <v>2574</v>
      </c>
      <c r="C6" s="619" t="s">
        <v>4258</v>
      </c>
      <c r="D6" s="619" t="s">
        <v>4259</v>
      </c>
      <c r="E6" s="622" t="s">
        <v>4031</v>
      </c>
      <c r="F6" s="643" t="s">
        <v>3133</v>
      </c>
      <c r="G6" s="620"/>
      <c r="H6" s="635" t="s">
        <v>3329</v>
      </c>
      <c r="I6" s="643" t="s">
        <v>683</v>
      </c>
      <c r="J6" s="630" t="s">
        <v>3335</v>
      </c>
      <c r="K6" s="620"/>
      <c r="L6" s="620"/>
      <c r="M6" s="620"/>
      <c r="N6" s="620"/>
      <c r="O6" s="620"/>
      <c r="P6" s="620"/>
      <c r="Q6" s="620"/>
    </row>
    <row r="7" spans="1:17">
      <c r="A7" s="640">
        <f t="shared" si="0"/>
        <v>6</v>
      </c>
      <c r="B7" s="619" t="s">
        <v>2117</v>
      </c>
      <c r="C7" s="619" t="s">
        <v>4261</v>
      </c>
      <c r="D7" s="619" t="s">
        <v>4262</v>
      </c>
      <c r="E7" s="622" t="s">
        <v>1297</v>
      </c>
      <c r="F7" s="620"/>
      <c r="G7" s="620"/>
      <c r="H7" s="647"/>
      <c r="I7" s="620"/>
      <c r="J7" s="620"/>
      <c r="K7" s="620"/>
      <c r="L7" s="620"/>
      <c r="M7" s="620"/>
      <c r="N7" s="620"/>
      <c r="O7" s="620"/>
      <c r="P7" s="620"/>
      <c r="Q7" s="620"/>
    </row>
    <row r="8" spans="1:17">
      <c r="A8" s="640">
        <f t="shared" si="0"/>
        <v>7</v>
      </c>
      <c r="B8" s="619" t="s">
        <v>2118</v>
      </c>
      <c r="C8" s="619" t="s">
        <v>4258</v>
      </c>
      <c r="D8" s="619" t="s">
        <v>4263</v>
      </c>
      <c r="E8" s="622" t="s">
        <v>687</v>
      </c>
      <c r="F8" s="620"/>
      <c r="G8" s="620"/>
      <c r="H8" s="647"/>
      <c r="I8" s="620"/>
      <c r="J8" s="620"/>
      <c r="K8" s="620"/>
      <c r="L8" s="620"/>
      <c r="M8" s="620"/>
      <c r="N8" s="620"/>
      <c r="O8" s="620"/>
      <c r="P8" s="620"/>
      <c r="Q8" s="620"/>
    </row>
    <row r="9" spans="1:17">
      <c r="A9" s="640">
        <f t="shared" si="0"/>
        <v>8</v>
      </c>
      <c r="B9" s="619" t="s">
        <v>2575</v>
      </c>
      <c r="C9" s="619" t="s">
        <v>4258</v>
      </c>
      <c r="D9" s="619" t="s">
        <v>4264</v>
      </c>
      <c r="E9" s="622" t="s">
        <v>445</v>
      </c>
      <c r="F9" s="620"/>
      <c r="G9" s="620"/>
      <c r="H9" s="647"/>
      <c r="I9" s="620"/>
      <c r="J9" s="620"/>
      <c r="K9" s="620"/>
      <c r="L9" s="620"/>
      <c r="M9" s="620"/>
      <c r="N9" s="620"/>
      <c r="O9" s="620"/>
      <c r="P9" s="620"/>
      <c r="Q9" s="620"/>
    </row>
    <row r="10" spans="1:17">
      <c r="A10" s="640">
        <f t="shared" si="0"/>
        <v>9</v>
      </c>
      <c r="B10" s="619" t="s">
        <v>2576</v>
      </c>
      <c r="C10" s="619" t="s">
        <v>4258</v>
      </c>
      <c r="D10" s="619" t="s">
        <v>4265</v>
      </c>
      <c r="E10" s="622" t="s">
        <v>4032</v>
      </c>
      <c r="F10" s="620"/>
      <c r="G10" s="620"/>
      <c r="H10" s="647"/>
      <c r="I10" s="620"/>
      <c r="J10" s="620"/>
      <c r="K10" s="620"/>
      <c r="L10" s="620"/>
      <c r="M10" s="620"/>
      <c r="N10" s="620"/>
      <c r="O10" s="620"/>
      <c r="P10" s="620"/>
      <c r="Q10" s="620"/>
    </row>
    <row r="11" spans="1:17">
      <c r="A11" s="640">
        <f t="shared" si="0"/>
        <v>10</v>
      </c>
      <c r="B11" s="619" t="s">
        <v>2577</v>
      </c>
      <c r="C11" s="619" t="s">
        <v>4258</v>
      </c>
      <c r="D11" s="619" t="s">
        <v>4264</v>
      </c>
      <c r="E11" s="622" t="s">
        <v>4033</v>
      </c>
      <c r="F11" s="620"/>
      <c r="G11" s="620"/>
      <c r="H11" s="647"/>
      <c r="I11" s="620"/>
      <c r="J11" s="620"/>
      <c r="K11" s="620"/>
      <c r="L11" s="620"/>
      <c r="M11" s="620"/>
      <c r="N11" s="620"/>
      <c r="O11" s="620"/>
      <c r="P11" s="620"/>
      <c r="Q11" s="620"/>
    </row>
    <row r="12" spans="1:17">
      <c r="A12" s="640">
        <f t="shared" si="0"/>
        <v>11</v>
      </c>
      <c r="B12" s="619" t="s">
        <v>2120</v>
      </c>
      <c r="C12" s="619" t="s">
        <v>4258</v>
      </c>
      <c r="D12" s="619" t="s">
        <v>4263</v>
      </c>
      <c r="E12" s="622" t="s">
        <v>4039</v>
      </c>
      <c r="F12" s="620"/>
      <c r="G12" s="620"/>
      <c r="H12" s="648" t="s">
        <v>7461</v>
      </c>
      <c r="I12" s="649"/>
      <c r="J12" s="620"/>
      <c r="K12" s="620"/>
      <c r="L12" s="620"/>
      <c r="M12" s="620"/>
      <c r="N12" s="620"/>
      <c r="O12" s="620"/>
      <c r="P12" s="620"/>
      <c r="Q12" s="620"/>
    </row>
    <row r="13" spans="1:17">
      <c r="A13" s="640">
        <f t="shared" si="0"/>
        <v>12</v>
      </c>
      <c r="B13" s="619" t="s">
        <v>2121</v>
      </c>
      <c r="C13" s="619" t="s">
        <v>4258</v>
      </c>
      <c r="D13" s="619" t="s">
        <v>4263</v>
      </c>
      <c r="E13" s="622" t="s">
        <v>4034</v>
      </c>
      <c r="F13" s="620"/>
      <c r="G13" s="620"/>
      <c r="H13" s="644" t="s">
        <v>7461</v>
      </c>
      <c r="I13" s="629"/>
      <c r="J13" s="620"/>
      <c r="K13" s="620"/>
      <c r="L13" s="620"/>
      <c r="M13" s="620"/>
      <c r="N13" s="620"/>
      <c r="O13" s="620"/>
      <c r="P13" s="620"/>
      <c r="Q13" s="620"/>
    </row>
    <row r="14" spans="1:17">
      <c r="A14" s="640">
        <f t="shared" si="0"/>
        <v>13</v>
      </c>
      <c r="B14" s="619" t="s">
        <v>2122</v>
      </c>
      <c r="C14" s="619" t="s">
        <v>4258</v>
      </c>
      <c r="D14" s="619" t="s">
        <v>4263</v>
      </c>
      <c r="E14" s="622" t="s">
        <v>4035</v>
      </c>
      <c r="F14" s="620"/>
      <c r="G14" s="620"/>
      <c r="H14" s="644" t="s">
        <v>7461</v>
      </c>
      <c r="I14" s="629"/>
      <c r="J14" s="620"/>
      <c r="K14" s="620"/>
      <c r="L14" s="620"/>
      <c r="M14" s="620"/>
      <c r="N14" s="620"/>
      <c r="O14" s="620"/>
      <c r="P14" s="620"/>
      <c r="Q14" s="620"/>
    </row>
    <row r="15" spans="1:17">
      <c r="A15" s="640">
        <f t="shared" si="0"/>
        <v>14</v>
      </c>
      <c r="B15" s="619" t="s">
        <v>2606</v>
      </c>
      <c r="C15" s="619" t="s">
        <v>4258</v>
      </c>
      <c r="D15" s="619" t="s">
        <v>4263</v>
      </c>
      <c r="E15" s="622" t="s">
        <v>4036</v>
      </c>
      <c r="F15" s="620"/>
      <c r="G15" s="620"/>
      <c r="H15" s="648" t="s">
        <v>7461</v>
      </c>
      <c r="I15" s="649"/>
      <c r="J15" s="620"/>
      <c r="K15" s="620"/>
      <c r="L15" s="620"/>
      <c r="M15" s="620"/>
      <c r="N15" s="620"/>
      <c r="O15" s="620"/>
      <c r="P15" s="620"/>
      <c r="Q15" s="620"/>
    </row>
    <row r="16" spans="1:17">
      <c r="A16" s="640">
        <f t="shared" si="0"/>
        <v>15</v>
      </c>
      <c r="B16" s="619" t="s">
        <v>2124</v>
      </c>
      <c r="C16" s="619" t="s">
        <v>4258</v>
      </c>
      <c r="D16" s="619" t="s">
        <v>4263</v>
      </c>
      <c r="E16" s="622" t="s">
        <v>4037</v>
      </c>
      <c r="F16" s="620"/>
      <c r="G16" s="620"/>
      <c r="H16" s="644" t="s">
        <v>7461</v>
      </c>
      <c r="I16" s="629"/>
      <c r="J16" s="620"/>
      <c r="K16" s="620"/>
      <c r="L16" s="620"/>
      <c r="M16" s="620"/>
      <c r="N16" s="620"/>
      <c r="O16" s="620"/>
      <c r="P16" s="620"/>
      <c r="Q16" s="620"/>
    </row>
    <row r="17" spans="1:17">
      <c r="A17" s="640">
        <f t="shared" si="0"/>
        <v>16</v>
      </c>
      <c r="B17" s="619" t="s">
        <v>2125</v>
      </c>
      <c r="C17" s="619" t="s">
        <v>4258</v>
      </c>
      <c r="D17" s="619" t="s">
        <v>4263</v>
      </c>
      <c r="E17" s="622" t="s">
        <v>4038</v>
      </c>
      <c r="F17" s="620"/>
      <c r="G17" s="620"/>
      <c r="H17" s="644" t="s">
        <v>7461</v>
      </c>
      <c r="I17" s="629"/>
      <c r="J17" s="620"/>
      <c r="K17" s="620"/>
      <c r="L17" s="620"/>
      <c r="M17" s="620"/>
      <c r="N17" s="620"/>
      <c r="O17" s="620"/>
      <c r="P17" s="620"/>
      <c r="Q17" s="620"/>
    </row>
    <row r="18" spans="1:17">
      <c r="B18" s="647"/>
      <c r="C18" s="620"/>
      <c r="D18" s="620"/>
      <c r="E18" s="620"/>
      <c r="F18" s="620"/>
      <c r="G18" s="620"/>
      <c r="H18" s="644" t="s">
        <v>7461</v>
      </c>
      <c r="I18" s="629"/>
      <c r="J18" s="620"/>
      <c r="K18" s="620"/>
      <c r="L18" s="620"/>
      <c r="M18" s="620"/>
      <c r="N18" s="620"/>
      <c r="O18" s="620"/>
      <c r="P18" s="620"/>
      <c r="Q18" s="620"/>
    </row>
    <row r="19" spans="1:17">
      <c r="A19" s="640">
        <f t="shared" si="0"/>
        <v>18</v>
      </c>
      <c r="B19" s="619" t="s">
        <v>2605</v>
      </c>
      <c r="C19" s="619" t="s">
        <v>4258</v>
      </c>
      <c r="D19" s="619" t="s">
        <v>4263</v>
      </c>
      <c r="E19" s="622" t="s">
        <v>4040</v>
      </c>
      <c r="F19" s="620"/>
      <c r="G19" s="620"/>
      <c r="H19" s="650" t="s">
        <v>7462</v>
      </c>
      <c r="I19" s="636"/>
      <c r="J19" s="620"/>
      <c r="K19" s="620"/>
      <c r="L19" s="620"/>
      <c r="M19" s="620"/>
      <c r="N19" s="620"/>
      <c r="O19" s="620"/>
      <c r="P19" s="620"/>
      <c r="Q19" s="620"/>
    </row>
    <row r="20" spans="1:17">
      <c r="A20" s="640">
        <f t="shared" si="0"/>
        <v>19</v>
      </c>
      <c r="B20" s="619" t="s">
        <v>2126</v>
      </c>
      <c r="C20" s="619" t="s">
        <v>4261</v>
      </c>
      <c r="D20" s="619" t="s">
        <v>4262</v>
      </c>
      <c r="E20" s="622" t="s">
        <v>4041</v>
      </c>
      <c r="F20" s="620"/>
      <c r="G20" s="620"/>
      <c r="H20" s="639" t="s">
        <v>7005</v>
      </c>
      <c r="I20" s="637"/>
      <c r="J20" s="620"/>
      <c r="K20" s="620"/>
      <c r="L20" s="620"/>
      <c r="M20" s="620"/>
      <c r="N20" s="620"/>
      <c r="O20" s="620"/>
      <c r="P20" s="620"/>
      <c r="Q20" s="620"/>
    </row>
    <row r="21" spans="1:17">
      <c r="A21" s="640">
        <f t="shared" si="0"/>
        <v>20</v>
      </c>
      <c r="B21" s="619" t="s">
        <v>2127</v>
      </c>
      <c r="C21" s="619" t="s">
        <v>4261</v>
      </c>
      <c r="D21" s="619" t="s">
        <v>4262</v>
      </c>
      <c r="E21" s="622" t="s">
        <v>4042</v>
      </c>
      <c r="F21" s="620"/>
      <c r="G21" s="620"/>
      <c r="H21" s="639" t="s">
        <v>7005</v>
      </c>
      <c r="I21" s="637"/>
      <c r="J21" s="620"/>
      <c r="K21" s="620"/>
      <c r="L21" s="620"/>
      <c r="M21" s="620"/>
      <c r="N21" s="620"/>
      <c r="O21" s="620"/>
      <c r="P21" s="620"/>
      <c r="Q21" s="620"/>
    </row>
    <row r="22" spans="1:17">
      <c r="A22" s="640">
        <f t="shared" si="0"/>
        <v>21</v>
      </c>
      <c r="B22" s="619" t="s">
        <v>2128</v>
      </c>
      <c r="C22" s="619" t="s">
        <v>4258</v>
      </c>
      <c r="D22" s="619" t="s">
        <v>4264</v>
      </c>
      <c r="E22" s="622" t="s">
        <v>4043</v>
      </c>
      <c r="F22" s="620"/>
      <c r="G22" s="620"/>
      <c r="H22" s="650" t="s">
        <v>7462</v>
      </c>
      <c r="I22" s="636"/>
      <c r="J22" s="620"/>
      <c r="K22" s="620"/>
      <c r="L22" s="620"/>
      <c r="M22" s="620"/>
      <c r="N22" s="620"/>
      <c r="O22" s="620"/>
      <c r="P22" s="620"/>
      <c r="Q22" s="620"/>
    </row>
    <row r="23" spans="1:17">
      <c r="A23" s="640">
        <f t="shared" si="0"/>
        <v>22</v>
      </c>
      <c r="B23" s="619" t="s">
        <v>2129</v>
      </c>
      <c r="C23" s="619" t="s">
        <v>4258</v>
      </c>
      <c r="D23" s="619" t="s">
        <v>4264</v>
      </c>
      <c r="E23" s="622" t="s">
        <v>4044</v>
      </c>
      <c r="F23" s="620"/>
      <c r="G23" s="620"/>
      <c r="H23" s="650" t="s">
        <v>7462</v>
      </c>
      <c r="I23" s="636"/>
      <c r="J23" s="620"/>
      <c r="K23" s="620"/>
      <c r="L23" s="620"/>
      <c r="M23" s="620"/>
      <c r="N23" s="620"/>
      <c r="O23" s="620"/>
      <c r="P23" s="620"/>
      <c r="Q23" s="620"/>
    </row>
    <row r="24" spans="1:17">
      <c r="A24" s="640">
        <f t="shared" si="0"/>
        <v>23</v>
      </c>
      <c r="B24" s="619" t="s">
        <v>2138</v>
      </c>
      <c r="C24" s="619" t="s">
        <v>4258</v>
      </c>
      <c r="D24" s="619" t="s">
        <v>4264</v>
      </c>
      <c r="E24" s="622" t="s">
        <v>4045</v>
      </c>
      <c r="F24" s="620"/>
      <c r="G24" s="620"/>
      <c r="H24" s="651" t="s">
        <v>7461</v>
      </c>
      <c r="I24" s="620"/>
      <c r="J24" s="620"/>
      <c r="K24" s="620"/>
      <c r="L24" s="620"/>
      <c r="M24" s="620"/>
      <c r="N24" s="620"/>
      <c r="O24" s="620"/>
      <c r="P24" s="620"/>
      <c r="Q24" s="620"/>
    </row>
    <row r="25" spans="1:17">
      <c r="A25" s="640">
        <f t="shared" si="0"/>
        <v>24</v>
      </c>
      <c r="B25" s="619" t="s">
        <v>2139</v>
      </c>
      <c r="C25" s="619" t="s">
        <v>4258</v>
      </c>
      <c r="D25" s="619" t="s">
        <v>4263</v>
      </c>
      <c r="E25" s="622" t="s">
        <v>4046</v>
      </c>
      <c r="F25" s="620"/>
      <c r="G25" s="620"/>
      <c r="H25" s="650" t="s">
        <v>7461</v>
      </c>
      <c r="I25" s="620"/>
      <c r="J25" s="620"/>
      <c r="K25" s="620"/>
      <c r="L25" s="620"/>
      <c r="M25" s="620"/>
      <c r="N25" s="620"/>
      <c r="O25" s="620"/>
      <c r="P25" s="620"/>
      <c r="Q25" s="620"/>
    </row>
    <row r="26" spans="1:17">
      <c r="A26" s="640">
        <f t="shared" si="0"/>
        <v>25</v>
      </c>
      <c r="B26" s="619" t="s">
        <v>2140</v>
      </c>
      <c r="C26" s="619" t="s">
        <v>4258</v>
      </c>
      <c r="D26" s="619" t="s">
        <v>4263</v>
      </c>
      <c r="E26" s="622" t="s">
        <v>4047</v>
      </c>
      <c r="F26" s="620"/>
      <c r="G26" s="620"/>
      <c r="H26" s="650" t="s">
        <v>7461</v>
      </c>
      <c r="I26" s="620"/>
      <c r="J26" s="620"/>
      <c r="K26" s="620"/>
      <c r="L26" s="620"/>
      <c r="M26" s="620"/>
      <c r="N26" s="620"/>
      <c r="O26" s="620"/>
      <c r="P26" s="620"/>
      <c r="Q26" s="620"/>
    </row>
    <row r="27" spans="1:17">
      <c r="A27" s="640">
        <f t="shared" si="0"/>
        <v>26</v>
      </c>
      <c r="B27" s="619" t="s">
        <v>2123</v>
      </c>
      <c r="C27" s="619" t="s">
        <v>4258</v>
      </c>
      <c r="D27" s="619" t="s">
        <v>4263</v>
      </c>
      <c r="E27" s="622" t="s">
        <v>4048</v>
      </c>
      <c r="F27" s="620"/>
      <c r="G27" s="620"/>
      <c r="H27" s="650" t="s">
        <v>7461</v>
      </c>
      <c r="I27" s="620"/>
      <c r="J27" s="620"/>
      <c r="K27" s="620"/>
      <c r="L27" s="620"/>
      <c r="M27" s="620"/>
      <c r="N27" s="620"/>
      <c r="O27" s="620"/>
      <c r="P27" s="620"/>
      <c r="Q27" s="620"/>
    </row>
    <row r="28" spans="1:17">
      <c r="A28" s="640">
        <f t="shared" si="0"/>
        <v>27</v>
      </c>
      <c r="B28" s="619" t="s">
        <v>2141</v>
      </c>
      <c r="C28" s="619" t="s">
        <v>4258</v>
      </c>
      <c r="D28" s="619" t="s">
        <v>4263</v>
      </c>
      <c r="E28" s="622" t="s">
        <v>4049</v>
      </c>
      <c r="F28" s="620"/>
      <c r="G28" s="620"/>
      <c r="H28" s="650" t="s">
        <v>7461</v>
      </c>
      <c r="I28" s="620"/>
      <c r="J28" s="620"/>
      <c r="K28" s="620"/>
      <c r="L28" s="620"/>
      <c r="M28" s="620"/>
      <c r="N28" s="620"/>
      <c r="O28" s="620"/>
      <c r="P28" s="620"/>
      <c r="Q28" s="620"/>
    </row>
    <row r="29" spans="1:17">
      <c r="A29" s="640">
        <f t="shared" si="0"/>
        <v>28</v>
      </c>
      <c r="B29" s="619" t="s">
        <v>2142</v>
      </c>
      <c r="C29" s="619" t="s">
        <v>4258</v>
      </c>
      <c r="D29" s="619" t="s">
        <v>4263</v>
      </c>
      <c r="E29" s="622" t="s">
        <v>4050</v>
      </c>
      <c r="F29" s="620"/>
      <c r="G29" s="620"/>
      <c r="H29" s="650" t="s">
        <v>7461</v>
      </c>
      <c r="I29" s="620"/>
      <c r="J29" s="620"/>
      <c r="K29" s="620"/>
      <c r="L29" s="620"/>
      <c r="M29" s="620"/>
      <c r="N29" s="620"/>
      <c r="O29" s="620"/>
      <c r="P29" s="620"/>
      <c r="Q29" s="620"/>
    </row>
    <row r="30" spans="1:17">
      <c r="A30" s="640">
        <f t="shared" si="0"/>
        <v>29</v>
      </c>
      <c r="B30" s="619" t="s">
        <v>2144</v>
      </c>
      <c r="C30" s="619" t="s">
        <v>4258</v>
      </c>
      <c r="D30" s="619" t="s">
        <v>4263</v>
      </c>
      <c r="E30" s="622" t="s">
        <v>4051</v>
      </c>
      <c r="F30" s="620"/>
      <c r="G30" s="620"/>
      <c r="H30" s="652" t="s">
        <v>7461</v>
      </c>
      <c r="I30" s="620"/>
      <c r="J30" s="620"/>
      <c r="K30" s="620"/>
      <c r="L30" s="620"/>
      <c r="M30" s="620"/>
      <c r="N30" s="620"/>
      <c r="O30" s="620"/>
      <c r="P30" s="620"/>
      <c r="Q30" s="620"/>
    </row>
    <row r="31" spans="1:17">
      <c r="A31" s="640">
        <f t="shared" si="0"/>
        <v>30</v>
      </c>
      <c r="B31" s="619" t="s">
        <v>2131</v>
      </c>
      <c r="C31" s="619" t="s">
        <v>4261</v>
      </c>
      <c r="D31" s="619" t="s">
        <v>4262</v>
      </c>
      <c r="E31" s="622" t="s">
        <v>177</v>
      </c>
      <c r="F31" s="620"/>
      <c r="G31" s="620"/>
      <c r="H31" s="652" t="s">
        <v>7461</v>
      </c>
      <c r="I31" s="620"/>
      <c r="J31" s="620"/>
      <c r="K31" s="620"/>
      <c r="L31" s="620"/>
      <c r="M31" s="620"/>
      <c r="N31" s="620"/>
      <c r="O31" s="620"/>
      <c r="P31" s="620"/>
      <c r="Q31" s="620"/>
    </row>
    <row r="32" spans="1:17">
      <c r="A32" s="640">
        <f t="shared" si="0"/>
        <v>31</v>
      </c>
      <c r="B32" s="619" t="s">
        <v>2132</v>
      </c>
      <c r="C32" s="619" t="s">
        <v>4261</v>
      </c>
      <c r="D32" s="619" t="s">
        <v>4262</v>
      </c>
      <c r="E32" s="622" t="s">
        <v>178</v>
      </c>
      <c r="F32" s="620"/>
      <c r="G32" s="620"/>
      <c r="H32" s="652" t="s">
        <v>7461</v>
      </c>
      <c r="I32" s="620"/>
      <c r="J32" s="620"/>
      <c r="K32" s="620"/>
      <c r="L32" s="620"/>
      <c r="M32" s="620"/>
      <c r="N32" s="620"/>
      <c r="O32" s="620"/>
      <c r="P32" s="620"/>
      <c r="Q32" s="620"/>
    </row>
    <row r="33" spans="1:17">
      <c r="A33" s="640">
        <f t="shared" si="0"/>
        <v>32</v>
      </c>
      <c r="B33" s="619" t="s">
        <v>2133</v>
      </c>
      <c r="C33" s="619" t="s">
        <v>4261</v>
      </c>
      <c r="D33" s="619" t="s">
        <v>4262</v>
      </c>
      <c r="E33" s="622" t="s">
        <v>179</v>
      </c>
      <c r="F33" s="620"/>
      <c r="G33" s="620"/>
      <c r="H33" s="652" t="s">
        <v>7461</v>
      </c>
      <c r="I33" s="620"/>
      <c r="J33" s="620"/>
      <c r="K33" s="620"/>
      <c r="L33" s="620"/>
      <c r="M33" s="620"/>
      <c r="N33" s="620"/>
      <c r="O33" s="620"/>
      <c r="P33" s="620"/>
      <c r="Q33" s="620"/>
    </row>
    <row r="34" spans="1:17">
      <c r="A34" s="640">
        <f t="shared" si="0"/>
        <v>33</v>
      </c>
      <c r="B34" s="619" t="s">
        <v>2134</v>
      </c>
      <c r="C34" s="619" t="s">
        <v>4261</v>
      </c>
      <c r="D34" s="619" t="s">
        <v>4262</v>
      </c>
      <c r="E34" s="622" t="s">
        <v>180</v>
      </c>
      <c r="F34" s="620"/>
      <c r="G34" s="620"/>
      <c r="H34" s="652" t="s">
        <v>7461</v>
      </c>
      <c r="I34" s="620"/>
      <c r="J34" s="620"/>
      <c r="K34" s="620"/>
      <c r="L34" s="620"/>
      <c r="M34" s="620"/>
      <c r="N34" s="620"/>
      <c r="O34" s="620"/>
      <c r="P34" s="620"/>
      <c r="Q34" s="620"/>
    </row>
    <row r="35" spans="1:17">
      <c r="A35" s="640">
        <f t="shared" si="0"/>
        <v>34</v>
      </c>
      <c r="B35" s="619" t="s">
        <v>2135</v>
      </c>
      <c r="C35" s="619" t="s">
        <v>4261</v>
      </c>
      <c r="D35" s="619" t="s">
        <v>4262</v>
      </c>
      <c r="E35" s="622" t="s">
        <v>4052</v>
      </c>
      <c r="F35" s="620"/>
      <c r="G35" s="620"/>
      <c r="H35" s="652" t="s">
        <v>7461</v>
      </c>
      <c r="I35" s="620"/>
      <c r="J35" s="620"/>
      <c r="K35" s="620"/>
      <c r="L35" s="620"/>
      <c r="M35" s="620"/>
      <c r="N35" s="620"/>
      <c r="O35" s="620"/>
      <c r="P35" s="620"/>
      <c r="Q35" s="620"/>
    </row>
    <row r="36" spans="1:17">
      <c r="A36" s="640">
        <f t="shared" si="0"/>
        <v>35</v>
      </c>
      <c r="B36" s="619" t="s">
        <v>2136</v>
      </c>
      <c r="C36" s="619" t="s">
        <v>4261</v>
      </c>
      <c r="D36" s="619" t="s">
        <v>4262</v>
      </c>
      <c r="E36" s="622" t="s">
        <v>656</v>
      </c>
      <c r="F36" s="620"/>
      <c r="G36" s="620"/>
      <c r="H36" s="650" t="s">
        <v>7461</v>
      </c>
      <c r="I36" s="620"/>
      <c r="J36" s="620"/>
      <c r="K36" s="620"/>
      <c r="L36" s="620"/>
      <c r="M36" s="620"/>
      <c r="N36" s="620"/>
      <c r="O36" s="620"/>
      <c r="P36" s="620"/>
      <c r="Q36" s="620"/>
    </row>
    <row r="37" spans="1:17">
      <c r="A37" s="640">
        <f t="shared" si="0"/>
        <v>36</v>
      </c>
      <c r="B37" s="619" t="s">
        <v>2137</v>
      </c>
      <c r="C37" s="619" t="s">
        <v>4258</v>
      </c>
      <c r="D37" s="619" t="s">
        <v>4263</v>
      </c>
      <c r="E37" s="622" t="s">
        <v>731</v>
      </c>
      <c r="F37" s="620"/>
      <c r="G37" s="620"/>
      <c r="H37" s="650" t="s">
        <v>7461</v>
      </c>
      <c r="I37" s="620"/>
      <c r="J37" s="620"/>
      <c r="K37" s="620"/>
      <c r="L37" s="620"/>
      <c r="M37" s="620"/>
      <c r="N37" s="620"/>
      <c r="O37" s="620"/>
      <c r="P37" s="620"/>
      <c r="Q37" s="620"/>
    </row>
    <row r="38" spans="1:17">
      <c r="A38" s="640">
        <f t="shared" si="0"/>
        <v>37</v>
      </c>
      <c r="B38" s="619" t="s">
        <v>2145</v>
      </c>
      <c r="C38" s="619" t="s">
        <v>4258</v>
      </c>
      <c r="D38" s="619" t="s">
        <v>4263</v>
      </c>
      <c r="E38" s="622" t="s">
        <v>730</v>
      </c>
      <c r="F38" s="620"/>
      <c r="G38" s="620"/>
      <c r="H38" s="650" t="s">
        <v>7461</v>
      </c>
      <c r="I38" s="620"/>
      <c r="J38" s="620"/>
      <c r="K38" s="620"/>
      <c r="L38" s="620"/>
      <c r="M38" s="620"/>
      <c r="N38" s="620"/>
      <c r="O38" s="620"/>
      <c r="P38" s="620"/>
      <c r="Q38" s="620"/>
    </row>
    <row r="39" spans="1:17">
      <c r="A39" s="640">
        <f t="shared" si="0"/>
        <v>38</v>
      </c>
      <c r="B39" s="619" t="s">
        <v>2146</v>
      </c>
      <c r="C39" s="619" t="s">
        <v>4258</v>
      </c>
      <c r="D39" s="619" t="s">
        <v>4263</v>
      </c>
      <c r="E39" s="622" t="s">
        <v>732</v>
      </c>
      <c r="F39" s="620"/>
      <c r="G39" s="620"/>
      <c r="H39" s="650" t="s">
        <v>7461</v>
      </c>
      <c r="I39" s="620"/>
      <c r="J39" s="620"/>
      <c r="K39" s="620"/>
      <c r="L39" s="620"/>
      <c r="M39" s="620"/>
      <c r="N39" s="620"/>
      <c r="O39" s="620"/>
      <c r="P39" s="620"/>
      <c r="Q39" s="620"/>
    </row>
    <row r="40" spans="1:17">
      <c r="A40" s="640">
        <f t="shared" si="0"/>
        <v>39</v>
      </c>
      <c r="B40" s="619" t="s">
        <v>2147</v>
      </c>
      <c r="C40" s="619" t="s">
        <v>4258</v>
      </c>
      <c r="D40" s="619" t="s">
        <v>4263</v>
      </c>
      <c r="E40" s="622" t="s">
        <v>733</v>
      </c>
      <c r="F40" s="620"/>
      <c r="G40" s="620"/>
      <c r="H40" s="650" t="s">
        <v>7461</v>
      </c>
      <c r="I40" s="620"/>
      <c r="J40" s="620"/>
      <c r="K40" s="620"/>
      <c r="L40" s="620"/>
      <c r="M40" s="620"/>
      <c r="N40" s="620"/>
      <c r="O40" s="620"/>
      <c r="P40" s="620"/>
      <c r="Q40" s="620"/>
    </row>
    <row r="41" spans="1:17">
      <c r="A41" s="640">
        <f t="shared" si="0"/>
        <v>40</v>
      </c>
      <c r="B41" s="619" t="s">
        <v>2143</v>
      </c>
      <c r="C41" s="619" t="s">
        <v>4258</v>
      </c>
      <c r="D41" s="619" t="s">
        <v>4263</v>
      </c>
      <c r="E41" s="622" t="s">
        <v>181</v>
      </c>
      <c r="F41" s="620"/>
      <c r="G41" s="620"/>
      <c r="H41" s="650" t="s">
        <v>7461</v>
      </c>
      <c r="I41" s="620"/>
      <c r="J41" s="620"/>
      <c r="K41" s="620"/>
      <c r="L41" s="620"/>
      <c r="M41" s="620"/>
      <c r="N41" s="620"/>
      <c r="O41" s="620"/>
      <c r="P41" s="620"/>
      <c r="Q41" s="620"/>
    </row>
    <row r="42" spans="1:17">
      <c r="A42" s="640">
        <f t="shared" si="0"/>
        <v>41</v>
      </c>
      <c r="B42" s="619" t="s">
        <v>2148</v>
      </c>
      <c r="C42" s="619" t="s">
        <v>4261</v>
      </c>
      <c r="D42" s="619" t="s">
        <v>4262</v>
      </c>
      <c r="E42" s="622" t="s">
        <v>4053</v>
      </c>
      <c r="F42" s="620"/>
      <c r="G42" s="620"/>
      <c r="H42" s="650" t="s">
        <v>7461</v>
      </c>
      <c r="I42" s="620"/>
      <c r="J42" s="620"/>
      <c r="K42" s="620"/>
      <c r="L42" s="620"/>
      <c r="M42" s="620"/>
      <c r="N42" s="620"/>
      <c r="O42" s="620"/>
      <c r="P42" s="620"/>
      <c r="Q42" s="620"/>
    </row>
    <row r="43" spans="1:17">
      <c r="A43" s="640">
        <f t="shared" si="0"/>
        <v>42</v>
      </c>
      <c r="B43" s="619" t="s">
        <v>2149</v>
      </c>
      <c r="C43" s="619" t="s">
        <v>4261</v>
      </c>
      <c r="D43" s="619" t="s">
        <v>4262</v>
      </c>
      <c r="E43" s="622" t="s">
        <v>4054</v>
      </c>
      <c r="F43" s="620"/>
      <c r="G43" s="620"/>
      <c r="H43" s="650" t="s">
        <v>7461</v>
      </c>
      <c r="I43" s="620"/>
      <c r="J43" s="620"/>
      <c r="K43" s="620"/>
      <c r="L43" s="620"/>
      <c r="M43" s="620"/>
      <c r="N43" s="620"/>
      <c r="O43" s="620"/>
      <c r="P43" s="620"/>
      <c r="Q43" s="620"/>
    </row>
    <row r="44" spans="1:17">
      <c r="A44" s="640">
        <f t="shared" si="0"/>
        <v>43</v>
      </c>
      <c r="B44" s="619" t="s">
        <v>2150</v>
      </c>
      <c r="C44" s="619" t="s">
        <v>4261</v>
      </c>
      <c r="D44" s="619" t="s">
        <v>4262</v>
      </c>
      <c r="E44" s="622" t="s">
        <v>4055</v>
      </c>
      <c r="F44" s="620"/>
      <c r="G44" s="620"/>
      <c r="H44" s="650" t="s">
        <v>7461</v>
      </c>
      <c r="I44" s="620"/>
      <c r="J44" s="620"/>
      <c r="K44" s="620"/>
      <c r="L44" s="620"/>
      <c r="M44" s="620"/>
      <c r="N44" s="620"/>
      <c r="O44" s="620"/>
      <c r="P44" s="620"/>
      <c r="Q44" s="620"/>
    </row>
    <row r="45" spans="1:17">
      <c r="A45" s="640">
        <f t="shared" si="0"/>
        <v>44</v>
      </c>
      <c r="B45" s="619" t="s">
        <v>2151</v>
      </c>
      <c r="C45" s="619" t="s">
        <v>4261</v>
      </c>
      <c r="D45" s="619" t="s">
        <v>4262</v>
      </c>
      <c r="E45" s="622" t="s">
        <v>4056</v>
      </c>
      <c r="F45" s="620"/>
      <c r="G45" s="620"/>
      <c r="H45" s="650" t="s">
        <v>7461</v>
      </c>
      <c r="I45" s="620"/>
      <c r="J45" s="620"/>
      <c r="K45" s="620"/>
      <c r="L45" s="620"/>
      <c r="M45" s="620"/>
      <c r="N45" s="620"/>
      <c r="O45" s="620"/>
      <c r="P45" s="620"/>
      <c r="Q45" s="620"/>
    </row>
    <row r="46" spans="1:17">
      <c r="A46" s="640">
        <f t="shared" si="0"/>
        <v>45</v>
      </c>
      <c r="B46" s="619" t="s">
        <v>2152</v>
      </c>
      <c r="C46" s="619" t="s">
        <v>4261</v>
      </c>
      <c r="D46" s="619" t="s">
        <v>4262</v>
      </c>
      <c r="E46" s="622" t="s">
        <v>345</v>
      </c>
      <c r="F46" s="620"/>
      <c r="G46" s="620"/>
      <c r="H46" s="650" t="s">
        <v>7461</v>
      </c>
      <c r="I46" s="620"/>
      <c r="J46" s="620"/>
      <c r="K46" s="620"/>
      <c r="L46" s="620"/>
      <c r="M46" s="620"/>
      <c r="N46" s="620"/>
      <c r="O46" s="620"/>
      <c r="P46" s="620"/>
      <c r="Q46" s="620"/>
    </row>
    <row r="47" spans="1:17">
      <c r="A47" s="640">
        <f t="shared" si="0"/>
        <v>46</v>
      </c>
      <c r="B47" s="619" t="s">
        <v>2153</v>
      </c>
      <c r="C47" s="619" t="s">
        <v>4261</v>
      </c>
      <c r="D47" s="619" t="s">
        <v>4262</v>
      </c>
      <c r="E47" s="622" t="s">
        <v>739</v>
      </c>
      <c r="F47" s="620"/>
      <c r="G47" s="620"/>
      <c r="H47" s="650" t="s">
        <v>7461</v>
      </c>
      <c r="I47" s="620"/>
      <c r="J47" s="620"/>
      <c r="K47" s="620"/>
      <c r="L47" s="620"/>
      <c r="M47" s="620"/>
      <c r="N47" s="620"/>
      <c r="O47" s="620"/>
      <c r="P47" s="620"/>
      <c r="Q47" s="620"/>
    </row>
    <row r="48" spans="1:17">
      <c r="A48" s="640">
        <f t="shared" si="0"/>
        <v>47</v>
      </c>
      <c r="B48" s="619" t="s">
        <v>2154</v>
      </c>
      <c r="C48" s="619" t="s">
        <v>4261</v>
      </c>
      <c r="D48" s="619" t="s">
        <v>4262</v>
      </c>
      <c r="E48" s="622" t="s">
        <v>1319</v>
      </c>
      <c r="F48" s="620"/>
      <c r="G48" s="620"/>
      <c r="H48" s="650" t="s">
        <v>7461</v>
      </c>
      <c r="I48" s="620"/>
      <c r="J48" s="620"/>
      <c r="K48" s="620"/>
      <c r="L48" s="620"/>
      <c r="M48" s="620"/>
      <c r="N48" s="620"/>
      <c r="O48" s="620"/>
      <c r="P48" s="620"/>
      <c r="Q48" s="620"/>
    </row>
    <row r="49" spans="1:17">
      <c r="A49" s="640">
        <f t="shared" si="0"/>
        <v>48</v>
      </c>
      <c r="B49" s="619" t="s">
        <v>2155</v>
      </c>
      <c r="C49" s="619" t="s">
        <v>4261</v>
      </c>
      <c r="D49" s="619" t="s">
        <v>4262</v>
      </c>
      <c r="E49" s="622" t="s">
        <v>2974</v>
      </c>
      <c r="F49" s="620"/>
      <c r="G49" s="620"/>
      <c r="H49" s="651" t="s">
        <v>7461</v>
      </c>
      <c r="I49" s="620"/>
      <c r="J49" s="620"/>
      <c r="K49" s="620"/>
      <c r="L49" s="620"/>
      <c r="M49" s="620"/>
      <c r="N49" s="620"/>
      <c r="O49" s="620"/>
      <c r="P49" s="620"/>
      <c r="Q49" s="620"/>
    </row>
    <row r="50" spans="1:17">
      <c r="A50" s="640">
        <f t="shared" si="0"/>
        <v>49</v>
      </c>
      <c r="B50" s="619" t="s">
        <v>2156</v>
      </c>
      <c r="C50" s="619" t="s">
        <v>4261</v>
      </c>
      <c r="D50" s="619" t="s">
        <v>4262</v>
      </c>
      <c r="E50" s="622" t="s">
        <v>4057</v>
      </c>
      <c r="F50" s="620"/>
      <c r="G50" s="620"/>
      <c r="H50" s="651" t="s">
        <v>7461</v>
      </c>
      <c r="I50" s="620"/>
      <c r="J50" s="620"/>
      <c r="K50" s="620"/>
      <c r="L50" s="620"/>
      <c r="M50" s="620"/>
      <c r="N50" s="620"/>
      <c r="O50" s="620"/>
      <c r="P50" s="620"/>
      <c r="Q50" s="620"/>
    </row>
    <row r="51" spans="1:17">
      <c r="A51" s="640">
        <f t="shared" si="0"/>
        <v>50</v>
      </c>
      <c r="B51" s="619" t="s">
        <v>2157</v>
      </c>
      <c r="C51" s="619" t="s">
        <v>4261</v>
      </c>
      <c r="D51" s="619" t="s">
        <v>4262</v>
      </c>
      <c r="E51" s="622" t="s">
        <v>4058</v>
      </c>
      <c r="F51" s="620"/>
      <c r="G51" s="620"/>
      <c r="H51" s="653" t="s">
        <v>7461</v>
      </c>
      <c r="I51" s="620"/>
      <c r="J51" s="620"/>
      <c r="K51" s="620"/>
      <c r="L51" s="620"/>
      <c r="M51" s="620"/>
      <c r="N51" s="620"/>
      <c r="O51" s="620"/>
      <c r="P51" s="620"/>
      <c r="Q51" s="620"/>
    </row>
    <row r="52" spans="1:17">
      <c r="A52" s="640">
        <f t="shared" si="0"/>
        <v>51</v>
      </c>
      <c r="B52" s="619" t="s">
        <v>2158</v>
      </c>
      <c r="C52" s="619" t="s">
        <v>4261</v>
      </c>
      <c r="D52" s="619" t="s">
        <v>4262</v>
      </c>
      <c r="E52" s="622" t="s">
        <v>4059</v>
      </c>
      <c r="F52" s="620"/>
      <c r="G52" s="620"/>
      <c r="H52" s="644" t="s">
        <v>7461</v>
      </c>
      <c r="I52" s="620"/>
      <c r="J52" s="620"/>
      <c r="K52" s="620"/>
      <c r="L52" s="620"/>
      <c r="M52" s="620"/>
      <c r="N52" s="620"/>
      <c r="O52" s="620"/>
      <c r="P52" s="620"/>
      <c r="Q52" s="620"/>
    </row>
    <row r="53" spans="1:17">
      <c r="A53" s="640">
        <f t="shared" si="0"/>
        <v>52</v>
      </c>
      <c r="B53" s="619" t="s">
        <v>2159</v>
      </c>
      <c r="C53" s="619" t="s">
        <v>4258</v>
      </c>
      <c r="D53" s="619" t="s">
        <v>4266</v>
      </c>
      <c r="E53" s="622" t="s">
        <v>2972</v>
      </c>
      <c r="F53" s="620"/>
      <c r="G53" s="620"/>
      <c r="H53" s="650" t="s">
        <v>7461</v>
      </c>
      <c r="I53" s="620"/>
      <c r="J53" s="620"/>
      <c r="K53" s="620"/>
      <c r="L53" s="620"/>
      <c r="M53" s="620"/>
      <c r="N53" s="620"/>
      <c r="O53" s="620"/>
      <c r="P53" s="620"/>
      <c r="Q53" s="620"/>
    </row>
    <row r="54" spans="1:17">
      <c r="A54" s="640">
        <f t="shared" si="0"/>
        <v>53</v>
      </c>
      <c r="B54" s="619" t="s">
        <v>2607</v>
      </c>
      <c r="C54" s="619" t="s">
        <v>4261</v>
      </c>
      <c r="D54" s="619" t="s">
        <v>4262</v>
      </c>
      <c r="E54" s="622" t="s">
        <v>4060</v>
      </c>
      <c r="F54" s="620"/>
      <c r="G54" s="620"/>
      <c r="H54" s="650" t="s">
        <v>7461</v>
      </c>
      <c r="I54" s="620"/>
      <c r="J54" s="620"/>
      <c r="K54" s="620"/>
      <c r="L54" s="620"/>
      <c r="M54" s="620"/>
      <c r="N54" s="620"/>
      <c r="O54" s="620"/>
      <c r="P54" s="620"/>
      <c r="Q54" s="620"/>
    </row>
    <row r="55" spans="1:17">
      <c r="A55" s="640">
        <f t="shared" si="0"/>
        <v>54</v>
      </c>
      <c r="B55" s="619" t="s">
        <v>2608</v>
      </c>
      <c r="C55" s="619" t="s">
        <v>4261</v>
      </c>
      <c r="D55" s="619" t="s">
        <v>4262</v>
      </c>
      <c r="E55" s="622" t="s">
        <v>4061</v>
      </c>
      <c r="F55" s="620"/>
      <c r="G55" s="620"/>
      <c r="H55" s="648" t="s">
        <v>7461</v>
      </c>
      <c r="I55" s="620"/>
      <c r="J55" s="620"/>
      <c r="K55" s="620"/>
      <c r="L55" s="620"/>
      <c r="M55" s="620"/>
      <c r="N55" s="620"/>
      <c r="O55" s="620"/>
      <c r="P55" s="620"/>
      <c r="Q55" s="620"/>
    </row>
    <row r="56" spans="1:17">
      <c r="A56" s="640">
        <f t="shared" si="0"/>
        <v>55</v>
      </c>
      <c r="B56" s="619" t="s">
        <v>2609</v>
      </c>
      <c r="C56" s="619" t="s">
        <v>4258</v>
      </c>
      <c r="D56" s="619" t="s">
        <v>4265</v>
      </c>
      <c r="E56" s="622" t="s">
        <v>4063</v>
      </c>
      <c r="F56" s="620"/>
      <c r="G56" s="620"/>
      <c r="H56" s="644" t="s">
        <v>7463</v>
      </c>
      <c r="I56" s="620"/>
      <c r="J56" s="620"/>
      <c r="K56" s="620"/>
      <c r="L56" s="620"/>
      <c r="M56" s="620"/>
      <c r="N56" s="620"/>
      <c r="O56" s="620"/>
      <c r="P56" s="620"/>
      <c r="Q56" s="620"/>
    </row>
    <row r="57" spans="1:17">
      <c r="A57" s="640">
        <f t="shared" si="0"/>
        <v>56</v>
      </c>
      <c r="B57" s="619" t="s">
        <v>2610</v>
      </c>
      <c r="C57" s="619" t="s">
        <v>4258</v>
      </c>
      <c r="D57" s="619" t="s">
        <v>4263</v>
      </c>
      <c r="E57" s="622" t="s">
        <v>4062</v>
      </c>
      <c r="F57" s="620"/>
      <c r="G57" s="620"/>
      <c r="H57" s="648" t="s">
        <v>7461</v>
      </c>
      <c r="I57" s="620"/>
      <c r="J57" s="620"/>
      <c r="K57" s="620"/>
      <c r="L57" s="620"/>
      <c r="M57" s="620"/>
      <c r="N57" s="620"/>
      <c r="O57" s="620"/>
      <c r="P57" s="620"/>
      <c r="Q57" s="620"/>
    </row>
    <row r="58" spans="1:17">
      <c r="A58" s="640">
        <f t="shared" si="0"/>
        <v>57</v>
      </c>
      <c r="B58" s="619" t="s">
        <v>2611</v>
      </c>
      <c r="C58" s="619" t="s">
        <v>4261</v>
      </c>
      <c r="D58" s="619" t="s">
        <v>4262</v>
      </c>
      <c r="E58" s="622" t="s">
        <v>4064</v>
      </c>
      <c r="F58" s="620"/>
      <c r="G58" s="620"/>
      <c r="H58" s="644" t="s">
        <v>7461</v>
      </c>
      <c r="I58" s="620"/>
      <c r="J58" s="620"/>
      <c r="K58" s="620"/>
      <c r="L58" s="620"/>
      <c r="M58" s="620"/>
      <c r="N58" s="620"/>
      <c r="O58" s="620"/>
      <c r="P58" s="620"/>
      <c r="Q58" s="620"/>
    </row>
    <row r="59" spans="1:17">
      <c r="A59" s="640">
        <f t="shared" si="0"/>
        <v>58</v>
      </c>
      <c r="B59" s="619" t="s">
        <v>2612</v>
      </c>
      <c r="C59" s="619" t="s">
        <v>4261</v>
      </c>
      <c r="D59" s="619" t="s">
        <v>4262</v>
      </c>
      <c r="E59" s="622" t="s">
        <v>3947</v>
      </c>
      <c r="F59" s="620"/>
      <c r="G59" s="620"/>
      <c r="H59" s="644" t="s">
        <v>7461</v>
      </c>
      <c r="I59" s="620"/>
      <c r="J59" s="620"/>
      <c r="K59" s="620"/>
      <c r="L59" s="620"/>
      <c r="M59" s="620"/>
      <c r="N59" s="620"/>
      <c r="O59" s="620"/>
      <c r="P59" s="620"/>
      <c r="Q59" s="620"/>
    </row>
    <row r="60" spans="1:17">
      <c r="A60" s="640">
        <f t="shared" si="0"/>
        <v>59</v>
      </c>
      <c r="B60" s="619" t="s">
        <v>2613</v>
      </c>
      <c r="C60" s="619" t="s">
        <v>4261</v>
      </c>
      <c r="D60" s="619" t="s">
        <v>4262</v>
      </c>
      <c r="E60" s="622" t="s">
        <v>4271</v>
      </c>
      <c r="F60" s="620"/>
      <c r="G60" s="620"/>
      <c r="H60" s="644" t="s">
        <v>7461</v>
      </c>
      <c r="I60" s="620"/>
      <c r="J60" s="620"/>
      <c r="K60" s="620"/>
      <c r="L60" s="620"/>
      <c r="M60" s="620"/>
      <c r="N60" s="620"/>
      <c r="O60" s="620"/>
      <c r="P60" s="620"/>
      <c r="Q60" s="620"/>
    </row>
    <row r="61" spans="1:17">
      <c r="A61" s="640">
        <f t="shared" si="0"/>
        <v>60</v>
      </c>
      <c r="B61" s="619" t="s">
        <v>2614</v>
      </c>
      <c r="C61" s="619" t="s">
        <v>4261</v>
      </c>
      <c r="D61" s="619" t="s">
        <v>4262</v>
      </c>
      <c r="E61" s="622" t="s">
        <v>4272</v>
      </c>
      <c r="F61" s="620"/>
      <c r="G61" s="620"/>
      <c r="H61" s="647" t="s">
        <v>5113</v>
      </c>
      <c r="I61" s="620"/>
      <c r="J61" s="620" t="s">
        <v>7510</v>
      </c>
      <c r="K61" s="620" t="s">
        <v>5882</v>
      </c>
      <c r="L61" s="620"/>
      <c r="M61" s="666" t="s">
        <v>7511</v>
      </c>
      <c r="N61" s="620"/>
      <c r="O61" s="620"/>
      <c r="P61" s="620"/>
      <c r="Q61" s="620"/>
    </row>
    <row r="62" spans="1:17">
      <c r="A62" s="640">
        <f t="shared" si="0"/>
        <v>61</v>
      </c>
      <c r="B62" s="619" t="s">
        <v>5149</v>
      </c>
      <c r="C62" s="619" t="s">
        <v>4261</v>
      </c>
      <c r="D62" s="619" t="s">
        <v>4262</v>
      </c>
      <c r="E62" s="622" t="s">
        <v>5150</v>
      </c>
      <c r="F62" s="620"/>
      <c r="G62" s="620"/>
      <c r="H62" s="647"/>
      <c r="I62" s="620"/>
      <c r="J62" s="620" t="s">
        <v>7517</v>
      </c>
      <c r="K62" s="620" t="s">
        <v>7512</v>
      </c>
      <c r="L62" s="620"/>
      <c r="M62" s="620"/>
      <c r="N62" s="620"/>
      <c r="O62" s="620"/>
      <c r="P62" s="620"/>
      <c r="Q62" s="620"/>
    </row>
    <row r="63" spans="1:17">
      <c r="A63" s="640">
        <f t="shared" si="0"/>
        <v>62</v>
      </c>
      <c r="B63" s="619" t="s">
        <v>2616</v>
      </c>
      <c r="C63" s="619" t="s">
        <v>4261</v>
      </c>
      <c r="D63" s="619" t="s">
        <v>4262</v>
      </c>
      <c r="E63" s="622" t="s">
        <v>5151</v>
      </c>
      <c r="F63" s="620"/>
      <c r="G63" s="620"/>
      <c r="H63" s="647"/>
      <c r="I63" s="620" t="s">
        <v>5444</v>
      </c>
      <c r="J63" s="620" t="s">
        <v>5435</v>
      </c>
      <c r="K63" s="620" t="s">
        <v>5136</v>
      </c>
      <c r="L63" s="620"/>
      <c r="M63" s="620"/>
      <c r="N63" s="620"/>
      <c r="O63" s="620"/>
      <c r="P63" s="620"/>
      <c r="Q63" s="620"/>
    </row>
    <row r="64" spans="1:17">
      <c r="A64" s="640">
        <f t="shared" si="0"/>
        <v>63</v>
      </c>
      <c r="B64" s="619" t="s">
        <v>2617</v>
      </c>
      <c r="C64" s="619" t="s">
        <v>4258</v>
      </c>
      <c r="D64" s="619" t="s">
        <v>4263</v>
      </c>
      <c r="E64" s="622" t="s">
        <v>1967</v>
      </c>
      <c r="F64" s="620"/>
      <c r="G64" s="620"/>
      <c r="H64" s="647"/>
      <c r="I64" s="620"/>
      <c r="J64" s="620" t="s">
        <v>7513</v>
      </c>
      <c r="K64" s="620" t="s">
        <v>7514</v>
      </c>
      <c r="L64" s="620"/>
      <c r="M64" s="620"/>
      <c r="N64" s="620"/>
      <c r="O64" s="620"/>
      <c r="P64" s="620"/>
      <c r="Q64" s="620"/>
    </row>
    <row r="65" spans="1:17">
      <c r="A65" s="640">
        <f t="shared" si="0"/>
        <v>64</v>
      </c>
      <c r="B65" s="619" t="s">
        <v>2618</v>
      </c>
      <c r="C65" s="619" t="s">
        <v>4258</v>
      </c>
      <c r="D65" s="619" t="s">
        <v>4264</v>
      </c>
      <c r="E65" s="622" t="s">
        <v>5902</v>
      </c>
      <c r="F65" s="620"/>
      <c r="G65" s="620"/>
      <c r="H65" s="647"/>
      <c r="I65" s="620"/>
      <c r="J65" s="620" t="s">
        <v>5851</v>
      </c>
      <c r="K65" s="620" t="s">
        <v>5852</v>
      </c>
      <c r="L65" s="620"/>
      <c r="M65" s="620"/>
      <c r="N65" s="620"/>
      <c r="O65" s="620"/>
      <c r="P65" s="620"/>
      <c r="Q65" s="620"/>
    </row>
    <row r="66" spans="1:17">
      <c r="A66" s="640">
        <f t="shared" si="0"/>
        <v>65</v>
      </c>
      <c r="B66" s="619" t="s">
        <v>2619</v>
      </c>
      <c r="C66" s="619" t="s">
        <v>4258</v>
      </c>
      <c r="D66" s="619" t="s">
        <v>4264</v>
      </c>
      <c r="E66" s="622" t="s">
        <v>5903</v>
      </c>
      <c r="F66" s="620"/>
      <c r="G66" s="620"/>
      <c r="H66" s="647"/>
      <c r="I66" s="620"/>
      <c r="J66" s="620" t="s">
        <v>5851</v>
      </c>
      <c r="K66" s="620" t="s">
        <v>7021</v>
      </c>
      <c r="L66" s="620"/>
      <c r="M66" s="620"/>
      <c r="N66" s="620"/>
      <c r="O66" s="620"/>
      <c r="P66" s="620"/>
      <c r="Q66" s="620"/>
    </row>
    <row r="67" spans="1:17">
      <c r="A67" s="640">
        <f t="shared" si="0"/>
        <v>66</v>
      </c>
      <c r="B67" s="619" t="s">
        <v>2620</v>
      </c>
      <c r="C67" s="619" t="s">
        <v>52</v>
      </c>
      <c r="D67" s="619" t="s">
        <v>5299</v>
      </c>
      <c r="E67" s="622" t="s">
        <v>7403</v>
      </c>
      <c r="F67" s="620"/>
      <c r="G67" s="620"/>
      <c r="H67" s="647"/>
      <c r="I67" s="620"/>
      <c r="J67" s="620" t="s">
        <v>7414</v>
      </c>
      <c r="K67" s="620" t="s">
        <v>7413</v>
      </c>
      <c r="L67" s="620"/>
      <c r="M67" s="620"/>
      <c r="N67" s="620"/>
      <c r="O67" s="620"/>
      <c r="P67" s="620"/>
      <c r="Q67" s="620"/>
    </row>
    <row r="68" spans="1:17">
      <c r="A68" s="640">
        <f t="shared" si="0"/>
        <v>67</v>
      </c>
      <c r="B68" s="619" t="s">
        <v>2621</v>
      </c>
      <c r="C68" s="619" t="s">
        <v>52</v>
      </c>
      <c r="D68" s="619" t="s">
        <v>5299</v>
      </c>
      <c r="E68" s="622" t="s">
        <v>7404</v>
      </c>
      <c r="F68" s="620"/>
      <c r="G68" s="620"/>
      <c r="H68" s="647"/>
      <c r="I68" s="620"/>
      <c r="J68" s="620" t="s">
        <v>7415</v>
      </c>
      <c r="K68" s="620" t="s">
        <v>7416</v>
      </c>
      <c r="L68" s="620"/>
      <c r="M68" s="620"/>
      <c r="N68" s="620"/>
      <c r="O68" s="620"/>
      <c r="P68" s="620"/>
      <c r="Q68" s="620"/>
    </row>
    <row r="69" spans="1:17">
      <c r="A69" s="640">
        <f t="shared" si="0"/>
        <v>68</v>
      </c>
      <c r="B69" s="619" t="s">
        <v>2622</v>
      </c>
      <c r="C69" s="619" t="s">
        <v>52</v>
      </c>
      <c r="D69" s="619" t="s">
        <v>5299</v>
      </c>
      <c r="E69" s="622" t="s">
        <v>7453</v>
      </c>
      <c r="F69" s="620"/>
      <c r="G69" s="620"/>
      <c r="H69" s="647"/>
      <c r="I69" s="620"/>
      <c r="J69" s="620"/>
      <c r="K69" s="620" t="s">
        <v>7515</v>
      </c>
      <c r="L69" s="620"/>
      <c r="M69" s="620" t="s">
        <v>7516</v>
      </c>
      <c r="N69" s="620"/>
      <c r="O69" s="620"/>
      <c r="P69" s="620"/>
      <c r="Q69" s="620"/>
    </row>
    <row r="70" spans="1:17">
      <c r="A70" s="640">
        <f t="shared" si="0"/>
        <v>69</v>
      </c>
      <c r="B70" s="619" t="s">
        <v>2623</v>
      </c>
      <c r="C70" s="619" t="s">
        <v>52</v>
      </c>
      <c r="D70" s="619" t="s">
        <v>5299</v>
      </c>
      <c r="E70" s="622" t="s">
        <v>7454</v>
      </c>
      <c r="F70" s="620"/>
      <c r="G70" s="620"/>
      <c r="H70" s="647"/>
      <c r="I70" s="620"/>
      <c r="J70" s="620" t="s">
        <v>5427</v>
      </c>
      <c r="K70" s="620" t="s">
        <v>5432</v>
      </c>
      <c r="L70" s="620"/>
      <c r="M70" s="620"/>
      <c r="N70" s="620"/>
      <c r="O70" s="620"/>
      <c r="P70" s="620"/>
      <c r="Q70" s="620"/>
    </row>
    <row r="71" spans="1:17" ht="22.5">
      <c r="A71" s="640">
        <f t="shared" si="0"/>
        <v>70</v>
      </c>
      <c r="B71" s="619" t="s">
        <v>2392</v>
      </c>
      <c r="C71" s="619" t="s">
        <v>4258</v>
      </c>
      <c r="D71" s="619" t="s">
        <v>4267</v>
      </c>
      <c r="E71" s="622" t="s">
        <v>4065</v>
      </c>
      <c r="F71" s="620"/>
      <c r="G71" s="620"/>
      <c r="H71" s="650" t="s">
        <v>7464</v>
      </c>
      <c r="I71" s="636" t="s">
        <v>7500</v>
      </c>
      <c r="J71" s="620" t="s">
        <v>5673</v>
      </c>
      <c r="K71" s="620" t="s">
        <v>5404</v>
      </c>
      <c r="L71" s="636" t="s">
        <v>3715</v>
      </c>
      <c r="M71" s="620"/>
      <c r="N71" s="620"/>
      <c r="O71" s="620"/>
      <c r="P71" s="620"/>
      <c r="Q71" s="620"/>
    </row>
    <row r="72" spans="1:17">
      <c r="A72" s="640">
        <f t="shared" si="0"/>
        <v>71</v>
      </c>
      <c r="B72" s="619" t="s">
        <v>2393</v>
      </c>
      <c r="C72" s="619" t="s">
        <v>4258</v>
      </c>
      <c r="D72" s="619" t="s">
        <v>4267</v>
      </c>
      <c r="E72" s="622" t="s">
        <v>4066</v>
      </c>
      <c r="F72" s="620"/>
      <c r="G72" s="620"/>
      <c r="H72" s="650"/>
      <c r="I72" s="636"/>
      <c r="J72" s="667" t="s">
        <v>7501</v>
      </c>
      <c r="K72" s="668" t="s">
        <v>7502</v>
      </c>
      <c r="L72" s="636"/>
      <c r="M72" s="620"/>
      <c r="N72" s="620"/>
      <c r="O72" s="620"/>
      <c r="P72" s="620"/>
      <c r="Q72" s="620"/>
    </row>
    <row r="73" spans="1:17">
      <c r="A73" s="640">
        <f t="shared" si="0"/>
        <v>72</v>
      </c>
      <c r="B73" s="619" t="s">
        <v>2394</v>
      </c>
      <c r="C73" s="619" t="s">
        <v>4261</v>
      </c>
      <c r="D73" s="619" t="s">
        <v>4262</v>
      </c>
      <c r="E73" s="622" t="s">
        <v>4067</v>
      </c>
      <c r="F73" s="620"/>
      <c r="G73" s="620"/>
      <c r="H73" s="650" t="s">
        <v>7464</v>
      </c>
      <c r="I73" s="636"/>
      <c r="J73" s="620" t="s">
        <v>5613</v>
      </c>
      <c r="K73" s="620"/>
      <c r="L73" s="636" t="s">
        <v>5310</v>
      </c>
      <c r="M73" s="620"/>
      <c r="N73" s="620"/>
      <c r="O73" s="620"/>
      <c r="P73" s="620"/>
      <c r="Q73" s="620"/>
    </row>
    <row r="74" spans="1:17">
      <c r="A74" s="640">
        <f t="shared" si="0"/>
        <v>73</v>
      </c>
      <c r="B74" s="619" t="s">
        <v>2395</v>
      </c>
      <c r="C74" s="619" t="s">
        <v>4261</v>
      </c>
      <c r="D74" s="619" t="s">
        <v>4262</v>
      </c>
      <c r="E74" s="622" t="s">
        <v>4068</v>
      </c>
      <c r="F74" s="620"/>
      <c r="G74" s="620"/>
      <c r="H74" s="650" t="s">
        <v>7464</v>
      </c>
      <c r="I74" s="636"/>
      <c r="J74" s="620" t="s">
        <v>5613</v>
      </c>
      <c r="K74" s="620"/>
      <c r="L74" s="636" t="s">
        <v>5311</v>
      </c>
      <c r="M74" s="620"/>
      <c r="N74" s="620"/>
      <c r="O74" s="620"/>
      <c r="P74" s="620"/>
      <c r="Q74" s="620"/>
    </row>
    <row r="75" spans="1:17">
      <c r="A75" s="640">
        <f t="shared" si="0"/>
        <v>74</v>
      </c>
      <c r="B75" s="619" t="s">
        <v>2396</v>
      </c>
      <c r="C75" s="619" t="s">
        <v>4261</v>
      </c>
      <c r="D75" s="619" t="s">
        <v>4260</v>
      </c>
      <c r="E75" s="622" t="s">
        <v>1055</v>
      </c>
      <c r="F75" s="620"/>
      <c r="G75" s="620"/>
      <c r="H75" s="650" t="s">
        <v>7464</v>
      </c>
      <c r="I75" s="636"/>
      <c r="J75" s="620" t="s">
        <v>5613</v>
      </c>
      <c r="K75" s="620"/>
      <c r="L75" s="636" t="s">
        <v>859</v>
      </c>
      <c r="M75" s="620"/>
      <c r="N75" s="620"/>
      <c r="O75" s="620"/>
      <c r="P75" s="620"/>
      <c r="Q75" s="620"/>
    </row>
    <row r="76" spans="1:17">
      <c r="A76" s="640">
        <f t="shared" si="0"/>
        <v>75</v>
      </c>
      <c r="B76" s="619" t="s">
        <v>2397</v>
      </c>
      <c r="C76" s="619" t="s">
        <v>4258</v>
      </c>
      <c r="D76" s="619" t="s">
        <v>4263</v>
      </c>
      <c r="E76" s="622" t="s">
        <v>4069</v>
      </c>
      <c r="F76" s="620"/>
      <c r="G76" s="620"/>
      <c r="H76" s="650" t="s">
        <v>7464</v>
      </c>
      <c r="I76" s="636"/>
      <c r="J76" s="620" t="s">
        <v>5613</v>
      </c>
      <c r="K76" s="620"/>
      <c r="L76" s="636" t="s">
        <v>5312</v>
      </c>
      <c r="M76" s="620"/>
      <c r="N76" s="620"/>
      <c r="O76" s="620"/>
      <c r="P76" s="620"/>
      <c r="Q76" s="620"/>
    </row>
    <row r="77" spans="1:17">
      <c r="A77" s="640">
        <f t="shared" ref="A77:A141" si="1">ROW()-1</f>
        <v>76</v>
      </c>
      <c r="B77" s="619" t="s">
        <v>2398</v>
      </c>
      <c r="C77" s="619" t="s">
        <v>4258</v>
      </c>
      <c r="D77" s="619" t="s">
        <v>4263</v>
      </c>
      <c r="E77" s="622" t="s">
        <v>4070</v>
      </c>
      <c r="F77" s="620"/>
      <c r="G77" s="620"/>
      <c r="H77" s="650" t="s">
        <v>7464</v>
      </c>
      <c r="I77" s="636"/>
      <c r="J77" s="620" t="s">
        <v>5613</v>
      </c>
      <c r="K77" s="620"/>
      <c r="L77" s="636" t="s">
        <v>5313</v>
      </c>
      <c r="M77" s="620"/>
      <c r="N77" s="620"/>
      <c r="O77" s="620"/>
      <c r="P77" s="620"/>
      <c r="Q77" s="620"/>
    </row>
    <row r="78" spans="1:17">
      <c r="A78" s="640">
        <f t="shared" si="1"/>
        <v>77</v>
      </c>
      <c r="B78" s="619" t="s">
        <v>2399</v>
      </c>
      <c r="C78" s="619" t="s">
        <v>4258</v>
      </c>
      <c r="D78" s="619" t="s">
        <v>4263</v>
      </c>
      <c r="E78" s="622" t="s">
        <v>4071</v>
      </c>
      <c r="F78" s="620"/>
      <c r="G78" s="620"/>
      <c r="H78" s="650" t="s">
        <v>7464</v>
      </c>
      <c r="I78" s="636"/>
      <c r="J78" s="620" t="s">
        <v>5613</v>
      </c>
      <c r="K78" s="620"/>
      <c r="L78" s="636" t="s">
        <v>5314</v>
      </c>
      <c r="M78" s="620"/>
      <c r="N78" s="620"/>
      <c r="O78" s="620"/>
      <c r="P78" s="620"/>
      <c r="Q78" s="620"/>
    </row>
    <row r="79" spans="1:17">
      <c r="A79" s="640">
        <f t="shared" si="1"/>
        <v>78</v>
      </c>
      <c r="B79" s="619" t="s">
        <v>2400</v>
      </c>
      <c r="C79" s="619" t="s">
        <v>4258</v>
      </c>
      <c r="D79" s="619" t="s">
        <v>4263</v>
      </c>
      <c r="E79" s="622" t="s">
        <v>4072</v>
      </c>
      <c r="F79" s="620"/>
      <c r="G79" s="620"/>
      <c r="H79" s="650" t="s">
        <v>7464</v>
      </c>
      <c r="I79" s="636"/>
      <c r="J79" s="620" t="s">
        <v>5613</v>
      </c>
      <c r="K79" s="620"/>
      <c r="L79" s="636" t="s">
        <v>5315</v>
      </c>
      <c r="M79" s="620"/>
      <c r="N79" s="620"/>
      <c r="O79" s="620"/>
      <c r="P79" s="620"/>
      <c r="Q79" s="620"/>
    </row>
    <row r="80" spans="1:17">
      <c r="A80" s="640">
        <f t="shared" si="1"/>
        <v>79</v>
      </c>
      <c r="B80" s="619" t="s">
        <v>2401</v>
      </c>
      <c r="C80" s="619" t="s">
        <v>4261</v>
      </c>
      <c r="D80" s="619" t="s">
        <v>4262</v>
      </c>
      <c r="E80" s="622" t="s">
        <v>4073</v>
      </c>
      <c r="F80" s="620"/>
      <c r="G80" s="620"/>
      <c r="H80" s="650" t="s">
        <v>7464</v>
      </c>
      <c r="I80" s="636"/>
      <c r="J80" s="620" t="s">
        <v>5613</v>
      </c>
      <c r="K80" s="620"/>
      <c r="L80" s="636" t="s">
        <v>5316</v>
      </c>
      <c r="M80" s="620"/>
      <c r="N80" s="620"/>
      <c r="O80" s="620"/>
      <c r="P80" s="620"/>
      <c r="Q80" s="620"/>
    </row>
    <row r="81" spans="1:17">
      <c r="A81" s="640">
        <f t="shared" si="1"/>
        <v>80</v>
      </c>
      <c r="B81" s="619" t="s">
        <v>2402</v>
      </c>
      <c r="C81" s="619" t="s">
        <v>4261</v>
      </c>
      <c r="D81" s="619" t="s">
        <v>4262</v>
      </c>
      <c r="E81" s="622" t="s">
        <v>4074</v>
      </c>
      <c r="F81" s="620"/>
      <c r="G81" s="620"/>
      <c r="H81" s="650" t="s">
        <v>7464</v>
      </c>
      <c r="I81" s="636"/>
      <c r="J81" s="620" t="s">
        <v>5613</v>
      </c>
      <c r="K81" s="620"/>
      <c r="L81" s="636" t="s">
        <v>5317</v>
      </c>
      <c r="M81" s="620"/>
      <c r="N81" s="620"/>
      <c r="O81" s="620"/>
      <c r="P81" s="620"/>
      <c r="Q81" s="620"/>
    </row>
    <row r="82" spans="1:17">
      <c r="A82" s="640">
        <f t="shared" si="1"/>
        <v>81</v>
      </c>
      <c r="B82" s="619" t="s">
        <v>2403</v>
      </c>
      <c r="C82" s="619" t="s">
        <v>4261</v>
      </c>
      <c r="D82" s="619" t="s">
        <v>4262</v>
      </c>
      <c r="E82" s="622" t="s">
        <v>4075</v>
      </c>
      <c r="F82" s="620"/>
      <c r="G82" s="620"/>
      <c r="H82" s="650" t="s">
        <v>7464</v>
      </c>
      <c r="I82" s="636"/>
      <c r="J82" s="620" t="s">
        <v>5613</v>
      </c>
      <c r="K82" s="620"/>
      <c r="L82" s="636" t="s">
        <v>4452</v>
      </c>
      <c r="M82" s="620"/>
      <c r="N82" s="620"/>
      <c r="O82" s="620"/>
      <c r="P82" s="620"/>
      <c r="Q82" s="620"/>
    </row>
    <row r="83" spans="1:17">
      <c r="A83" s="640">
        <f t="shared" si="1"/>
        <v>82</v>
      </c>
      <c r="B83" s="619" t="s">
        <v>2405</v>
      </c>
      <c r="C83" s="619" t="s">
        <v>4261</v>
      </c>
      <c r="D83" s="619" t="s">
        <v>4260</v>
      </c>
      <c r="E83" s="622" t="s">
        <v>4273</v>
      </c>
      <c r="F83" s="620"/>
      <c r="G83" s="620"/>
      <c r="H83" s="650" t="s">
        <v>7464</v>
      </c>
      <c r="I83" s="636"/>
      <c r="J83" s="620" t="s">
        <v>5613</v>
      </c>
      <c r="K83" s="620"/>
      <c r="L83" s="636" t="s">
        <v>5318</v>
      </c>
      <c r="M83" s="620"/>
      <c r="N83" s="620"/>
      <c r="O83" s="620"/>
      <c r="P83" s="620"/>
      <c r="Q83" s="620"/>
    </row>
    <row r="84" spans="1:17">
      <c r="A84" s="640">
        <f t="shared" si="1"/>
        <v>83</v>
      </c>
      <c r="B84" s="619" t="s">
        <v>4076</v>
      </c>
      <c r="C84" s="619" t="s">
        <v>4261</v>
      </c>
      <c r="D84" s="619" t="s">
        <v>4262</v>
      </c>
      <c r="E84" s="622" t="s">
        <v>4077</v>
      </c>
      <c r="F84" s="620"/>
      <c r="G84" s="620"/>
      <c r="H84" s="650" t="s">
        <v>7464</v>
      </c>
      <c r="I84" s="655"/>
      <c r="J84" s="620" t="s">
        <v>5613</v>
      </c>
      <c r="K84" s="620"/>
      <c r="L84" s="655" t="s">
        <v>5319</v>
      </c>
      <c r="M84" s="620"/>
      <c r="N84" s="620"/>
      <c r="O84" s="620"/>
      <c r="P84" s="620"/>
      <c r="Q84" s="620"/>
    </row>
    <row r="85" spans="1:17">
      <c r="A85" s="640">
        <f t="shared" si="1"/>
        <v>84</v>
      </c>
      <c r="B85" s="619" t="s">
        <v>4078</v>
      </c>
      <c r="C85" s="619" t="s">
        <v>4261</v>
      </c>
      <c r="D85" s="619" t="s">
        <v>4262</v>
      </c>
      <c r="E85" s="622" t="s">
        <v>4079</v>
      </c>
      <c r="F85" s="620"/>
      <c r="G85" s="620"/>
      <c r="H85" s="650" t="s">
        <v>7464</v>
      </c>
      <c r="I85" s="636"/>
      <c r="J85" s="620" t="s">
        <v>5613</v>
      </c>
      <c r="K85" s="620"/>
      <c r="L85" s="636" t="s">
        <v>5320</v>
      </c>
      <c r="M85" s="620"/>
      <c r="N85" s="620"/>
      <c r="O85" s="620"/>
      <c r="P85" s="620"/>
      <c r="Q85" s="620"/>
    </row>
    <row r="86" spans="1:17">
      <c r="A86" s="640">
        <f t="shared" si="1"/>
        <v>85</v>
      </c>
      <c r="B86" s="619" t="s">
        <v>4080</v>
      </c>
      <c r="C86" s="619" t="s">
        <v>4261</v>
      </c>
      <c r="D86" s="619" t="s">
        <v>4262</v>
      </c>
      <c r="E86" s="622" t="s">
        <v>4081</v>
      </c>
      <c r="F86" s="620"/>
      <c r="G86" s="620"/>
      <c r="H86" s="650" t="s">
        <v>7464</v>
      </c>
      <c r="I86" s="636"/>
      <c r="J86" s="620" t="s">
        <v>5613</v>
      </c>
      <c r="K86" s="620"/>
      <c r="L86" s="636" t="s">
        <v>5321</v>
      </c>
      <c r="M86" s="620"/>
      <c r="N86" s="620"/>
      <c r="O86" s="620"/>
      <c r="P86" s="620"/>
      <c r="Q86" s="620"/>
    </row>
    <row r="87" spans="1:17">
      <c r="A87" s="640">
        <f t="shared" si="1"/>
        <v>86</v>
      </c>
      <c r="B87" s="619" t="s">
        <v>4082</v>
      </c>
      <c r="C87" s="619" t="s">
        <v>4261</v>
      </c>
      <c r="D87" s="619" t="s">
        <v>4262</v>
      </c>
      <c r="E87" s="622" t="s">
        <v>4083</v>
      </c>
      <c r="F87" s="620"/>
      <c r="G87" s="620"/>
      <c r="H87" s="650" t="s">
        <v>7464</v>
      </c>
      <c r="I87" s="636"/>
      <c r="J87" s="620" t="s">
        <v>5613</v>
      </c>
      <c r="K87" s="620"/>
      <c r="L87" s="636" t="s">
        <v>5322</v>
      </c>
      <c r="M87" s="620"/>
      <c r="N87" s="620"/>
      <c r="O87" s="620"/>
      <c r="P87" s="620"/>
      <c r="Q87" s="620"/>
    </row>
    <row r="88" spans="1:17">
      <c r="A88" s="640">
        <f t="shared" si="1"/>
        <v>87</v>
      </c>
      <c r="B88" s="619" t="s">
        <v>4084</v>
      </c>
      <c r="C88" s="619" t="s">
        <v>4261</v>
      </c>
      <c r="D88" s="619" t="s">
        <v>4262</v>
      </c>
      <c r="E88" s="622" t="s">
        <v>4085</v>
      </c>
      <c r="F88" s="620"/>
      <c r="G88" s="620"/>
      <c r="H88" s="650" t="s">
        <v>7464</v>
      </c>
      <c r="I88" s="636"/>
      <c r="J88" s="620" t="s">
        <v>5613</v>
      </c>
      <c r="K88" s="620"/>
      <c r="L88" s="636" t="s">
        <v>4454</v>
      </c>
      <c r="M88" s="620"/>
      <c r="N88" s="620"/>
      <c r="O88" s="620"/>
      <c r="P88" s="620"/>
      <c r="Q88" s="620"/>
    </row>
    <row r="89" spans="1:17">
      <c r="A89" s="640">
        <f t="shared" si="1"/>
        <v>88</v>
      </c>
      <c r="B89" s="619" t="s">
        <v>4086</v>
      </c>
      <c r="C89" s="619" t="s">
        <v>4261</v>
      </c>
      <c r="D89" s="619" t="s">
        <v>4262</v>
      </c>
      <c r="E89" s="622" t="s">
        <v>4087</v>
      </c>
      <c r="F89" s="620"/>
      <c r="G89" s="620"/>
      <c r="H89" s="650" t="s">
        <v>7464</v>
      </c>
      <c r="I89" s="636"/>
      <c r="J89" s="620" t="s">
        <v>5613</v>
      </c>
      <c r="K89" s="620"/>
      <c r="L89" s="636" t="s">
        <v>5323</v>
      </c>
      <c r="M89" s="620"/>
      <c r="N89" s="620"/>
      <c r="O89" s="620"/>
      <c r="P89" s="620"/>
      <c r="Q89" s="620"/>
    </row>
    <row r="90" spans="1:17">
      <c r="A90" s="640">
        <f t="shared" si="1"/>
        <v>89</v>
      </c>
      <c r="B90" s="619" t="s">
        <v>4088</v>
      </c>
      <c r="C90" s="619" t="s">
        <v>4261</v>
      </c>
      <c r="D90" s="619" t="s">
        <v>4262</v>
      </c>
      <c r="E90" s="622" t="s">
        <v>4089</v>
      </c>
      <c r="F90" s="620"/>
      <c r="G90" s="620"/>
      <c r="H90" s="650" t="s">
        <v>7464</v>
      </c>
      <c r="I90" s="636"/>
      <c r="J90" s="620" t="s">
        <v>5613</v>
      </c>
      <c r="K90" s="620"/>
      <c r="L90" s="636" t="s">
        <v>5324</v>
      </c>
      <c r="M90" s="620"/>
      <c r="N90" s="620"/>
      <c r="O90" s="620"/>
      <c r="P90" s="620"/>
      <c r="Q90" s="620"/>
    </row>
    <row r="91" spans="1:17">
      <c r="A91" s="640">
        <f t="shared" si="1"/>
        <v>90</v>
      </c>
      <c r="B91" s="619" t="s">
        <v>4090</v>
      </c>
      <c r="C91" s="619" t="s">
        <v>4261</v>
      </c>
      <c r="D91" s="619" t="s">
        <v>4262</v>
      </c>
      <c r="E91" s="622" t="s">
        <v>4091</v>
      </c>
      <c r="F91" s="620"/>
      <c r="G91" s="620"/>
      <c r="H91" s="650" t="s">
        <v>7464</v>
      </c>
      <c r="I91" s="636"/>
      <c r="J91" s="620" t="s">
        <v>5613</v>
      </c>
      <c r="K91" s="620"/>
      <c r="L91" s="636" t="s">
        <v>5325</v>
      </c>
      <c r="M91" s="620"/>
      <c r="N91" s="620"/>
      <c r="O91" s="620"/>
      <c r="P91" s="620"/>
      <c r="Q91" s="620"/>
    </row>
    <row r="92" spans="1:17">
      <c r="A92" s="640">
        <f t="shared" si="1"/>
        <v>91</v>
      </c>
      <c r="B92" s="619" t="s">
        <v>4092</v>
      </c>
      <c r="C92" s="619" t="s">
        <v>4261</v>
      </c>
      <c r="D92" s="619" t="s">
        <v>4262</v>
      </c>
      <c r="E92" s="622" t="s">
        <v>4093</v>
      </c>
      <c r="F92" s="620"/>
      <c r="G92" s="620"/>
      <c r="H92" s="650" t="s">
        <v>7464</v>
      </c>
      <c r="I92" s="636"/>
      <c r="J92" s="620" t="s">
        <v>5613</v>
      </c>
      <c r="K92" s="620"/>
      <c r="L92" s="636" t="s">
        <v>5326</v>
      </c>
      <c r="M92" s="620"/>
      <c r="N92" s="620"/>
      <c r="O92" s="620"/>
      <c r="P92" s="620"/>
      <c r="Q92" s="620"/>
    </row>
    <row r="93" spans="1:17">
      <c r="A93" s="640">
        <f t="shared" si="1"/>
        <v>92</v>
      </c>
      <c r="B93" s="619" t="s">
        <v>4094</v>
      </c>
      <c r="C93" s="619" t="s">
        <v>4261</v>
      </c>
      <c r="D93" s="619" t="s">
        <v>4262</v>
      </c>
      <c r="E93" s="622" t="s">
        <v>4095</v>
      </c>
      <c r="F93" s="620"/>
      <c r="G93" s="620"/>
      <c r="H93" s="650" t="s">
        <v>7464</v>
      </c>
      <c r="I93" s="636"/>
      <c r="J93" s="620" t="s">
        <v>5613</v>
      </c>
      <c r="K93" s="620"/>
      <c r="L93" s="636" t="s">
        <v>4456</v>
      </c>
      <c r="M93" s="620"/>
      <c r="N93" s="620"/>
      <c r="O93" s="620"/>
      <c r="P93" s="620"/>
      <c r="Q93" s="620"/>
    </row>
    <row r="94" spans="1:17">
      <c r="A94" s="640">
        <f t="shared" si="1"/>
        <v>93</v>
      </c>
      <c r="B94" s="619" t="s">
        <v>4096</v>
      </c>
      <c r="C94" s="619" t="s">
        <v>4261</v>
      </c>
      <c r="D94" s="619" t="s">
        <v>4262</v>
      </c>
      <c r="E94" s="622" t="s">
        <v>4097</v>
      </c>
      <c r="F94" s="620"/>
      <c r="G94" s="620"/>
      <c r="H94" s="650" t="s">
        <v>7464</v>
      </c>
      <c r="I94" s="636"/>
      <c r="J94" s="620" t="s">
        <v>5613</v>
      </c>
      <c r="K94" s="620"/>
      <c r="L94" s="636" t="s">
        <v>5327</v>
      </c>
      <c r="M94" s="620"/>
      <c r="N94" s="620"/>
      <c r="O94" s="620"/>
      <c r="P94" s="620"/>
      <c r="Q94" s="620"/>
    </row>
    <row r="95" spans="1:17">
      <c r="A95" s="640">
        <f t="shared" si="1"/>
        <v>94</v>
      </c>
      <c r="B95" s="619" t="s">
        <v>4098</v>
      </c>
      <c r="C95" s="619" t="s">
        <v>4261</v>
      </c>
      <c r="D95" s="619" t="s">
        <v>4262</v>
      </c>
      <c r="E95" s="622" t="s">
        <v>4099</v>
      </c>
      <c r="F95" s="620"/>
      <c r="G95" s="620"/>
      <c r="H95" s="650" t="s">
        <v>7464</v>
      </c>
      <c r="I95" s="636"/>
      <c r="J95" s="620" t="s">
        <v>5613</v>
      </c>
      <c r="K95" s="620"/>
      <c r="L95" s="636" t="s">
        <v>5328</v>
      </c>
      <c r="M95" s="620"/>
      <c r="N95" s="620"/>
      <c r="O95" s="620"/>
      <c r="P95" s="620"/>
      <c r="Q95" s="620"/>
    </row>
    <row r="96" spans="1:17">
      <c r="A96" s="640">
        <f t="shared" si="1"/>
        <v>95</v>
      </c>
      <c r="B96" s="619" t="s">
        <v>4100</v>
      </c>
      <c r="C96" s="619" t="s">
        <v>4261</v>
      </c>
      <c r="D96" s="619" t="s">
        <v>4262</v>
      </c>
      <c r="E96" s="622" t="s">
        <v>4101</v>
      </c>
      <c r="F96" s="620"/>
      <c r="G96" s="620"/>
      <c r="H96" s="650" t="s">
        <v>7464</v>
      </c>
      <c r="I96" s="636"/>
      <c r="J96" s="620" t="s">
        <v>5613</v>
      </c>
      <c r="K96" s="620"/>
      <c r="L96" s="636" t="s">
        <v>5329</v>
      </c>
      <c r="M96" s="620"/>
      <c r="N96" s="620"/>
      <c r="O96" s="620"/>
      <c r="P96" s="620"/>
      <c r="Q96" s="620"/>
    </row>
    <row r="97" spans="1:17">
      <c r="A97" s="640">
        <f t="shared" si="1"/>
        <v>96</v>
      </c>
      <c r="B97" s="619" t="s">
        <v>4102</v>
      </c>
      <c r="C97" s="619" t="s">
        <v>4261</v>
      </c>
      <c r="D97" s="619" t="s">
        <v>4262</v>
      </c>
      <c r="E97" s="622" t="s">
        <v>4103</v>
      </c>
      <c r="F97" s="620"/>
      <c r="G97" s="620"/>
      <c r="H97" s="650" t="s">
        <v>7464</v>
      </c>
      <c r="I97" s="636"/>
      <c r="J97" s="620" t="s">
        <v>5613</v>
      </c>
      <c r="K97" s="620"/>
      <c r="L97" s="636" t="s">
        <v>5330</v>
      </c>
      <c r="M97" s="620"/>
      <c r="N97" s="620"/>
      <c r="O97" s="620"/>
      <c r="P97" s="620"/>
      <c r="Q97" s="620"/>
    </row>
    <row r="98" spans="1:17">
      <c r="A98" s="640">
        <f t="shared" si="1"/>
        <v>97</v>
      </c>
      <c r="B98" s="619" t="s">
        <v>4104</v>
      </c>
      <c r="C98" s="619" t="s">
        <v>4261</v>
      </c>
      <c r="D98" s="619" t="s">
        <v>4262</v>
      </c>
      <c r="E98" s="622" t="s">
        <v>4105</v>
      </c>
      <c r="F98" s="620"/>
      <c r="G98" s="620"/>
      <c r="H98" s="650" t="s">
        <v>7464</v>
      </c>
      <c r="I98" s="636"/>
      <c r="J98" s="620" t="s">
        <v>5613</v>
      </c>
      <c r="K98" s="620"/>
      <c r="L98" s="636" t="s">
        <v>5331</v>
      </c>
      <c r="M98" s="620"/>
      <c r="N98" s="620"/>
      <c r="O98" s="620"/>
      <c r="P98" s="620"/>
      <c r="Q98" s="620"/>
    </row>
    <row r="99" spans="1:17">
      <c r="A99" s="640">
        <f t="shared" si="1"/>
        <v>98</v>
      </c>
      <c r="B99" s="619" t="s">
        <v>4106</v>
      </c>
      <c r="C99" s="619" t="s">
        <v>4261</v>
      </c>
      <c r="D99" s="619" t="s">
        <v>4262</v>
      </c>
      <c r="E99" s="622" t="s">
        <v>4107</v>
      </c>
      <c r="F99" s="620"/>
      <c r="G99" s="620"/>
      <c r="H99" s="650" t="s">
        <v>7464</v>
      </c>
      <c r="I99" s="636"/>
      <c r="J99" s="620" t="s">
        <v>5613</v>
      </c>
      <c r="K99" s="620"/>
      <c r="L99" s="636" t="s">
        <v>5332</v>
      </c>
      <c r="M99" s="620"/>
      <c r="N99" s="620"/>
      <c r="O99" s="620"/>
      <c r="P99" s="620"/>
      <c r="Q99" s="620"/>
    </row>
    <row r="100" spans="1:17">
      <c r="A100" s="640">
        <f t="shared" si="1"/>
        <v>99</v>
      </c>
      <c r="B100" s="619" t="s">
        <v>4108</v>
      </c>
      <c r="C100" s="619" t="s">
        <v>4261</v>
      </c>
      <c r="D100" s="619" t="s">
        <v>4262</v>
      </c>
      <c r="E100" s="622" t="s">
        <v>4109</v>
      </c>
      <c r="F100" s="620"/>
      <c r="G100" s="620"/>
      <c r="H100" s="650" t="s">
        <v>7464</v>
      </c>
      <c r="I100" s="636"/>
      <c r="J100" s="620" t="s">
        <v>5613</v>
      </c>
      <c r="K100" s="620"/>
      <c r="L100" s="636" t="s">
        <v>5333</v>
      </c>
      <c r="M100" s="620"/>
      <c r="N100" s="620"/>
      <c r="O100" s="620"/>
      <c r="P100" s="620"/>
      <c r="Q100" s="620"/>
    </row>
    <row r="101" spans="1:17">
      <c r="A101" s="640">
        <f t="shared" si="1"/>
        <v>100</v>
      </c>
      <c r="B101" s="619" t="s">
        <v>4110</v>
      </c>
      <c r="C101" s="619" t="s">
        <v>4261</v>
      </c>
      <c r="D101" s="619" t="s">
        <v>4262</v>
      </c>
      <c r="E101" s="622" t="s">
        <v>4111</v>
      </c>
      <c r="F101" s="620"/>
      <c r="G101" s="620"/>
      <c r="H101" s="650" t="s">
        <v>7464</v>
      </c>
      <c r="I101" s="636"/>
      <c r="J101" s="620" t="s">
        <v>5613</v>
      </c>
      <c r="K101" s="620"/>
      <c r="L101" s="636" t="s">
        <v>5334</v>
      </c>
      <c r="M101" s="620"/>
      <c r="N101" s="620"/>
      <c r="O101" s="620"/>
      <c r="P101" s="620"/>
      <c r="Q101" s="620"/>
    </row>
    <row r="102" spans="1:17">
      <c r="A102" s="640">
        <f t="shared" si="1"/>
        <v>101</v>
      </c>
      <c r="B102" s="619" t="s">
        <v>4112</v>
      </c>
      <c r="C102" s="619" t="s">
        <v>4261</v>
      </c>
      <c r="D102" s="619" t="s">
        <v>4262</v>
      </c>
      <c r="E102" s="622" t="s">
        <v>4113</v>
      </c>
      <c r="F102" s="620"/>
      <c r="G102" s="620"/>
      <c r="H102" s="650" t="s">
        <v>7464</v>
      </c>
      <c r="I102" s="636"/>
      <c r="J102" s="620" t="s">
        <v>5613</v>
      </c>
      <c r="K102" s="620"/>
      <c r="L102" s="636" t="s">
        <v>5335</v>
      </c>
      <c r="M102" s="620"/>
      <c r="N102" s="620"/>
      <c r="O102" s="620"/>
      <c r="P102" s="620"/>
      <c r="Q102" s="620"/>
    </row>
    <row r="103" spans="1:17">
      <c r="A103" s="640">
        <f t="shared" si="1"/>
        <v>102</v>
      </c>
      <c r="B103" s="619" t="s">
        <v>4114</v>
      </c>
      <c r="C103" s="619" t="s">
        <v>4261</v>
      </c>
      <c r="D103" s="619" t="s">
        <v>4262</v>
      </c>
      <c r="E103" s="622" t="s">
        <v>4115</v>
      </c>
      <c r="F103" s="620"/>
      <c r="G103" s="620"/>
      <c r="H103" s="650" t="s">
        <v>7464</v>
      </c>
      <c r="I103" s="636"/>
      <c r="J103" s="620" t="s">
        <v>5613</v>
      </c>
      <c r="K103" s="620"/>
      <c r="L103" s="636" t="s">
        <v>5336</v>
      </c>
      <c r="M103" s="620"/>
      <c r="N103" s="620"/>
      <c r="O103" s="620"/>
      <c r="P103" s="620"/>
      <c r="Q103" s="620"/>
    </row>
    <row r="104" spans="1:17">
      <c r="A104" s="640">
        <f t="shared" si="1"/>
        <v>103</v>
      </c>
      <c r="B104" s="619" t="s">
        <v>4116</v>
      </c>
      <c r="C104" s="619" t="s">
        <v>4261</v>
      </c>
      <c r="D104" s="619" t="s">
        <v>4262</v>
      </c>
      <c r="E104" s="622" t="s">
        <v>4117</v>
      </c>
      <c r="F104" s="620"/>
      <c r="G104" s="620"/>
      <c r="H104" s="650" t="s">
        <v>7464</v>
      </c>
      <c r="I104" s="636"/>
      <c r="J104" s="620" t="s">
        <v>5613</v>
      </c>
      <c r="K104" s="620"/>
      <c r="L104" s="636" t="s">
        <v>5337</v>
      </c>
      <c r="M104" s="620"/>
      <c r="N104" s="620"/>
      <c r="O104" s="620"/>
      <c r="P104" s="620"/>
      <c r="Q104" s="620"/>
    </row>
    <row r="105" spans="1:17">
      <c r="A105" s="640">
        <f t="shared" si="1"/>
        <v>104</v>
      </c>
      <c r="B105" s="619" t="s">
        <v>4118</v>
      </c>
      <c r="C105" s="619" t="s">
        <v>4261</v>
      </c>
      <c r="D105" s="619" t="s">
        <v>4262</v>
      </c>
      <c r="E105" s="622" t="s">
        <v>2742</v>
      </c>
      <c r="F105" s="620"/>
      <c r="G105" s="620"/>
      <c r="H105" s="652" t="s">
        <v>7464</v>
      </c>
      <c r="I105" s="654"/>
      <c r="J105" s="620" t="s">
        <v>5673</v>
      </c>
      <c r="K105" s="620" t="s">
        <v>5197</v>
      </c>
      <c r="L105" s="654" t="s">
        <v>3714</v>
      </c>
      <c r="M105" s="620"/>
      <c r="N105" s="620"/>
      <c r="O105" s="620"/>
      <c r="P105" s="620"/>
      <c r="Q105" s="620"/>
    </row>
    <row r="106" spans="1:17">
      <c r="A106" s="640">
        <f t="shared" si="1"/>
        <v>105</v>
      </c>
      <c r="B106" s="619" t="s">
        <v>4119</v>
      </c>
      <c r="C106" s="619" t="s">
        <v>4261</v>
      </c>
      <c r="D106" s="619" t="s">
        <v>4262</v>
      </c>
      <c r="E106" s="622" t="s">
        <v>4120</v>
      </c>
      <c r="F106" s="620"/>
      <c r="G106" s="620"/>
      <c r="H106" s="650" t="s">
        <v>7464</v>
      </c>
      <c r="I106" s="636"/>
      <c r="J106" s="620" t="s">
        <v>5613</v>
      </c>
      <c r="K106" s="620"/>
      <c r="L106" s="636" t="s">
        <v>4445</v>
      </c>
      <c r="M106" s="620"/>
      <c r="N106" s="620"/>
      <c r="O106" s="620"/>
      <c r="P106" s="620"/>
      <c r="Q106" s="620"/>
    </row>
    <row r="107" spans="1:17">
      <c r="A107" s="640">
        <f t="shared" si="1"/>
        <v>106</v>
      </c>
      <c r="B107" s="619" t="s">
        <v>4121</v>
      </c>
      <c r="C107" s="619" t="s">
        <v>4258</v>
      </c>
      <c r="D107" s="619" t="s">
        <v>4267</v>
      </c>
      <c r="E107" s="622" t="s">
        <v>1973</v>
      </c>
      <c r="F107" s="620"/>
      <c r="G107" s="620"/>
      <c r="H107" s="647"/>
      <c r="I107" s="620"/>
      <c r="J107" s="620" t="s">
        <v>7508</v>
      </c>
      <c r="K107" s="620" t="s">
        <v>7503</v>
      </c>
      <c r="L107" s="620"/>
      <c r="M107" s="620" t="s">
        <v>5197</v>
      </c>
      <c r="N107" s="620"/>
      <c r="O107" s="620"/>
      <c r="P107" s="620"/>
      <c r="Q107" s="620"/>
    </row>
    <row r="108" spans="1:17">
      <c r="A108" s="640">
        <f t="shared" si="1"/>
        <v>107</v>
      </c>
      <c r="B108" s="619" t="s">
        <v>4122</v>
      </c>
      <c r="C108" s="619" t="s">
        <v>4258</v>
      </c>
      <c r="D108" s="619" t="s">
        <v>4263</v>
      </c>
      <c r="E108" s="622" t="s">
        <v>4123</v>
      </c>
      <c r="F108" s="620"/>
      <c r="G108" s="620"/>
      <c r="H108" s="638" t="s">
        <v>7465</v>
      </c>
      <c r="I108" s="636" t="s">
        <v>5872</v>
      </c>
      <c r="J108" s="620" t="s">
        <v>5669</v>
      </c>
      <c r="K108" s="620" t="s">
        <v>7505</v>
      </c>
      <c r="L108" s="636"/>
      <c r="M108" s="620" t="s">
        <v>7504</v>
      </c>
      <c r="N108" s="620"/>
      <c r="O108" s="620"/>
      <c r="P108" s="620"/>
      <c r="Q108" s="620"/>
    </row>
    <row r="109" spans="1:17">
      <c r="A109" s="640">
        <f t="shared" si="1"/>
        <v>108</v>
      </c>
      <c r="B109" s="619" t="s">
        <v>7455</v>
      </c>
      <c r="C109" s="619" t="s">
        <v>4258</v>
      </c>
      <c r="D109" s="619" t="s">
        <v>4267</v>
      </c>
      <c r="E109" s="622" t="s">
        <v>7456</v>
      </c>
      <c r="F109" s="620"/>
      <c r="G109" s="620"/>
      <c r="H109" s="638"/>
      <c r="I109" s="636"/>
      <c r="J109" s="620" t="s">
        <v>5673</v>
      </c>
      <c r="K109" s="620" t="s">
        <v>5675</v>
      </c>
      <c r="L109" s="654" t="s">
        <v>3109</v>
      </c>
      <c r="M109" s="620"/>
      <c r="N109" s="620"/>
      <c r="O109" s="620"/>
      <c r="P109" s="620"/>
      <c r="Q109" s="620"/>
    </row>
    <row r="110" spans="1:17">
      <c r="A110" s="640">
        <f t="shared" si="1"/>
        <v>109</v>
      </c>
      <c r="B110" s="619" t="s">
        <v>4124</v>
      </c>
      <c r="C110" s="619" t="s">
        <v>4261</v>
      </c>
      <c r="D110" s="619" t="s">
        <v>4262</v>
      </c>
      <c r="E110" s="622" t="s">
        <v>4125</v>
      </c>
      <c r="F110" s="620"/>
      <c r="G110" s="620"/>
      <c r="H110" s="656" t="s">
        <v>7466</v>
      </c>
      <c r="I110" s="629"/>
      <c r="J110" s="620" t="s">
        <v>7506</v>
      </c>
      <c r="K110" s="620" t="s">
        <v>7507</v>
      </c>
      <c r="L110" s="629" t="s">
        <v>5338</v>
      </c>
      <c r="M110" s="620"/>
      <c r="N110" s="620"/>
      <c r="O110" s="620"/>
      <c r="P110" s="620"/>
      <c r="Q110" s="620"/>
    </row>
    <row r="111" spans="1:17">
      <c r="A111" s="640">
        <f t="shared" si="1"/>
        <v>110</v>
      </c>
      <c r="B111" s="619" t="s">
        <v>2481</v>
      </c>
      <c r="C111" s="619" t="s">
        <v>4258</v>
      </c>
      <c r="D111" s="619" t="s">
        <v>4264</v>
      </c>
      <c r="E111" s="622" t="s">
        <v>4126</v>
      </c>
      <c r="F111" s="620"/>
      <c r="G111" s="620"/>
      <c r="H111" s="657" t="s">
        <v>7467</v>
      </c>
      <c r="I111" s="636"/>
      <c r="J111" s="620" t="s">
        <v>5453</v>
      </c>
      <c r="K111" s="620"/>
      <c r="L111" s="636" t="s">
        <v>5339</v>
      </c>
      <c r="M111" s="620"/>
      <c r="N111" s="620"/>
      <c r="O111" s="620"/>
      <c r="P111" s="620"/>
      <c r="Q111" s="620"/>
    </row>
    <row r="112" spans="1:17">
      <c r="A112" s="640">
        <f t="shared" si="1"/>
        <v>111</v>
      </c>
      <c r="B112" s="619" t="s">
        <v>2482</v>
      </c>
      <c r="C112" s="619" t="s">
        <v>4258</v>
      </c>
      <c r="D112" s="619" t="s">
        <v>4264</v>
      </c>
      <c r="E112" s="622" t="s">
        <v>4127</v>
      </c>
      <c r="F112" s="620"/>
      <c r="G112" s="620"/>
      <c r="H112" s="657" t="s">
        <v>7467</v>
      </c>
      <c r="I112" s="636"/>
      <c r="J112" s="620" t="s">
        <v>5453</v>
      </c>
      <c r="K112" s="620"/>
      <c r="L112" s="636" t="s">
        <v>5340</v>
      </c>
      <c r="M112" s="620"/>
      <c r="N112" s="620"/>
      <c r="O112" s="620"/>
      <c r="P112" s="620"/>
      <c r="Q112" s="620"/>
    </row>
    <row r="113" spans="1:17">
      <c r="A113" s="640">
        <f t="shared" si="1"/>
        <v>112</v>
      </c>
      <c r="B113" s="619" t="s">
        <v>2483</v>
      </c>
      <c r="C113" s="619" t="s">
        <v>4258</v>
      </c>
      <c r="D113" s="619" t="s">
        <v>4264</v>
      </c>
      <c r="E113" s="622" t="s">
        <v>4128</v>
      </c>
      <c r="F113" s="620"/>
      <c r="G113" s="620"/>
      <c r="H113" s="657" t="s">
        <v>7467</v>
      </c>
      <c r="I113" s="636"/>
      <c r="J113" s="620" t="s">
        <v>5453</v>
      </c>
      <c r="K113" s="620"/>
      <c r="L113" s="636" t="s">
        <v>5341</v>
      </c>
      <c r="M113" s="620"/>
      <c r="N113" s="620"/>
      <c r="O113" s="620"/>
      <c r="P113" s="620"/>
      <c r="Q113" s="620"/>
    </row>
    <row r="114" spans="1:17">
      <c r="A114" s="640">
        <f t="shared" si="1"/>
        <v>113</v>
      </c>
      <c r="B114" s="619" t="s">
        <v>2484</v>
      </c>
      <c r="C114" s="619" t="s">
        <v>4258</v>
      </c>
      <c r="D114" s="619" t="s">
        <v>4264</v>
      </c>
      <c r="E114" s="622" t="s">
        <v>4129</v>
      </c>
      <c r="F114" s="620"/>
      <c r="G114" s="620"/>
      <c r="H114" s="657" t="s">
        <v>7467</v>
      </c>
      <c r="I114" s="636"/>
      <c r="J114" s="620" t="s">
        <v>5453</v>
      </c>
      <c r="K114" s="620"/>
      <c r="L114" s="636" t="s">
        <v>5342</v>
      </c>
      <c r="M114" s="620"/>
      <c r="N114" s="620"/>
      <c r="O114" s="620"/>
      <c r="P114" s="620"/>
      <c r="Q114" s="620"/>
    </row>
    <row r="115" spans="1:17">
      <c r="A115" s="640">
        <f t="shared" si="1"/>
        <v>114</v>
      </c>
      <c r="B115" s="619" t="s">
        <v>2485</v>
      </c>
      <c r="C115" s="619" t="s">
        <v>4261</v>
      </c>
      <c r="D115" s="619" t="s">
        <v>4262</v>
      </c>
      <c r="E115" s="622" t="s">
        <v>4130</v>
      </c>
      <c r="F115" s="620"/>
      <c r="G115" s="620"/>
      <c r="H115" s="657" t="s">
        <v>7467</v>
      </c>
      <c r="I115" s="655"/>
      <c r="J115" s="620" t="s">
        <v>5453</v>
      </c>
      <c r="K115" s="620"/>
      <c r="L115" s="655" t="s">
        <v>5343</v>
      </c>
      <c r="M115" s="620"/>
      <c r="N115" s="620"/>
      <c r="O115" s="620"/>
      <c r="P115" s="620"/>
      <c r="Q115" s="620"/>
    </row>
    <row r="116" spans="1:17">
      <c r="A116" s="640">
        <f t="shared" si="1"/>
        <v>115</v>
      </c>
      <c r="B116" s="619" t="s">
        <v>2486</v>
      </c>
      <c r="C116" s="619" t="s">
        <v>4268</v>
      </c>
      <c r="D116" s="619" t="s">
        <v>4262</v>
      </c>
      <c r="E116" s="622" t="s">
        <v>4131</v>
      </c>
      <c r="F116" s="620"/>
      <c r="G116" s="620"/>
      <c r="H116" s="657" t="s">
        <v>7467</v>
      </c>
      <c r="I116" s="655"/>
      <c r="J116" s="620" t="s">
        <v>5453</v>
      </c>
      <c r="K116" s="620"/>
      <c r="L116" s="655" t="s">
        <v>5344</v>
      </c>
      <c r="M116" s="620"/>
      <c r="N116" s="620"/>
      <c r="O116" s="620"/>
      <c r="P116" s="620"/>
      <c r="Q116" s="620"/>
    </row>
    <row r="117" spans="1:17">
      <c r="A117" s="640">
        <f t="shared" si="1"/>
        <v>116</v>
      </c>
      <c r="B117" s="619" t="s">
        <v>2487</v>
      </c>
      <c r="C117" s="619" t="s">
        <v>4261</v>
      </c>
      <c r="D117" s="619" t="s">
        <v>4262</v>
      </c>
      <c r="E117" s="622" t="s">
        <v>4132</v>
      </c>
      <c r="F117" s="620"/>
      <c r="G117" s="620"/>
      <c r="H117" s="657" t="s">
        <v>7467</v>
      </c>
      <c r="I117" s="655"/>
      <c r="J117" s="620" t="s">
        <v>5453</v>
      </c>
      <c r="K117" s="620"/>
      <c r="L117" s="655" t="s">
        <v>5345</v>
      </c>
      <c r="M117" s="620"/>
      <c r="N117" s="620"/>
      <c r="O117" s="620"/>
      <c r="P117" s="620"/>
      <c r="Q117" s="620"/>
    </row>
    <row r="118" spans="1:17">
      <c r="A118" s="640">
        <f t="shared" si="1"/>
        <v>117</v>
      </c>
      <c r="B118" s="619" t="s">
        <v>2488</v>
      </c>
      <c r="C118" s="619" t="s">
        <v>4268</v>
      </c>
      <c r="D118" s="619" t="s">
        <v>4262</v>
      </c>
      <c r="E118" s="622" t="s">
        <v>4133</v>
      </c>
      <c r="F118" s="620"/>
      <c r="G118" s="620"/>
      <c r="H118" s="657" t="s">
        <v>7467</v>
      </c>
      <c r="I118" s="655"/>
      <c r="J118" s="620" t="s">
        <v>5453</v>
      </c>
      <c r="K118" s="620"/>
      <c r="L118" s="655" t="s">
        <v>5346</v>
      </c>
      <c r="M118" s="620"/>
      <c r="N118" s="620"/>
      <c r="O118" s="620"/>
      <c r="P118" s="620"/>
      <c r="Q118" s="620"/>
    </row>
    <row r="119" spans="1:17">
      <c r="A119" s="640">
        <f t="shared" si="1"/>
        <v>118</v>
      </c>
      <c r="B119" s="619" t="s">
        <v>2489</v>
      </c>
      <c r="C119" s="619" t="s">
        <v>4261</v>
      </c>
      <c r="D119" s="619" t="s">
        <v>4262</v>
      </c>
      <c r="E119" s="622" t="s">
        <v>4134</v>
      </c>
      <c r="F119" s="620"/>
      <c r="G119" s="620"/>
      <c r="H119" s="657" t="s">
        <v>7467</v>
      </c>
      <c r="I119" s="655"/>
      <c r="J119" s="620" t="s">
        <v>5453</v>
      </c>
      <c r="K119" s="620"/>
      <c r="L119" s="655" t="s">
        <v>3688</v>
      </c>
      <c r="M119" s="620"/>
      <c r="N119" s="620"/>
      <c r="O119" s="620"/>
      <c r="P119" s="620"/>
      <c r="Q119" s="620"/>
    </row>
    <row r="120" spans="1:17">
      <c r="A120" s="640">
        <f t="shared" si="1"/>
        <v>119</v>
      </c>
      <c r="B120" s="619" t="s">
        <v>2490</v>
      </c>
      <c r="C120" s="619" t="s">
        <v>4261</v>
      </c>
      <c r="D120" s="619" t="s">
        <v>4262</v>
      </c>
      <c r="E120" s="622" t="s">
        <v>1975</v>
      </c>
      <c r="F120" s="620"/>
      <c r="G120" s="620"/>
      <c r="H120" s="657" t="s">
        <v>7467</v>
      </c>
      <c r="I120" s="636"/>
      <c r="J120" s="620" t="s">
        <v>5453</v>
      </c>
      <c r="K120" s="620"/>
      <c r="L120" s="636" t="s">
        <v>5347</v>
      </c>
      <c r="M120" s="620"/>
      <c r="N120" s="620"/>
      <c r="O120" s="620"/>
      <c r="P120" s="620"/>
      <c r="Q120" s="620"/>
    </row>
    <row r="121" spans="1:17">
      <c r="A121" s="640">
        <f t="shared" si="1"/>
        <v>120</v>
      </c>
      <c r="B121" s="619" t="s">
        <v>2491</v>
      </c>
      <c r="C121" s="619" t="s">
        <v>4261</v>
      </c>
      <c r="D121" s="619" t="s">
        <v>4260</v>
      </c>
      <c r="E121" s="622" t="s">
        <v>4135</v>
      </c>
      <c r="F121" s="620"/>
      <c r="G121" s="620"/>
      <c r="H121" s="657" t="s">
        <v>7467</v>
      </c>
      <c r="I121" s="636"/>
      <c r="J121" s="620" t="s">
        <v>5453</v>
      </c>
      <c r="K121" s="620"/>
      <c r="L121" s="636" t="s">
        <v>5348</v>
      </c>
      <c r="M121" s="620"/>
      <c r="N121" s="620"/>
      <c r="O121" s="620"/>
      <c r="P121" s="620"/>
      <c r="Q121" s="620"/>
    </row>
    <row r="122" spans="1:17">
      <c r="A122" s="640">
        <f t="shared" si="1"/>
        <v>121</v>
      </c>
      <c r="B122" s="619" t="s">
        <v>2492</v>
      </c>
      <c r="C122" s="619" t="s">
        <v>4261</v>
      </c>
      <c r="D122" s="619" t="s">
        <v>4262</v>
      </c>
      <c r="E122" s="622" t="s">
        <v>4136</v>
      </c>
      <c r="F122" s="620"/>
      <c r="G122" s="620"/>
      <c r="H122" s="657" t="s">
        <v>7467</v>
      </c>
      <c r="I122" s="636"/>
      <c r="J122" s="620" t="s">
        <v>5453</v>
      </c>
      <c r="K122" s="620"/>
      <c r="L122" s="636" t="s">
        <v>980</v>
      </c>
      <c r="M122" s="620"/>
      <c r="N122" s="620"/>
      <c r="O122" s="620"/>
      <c r="P122" s="620"/>
      <c r="Q122" s="620"/>
    </row>
    <row r="123" spans="1:17">
      <c r="A123" s="640">
        <f t="shared" si="1"/>
        <v>122</v>
      </c>
      <c r="B123" s="619" t="s">
        <v>2493</v>
      </c>
      <c r="C123" s="619" t="s">
        <v>4261</v>
      </c>
      <c r="D123" s="619" t="s">
        <v>4260</v>
      </c>
      <c r="E123" s="622" t="s">
        <v>4273</v>
      </c>
      <c r="F123" s="620"/>
      <c r="G123" s="620"/>
      <c r="H123" s="650" t="s">
        <v>7467</v>
      </c>
      <c r="I123" s="636"/>
      <c r="J123" s="620" t="s">
        <v>5453</v>
      </c>
      <c r="K123" s="620"/>
      <c r="L123" s="636" t="s">
        <v>977</v>
      </c>
      <c r="M123" s="620"/>
      <c r="N123" s="620"/>
      <c r="O123" s="620"/>
      <c r="P123" s="620"/>
      <c r="Q123" s="620"/>
    </row>
    <row r="124" spans="1:17">
      <c r="A124" s="640">
        <f t="shared" si="1"/>
        <v>123</v>
      </c>
      <c r="B124" s="619" t="s">
        <v>2496</v>
      </c>
      <c r="C124" s="619" t="s">
        <v>4268</v>
      </c>
      <c r="D124" s="619" t="s">
        <v>4260</v>
      </c>
      <c r="E124" s="622" t="s">
        <v>4274</v>
      </c>
      <c r="F124" s="620"/>
      <c r="G124" s="620"/>
      <c r="H124" s="650" t="s">
        <v>7467</v>
      </c>
      <c r="I124" s="636"/>
      <c r="J124" s="620" t="s">
        <v>5453</v>
      </c>
      <c r="K124" s="620"/>
      <c r="L124" s="636" t="s">
        <v>5349</v>
      </c>
      <c r="M124" s="620"/>
      <c r="N124" s="620"/>
      <c r="O124" s="620"/>
      <c r="P124" s="620"/>
      <c r="Q124" s="620"/>
    </row>
    <row r="125" spans="1:17">
      <c r="A125" s="640">
        <f t="shared" si="1"/>
        <v>124</v>
      </c>
      <c r="B125" s="619" t="s">
        <v>2506</v>
      </c>
      <c r="C125" s="619" t="s">
        <v>4261</v>
      </c>
      <c r="D125" s="619" t="s">
        <v>4262</v>
      </c>
      <c r="E125" s="622" t="s">
        <v>2894</v>
      </c>
      <c r="F125" s="620"/>
      <c r="G125" s="620"/>
      <c r="H125" s="650" t="s">
        <v>7467</v>
      </c>
      <c r="I125" s="636"/>
      <c r="J125" s="620" t="s">
        <v>5453</v>
      </c>
      <c r="K125" s="620"/>
      <c r="L125" s="636" t="s">
        <v>4560</v>
      </c>
      <c r="M125" s="620"/>
      <c r="N125" s="620"/>
      <c r="O125" s="620"/>
      <c r="P125" s="620"/>
      <c r="Q125" s="620"/>
    </row>
    <row r="126" spans="1:17">
      <c r="A126" s="640">
        <f t="shared" si="1"/>
        <v>125</v>
      </c>
      <c r="B126" s="619" t="s">
        <v>4137</v>
      </c>
      <c r="C126" s="619" t="s">
        <v>4261</v>
      </c>
      <c r="D126" s="619" t="s">
        <v>4262</v>
      </c>
      <c r="E126" s="622" t="s">
        <v>4138</v>
      </c>
      <c r="F126" s="620"/>
      <c r="G126" s="620"/>
      <c r="H126" s="657" t="s">
        <v>7467</v>
      </c>
      <c r="I126" s="655"/>
      <c r="J126" s="620" t="s">
        <v>5453</v>
      </c>
      <c r="K126" s="620"/>
      <c r="L126" s="655" t="s">
        <v>5350</v>
      </c>
      <c r="M126" s="620"/>
      <c r="N126" s="620"/>
      <c r="O126" s="620"/>
      <c r="P126" s="620"/>
      <c r="Q126" s="620"/>
    </row>
    <row r="127" spans="1:17">
      <c r="A127" s="640">
        <f t="shared" si="1"/>
        <v>126</v>
      </c>
      <c r="B127" s="619" t="s">
        <v>4139</v>
      </c>
      <c r="C127" s="619" t="s">
        <v>4261</v>
      </c>
      <c r="D127" s="619" t="s">
        <v>4262</v>
      </c>
      <c r="E127" s="622" t="s">
        <v>4140</v>
      </c>
      <c r="F127" s="620"/>
      <c r="G127" s="620"/>
      <c r="H127" s="657" t="s">
        <v>7467</v>
      </c>
      <c r="I127" s="655"/>
      <c r="J127" s="620" t="s">
        <v>5453</v>
      </c>
      <c r="K127" s="620"/>
      <c r="L127" s="655" t="s">
        <v>5351</v>
      </c>
      <c r="M127" s="620"/>
      <c r="N127" s="620"/>
      <c r="O127" s="620"/>
      <c r="P127" s="620"/>
      <c r="Q127" s="620"/>
    </row>
    <row r="128" spans="1:17">
      <c r="A128" s="640">
        <f t="shared" si="1"/>
        <v>127</v>
      </c>
      <c r="B128" s="619" t="s">
        <v>4141</v>
      </c>
      <c r="C128" s="619" t="s">
        <v>4261</v>
      </c>
      <c r="D128" s="619" t="s">
        <v>4262</v>
      </c>
      <c r="E128" s="622" t="s">
        <v>4142</v>
      </c>
      <c r="F128" s="620"/>
      <c r="G128" s="620"/>
      <c r="H128" s="657" t="s">
        <v>7467</v>
      </c>
      <c r="I128" s="655"/>
      <c r="J128" s="620" t="s">
        <v>5453</v>
      </c>
      <c r="K128" s="620"/>
      <c r="L128" s="655" t="s">
        <v>5352</v>
      </c>
      <c r="M128" s="620"/>
      <c r="N128" s="620"/>
      <c r="O128" s="620"/>
      <c r="P128" s="620"/>
      <c r="Q128" s="620"/>
    </row>
    <row r="129" spans="1:17">
      <c r="A129" s="640">
        <f t="shared" si="1"/>
        <v>128</v>
      </c>
      <c r="B129" s="619" t="s">
        <v>4143</v>
      </c>
      <c r="C129" s="619" t="s">
        <v>4261</v>
      </c>
      <c r="D129" s="619" t="s">
        <v>4262</v>
      </c>
      <c r="E129" s="622" t="s">
        <v>4144</v>
      </c>
      <c r="F129" s="620"/>
      <c r="G129" s="620"/>
      <c r="H129" s="657" t="s">
        <v>7467</v>
      </c>
      <c r="I129" s="658"/>
      <c r="J129" s="620" t="s">
        <v>5453</v>
      </c>
      <c r="K129" s="620"/>
      <c r="L129" s="658" t="s">
        <v>5353</v>
      </c>
      <c r="M129" s="620"/>
      <c r="N129" s="620"/>
      <c r="O129" s="620"/>
      <c r="P129" s="620"/>
      <c r="Q129" s="620"/>
    </row>
    <row r="130" spans="1:17">
      <c r="A130" s="640">
        <f t="shared" si="1"/>
        <v>129</v>
      </c>
      <c r="B130" s="619" t="s">
        <v>4145</v>
      </c>
      <c r="C130" s="619" t="s">
        <v>4261</v>
      </c>
      <c r="D130" s="619" t="s">
        <v>4262</v>
      </c>
      <c r="E130" s="622" t="s">
        <v>4146</v>
      </c>
      <c r="F130" s="620"/>
      <c r="G130" s="620"/>
      <c r="H130" s="657" t="s">
        <v>7467</v>
      </c>
      <c r="I130" s="655"/>
      <c r="J130" s="620" t="s">
        <v>5453</v>
      </c>
      <c r="K130" s="620"/>
      <c r="L130" s="655" t="s">
        <v>5354</v>
      </c>
      <c r="M130" s="620"/>
      <c r="N130" s="620"/>
      <c r="O130" s="620"/>
      <c r="P130" s="620"/>
      <c r="Q130" s="620"/>
    </row>
    <row r="131" spans="1:17">
      <c r="A131" s="640">
        <f t="shared" si="1"/>
        <v>130</v>
      </c>
      <c r="B131" s="619" t="s">
        <v>4147</v>
      </c>
      <c r="C131" s="619" t="s">
        <v>4261</v>
      </c>
      <c r="D131" s="619" t="s">
        <v>4262</v>
      </c>
      <c r="E131" s="622" t="s">
        <v>4148</v>
      </c>
      <c r="F131" s="620"/>
      <c r="G131" s="620"/>
      <c r="H131" s="657" t="s">
        <v>7467</v>
      </c>
      <c r="I131" s="655"/>
      <c r="J131" s="620" t="s">
        <v>5453</v>
      </c>
      <c r="K131" s="620"/>
      <c r="L131" s="655" t="s">
        <v>5355</v>
      </c>
      <c r="M131" s="620"/>
      <c r="N131" s="620"/>
      <c r="O131" s="620"/>
      <c r="P131" s="620"/>
      <c r="Q131" s="620"/>
    </row>
    <row r="132" spans="1:17">
      <c r="A132" s="640">
        <f t="shared" si="1"/>
        <v>131</v>
      </c>
      <c r="B132" s="619" t="s">
        <v>4149</v>
      </c>
      <c r="C132" s="619" t="s">
        <v>4261</v>
      </c>
      <c r="D132" s="619" t="s">
        <v>4262</v>
      </c>
      <c r="E132" s="622" t="s">
        <v>4150</v>
      </c>
      <c r="F132" s="620"/>
      <c r="G132" s="620"/>
      <c r="H132" s="657" t="s">
        <v>7467</v>
      </c>
      <c r="I132" s="655"/>
      <c r="J132" s="620" t="s">
        <v>5453</v>
      </c>
      <c r="K132" s="620"/>
      <c r="L132" s="655" t="s">
        <v>5356</v>
      </c>
      <c r="M132" s="620"/>
      <c r="N132" s="620"/>
      <c r="O132" s="620"/>
      <c r="P132" s="620"/>
      <c r="Q132" s="620"/>
    </row>
    <row r="133" spans="1:17">
      <c r="A133" s="640">
        <f t="shared" si="1"/>
        <v>132</v>
      </c>
      <c r="B133" s="619" t="s">
        <v>4151</v>
      </c>
      <c r="C133" s="619" t="s">
        <v>4261</v>
      </c>
      <c r="D133" s="619" t="s">
        <v>4262</v>
      </c>
      <c r="E133" s="622" t="s">
        <v>4152</v>
      </c>
      <c r="F133" s="620"/>
      <c r="G133" s="620"/>
      <c r="H133" s="657" t="s">
        <v>7467</v>
      </c>
      <c r="I133" s="655"/>
      <c r="J133" s="620" t="s">
        <v>5453</v>
      </c>
      <c r="K133" s="620"/>
      <c r="L133" s="655" t="s">
        <v>5357</v>
      </c>
      <c r="M133" s="620"/>
      <c r="N133" s="620"/>
      <c r="O133" s="620"/>
      <c r="P133" s="620"/>
      <c r="Q133" s="620"/>
    </row>
    <row r="134" spans="1:17">
      <c r="A134" s="640">
        <f t="shared" si="1"/>
        <v>133</v>
      </c>
      <c r="B134" s="619" t="s">
        <v>4153</v>
      </c>
      <c r="C134" s="619" t="s">
        <v>4261</v>
      </c>
      <c r="D134" s="619" t="s">
        <v>4262</v>
      </c>
      <c r="E134" s="622" t="s">
        <v>4154</v>
      </c>
      <c r="F134" s="620"/>
      <c r="G134" s="620"/>
      <c r="H134" s="657" t="s">
        <v>7467</v>
      </c>
      <c r="I134" s="655"/>
      <c r="J134" s="620" t="s">
        <v>5453</v>
      </c>
      <c r="K134" s="620"/>
      <c r="L134" s="655" t="s">
        <v>5358</v>
      </c>
      <c r="M134" s="620"/>
      <c r="N134" s="620"/>
      <c r="O134" s="620"/>
      <c r="P134" s="620"/>
      <c r="Q134" s="620"/>
    </row>
    <row r="135" spans="1:17">
      <c r="A135" s="640">
        <f t="shared" si="1"/>
        <v>134</v>
      </c>
      <c r="B135" s="619" t="s">
        <v>4155</v>
      </c>
      <c r="C135" s="619" t="s">
        <v>4261</v>
      </c>
      <c r="D135" s="619" t="s">
        <v>4262</v>
      </c>
      <c r="E135" s="622" t="s">
        <v>4156</v>
      </c>
      <c r="F135" s="620"/>
      <c r="G135" s="620"/>
      <c r="H135" s="657" t="s">
        <v>7467</v>
      </c>
      <c r="I135" s="655"/>
      <c r="J135" s="620" t="s">
        <v>5453</v>
      </c>
      <c r="K135" s="620"/>
      <c r="L135" s="655" t="s">
        <v>5359</v>
      </c>
      <c r="M135" s="620"/>
      <c r="N135" s="620"/>
      <c r="O135" s="620"/>
      <c r="P135" s="620"/>
      <c r="Q135" s="620"/>
    </row>
    <row r="136" spans="1:17">
      <c r="A136" s="640">
        <f t="shared" si="1"/>
        <v>135</v>
      </c>
      <c r="B136" s="619" t="s">
        <v>4157</v>
      </c>
      <c r="C136" s="619" t="s">
        <v>4261</v>
      </c>
      <c r="D136" s="619" t="s">
        <v>4262</v>
      </c>
      <c r="E136" s="622" t="s">
        <v>4158</v>
      </c>
      <c r="F136" s="620"/>
      <c r="G136" s="620"/>
      <c r="H136" s="657" t="s">
        <v>7467</v>
      </c>
      <c r="I136" s="658"/>
      <c r="J136" s="620" t="s">
        <v>5453</v>
      </c>
      <c r="K136" s="620"/>
      <c r="L136" s="658" t="s">
        <v>5360</v>
      </c>
      <c r="M136" s="620"/>
      <c r="N136" s="620"/>
      <c r="O136" s="620"/>
      <c r="P136" s="620"/>
      <c r="Q136" s="620"/>
    </row>
    <row r="137" spans="1:17">
      <c r="A137" s="640">
        <f t="shared" si="1"/>
        <v>136</v>
      </c>
      <c r="B137" s="619" t="s">
        <v>4159</v>
      </c>
      <c r="C137" s="619" t="s">
        <v>4261</v>
      </c>
      <c r="D137" s="619" t="s">
        <v>4262</v>
      </c>
      <c r="E137" s="622" t="s">
        <v>4160</v>
      </c>
      <c r="F137" s="620"/>
      <c r="G137" s="620"/>
      <c r="H137" s="657" t="s">
        <v>7467</v>
      </c>
      <c r="I137" s="655"/>
      <c r="J137" s="620" t="s">
        <v>5453</v>
      </c>
      <c r="K137" s="620"/>
      <c r="L137" s="655" t="s">
        <v>5361</v>
      </c>
      <c r="M137" s="620"/>
      <c r="N137" s="620"/>
      <c r="O137" s="620"/>
      <c r="P137" s="620"/>
      <c r="Q137" s="620"/>
    </row>
    <row r="138" spans="1:17">
      <c r="A138" s="640">
        <f t="shared" si="1"/>
        <v>137</v>
      </c>
      <c r="B138" s="619" t="s">
        <v>4161</v>
      </c>
      <c r="C138" s="619" t="s">
        <v>4261</v>
      </c>
      <c r="D138" s="619" t="s">
        <v>4262</v>
      </c>
      <c r="E138" s="622" t="s">
        <v>4162</v>
      </c>
      <c r="F138" s="620"/>
      <c r="G138" s="620"/>
      <c r="H138" s="657" t="s">
        <v>7467</v>
      </c>
      <c r="I138" s="655"/>
      <c r="J138" s="620" t="s">
        <v>5453</v>
      </c>
      <c r="K138" s="620"/>
      <c r="L138" s="655" t="s">
        <v>5362</v>
      </c>
      <c r="M138" s="620"/>
      <c r="N138" s="620"/>
      <c r="O138" s="620"/>
      <c r="P138" s="620"/>
      <c r="Q138" s="620"/>
    </row>
    <row r="139" spans="1:17">
      <c r="A139" s="640">
        <f t="shared" si="1"/>
        <v>138</v>
      </c>
      <c r="B139" s="619" t="s">
        <v>4163</v>
      </c>
      <c r="C139" s="619" t="s">
        <v>4261</v>
      </c>
      <c r="D139" s="619" t="s">
        <v>4262</v>
      </c>
      <c r="E139" s="622" t="s">
        <v>4164</v>
      </c>
      <c r="F139" s="620"/>
      <c r="G139" s="620"/>
      <c r="H139" s="657" t="s">
        <v>7467</v>
      </c>
      <c r="I139" s="636"/>
      <c r="J139" s="620" t="s">
        <v>5453</v>
      </c>
      <c r="K139" s="620"/>
      <c r="L139" s="636" t="s">
        <v>982</v>
      </c>
      <c r="M139" s="620"/>
      <c r="N139" s="620"/>
      <c r="O139" s="620"/>
      <c r="P139" s="620"/>
      <c r="Q139" s="620"/>
    </row>
    <row r="140" spans="1:17">
      <c r="A140" s="640">
        <f t="shared" si="1"/>
        <v>139</v>
      </c>
      <c r="B140" s="619" t="s">
        <v>4165</v>
      </c>
      <c r="C140" s="619" t="s">
        <v>4261</v>
      </c>
      <c r="D140" s="619" t="s">
        <v>4262</v>
      </c>
      <c r="E140" s="622" t="s">
        <v>4166</v>
      </c>
      <c r="F140" s="620"/>
      <c r="G140" s="620"/>
      <c r="H140" s="657" t="s">
        <v>7467</v>
      </c>
      <c r="I140" s="636"/>
      <c r="J140" s="620" t="s">
        <v>5453</v>
      </c>
      <c r="K140" s="620"/>
      <c r="L140" s="636" t="s">
        <v>5363</v>
      </c>
      <c r="M140" s="620"/>
      <c r="N140" s="620"/>
      <c r="O140" s="620"/>
      <c r="P140" s="620"/>
      <c r="Q140" s="620"/>
    </row>
    <row r="141" spans="1:17">
      <c r="A141" s="640">
        <f t="shared" si="1"/>
        <v>140</v>
      </c>
      <c r="B141" s="619" t="s">
        <v>4167</v>
      </c>
      <c r="C141" s="619" t="s">
        <v>4261</v>
      </c>
      <c r="D141" s="619" t="s">
        <v>4262</v>
      </c>
      <c r="E141" s="622" t="s">
        <v>4168</v>
      </c>
      <c r="F141" s="620"/>
      <c r="G141" s="620"/>
      <c r="H141" s="657" t="s">
        <v>7467</v>
      </c>
      <c r="I141" s="636"/>
      <c r="J141" s="620" t="s">
        <v>5453</v>
      </c>
      <c r="K141" s="620"/>
      <c r="L141" s="636" t="s">
        <v>5364</v>
      </c>
      <c r="M141" s="620"/>
      <c r="N141" s="620"/>
      <c r="O141" s="620"/>
      <c r="P141" s="620"/>
      <c r="Q141" s="620"/>
    </row>
    <row r="142" spans="1:17">
      <c r="A142" s="640">
        <f t="shared" ref="A142:A222" si="2">ROW()-1</f>
        <v>141</v>
      </c>
      <c r="B142" s="619" t="s">
        <v>4169</v>
      </c>
      <c r="C142" s="619" t="s">
        <v>4261</v>
      </c>
      <c r="D142" s="619" t="s">
        <v>4262</v>
      </c>
      <c r="E142" s="622" t="s">
        <v>2740</v>
      </c>
      <c r="F142" s="620"/>
      <c r="G142" s="620"/>
      <c r="H142" s="657" t="s">
        <v>7467</v>
      </c>
      <c r="I142" s="636"/>
      <c r="J142" s="620" t="s">
        <v>5453</v>
      </c>
      <c r="K142" s="620" t="s">
        <v>5876</v>
      </c>
      <c r="L142" s="636" t="s">
        <v>7509</v>
      </c>
      <c r="M142" s="620"/>
      <c r="N142" s="620"/>
      <c r="O142" s="620"/>
      <c r="P142" s="620"/>
      <c r="Q142" s="620"/>
    </row>
    <row r="143" spans="1:17">
      <c r="A143" s="640">
        <f t="shared" si="2"/>
        <v>142</v>
      </c>
      <c r="B143" s="619" t="s">
        <v>4170</v>
      </c>
      <c r="C143" s="619" t="s">
        <v>4258</v>
      </c>
      <c r="D143" s="619" t="s">
        <v>4264</v>
      </c>
      <c r="E143" s="622" t="s">
        <v>1971</v>
      </c>
      <c r="F143" s="620"/>
      <c r="G143" s="620"/>
      <c r="H143" s="657"/>
      <c r="J143" s="620" t="s">
        <v>7508</v>
      </c>
      <c r="K143" s="620" t="s">
        <v>5883</v>
      </c>
      <c r="L143" s="636"/>
      <c r="M143" s="636" t="s">
        <v>5876</v>
      </c>
      <c r="N143" s="620"/>
      <c r="O143" s="620"/>
      <c r="P143" s="620"/>
      <c r="Q143" s="620"/>
    </row>
    <row r="144" spans="1:17">
      <c r="A144" s="640">
        <f t="shared" si="2"/>
        <v>143</v>
      </c>
      <c r="B144" s="619" t="s">
        <v>4171</v>
      </c>
      <c r="C144" s="619" t="s">
        <v>4261</v>
      </c>
      <c r="D144" s="619" t="s">
        <v>4262</v>
      </c>
      <c r="E144" s="622" t="s">
        <v>4172</v>
      </c>
      <c r="F144" s="620"/>
      <c r="G144" s="620"/>
      <c r="H144" s="657" t="s">
        <v>7467</v>
      </c>
      <c r="I144" s="636"/>
      <c r="J144" s="620" t="s">
        <v>5453</v>
      </c>
      <c r="K144" s="620"/>
      <c r="L144" s="636" t="s">
        <v>5365</v>
      </c>
      <c r="M144" s="620"/>
      <c r="N144" s="620"/>
      <c r="O144" s="620"/>
      <c r="P144" s="620"/>
      <c r="Q144" s="620"/>
    </row>
    <row r="145" spans="1:17">
      <c r="A145" s="640">
        <f t="shared" si="2"/>
        <v>144</v>
      </c>
      <c r="B145" s="619" t="s">
        <v>4173</v>
      </c>
      <c r="C145" s="619" t="s">
        <v>4261</v>
      </c>
      <c r="D145" s="619" t="s">
        <v>4262</v>
      </c>
      <c r="E145" s="622" t="s">
        <v>4174</v>
      </c>
      <c r="F145" s="620"/>
      <c r="G145" s="620"/>
      <c r="H145" s="657" t="s">
        <v>7467</v>
      </c>
      <c r="I145" s="636"/>
      <c r="J145" s="620" t="s">
        <v>5453</v>
      </c>
      <c r="K145" s="620"/>
      <c r="L145" s="636" t="s">
        <v>5366</v>
      </c>
      <c r="M145" s="620"/>
      <c r="N145" s="620"/>
      <c r="O145" s="620"/>
      <c r="P145" s="620"/>
      <c r="Q145" s="620"/>
    </row>
    <row r="146" spans="1:17">
      <c r="A146" s="640">
        <f t="shared" si="2"/>
        <v>145</v>
      </c>
      <c r="B146" s="619" t="s">
        <v>4175</v>
      </c>
      <c r="C146" s="619" t="s">
        <v>4258</v>
      </c>
      <c r="D146" s="619" t="s">
        <v>4263</v>
      </c>
      <c r="E146" s="622" t="s">
        <v>4176</v>
      </c>
      <c r="F146" s="620"/>
      <c r="G146" s="620"/>
      <c r="H146" s="657" t="s">
        <v>7467</v>
      </c>
      <c r="I146" s="636"/>
      <c r="J146" s="620" t="s">
        <v>5453</v>
      </c>
      <c r="K146" s="620"/>
      <c r="L146" s="636" t="s">
        <v>5367</v>
      </c>
      <c r="M146" s="620"/>
      <c r="N146" s="620"/>
      <c r="O146" s="620"/>
      <c r="P146" s="620"/>
      <c r="Q146" s="620"/>
    </row>
    <row r="147" spans="1:17">
      <c r="A147" s="640">
        <f t="shared" si="2"/>
        <v>146</v>
      </c>
      <c r="B147" s="619" t="s">
        <v>4177</v>
      </c>
      <c r="C147" s="619" t="s">
        <v>4261</v>
      </c>
      <c r="D147" s="619" t="s">
        <v>4262</v>
      </c>
      <c r="E147" s="622" t="s">
        <v>4178</v>
      </c>
      <c r="F147" s="620"/>
      <c r="G147" s="620"/>
      <c r="H147" s="657" t="s">
        <v>7467</v>
      </c>
      <c r="I147" s="636"/>
      <c r="J147" s="620" t="s">
        <v>5453</v>
      </c>
      <c r="K147" s="620"/>
      <c r="L147" s="636" t="s">
        <v>5368</v>
      </c>
      <c r="M147" s="620"/>
      <c r="N147" s="620"/>
      <c r="O147" s="620"/>
      <c r="P147" s="620"/>
      <c r="Q147" s="620"/>
    </row>
    <row r="148" spans="1:17">
      <c r="A148" s="640">
        <f t="shared" si="2"/>
        <v>147</v>
      </c>
      <c r="B148" s="619" t="s">
        <v>4179</v>
      </c>
      <c r="C148" s="619" t="s">
        <v>4261</v>
      </c>
      <c r="D148" s="619" t="s">
        <v>4262</v>
      </c>
      <c r="E148" s="622" t="s">
        <v>4180</v>
      </c>
      <c r="F148" s="620"/>
      <c r="G148" s="620"/>
      <c r="H148" s="657" t="s">
        <v>7467</v>
      </c>
      <c r="I148" s="636"/>
      <c r="J148" s="620" t="s">
        <v>5453</v>
      </c>
      <c r="K148" s="620"/>
      <c r="L148" s="636" t="s">
        <v>5369</v>
      </c>
      <c r="M148" s="620"/>
      <c r="N148" s="620"/>
      <c r="O148" s="620"/>
      <c r="P148" s="620"/>
      <c r="Q148" s="620"/>
    </row>
    <row r="149" spans="1:17">
      <c r="A149" s="640">
        <f t="shared" si="2"/>
        <v>148</v>
      </c>
      <c r="B149" s="619" t="s">
        <v>4181</v>
      </c>
      <c r="C149" s="619" t="s">
        <v>4261</v>
      </c>
      <c r="D149" s="619" t="s">
        <v>4262</v>
      </c>
      <c r="E149" s="622" t="s">
        <v>4182</v>
      </c>
      <c r="F149" s="620"/>
      <c r="G149" s="620"/>
      <c r="H149" s="657" t="s">
        <v>7467</v>
      </c>
      <c r="I149" s="636"/>
      <c r="J149" s="620" t="s">
        <v>5453</v>
      </c>
      <c r="K149" s="620"/>
      <c r="L149" s="636" t="s">
        <v>5370</v>
      </c>
      <c r="M149" s="620"/>
      <c r="N149" s="620"/>
      <c r="O149" s="620"/>
      <c r="P149" s="620"/>
      <c r="Q149" s="620"/>
    </row>
    <row r="150" spans="1:17">
      <c r="A150" s="640">
        <f t="shared" si="2"/>
        <v>149</v>
      </c>
      <c r="B150" s="619" t="s">
        <v>4183</v>
      </c>
      <c r="C150" s="619" t="s">
        <v>4261</v>
      </c>
      <c r="D150" s="619" t="s">
        <v>4262</v>
      </c>
      <c r="E150" s="622" t="s">
        <v>4184</v>
      </c>
      <c r="F150" s="620"/>
      <c r="G150" s="620"/>
      <c r="H150" s="657" t="s">
        <v>7467</v>
      </c>
      <c r="I150" s="636"/>
      <c r="J150" s="620" t="s">
        <v>5453</v>
      </c>
      <c r="K150" s="620"/>
      <c r="L150" s="636" t="s">
        <v>3685</v>
      </c>
      <c r="M150" s="620"/>
      <c r="N150" s="620"/>
      <c r="O150" s="620"/>
      <c r="P150" s="620"/>
      <c r="Q150" s="620"/>
    </row>
    <row r="151" spans="1:17">
      <c r="A151" s="640">
        <f t="shared" si="2"/>
        <v>150</v>
      </c>
      <c r="B151" s="619" t="s">
        <v>4185</v>
      </c>
      <c r="C151" s="619" t="s">
        <v>4258</v>
      </c>
      <c r="D151" s="619" t="s">
        <v>4263</v>
      </c>
      <c r="E151" s="622" t="s">
        <v>4186</v>
      </c>
      <c r="F151" s="620"/>
      <c r="G151" s="620"/>
      <c r="H151" s="657" t="s">
        <v>7468</v>
      </c>
      <c r="I151" s="636" t="s">
        <v>5885</v>
      </c>
      <c r="J151" s="620" t="s">
        <v>5878</v>
      </c>
      <c r="K151" s="620" t="s">
        <v>7505</v>
      </c>
      <c r="L151" s="636"/>
      <c r="M151" s="620" t="s">
        <v>7504</v>
      </c>
      <c r="N151" s="620"/>
      <c r="O151" s="620"/>
      <c r="P151" s="620"/>
      <c r="Q151" s="620"/>
    </row>
    <row r="152" spans="1:17">
      <c r="A152" s="640">
        <f t="shared" si="2"/>
        <v>151</v>
      </c>
      <c r="B152" s="619" t="s">
        <v>4187</v>
      </c>
      <c r="C152" s="619" t="s">
        <v>4268</v>
      </c>
      <c r="D152" s="619" t="s">
        <v>4269</v>
      </c>
      <c r="E152" s="622" t="s">
        <v>4275</v>
      </c>
      <c r="F152" s="620"/>
      <c r="G152" s="620"/>
      <c r="H152" s="657" t="s">
        <v>7467</v>
      </c>
      <c r="I152" s="636"/>
      <c r="J152" s="620" t="s">
        <v>5453</v>
      </c>
      <c r="K152" s="620"/>
      <c r="L152" s="636" t="s">
        <v>5371</v>
      </c>
      <c r="M152" s="620"/>
      <c r="N152" s="620"/>
      <c r="O152" s="620"/>
      <c r="P152" s="620"/>
      <c r="Q152" s="620"/>
    </row>
    <row r="153" spans="1:17">
      <c r="A153" s="514">
        <f t="shared" si="2"/>
        <v>152</v>
      </c>
      <c r="B153" s="619" t="s">
        <v>4188</v>
      </c>
      <c r="C153" s="619" t="s">
        <v>4268</v>
      </c>
      <c r="D153" s="619" t="s">
        <v>4269</v>
      </c>
      <c r="E153" s="622" t="s">
        <v>4189</v>
      </c>
      <c r="F153" s="620"/>
      <c r="G153" s="620"/>
      <c r="H153" s="657" t="s">
        <v>7467</v>
      </c>
      <c r="I153" s="655"/>
      <c r="J153" s="620" t="s">
        <v>5453</v>
      </c>
      <c r="K153" s="620"/>
      <c r="L153" s="655" t="s">
        <v>5372</v>
      </c>
      <c r="M153" s="620"/>
      <c r="N153" s="620"/>
      <c r="O153" s="620"/>
      <c r="P153" s="620"/>
      <c r="Q153" s="620"/>
    </row>
    <row r="154" spans="1:17">
      <c r="A154" s="640">
        <f t="shared" si="2"/>
        <v>153</v>
      </c>
      <c r="B154" s="619" t="s">
        <v>4276</v>
      </c>
      <c r="C154" s="619" t="s">
        <v>4258</v>
      </c>
      <c r="D154" s="619" t="s">
        <v>4264</v>
      </c>
      <c r="E154" s="622" t="s">
        <v>4277</v>
      </c>
      <c r="F154" s="620"/>
      <c r="G154" s="620"/>
      <c r="H154" s="657" t="s">
        <v>7467</v>
      </c>
      <c r="I154" s="620"/>
      <c r="J154" s="620" t="s">
        <v>5453</v>
      </c>
      <c r="K154" s="620"/>
      <c r="L154" s="620" t="s">
        <v>7344</v>
      </c>
      <c r="M154" s="620"/>
      <c r="N154" s="620"/>
      <c r="O154" s="620"/>
      <c r="P154" s="620"/>
      <c r="Q154" s="620"/>
    </row>
    <row r="155" spans="1:17">
      <c r="A155" s="640">
        <f t="shared" si="2"/>
        <v>154</v>
      </c>
      <c r="B155" s="619" t="s">
        <v>4278</v>
      </c>
      <c r="C155" s="619" t="s">
        <v>4258</v>
      </c>
      <c r="D155" s="619" t="s">
        <v>4263</v>
      </c>
      <c r="E155" s="622" t="s">
        <v>4279</v>
      </c>
      <c r="F155" s="620"/>
      <c r="G155" s="620"/>
      <c r="H155" s="657" t="s">
        <v>7467</v>
      </c>
      <c r="I155" s="620"/>
      <c r="J155" s="620" t="s">
        <v>5453</v>
      </c>
      <c r="K155" s="620"/>
      <c r="L155" s="620" t="s">
        <v>7345</v>
      </c>
      <c r="M155" s="620"/>
      <c r="N155" s="620"/>
      <c r="O155" s="620"/>
      <c r="P155" s="620"/>
      <c r="Q155" s="620"/>
    </row>
    <row r="156" spans="1:17">
      <c r="A156" s="640">
        <f t="shared" si="2"/>
        <v>155</v>
      </c>
      <c r="B156" s="619" t="s">
        <v>4280</v>
      </c>
      <c r="C156" s="619" t="s">
        <v>4258</v>
      </c>
      <c r="D156" s="619" t="s">
        <v>4263</v>
      </c>
      <c r="E156" s="622" t="s">
        <v>4281</v>
      </c>
      <c r="F156" s="620"/>
      <c r="G156" s="620"/>
      <c r="H156" s="657" t="s">
        <v>7467</v>
      </c>
      <c r="I156" s="620"/>
      <c r="J156" s="620" t="s">
        <v>5453</v>
      </c>
      <c r="K156" s="620"/>
      <c r="L156" s="620" t="s">
        <v>7346</v>
      </c>
      <c r="M156" s="620"/>
      <c r="N156" s="620"/>
      <c r="O156" s="620"/>
      <c r="P156" s="620"/>
      <c r="Q156" s="620"/>
    </row>
    <row r="157" spans="1:17">
      <c r="A157" s="640">
        <f t="shared" si="2"/>
        <v>156</v>
      </c>
      <c r="B157" s="619" t="s">
        <v>7331</v>
      </c>
      <c r="C157" s="619" t="s">
        <v>52</v>
      </c>
      <c r="D157" s="619" t="s">
        <v>5278</v>
      </c>
      <c r="E157" s="622" t="s">
        <v>5506</v>
      </c>
      <c r="F157" s="620"/>
      <c r="G157" s="620"/>
      <c r="H157" s="657" t="s">
        <v>7467</v>
      </c>
      <c r="I157" s="620"/>
      <c r="J157" s="620" t="s">
        <v>5453</v>
      </c>
      <c r="K157" s="620"/>
      <c r="L157" s="620" t="s">
        <v>5505</v>
      </c>
      <c r="M157" s="620"/>
      <c r="N157" s="620"/>
      <c r="O157" s="620"/>
      <c r="P157" s="620"/>
      <c r="Q157" s="620"/>
    </row>
    <row r="158" spans="1:17">
      <c r="A158" s="640">
        <f t="shared" si="2"/>
        <v>157</v>
      </c>
      <c r="B158" s="619" t="s">
        <v>7332</v>
      </c>
      <c r="C158" s="619" t="s">
        <v>4258</v>
      </c>
      <c r="D158" s="619" t="s">
        <v>5299</v>
      </c>
      <c r="E158" s="622" t="s">
        <v>5508</v>
      </c>
      <c r="F158" s="620"/>
      <c r="G158" s="620"/>
      <c r="H158" s="657" t="s">
        <v>7467</v>
      </c>
      <c r="I158" s="620"/>
      <c r="J158" s="620" t="s">
        <v>5453</v>
      </c>
      <c r="K158" s="620"/>
      <c r="L158" s="620" t="s">
        <v>5507</v>
      </c>
      <c r="M158" s="620"/>
      <c r="N158" s="620"/>
      <c r="O158" s="620"/>
      <c r="P158" s="620"/>
      <c r="Q158" s="620"/>
    </row>
    <row r="159" spans="1:17">
      <c r="A159" s="640">
        <f t="shared" si="2"/>
        <v>158</v>
      </c>
      <c r="B159" s="619" t="s">
        <v>7333</v>
      </c>
      <c r="C159" s="619" t="s">
        <v>4258</v>
      </c>
      <c r="D159" s="619" t="s">
        <v>5299</v>
      </c>
      <c r="E159" s="622" t="s">
        <v>7322</v>
      </c>
      <c r="F159" s="620"/>
      <c r="G159" s="620"/>
      <c r="H159" s="657" t="s">
        <v>7467</v>
      </c>
      <c r="I159" s="620"/>
      <c r="J159" s="620" t="s">
        <v>5453</v>
      </c>
      <c r="K159" s="620"/>
      <c r="L159" s="620" t="s">
        <v>5509</v>
      </c>
      <c r="M159" s="620"/>
      <c r="N159" s="620"/>
      <c r="O159" s="620"/>
      <c r="P159" s="620"/>
      <c r="Q159" s="620"/>
    </row>
    <row r="160" spans="1:17">
      <c r="A160" s="640">
        <f t="shared" si="2"/>
        <v>159</v>
      </c>
      <c r="B160" s="619" t="s">
        <v>7334</v>
      </c>
      <c r="C160" s="619" t="s">
        <v>4258</v>
      </c>
      <c r="D160" s="619" t="s">
        <v>5299</v>
      </c>
      <c r="E160" s="622" t="s">
        <v>5512</v>
      </c>
      <c r="F160" s="620"/>
      <c r="G160" s="620"/>
      <c r="H160" s="657" t="s">
        <v>7467</v>
      </c>
      <c r="I160" s="620"/>
      <c r="J160" s="620" t="s">
        <v>5453</v>
      </c>
      <c r="K160" s="620"/>
      <c r="L160" s="620" t="s">
        <v>5511</v>
      </c>
      <c r="M160" s="620"/>
      <c r="N160" s="620"/>
      <c r="O160" s="620"/>
      <c r="P160" s="620"/>
      <c r="Q160" s="620"/>
    </row>
    <row r="161" spans="1:17">
      <c r="A161" s="640">
        <f t="shared" si="2"/>
        <v>160</v>
      </c>
      <c r="B161" s="619" t="s">
        <v>7335</v>
      </c>
      <c r="C161" s="619" t="s">
        <v>4258</v>
      </c>
      <c r="D161" s="619" t="s">
        <v>5299</v>
      </c>
      <c r="E161" s="622" t="s">
        <v>5514</v>
      </c>
      <c r="F161" s="620" t="s">
        <v>3655</v>
      </c>
      <c r="G161" s="620"/>
      <c r="H161" s="657" t="s">
        <v>7467</v>
      </c>
      <c r="I161" s="620"/>
      <c r="J161" s="620" t="s">
        <v>5453</v>
      </c>
      <c r="K161" s="620"/>
      <c r="L161" s="620" t="s">
        <v>5513</v>
      </c>
      <c r="M161" s="620"/>
      <c r="N161" s="620"/>
      <c r="O161" s="620"/>
      <c r="P161" s="620"/>
      <c r="Q161" s="620"/>
    </row>
    <row r="162" spans="1:17">
      <c r="A162" s="640">
        <f t="shared" si="2"/>
        <v>161</v>
      </c>
      <c r="B162" s="619" t="s">
        <v>7336</v>
      </c>
      <c r="C162" s="619" t="s">
        <v>4258</v>
      </c>
      <c r="D162" s="619" t="s">
        <v>4267</v>
      </c>
      <c r="E162" s="622" t="s">
        <v>7323</v>
      </c>
      <c r="F162" s="620"/>
      <c r="G162" s="620"/>
      <c r="H162" s="657" t="s">
        <v>7467</v>
      </c>
      <c r="I162" s="620"/>
      <c r="J162" s="620" t="s">
        <v>5453</v>
      </c>
      <c r="K162" s="620"/>
      <c r="L162" s="620" t="s">
        <v>5464</v>
      </c>
      <c r="M162" s="620"/>
      <c r="N162" s="620"/>
      <c r="O162" s="620"/>
      <c r="P162" s="620"/>
      <c r="Q162" s="620"/>
    </row>
    <row r="163" spans="1:17">
      <c r="A163" s="640">
        <f t="shared" si="2"/>
        <v>162</v>
      </c>
      <c r="B163" s="619" t="s">
        <v>7337</v>
      </c>
      <c r="C163" s="619" t="s">
        <v>4258</v>
      </c>
      <c r="D163" s="619" t="s">
        <v>4264</v>
      </c>
      <c r="E163" s="622" t="s">
        <v>7324</v>
      </c>
      <c r="F163" s="620"/>
      <c r="G163" s="620"/>
      <c r="H163" s="657" t="s">
        <v>7467</v>
      </c>
      <c r="I163" s="620"/>
      <c r="J163" s="620" t="s">
        <v>5453</v>
      </c>
      <c r="K163" s="620"/>
      <c r="L163" s="620" t="s">
        <v>5466</v>
      </c>
      <c r="M163" s="620"/>
      <c r="N163" s="620"/>
      <c r="O163" s="620"/>
      <c r="P163" s="620"/>
      <c r="Q163" s="620"/>
    </row>
    <row r="164" spans="1:17">
      <c r="A164" s="640">
        <f t="shared" si="2"/>
        <v>163</v>
      </c>
      <c r="B164" s="619" t="s">
        <v>7338</v>
      </c>
      <c r="C164" s="619" t="s">
        <v>4258</v>
      </c>
      <c r="D164" s="619" t="s">
        <v>4263</v>
      </c>
      <c r="E164" s="622" t="s">
        <v>7325</v>
      </c>
      <c r="F164" s="620"/>
      <c r="G164" s="620"/>
      <c r="H164" s="657" t="s">
        <v>7467</v>
      </c>
      <c r="I164" s="620"/>
      <c r="J164" s="620" t="s">
        <v>5453</v>
      </c>
      <c r="K164" s="620"/>
      <c r="L164" s="620" t="s">
        <v>5467</v>
      </c>
      <c r="M164" s="620"/>
      <c r="N164" s="620"/>
      <c r="O164" s="620"/>
      <c r="P164" s="620"/>
      <c r="Q164" s="620"/>
    </row>
    <row r="165" spans="1:17">
      <c r="A165" s="640">
        <f t="shared" si="2"/>
        <v>164</v>
      </c>
      <c r="B165" s="619" t="s">
        <v>7339</v>
      </c>
      <c r="C165" s="619" t="s">
        <v>4258</v>
      </c>
      <c r="D165" s="619" t="s">
        <v>5299</v>
      </c>
      <c r="E165" s="622" t="s">
        <v>7326</v>
      </c>
      <c r="F165" s="620"/>
      <c r="G165" s="620"/>
      <c r="H165" s="657" t="s">
        <v>7467</v>
      </c>
      <c r="I165" s="620"/>
      <c r="J165" s="620" t="s">
        <v>5453</v>
      </c>
      <c r="K165" s="620"/>
      <c r="L165" s="620" t="s">
        <v>5468</v>
      </c>
      <c r="M165" s="620"/>
      <c r="N165" s="620"/>
      <c r="O165" s="620"/>
      <c r="P165" s="620"/>
      <c r="Q165" s="620"/>
    </row>
    <row r="166" spans="1:17">
      <c r="A166" s="640">
        <f t="shared" si="2"/>
        <v>165</v>
      </c>
      <c r="B166" s="619" t="s">
        <v>7340</v>
      </c>
      <c r="C166" s="619" t="s">
        <v>4258</v>
      </c>
      <c r="D166" s="619" t="s">
        <v>4264</v>
      </c>
      <c r="E166" s="622" t="s">
        <v>7327</v>
      </c>
      <c r="F166" s="620"/>
      <c r="G166" s="620"/>
      <c r="H166" s="657" t="s">
        <v>7467</v>
      </c>
      <c r="I166" s="620"/>
      <c r="J166" s="620" t="s">
        <v>5453</v>
      </c>
      <c r="K166" s="620"/>
      <c r="L166" s="620" t="s">
        <v>5465</v>
      </c>
      <c r="M166" s="620"/>
      <c r="N166" s="620"/>
      <c r="O166" s="620"/>
      <c r="P166" s="620"/>
      <c r="Q166" s="620"/>
    </row>
    <row r="167" spans="1:17">
      <c r="A167" s="640">
        <f t="shared" si="2"/>
        <v>166</v>
      </c>
      <c r="B167" s="619" t="s">
        <v>7341</v>
      </c>
      <c r="C167" s="619" t="s">
        <v>52</v>
      </c>
      <c r="D167" s="619" t="s">
        <v>4262</v>
      </c>
      <c r="E167" s="622" t="s">
        <v>7010</v>
      </c>
      <c r="F167" s="620"/>
      <c r="G167" s="620"/>
      <c r="H167" s="657" t="s">
        <v>7467</v>
      </c>
      <c r="I167" s="620"/>
      <c r="J167" s="620" t="s">
        <v>5453</v>
      </c>
      <c r="K167" s="620"/>
      <c r="L167" s="620" t="s">
        <v>7009</v>
      </c>
      <c r="M167" s="620"/>
      <c r="N167" s="620"/>
      <c r="O167" s="620"/>
      <c r="P167" s="620"/>
      <c r="Q167" s="620"/>
    </row>
    <row r="168" spans="1:17">
      <c r="A168" s="640">
        <f t="shared" si="2"/>
        <v>167</v>
      </c>
      <c r="B168" s="619" t="s">
        <v>7342</v>
      </c>
      <c r="C168" s="619" t="s">
        <v>4258</v>
      </c>
      <c r="D168" s="619" t="s">
        <v>5299</v>
      </c>
      <c r="E168" s="622" t="s">
        <v>7328</v>
      </c>
      <c r="F168" s="620"/>
      <c r="G168" s="620"/>
      <c r="H168" s="657" t="s">
        <v>7467</v>
      </c>
      <c r="I168" s="620"/>
      <c r="J168" s="620" t="s">
        <v>5453</v>
      </c>
      <c r="K168" s="620"/>
      <c r="L168" s="620" t="s">
        <v>7321</v>
      </c>
      <c r="M168" s="620"/>
      <c r="N168" s="620"/>
      <c r="O168" s="620"/>
      <c r="P168" s="620"/>
      <c r="Q168" s="620"/>
    </row>
    <row r="169" spans="1:17">
      <c r="A169" s="640">
        <f t="shared" si="2"/>
        <v>168</v>
      </c>
      <c r="B169" s="619" t="s">
        <v>7343</v>
      </c>
      <c r="C169" s="619" t="s">
        <v>52</v>
      </c>
      <c r="D169" s="619" t="s">
        <v>4262</v>
      </c>
      <c r="E169" s="622" t="s">
        <v>7329</v>
      </c>
      <c r="F169" s="620"/>
      <c r="G169" s="620"/>
      <c r="H169" s="657" t="s">
        <v>7467</v>
      </c>
      <c r="I169" s="620"/>
      <c r="J169" s="620" t="s">
        <v>5453</v>
      </c>
      <c r="K169" s="620"/>
      <c r="L169" s="620" t="s">
        <v>7321</v>
      </c>
      <c r="M169" s="620"/>
      <c r="N169" s="620"/>
      <c r="O169" s="620"/>
      <c r="P169" s="620"/>
      <c r="Q169" s="620"/>
    </row>
    <row r="170" spans="1:17">
      <c r="A170" s="640">
        <f t="shared" si="2"/>
        <v>169</v>
      </c>
      <c r="B170" s="619" t="s">
        <v>7320</v>
      </c>
      <c r="C170" s="619" t="s">
        <v>4258</v>
      </c>
      <c r="D170" s="619" t="s">
        <v>4264</v>
      </c>
      <c r="E170" s="622" t="s">
        <v>7330</v>
      </c>
      <c r="F170" s="620"/>
      <c r="G170" s="620"/>
      <c r="H170" s="657" t="s">
        <v>7467</v>
      </c>
      <c r="I170" s="620"/>
      <c r="J170" s="620" t="s">
        <v>5453</v>
      </c>
      <c r="K170" s="620"/>
      <c r="L170" s="620" t="s">
        <v>7316</v>
      </c>
      <c r="M170" s="620"/>
      <c r="N170" s="620"/>
      <c r="O170" s="620"/>
      <c r="P170" s="620"/>
      <c r="Q170" s="620"/>
    </row>
    <row r="171" spans="1:17">
      <c r="A171" s="641">
        <f t="shared" si="2"/>
        <v>170</v>
      </c>
      <c r="B171" s="619" t="s">
        <v>3107</v>
      </c>
      <c r="C171" s="619" t="s">
        <v>4261</v>
      </c>
      <c r="D171" s="619" t="s">
        <v>4265</v>
      </c>
      <c r="E171" s="622" t="s">
        <v>4190</v>
      </c>
      <c r="F171" s="620"/>
      <c r="G171" s="620"/>
      <c r="H171" s="644" t="s">
        <v>7469</v>
      </c>
      <c r="I171" s="629" t="s">
        <v>5373</v>
      </c>
      <c r="J171" s="620" t="s">
        <v>5438</v>
      </c>
      <c r="K171" s="620" t="s">
        <v>7491</v>
      </c>
      <c r="L171" s="629" t="s">
        <v>5373</v>
      </c>
      <c r="M171" s="620"/>
      <c r="N171" s="620"/>
      <c r="O171" s="620"/>
      <c r="P171" s="620"/>
      <c r="Q171" s="620"/>
    </row>
    <row r="172" spans="1:17">
      <c r="A172" s="640">
        <f t="shared" si="2"/>
        <v>171</v>
      </c>
      <c r="B172" s="619" t="s">
        <v>3618</v>
      </c>
      <c r="C172" s="619" t="s">
        <v>4258</v>
      </c>
      <c r="D172" s="619" t="s">
        <v>4263</v>
      </c>
      <c r="E172" s="622" t="s">
        <v>4191</v>
      </c>
      <c r="F172" s="620"/>
      <c r="G172" s="620"/>
      <c r="H172" s="644" t="s">
        <v>7469</v>
      </c>
      <c r="I172" s="629" t="s">
        <v>5374</v>
      </c>
      <c r="J172" s="620" t="s">
        <v>5438</v>
      </c>
      <c r="K172" s="620" t="s">
        <v>7492</v>
      </c>
      <c r="L172" s="629" t="s">
        <v>5374</v>
      </c>
      <c r="M172" s="620"/>
      <c r="N172" s="620"/>
      <c r="O172" s="620"/>
      <c r="P172" s="620"/>
      <c r="Q172" s="620"/>
    </row>
    <row r="173" spans="1:17">
      <c r="A173" s="640">
        <f t="shared" si="2"/>
        <v>172</v>
      </c>
      <c r="B173" s="619" t="s">
        <v>3720</v>
      </c>
      <c r="C173" s="619" t="s">
        <v>4268</v>
      </c>
      <c r="D173" s="619" t="s">
        <v>4270</v>
      </c>
      <c r="E173" s="622" t="s">
        <v>4192</v>
      </c>
      <c r="F173" s="620"/>
      <c r="G173" s="620"/>
      <c r="H173" s="644" t="s">
        <v>7469</v>
      </c>
      <c r="I173" s="629" t="s">
        <v>5375</v>
      </c>
      <c r="J173" s="620" t="s">
        <v>5438</v>
      </c>
      <c r="K173" s="620" t="s">
        <v>7487</v>
      </c>
      <c r="L173" s="629" t="s">
        <v>5375</v>
      </c>
      <c r="M173" s="666" t="s">
        <v>7490</v>
      </c>
      <c r="N173" s="620"/>
      <c r="O173" s="620"/>
      <c r="P173" s="620"/>
      <c r="Q173" s="620"/>
    </row>
    <row r="174" spans="1:17">
      <c r="A174" s="640">
        <f t="shared" si="2"/>
        <v>173</v>
      </c>
      <c r="B174" s="619" t="s">
        <v>3721</v>
      </c>
      <c r="C174" s="619" t="s">
        <v>4268</v>
      </c>
      <c r="D174" s="619" t="s">
        <v>4270</v>
      </c>
      <c r="E174" s="622" t="s">
        <v>4193</v>
      </c>
      <c r="F174" s="620"/>
      <c r="G174" s="620"/>
      <c r="H174" s="644" t="s">
        <v>7469</v>
      </c>
      <c r="I174" s="629" t="s">
        <v>5376</v>
      </c>
      <c r="J174" s="620" t="s">
        <v>5438</v>
      </c>
      <c r="K174" s="620" t="s">
        <v>7488</v>
      </c>
      <c r="L174" s="629" t="s">
        <v>5376</v>
      </c>
      <c r="M174" s="666" t="s">
        <v>7490</v>
      </c>
      <c r="N174" s="620"/>
      <c r="O174" s="620"/>
      <c r="P174" s="620"/>
      <c r="Q174" s="620"/>
    </row>
    <row r="175" spans="1:17">
      <c r="A175" s="640">
        <f t="shared" si="2"/>
        <v>174</v>
      </c>
      <c r="B175" s="619" t="s">
        <v>3722</v>
      </c>
      <c r="C175" s="619" t="s">
        <v>4261</v>
      </c>
      <c r="D175" s="619" t="s">
        <v>4262</v>
      </c>
      <c r="E175" s="622" t="s">
        <v>4194</v>
      </c>
      <c r="F175" s="620"/>
      <c r="G175" s="620"/>
      <c r="H175" s="644" t="s">
        <v>5380</v>
      </c>
      <c r="I175" s="620"/>
      <c r="J175" s="620" t="s">
        <v>7485</v>
      </c>
      <c r="K175" s="620" t="s">
        <v>7486</v>
      </c>
      <c r="L175" s="620"/>
      <c r="M175" s="620"/>
      <c r="N175" s="620"/>
      <c r="O175" s="620"/>
      <c r="P175" s="620"/>
      <c r="Q175" s="620"/>
    </row>
    <row r="176" spans="1:17">
      <c r="A176" s="640">
        <f t="shared" si="2"/>
        <v>175</v>
      </c>
      <c r="B176" s="619" t="s">
        <v>4195</v>
      </c>
      <c r="C176" s="619" t="s">
        <v>4258</v>
      </c>
      <c r="D176" s="619" t="s">
        <v>4264</v>
      </c>
      <c r="E176" s="622" t="s">
        <v>4196</v>
      </c>
      <c r="F176" s="620"/>
      <c r="G176" s="620"/>
      <c r="H176" s="659"/>
      <c r="I176" s="620"/>
      <c r="J176" s="667" t="s">
        <v>7494</v>
      </c>
      <c r="K176" s="668" t="s">
        <v>7493</v>
      </c>
      <c r="L176" s="620"/>
      <c r="M176" s="620"/>
      <c r="N176" s="620"/>
      <c r="O176" s="620"/>
      <c r="P176" s="620"/>
      <c r="Q176" s="620"/>
    </row>
    <row r="177" spans="1:17">
      <c r="A177" s="640">
        <f t="shared" si="2"/>
        <v>176</v>
      </c>
      <c r="B177" s="619" t="s">
        <v>3723</v>
      </c>
      <c r="C177" s="619" t="s">
        <v>4258</v>
      </c>
      <c r="D177" s="619" t="s">
        <v>4263</v>
      </c>
      <c r="E177" s="622" t="s">
        <v>4197</v>
      </c>
      <c r="F177" s="620"/>
      <c r="G177" s="620"/>
      <c r="H177" s="644" t="s">
        <v>5381</v>
      </c>
      <c r="I177" s="620"/>
      <c r="J177" s="620" t="s">
        <v>7485</v>
      </c>
      <c r="K177" s="620" t="s">
        <v>7495</v>
      </c>
      <c r="L177" s="620"/>
      <c r="M177" s="620"/>
      <c r="N177" s="620"/>
      <c r="O177" s="620"/>
      <c r="P177" s="620"/>
      <c r="Q177" s="620"/>
    </row>
    <row r="178" spans="1:17">
      <c r="A178" s="640">
        <f t="shared" si="2"/>
        <v>177</v>
      </c>
      <c r="B178" s="619" t="s">
        <v>4198</v>
      </c>
      <c r="C178" s="619" t="s">
        <v>4258</v>
      </c>
      <c r="D178" s="619" t="s">
        <v>4264</v>
      </c>
      <c r="E178" s="625" t="s">
        <v>4199</v>
      </c>
      <c r="F178" s="626"/>
      <c r="G178" s="626"/>
      <c r="H178" s="644" t="s">
        <v>7005</v>
      </c>
      <c r="I178" s="629" t="s">
        <v>5377</v>
      </c>
      <c r="J178" s="620" t="s">
        <v>7496</v>
      </c>
      <c r="K178" s="620" t="s">
        <v>7497</v>
      </c>
      <c r="L178" s="620"/>
      <c r="M178" s="620"/>
      <c r="N178" s="620"/>
      <c r="O178" s="620"/>
      <c r="P178" s="620"/>
      <c r="Q178" s="620"/>
    </row>
    <row r="179" spans="1:17">
      <c r="A179" s="640">
        <f t="shared" si="2"/>
        <v>178</v>
      </c>
      <c r="B179" s="619" t="s">
        <v>3724</v>
      </c>
      <c r="C179" s="619" t="s">
        <v>4261</v>
      </c>
      <c r="D179" s="619" t="s">
        <v>4262</v>
      </c>
      <c r="E179" s="625" t="s">
        <v>4200</v>
      </c>
      <c r="F179" s="626"/>
      <c r="G179" s="626"/>
      <c r="H179" s="644" t="s">
        <v>7005</v>
      </c>
      <c r="I179" s="629" t="s">
        <v>5377</v>
      </c>
      <c r="J179" s="620" t="s">
        <v>7496</v>
      </c>
      <c r="K179" s="620" t="s">
        <v>4240</v>
      </c>
      <c r="L179" s="620"/>
      <c r="M179" s="620"/>
      <c r="N179" s="620"/>
      <c r="O179" s="620"/>
      <c r="P179" s="620"/>
      <c r="Q179" s="620"/>
    </row>
    <row r="180" spans="1:17">
      <c r="A180" s="640">
        <f t="shared" si="2"/>
        <v>179</v>
      </c>
      <c r="B180" s="619" t="s">
        <v>4201</v>
      </c>
      <c r="C180" s="619" t="s">
        <v>4261</v>
      </c>
      <c r="D180" s="619" t="s">
        <v>4262</v>
      </c>
      <c r="E180" s="625" t="s">
        <v>4202</v>
      </c>
      <c r="F180" s="626"/>
      <c r="G180" s="626"/>
      <c r="H180" s="644" t="s">
        <v>7005</v>
      </c>
      <c r="I180" s="629" t="s">
        <v>5378</v>
      </c>
      <c r="J180" s="620" t="s">
        <v>7498</v>
      </c>
      <c r="K180" s="620" t="s">
        <v>7231</v>
      </c>
      <c r="L180" s="620"/>
      <c r="M180" s="620"/>
      <c r="N180" s="620"/>
      <c r="O180" s="620"/>
      <c r="P180" s="620"/>
      <c r="Q180" s="620"/>
    </row>
    <row r="181" spans="1:17">
      <c r="A181" s="640">
        <f t="shared" si="2"/>
        <v>180</v>
      </c>
      <c r="B181" s="619" t="s">
        <v>3725</v>
      </c>
      <c r="C181" s="619" t="s">
        <v>4261</v>
      </c>
      <c r="D181" s="619" t="s">
        <v>4262</v>
      </c>
      <c r="E181" s="625" t="s">
        <v>4203</v>
      </c>
      <c r="F181" s="626"/>
      <c r="G181" s="626"/>
      <c r="H181" s="644" t="s">
        <v>7005</v>
      </c>
      <c r="I181" s="629" t="s">
        <v>5378</v>
      </c>
      <c r="J181" s="620" t="s">
        <v>7498</v>
      </c>
      <c r="K181" s="620" t="s">
        <v>2984</v>
      </c>
      <c r="L181" s="620"/>
      <c r="M181" s="620"/>
      <c r="N181" s="620"/>
      <c r="O181" s="620"/>
      <c r="P181" s="620"/>
      <c r="Q181" s="620"/>
    </row>
    <row r="182" spans="1:17">
      <c r="A182" s="640">
        <f t="shared" si="2"/>
        <v>181</v>
      </c>
      <c r="B182" s="619" t="s">
        <v>4204</v>
      </c>
      <c r="C182" s="619" t="s">
        <v>4258</v>
      </c>
      <c r="D182" s="619" t="s">
        <v>4264</v>
      </c>
      <c r="E182" s="625" t="s">
        <v>4205</v>
      </c>
      <c r="F182" s="626"/>
      <c r="G182" s="626"/>
      <c r="H182" s="644" t="s">
        <v>7005</v>
      </c>
      <c r="I182" s="629" t="s">
        <v>5378</v>
      </c>
      <c r="J182" s="620" t="s">
        <v>7498</v>
      </c>
      <c r="K182" s="620" t="s">
        <v>4402</v>
      </c>
      <c r="L182" s="620"/>
      <c r="M182" s="620"/>
      <c r="N182" s="620"/>
      <c r="O182" s="620"/>
      <c r="P182" s="620"/>
      <c r="Q182" s="620"/>
    </row>
    <row r="183" spans="1:17">
      <c r="A183" s="640">
        <f t="shared" si="2"/>
        <v>182</v>
      </c>
      <c r="B183" s="619" t="s">
        <v>4206</v>
      </c>
      <c r="C183" s="619" t="s">
        <v>4268</v>
      </c>
      <c r="D183" s="619" t="s">
        <v>4269</v>
      </c>
      <c r="E183" s="625" t="s">
        <v>4207</v>
      </c>
      <c r="F183" s="626"/>
      <c r="G183" s="626"/>
      <c r="H183" s="644" t="s">
        <v>7469</v>
      </c>
      <c r="I183" s="629" t="s">
        <v>5379</v>
      </c>
      <c r="J183" s="620" t="s">
        <v>5438</v>
      </c>
      <c r="K183" s="620" t="s">
        <v>7489</v>
      </c>
      <c r="L183" s="629" t="s">
        <v>5379</v>
      </c>
      <c r="M183" s="666" t="s">
        <v>7490</v>
      </c>
      <c r="N183" s="620"/>
      <c r="O183" s="620"/>
      <c r="P183" s="620"/>
      <c r="Q183" s="620"/>
    </row>
    <row r="184" spans="1:17">
      <c r="A184" s="640">
        <f t="shared" si="2"/>
        <v>183</v>
      </c>
      <c r="B184" s="619" t="s">
        <v>3726</v>
      </c>
      <c r="C184" s="619" t="s">
        <v>4258</v>
      </c>
      <c r="D184" s="619" t="s">
        <v>4267</v>
      </c>
      <c r="E184" s="625" t="s">
        <v>4208</v>
      </c>
      <c r="F184" s="626"/>
      <c r="G184" s="626"/>
      <c r="H184" s="644" t="s">
        <v>7005</v>
      </c>
      <c r="I184" s="629" t="s">
        <v>5377</v>
      </c>
      <c r="J184" s="620" t="s">
        <v>7496</v>
      </c>
      <c r="K184" s="620" t="s">
        <v>7499</v>
      </c>
      <c r="L184" s="620"/>
      <c r="M184" s="620"/>
      <c r="N184" s="620"/>
      <c r="O184" s="620"/>
      <c r="P184" s="620"/>
      <c r="Q184" s="620"/>
    </row>
    <row r="185" spans="1:17">
      <c r="A185" s="640">
        <f t="shared" si="2"/>
        <v>184</v>
      </c>
      <c r="B185" s="619" t="s">
        <v>3727</v>
      </c>
      <c r="C185" s="619" t="s">
        <v>4258</v>
      </c>
      <c r="D185" s="619" t="s">
        <v>4264</v>
      </c>
      <c r="E185" s="625" t="s">
        <v>7457</v>
      </c>
      <c r="F185" s="626"/>
      <c r="G185" s="626"/>
      <c r="H185" s="644" t="s">
        <v>7469</v>
      </c>
      <c r="I185" s="629"/>
      <c r="J185" s="620" t="s">
        <v>5438</v>
      </c>
      <c r="K185" s="620" t="s">
        <v>7399</v>
      </c>
      <c r="L185" s="620"/>
      <c r="M185" s="620"/>
      <c r="N185" s="620"/>
      <c r="O185" s="620"/>
      <c r="P185" s="620"/>
      <c r="Q185" s="620"/>
    </row>
    <row r="186" spans="1:17">
      <c r="A186" s="640">
        <f t="shared" si="2"/>
        <v>185</v>
      </c>
      <c r="B186" s="619" t="s">
        <v>3731</v>
      </c>
      <c r="C186" s="619" t="s">
        <v>4268</v>
      </c>
      <c r="D186" s="619" t="s">
        <v>7460</v>
      </c>
      <c r="E186" s="625" t="s">
        <v>7458</v>
      </c>
      <c r="F186" s="626"/>
      <c r="G186" s="626"/>
      <c r="H186" s="644" t="s">
        <v>7469</v>
      </c>
      <c r="I186" s="629"/>
      <c r="J186" s="620" t="s">
        <v>5438</v>
      </c>
      <c r="K186" s="620" t="s">
        <v>7458</v>
      </c>
      <c r="L186" s="620"/>
      <c r="M186" s="666" t="s">
        <v>7490</v>
      </c>
      <c r="N186" s="620"/>
      <c r="O186" s="620"/>
      <c r="P186" s="620"/>
      <c r="Q186" s="620"/>
    </row>
    <row r="187" spans="1:17">
      <c r="A187" s="640">
        <f t="shared" si="2"/>
        <v>186</v>
      </c>
      <c r="B187" s="619" t="s">
        <v>3732</v>
      </c>
      <c r="C187" s="619" t="s">
        <v>4268</v>
      </c>
      <c r="D187" s="619" t="s">
        <v>7460</v>
      </c>
      <c r="E187" s="625" t="s">
        <v>7459</v>
      </c>
      <c r="F187" s="626"/>
      <c r="G187" s="626"/>
      <c r="H187" s="644" t="s">
        <v>7469</v>
      </c>
      <c r="I187" s="629"/>
      <c r="J187" s="620" t="s">
        <v>5438</v>
      </c>
      <c r="K187" s="620" t="s">
        <v>7459</v>
      </c>
      <c r="L187" s="620"/>
      <c r="M187" s="666" t="s">
        <v>7490</v>
      </c>
      <c r="N187" s="620"/>
      <c r="O187" s="620"/>
      <c r="P187" s="620"/>
      <c r="Q187" s="620"/>
    </row>
    <row r="188" spans="1:17">
      <c r="A188" s="640">
        <f t="shared" si="2"/>
        <v>187</v>
      </c>
      <c r="B188" s="660" t="s">
        <v>6858</v>
      </c>
      <c r="C188" s="661" t="s">
        <v>275</v>
      </c>
      <c r="D188" s="620"/>
      <c r="E188" s="662" t="s">
        <v>7483</v>
      </c>
      <c r="F188" s="620"/>
      <c r="G188" s="620"/>
      <c r="H188" s="661" t="s">
        <v>7484</v>
      </c>
      <c r="I188" s="620" t="s">
        <v>7311</v>
      </c>
      <c r="J188" s="620" t="s">
        <v>7311</v>
      </c>
      <c r="K188" s="662" t="s">
        <v>6271</v>
      </c>
      <c r="L188" s="620"/>
      <c r="M188" s="662"/>
      <c r="N188" s="620"/>
      <c r="O188" s="620"/>
      <c r="P188" s="620"/>
      <c r="Q188" s="620"/>
    </row>
    <row r="189" spans="1:17">
      <c r="A189" s="640">
        <f t="shared" si="2"/>
        <v>188</v>
      </c>
      <c r="B189" s="660" t="s">
        <v>2332</v>
      </c>
      <c r="C189" s="661" t="s">
        <v>275</v>
      </c>
      <c r="D189" s="620"/>
      <c r="E189" s="662" t="s">
        <v>6271</v>
      </c>
      <c r="F189" s="620"/>
      <c r="G189" s="620"/>
      <c r="H189" s="661" t="s">
        <v>7484</v>
      </c>
      <c r="I189" s="620"/>
      <c r="J189" s="620" t="s">
        <v>7311</v>
      </c>
      <c r="K189" s="663" t="s">
        <v>6345</v>
      </c>
      <c r="L189" s="620"/>
      <c r="M189" s="663"/>
      <c r="N189" s="620"/>
      <c r="O189" s="620"/>
      <c r="P189" s="620"/>
      <c r="Q189" s="620"/>
    </row>
    <row r="190" spans="1:17">
      <c r="A190" s="640">
        <f t="shared" si="2"/>
        <v>189</v>
      </c>
      <c r="B190" s="660" t="s">
        <v>2333</v>
      </c>
      <c r="C190" s="661" t="s">
        <v>4415</v>
      </c>
      <c r="D190" s="620"/>
      <c r="E190" s="662" t="s">
        <v>6610</v>
      </c>
      <c r="F190" s="620"/>
      <c r="G190" s="620"/>
      <c r="H190" s="661" t="s">
        <v>7484</v>
      </c>
      <c r="I190" s="620"/>
      <c r="J190" s="620" t="s">
        <v>7311</v>
      </c>
      <c r="K190" s="662" t="s">
        <v>6610</v>
      </c>
      <c r="L190" s="620"/>
      <c r="M190" s="662"/>
      <c r="N190" s="620"/>
      <c r="O190" s="620"/>
      <c r="P190" s="620"/>
      <c r="Q190" s="620"/>
    </row>
    <row r="191" spans="1:17">
      <c r="A191" s="640">
        <f t="shared" si="2"/>
        <v>190</v>
      </c>
      <c r="B191" s="660" t="s">
        <v>2334</v>
      </c>
      <c r="C191" s="661" t="s">
        <v>4415</v>
      </c>
      <c r="D191" s="620"/>
      <c r="E191" s="662" t="s">
        <v>6346</v>
      </c>
      <c r="F191" s="620"/>
      <c r="G191" s="620"/>
      <c r="H191" s="661" t="s">
        <v>7484</v>
      </c>
      <c r="I191" s="620"/>
      <c r="J191" s="620" t="s">
        <v>7311</v>
      </c>
      <c r="K191" s="662" t="s">
        <v>6346</v>
      </c>
      <c r="L191" s="620"/>
      <c r="M191" s="662"/>
      <c r="N191" s="620"/>
      <c r="O191" s="620"/>
      <c r="P191" s="620"/>
      <c r="Q191" s="620"/>
    </row>
    <row r="192" spans="1:17">
      <c r="A192" s="640">
        <f t="shared" si="2"/>
        <v>191</v>
      </c>
      <c r="B192" s="660" t="s">
        <v>2335</v>
      </c>
      <c r="C192" s="661" t="s">
        <v>4415</v>
      </c>
      <c r="D192" s="620"/>
      <c r="E192" s="662" t="s">
        <v>6347</v>
      </c>
      <c r="F192" s="620"/>
      <c r="G192" s="620"/>
      <c r="H192" s="661" t="s">
        <v>7484</v>
      </c>
      <c r="I192" s="620"/>
      <c r="J192" s="620" t="s">
        <v>7311</v>
      </c>
      <c r="K192" s="662" t="s">
        <v>6347</v>
      </c>
      <c r="L192" s="620"/>
      <c r="M192" s="662"/>
      <c r="N192" s="620"/>
      <c r="O192" s="620"/>
      <c r="P192" s="620"/>
      <c r="Q192" s="620"/>
    </row>
    <row r="193" spans="1:17">
      <c r="A193" s="640">
        <f t="shared" si="2"/>
        <v>192</v>
      </c>
      <c r="B193" s="660" t="s">
        <v>2336</v>
      </c>
      <c r="C193" s="661" t="s">
        <v>4421</v>
      </c>
      <c r="D193" s="620"/>
      <c r="E193" s="662" t="s">
        <v>6348</v>
      </c>
      <c r="F193" s="620"/>
      <c r="G193" s="620"/>
      <c r="H193" s="661" t="s">
        <v>7484</v>
      </c>
      <c r="I193" s="620"/>
      <c r="J193" s="620" t="s">
        <v>7311</v>
      </c>
      <c r="K193" s="662" t="s">
        <v>6348</v>
      </c>
      <c r="L193" s="620"/>
      <c r="M193" s="662"/>
      <c r="N193" s="620"/>
      <c r="O193" s="620"/>
      <c r="P193" s="620"/>
      <c r="Q193" s="620"/>
    </row>
    <row r="194" spans="1:17">
      <c r="A194" s="640">
        <f t="shared" si="2"/>
        <v>193</v>
      </c>
      <c r="B194" s="660" t="s">
        <v>2337</v>
      </c>
      <c r="C194" s="661" t="s">
        <v>4421</v>
      </c>
      <c r="D194" s="620"/>
      <c r="E194" s="662" t="s">
        <v>6349</v>
      </c>
      <c r="F194" s="620"/>
      <c r="G194" s="620"/>
      <c r="H194" s="661" t="s">
        <v>7484</v>
      </c>
      <c r="I194" s="620"/>
      <c r="J194" s="620" t="s">
        <v>7311</v>
      </c>
      <c r="K194" s="662" t="s">
        <v>6349</v>
      </c>
      <c r="L194" s="620"/>
      <c r="M194" s="662"/>
      <c r="N194" s="620"/>
      <c r="O194" s="620"/>
      <c r="P194" s="620"/>
      <c r="Q194" s="620"/>
    </row>
    <row r="195" spans="1:17">
      <c r="A195" s="640">
        <f t="shared" si="2"/>
        <v>194</v>
      </c>
      <c r="B195" s="660" t="s">
        <v>2338</v>
      </c>
      <c r="C195" s="661" t="s">
        <v>4415</v>
      </c>
      <c r="D195" s="620"/>
      <c r="E195" s="662" t="s">
        <v>6350</v>
      </c>
      <c r="F195" s="620"/>
      <c r="G195" s="620"/>
      <c r="H195" s="661" t="s">
        <v>7484</v>
      </c>
      <c r="I195" s="620"/>
      <c r="J195" s="620" t="s">
        <v>7311</v>
      </c>
      <c r="K195" s="662" t="s">
        <v>6350</v>
      </c>
      <c r="L195" s="620"/>
      <c r="M195" s="662"/>
      <c r="N195" s="620"/>
      <c r="O195" s="620"/>
      <c r="P195" s="620"/>
      <c r="Q195" s="620"/>
    </row>
    <row r="196" spans="1:17">
      <c r="A196" s="640">
        <f t="shared" si="2"/>
        <v>195</v>
      </c>
      <c r="B196" s="660" t="s">
        <v>2339</v>
      </c>
      <c r="C196" s="661" t="s">
        <v>4421</v>
      </c>
      <c r="D196" s="620"/>
      <c r="E196" s="662" t="s">
        <v>6351</v>
      </c>
      <c r="F196" s="620"/>
      <c r="G196" s="620"/>
      <c r="H196" s="661" t="s">
        <v>7484</v>
      </c>
      <c r="I196" s="620"/>
      <c r="J196" s="620" t="s">
        <v>7311</v>
      </c>
      <c r="K196" s="662" t="s">
        <v>6351</v>
      </c>
      <c r="L196" s="620"/>
      <c r="M196" s="662"/>
      <c r="N196" s="620"/>
      <c r="O196" s="620"/>
      <c r="P196" s="620"/>
      <c r="Q196" s="620"/>
    </row>
    <row r="197" spans="1:17">
      <c r="A197" s="640">
        <f t="shared" si="2"/>
        <v>196</v>
      </c>
      <c r="B197" s="660" t="s">
        <v>2340</v>
      </c>
      <c r="C197" s="661" t="s">
        <v>275</v>
      </c>
      <c r="D197" s="620"/>
      <c r="E197" s="662" t="s">
        <v>6611</v>
      </c>
      <c r="F197" s="620"/>
      <c r="G197" s="620"/>
      <c r="H197" s="661" t="s">
        <v>7484</v>
      </c>
      <c r="I197" s="620"/>
      <c r="J197" s="620" t="s">
        <v>7311</v>
      </c>
      <c r="K197" s="662" t="s">
        <v>6611</v>
      </c>
      <c r="L197" s="620"/>
      <c r="M197" s="662"/>
      <c r="N197" s="620"/>
      <c r="O197" s="620"/>
      <c r="P197" s="620"/>
      <c r="Q197" s="620"/>
    </row>
    <row r="198" spans="1:17">
      <c r="A198" s="640">
        <f t="shared" si="2"/>
        <v>197</v>
      </c>
      <c r="B198" s="660" t="s">
        <v>2341</v>
      </c>
      <c r="C198" s="661" t="s">
        <v>275</v>
      </c>
      <c r="D198" s="620"/>
      <c r="E198" s="662" t="s">
        <v>6352</v>
      </c>
      <c r="F198" s="620"/>
      <c r="G198" s="620"/>
      <c r="H198" s="661" t="s">
        <v>7484</v>
      </c>
      <c r="I198" s="620"/>
      <c r="J198" s="620" t="s">
        <v>7311</v>
      </c>
      <c r="K198" s="663" t="s">
        <v>6352</v>
      </c>
      <c r="L198" s="620"/>
      <c r="M198" s="663"/>
      <c r="N198" s="620"/>
      <c r="O198" s="620"/>
      <c r="P198" s="620"/>
      <c r="Q198" s="620"/>
    </row>
    <row r="199" spans="1:17">
      <c r="A199" s="640">
        <f t="shared" si="2"/>
        <v>198</v>
      </c>
      <c r="B199" s="660" t="s">
        <v>2342</v>
      </c>
      <c r="C199" s="661" t="s">
        <v>275</v>
      </c>
      <c r="D199" s="620"/>
      <c r="E199" s="662" t="s">
        <v>6612</v>
      </c>
      <c r="F199" s="620"/>
      <c r="G199" s="620"/>
      <c r="H199" s="661" t="s">
        <v>7484</v>
      </c>
      <c r="I199" s="620"/>
      <c r="J199" s="620" t="s">
        <v>7311</v>
      </c>
      <c r="K199" s="662" t="s">
        <v>6612</v>
      </c>
      <c r="L199" s="620"/>
      <c r="M199" s="662"/>
      <c r="N199" s="620"/>
      <c r="O199" s="620"/>
      <c r="P199" s="620"/>
      <c r="Q199" s="620"/>
    </row>
    <row r="200" spans="1:17">
      <c r="A200" s="640">
        <f t="shared" si="2"/>
        <v>199</v>
      </c>
      <c r="B200" s="660" t="s">
        <v>2343</v>
      </c>
      <c r="C200" s="661" t="s">
        <v>4421</v>
      </c>
      <c r="D200" s="620"/>
      <c r="E200" s="662" t="s">
        <v>6613</v>
      </c>
      <c r="F200" s="620"/>
      <c r="G200" s="620"/>
      <c r="H200" s="661" t="s">
        <v>7484</v>
      </c>
      <c r="I200" s="620"/>
      <c r="J200" s="620" t="s">
        <v>7311</v>
      </c>
      <c r="K200" s="662" t="s">
        <v>6613</v>
      </c>
      <c r="L200" s="620"/>
      <c r="M200" s="662"/>
      <c r="N200" s="620"/>
      <c r="O200" s="620"/>
      <c r="P200" s="620"/>
      <c r="Q200" s="620"/>
    </row>
    <row r="201" spans="1:17">
      <c r="A201" s="640">
        <f t="shared" si="2"/>
        <v>200</v>
      </c>
      <c r="B201" s="660" t="s">
        <v>6859</v>
      </c>
      <c r="C201" s="647" t="s">
        <v>4421</v>
      </c>
      <c r="D201" s="620"/>
      <c r="E201" s="662" t="s">
        <v>757</v>
      </c>
      <c r="F201" s="620"/>
      <c r="G201" s="620"/>
      <c r="H201" s="661" t="s">
        <v>3327</v>
      </c>
      <c r="I201" s="632" t="s">
        <v>5613</v>
      </c>
      <c r="J201" s="620" t="s">
        <v>5613</v>
      </c>
      <c r="K201" s="620" t="s">
        <v>761</v>
      </c>
      <c r="L201" s="620"/>
      <c r="M201" s="662" t="s">
        <v>759</v>
      </c>
      <c r="N201" s="620"/>
      <c r="O201" s="620"/>
      <c r="P201" s="620"/>
      <c r="Q201" s="620"/>
    </row>
    <row r="202" spans="1:17">
      <c r="A202" s="640">
        <f t="shared" si="2"/>
        <v>201</v>
      </c>
      <c r="B202" s="660" t="s">
        <v>3795</v>
      </c>
      <c r="C202" s="647" t="s">
        <v>275</v>
      </c>
      <c r="D202" s="620"/>
      <c r="E202" s="662" t="s">
        <v>6997</v>
      </c>
      <c r="F202" s="620"/>
      <c r="G202" s="620"/>
      <c r="H202" s="661" t="s">
        <v>3327</v>
      </c>
      <c r="I202" s="632" t="s">
        <v>5613</v>
      </c>
      <c r="J202" s="620" t="s">
        <v>5613</v>
      </c>
      <c r="K202" s="620" t="s">
        <v>824</v>
      </c>
      <c r="L202" s="620"/>
      <c r="M202" s="662" t="s">
        <v>823</v>
      </c>
      <c r="N202" s="620"/>
      <c r="O202" s="620"/>
      <c r="P202" s="620"/>
      <c r="Q202" s="620"/>
    </row>
    <row r="203" spans="1:17">
      <c r="A203" s="640">
        <f t="shared" si="2"/>
        <v>202</v>
      </c>
      <c r="B203" s="660" t="s">
        <v>3796</v>
      </c>
      <c r="C203" s="647" t="s">
        <v>275</v>
      </c>
      <c r="D203" s="620"/>
      <c r="E203" s="662" t="s">
        <v>6353</v>
      </c>
      <c r="F203" s="620"/>
      <c r="G203" s="620"/>
      <c r="H203" s="661" t="s">
        <v>3327</v>
      </c>
      <c r="I203" s="632" t="s">
        <v>5613</v>
      </c>
      <c r="J203" s="620" t="s">
        <v>5613</v>
      </c>
      <c r="K203" s="620" t="s">
        <v>6424</v>
      </c>
      <c r="L203" s="620"/>
      <c r="M203" s="662" t="s">
        <v>6280</v>
      </c>
      <c r="N203" s="620"/>
      <c r="O203" s="620"/>
      <c r="P203" s="620"/>
      <c r="Q203" s="620"/>
    </row>
    <row r="204" spans="1:17">
      <c r="A204" s="640">
        <f t="shared" si="2"/>
        <v>203</v>
      </c>
      <c r="B204" s="660" t="s">
        <v>3797</v>
      </c>
      <c r="C204" s="647" t="s">
        <v>4421</v>
      </c>
      <c r="D204" s="620"/>
      <c r="E204" s="662" t="s">
        <v>6354</v>
      </c>
      <c r="F204" s="620"/>
      <c r="G204" s="620"/>
      <c r="H204" s="661" t="s">
        <v>3327</v>
      </c>
      <c r="I204" s="632" t="s">
        <v>5613</v>
      </c>
      <c r="J204" s="620" t="s">
        <v>5613</v>
      </c>
      <c r="K204" s="620" t="s">
        <v>6425</v>
      </c>
      <c r="L204" s="620"/>
      <c r="M204" s="662" t="s">
        <v>6281</v>
      </c>
      <c r="N204" s="620"/>
      <c r="O204" s="620"/>
      <c r="P204" s="620"/>
      <c r="Q204" s="620"/>
    </row>
    <row r="205" spans="1:17">
      <c r="A205" s="640">
        <f t="shared" si="2"/>
        <v>204</v>
      </c>
      <c r="B205" s="660" t="s">
        <v>3798</v>
      </c>
      <c r="C205" s="647" t="s">
        <v>4421</v>
      </c>
      <c r="D205" s="620"/>
      <c r="E205" s="662" t="s">
        <v>6355</v>
      </c>
      <c r="F205" s="620"/>
      <c r="G205" s="620"/>
      <c r="H205" s="661" t="s">
        <v>3327</v>
      </c>
      <c r="I205" s="632" t="s">
        <v>5613</v>
      </c>
      <c r="J205" s="620" t="s">
        <v>5613</v>
      </c>
      <c r="K205" s="620" t="s">
        <v>6426</v>
      </c>
      <c r="L205" s="620"/>
      <c r="M205" s="662" t="s">
        <v>6282</v>
      </c>
      <c r="N205" s="620"/>
      <c r="O205" s="620"/>
      <c r="P205" s="620"/>
      <c r="Q205" s="620"/>
    </row>
    <row r="206" spans="1:17">
      <c r="A206" s="640">
        <f t="shared" si="2"/>
        <v>205</v>
      </c>
      <c r="B206" s="660" t="s">
        <v>3799</v>
      </c>
      <c r="C206" s="647" t="s">
        <v>275</v>
      </c>
      <c r="D206" s="620"/>
      <c r="E206" s="662" t="s">
        <v>6356</v>
      </c>
      <c r="F206" s="620"/>
      <c r="G206" s="620"/>
      <c r="H206" s="661" t="s">
        <v>3327</v>
      </c>
      <c r="I206" s="632" t="s">
        <v>5613</v>
      </c>
      <c r="J206" s="620" t="s">
        <v>5613</v>
      </c>
      <c r="K206" s="620" t="s">
        <v>7035</v>
      </c>
      <c r="L206" s="620"/>
      <c r="M206" s="662" t="s">
        <v>6283</v>
      </c>
      <c r="N206" s="620"/>
      <c r="O206" s="620"/>
      <c r="P206" s="620"/>
      <c r="Q206" s="620"/>
    </row>
    <row r="207" spans="1:17">
      <c r="A207" s="640">
        <f t="shared" si="2"/>
        <v>206</v>
      </c>
      <c r="B207" s="660" t="s">
        <v>4339</v>
      </c>
      <c r="C207" s="647" t="s">
        <v>4421</v>
      </c>
      <c r="D207" s="620"/>
      <c r="E207" s="662" t="s">
        <v>6357</v>
      </c>
      <c r="F207" s="620"/>
      <c r="G207" s="620"/>
      <c r="H207" s="661" t="s">
        <v>3327</v>
      </c>
      <c r="I207" s="632" t="s">
        <v>5613</v>
      </c>
      <c r="J207" s="620" t="s">
        <v>5613</v>
      </c>
      <c r="K207" s="620" t="s">
        <v>6427</v>
      </c>
      <c r="L207" s="620"/>
      <c r="M207" s="662" t="s">
        <v>6284</v>
      </c>
      <c r="N207" s="620"/>
      <c r="O207" s="620"/>
      <c r="P207" s="620"/>
      <c r="Q207" s="620"/>
    </row>
    <row r="208" spans="1:17">
      <c r="A208" s="640">
        <f t="shared" si="2"/>
        <v>207</v>
      </c>
      <c r="B208" s="660" t="s">
        <v>3800</v>
      </c>
      <c r="C208" s="647" t="s">
        <v>4421</v>
      </c>
      <c r="D208" s="620"/>
      <c r="E208" s="662" t="s">
        <v>6358</v>
      </c>
      <c r="F208" s="620"/>
      <c r="G208" s="620"/>
      <c r="H208" s="661" t="s">
        <v>3327</v>
      </c>
      <c r="I208" s="632" t="s">
        <v>5613</v>
      </c>
      <c r="J208" s="620" t="s">
        <v>5613</v>
      </c>
      <c r="K208" s="620" t="s">
        <v>6428</v>
      </c>
      <c r="L208" s="620"/>
      <c r="M208" s="662" t="s">
        <v>6285</v>
      </c>
      <c r="N208" s="620"/>
      <c r="O208" s="620"/>
      <c r="P208" s="620"/>
      <c r="Q208" s="620"/>
    </row>
    <row r="209" spans="1:17">
      <c r="A209" s="640">
        <f t="shared" si="2"/>
        <v>208</v>
      </c>
      <c r="B209" s="660" t="s">
        <v>3801</v>
      </c>
      <c r="C209" s="647" t="s">
        <v>4421</v>
      </c>
      <c r="D209" s="620"/>
      <c r="E209" s="662" t="s">
        <v>6359</v>
      </c>
      <c r="F209" s="620"/>
      <c r="G209" s="620"/>
      <c r="H209" s="661" t="s">
        <v>3327</v>
      </c>
      <c r="I209" s="632" t="s">
        <v>5613</v>
      </c>
      <c r="J209" s="620" t="s">
        <v>5613</v>
      </c>
      <c r="K209" s="620" t="s">
        <v>6429</v>
      </c>
      <c r="L209" s="620"/>
      <c r="M209" s="662" t="s">
        <v>6286</v>
      </c>
      <c r="N209" s="620"/>
      <c r="O209" s="620"/>
      <c r="P209" s="620"/>
      <c r="Q209" s="620"/>
    </row>
    <row r="210" spans="1:17">
      <c r="A210" s="640">
        <f t="shared" si="2"/>
        <v>209</v>
      </c>
      <c r="B210" s="660" t="s">
        <v>3802</v>
      </c>
      <c r="C210" s="647" t="s">
        <v>4421</v>
      </c>
      <c r="D210" s="620"/>
      <c r="E210" s="662" t="s">
        <v>6360</v>
      </c>
      <c r="F210" s="620"/>
      <c r="G210" s="620"/>
      <c r="H210" s="661" t="s">
        <v>3327</v>
      </c>
      <c r="I210" s="632" t="s">
        <v>5613</v>
      </c>
      <c r="J210" s="620" t="s">
        <v>5613</v>
      </c>
      <c r="K210" s="620" t="s">
        <v>6430</v>
      </c>
      <c r="L210" s="620"/>
      <c r="M210" s="662" t="s">
        <v>6287</v>
      </c>
      <c r="N210" s="620"/>
      <c r="O210" s="620"/>
      <c r="P210" s="620"/>
      <c r="Q210" s="620"/>
    </row>
    <row r="211" spans="1:17">
      <c r="A211" s="640">
        <f t="shared" si="2"/>
        <v>210</v>
      </c>
      <c r="B211" s="660" t="s">
        <v>3803</v>
      </c>
      <c r="C211" s="647" t="s">
        <v>4421</v>
      </c>
      <c r="D211" s="620"/>
      <c r="E211" s="662" t="s">
        <v>6695</v>
      </c>
      <c r="F211" s="620"/>
      <c r="G211" s="620"/>
      <c r="H211" s="661" t="s">
        <v>6849</v>
      </c>
      <c r="I211" s="620" t="s">
        <v>6854</v>
      </c>
      <c r="J211" s="620" t="s">
        <v>6855</v>
      </c>
      <c r="K211" s="620" t="s">
        <v>6777</v>
      </c>
      <c r="L211" s="620"/>
      <c r="M211" s="662" t="s">
        <v>6614</v>
      </c>
      <c r="N211" s="620"/>
      <c r="O211" s="620"/>
      <c r="P211" s="620"/>
      <c r="Q211" s="620"/>
    </row>
    <row r="212" spans="1:17">
      <c r="A212" s="640">
        <f t="shared" si="2"/>
        <v>211</v>
      </c>
      <c r="B212" s="660" t="s">
        <v>3804</v>
      </c>
      <c r="C212" s="647" t="s">
        <v>4421</v>
      </c>
      <c r="D212" s="620"/>
      <c r="E212" s="662" t="s">
        <v>6696</v>
      </c>
      <c r="F212" s="620"/>
      <c r="G212" s="620"/>
      <c r="H212" s="661" t="s">
        <v>6849</v>
      </c>
      <c r="I212" s="620" t="s">
        <v>6854</v>
      </c>
      <c r="J212" s="620" t="s">
        <v>6855</v>
      </c>
      <c r="K212" s="620" t="s">
        <v>6778</v>
      </c>
      <c r="L212" s="620"/>
      <c r="M212" s="662" t="s">
        <v>6615</v>
      </c>
      <c r="N212" s="620"/>
      <c r="O212" s="620"/>
      <c r="P212" s="620"/>
      <c r="Q212" s="620"/>
    </row>
    <row r="213" spans="1:17">
      <c r="A213" s="640">
        <f t="shared" si="2"/>
        <v>212</v>
      </c>
      <c r="B213" s="660" t="s">
        <v>3805</v>
      </c>
      <c r="C213" s="647" t="s">
        <v>4421</v>
      </c>
      <c r="D213" s="620"/>
      <c r="E213" s="662" t="s">
        <v>6697</v>
      </c>
      <c r="F213" s="620"/>
      <c r="G213" s="620"/>
      <c r="H213" s="661" t="s">
        <v>6849</v>
      </c>
      <c r="I213" s="620" t="s">
        <v>6854</v>
      </c>
      <c r="J213" s="620" t="s">
        <v>6855</v>
      </c>
      <c r="K213" s="620" t="s">
        <v>6779</v>
      </c>
      <c r="L213" s="620"/>
      <c r="M213" s="662" t="s">
        <v>6616</v>
      </c>
      <c r="N213" s="620"/>
      <c r="O213" s="620"/>
      <c r="P213" s="620"/>
      <c r="Q213" s="620"/>
    </row>
    <row r="214" spans="1:17">
      <c r="A214" s="640">
        <f t="shared" si="2"/>
        <v>213</v>
      </c>
      <c r="B214" s="660" t="s">
        <v>3806</v>
      </c>
      <c r="C214" s="647" t="s">
        <v>4421</v>
      </c>
      <c r="D214" s="620"/>
      <c r="E214" s="662" t="s">
        <v>6698</v>
      </c>
      <c r="F214" s="620"/>
      <c r="G214" s="620"/>
      <c r="H214" s="661" t="s">
        <v>6849</v>
      </c>
      <c r="I214" s="620" t="s">
        <v>6854</v>
      </c>
      <c r="J214" s="620" t="s">
        <v>6855</v>
      </c>
      <c r="K214" s="620" t="s">
        <v>6780</v>
      </c>
      <c r="L214" s="620"/>
      <c r="M214" s="662" t="s">
        <v>6617</v>
      </c>
      <c r="N214" s="620"/>
      <c r="O214" s="620"/>
      <c r="P214" s="620"/>
      <c r="Q214" s="620"/>
    </row>
    <row r="215" spans="1:17">
      <c r="A215" s="640">
        <f t="shared" si="2"/>
        <v>214</v>
      </c>
      <c r="B215" s="660" t="s">
        <v>3807</v>
      </c>
      <c r="C215" s="647" t="s">
        <v>4421</v>
      </c>
      <c r="D215" s="620"/>
      <c r="E215" s="662" t="s">
        <v>6699</v>
      </c>
      <c r="F215" s="620"/>
      <c r="G215" s="620"/>
      <c r="H215" s="661" t="s">
        <v>6849</v>
      </c>
      <c r="I215" s="620" t="s">
        <v>6854</v>
      </c>
      <c r="J215" s="620" t="s">
        <v>6855</v>
      </c>
      <c r="K215" s="620" t="s">
        <v>6781</v>
      </c>
      <c r="L215" s="620"/>
      <c r="M215" s="662" t="s">
        <v>6618</v>
      </c>
      <c r="N215" s="620"/>
      <c r="O215" s="620"/>
      <c r="P215" s="620"/>
      <c r="Q215" s="620"/>
    </row>
    <row r="216" spans="1:17">
      <c r="A216" s="640">
        <f t="shared" si="2"/>
        <v>215</v>
      </c>
      <c r="B216" s="660" t="s">
        <v>3808</v>
      </c>
      <c r="C216" s="647" t="s">
        <v>4421</v>
      </c>
      <c r="D216" s="620"/>
      <c r="E216" s="662" t="s">
        <v>6700</v>
      </c>
      <c r="F216" s="620"/>
      <c r="G216" s="620"/>
      <c r="H216" s="661" t="s">
        <v>6849</v>
      </c>
      <c r="I216" s="620" t="s">
        <v>6854</v>
      </c>
      <c r="J216" s="620" t="s">
        <v>6855</v>
      </c>
      <c r="K216" s="620" t="s">
        <v>6782</v>
      </c>
      <c r="L216" s="620"/>
      <c r="M216" s="662" t="s">
        <v>6619</v>
      </c>
      <c r="N216" s="620"/>
      <c r="O216" s="620"/>
      <c r="P216" s="620"/>
      <c r="Q216" s="620"/>
    </row>
    <row r="217" spans="1:17">
      <c r="A217" s="640">
        <f t="shared" si="2"/>
        <v>216</v>
      </c>
      <c r="B217" s="660" t="s">
        <v>3809</v>
      </c>
      <c r="C217" s="647" t="s">
        <v>4421</v>
      </c>
      <c r="D217" s="620"/>
      <c r="E217" s="662" t="s">
        <v>6701</v>
      </c>
      <c r="F217" s="620"/>
      <c r="G217" s="620"/>
      <c r="H217" s="661" t="s">
        <v>6849</v>
      </c>
      <c r="I217" s="620" t="s">
        <v>6854</v>
      </c>
      <c r="J217" s="620" t="s">
        <v>6855</v>
      </c>
      <c r="K217" s="620" t="s">
        <v>6783</v>
      </c>
      <c r="L217" s="620"/>
      <c r="M217" s="662" t="s">
        <v>6620</v>
      </c>
      <c r="N217" s="620"/>
      <c r="O217" s="620"/>
      <c r="P217" s="620"/>
      <c r="Q217" s="620"/>
    </row>
    <row r="218" spans="1:17">
      <c r="A218" s="640">
        <f t="shared" si="2"/>
        <v>217</v>
      </c>
      <c r="B218" s="660" t="s">
        <v>3810</v>
      </c>
      <c r="C218" s="647" t="s">
        <v>4421</v>
      </c>
      <c r="D218" s="620"/>
      <c r="E218" s="662" t="s">
        <v>6702</v>
      </c>
      <c r="F218" s="620"/>
      <c r="G218" s="620"/>
      <c r="H218" s="661" t="s">
        <v>6849</v>
      </c>
      <c r="I218" s="620" t="s">
        <v>6854</v>
      </c>
      <c r="J218" s="620" t="s">
        <v>6855</v>
      </c>
      <c r="K218" s="620" t="s">
        <v>6784</v>
      </c>
      <c r="L218" s="620"/>
      <c r="M218" s="662" t="s">
        <v>6621</v>
      </c>
      <c r="N218" s="620"/>
      <c r="O218" s="620"/>
      <c r="P218" s="620"/>
      <c r="Q218" s="620"/>
    </row>
    <row r="219" spans="1:17">
      <c r="A219" s="640">
        <f t="shared" si="2"/>
        <v>218</v>
      </c>
      <c r="B219" s="660" t="s">
        <v>3811</v>
      </c>
      <c r="C219" s="647" t="s">
        <v>4421</v>
      </c>
      <c r="D219" s="620"/>
      <c r="E219" s="662" t="s">
        <v>6703</v>
      </c>
      <c r="F219" s="620"/>
      <c r="G219" s="620"/>
      <c r="H219" s="661" t="s">
        <v>6849</v>
      </c>
      <c r="I219" s="620" t="s">
        <v>6854</v>
      </c>
      <c r="J219" s="620" t="s">
        <v>6855</v>
      </c>
      <c r="K219" s="620" t="s">
        <v>6785</v>
      </c>
      <c r="L219" s="620"/>
      <c r="M219" s="662" t="s">
        <v>6622</v>
      </c>
      <c r="N219" s="620"/>
      <c r="O219" s="620"/>
      <c r="P219" s="620"/>
      <c r="Q219" s="620"/>
    </row>
    <row r="220" spans="1:17">
      <c r="A220" s="640">
        <f t="shared" si="2"/>
        <v>219</v>
      </c>
      <c r="B220" s="660" t="s">
        <v>3812</v>
      </c>
      <c r="C220" s="647" t="s">
        <v>4421</v>
      </c>
      <c r="D220" s="620"/>
      <c r="E220" s="662" t="s">
        <v>6704</v>
      </c>
      <c r="F220" s="620"/>
      <c r="G220" s="620"/>
      <c r="H220" s="661" t="s">
        <v>6849</v>
      </c>
      <c r="I220" s="620" t="s">
        <v>6854</v>
      </c>
      <c r="J220" s="620" t="s">
        <v>6855</v>
      </c>
      <c r="K220" s="620" t="s">
        <v>6786</v>
      </c>
      <c r="L220" s="620"/>
      <c r="M220" s="662" t="s">
        <v>6623</v>
      </c>
      <c r="N220" s="620"/>
      <c r="O220" s="620"/>
      <c r="P220" s="620"/>
      <c r="Q220" s="620"/>
    </row>
    <row r="221" spans="1:17">
      <c r="A221" s="640">
        <f t="shared" si="2"/>
        <v>220</v>
      </c>
      <c r="B221" s="660" t="s">
        <v>3813</v>
      </c>
      <c r="C221" s="647" t="s">
        <v>4421</v>
      </c>
      <c r="D221" s="620"/>
      <c r="E221" s="662" t="s">
        <v>6705</v>
      </c>
      <c r="F221" s="620"/>
      <c r="G221" s="620"/>
      <c r="H221" s="661" t="s">
        <v>6849</v>
      </c>
      <c r="I221" s="620" t="s">
        <v>6854</v>
      </c>
      <c r="J221" s="620" t="s">
        <v>6855</v>
      </c>
      <c r="K221" s="620" t="s">
        <v>6787</v>
      </c>
      <c r="L221" s="620"/>
      <c r="M221" s="662" t="s">
        <v>6624</v>
      </c>
      <c r="N221" s="620"/>
      <c r="O221" s="620"/>
      <c r="P221" s="620"/>
      <c r="Q221" s="620"/>
    </row>
    <row r="222" spans="1:17">
      <c r="A222" s="640">
        <f t="shared" si="2"/>
        <v>221</v>
      </c>
      <c r="B222" s="660" t="s">
        <v>3814</v>
      </c>
      <c r="C222" s="647" t="s">
        <v>4421</v>
      </c>
      <c r="D222" s="620"/>
      <c r="E222" s="662" t="s">
        <v>6706</v>
      </c>
      <c r="F222" s="620"/>
      <c r="G222" s="620"/>
      <c r="H222" s="661" t="s">
        <v>6849</v>
      </c>
      <c r="I222" s="620" t="s">
        <v>6854</v>
      </c>
      <c r="J222" s="620" t="s">
        <v>6855</v>
      </c>
      <c r="K222" s="620" t="s">
        <v>6788</v>
      </c>
      <c r="L222" s="620"/>
      <c r="M222" s="662" t="s">
        <v>6625</v>
      </c>
      <c r="N222" s="620"/>
      <c r="O222" s="620"/>
      <c r="P222" s="620"/>
      <c r="Q222" s="620"/>
    </row>
    <row r="223" spans="1:17">
      <c r="A223" s="640">
        <f t="shared" ref="A223:A286" si="3">ROW()-1</f>
        <v>222</v>
      </c>
      <c r="B223" s="660" t="s">
        <v>3815</v>
      </c>
      <c r="C223" s="647" t="s">
        <v>4421</v>
      </c>
      <c r="D223" s="620"/>
      <c r="E223" s="662" t="s">
        <v>6707</v>
      </c>
      <c r="F223" s="620"/>
      <c r="G223" s="620"/>
      <c r="H223" s="661" t="s">
        <v>6849</v>
      </c>
      <c r="I223" s="620" t="s">
        <v>6854</v>
      </c>
      <c r="J223" s="620" t="s">
        <v>6855</v>
      </c>
      <c r="K223" s="620" t="s">
        <v>6789</v>
      </c>
      <c r="L223" s="620"/>
      <c r="M223" s="662" t="s">
        <v>6626</v>
      </c>
      <c r="N223" s="620"/>
      <c r="O223" s="620"/>
      <c r="P223" s="620"/>
      <c r="Q223" s="620"/>
    </row>
    <row r="224" spans="1:17">
      <c r="A224" s="640">
        <f t="shared" si="3"/>
        <v>223</v>
      </c>
      <c r="B224" s="660" t="s">
        <v>3816</v>
      </c>
      <c r="C224" s="647" t="s">
        <v>4421</v>
      </c>
      <c r="D224" s="620"/>
      <c r="E224" s="662" t="s">
        <v>6708</v>
      </c>
      <c r="F224" s="620"/>
      <c r="G224" s="620"/>
      <c r="H224" s="661" t="s">
        <v>6849</v>
      </c>
      <c r="I224" s="620" t="s">
        <v>6854</v>
      </c>
      <c r="J224" s="620" t="s">
        <v>6855</v>
      </c>
      <c r="K224" s="620" t="s">
        <v>6790</v>
      </c>
      <c r="L224" s="620"/>
      <c r="M224" s="662" t="s">
        <v>6627</v>
      </c>
      <c r="N224" s="620"/>
      <c r="O224" s="620"/>
      <c r="P224" s="620"/>
      <c r="Q224" s="620"/>
    </row>
    <row r="225" spans="1:17">
      <c r="A225" s="640">
        <f t="shared" si="3"/>
        <v>224</v>
      </c>
      <c r="B225" s="660" t="s">
        <v>3817</v>
      </c>
      <c r="C225" s="664" t="s">
        <v>1735</v>
      </c>
      <c r="D225" s="620"/>
      <c r="E225" s="662" t="s">
        <v>6709</v>
      </c>
      <c r="F225" s="620"/>
      <c r="G225" s="620"/>
      <c r="H225" s="661" t="s">
        <v>6849</v>
      </c>
      <c r="I225" s="620" t="s">
        <v>6854</v>
      </c>
      <c r="J225" s="620" t="s">
        <v>6855</v>
      </c>
      <c r="K225" s="620" t="e">
        <v>#N/A</v>
      </c>
      <c r="L225" s="620"/>
      <c r="M225" s="662" t="s">
        <v>585</v>
      </c>
      <c r="N225" s="620"/>
      <c r="O225" s="620"/>
      <c r="P225" s="620"/>
      <c r="Q225" s="620"/>
    </row>
    <row r="226" spans="1:17">
      <c r="A226" s="640">
        <f t="shared" si="3"/>
        <v>225</v>
      </c>
      <c r="B226" s="660" t="s">
        <v>6860</v>
      </c>
      <c r="C226" s="664" t="s">
        <v>4415</v>
      </c>
      <c r="D226" s="620"/>
      <c r="E226" s="662" t="s">
        <v>6998</v>
      </c>
      <c r="F226" s="620"/>
      <c r="G226" s="620"/>
      <c r="H226" s="647" t="s">
        <v>3328</v>
      </c>
      <c r="I226" s="620" t="s">
        <v>5453</v>
      </c>
      <c r="J226" s="620" t="s">
        <v>5453</v>
      </c>
      <c r="K226" s="620" t="s">
        <v>5563</v>
      </c>
      <c r="L226" s="620"/>
      <c r="M226" s="620" t="s">
        <v>4626</v>
      </c>
      <c r="N226" s="620"/>
      <c r="O226" s="620"/>
      <c r="P226" s="620"/>
      <c r="Q226" s="620"/>
    </row>
    <row r="227" spans="1:17">
      <c r="A227" s="640">
        <f t="shared" si="3"/>
        <v>226</v>
      </c>
      <c r="B227" s="660" t="s">
        <v>6861</v>
      </c>
      <c r="C227" s="664" t="s">
        <v>4421</v>
      </c>
      <c r="D227" s="620"/>
      <c r="E227" s="662" t="s">
        <v>6999</v>
      </c>
      <c r="F227" s="620"/>
      <c r="G227" s="620"/>
      <c r="H227" s="647" t="s">
        <v>3328</v>
      </c>
      <c r="I227" s="620" t="s">
        <v>5453</v>
      </c>
      <c r="J227" s="620" t="s">
        <v>5453</v>
      </c>
      <c r="K227" s="620" t="s">
        <v>3842</v>
      </c>
      <c r="L227" s="620"/>
      <c r="M227" s="620" t="s">
        <v>4662</v>
      </c>
      <c r="N227" s="620"/>
      <c r="O227" s="620"/>
      <c r="P227" s="620"/>
      <c r="Q227" s="620"/>
    </row>
    <row r="228" spans="1:17">
      <c r="A228" s="640">
        <f t="shared" si="3"/>
        <v>227</v>
      </c>
      <c r="B228" s="660" t="s">
        <v>6862</v>
      </c>
      <c r="C228" s="664" t="s">
        <v>4421</v>
      </c>
      <c r="D228" s="620"/>
      <c r="E228" s="662" t="s">
        <v>7000</v>
      </c>
      <c r="F228" s="620"/>
      <c r="G228" s="620"/>
      <c r="H228" s="647" t="s">
        <v>3328</v>
      </c>
      <c r="I228" s="620" t="s">
        <v>5453</v>
      </c>
      <c r="J228" s="620" t="s">
        <v>5453</v>
      </c>
      <c r="K228" s="620" t="s">
        <v>5587</v>
      </c>
      <c r="L228" s="620"/>
      <c r="M228" s="620" t="s">
        <v>4671</v>
      </c>
      <c r="N228" s="620"/>
      <c r="O228" s="620"/>
      <c r="P228" s="620"/>
      <c r="Q228" s="620"/>
    </row>
    <row r="229" spans="1:17">
      <c r="A229" s="640">
        <f t="shared" si="3"/>
        <v>228</v>
      </c>
      <c r="B229" s="660" t="s">
        <v>6863</v>
      </c>
      <c r="C229" s="664" t="s">
        <v>4421</v>
      </c>
      <c r="D229" s="620"/>
      <c r="E229" s="662" t="s">
        <v>6388</v>
      </c>
      <c r="F229" s="620"/>
      <c r="G229" s="620"/>
      <c r="H229" s="647" t="s">
        <v>3328</v>
      </c>
      <c r="I229" s="620" t="s">
        <v>5453</v>
      </c>
      <c r="J229" s="620" t="s">
        <v>5453</v>
      </c>
      <c r="K229" s="620" t="s">
        <v>989</v>
      </c>
      <c r="L229" s="620"/>
      <c r="M229" s="620" t="s">
        <v>988</v>
      </c>
      <c r="N229" s="620"/>
      <c r="O229" s="620"/>
      <c r="P229" s="620"/>
      <c r="Q229" s="620"/>
    </row>
    <row r="230" spans="1:17">
      <c r="A230" s="640">
        <f t="shared" si="3"/>
        <v>229</v>
      </c>
      <c r="B230" s="660" t="s">
        <v>6864</v>
      </c>
      <c r="C230" s="664" t="s">
        <v>4421</v>
      </c>
      <c r="D230" s="620"/>
      <c r="E230" s="662" t="s">
        <v>6371</v>
      </c>
      <c r="F230" s="620"/>
      <c r="G230" s="620"/>
      <c r="H230" s="647" t="s">
        <v>3328</v>
      </c>
      <c r="I230" s="620" t="s">
        <v>5453</v>
      </c>
      <c r="J230" s="620" t="s">
        <v>5453</v>
      </c>
      <c r="K230" s="620" t="s">
        <v>940</v>
      </c>
      <c r="L230" s="620"/>
      <c r="M230" s="620" t="s">
        <v>939</v>
      </c>
      <c r="N230" s="620"/>
      <c r="O230" s="620"/>
      <c r="P230" s="620"/>
      <c r="Q230" s="620"/>
    </row>
    <row r="231" spans="1:17">
      <c r="A231" s="640">
        <f t="shared" si="3"/>
        <v>230</v>
      </c>
      <c r="B231" s="660" t="s">
        <v>6865</v>
      </c>
      <c r="C231" s="664" t="s">
        <v>4421</v>
      </c>
      <c r="D231" s="620"/>
      <c r="E231" s="662" t="s">
        <v>6416</v>
      </c>
      <c r="F231" s="620"/>
      <c r="G231" s="620"/>
      <c r="H231" s="647" t="s">
        <v>3328</v>
      </c>
      <c r="I231" s="620" t="s">
        <v>5453</v>
      </c>
      <c r="J231" s="620" t="s">
        <v>5453</v>
      </c>
      <c r="K231" s="620" t="s">
        <v>5565</v>
      </c>
      <c r="L231" s="620"/>
      <c r="M231" s="662" t="s">
        <v>4630</v>
      </c>
      <c r="N231" s="620"/>
      <c r="O231" s="620"/>
      <c r="P231" s="620"/>
      <c r="Q231" s="620"/>
    </row>
    <row r="232" spans="1:17">
      <c r="A232" s="640">
        <f t="shared" si="3"/>
        <v>231</v>
      </c>
      <c r="B232" s="660" t="s">
        <v>6866</v>
      </c>
      <c r="C232" s="664" t="s">
        <v>275</v>
      </c>
      <c r="D232" s="620"/>
      <c r="E232" s="662" t="s">
        <v>7001</v>
      </c>
      <c r="F232" s="620"/>
      <c r="G232" s="620"/>
      <c r="H232" s="647" t="s">
        <v>3328</v>
      </c>
      <c r="I232" s="620" t="s">
        <v>5453</v>
      </c>
      <c r="J232" s="620" t="s">
        <v>5453</v>
      </c>
      <c r="K232" s="620" t="s">
        <v>5576</v>
      </c>
      <c r="L232" s="620"/>
      <c r="M232" s="662" t="s">
        <v>4658</v>
      </c>
      <c r="N232" s="620"/>
      <c r="O232" s="620"/>
      <c r="P232" s="620"/>
      <c r="Q232" s="620"/>
    </row>
    <row r="233" spans="1:17">
      <c r="A233" s="640">
        <f t="shared" si="3"/>
        <v>232</v>
      </c>
      <c r="B233" s="660" t="s">
        <v>6867</v>
      </c>
      <c r="C233" s="664" t="s">
        <v>275</v>
      </c>
      <c r="D233" s="620"/>
      <c r="E233" s="662" t="s">
        <v>7002</v>
      </c>
      <c r="F233" s="620"/>
      <c r="G233" s="620"/>
      <c r="H233" s="647" t="s">
        <v>3328</v>
      </c>
      <c r="I233" s="620" t="s">
        <v>5453</v>
      </c>
      <c r="J233" s="620" t="s">
        <v>5453</v>
      </c>
      <c r="K233" s="620" t="s">
        <v>5235</v>
      </c>
      <c r="L233" s="620"/>
      <c r="M233" s="662" t="s">
        <v>4578</v>
      </c>
      <c r="N233" s="620"/>
      <c r="O233" s="620"/>
      <c r="P233" s="620"/>
      <c r="Q233" s="620"/>
    </row>
    <row r="234" spans="1:17">
      <c r="A234" s="640">
        <f t="shared" si="3"/>
        <v>233</v>
      </c>
      <c r="B234" s="660" t="s">
        <v>6868</v>
      </c>
      <c r="C234" s="664" t="s">
        <v>275</v>
      </c>
      <c r="D234" s="620"/>
      <c r="E234" s="662" t="s">
        <v>6364</v>
      </c>
      <c r="F234" s="620"/>
      <c r="G234" s="620"/>
      <c r="H234" s="647" t="s">
        <v>3328</v>
      </c>
      <c r="I234" s="620" t="s">
        <v>5453</v>
      </c>
      <c r="J234" s="620" t="s">
        <v>5453</v>
      </c>
      <c r="K234" s="620" t="s">
        <v>5539</v>
      </c>
      <c r="L234" s="620"/>
      <c r="M234" s="662" t="s">
        <v>4564</v>
      </c>
      <c r="N234" s="620"/>
      <c r="O234" s="620"/>
      <c r="P234" s="620"/>
      <c r="Q234" s="620"/>
    </row>
    <row r="235" spans="1:17">
      <c r="A235" s="640">
        <f t="shared" si="3"/>
        <v>234</v>
      </c>
      <c r="B235" s="660" t="s">
        <v>6869</v>
      </c>
      <c r="C235" s="664" t="s">
        <v>4421</v>
      </c>
      <c r="D235" s="620"/>
      <c r="E235" s="662" t="s">
        <v>7003</v>
      </c>
      <c r="F235" s="620"/>
      <c r="G235" s="620"/>
      <c r="H235" s="647" t="s">
        <v>3328</v>
      </c>
      <c r="I235" s="620" t="s">
        <v>5453</v>
      </c>
      <c r="J235" s="620" t="s">
        <v>5453</v>
      </c>
      <c r="K235" s="620" t="s">
        <v>3865</v>
      </c>
      <c r="L235" s="620"/>
      <c r="M235" s="662" t="s">
        <v>4568</v>
      </c>
      <c r="N235" s="620"/>
      <c r="O235" s="620"/>
      <c r="P235" s="620"/>
      <c r="Q235" s="620"/>
    </row>
    <row r="236" spans="1:17">
      <c r="A236" s="640">
        <f t="shared" si="3"/>
        <v>235</v>
      </c>
      <c r="B236" s="660" t="s">
        <v>6870</v>
      </c>
      <c r="C236" s="664" t="s">
        <v>4421</v>
      </c>
      <c r="D236" s="620"/>
      <c r="E236" s="662" t="s">
        <v>6710</v>
      </c>
      <c r="F236" s="620"/>
      <c r="G236" s="620"/>
      <c r="H236" s="647" t="s">
        <v>3328</v>
      </c>
      <c r="I236" s="620" t="s">
        <v>5453</v>
      </c>
      <c r="J236" s="620" t="s">
        <v>5453</v>
      </c>
      <c r="K236" s="620" t="s">
        <v>6791</v>
      </c>
      <c r="L236" s="620"/>
      <c r="M236" s="662" t="s">
        <v>6628</v>
      </c>
      <c r="N236" s="620"/>
      <c r="O236" s="620"/>
      <c r="P236" s="620"/>
      <c r="Q236" s="620"/>
    </row>
    <row r="237" spans="1:17">
      <c r="A237" s="640">
        <f t="shared" si="3"/>
        <v>236</v>
      </c>
      <c r="B237" s="660" t="s">
        <v>6871</v>
      </c>
      <c r="C237" s="647" t="s">
        <v>4421</v>
      </c>
      <c r="D237" s="620"/>
      <c r="E237" s="662" t="s">
        <v>6711</v>
      </c>
      <c r="F237" s="620"/>
      <c r="G237" s="620"/>
      <c r="H237" s="647" t="s">
        <v>3328</v>
      </c>
      <c r="I237" s="620" t="s">
        <v>5453</v>
      </c>
      <c r="J237" s="620" t="s">
        <v>5453</v>
      </c>
      <c r="K237" s="620" t="s">
        <v>6792</v>
      </c>
      <c r="L237" s="620"/>
      <c r="M237" s="662" t="s">
        <v>6629</v>
      </c>
      <c r="N237" s="620"/>
      <c r="O237" s="620"/>
      <c r="P237" s="620"/>
      <c r="Q237" s="620"/>
    </row>
    <row r="238" spans="1:17">
      <c r="A238" s="640">
        <f t="shared" si="3"/>
        <v>237</v>
      </c>
      <c r="B238" s="660" t="s">
        <v>6872</v>
      </c>
      <c r="C238" s="647" t="s">
        <v>4421</v>
      </c>
      <c r="D238" s="620"/>
      <c r="E238" s="662" t="s">
        <v>6712</v>
      </c>
      <c r="F238" s="620"/>
      <c r="G238" s="620"/>
      <c r="H238" s="647" t="s">
        <v>3328</v>
      </c>
      <c r="I238" s="620" t="s">
        <v>5453</v>
      </c>
      <c r="J238" s="620" t="s">
        <v>5453</v>
      </c>
      <c r="K238" s="620" t="s">
        <v>6793</v>
      </c>
      <c r="L238" s="620"/>
      <c r="M238" s="662" t="s">
        <v>6630</v>
      </c>
      <c r="N238" s="620"/>
      <c r="O238" s="620"/>
      <c r="P238" s="620"/>
      <c r="Q238" s="620"/>
    </row>
    <row r="239" spans="1:17">
      <c r="A239" s="640">
        <f t="shared" si="3"/>
        <v>238</v>
      </c>
      <c r="B239" s="660" t="s">
        <v>6873</v>
      </c>
      <c r="C239" s="647" t="s">
        <v>4421</v>
      </c>
      <c r="D239" s="620"/>
      <c r="E239" s="662" t="s">
        <v>6713</v>
      </c>
      <c r="F239" s="620"/>
      <c r="G239" s="620"/>
      <c r="H239" s="647" t="s">
        <v>3328</v>
      </c>
      <c r="I239" s="620" t="s">
        <v>5453</v>
      </c>
      <c r="J239" s="620" t="s">
        <v>5453</v>
      </c>
      <c r="K239" s="620" t="s">
        <v>6794</v>
      </c>
      <c r="L239" s="620"/>
      <c r="M239" s="662" t="s">
        <v>6631</v>
      </c>
      <c r="N239" s="620"/>
      <c r="O239" s="620"/>
      <c r="P239" s="620"/>
      <c r="Q239" s="620"/>
    </row>
    <row r="240" spans="1:17">
      <c r="A240" s="640">
        <f t="shared" si="3"/>
        <v>239</v>
      </c>
      <c r="B240" s="660" t="s">
        <v>6874</v>
      </c>
      <c r="C240" s="647" t="s">
        <v>275</v>
      </c>
      <c r="D240" s="620"/>
      <c r="E240" s="662" t="s">
        <v>6714</v>
      </c>
      <c r="F240" s="620"/>
      <c r="G240" s="620"/>
      <c r="H240" s="647" t="s">
        <v>3328</v>
      </c>
      <c r="I240" s="620" t="s">
        <v>5453</v>
      </c>
      <c r="J240" s="620" t="s">
        <v>5453</v>
      </c>
      <c r="K240" s="620" t="s">
        <v>6795</v>
      </c>
      <c r="L240" s="620"/>
      <c r="M240" s="662" t="s">
        <v>6632</v>
      </c>
      <c r="N240" s="620"/>
      <c r="O240" s="620"/>
      <c r="P240" s="620"/>
      <c r="Q240" s="620"/>
    </row>
    <row r="241" spans="1:17">
      <c r="A241" s="640">
        <f t="shared" si="3"/>
        <v>240</v>
      </c>
      <c r="B241" s="660" t="s">
        <v>6875</v>
      </c>
      <c r="C241" s="647" t="s">
        <v>275</v>
      </c>
      <c r="D241" s="620"/>
      <c r="E241" s="662" t="s">
        <v>6362</v>
      </c>
      <c r="F241" s="620"/>
      <c r="G241" s="620"/>
      <c r="H241" s="647" t="s">
        <v>3328</v>
      </c>
      <c r="I241" s="620" t="s">
        <v>5453</v>
      </c>
      <c r="J241" s="620" t="s">
        <v>5453</v>
      </c>
      <c r="K241" s="620" t="s">
        <v>6432</v>
      </c>
      <c r="L241" s="620"/>
      <c r="M241" s="662" t="s">
        <v>6289</v>
      </c>
      <c r="N241" s="620"/>
      <c r="O241" s="620"/>
      <c r="P241" s="620"/>
      <c r="Q241" s="620"/>
    </row>
    <row r="242" spans="1:17">
      <c r="A242" s="640">
        <f t="shared" si="3"/>
        <v>241</v>
      </c>
      <c r="B242" s="660" t="s">
        <v>6876</v>
      </c>
      <c r="C242" s="664" t="s">
        <v>275</v>
      </c>
      <c r="D242" s="620"/>
      <c r="E242" s="662" t="s">
        <v>6715</v>
      </c>
      <c r="F242" s="620"/>
      <c r="G242" s="620"/>
      <c r="H242" s="647" t="s">
        <v>3328</v>
      </c>
      <c r="I242" s="620" t="s">
        <v>5453</v>
      </c>
      <c r="J242" s="620" t="s">
        <v>5453</v>
      </c>
      <c r="K242" s="620" t="s">
        <v>6796</v>
      </c>
      <c r="L242" s="620"/>
      <c r="M242" s="620" t="s">
        <v>6633</v>
      </c>
      <c r="N242" s="620"/>
      <c r="O242" s="620"/>
      <c r="P242" s="620"/>
      <c r="Q242" s="620"/>
    </row>
    <row r="243" spans="1:17">
      <c r="A243" s="640">
        <f t="shared" si="3"/>
        <v>242</v>
      </c>
      <c r="B243" s="660" t="s">
        <v>6877</v>
      </c>
      <c r="C243" s="664" t="s">
        <v>275</v>
      </c>
      <c r="D243" s="620"/>
      <c r="E243" s="662" t="s">
        <v>6716</v>
      </c>
      <c r="F243" s="620"/>
      <c r="G243" s="620"/>
      <c r="H243" s="647" t="s">
        <v>3328</v>
      </c>
      <c r="I243" s="620" t="s">
        <v>5453</v>
      </c>
      <c r="J243" s="620" t="s">
        <v>5453</v>
      </c>
      <c r="K243" s="620" t="s">
        <v>6797</v>
      </c>
      <c r="L243" s="620"/>
      <c r="M243" s="620" t="s">
        <v>6634</v>
      </c>
      <c r="N243" s="620"/>
      <c r="O243" s="620"/>
      <c r="P243" s="620"/>
      <c r="Q243" s="620"/>
    </row>
    <row r="244" spans="1:17">
      <c r="A244" s="640">
        <f t="shared" si="3"/>
        <v>243</v>
      </c>
      <c r="B244" s="660" t="s">
        <v>6878</v>
      </c>
      <c r="C244" s="664" t="s">
        <v>275</v>
      </c>
      <c r="D244" s="620"/>
      <c r="E244" s="662" t="s">
        <v>6717</v>
      </c>
      <c r="F244" s="620"/>
      <c r="G244" s="620"/>
      <c r="H244" s="647" t="s">
        <v>3328</v>
      </c>
      <c r="I244" s="620" t="s">
        <v>5453</v>
      </c>
      <c r="J244" s="620" t="s">
        <v>5453</v>
      </c>
      <c r="K244" s="620" t="s">
        <v>6798</v>
      </c>
      <c r="L244" s="620"/>
      <c r="M244" s="620" t="s">
        <v>6635</v>
      </c>
      <c r="N244" s="620"/>
      <c r="O244" s="620"/>
      <c r="P244" s="620"/>
      <c r="Q244" s="620"/>
    </row>
    <row r="245" spans="1:17">
      <c r="A245" s="640">
        <f t="shared" si="3"/>
        <v>244</v>
      </c>
      <c r="B245" s="660" t="s">
        <v>6879</v>
      </c>
      <c r="C245" s="664" t="s">
        <v>275</v>
      </c>
      <c r="D245" s="620"/>
      <c r="E245" s="662" t="s">
        <v>6718</v>
      </c>
      <c r="F245" s="620"/>
      <c r="G245" s="620"/>
      <c r="H245" s="647" t="s">
        <v>3328</v>
      </c>
      <c r="I245" s="620" t="s">
        <v>5453</v>
      </c>
      <c r="J245" s="620" t="s">
        <v>5453</v>
      </c>
      <c r="K245" s="620" t="s">
        <v>6799</v>
      </c>
      <c r="L245" s="620"/>
      <c r="M245" s="620" t="s">
        <v>6636</v>
      </c>
      <c r="N245" s="620"/>
      <c r="O245" s="620"/>
      <c r="P245" s="620"/>
      <c r="Q245" s="620"/>
    </row>
    <row r="246" spans="1:17">
      <c r="A246" s="640">
        <f t="shared" si="3"/>
        <v>245</v>
      </c>
      <c r="B246" s="660" t="s">
        <v>6880</v>
      </c>
      <c r="C246" s="664" t="s">
        <v>275</v>
      </c>
      <c r="D246" s="620"/>
      <c r="E246" s="662" t="s">
        <v>6363</v>
      </c>
      <c r="F246" s="620"/>
      <c r="G246" s="620"/>
      <c r="H246" s="647" t="s">
        <v>3328</v>
      </c>
      <c r="I246" s="620" t="s">
        <v>5453</v>
      </c>
      <c r="J246" s="620" t="s">
        <v>5453</v>
      </c>
      <c r="K246" s="620" t="s">
        <v>6433</v>
      </c>
      <c r="L246" s="620"/>
      <c r="M246" s="620" t="s">
        <v>6290</v>
      </c>
      <c r="N246" s="620"/>
      <c r="O246" s="620"/>
      <c r="P246" s="620"/>
      <c r="Q246" s="620"/>
    </row>
    <row r="247" spans="1:17">
      <c r="A247" s="640">
        <f t="shared" si="3"/>
        <v>246</v>
      </c>
      <c r="B247" s="660" t="s">
        <v>6881</v>
      </c>
      <c r="C247" s="664" t="s">
        <v>4421</v>
      </c>
      <c r="D247" s="620"/>
      <c r="E247" s="662" t="s">
        <v>6719</v>
      </c>
      <c r="F247" s="620"/>
      <c r="G247" s="620"/>
      <c r="H247" s="647" t="s">
        <v>3328</v>
      </c>
      <c r="I247" s="620" t="s">
        <v>5453</v>
      </c>
      <c r="J247" s="620" t="s">
        <v>5453</v>
      </c>
      <c r="K247" s="620" t="s">
        <v>6800</v>
      </c>
      <c r="L247" s="620"/>
      <c r="M247" s="620" t="s">
        <v>6637</v>
      </c>
      <c r="N247" s="620"/>
      <c r="O247" s="620"/>
      <c r="P247" s="620"/>
      <c r="Q247" s="620"/>
    </row>
    <row r="248" spans="1:17">
      <c r="A248" s="640">
        <f t="shared" si="3"/>
        <v>247</v>
      </c>
      <c r="B248" s="660" t="s">
        <v>6882</v>
      </c>
      <c r="C248" s="664" t="s">
        <v>275</v>
      </c>
      <c r="D248" s="620"/>
      <c r="E248" s="662" t="s">
        <v>6720</v>
      </c>
      <c r="F248" s="620"/>
      <c r="G248" s="620"/>
      <c r="H248" s="647" t="s">
        <v>3328</v>
      </c>
      <c r="I248" s="620" t="s">
        <v>5453</v>
      </c>
      <c r="J248" s="620" t="s">
        <v>5453</v>
      </c>
      <c r="K248" s="620" t="s">
        <v>6801</v>
      </c>
      <c r="L248" s="620"/>
      <c r="M248" s="620" t="s">
        <v>6638</v>
      </c>
      <c r="N248" s="620"/>
      <c r="O248" s="620"/>
      <c r="P248" s="620"/>
      <c r="Q248" s="620"/>
    </row>
    <row r="249" spans="1:17">
      <c r="A249" s="640">
        <f t="shared" si="3"/>
        <v>248</v>
      </c>
      <c r="B249" s="660" t="s">
        <v>6883</v>
      </c>
      <c r="C249" s="664" t="s">
        <v>275</v>
      </c>
      <c r="D249" s="620"/>
      <c r="E249" s="662" t="s">
        <v>6721</v>
      </c>
      <c r="F249" s="620"/>
      <c r="G249" s="620"/>
      <c r="H249" s="647" t="s">
        <v>3328</v>
      </c>
      <c r="I249" s="620" t="s">
        <v>5453</v>
      </c>
      <c r="J249" s="620" t="s">
        <v>5453</v>
      </c>
      <c r="K249" s="620" t="s">
        <v>6802</v>
      </c>
      <c r="L249" s="620"/>
      <c r="M249" s="620" t="s">
        <v>6639</v>
      </c>
      <c r="N249" s="620"/>
      <c r="O249" s="620"/>
      <c r="P249" s="620"/>
      <c r="Q249" s="620"/>
    </row>
    <row r="250" spans="1:17">
      <c r="A250" s="640">
        <f t="shared" si="3"/>
        <v>249</v>
      </c>
      <c r="B250" s="660" t="s">
        <v>6884</v>
      </c>
      <c r="C250" s="647" t="s">
        <v>275</v>
      </c>
      <c r="D250" s="620"/>
      <c r="E250" s="662" t="s">
        <v>6365</v>
      </c>
      <c r="F250" s="620"/>
      <c r="G250" s="620"/>
      <c r="H250" s="661" t="s">
        <v>2965</v>
      </c>
      <c r="I250" s="620" t="s">
        <v>5453</v>
      </c>
      <c r="J250" s="620" t="s">
        <v>5453</v>
      </c>
      <c r="K250" s="620" t="s">
        <v>6434</v>
      </c>
      <c r="L250" s="620"/>
      <c r="M250" s="662" t="s">
        <v>6291</v>
      </c>
      <c r="N250" s="620"/>
      <c r="O250" s="620"/>
      <c r="P250" s="620"/>
      <c r="Q250" s="620"/>
    </row>
    <row r="251" spans="1:17">
      <c r="A251" s="640">
        <f t="shared" si="3"/>
        <v>250</v>
      </c>
      <c r="B251" s="660" t="s">
        <v>6885</v>
      </c>
      <c r="C251" s="647" t="s">
        <v>4421</v>
      </c>
      <c r="D251" s="620"/>
      <c r="E251" s="662" t="s">
        <v>6722</v>
      </c>
      <c r="F251" s="620"/>
      <c r="G251" s="620"/>
      <c r="H251" s="661" t="s">
        <v>2965</v>
      </c>
      <c r="I251" s="620" t="s">
        <v>5453</v>
      </c>
      <c r="J251" s="620" t="s">
        <v>5453</v>
      </c>
      <c r="K251" s="620" t="s">
        <v>6803</v>
      </c>
      <c r="L251" s="620"/>
      <c r="M251" s="662" t="s">
        <v>6640</v>
      </c>
      <c r="N251" s="620"/>
      <c r="O251" s="620"/>
      <c r="P251" s="620"/>
      <c r="Q251" s="620"/>
    </row>
    <row r="252" spans="1:17">
      <c r="A252" s="640">
        <f t="shared" si="3"/>
        <v>251</v>
      </c>
      <c r="B252" s="660" t="s">
        <v>6886</v>
      </c>
      <c r="C252" s="647" t="s">
        <v>4421</v>
      </c>
      <c r="D252" s="620"/>
      <c r="E252" s="662" t="s">
        <v>6367</v>
      </c>
      <c r="F252" s="620"/>
      <c r="G252" s="620"/>
      <c r="H252" s="661" t="s">
        <v>2965</v>
      </c>
      <c r="I252" s="620" t="s">
        <v>5453</v>
      </c>
      <c r="J252" s="620" t="s">
        <v>5453</v>
      </c>
      <c r="K252" s="620" t="s">
        <v>6436</v>
      </c>
      <c r="L252" s="620"/>
      <c r="M252" s="662" t="s">
        <v>6293</v>
      </c>
      <c r="N252" s="620"/>
      <c r="O252" s="620"/>
      <c r="P252" s="620"/>
      <c r="Q252" s="620"/>
    </row>
    <row r="253" spans="1:17">
      <c r="A253" s="640">
        <f t="shared" si="3"/>
        <v>252</v>
      </c>
      <c r="B253" s="660" t="s">
        <v>6887</v>
      </c>
      <c r="C253" s="647" t="s">
        <v>4415</v>
      </c>
      <c r="D253" s="620"/>
      <c r="E253" s="662" t="s">
        <v>6368</v>
      </c>
      <c r="F253" s="620"/>
      <c r="G253" s="620"/>
      <c r="H253" s="661" t="s">
        <v>2965</v>
      </c>
      <c r="I253" s="620" t="s">
        <v>5453</v>
      </c>
      <c r="J253" s="620" t="s">
        <v>5453</v>
      </c>
      <c r="K253" s="620" t="s">
        <v>6437</v>
      </c>
      <c r="L253" s="620"/>
      <c r="M253" s="662" t="s">
        <v>6294</v>
      </c>
      <c r="N253" s="620"/>
      <c r="O253" s="620"/>
      <c r="P253" s="620"/>
      <c r="Q253" s="620"/>
    </row>
    <row r="254" spans="1:17">
      <c r="A254" s="640">
        <f t="shared" si="3"/>
        <v>253</v>
      </c>
      <c r="B254" s="660" t="s">
        <v>6888</v>
      </c>
      <c r="C254" s="647" t="s">
        <v>4415</v>
      </c>
      <c r="D254" s="620"/>
      <c r="E254" s="662" t="s">
        <v>6369</v>
      </c>
      <c r="F254" s="620"/>
      <c r="G254" s="620"/>
      <c r="H254" s="661" t="s">
        <v>2965</v>
      </c>
      <c r="I254" s="620" t="s">
        <v>5453</v>
      </c>
      <c r="J254" s="620" t="s">
        <v>5453</v>
      </c>
      <c r="K254" s="620" t="s">
        <v>7006</v>
      </c>
      <c r="L254" s="620"/>
      <c r="M254" s="662" t="s">
        <v>6295</v>
      </c>
      <c r="N254" s="620"/>
      <c r="O254" s="620"/>
      <c r="P254" s="620"/>
      <c r="Q254" s="620"/>
    </row>
    <row r="255" spans="1:17">
      <c r="A255" s="640">
        <f t="shared" si="3"/>
        <v>254</v>
      </c>
      <c r="B255" s="660" t="s">
        <v>6889</v>
      </c>
      <c r="C255" s="647" t="s">
        <v>4421</v>
      </c>
      <c r="D255" s="620"/>
      <c r="E255" s="662" t="s">
        <v>6370</v>
      </c>
      <c r="F255" s="620"/>
      <c r="G255" s="620"/>
      <c r="H255" s="661" t="s">
        <v>2965</v>
      </c>
      <c r="I255" s="620" t="s">
        <v>5453</v>
      </c>
      <c r="J255" s="620" t="s">
        <v>5453</v>
      </c>
      <c r="K255" s="620" t="s">
        <v>6438</v>
      </c>
      <c r="L255" s="620"/>
      <c r="M255" s="662" t="s">
        <v>6296</v>
      </c>
      <c r="N255" s="620"/>
      <c r="O255" s="620"/>
      <c r="P255" s="620"/>
      <c r="Q255" s="620"/>
    </row>
    <row r="256" spans="1:17">
      <c r="A256" s="640">
        <f t="shared" si="3"/>
        <v>255</v>
      </c>
      <c r="B256" s="660" t="s">
        <v>6890</v>
      </c>
      <c r="C256" s="647" t="s">
        <v>4421</v>
      </c>
      <c r="D256" s="620"/>
      <c r="E256" s="662" t="s">
        <v>6372</v>
      </c>
      <c r="F256" s="620"/>
      <c r="G256" s="620"/>
      <c r="H256" s="661" t="s">
        <v>2965</v>
      </c>
      <c r="I256" s="620" t="s">
        <v>5453</v>
      </c>
      <c r="J256" s="620" t="s">
        <v>5453</v>
      </c>
      <c r="K256" s="620" t="s">
        <v>6439</v>
      </c>
      <c r="L256" s="620"/>
      <c r="M256" s="662" t="s">
        <v>6297</v>
      </c>
      <c r="N256" s="620"/>
      <c r="O256" s="620"/>
      <c r="P256" s="620"/>
      <c r="Q256" s="620"/>
    </row>
    <row r="257" spans="1:17">
      <c r="A257" s="640">
        <f t="shared" si="3"/>
        <v>256</v>
      </c>
      <c r="B257" s="660" t="s">
        <v>6891</v>
      </c>
      <c r="C257" s="647" t="s">
        <v>4421</v>
      </c>
      <c r="D257" s="620"/>
      <c r="E257" s="662" t="s">
        <v>6373</v>
      </c>
      <c r="F257" s="620"/>
      <c r="G257" s="620"/>
      <c r="H257" s="661" t="s">
        <v>2965</v>
      </c>
      <c r="I257" s="620" t="s">
        <v>5453</v>
      </c>
      <c r="J257" s="620" t="s">
        <v>5453</v>
      </c>
      <c r="K257" s="620" t="s">
        <v>6440</v>
      </c>
      <c r="L257" s="620"/>
      <c r="M257" s="662" t="s">
        <v>6298</v>
      </c>
      <c r="N257" s="620"/>
      <c r="O257" s="620"/>
      <c r="P257" s="620"/>
      <c r="Q257" s="620"/>
    </row>
    <row r="258" spans="1:17">
      <c r="A258" s="640">
        <f t="shared" si="3"/>
        <v>257</v>
      </c>
      <c r="B258" s="660" t="s">
        <v>6892</v>
      </c>
      <c r="C258" s="647" t="s">
        <v>4421</v>
      </c>
      <c r="D258" s="620"/>
      <c r="E258" s="662" t="s">
        <v>6374</v>
      </c>
      <c r="F258" s="620"/>
      <c r="G258" s="620"/>
      <c r="H258" s="661" t="s">
        <v>2965</v>
      </c>
      <c r="I258" s="620" t="s">
        <v>5453</v>
      </c>
      <c r="J258" s="620" t="s">
        <v>5453</v>
      </c>
      <c r="K258" s="620" t="s">
        <v>6441</v>
      </c>
      <c r="L258" s="620"/>
      <c r="M258" s="662" t="s">
        <v>6299</v>
      </c>
      <c r="N258" s="620"/>
      <c r="O258" s="620"/>
      <c r="P258" s="620"/>
      <c r="Q258" s="620"/>
    </row>
    <row r="259" spans="1:17">
      <c r="A259" s="640">
        <f t="shared" si="3"/>
        <v>258</v>
      </c>
      <c r="B259" s="660" t="s">
        <v>6893</v>
      </c>
      <c r="C259" s="647" t="s">
        <v>4421</v>
      </c>
      <c r="D259" s="620"/>
      <c r="E259" s="662" t="s">
        <v>6375</v>
      </c>
      <c r="F259" s="620"/>
      <c r="G259" s="620"/>
      <c r="H259" s="661" t="s">
        <v>2965</v>
      </c>
      <c r="I259" s="620" t="s">
        <v>5453</v>
      </c>
      <c r="J259" s="620" t="s">
        <v>5453</v>
      </c>
      <c r="K259" s="620" t="s">
        <v>6442</v>
      </c>
      <c r="L259" s="620"/>
      <c r="M259" s="662" t="s">
        <v>6300</v>
      </c>
      <c r="N259" s="620"/>
      <c r="O259" s="620"/>
      <c r="P259" s="620"/>
      <c r="Q259" s="620"/>
    </row>
    <row r="260" spans="1:17">
      <c r="A260" s="640">
        <f t="shared" si="3"/>
        <v>259</v>
      </c>
      <c r="B260" s="660" t="s">
        <v>6894</v>
      </c>
      <c r="C260" s="647" t="s">
        <v>4421</v>
      </c>
      <c r="D260" s="620"/>
      <c r="E260" s="662" t="s">
        <v>6376</v>
      </c>
      <c r="F260" s="620"/>
      <c r="G260" s="620"/>
      <c r="H260" s="661" t="s">
        <v>2965</v>
      </c>
      <c r="I260" s="620" t="s">
        <v>5453</v>
      </c>
      <c r="J260" s="620" t="s">
        <v>5453</v>
      </c>
      <c r="K260" s="620" t="s">
        <v>6443</v>
      </c>
      <c r="L260" s="620"/>
      <c r="M260" s="620" t="s">
        <v>6301</v>
      </c>
      <c r="N260" s="620"/>
      <c r="O260" s="620"/>
      <c r="P260" s="620"/>
      <c r="Q260" s="620"/>
    </row>
    <row r="261" spans="1:17">
      <c r="A261" s="640">
        <f t="shared" si="3"/>
        <v>260</v>
      </c>
      <c r="B261" s="660" t="s">
        <v>6895</v>
      </c>
      <c r="C261" s="647" t="s">
        <v>4421</v>
      </c>
      <c r="D261" s="620"/>
      <c r="E261" s="662" t="s">
        <v>6377</v>
      </c>
      <c r="F261" s="620"/>
      <c r="G261" s="620"/>
      <c r="H261" s="661" t="s">
        <v>2965</v>
      </c>
      <c r="I261" s="620" t="s">
        <v>5453</v>
      </c>
      <c r="J261" s="620" t="s">
        <v>5453</v>
      </c>
      <c r="K261" s="620" t="s">
        <v>6444</v>
      </c>
      <c r="L261" s="620"/>
      <c r="M261" s="662" t="s">
        <v>6302</v>
      </c>
      <c r="N261" s="620"/>
      <c r="O261" s="620"/>
      <c r="P261" s="620"/>
      <c r="Q261" s="620"/>
    </row>
    <row r="262" spans="1:17">
      <c r="A262" s="640">
        <f t="shared" si="3"/>
        <v>261</v>
      </c>
      <c r="B262" s="660" t="s">
        <v>6896</v>
      </c>
      <c r="C262" s="647" t="s">
        <v>4421</v>
      </c>
      <c r="D262" s="620"/>
      <c r="E262" s="662" t="s">
        <v>6378</v>
      </c>
      <c r="F262" s="620"/>
      <c r="G262" s="620"/>
      <c r="H262" s="661" t="s">
        <v>2965</v>
      </c>
      <c r="I262" s="620" t="s">
        <v>5453</v>
      </c>
      <c r="J262" s="620" t="s">
        <v>5453</v>
      </c>
      <c r="K262" s="620" t="s">
        <v>6445</v>
      </c>
      <c r="L262" s="620"/>
      <c r="M262" s="662" t="s">
        <v>959</v>
      </c>
      <c r="N262" s="620"/>
      <c r="O262" s="620"/>
      <c r="P262" s="620"/>
      <c r="Q262" s="620"/>
    </row>
    <row r="263" spans="1:17">
      <c r="A263" s="640">
        <f t="shared" si="3"/>
        <v>262</v>
      </c>
      <c r="B263" s="660" t="s">
        <v>6897</v>
      </c>
      <c r="C263" s="647" t="s">
        <v>4421</v>
      </c>
      <c r="D263" s="620"/>
      <c r="E263" s="662" t="s">
        <v>6379</v>
      </c>
      <c r="F263" s="620"/>
      <c r="G263" s="620"/>
      <c r="H263" s="661" t="s">
        <v>2965</v>
      </c>
      <c r="I263" s="620" t="s">
        <v>5453</v>
      </c>
      <c r="J263" s="620" t="s">
        <v>5453</v>
      </c>
      <c r="K263" s="620" t="s">
        <v>6446</v>
      </c>
      <c r="L263" s="620"/>
      <c r="M263" s="662" t="s">
        <v>6303</v>
      </c>
      <c r="N263" s="620"/>
      <c r="O263" s="620"/>
      <c r="P263" s="620"/>
      <c r="Q263" s="620"/>
    </row>
    <row r="264" spans="1:17">
      <c r="A264" s="640">
        <f t="shared" si="3"/>
        <v>263</v>
      </c>
      <c r="B264" s="660" t="s">
        <v>6898</v>
      </c>
      <c r="C264" s="647" t="s">
        <v>4421</v>
      </c>
      <c r="D264" s="620"/>
      <c r="E264" s="662" t="s">
        <v>6380</v>
      </c>
      <c r="F264" s="620"/>
      <c r="G264" s="620"/>
      <c r="H264" s="661" t="s">
        <v>2965</v>
      </c>
      <c r="I264" s="620" t="s">
        <v>5453</v>
      </c>
      <c r="J264" s="620" t="s">
        <v>5453</v>
      </c>
      <c r="K264" s="620" t="s">
        <v>6447</v>
      </c>
      <c r="L264" s="620"/>
      <c r="M264" s="662" t="s">
        <v>6304</v>
      </c>
      <c r="N264" s="620"/>
      <c r="O264" s="620"/>
      <c r="P264" s="620"/>
      <c r="Q264" s="620"/>
    </row>
    <row r="265" spans="1:17">
      <c r="A265" s="640">
        <f t="shared" si="3"/>
        <v>264</v>
      </c>
      <c r="B265" s="660" t="s">
        <v>6899</v>
      </c>
      <c r="C265" s="647" t="s">
        <v>4421</v>
      </c>
      <c r="D265" s="620"/>
      <c r="E265" s="662" t="s">
        <v>6381</v>
      </c>
      <c r="F265" s="620"/>
      <c r="G265" s="620"/>
      <c r="H265" s="661" t="s">
        <v>2965</v>
      </c>
      <c r="I265" s="620" t="s">
        <v>5453</v>
      </c>
      <c r="J265" s="620" t="s">
        <v>5453</v>
      </c>
      <c r="K265" s="620" t="s">
        <v>6448</v>
      </c>
      <c r="L265" s="620"/>
      <c r="M265" s="662" t="s">
        <v>6305</v>
      </c>
      <c r="N265" s="620"/>
      <c r="O265" s="620"/>
      <c r="P265" s="620"/>
      <c r="Q265" s="620"/>
    </row>
    <row r="266" spans="1:17">
      <c r="A266" s="640">
        <f t="shared" si="3"/>
        <v>265</v>
      </c>
      <c r="B266" s="660" t="s">
        <v>6900</v>
      </c>
      <c r="C266" s="647" t="s">
        <v>4421</v>
      </c>
      <c r="D266" s="620"/>
      <c r="E266" s="662" t="s">
        <v>6382</v>
      </c>
      <c r="F266" s="620"/>
      <c r="G266" s="620"/>
      <c r="H266" s="661" t="s">
        <v>2965</v>
      </c>
      <c r="I266" s="620" t="s">
        <v>5453</v>
      </c>
      <c r="J266" s="620" t="s">
        <v>5453</v>
      </c>
      <c r="K266" s="620" t="s">
        <v>6449</v>
      </c>
      <c r="L266" s="620"/>
      <c r="M266" s="662" t="s">
        <v>6306</v>
      </c>
      <c r="N266" s="620"/>
      <c r="O266" s="620"/>
      <c r="P266" s="620"/>
      <c r="Q266" s="620"/>
    </row>
    <row r="267" spans="1:17">
      <c r="A267" s="640">
        <f t="shared" si="3"/>
        <v>266</v>
      </c>
      <c r="B267" s="660" t="s">
        <v>6901</v>
      </c>
      <c r="C267" s="647" t="s">
        <v>275</v>
      </c>
      <c r="D267" s="620"/>
      <c r="E267" s="662" t="s">
        <v>6383</v>
      </c>
      <c r="F267" s="620"/>
      <c r="G267" s="620"/>
      <c r="H267" s="661" t="s">
        <v>2965</v>
      </c>
      <c r="I267" s="620" t="s">
        <v>5453</v>
      </c>
      <c r="J267" s="620" t="s">
        <v>5453</v>
      </c>
      <c r="K267" s="620" t="s">
        <v>6450</v>
      </c>
      <c r="L267" s="620"/>
      <c r="M267" s="662" t="s">
        <v>6307</v>
      </c>
      <c r="N267" s="620"/>
      <c r="O267" s="620"/>
      <c r="P267" s="620"/>
      <c r="Q267" s="620"/>
    </row>
    <row r="268" spans="1:17">
      <c r="A268" s="640">
        <f t="shared" si="3"/>
        <v>267</v>
      </c>
      <c r="B268" s="660" t="s">
        <v>6902</v>
      </c>
      <c r="C268" s="647" t="s">
        <v>275</v>
      </c>
      <c r="D268" s="620"/>
      <c r="E268" s="662" t="s">
        <v>6384</v>
      </c>
      <c r="F268" s="620"/>
      <c r="G268" s="620"/>
      <c r="H268" s="661" t="s">
        <v>2965</v>
      </c>
      <c r="I268" s="620" t="s">
        <v>5453</v>
      </c>
      <c r="J268" s="620" t="s">
        <v>5453</v>
      </c>
      <c r="K268" s="620" t="s">
        <v>6451</v>
      </c>
      <c r="L268" s="620"/>
      <c r="M268" s="662" t="s">
        <v>6308</v>
      </c>
      <c r="N268" s="620"/>
      <c r="O268" s="620"/>
      <c r="P268" s="620"/>
      <c r="Q268" s="620"/>
    </row>
    <row r="269" spans="1:17">
      <c r="A269" s="640">
        <f t="shared" si="3"/>
        <v>268</v>
      </c>
      <c r="B269" s="660" t="s">
        <v>6903</v>
      </c>
      <c r="C269" s="647" t="s">
        <v>275</v>
      </c>
      <c r="D269" s="620"/>
      <c r="E269" s="662" t="s">
        <v>6385</v>
      </c>
      <c r="F269" s="620"/>
      <c r="G269" s="620"/>
      <c r="H269" s="661" t="s">
        <v>2965</v>
      </c>
      <c r="I269" s="620" t="s">
        <v>5453</v>
      </c>
      <c r="J269" s="620" t="s">
        <v>5453</v>
      </c>
      <c r="K269" s="620" t="s">
        <v>6452</v>
      </c>
      <c r="L269" s="620"/>
      <c r="M269" s="662" t="s">
        <v>6309</v>
      </c>
      <c r="N269" s="620"/>
      <c r="O269" s="620"/>
      <c r="P269" s="620"/>
      <c r="Q269" s="620"/>
    </row>
    <row r="270" spans="1:17">
      <c r="A270" s="640">
        <f t="shared" si="3"/>
        <v>269</v>
      </c>
      <c r="B270" s="660" t="s">
        <v>6904</v>
      </c>
      <c r="C270" s="647" t="s">
        <v>4421</v>
      </c>
      <c r="D270" s="620"/>
      <c r="E270" s="662" t="s">
        <v>6386</v>
      </c>
      <c r="F270" s="620"/>
      <c r="G270" s="620"/>
      <c r="H270" s="661" t="s">
        <v>2965</v>
      </c>
      <c r="I270" s="620" t="s">
        <v>5453</v>
      </c>
      <c r="J270" s="620" t="s">
        <v>5453</v>
      </c>
      <c r="K270" s="620" t="s">
        <v>6453</v>
      </c>
      <c r="L270" s="620"/>
      <c r="M270" s="662" t="s">
        <v>6310</v>
      </c>
      <c r="N270" s="620"/>
      <c r="O270" s="620"/>
      <c r="P270" s="620"/>
      <c r="Q270" s="620"/>
    </row>
    <row r="271" spans="1:17">
      <c r="A271" s="640">
        <f t="shared" si="3"/>
        <v>270</v>
      </c>
      <c r="B271" s="660" t="s">
        <v>6905</v>
      </c>
      <c r="C271" s="661" t="s">
        <v>275</v>
      </c>
      <c r="D271" s="620"/>
      <c r="E271" s="662" t="s">
        <v>6387</v>
      </c>
      <c r="F271" s="620"/>
      <c r="G271" s="620"/>
      <c r="H271" s="661" t="s">
        <v>2965</v>
      </c>
      <c r="I271" s="620" t="s">
        <v>5453</v>
      </c>
      <c r="J271" s="620" t="s">
        <v>5453</v>
      </c>
      <c r="K271" s="620" t="s">
        <v>6454</v>
      </c>
      <c r="L271" s="620"/>
      <c r="M271" s="662" t="s">
        <v>6311</v>
      </c>
      <c r="N271" s="620"/>
      <c r="O271" s="620"/>
      <c r="P271" s="620"/>
      <c r="Q271" s="620"/>
    </row>
    <row r="272" spans="1:17">
      <c r="A272" s="640">
        <f t="shared" si="3"/>
        <v>271</v>
      </c>
      <c r="B272" s="660" t="s">
        <v>6906</v>
      </c>
      <c r="C272" s="661" t="s">
        <v>4421</v>
      </c>
      <c r="D272" s="620"/>
      <c r="E272" s="662" t="s">
        <v>6389</v>
      </c>
      <c r="F272" s="620"/>
      <c r="G272" s="620"/>
      <c r="H272" s="661" t="s">
        <v>2965</v>
      </c>
      <c r="I272" s="620" t="s">
        <v>5453</v>
      </c>
      <c r="J272" s="620" t="s">
        <v>5453</v>
      </c>
      <c r="K272" s="620" t="s">
        <v>6455</v>
      </c>
      <c r="L272" s="620"/>
      <c r="M272" s="662" t="s">
        <v>7033</v>
      </c>
      <c r="N272" s="620"/>
      <c r="O272" s="620"/>
      <c r="P272" s="620"/>
      <c r="Q272" s="620"/>
    </row>
    <row r="273" spans="1:17">
      <c r="A273" s="640">
        <f t="shared" si="3"/>
        <v>272</v>
      </c>
      <c r="B273" s="660" t="s">
        <v>6907</v>
      </c>
      <c r="C273" s="661" t="s">
        <v>4421</v>
      </c>
      <c r="D273" s="620"/>
      <c r="E273" s="662" t="s">
        <v>6390</v>
      </c>
      <c r="F273" s="620"/>
      <c r="G273" s="620"/>
      <c r="H273" s="661" t="s">
        <v>2965</v>
      </c>
      <c r="I273" s="620" t="s">
        <v>5453</v>
      </c>
      <c r="J273" s="620" t="s">
        <v>5453</v>
      </c>
      <c r="K273" s="620" t="s">
        <v>6456</v>
      </c>
      <c r="L273" s="620"/>
      <c r="M273" s="662" t="s">
        <v>6312</v>
      </c>
      <c r="N273" s="620"/>
      <c r="O273" s="620"/>
      <c r="P273" s="620"/>
      <c r="Q273" s="620"/>
    </row>
    <row r="274" spans="1:17">
      <c r="A274" s="640">
        <f t="shared" si="3"/>
        <v>273</v>
      </c>
      <c r="B274" s="660" t="s">
        <v>6908</v>
      </c>
      <c r="C274" s="661" t="s">
        <v>3218</v>
      </c>
      <c r="D274" s="620"/>
      <c r="E274" s="662" t="s">
        <v>6391</v>
      </c>
      <c r="F274" s="620"/>
      <c r="G274" s="620"/>
      <c r="H274" s="661" t="s">
        <v>2965</v>
      </c>
      <c r="I274" s="620" t="s">
        <v>5453</v>
      </c>
      <c r="J274" s="620" t="s">
        <v>5453</v>
      </c>
      <c r="K274" s="620" t="e">
        <v>#N/A</v>
      </c>
      <c r="L274" s="620"/>
      <c r="M274" s="665" t="s">
        <v>6313</v>
      </c>
      <c r="N274" s="620"/>
      <c r="O274" s="620"/>
      <c r="P274" s="620"/>
      <c r="Q274" s="620"/>
    </row>
    <row r="275" spans="1:17">
      <c r="A275" s="640">
        <f t="shared" si="3"/>
        <v>274</v>
      </c>
      <c r="B275" s="660" t="s">
        <v>6909</v>
      </c>
      <c r="C275" s="661" t="s">
        <v>4421</v>
      </c>
      <c r="D275" s="620"/>
      <c r="E275" s="662" t="s">
        <v>6392</v>
      </c>
      <c r="F275" s="620"/>
      <c r="G275" s="620"/>
      <c r="H275" s="661" t="s">
        <v>2965</v>
      </c>
      <c r="I275" s="620" t="s">
        <v>5453</v>
      </c>
      <c r="J275" s="620" t="s">
        <v>5453</v>
      </c>
      <c r="K275" s="620" t="s">
        <v>6457</v>
      </c>
      <c r="L275" s="620"/>
      <c r="M275" s="662" t="s">
        <v>6314</v>
      </c>
      <c r="N275" s="620"/>
      <c r="O275" s="620"/>
      <c r="P275" s="620"/>
      <c r="Q275" s="620"/>
    </row>
    <row r="276" spans="1:17">
      <c r="A276" s="640">
        <f t="shared" si="3"/>
        <v>275</v>
      </c>
      <c r="B276" s="660" t="s">
        <v>6910</v>
      </c>
      <c r="C276" s="661" t="s">
        <v>4421</v>
      </c>
      <c r="D276" s="620"/>
      <c r="E276" s="662" t="s">
        <v>6393</v>
      </c>
      <c r="F276" s="620"/>
      <c r="G276" s="620"/>
      <c r="H276" s="661" t="s">
        <v>2965</v>
      </c>
      <c r="I276" s="620" t="s">
        <v>5453</v>
      </c>
      <c r="J276" s="620" t="s">
        <v>5453</v>
      </c>
      <c r="K276" s="620" t="s">
        <v>6458</v>
      </c>
      <c r="L276" s="620"/>
      <c r="M276" s="662" t="s">
        <v>6315</v>
      </c>
      <c r="N276" s="620"/>
      <c r="O276" s="620"/>
      <c r="P276" s="620"/>
      <c r="Q276" s="620"/>
    </row>
    <row r="277" spans="1:17">
      <c r="A277" s="640">
        <f t="shared" si="3"/>
        <v>276</v>
      </c>
      <c r="B277" s="660" t="s">
        <v>6911</v>
      </c>
      <c r="C277" s="661" t="s">
        <v>4421</v>
      </c>
      <c r="D277" s="620"/>
      <c r="E277" s="662" t="s">
        <v>6394</v>
      </c>
      <c r="F277" s="620"/>
      <c r="G277" s="620"/>
      <c r="H277" s="661" t="s">
        <v>2965</v>
      </c>
      <c r="I277" s="620" t="s">
        <v>5453</v>
      </c>
      <c r="J277" s="620" t="s">
        <v>5453</v>
      </c>
      <c r="K277" s="620" t="s">
        <v>6459</v>
      </c>
      <c r="L277" s="620"/>
      <c r="M277" s="662" t="s">
        <v>6316</v>
      </c>
      <c r="N277" s="620"/>
      <c r="O277" s="620"/>
      <c r="P277" s="620"/>
      <c r="Q277" s="620"/>
    </row>
    <row r="278" spans="1:17">
      <c r="A278" s="640">
        <f t="shared" si="3"/>
        <v>277</v>
      </c>
      <c r="B278" s="660" t="s">
        <v>6912</v>
      </c>
      <c r="C278" s="661" t="s">
        <v>4421</v>
      </c>
      <c r="D278" s="620"/>
      <c r="E278" s="662" t="s">
        <v>6395</v>
      </c>
      <c r="F278" s="620"/>
      <c r="G278" s="620"/>
      <c r="H278" s="661" t="s">
        <v>2965</v>
      </c>
      <c r="I278" s="620" t="s">
        <v>5453</v>
      </c>
      <c r="J278" s="620" t="s">
        <v>5453</v>
      </c>
      <c r="K278" s="620" t="s">
        <v>6460</v>
      </c>
      <c r="L278" s="620"/>
      <c r="M278" s="662" t="s">
        <v>6317</v>
      </c>
      <c r="N278" s="620"/>
      <c r="O278" s="620"/>
      <c r="P278" s="620"/>
      <c r="Q278" s="620"/>
    </row>
    <row r="279" spans="1:17">
      <c r="A279" s="640">
        <f t="shared" si="3"/>
        <v>278</v>
      </c>
      <c r="B279" s="660" t="s">
        <v>6913</v>
      </c>
      <c r="C279" s="661" t="s">
        <v>4421</v>
      </c>
      <c r="D279" s="620"/>
      <c r="E279" s="662" t="s">
        <v>6396</v>
      </c>
      <c r="F279" s="620"/>
      <c r="G279" s="620"/>
      <c r="H279" s="661" t="s">
        <v>2965</v>
      </c>
      <c r="I279" s="620" t="s">
        <v>5453</v>
      </c>
      <c r="J279" s="620" t="s">
        <v>5453</v>
      </c>
      <c r="K279" s="620" t="s">
        <v>6461</v>
      </c>
      <c r="L279" s="620"/>
      <c r="M279" s="662" t="s">
        <v>6318</v>
      </c>
      <c r="N279" s="620"/>
      <c r="O279" s="620"/>
      <c r="P279" s="620"/>
      <c r="Q279" s="620"/>
    </row>
    <row r="280" spans="1:17">
      <c r="A280" s="640">
        <f t="shared" si="3"/>
        <v>279</v>
      </c>
      <c r="B280" s="660" t="s">
        <v>6914</v>
      </c>
      <c r="C280" s="661" t="s">
        <v>4421</v>
      </c>
      <c r="D280" s="620"/>
      <c r="E280" s="662" t="s">
        <v>6397</v>
      </c>
      <c r="F280" s="620"/>
      <c r="G280" s="620"/>
      <c r="H280" s="661" t="s">
        <v>2965</v>
      </c>
      <c r="I280" s="620" t="s">
        <v>5453</v>
      </c>
      <c r="J280" s="620" t="s">
        <v>5453</v>
      </c>
      <c r="K280" s="620" t="s">
        <v>6462</v>
      </c>
      <c r="L280" s="620"/>
      <c r="M280" s="662" t="s">
        <v>6319</v>
      </c>
      <c r="N280" s="620"/>
      <c r="O280" s="620"/>
      <c r="P280" s="620"/>
      <c r="Q280" s="620"/>
    </row>
    <row r="281" spans="1:17">
      <c r="A281" s="640">
        <f t="shared" si="3"/>
        <v>280</v>
      </c>
      <c r="B281" s="660" t="s">
        <v>6915</v>
      </c>
      <c r="C281" s="661" t="s">
        <v>4421</v>
      </c>
      <c r="D281" s="620"/>
      <c r="E281" s="662" t="s">
        <v>6398</v>
      </c>
      <c r="F281" s="620"/>
      <c r="G281" s="620"/>
      <c r="H281" s="661" t="s">
        <v>2965</v>
      </c>
      <c r="I281" s="620" t="s">
        <v>5453</v>
      </c>
      <c r="J281" s="620" t="s">
        <v>5453</v>
      </c>
      <c r="K281" s="620" t="s">
        <v>6463</v>
      </c>
      <c r="L281" s="620"/>
      <c r="M281" s="662" t="s">
        <v>6320</v>
      </c>
      <c r="N281" s="620"/>
      <c r="O281" s="620"/>
      <c r="P281" s="620"/>
      <c r="Q281" s="620"/>
    </row>
    <row r="282" spans="1:17">
      <c r="A282" s="640">
        <f t="shared" si="3"/>
        <v>281</v>
      </c>
      <c r="B282" s="660" t="s">
        <v>6916</v>
      </c>
      <c r="C282" s="661" t="s">
        <v>4421</v>
      </c>
      <c r="D282" s="620"/>
      <c r="E282" s="662" t="s">
        <v>6399</v>
      </c>
      <c r="F282" s="620"/>
      <c r="G282" s="620"/>
      <c r="H282" s="661" t="s">
        <v>2965</v>
      </c>
      <c r="I282" s="620" t="s">
        <v>5453</v>
      </c>
      <c r="J282" s="620" t="s">
        <v>5453</v>
      </c>
      <c r="K282" s="620" t="s">
        <v>6464</v>
      </c>
      <c r="L282" s="620"/>
      <c r="M282" s="662" t="s">
        <v>6321</v>
      </c>
      <c r="N282" s="620"/>
      <c r="O282" s="620"/>
      <c r="P282" s="620"/>
      <c r="Q282" s="620"/>
    </row>
    <row r="283" spans="1:17">
      <c r="A283" s="640">
        <f t="shared" si="3"/>
        <v>282</v>
      </c>
      <c r="B283" s="660" t="s">
        <v>6917</v>
      </c>
      <c r="C283" s="661" t="s">
        <v>4421</v>
      </c>
      <c r="D283" s="620"/>
      <c r="E283" s="662" t="s">
        <v>6400</v>
      </c>
      <c r="F283" s="620"/>
      <c r="G283" s="620"/>
      <c r="H283" s="661" t="s">
        <v>2965</v>
      </c>
      <c r="I283" s="620" t="s">
        <v>5453</v>
      </c>
      <c r="J283" s="620" t="s">
        <v>5453</v>
      </c>
      <c r="K283" s="620" t="s">
        <v>6465</v>
      </c>
      <c r="L283" s="620"/>
      <c r="M283" s="662" t="s">
        <v>6322</v>
      </c>
      <c r="N283" s="620"/>
      <c r="O283" s="620"/>
      <c r="P283" s="620"/>
      <c r="Q283" s="620"/>
    </row>
    <row r="284" spans="1:17">
      <c r="A284" s="640">
        <f t="shared" si="3"/>
        <v>283</v>
      </c>
      <c r="B284" s="660" t="s">
        <v>6918</v>
      </c>
      <c r="C284" s="661" t="s">
        <v>4421</v>
      </c>
      <c r="D284" s="620"/>
      <c r="E284" s="662" t="s">
        <v>6401</v>
      </c>
      <c r="F284" s="620"/>
      <c r="G284" s="620"/>
      <c r="H284" s="661" t="s">
        <v>2965</v>
      </c>
      <c r="I284" s="620" t="s">
        <v>5453</v>
      </c>
      <c r="J284" s="620" t="s">
        <v>5453</v>
      </c>
      <c r="K284" s="620" t="s">
        <v>6466</v>
      </c>
      <c r="L284" s="620"/>
      <c r="M284" s="662" t="s">
        <v>6323</v>
      </c>
      <c r="N284" s="620"/>
      <c r="O284" s="620"/>
      <c r="P284" s="620"/>
      <c r="Q284" s="620"/>
    </row>
    <row r="285" spans="1:17">
      <c r="A285" s="640">
        <f t="shared" si="3"/>
        <v>284</v>
      </c>
      <c r="B285" s="660" t="s">
        <v>6919</v>
      </c>
      <c r="C285" s="661" t="s">
        <v>4421</v>
      </c>
      <c r="D285" s="620"/>
      <c r="E285" s="662" t="s">
        <v>6402</v>
      </c>
      <c r="F285" s="620"/>
      <c r="G285" s="620"/>
      <c r="H285" s="661" t="s">
        <v>2965</v>
      </c>
      <c r="I285" s="620" t="s">
        <v>5453</v>
      </c>
      <c r="J285" s="620" t="s">
        <v>5453</v>
      </c>
      <c r="K285" s="620" t="s">
        <v>6467</v>
      </c>
      <c r="L285" s="620"/>
      <c r="M285" s="662" t="s">
        <v>6324</v>
      </c>
      <c r="N285" s="620"/>
      <c r="O285" s="620"/>
      <c r="P285" s="620"/>
      <c r="Q285" s="620"/>
    </row>
    <row r="286" spans="1:17">
      <c r="A286" s="640">
        <f t="shared" si="3"/>
        <v>285</v>
      </c>
      <c r="B286" s="660" t="s">
        <v>6920</v>
      </c>
      <c r="C286" s="661" t="s">
        <v>4421</v>
      </c>
      <c r="D286" s="620"/>
      <c r="E286" s="662" t="s">
        <v>6403</v>
      </c>
      <c r="F286" s="620"/>
      <c r="G286" s="620"/>
      <c r="H286" s="661" t="s">
        <v>2965</v>
      </c>
      <c r="I286" s="620" t="s">
        <v>5453</v>
      </c>
      <c r="J286" s="620" t="s">
        <v>5453</v>
      </c>
      <c r="K286" s="620" t="s">
        <v>6468</v>
      </c>
      <c r="L286" s="620"/>
      <c r="M286" s="662" t="s">
        <v>6325</v>
      </c>
      <c r="N286" s="620"/>
      <c r="O286" s="620"/>
      <c r="P286" s="620"/>
      <c r="Q286" s="620"/>
    </row>
    <row r="287" spans="1:17">
      <c r="A287" s="640">
        <f t="shared" ref="A287:A350" si="4">ROW()-1</f>
        <v>286</v>
      </c>
      <c r="B287" s="660" t="s">
        <v>6921</v>
      </c>
      <c r="C287" s="661" t="s">
        <v>4421</v>
      </c>
      <c r="D287" s="620"/>
      <c r="E287" s="662" t="s">
        <v>6404</v>
      </c>
      <c r="F287" s="620"/>
      <c r="G287" s="620"/>
      <c r="H287" s="661" t="s">
        <v>2965</v>
      </c>
      <c r="I287" s="620" t="s">
        <v>5453</v>
      </c>
      <c r="J287" s="620" t="s">
        <v>5453</v>
      </c>
      <c r="K287" s="620" t="s">
        <v>6469</v>
      </c>
      <c r="L287" s="620"/>
      <c r="M287" s="662" t="s">
        <v>6326</v>
      </c>
      <c r="N287" s="620"/>
      <c r="O287" s="620"/>
      <c r="P287" s="620"/>
      <c r="Q287" s="620"/>
    </row>
    <row r="288" spans="1:17">
      <c r="A288" s="640">
        <f t="shared" si="4"/>
        <v>287</v>
      </c>
      <c r="B288" s="660" t="s">
        <v>6922</v>
      </c>
      <c r="C288" s="661" t="s">
        <v>4421</v>
      </c>
      <c r="D288" s="620"/>
      <c r="E288" s="662" t="s">
        <v>6405</v>
      </c>
      <c r="F288" s="620"/>
      <c r="G288" s="620"/>
      <c r="H288" s="661" t="s">
        <v>2965</v>
      </c>
      <c r="I288" s="620" t="s">
        <v>5453</v>
      </c>
      <c r="J288" s="620" t="s">
        <v>5453</v>
      </c>
      <c r="K288" s="620" t="s">
        <v>6470</v>
      </c>
      <c r="L288" s="620"/>
      <c r="M288" s="662" t="s">
        <v>6327</v>
      </c>
      <c r="N288" s="620"/>
      <c r="O288" s="620"/>
      <c r="P288" s="620"/>
      <c r="Q288" s="620"/>
    </row>
    <row r="289" spans="1:17">
      <c r="A289" s="640">
        <f t="shared" si="4"/>
        <v>288</v>
      </c>
      <c r="B289" s="660" t="s">
        <v>6923</v>
      </c>
      <c r="C289" s="661" t="s">
        <v>4421</v>
      </c>
      <c r="D289" s="620"/>
      <c r="E289" s="662" t="s">
        <v>6406</v>
      </c>
      <c r="F289" s="620"/>
      <c r="G289" s="620"/>
      <c r="H289" s="661" t="s">
        <v>2965</v>
      </c>
      <c r="I289" s="620" t="s">
        <v>5453</v>
      </c>
      <c r="J289" s="620" t="s">
        <v>5453</v>
      </c>
      <c r="K289" s="620" t="s">
        <v>6471</v>
      </c>
      <c r="L289" s="620"/>
      <c r="M289" s="662" t="s">
        <v>6328</v>
      </c>
      <c r="N289" s="620"/>
      <c r="O289" s="620"/>
      <c r="P289" s="620"/>
      <c r="Q289" s="620"/>
    </row>
    <row r="290" spans="1:17">
      <c r="A290" s="640">
        <f t="shared" si="4"/>
        <v>289</v>
      </c>
      <c r="B290" s="660" t="s">
        <v>6924</v>
      </c>
      <c r="C290" s="661" t="s">
        <v>4421</v>
      </c>
      <c r="D290" s="620"/>
      <c r="E290" s="662" t="s">
        <v>6407</v>
      </c>
      <c r="F290" s="620"/>
      <c r="G290" s="620"/>
      <c r="H290" s="661" t="s">
        <v>2965</v>
      </c>
      <c r="I290" s="620" t="s">
        <v>5453</v>
      </c>
      <c r="J290" s="620" t="s">
        <v>5453</v>
      </c>
      <c r="K290" s="620" t="s">
        <v>6472</v>
      </c>
      <c r="L290" s="620"/>
      <c r="M290" s="662" t="s">
        <v>6329</v>
      </c>
      <c r="N290" s="620"/>
      <c r="O290" s="620"/>
      <c r="P290" s="620"/>
      <c r="Q290" s="620"/>
    </row>
    <row r="291" spans="1:17">
      <c r="A291" s="640">
        <f t="shared" si="4"/>
        <v>290</v>
      </c>
      <c r="B291" s="660" t="s">
        <v>6925</v>
      </c>
      <c r="C291" s="661" t="s">
        <v>4421</v>
      </c>
      <c r="D291" s="620"/>
      <c r="E291" s="662" t="s">
        <v>6408</v>
      </c>
      <c r="F291" s="620"/>
      <c r="G291" s="620"/>
      <c r="H291" s="661" t="s">
        <v>2965</v>
      </c>
      <c r="I291" s="620" t="s">
        <v>5453</v>
      </c>
      <c r="J291" s="620" t="s">
        <v>5453</v>
      </c>
      <c r="K291" s="620" t="s">
        <v>6473</v>
      </c>
      <c r="L291" s="620"/>
      <c r="M291" s="662" t="s">
        <v>6330</v>
      </c>
      <c r="N291" s="620"/>
      <c r="O291" s="620"/>
      <c r="P291" s="620"/>
      <c r="Q291" s="620"/>
    </row>
    <row r="292" spans="1:17">
      <c r="A292" s="640">
        <f t="shared" si="4"/>
        <v>291</v>
      </c>
      <c r="B292" s="660" t="s">
        <v>6926</v>
      </c>
      <c r="C292" s="661" t="s">
        <v>4421</v>
      </c>
      <c r="D292" s="620"/>
      <c r="E292" s="662" t="s">
        <v>6409</v>
      </c>
      <c r="F292" s="620"/>
      <c r="G292" s="620"/>
      <c r="H292" s="661" t="s">
        <v>2965</v>
      </c>
      <c r="I292" s="620" t="s">
        <v>5453</v>
      </c>
      <c r="J292" s="620" t="s">
        <v>5453</v>
      </c>
      <c r="K292" s="620" t="s">
        <v>6474</v>
      </c>
      <c r="L292" s="620"/>
      <c r="M292" s="662" t="s">
        <v>6331</v>
      </c>
      <c r="N292" s="620"/>
      <c r="O292" s="620"/>
      <c r="P292" s="620"/>
      <c r="Q292" s="620"/>
    </row>
    <row r="293" spans="1:17">
      <c r="A293" s="640">
        <f t="shared" si="4"/>
        <v>292</v>
      </c>
      <c r="B293" s="660" t="s">
        <v>6927</v>
      </c>
      <c r="C293" s="661" t="s">
        <v>4421</v>
      </c>
      <c r="D293" s="620"/>
      <c r="E293" s="662" t="s">
        <v>6410</v>
      </c>
      <c r="F293" s="620"/>
      <c r="G293" s="620"/>
      <c r="H293" s="661" t="s">
        <v>2965</v>
      </c>
      <c r="I293" s="620" t="s">
        <v>5453</v>
      </c>
      <c r="J293" s="620" t="s">
        <v>5453</v>
      </c>
      <c r="K293" s="620" t="s">
        <v>6475</v>
      </c>
      <c r="L293" s="620"/>
      <c r="M293" s="662" t="s">
        <v>6332</v>
      </c>
      <c r="N293" s="620"/>
      <c r="O293" s="620"/>
      <c r="P293" s="620"/>
      <c r="Q293" s="620"/>
    </row>
    <row r="294" spans="1:17">
      <c r="A294" s="640">
        <f t="shared" si="4"/>
        <v>293</v>
      </c>
      <c r="B294" s="660" t="s">
        <v>6928</v>
      </c>
      <c r="C294" s="661" t="s">
        <v>4421</v>
      </c>
      <c r="D294" s="620"/>
      <c r="E294" s="662" t="s">
        <v>6411</v>
      </c>
      <c r="F294" s="620"/>
      <c r="G294" s="620"/>
      <c r="H294" s="661" t="s">
        <v>2965</v>
      </c>
      <c r="I294" s="620" t="s">
        <v>5453</v>
      </c>
      <c r="J294" s="620" t="s">
        <v>5453</v>
      </c>
      <c r="K294" s="620" t="s">
        <v>6476</v>
      </c>
      <c r="L294" s="620"/>
      <c r="M294" s="662" t="s">
        <v>6333</v>
      </c>
      <c r="N294" s="620"/>
      <c r="O294" s="620"/>
      <c r="P294" s="620"/>
      <c r="Q294" s="620"/>
    </row>
    <row r="295" spans="1:17">
      <c r="A295" s="640">
        <f t="shared" si="4"/>
        <v>294</v>
      </c>
      <c r="B295" s="660" t="s">
        <v>6929</v>
      </c>
      <c r="C295" s="661" t="s">
        <v>4421</v>
      </c>
      <c r="D295" s="620"/>
      <c r="E295" s="662" t="s">
        <v>1017</v>
      </c>
      <c r="F295" s="620"/>
      <c r="G295" s="620"/>
      <c r="H295" s="661" t="s">
        <v>2965</v>
      </c>
      <c r="I295" s="620" t="s">
        <v>5453</v>
      </c>
      <c r="J295" s="620" t="s">
        <v>5453</v>
      </c>
      <c r="K295" s="620" t="s">
        <v>1019</v>
      </c>
      <c r="L295" s="620"/>
      <c r="M295" s="662" t="s">
        <v>1018</v>
      </c>
      <c r="N295" s="620"/>
      <c r="O295" s="620"/>
      <c r="P295" s="620"/>
      <c r="Q295" s="620"/>
    </row>
    <row r="296" spans="1:17">
      <c r="A296" s="640">
        <f t="shared" si="4"/>
        <v>295</v>
      </c>
      <c r="B296" s="660" t="s">
        <v>6930</v>
      </c>
      <c r="C296" s="661" t="s">
        <v>4421</v>
      </c>
      <c r="D296" s="620"/>
      <c r="E296" s="662" t="s">
        <v>6412</v>
      </c>
      <c r="F296" s="620"/>
      <c r="G296" s="620"/>
      <c r="H296" s="661" t="s">
        <v>2965</v>
      </c>
      <c r="I296" s="620" t="s">
        <v>5453</v>
      </c>
      <c r="J296" s="620" t="s">
        <v>5453</v>
      </c>
      <c r="K296" s="620" t="s">
        <v>6477</v>
      </c>
      <c r="L296" s="620"/>
      <c r="M296" s="662" t="s">
        <v>6334</v>
      </c>
      <c r="N296" s="620"/>
      <c r="O296" s="620"/>
      <c r="P296" s="620"/>
      <c r="Q296" s="620"/>
    </row>
    <row r="297" spans="1:17">
      <c r="A297" s="640">
        <f t="shared" si="4"/>
        <v>296</v>
      </c>
      <c r="B297" s="660" t="s">
        <v>6931</v>
      </c>
      <c r="C297" s="661" t="s">
        <v>4421</v>
      </c>
      <c r="D297" s="620"/>
      <c r="E297" s="662" t="s">
        <v>6413</v>
      </c>
      <c r="F297" s="620"/>
      <c r="G297" s="620"/>
      <c r="H297" s="661" t="s">
        <v>2965</v>
      </c>
      <c r="I297" s="620" t="s">
        <v>5453</v>
      </c>
      <c r="J297" s="620" t="s">
        <v>5453</v>
      </c>
      <c r="K297" s="620" t="s">
        <v>6478</v>
      </c>
      <c r="L297" s="620"/>
      <c r="M297" s="662" t="s">
        <v>6335</v>
      </c>
      <c r="N297" s="620"/>
      <c r="O297" s="620"/>
      <c r="P297" s="620"/>
      <c r="Q297" s="620"/>
    </row>
    <row r="298" spans="1:17">
      <c r="A298" s="640">
        <f t="shared" si="4"/>
        <v>297</v>
      </c>
      <c r="B298" s="660" t="s">
        <v>6932</v>
      </c>
      <c r="C298" s="661" t="s">
        <v>4421</v>
      </c>
      <c r="D298" s="620"/>
      <c r="E298" s="662" t="s">
        <v>6414</v>
      </c>
      <c r="F298" s="620"/>
      <c r="G298" s="620"/>
      <c r="H298" s="661" t="s">
        <v>2965</v>
      </c>
      <c r="I298" s="620" t="s">
        <v>5453</v>
      </c>
      <c r="J298" s="620" t="s">
        <v>5453</v>
      </c>
      <c r="K298" s="620" t="s">
        <v>6479</v>
      </c>
      <c r="L298" s="620"/>
      <c r="M298" s="662" t="s">
        <v>6336</v>
      </c>
      <c r="N298" s="620"/>
      <c r="O298" s="620"/>
      <c r="P298" s="620"/>
      <c r="Q298" s="620"/>
    </row>
    <row r="299" spans="1:17">
      <c r="A299" s="640">
        <f t="shared" si="4"/>
        <v>298</v>
      </c>
      <c r="B299" s="660" t="s">
        <v>6933</v>
      </c>
      <c r="C299" s="661" t="s">
        <v>4421</v>
      </c>
      <c r="D299" s="620"/>
      <c r="E299" s="662" t="s">
        <v>6415</v>
      </c>
      <c r="F299" s="620"/>
      <c r="G299" s="620"/>
      <c r="H299" s="661" t="s">
        <v>2965</v>
      </c>
      <c r="I299" s="620" t="s">
        <v>5453</v>
      </c>
      <c r="J299" s="620" t="s">
        <v>5453</v>
      </c>
      <c r="K299" s="620" t="s">
        <v>6480</v>
      </c>
      <c r="L299" s="620"/>
      <c r="M299" s="662" t="s">
        <v>6337</v>
      </c>
      <c r="N299" s="620"/>
      <c r="O299" s="620"/>
      <c r="P299" s="620"/>
      <c r="Q299" s="620"/>
    </row>
    <row r="300" spans="1:17">
      <c r="A300" s="640">
        <f t="shared" si="4"/>
        <v>299</v>
      </c>
      <c r="B300" s="660" t="s">
        <v>6934</v>
      </c>
      <c r="C300" s="661" t="s">
        <v>4421</v>
      </c>
      <c r="D300" s="620"/>
      <c r="E300" s="662" t="s">
        <v>6417</v>
      </c>
      <c r="F300" s="620"/>
      <c r="G300" s="620"/>
      <c r="H300" s="661" t="s">
        <v>2965</v>
      </c>
      <c r="I300" s="620" t="s">
        <v>5453</v>
      </c>
      <c r="J300" s="620" t="s">
        <v>5453</v>
      </c>
      <c r="K300" s="620" t="s">
        <v>6481</v>
      </c>
      <c r="L300" s="620"/>
      <c r="M300" s="662" t="s">
        <v>6338</v>
      </c>
      <c r="N300" s="620"/>
      <c r="O300" s="620"/>
      <c r="P300" s="620"/>
      <c r="Q300" s="620"/>
    </row>
    <row r="301" spans="1:17">
      <c r="A301" s="640">
        <f t="shared" si="4"/>
        <v>300</v>
      </c>
      <c r="B301" s="660" t="s">
        <v>6935</v>
      </c>
      <c r="C301" s="661" t="s">
        <v>4421</v>
      </c>
      <c r="D301" s="620"/>
      <c r="E301" s="662" t="s">
        <v>6418</v>
      </c>
      <c r="F301" s="620"/>
      <c r="G301" s="620"/>
      <c r="H301" s="661" t="s">
        <v>2965</v>
      </c>
      <c r="I301" s="620" t="s">
        <v>5453</v>
      </c>
      <c r="J301" s="620" t="s">
        <v>5453</v>
      </c>
      <c r="K301" s="620" t="s">
        <v>6482</v>
      </c>
      <c r="L301" s="620"/>
      <c r="M301" s="662" t="s">
        <v>6339</v>
      </c>
      <c r="N301" s="620"/>
      <c r="O301" s="620"/>
      <c r="P301" s="620"/>
      <c r="Q301" s="620"/>
    </row>
    <row r="302" spans="1:17">
      <c r="A302" s="640">
        <f t="shared" si="4"/>
        <v>301</v>
      </c>
      <c r="B302" s="660" t="s">
        <v>6936</v>
      </c>
      <c r="C302" s="661" t="s">
        <v>4421</v>
      </c>
      <c r="D302" s="620"/>
      <c r="E302" s="662" t="s">
        <v>6419</v>
      </c>
      <c r="F302" s="620"/>
      <c r="G302" s="620"/>
      <c r="H302" s="661" t="s">
        <v>2965</v>
      </c>
      <c r="I302" s="620" t="s">
        <v>5453</v>
      </c>
      <c r="J302" s="620" t="s">
        <v>5453</v>
      </c>
      <c r="K302" s="620" t="s">
        <v>6483</v>
      </c>
      <c r="L302" s="620"/>
      <c r="M302" s="662" t="s">
        <v>6340</v>
      </c>
      <c r="N302" s="620"/>
      <c r="O302" s="620"/>
      <c r="P302" s="620"/>
      <c r="Q302" s="620"/>
    </row>
    <row r="303" spans="1:17">
      <c r="A303" s="640">
        <f t="shared" si="4"/>
        <v>302</v>
      </c>
      <c r="B303" s="660" t="s">
        <v>6937</v>
      </c>
      <c r="C303" s="661" t="s">
        <v>275</v>
      </c>
      <c r="D303" s="620"/>
      <c r="E303" s="662" t="s">
        <v>6420</v>
      </c>
      <c r="F303" s="620"/>
      <c r="G303" s="620"/>
      <c r="H303" s="661" t="s">
        <v>2965</v>
      </c>
      <c r="I303" s="620" t="s">
        <v>5453</v>
      </c>
      <c r="J303" s="620" t="s">
        <v>5453</v>
      </c>
      <c r="K303" s="620" t="s">
        <v>6484</v>
      </c>
      <c r="L303" s="620"/>
      <c r="M303" s="662" t="s">
        <v>6341</v>
      </c>
      <c r="N303" s="620"/>
      <c r="O303" s="620"/>
      <c r="P303" s="620"/>
      <c r="Q303" s="620"/>
    </row>
    <row r="304" spans="1:17">
      <c r="A304" s="640">
        <f t="shared" si="4"/>
        <v>303</v>
      </c>
      <c r="B304" s="660" t="s">
        <v>6938</v>
      </c>
      <c r="C304" s="661" t="s">
        <v>4421</v>
      </c>
      <c r="D304" s="620"/>
      <c r="E304" s="662" t="s">
        <v>6421</v>
      </c>
      <c r="F304" s="620"/>
      <c r="G304" s="620"/>
      <c r="H304" s="661" t="s">
        <v>2965</v>
      </c>
      <c r="I304" s="620" t="s">
        <v>5453</v>
      </c>
      <c r="J304" s="620" t="s">
        <v>5453</v>
      </c>
      <c r="K304" s="620" t="s">
        <v>7007</v>
      </c>
      <c r="L304" s="620"/>
      <c r="M304" s="662" t="s">
        <v>6342</v>
      </c>
      <c r="N304" s="620"/>
      <c r="O304" s="620"/>
      <c r="P304" s="620"/>
      <c r="Q304" s="620"/>
    </row>
    <row r="305" spans="1:17">
      <c r="A305" s="640">
        <f t="shared" si="4"/>
        <v>304</v>
      </c>
      <c r="B305" s="660" t="s">
        <v>6939</v>
      </c>
      <c r="C305" s="661" t="s">
        <v>275</v>
      </c>
      <c r="D305" s="620"/>
      <c r="E305" s="662" t="s">
        <v>7004</v>
      </c>
      <c r="F305" s="620"/>
      <c r="G305" s="620"/>
      <c r="H305" s="661" t="s">
        <v>2965</v>
      </c>
      <c r="I305" s="620" t="s">
        <v>5453</v>
      </c>
      <c r="J305" s="620" t="s">
        <v>5453</v>
      </c>
      <c r="K305" s="620" t="s">
        <v>5472</v>
      </c>
      <c r="L305" s="620"/>
      <c r="M305" s="662" t="s">
        <v>6996</v>
      </c>
      <c r="N305" s="620"/>
      <c r="O305" s="620"/>
      <c r="P305" s="620"/>
      <c r="Q305" s="620"/>
    </row>
    <row r="306" spans="1:17">
      <c r="A306" s="640">
        <f t="shared" si="4"/>
        <v>305</v>
      </c>
      <c r="B306" s="660" t="s">
        <v>6940</v>
      </c>
      <c r="C306" s="661" t="s">
        <v>275</v>
      </c>
      <c r="D306" s="620"/>
      <c r="E306" s="662" t="s">
        <v>687</v>
      </c>
      <c r="F306" s="620"/>
      <c r="G306" s="620"/>
      <c r="H306" s="661" t="s">
        <v>2965</v>
      </c>
      <c r="I306" s="620" t="s">
        <v>5453</v>
      </c>
      <c r="J306" s="620" t="s">
        <v>5453</v>
      </c>
      <c r="K306" s="620" t="s">
        <v>687</v>
      </c>
      <c r="L306" s="620"/>
      <c r="M306" s="662" t="s">
        <v>6343</v>
      </c>
      <c r="N306" s="620"/>
      <c r="O306" s="620"/>
      <c r="P306" s="620"/>
      <c r="Q306" s="620"/>
    </row>
    <row r="307" spans="1:17">
      <c r="A307" s="640">
        <f t="shared" si="4"/>
        <v>306</v>
      </c>
      <c r="B307" s="660" t="s">
        <v>6941</v>
      </c>
      <c r="C307" s="661" t="s">
        <v>4421</v>
      </c>
      <c r="D307" s="620"/>
      <c r="E307" s="662" t="s">
        <v>6423</v>
      </c>
      <c r="F307" s="620"/>
      <c r="G307" s="620"/>
      <c r="H307" s="661" t="s">
        <v>2965</v>
      </c>
      <c r="I307" s="620" t="s">
        <v>5453</v>
      </c>
      <c r="J307" s="620" t="s">
        <v>5453</v>
      </c>
      <c r="K307" s="620" t="s">
        <v>6485</v>
      </c>
      <c r="L307" s="620"/>
      <c r="M307" s="662" t="s">
        <v>6344</v>
      </c>
      <c r="N307" s="620"/>
      <c r="O307" s="620"/>
      <c r="P307" s="620"/>
      <c r="Q307" s="620"/>
    </row>
    <row r="308" spans="1:17">
      <c r="A308" s="640">
        <f t="shared" si="4"/>
        <v>307</v>
      </c>
      <c r="B308" s="660" t="s">
        <v>6942</v>
      </c>
      <c r="C308" s="661" t="s">
        <v>4421</v>
      </c>
      <c r="D308" s="620"/>
      <c r="E308" s="662" t="s">
        <v>6723</v>
      </c>
      <c r="F308" s="620"/>
      <c r="G308" s="620"/>
      <c r="H308" s="661" t="s">
        <v>6850</v>
      </c>
      <c r="I308" s="620" t="s">
        <v>6856</v>
      </c>
      <c r="J308" s="620" t="s">
        <v>6857</v>
      </c>
      <c r="K308" s="620" t="s">
        <v>6804</v>
      </c>
      <c r="L308" s="620"/>
      <c r="M308" s="662" t="s">
        <v>6641</v>
      </c>
      <c r="N308" s="620"/>
      <c r="O308" s="620"/>
      <c r="P308" s="620"/>
      <c r="Q308" s="620"/>
    </row>
    <row r="309" spans="1:17">
      <c r="A309" s="640">
        <f t="shared" si="4"/>
        <v>308</v>
      </c>
      <c r="B309" s="660" t="s">
        <v>6943</v>
      </c>
      <c r="C309" s="661" t="s">
        <v>4421</v>
      </c>
      <c r="D309" s="620"/>
      <c r="E309" s="662" t="s">
        <v>6724</v>
      </c>
      <c r="F309" s="620"/>
      <c r="G309" s="620"/>
      <c r="H309" s="661" t="s">
        <v>6850</v>
      </c>
      <c r="I309" s="620" t="s">
        <v>6856</v>
      </c>
      <c r="J309" s="620" t="s">
        <v>6857</v>
      </c>
      <c r="K309" s="620" t="s">
        <v>6805</v>
      </c>
      <c r="L309" s="620"/>
      <c r="M309" s="662" t="s">
        <v>6642</v>
      </c>
      <c r="N309" s="620"/>
      <c r="O309" s="620"/>
      <c r="P309" s="620"/>
      <c r="Q309" s="620"/>
    </row>
    <row r="310" spans="1:17">
      <c r="A310" s="640">
        <f t="shared" si="4"/>
        <v>309</v>
      </c>
      <c r="B310" s="660" t="s">
        <v>6944</v>
      </c>
      <c r="C310" s="661" t="s">
        <v>4421</v>
      </c>
      <c r="D310" s="620"/>
      <c r="E310" s="662" t="s">
        <v>6725</v>
      </c>
      <c r="F310" s="620"/>
      <c r="G310" s="620"/>
      <c r="H310" s="661" t="s">
        <v>6850</v>
      </c>
      <c r="I310" s="620" t="s">
        <v>6856</v>
      </c>
      <c r="J310" s="620" t="s">
        <v>6857</v>
      </c>
      <c r="K310" s="620" t="s">
        <v>6806</v>
      </c>
      <c r="L310" s="620"/>
      <c r="M310" s="662" t="s">
        <v>6643</v>
      </c>
      <c r="N310" s="620"/>
      <c r="O310" s="620"/>
      <c r="P310" s="620"/>
      <c r="Q310" s="620"/>
    </row>
    <row r="311" spans="1:17">
      <c r="A311" s="640">
        <f t="shared" si="4"/>
        <v>310</v>
      </c>
      <c r="B311" s="660" t="s">
        <v>6945</v>
      </c>
      <c r="C311" s="661" t="s">
        <v>4421</v>
      </c>
      <c r="D311" s="620"/>
      <c r="E311" s="662" t="s">
        <v>6726</v>
      </c>
      <c r="F311" s="620"/>
      <c r="G311" s="620"/>
      <c r="H311" s="661" t="s">
        <v>6850</v>
      </c>
      <c r="I311" s="620" t="s">
        <v>6856</v>
      </c>
      <c r="J311" s="620" t="s">
        <v>6857</v>
      </c>
      <c r="K311" s="620" t="s">
        <v>6807</v>
      </c>
      <c r="L311" s="620"/>
      <c r="M311" s="662" t="s">
        <v>6644</v>
      </c>
      <c r="N311" s="620"/>
      <c r="O311" s="620"/>
      <c r="P311" s="620"/>
      <c r="Q311" s="620"/>
    </row>
    <row r="312" spans="1:17">
      <c r="A312" s="640">
        <f t="shared" si="4"/>
        <v>311</v>
      </c>
      <c r="B312" s="660" t="s">
        <v>6946</v>
      </c>
      <c r="C312" s="661" t="s">
        <v>4415</v>
      </c>
      <c r="D312" s="620"/>
      <c r="E312" s="662" t="s">
        <v>6727</v>
      </c>
      <c r="F312" s="620"/>
      <c r="G312" s="620"/>
      <c r="H312" s="661" t="s">
        <v>6850</v>
      </c>
      <c r="I312" s="620" t="s">
        <v>6856</v>
      </c>
      <c r="J312" s="620" t="s">
        <v>6857</v>
      </c>
      <c r="K312" s="620" t="e">
        <v>#N/A</v>
      </c>
      <c r="L312" s="620"/>
      <c r="M312" s="662" t="s">
        <v>6645</v>
      </c>
      <c r="N312" s="620"/>
      <c r="O312" s="620"/>
      <c r="P312" s="620"/>
      <c r="Q312" s="620"/>
    </row>
    <row r="313" spans="1:17">
      <c r="A313" s="640">
        <f t="shared" si="4"/>
        <v>312</v>
      </c>
      <c r="B313" s="660" t="s">
        <v>6947</v>
      </c>
      <c r="C313" s="661" t="s">
        <v>4415</v>
      </c>
      <c r="D313" s="620"/>
      <c r="E313" s="662" t="s">
        <v>6728</v>
      </c>
      <c r="F313" s="620"/>
      <c r="G313" s="620"/>
      <c r="H313" s="661" t="s">
        <v>6850</v>
      </c>
      <c r="I313" s="620" t="s">
        <v>6856</v>
      </c>
      <c r="J313" s="620" t="s">
        <v>6857</v>
      </c>
      <c r="K313" s="620" t="e">
        <v>#N/A</v>
      </c>
      <c r="L313" s="620"/>
      <c r="M313" s="662" t="s">
        <v>6646</v>
      </c>
      <c r="N313" s="620"/>
      <c r="O313" s="620"/>
      <c r="P313" s="620"/>
      <c r="Q313" s="620"/>
    </row>
    <row r="314" spans="1:17">
      <c r="A314" s="640">
        <f t="shared" si="4"/>
        <v>313</v>
      </c>
      <c r="B314" s="660" t="s">
        <v>6948</v>
      </c>
      <c r="C314" s="661" t="s">
        <v>4421</v>
      </c>
      <c r="D314" s="620"/>
      <c r="E314" s="662" t="s">
        <v>6729</v>
      </c>
      <c r="F314" s="620"/>
      <c r="G314" s="620"/>
      <c r="H314" s="661" t="s">
        <v>6850</v>
      </c>
      <c r="I314" s="620" t="s">
        <v>6856</v>
      </c>
      <c r="J314" s="620" t="s">
        <v>6857</v>
      </c>
      <c r="K314" s="620" t="e">
        <v>#N/A</v>
      </c>
      <c r="L314" s="620"/>
      <c r="M314" s="662" t="s">
        <v>6647</v>
      </c>
      <c r="N314" s="620"/>
      <c r="O314" s="620"/>
      <c r="P314" s="620"/>
      <c r="Q314" s="620"/>
    </row>
    <row r="315" spans="1:17">
      <c r="A315" s="640">
        <f t="shared" si="4"/>
        <v>314</v>
      </c>
      <c r="B315" s="660" t="s">
        <v>6949</v>
      </c>
      <c r="C315" s="661" t="s">
        <v>4421</v>
      </c>
      <c r="D315" s="620"/>
      <c r="E315" s="662" t="s">
        <v>6730</v>
      </c>
      <c r="F315" s="620"/>
      <c r="G315" s="620"/>
      <c r="H315" s="661" t="s">
        <v>6850</v>
      </c>
      <c r="I315" s="620" t="s">
        <v>6856</v>
      </c>
      <c r="J315" s="620" t="s">
        <v>6857</v>
      </c>
      <c r="K315" s="620" t="e">
        <v>#N/A</v>
      </c>
      <c r="L315" s="620"/>
      <c r="M315" s="662" t="s">
        <v>6648</v>
      </c>
      <c r="N315" s="620"/>
      <c r="O315" s="620"/>
      <c r="P315" s="620"/>
      <c r="Q315" s="620"/>
    </row>
    <row r="316" spans="1:17">
      <c r="A316" s="640">
        <f t="shared" si="4"/>
        <v>315</v>
      </c>
      <c r="B316" s="660" t="s">
        <v>6950</v>
      </c>
      <c r="C316" s="661" t="s">
        <v>4421</v>
      </c>
      <c r="D316" s="620"/>
      <c r="E316" s="662" t="s">
        <v>6731</v>
      </c>
      <c r="F316" s="620"/>
      <c r="G316" s="620"/>
      <c r="H316" s="661" t="s">
        <v>6850</v>
      </c>
      <c r="I316" s="620" t="s">
        <v>6856</v>
      </c>
      <c r="J316" s="620" t="s">
        <v>6857</v>
      </c>
      <c r="K316" s="620" t="s">
        <v>6808</v>
      </c>
      <c r="L316" s="620"/>
      <c r="M316" s="662" t="s">
        <v>6649</v>
      </c>
      <c r="N316" s="620"/>
      <c r="O316" s="620"/>
      <c r="P316" s="620"/>
      <c r="Q316" s="620"/>
    </row>
    <row r="317" spans="1:17">
      <c r="A317" s="640">
        <f t="shared" si="4"/>
        <v>316</v>
      </c>
      <c r="B317" s="660" t="s">
        <v>6951</v>
      </c>
      <c r="C317" s="661" t="s">
        <v>4421</v>
      </c>
      <c r="D317" s="620"/>
      <c r="E317" s="662" t="s">
        <v>6732</v>
      </c>
      <c r="F317" s="620"/>
      <c r="G317" s="620"/>
      <c r="H317" s="661" t="s">
        <v>6850</v>
      </c>
      <c r="I317" s="620" t="s">
        <v>6856</v>
      </c>
      <c r="J317" s="620" t="s">
        <v>6857</v>
      </c>
      <c r="K317" s="620" t="s">
        <v>6809</v>
      </c>
      <c r="L317" s="620"/>
      <c r="M317" s="662" t="s">
        <v>6650</v>
      </c>
      <c r="N317" s="620"/>
      <c r="O317" s="620"/>
      <c r="P317" s="620"/>
      <c r="Q317" s="620"/>
    </row>
    <row r="318" spans="1:17">
      <c r="A318" s="640">
        <f t="shared" si="4"/>
        <v>317</v>
      </c>
      <c r="B318" s="660" t="s">
        <v>6952</v>
      </c>
      <c r="C318" s="661" t="s">
        <v>4421</v>
      </c>
      <c r="D318" s="620"/>
      <c r="E318" s="662" t="s">
        <v>6733</v>
      </c>
      <c r="F318" s="620"/>
      <c r="G318" s="620"/>
      <c r="H318" s="661" t="s">
        <v>6850</v>
      </c>
      <c r="I318" s="620" t="s">
        <v>6856</v>
      </c>
      <c r="J318" s="620" t="s">
        <v>6857</v>
      </c>
      <c r="K318" s="620" t="s">
        <v>6810</v>
      </c>
      <c r="L318" s="620"/>
      <c r="M318" s="662" t="s">
        <v>6651</v>
      </c>
      <c r="N318" s="620"/>
      <c r="O318" s="620"/>
      <c r="P318" s="620"/>
      <c r="Q318" s="620"/>
    </row>
    <row r="319" spans="1:17">
      <c r="A319" s="640">
        <f t="shared" si="4"/>
        <v>318</v>
      </c>
      <c r="B319" s="660" t="s">
        <v>6953</v>
      </c>
      <c r="C319" s="661" t="s">
        <v>4421</v>
      </c>
      <c r="D319" s="620"/>
      <c r="E319" s="662" t="s">
        <v>6734</v>
      </c>
      <c r="F319" s="620"/>
      <c r="G319" s="620"/>
      <c r="H319" s="661" t="s">
        <v>6850</v>
      </c>
      <c r="I319" s="620" t="s">
        <v>6856</v>
      </c>
      <c r="J319" s="620" t="s">
        <v>6857</v>
      </c>
      <c r="K319" s="620" t="s">
        <v>6811</v>
      </c>
      <c r="L319" s="620"/>
      <c r="M319" s="662" t="s">
        <v>6652</v>
      </c>
      <c r="N319" s="620"/>
      <c r="O319" s="620"/>
      <c r="P319" s="620"/>
      <c r="Q319" s="620"/>
    </row>
    <row r="320" spans="1:17">
      <c r="A320" s="640">
        <f t="shared" si="4"/>
        <v>319</v>
      </c>
      <c r="B320" s="660" t="s">
        <v>6954</v>
      </c>
      <c r="C320" s="661" t="s">
        <v>4421</v>
      </c>
      <c r="D320" s="620"/>
      <c r="E320" s="662" t="s">
        <v>6735</v>
      </c>
      <c r="F320" s="620"/>
      <c r="G320" s="620"/>
      <c r="H320" s="661" t="s">
        <v>6850</v>
      </c>
      <c r="I320" s="620" t="s">
        <v>6856</v>
      </c>
      <c r="J320" s="620" t="s">
        <v>6857</v>
      </c>
      <c r="K320" s="620" t="s">
        <v>6812</v>
      </c>
      <c r="L320" s="620"/>
      <c r="M320" s="662" t="s">
        <v>6653</v>
      </c>
      <c r="N320" s="620"/>
      <c r="O320" s="620"/>
      <c r="P320" s="620"/>
      <c r="Q320" s="620"/>
    </row>
    <row r="321" spans="1:17">
      <c r="A321" s="640">
        <f t="shared" si="4"/>
        <v>320</v>
      </c>
      <c r="B321" s="660" t="s">
        <v>6955</v>
      </c>
      <c r="C321" s="661" t="s">
        <v>4421</v>
      </c>
      <c r="D321" s="620"/>
      <c r="E321" s="662" t="s">
        <v>6736</v>
      </c>
      <c r="F321" s="620"/>
      <c r="G321" s="620"/>
      <c r="H321" s="661" t="s">
        <v>6850</v>
      </c>
      <c r="I321" s="620" t="s">
        <v>6856</v>
      </c>
      <c r="J321" s="620" t="s">
        <v>6857</v>
      </c>
      <c r="K321" s="620" t="s">
        <v>6813</v>
      </c>
      <c r="L321" s="620"/>
      <c r="M321" s="662" t="s">
        <v>6654</v>
      </c>
      <c r="N321" s="620"/>
      <c r="O321" s="620"/>
      <c r="P321" s="620"/>
      <c r="Q321" s="620"/>
    </row>
    <row r="322" spans="1:17">
      <c r="A322" s="640">
        <f t="shared" si="4"/>
        <v>321</v>
      </c>
      <c r="B322" s="660" t="s">
        <v>6956</v>
      </c>
      <c r="C322" s="661" t="s">
        <v>4421</v>
      </c>
      <c r="D322" s="620"/>
      <c r="E322" s="662" t="s">
        <v>6737</v>
      </c>
      <c r="F322" s="620"/>
      <c r="G322" s="620"/>
      <c r="H322" s="661" t="s">
        <v>6850</v>
      </c>
      <c r="I322" s="620" t="s">
        <v>6856</v>
      </c>
      <c r="J322" s="620" t="s">
        <v>6857</v>
      </c>
      <c r="K322" s="620" t="s">
        <v>6814</v>
      </c>
      <c r="L322" s="620"/>
      <c r="M322" s="662" t="s">
        <v>6655</v>
      </c>
      <c r="N322" s="620"/>
      <c r="O322" s="620"/>
      <c r="P322" s="620"/>
      <c r="Q322" s="620"/>
    </row>
    <row r="323" spans="1:17">
      <c r="A323" s="640">
        <f t="shared" si="4"/>
        <v>322</v>
      </c>
      <c r="B323" s="660" t="s">
        <v>6957</v>
      </c>
      <c r="C323" s="661" t="s">
        <v>4421</v>
      </c>
      <c r="D323" s="620"/>
      <c r="E323" s="662" t="s">
        <v>6738</v>
      </c>
      <c r="F323" s="620"/>
      <c r="G323" s="620"/>
      <c r="H323" s="661" t="s">
        <v>6850</v>
      </c>
      <c r="I323" s="620" t="s">
        <v>6856</v>
      </c>
      <c r="J323" s="620" t="s">
        <v>6857</v>
      </c>
      <c r="K323" s="620" t="s">
        <v>6815</v>
      </c>
      <c r="L323" s="620"/>
      <c r="M323" s="662" t="s">
        <v>6656</v>
      </c>
      <c r="N323" s="620"/>
      <c r="O323" s="620"/>
      <c r="P323" s="620"/>
      <c r="Q323" s="620"/>
    </row>
    <row r="324" spans="1:17">
      <c r="A324" s="640">
        <f t="shared" si="4"/>
        <v>323</v>
      </c>
      <c r="B324" s="660" t="s">
        <v>6958</v>
      </c>
      <c r="C324" s="661" t="s">
        <v>4421</v>
      </c>
      <c r="D324" s="620"/>
      <c r="E324" s="662" t="s">
        <v>6739</v>
      </c>
      <c r="F324" s="620"/>
      <c r="G324" s="620"/>
      <c r="H324" s="661" t="s">
        <v>6850</v>
      </c>
      <c r="I324" s="620" t="s">
        <v>6856</v>
      </c>
      <c r="J324" s="620" t="s">
        <v>6857</v>
      </c>
      <c r="K324" s="620" t="s">
        <v>6816</v>
      </c>
      <c r="L324" s="620"/>
      <c r="M324" s="662" t="s">
        <v>6657</v>
      </c>
      <c r="N324" s="620"/>
      <c r="O324" s="620"/>
      <c r="P324" s="620"/>
      <c r="Q324" s="620"/>
    </row>
    <row r="325" spans="1:17">
      <c r="A325" s="640">
        <f t="shared" si="4"/>
        <v>324</v>
      </c>
      <c r="B325" s="660" t="s">
        <v>6959</v>
      </c>
      <c r="C325" s="661" t="s">
        <v>4421</v>
      </c>
      <c r="D325" s="620"/>
      <c r="E325" s="662" t="s">
        <v>6740</v>
      </c>
      <c r="F325" s="620"/>
      <c r="G325" s="620"/>
      <c r="H325" s="661" t="s">
        <v>6850</v>
      </c>
      <c r="I325" s="620" t="s">
        <v>6856</v>
      </c>
      <c r="J325" s="620" t="s">
        <v>6857</v>
      </c>
      <c r="K325" s="620" t="s">
        <v>6817</v>
      </c>
      <c r="L325" s="620"/>
      <c r="M325" s="662" t="s">
        <v>6658</v>
      </c>
      <c r="N325" s="620"/>
      <c r="O325" s="620"/>
      <c r="P325" s="620"/>
      <c r="Q325" s="620"/>
    </row>
    <row r="326" spans="1:17">
      <c r="A326" s="640">
        <f t="shared" si="4"/>
        <v>325</v>
      </c>
      <c r="B326" s="660" t="s">
        <v>6960</v>
      </c>
      <c r="C326" s="661" t="s">
        <v>4421</v>
      </c>
      <c r="D326" s="620"/>
      <c r="E326" s="662" t="s">
        <v>6741</v>
      </c>
      <c r="F326" s="620"/>
      <c r="G326" s="620"/>
      <c r="H326" s="661" t="s">
        <v>6850</v>
      </c>
      <c r="I326" s="620" t="s">
        <v>6856</v>
      </c>
      <c r="J326" s="620" t="s">
        <v>6857</v>
      </c>
      <c r="K326" s="620" t="s">
        <v>6818</v>
      </c>
      <c r="L326" s="620"/>
      <c r="M326" s="662" t="s">
        <v>6659</v>
      </c>
      <c r="N326" s="620"/>
      <c r="O326" s="620"/>
      <c r="P326" s="620"/>
      <c r="Q326" s="620"/>
    </row>
    <row r="327" spans="1:17">
      <c r="A327" s="640">
        <f t="shared" si="4"/>
        <v>326</v>
      </c>
      <c r="B327" s="660" t="s">
        <v>6961</v>
      </c>
      <c r="C327" s="661" t="s">
        <v>4421</v>
      </c>
      <c r="D327" s="620"/>
      <c r="E327" s="662" t="s">
        <v>6742</v>
      </c>
      <c r="F327" s="620"/>
      <c r="G327" s="620"/>
      <c r="H327" s="661" t="s">
        <v>6850</v>
      </c>
      <c r="I327" s="620" t="s">
        <v>6856</v>
      </c>
      <c r="J327" s="620" t="s">
        <v>6857</v>
      </c>
      <c r="K327" s="620" t="s">
        <v>6819</v>
      </c>
      <c r="L327" s="620"/>
      <c r="M327" s="662" t="s">
        <v>6660</v>
      </c>
      <c r="N327" s="620"/>
      <c r="O327" s="620"/>
      <c r="P327" s="620"/>
      <c r="Q327" s="620"/>
    </row>
    <row r="328" spans="1:17">
      <c r="A328" s="640">
        <f t="shared" si="4"/>
        <v>327</v>
      </c>
      <c r="B328" s="660" t="s">
        <v>6962</v>
      </c>
      <c r="C328" s="661" t="s">
        <v>4421</v>
      </c>
      <c r="D328" s="620"/>
      <c r="E328" s="662" t="s">
        <v>6743</v>
      </c>
      <c r="F328" s="620"/>
      <c r="G328" s="620"/>
      <c r="H328" s="661" t="s">
        <v>6850</v>
      </c>
      <c r="I328" s="620" t="s">
        <v>6856</v>
      </c>
      <c r="J328" s="620" t="s">
        <v>6857</v>
      </c>
      <c r="K328" s="620" t="s">
        <v>6820</v>
      </c>
      <c r="L328" s="620"/>
      <c r="M328" s="662" t="s">
        <v>6661</v>
      </c>
      <c r="N328" s="620"/>
      <c r="O328" s="620"/>
      <c r="P328" s="620"/>
      <c r="Q328" s="620"/>
    </row>
    <row r="329" spans="1:17">
      <c r="A329" s="640">
        <f t="shared" si="4"/>
        <v>328</v>
      </c>
      <c r="B329" s="660" t="s">
        <v>6963</v>
      </c>
      <c r="C329" s="661" t="s">
        <v>4421</v>
      </c>
      <c r="D329" s="620"/>
      <c r="E329" s="662" t="s">
        <v>6744</v>
      </c>
      <c r="F329" s="620"/>
      <c r="G329" s="620"/>
      <c r="H329" s="661" t="s">
        <v>6850</v>
      </c>
      <c r="I329" s="620" t="s">
        <v>6856</v>
      </c>
      <c r="J329" s="620" t="s">
        <v>6857</v>
      </c>
      <c r="K329" s="620" t="s">
        <v>6821</v>
      </c>
      <c r="L329" s="620"/>
      <c r="M329" s="662" t="s">
        <v>6662</v>
      </c>
      <c r="N329" s="620"/>
      <c r="O329" s="620"/>
      <c r="P329" s="620"/>
      <c r="Q329" s="620"/>
    </row>
    <row r="330" spans="1:17">
      <c r="A330" s="640">
        <f t="shared" si="4"/>
        <v>329</v>
      </c>
      <c r="B330" s="660" t="s">
        <v>6964</v>
      </c>
      <c r="C330" s="661" t="s">
        <v>4421</v>
      </c>
      <c r="D330" s="620"/>
      <c r="E330" s="662" t="s">
        <v>6745</v>
      </c>
      <c r="F330" s="620"/>
      <c r="G330" s="620"/>
      <c r="H330" s="661" t="s">
        <v>6850</v>
      </c>
      <c r="I330" s="620" t="s">
        <v>6856</v>
      </c>
      <c r="J330" s="620" t="s">
        <v>6857</v>
      </c>
      <c r="K330" s="620" t="s">
        <v>6822</v>
      </c>
      <c r="L330" s="620"/>
      <c r="M330" s="662" t="s">
        <v>6663</v>
      </c>
      <c r="N330" s="620"/>
      <c r="O330" s="620"/>
      <c r="P330" s="620"/>
      <c r="Q330" s="620"/>
    </row>
    <row r="331" spans="1:17">
      <c r="A331" s="640">
        <f t="shared" si="4"/>
        <v>330</v>
      </c>
      <c r="B331" s="660" t="s">
        <v>6965</v>
      </c>
      <c r="C331" s="661" t="s">
        <v>4421</v>
      </c>
      <c r="D331" s="620"/>
      <c r="E331" s="662" t="s">
        <v>6746</v>
      </c>
      <c r="F331" s="620"/>
      <c r="G331" s="620"/>
      <c r="H331" s="661" t="s">
        <v>6850</v>
      </c>
      <c r="I331" s="620" t="s">
        <v>6856</v>
      </c>
      <c r="J331" s="620" t="s">
        <v>6857</v>
      </c>
      <c r="K331" s="620" t="s">
        <v>6823</v>
      </c>
      <c r="L331" s="620"/>
      <c r="M331" s="662" t="s">
        <v>6664</v>
      </c>
      <c r="N331" s="620"/>
      <c r="O331" s="620"/>
      <c r="P331" s="620"/>
      <c r="Q331" s="620"/>
    </row>
    <row r="332" spans="1:17">
      <c r="A332" s="640">
        <f t="shared" si="4"/>
        <v>331</v>
      </c>
      <c r="B332" s="660" t="s">
        <v>6966</v>
      </c>
      <c r="C332" s="661" t="s">
        <v>4421</v>
      </c>
      <c r="D332" s="620"/>
      <c r="E332" s="662" t="s">
        <v>6747</v>
      </c>
      <c r="F332" s="620"/>
      <c r="G332" s="620"/>
      <c r="H332" s="661" t="s">
        <v>6850</v>
      </c>
      <c r="I332" s="620" t="s">
        <v>6856</v>
      </c>
      <c r="J332" s="620" t="s">
        <v>6857</v>
      </c>
      <c r="K332" s="620" t="s">
        <v>6824</v>
      </c>
      <c r="L332" s="620"/>
      <c r="M332" s="662" t="s">
        <v>6665</v>
      </c>
      <c r="N332" s="620"/>
      <c r="O332" s="620"/>
      <c r="P332" s="620"/>
      <c r="Q332" s="620"/>
    </row>
    <row r="333" spans="1:17">
      <c r="A333" s="640">
        <f t="shared" si="4"/>
        <v>332</v>
      </c>
      <c r="B333" s="660" t="s">
        <v>6967</v>
      </c>
      <c r="C333" s="661" t="s">
        <v>4421</v>
      </c>
      <c r="D333" s="620"/>
      <c r="E333" s="662" t="s">
        <v>6748</v>
      </c>
      <c r="F333" s="620"/>
      <c r="G333" s="620"/>
      <c r="H333" s="661" t="s">
        <v>6850</v>
      </c>
      <c r="I333" s="620" t="s">
        <v>6856</v>
      </c>
      <c r="J333" s="620" t="s">
        <v>6857</v>
      </c>
      <c r="K333" s="620" t="s">
        <v>6825</v>
      </c>
      <c r="L333" s="620"/>
      <c r="M333" s="662" t="s">
        <v>6666</v>
      </c>
      <c r="N333" s="620"/>
      <c r="O333" s="620"/>
      <c r="P333" s="620"/>
      <c r="Q333" s="620"/>
    </row>
    <row r="334" spans="1:17">
      <c r="A334" s="640">
        <f t="shared" si="4"/>
        <v>333</v>
      </c>
      <c r="B334" s="660" t="s">
        <v>6968</v>
      </c>
      <c r="C334" s="661" t="s">
        <v>4421</v>
      </c>
      <c r="D334" s="620"/>
      <c r="E334" s="662" t="s">
        <v>6749</v>
      </c>
      <c r="F334" s="620"/>
      <c r="G334" s="620"/>
      <c r="H334" s="661" t="s">
        <v>6850</v>
      </c>
      <c r="I334" s="620" t="s">
        <v>6856</v>
      </c>
      <c r="J334" s="620" t="s">
        <v>6857</v>
      </c>
      <c r="K334" s="620" t="s">
        <v>6826</v>
      </c>
      <c r="L334" s="620"/>
      <c r="M334" s="662" t="s">
        <v>6667</v>
      </c>
      <c r="N334" s="620"/>
      <c r="O334" s="620"/>
      <c r="P334" s="620"/>
      <c r="Q334" s="620"/>
    </row>
    <row r="335" spans="1:17">
      <c r="A335" s="640">
        <f t="shared" si="4"/>
        <v>334</v>
      </c>
      <c r="B335" s="660" t="s">
        <v>6969</v>
      </c>
      <c r="C335" s="661" t="s">
        <v>4421</v>
      </c>
      <c r="D335" s="620"/>
      <c r="E335" s="662" t="s">
        <v>6750</v>
      </c>
      <c r="F335" s="620"/>
      <c r="G335" s="620"/>
      <c r="H335" s="661" t="s">
        <v>6850</v>
      </c>
      <c r="I335" s="620" t="s">
        <v>6856</v>
      </c>
      <c r="J335" s="620" t="s">
        <v>6857</v>
      </c>
      <c r="K335" s="620" t="s">
        <v>6827</v>
      </c>
      <c r="L335" s="620"/>
      <c r="M335" s="662" t="s">
        <v>6668</v>
      </c>
      <c r="N335" s="620"/>
      <c r="O335" s="620"/>
      <c r="P335" s="620"/>
      <c r="Q335" s="620"/>
    </row>
    <row r="336" spans="1:17">
      <c r="A336" s="640">
        <f t="shared" si="4"/>
        <v>335</v>
      </c>
      <c r="B336" s="660" t="s">
        <v>6970</v>
      </c>
      <c r="C336" s="661" t="s">
        <v>4421</v>
      </c>
      <c r="D336" s="620"/>
      <c r="E336" s="662" t="s">
        <v>6751</v>
      </c>
      <c r="F336" s="620"/>
      <c r="G336" s="620"/>
      <c r="H336" s="661" t="s">
        <v>6850</v>
      </c>
      <c r="I336" s="620" t="s">
        <v>6856</v>
      </c>
      <c r="J336" s="620" t="s">
        <v>6857</v>
      </c>
      <c r="K336" s="620" t="s">
        <v>6828</v>
      </c>
      <c r="L336" s="620"/>
      <c r="M336" s="662" t="s">
        <v>6669</v>
      </c>
      <c r="N336" s="620"/>
      <c r="O336" s="620"/>
      <c r="P336" s="620"/>
      <c r="Q336" s="620"/>
    </row>
    <row r="337" spans="1:17">
      <c r="A337" s="640">
        <f t="shared" si="4"/>
        <v>336</v>
      </c>
      <c r="B337" s="660" t="s">
        <v>6971</v>
      </c>
      <c r="C337" s="661" t="s">
        <v>4421</v>
      </c>
      <c r="D337" s="620"/>
      <c r="E337" s="662" t="s">
        <v>6752</v>
      </c>
      <c r="F337" s="620"/>
      <c r="G337" s="620"/>
      <c r="H337" s="661" t="s">
        <v>6850</v>
      </c>
      <c r="I337" s="620" t="s">
        <v>6856</v>
      </c>
      <c r="J337" s="620" t="s">
        <v>6857</v>
      </c>
      <c r="K337" s="620" t="s">
        <v>6829</v>
      </c>
      <c r="L337" s="620"/>
      <c r="M337" s="662" t="s">
        <v>6670</v>
      </c>
      <c r="N337" s="620"/>
      <c r="O337" s="620"/>
      <c r="P337" s="620"/>
      <c r="Q337" s="620"/>
    </row>
    <row r="338" spans="1:17">
      <c r="A338" s="640">
        <f t="shared" si="4"/>
        <v>337</v>
      </c>
      <c r="B338" s="660" t="s">
        <v>6972</v>
      </c>
      <c r="C338" s="661" t="s">
        <v>4421</v>
      </c>
      <c r="D338" s="620"/>
      <c r="E338" s="662" t="s">
        <v>6753</v>
      </c>
      <c r="F338" s="620"/>
      <c r="G338" s="620"/>
      <c r="H338" s="661" t="s">
        <v>6850</v>
      </c>
      <c r="I338" s="620" t="s">
        <v>6856</v>
      </c>
      <c r="J338" s="620" t="s">
        <v>6857</v>
      </c>
      <c r="K338" s="620" t="s">
        <v>6830</v>
      </c>
      <c r="L338" s="620"/>
      <c r="M338" s="662" t="s">
        <v>6671</v>
      </c>
      <c r="N338" s="620"/>
      <c r="O338" s="620"/>
      <c r="P338" s="620"/>
      <c r="Q338" s="620"/>
    </row>
    <row r="339" spans="1:17">
      <c r="A339" s="640">
        <f t="shared" si="4"/>
        <v>338</v>
      </c>
      <c r="B339" s="660" t="s">
        <v>6973</v>
      </c>
      <c r="C339" s="661" t="s">
        <v>4421</v>
      </c>
      <c r="D339" s="620"/>
      <c r="E339" s="662" t="s">
        <v>6754</v>
      </c>
      <c r="F339" s="620"/>
      <c r="G339" s="620"/>
      <c r="H339" s="661" t="s">
        <v>6851</v>
      </c>
      <c r="I339" s="620" t="s">
        <v>6856</v>
      </c>
      <c r="J339" s="620" t="s">
        <v>6857</v>
      </c>
      <c r="K339" s="620" t="s">
        <v>6831</v>
      </c>
      <c r="L339" s="620"/>
      <c r="M339" s="662" t="s">
        <v>6672</v>
      </c>
      <c r="N339" s="620"/>
      <c r="O339" s="620"/>
      <c r="P339" s="620"/>
      <c r="Q339" s="620"/>
    </row>
    <row r="340" spans="1:17">
      <c r="A340" s="640">
        <f t="shared" si="4"/>
        <v>339</v>
      </c>
      <c r="B340" s="660" t="s">
        <v>6974</v>
      </c>
      <c r="C340" s="661" t="s">
        <v>4421</v>
      </c>
      <c r="D340" s="620"/>
      <c r="E340" s="662" t="s">
        <v>6755</v>
      </c>
      <c r="F340" s="620"/>
      <c r="G340" s="620"/>
      <c r="H340" s="661" t="s">
        <v>6851</v>
      </c>
      <c r="I340" s="620" t="s">
        <v>6856</v>
      </c>
      <c r="J340" s="620" t="s">
        <v>6857</v>
      </c>
      <c r="K340" s="620" t="s">
        <v>6832</v>
      </c>
      <c r="L340" s="620"/>
      <c r="M340" s="662" t="s">
        <v>6673</v>
      </c>
      <c r="N340" s="620"/>
      <c r="O340" s="620"/>
      <c r="P340" s="620"/>
      <c r="Q340" s="620"/>
    </row>
    <row r="341" spans="1:17">
      <c r="A341" s="640">
        <f t="shared" si="4"/>
        <v>340</v>
      </c>
      <c r="B341" s="660" t="s">
        <v>6975</v>
      </c>
      <c r="C341" s="661" t="s">
        <v>4421</v>
      </c>
      <c r="D341" s="620"/>
      <c r="E341" s="662" t="s">
        <v>6756</v>
      </c>
      <c r="F341" s="620"/>
      <c r="G341" s="620"/>
      <c r="H341" s="661" t="s">
        <v>6851</v>
      </c>
      <c r="I341" s="620" t="s">
        <v>6856</v>
      </c>
      <c r="J341" s="620" t="s">
        <v>6857</v>
      </c>
      <c r="K341" s="620" t="s">
        <v>6833</v>
      </c>
      <c r="L341" s="620"/>
      <c r="M341" s="662" t="s">
        <v>6674</v>
      </c>
      <c r="N341" s="620"/>
      <c r="O341" s="620"/>
      <c r="P341" s="620"/>
      <c r="Q341" s="620"/>
    </row>
    <row r="342" spans="1:17">
      <c r="A342" s="640">
        <f t="shared" si="4"/>
        <v>341</v>
      </c>
      <c r="B342" s="660" t="s">
        <v>6976</v>
      </c>
      <c r="C342" s="661" t="s">
        <v>4421</v>
      </c>
      <c r="D342" s="620"/>
      <c r="E342" s="662" t="s">
        <v>6757</v>
      </c>
      <c r="F342" s="620"/>
      <c r="G342" s="620"/>
      <c r="H342" s="661" t="s">
        <v>6851</v>
      </c>
      <c r="I342" s="620" t="s">
        <v>6856</v>
      </c>
      <c r="J342" s="620" t="s">
        <v>6857</v>
      </c>
      <c r="K342" s="620" t="s">
        <v>6834</v>
      </c>
      <c r="L342" s="620"/>
      <c r="M342" s="662" t="s">
        <v>6675</v>
      </c>
      <c r="N342" s="620"/>
      <c r="O342" s="620"/>
      <c r="P342" s="620"/>
      <c r="Q342" s="620"/>
    </row>
    <row r="343" spans="1:17">
      <c r="A343" s="640">
        <f t="shared" si="4"/>
        <v>342</v>
      </c>
      <c r="B343" s="660" t="s">
        <v>6977</v>
      </c>
      <c r="C343" s="661" t="s">
        <v>4415</v>
      </c>
      <c r="D343" s="620"/>
      <c r="E343" s="662" t="s">
        <v>6758</v>
      </c>
      <c r="F343" s="620"/>
      <c r="G343" s="620"/>
      <c r="H343" s="661" t="s">
        <v>6851</v>
      </c>
      <c r="I343" s="620" t="s">
        <v>6856</v>
      </c>
      <c r="J343" s="620" t="s">
        <v>6857</v>
      </c>
      <c r="K343" s="620" t="s">
        <v>6835</v>
      </c>
      <c r="L343" s="620"/>
      <c r="M343" s="662" t="s">
        <v>6676</v>
      </c>
      <c r="N343" s="620"/>
      <c r="O343" s="620"/>
      <c r="P343" s="620"/>
      <c r="Q343" s="620"/>
    </row>
    <row r="344" spans="1:17">
      <c r="A344" s="640">
        <f t="shared" si="4"/>
        <v>343</v>
      </c>
      <c r="B344" s="660" t="s">
        <v>6978</v>
      </c>
      <c r="C344" s="661" t="s">
        <v>4421</v>
      </c>
      <c r="D344" s="620"/>
      <c r="E344" s="662" t="s">
        <v>6759</v>
      </c>
      <c r="F344" s="620"/>
      <c r="G344" s="620"/>
      <c r="H344" s="661" t="s">
        <v>6851</v>
      </c>
      <c r="I344" s="620" t="s">
        <v>6856</v>
      </c>
      <c r="J344" s="620" t="s">
        <v>6857</v>
      </c>
      <c r="K344" s="620" t="s">
        <v>6836</v>
      </c>
      <c r="L344" s="620"/>
      <c r="M344" s="662" t="s">
        <v>6677</v>
      </c>
      <c r="N344" s="620"/>
      <c r="O344" s="620"/>
      <c r="P344" s="620"/>
      <c r="Q344" s="620"/>
    </row>
    <row r="345" spans="1:17">
      <c r="A345" s="640">
        <f t="shared" si="4"/>
        <v>344</v>
      </c>
      <c r="B345" s="660" t="s">
        <v>6979</v>
      </c>
      <c r="C345" s="661" t="s">
        <v>4421</v>
      </c>
      <c r="D345" s="620"/>
      <c r="E345" s="662" t="s">
        <v>6760</v>
      </c>
      <c r="F345" s="620"/>
      <c r="G345" s="620"/>
      <c r="H345" s="661" t="s">
        <v>6851</v>
      </c>
      <c r="I345" s="620" t="s">
        <v>6856</v>
      </c>
      <c r="J345" s="620" t="s">
        <v>6857</v>
      </c>
      <c r="K345" s="620" t="s">
        <v>6837</v>
      </c>
      <c r="L345" s="620"/>
      <c r="M345" s="662" t="s">
        <v>6678</v>
      </c>
      <c r="N345" s="620"/>
      <c r="O345" s="620"/>
      <c r="P345" s="620"/>
      <c r="Q345" s="620"/>
    </row>
    <row r="346" spans="1:17">
      <c r="A346" s="640">
        <f t="shared" si="4"/>
        <v>345</v>
      </c>
      <c r="B346" s="660" t="s">
        <v>6980</v>
      </c>
      <c r="C346" s="661" t="s">
        <v>4421</v>
      </c>
      <c r="D346" s="620"/>
      <c r="E346" s="662" t="s">
        <v>6761</v>
      </c>
      <c r="F346" s="620"/>
      <c r="G346" s="620"/>
      <c r="H346" s="661" t="s">
        <v>6851</v>
      </c>
      <c r="I346" s="620" t="s">
        <v>6856</v>
      </c>
      <c r="J346" s="620" t="s">
        <v>6857</v>
      </c>
      <c r="K346" s="620" t="s">
        <v>6838</v>
      </c>
      <c r="L346" s="620"/>
      <c r="M346" s="662" t="s">
        <v>6679</v>
      </c>
      <c r="N346" s="620"/>
      <c r="O346" s="620"/>
      <c r="P346" s="620"/>
      <c r="Q346" s="620"/>
    </row>
    <row r="347" spans="1:17">
      <c r="A347" s="640">
        <f t="shared" si="4"/>
        <v>346</v>
      </c>
      <c r="B347" s="660" t="s">
        <v>6981</v>
      </c>
      <c r="C347" s="661" t="s">
        <v>4421</v>
      </c>
      <c r="D347" s="620"/>
      <c r="E347" s="662" t="s">
        <v>6762</v>
      </c>
      <c r="F347" s="620"/>
      <c r="G347" s="620"/>
      <c r="H347" s="661" t="s">
        <v>6851</v>
      </c>
      <c r="I347" s="620" t="s">
        <v>6856</v>
      </c>
      <c r="J347" s="620" t="s">
        <v>6857</v>
      </c>
      <c r="K347" s="620" t="s">
        <v>6839</v>
      </c>
      <c r="L347" s="620"/>
      <c r="M347" s="662" t="s">
        <v>6680</v>
      </c>
      <c r="N347" s="620"/>
      <c r="O347" s="620"/>
      <c r="P347" s="620"/>
      <c r="Q347" s="620"/>
    </row>
    <row r="348" spans="1:17">
      <c r="A348" s="640">
        <f t="shared" si="4"/>
        <v>347</v>
      </c>
      <c r="B348" s="660" t="s">
        <v>6982</v>
      </c>
      <c r="C348" s="661" t="s">
        <v>4421</v>
      </c>
      <c r="D348" s="620"/>
      <c r="E348" s="662" t="s">
        <v>6763</v>
      </c>
      <c r="F348" s="620"/>
      <c r="G348" s="620"/>
      <c r="H348" s="661" t="s">
        <v>6851</v>
      </c>
      <c r="I348" s="620" t="s">
        <v>6856</v>
      </c>
      <c r="J348" s="620" t="s">
        <v>6857</v>
      </c>
      <c r="K348" s="620" t="s">
        <v>6840</v>
      </c>
      <c r="L348" s="620"/>
      <c r="M348" s="662" t="s">
        <v>6681</v>
      </c>
      <c r="N348" s="620"/>
      <c r="O348" s="620"/>
      <c r="P348" s="620"/>
      <c r="Q348" s="620"/>
    </row>
    <row r="349" spans="1:17">
      <c r="A349" s="640">
        <f t="shared" si="4"/>
        <v>348</v>
      </c>
      <c r="B349" s="660" t="s">
        <v>6983</v>
      </c>
      <c r="C349" s="661" t="s">
        <v>4421</v>
      </c>
      <c r="D349" s="620"/>
      <c r="E349" s="662" t="s">
        <v>6764</v>
      </c>
      <c r="F349" s="620"/>
      <c r="G349" s="620"/>
      <c r="H349" s="661" t="s">
        <v>6851</v>
      </c>
      <c r="I349" s="620" t="s">
        <v>6856</v>
      </c>
      <c r="J349" s="620" t="s">
        <v>6857</v>
      </c>
      <c r="K349" s="620" t="s">
        <v>6841</v>
      </c>
      <c r="L349" s="620"/>
      <c r="M349" s="662" t="s">
        <v>6682</v>
      </c>
      <c r="N349" s="620"/>
      <c r="O349" s="620"/>
      <c r="P349" s="620"/>
      <c r="Q349" s="620"/>
    </row>
    <row r="350" spans="1:17">
      <c r="A350" s="640">
        <f t="shared" si="4"/>
        <v>349</v>
      </c>
      <c r="B350" s="660" t="s">
        <v>6984</v>
      </c>
      <c r="C350" s="661" t="s">
        <v>4421</v>
      </c>
      <c r="D350" s="620"/>
      <c r="E350" s="662" t="s">
        <v>6765</v>
      </c>
      <c r="F350" s="620"/>
      <c r="G350" s="620"/>
      <c r="H350" s="661" t="s">
        <v>6851</v>
      </c>
      <c r="I350" s="620" t="s">
        <v>6856</v>
      </c>
      <c r="J350" s="620" t="s">
        <v>6857</v>
      </c>
      <c r="K350" s="620" t="s">
        <v>6842</v>
      </c>
      <c r="L350" s="620"/>
      <c r="M350" s="662" t="s">
        <v>6683</v>
      </c>
      <c r="N350" s="620"/>
      <c r="O350" s="620"/>
      <c r="P350" s="620"/>
      <c r="Q350" s="620"/>
    </row>
    <row r="351" spans="1:17">
      <c r="A351" s="640">
        <f t="shared" ref="A351:A365" si="5">ROW()-1</f>
        <v>350</v>
      </c>
      <c r="B351" s="660" t="s">
        <v>6985</v>
      </c>
      <c r="C351" s="661" t="s">
        <v>4421</v>
      </c>
      <c r="D351" s="620"/>
      <c r="E351" s="662" t="s">
        <v>6766</v>
      </c>
      <c r="F351" s="620"/>
      <c r="G351" s="620"/>
      <c r="H351" s="661" t="s">
        <v>6851</v>
      </c>
      <c r="I351" s="620" t="s">
        <v>6856</v>
      </c>
      <c r="J351" s="620" t="s">
        <v>6857</v>
      </c>
      <c r="K351" s="620" t="s">
        <v>6843</v>
      </c>
      <c r="L351" s="620"/>
      <c r="M351" s="662" t="s">
        <v>6684</v>
      </c>
      <c r="N351" s="620"/>
      <c r="O351" s="620"/>
      <c r="P351" s="620"/>
      <c r="Q351" s="620"/>
    </row>
    <row r="352" spans="1:17">
      <c r="A352" s="640">
        <f t="shared" si="5"/>
        <v>351</v>
      </c>
      <c r="B352" s="660" t="s">
        <v>6986</v>
      </c>
      <c r="C352" s="661" t="s">
        <v>4421</v>
      </c>
      <c r="D352" s="620"/>
      <c r="E352" s="662" t="s">
        <v>6767</v>
      </c>
      <c r="F352" s="620"/>
      <c r="G352" s="620"/>
      <c r="H352" s="661" t="s">
        <v>6851</v>
      </c>
      <c r="I352" s="620" t="s">
        <v>6856</v>
      </c>
      <c r="J352" s="620" t="s">
        <v>6857</v>
      </c>
      <c r="K352" s="620" t="s">
        <v>6844</v>
      </c>
      <c r="L352" s="620"/>
      <c r="M352" s="662" t="s">
        <v>6685</v>
      </c>
      <c r="N352" s="620"/>
      <c r="O352" s="620"/>
      <c r="P352" s="620"/>
      <c r="Q352" s="620"/>
    </row>
    <row r="353" spans="1:17">
      <c r="A353" s="640">
        <f t="shared" si="5"/>
        <v>352</v>
      </c>
      <c r="B353" s="660" t="s">
        <v>6987</v>
      </c>
      <c r="C353" s="661" t="s">
        <v>4421</v>
      </c>
      <c r="D353" s="620"/>
      <c r="E353" s="662" t="s">
        <v>6768</v>
      </c>
      <c r="F353" s="620"/>
      <c r="G353" s="620"/>
      <c r="H353" s="661" t="s">
        <v>6851</v>
      </c>
      <c r="I353" s="620" t="s">
        <v>6856</v>
      </c>
      <c r="J353" s="620" t="s">
        <v>6857</v>
      </c>
      <c r="K353" s="620" t="s">
        <v>6845</v>
      </c>
      <c r="L353" s="620"/>
      <c r="M353" s="662" t="s">
        <v>6686</v>
      </c>
      <c r="N353" s="620"/>
      <c r="O353" s="620"/>
      <c r="P353" s="620"/>
      <c r="Q353" s="620"/>
    </row>
    <row r="354" spans="1:17">
      <c r="A354" s="640">
        <f t="shared" si="5"/>
        <v>353</v>
      </c>
      <c r="B354" s="660" t="s">
        <v>6988</v>
      </c>
      <c r="C354" s="661" t="s">
        <v>4421</v>
      </c>
      <c r="D354" s="620"/>
      <c r="E354" s="662" t="s">
        <v>6769</v>
      </c>
      <c r="F354" s="620"/>
      <c r="G354" s="620"/>
      <c r="H354" s="661" t="s">
        <v>6851</v>
      </c>
      <c r="I354" s="620" t="s">
        <v>6856</v>
      </c>
      <c r="J354" s="620" t="s">
        <v>6857</v>
      </c>
      <c r="K354" s="620" t="s">
        <v>6846</v>
      </c>
      <c r="L354" s="620"/>
      <c r="M354" s="662" t="s">
        <v>6687</v>
      </c>
      <c r="N354" s="620"/>
      <c r="O354" s="620"/>
      <c r="P354" s="620"/>
      <c r="Q354" s="620"/>
    </row>
    <row r="355" spans="1:17">
      <c r="A355" s="640">
        <f t="shared" si="5"/>
        <v>354</v>
      </c>
      <c r="B355" s="660" t="s">
        <v>6989</v>
      </c>
      <c r="C355" s="661" t="s">
        <v>4421</v>
      </c>
      <c r="D355" s="620"/>
      <c r="E355" s="662" t="s">
        <v>6770</v>
      </c>
      <c r="F355" s="620"/>
      <c r="G355" s="620"/>
      <c r="H355" s="661" t="s">
        <v>6851</v>
      </c>
      <c r="I355" s="620" t="s">
        <v>6856</v>
      </c>
      <c r="J355" s="620" t="s">
        <v>6857</v>
      </c>
      <c r="K355" s="620" t="s">
        <v>6847</v>
      </c>
      <c r="L355" s="620"/>
      <c r="M355" s="662" t="s">
        <v>6688</v>
      </c>
      <c r="N355" s="620"/>
      <c r="O355" s="620"/>
      <c r="P355" s="620"/>
      <c r="Q355" s="620"/>
    </row>
    <row r="356" spans="1:17">
      <c r="A356" s="640">
        <f t="shared" si="5"/>
        <v>355</v>
      </c>
      <c r="B356" s="660" t="s">
        <v>6990</v>
      </c>
      <c r="C356" s="661" t="s">
        <v>4421</v>
      </c>
      <c r="D356" s="620"/>
      <c r="E356" s="662" t="s">
        <v>6771</v>
      </c>
      <c r="F356" s="620"/>
      <c r="G356" s="620"/>
      <c r="H356" s="661" t="s">
        <v>6851</v>
      </c>
      <c r="I356" s="620" t="s">
        <v>6856</v>
      </c>
      <c r="J356" s="620" t="s">
        <v>6857</v>
      </c>
      <c r="K356" s="620" t="s">
        <v>6848</v>
      </c>
      <c r="L356" s="620"/>
      <c r="M356" s="662" t="s">
        <v>6689</v>
      </c>
      <c r="N356" s="620"/>
      <c r="O356" s="620"/>
      <c r="P356" s="620"/>
      <c r="Q356" s="620"/>
    </row>
    <row r="357" spans="1:17">
      <c r="A357" s="640">
        <f t="shared" si="5"/>
        <v>356</v>
      </c>
      <c r="B357" s="660" t="s">
        <v>6991</v>
      </c>
      <c r="C357" s="661" t="s">
        <v>1735</v>
      </c>
      <c r="D357" s="620"/>
      <c r="E357" s="662" t="s">
        <v>6772</v>
      </c>
      <c r="F357" s="620"/>
      <c r="G357" s="620"/>
      <c r="H357" s="661" t="s">
        <v>6852</v>
      </c>
      <c r="I357" s="620" t="s">
        <v>6856</v>
      </c>
      <c r="J357" s="620" t="s">
        <v>6857</v>
      </c>
      <c r="K357" s="620" t="s">
        <v>7476</v>
      </c>
      <c r="L357" s="620"/>
      <c r="M357" s="662" t="s">
        <v>585</v>
      </c>
      <c r="N357" s="620"/>
      <c r="O357" s="620"/>
      <c r="P357" s="620"/>
      <c r="Q357" s="620"/>
    </row>
    <row r="358" spans="1:17">
      <c r="A358" s="640">
        <f t="shared" si="5"/>
        <v>357</v>
      </c>
      <c r="B358" s="660" t="s">
        <v>6992</v>
      </c>
      <c r="C358" s="661" t="s">
        <v>4421</v>
      </c>
      <c r="D358" s="620"/>
      <c r="E358" s="662" t="s">
        <v>6773</v>
      </c>
      <c r="F358" s="620"/>
      <c r="G358" s="620"/>
      <c r="H358" s="661" t="s">
        <v>7481</v>
      </c>
      <c r="I358" s="620" t="s">
        <v>7474</v>
      </c>
      <c r="J358" s="620"/>
      <c r="K358" s="620" t="s">
        <v>7475</v>
      </c>
      <c r="L358" s="620"/>
      <c r="M358" s="620"/>
      <c r="N358" s="662" t="s">
        <v>6690</v>
      </c>
      <c r="O358" s="620"/>
      <c r="P358" s="620"/>
      <c r="Q358" s="620"/>
    </row>
    <row r="359" spans="1:17">
      <c r="A359" s="640">
        <f t="shared" si="5"/>
        <v>358</v>
      </c>
      <c r="B359" s="660" t="s">
        <v>6993</v>
      </c>
      <c r="C359" s="661" t="s">
        <v>4415</v>
      </c>
      <c r="D359" s="620"/>
      <c r="E359" s="662" t="s">
        <v>6774</v>
      </c>
      <c r="F359" s="620"/>
      <c r="G359" s="620"/>
      <c r="H359" s="661" t="s">
        <v>7481</v>
      </c>
      <c r="I359" s="620" t="s">
        <v>7474</v>
      </c>
      <c r="J359" s="620"/>
      <c r="K359" s="620" t="s">
        <v>7477</v>
      </c>
      <c r="L359" s="620"/>
      <c r="M359" s="620"/>
      <c r="N359" s="662" t="s">
        <v>6691</v>
      </c>
      <c r="O359" s="620"/>
      <c r="P359" s="620"/>
      <c r="Q359" s="620"/>
    </row>
    <row r="360" spans="1:17">
      <c r="A360" s="640">
        <f t="shared" si="5"/>
        <v>359</v>
      </c>
      <c r="B360" s="660" t="s">
        <v>6994</v>
      </c>
      <c r="C360" s="661" t="s">
        <v>4421</v>
      </c>
      <c r="D360" s="620"/>
      <c r="E360" s="662" t="s">
        <v>6775</v>
      </c>
      <c r="F360" s="620"/>
      <c r="G360" s="620"/>
      <c r="H360" s="661" t="s">
        <v>7481</v>
      </c>
      <c r="I360" s="620" t="s">
        <v>7474</v>
      </c>
      <c r="J360" s="620"/>
      <c r="K360" s="620" t="s">
        <v>7478</v>
      </c>
      <c r="L360" s="620"/>
      <c r="M360" s="620"/>
      <c r="N360" s="662" t="s">
        <v>6692</v>
      </c>
      <c r="O360" s="620"/>
      <c r="P360" s="620"/>
      <c r="Q360" s="620"/>
    </row>
    <row r="361" spans="1:17">
      <c r="A361" s="640">
        <f t="shared" si="5"/>
        <v>360</v>
      </c>
      <c r="B361" s="660" t="s">
        <v>6995</v>
      </c>
      <c r="C361" s="661" t="s">
        <v>4415</v>
      </c>
      <c r="D361" s="620"/>
      <c r="E361" s="662" t="s">
        <v>6776</v>
      </c>
      <c r="F361" s="620"/>
      <c r="G361" s="620"/>
      <c r="H361" s="661" t="s">
        <v>7481</v>
      </c>
      <c r="I361" s="620" t="s">
        <v>7474</v>
      </c>
      <c r="J361" s="620"/>
      <c r="K361" s="620" t="s">
        <v>7479</v>
      </c>
      <c r="L361" s="620"/>
      <c r="M361" s="620"/>
      <c r="N361" s="662" t="s">
        <v>6694</v>
      </c>
      <c r="O361" s="620"/>
      <c r="P361" s="620"/>
      <c r="Q361" s="620"/>
    </row>
    <row r="362" spans="1:17">
      <c r="A362" s="640">
        <f t="shared" si="5"/>
        <v>361</v>
      </c>
      <c r="B362" s="619" t="s">
        <v>7470</v>
      </c>
      <c r="C362" s="619" t="s">
        <v>4268</v>
      </c>
      <c r="D362" s="619" t="s">
        <v>5299</v>
      </c>
      <c r="E362" s="622" t="s">
        <v>6776</v>
      </c>
      <c r="F362" s="620"/>
      <c r="G362" s="620"/>
      <c r="H362" s="661" t="s">
        <v>7481</v>
      </c>
      <c r="I362" s="620" t="s">
        <v>7474</v>
      </c>
      <c r="J362" s="620"/>
      <c r="K362" s="620" t="s">
        <v>7480</v>
      </c>
      <c r="L362" s="620"/>
      <c r="M362" s="620"/>
      <c r="N362" s="620"/>
      <c r="O362" s="620"/>
      <c r="P362" s="620"/>
      <c r="Q362" s="620"/>
    </row>
    <row r="363" spans="1:17">
      <c r="A363" s="640">
        <f t="shared" si="5"/>
        <v>362</v>
      </c>
      <c r="B363" s="619" t="s">
        <v>7471</v>
      </c>
      <c r="C363" s="619" t="s">
        <v>4258</v>
      </c>
      <c r="D363" s="619" t="s">
        <v>5299</v>
      </c>
      <c r="E363" s="622" t="s">
        <v>7435</v>
      </c>
      <c r="F363" s="620"/>
      <c r="G363" s="620"/>
      <c r="H363" s="647" t="s">
        <v>7482</v>
      </c>
      <c r="I363" s="620" t="s">
        <v>7438</v>
      </c>
      <c r="J363" s="620"/>
      <c r="K363" s="620" t="s">
        <v>7435</v>
      </c>
      <c r="L363" s="620"/>
      <c r="M363" s="620"/>
      <c r="N363" s="620"/>
      <c r="O363" s="620"/>
      <c r="P363" s="620"/>
      <c r="Q363" s="620"/>
    </row>
    <row r="364" spans="1:17">
      <c r="A364" s="640">
        <f t="shared" si="5"/>
        <v>363</v>
      </c>
      <c r="B364" s="619" t="s">
        <v>7472</v>
      </c>
      <c r="C364" s="619" t="s">
        <v>52</v>
      </c>
      <c r="D364" s="619" t="s">
        <v>5299</v>
      </c>
      <c r="E364" s="622" t="s">
        <v>7436</v>
      </c>
      <c r="F364" s="620"/>
      <c r="G364" s="620"/>
      <c r="H364" s="647" t="s">
        <v>7482</v>
      </c>
      <c r="I364" s="620" t="s">
        <v>7438</v>
      </c>
      <c r="J364" s="620"/>
      <c r="K364" s="620" t="s">
        <v>7436</v>
      </c>
      <c r="L364" s="620"/>
      <c r="M364" s="620"/>
      <c r="N364" s="620"/>
      <c r="O364" s="620"/>
      <c r="P364" s="620"/>
      <c r="Q364" s="620"/>
    </row>
    <row r="365" spans="1:17">
      <c r="A365" s="640">
        <f t="shared" si="5"/>
        <v>364</v>
      </c>
      <c r="B365" s="619" t="s">
        <v>7473</v>
      </c>
      <c r="C365" s="619" t="s">
        <v>52</v>
      </c>
      <c r="D365" s="619" t="s">
        <v>5299</v>
      </c>
      <c r="E365" s="622" t="s">
        <v>2983</v>
      </c>
      <c r="F365" s="620"/>
      <c r="G365" s="620"/>
      <c r="H365" s="647" t="s">
        <v>7482</v>
      </c>
      <c r="I365" s="620" t="s">
        <v>7438</v>
      </c>
      <c r="J365" s="620"/>
      <c r="K365" s="620" t="s">
        <v>2983</v>
      </c>
      <c r="L365" s="620"/>
      <c r="M365" s="620"/>
      <c r="N365" s="620"/>
      <c r="O365" s="620"/>
      <c r="P365" s="620"/>
      <c r="Q365" s="620"/>
    </row>
  </sheetData>
  <phoneticPr fontId="2" type="noConversion"/>
  <conditionalFormatting sqref="M188 M190:M196">
    <cfRule type="duplicateValues" dxfId="17" priority="3"/>
  </conditionalFormatting>
  <conditionalFormatting sqref="M197 M199:M200">
    <cfRule type="duplicateValues" dxfId="16" priority="4"/>
  </conditionalFormatting>
  <conditionalFormatting sqref="K188 K190:K196">
    <cfRule type="duplicateValues" dxfId="15" priority="1"/>
  </conditionalFormatting>
  <conditionalFormatting sqref="K197 K199:K200">
    <cfRule type="duplicateValues" dxfId="14" priority="2"/>
  </conditionalFormatting>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8"/>
  <sheetViews>
    <sheetView tabSelected="1" topLeftCell="A61" workbookViewId="0">
      <selection activeCell="M87" sqref="M87"/>
    </sheetView>
  </sheetViews>
  <sheetFormatPr defaultRowHeight="11.25"/>
  <cols>
    <col min="1" max="1" width="9" style="195"/>
    <col min="2" max="3" width="9" style="178"/>
    <col min="4" max="4" width="25.5" style="178" bestFit="1" customWidth="1"/>
    <col min="5" max="7" width="9" style="178"/>
    <col min="8" max="8" width="23.875" style="341" bestFit="1" customWidth="1"/>
    <col min="9" max="16384" width="9" style="178"/>
  </cols>
  <sheetData>
    <row r="1" spans="1:12">
      <c r="A1" s="211" t="s">
        <v>1700</v>
      </c>
      <c r="B1" s="212" t="s">
        <v>1701</v>
      </c>
      <c r="C1" s="211" t="s">
        <v>2816</v>
      </c>
      <c r="D1" s="212" t="s">
        <v>1456</v>
      </c>
      <c r="E1" s="212" t="s">
        <v>1454</v>
      </c>
      <c r="F1" s="211" t="s">
        <v>749</v>
      </c>
      <c r="G1" s="234" t="s">
        <v>1548</v>
      </c>
      <c r="H1" s="343" t="s">
        <v>7230</v>
      </c>
      <c r="I1" s="234" t="s">
        <v>3091</v>
      </c>
      <c r="J1" s="211" t="s">
        <v>3095</v>
      </c>
      <c r="K1" s="211" t="s">
        <v>3101</v>
      </c>
      <c r="L1" s="211" t="s">
        <v>3094</v>
      </c>
    </row>
    <row r="2" spans="1:12">
      <c r="A2" s="213">
        <f>ROW()-3</f>
        <v>-1</v>
      </c>
      <c r="B2" s="214" t="s">
        <v>3139</v>
      </c>
      <c r="C2" s="213"/>
      <c r="D2" s="361" t="s">
        <v>3140</v>
      </c>
      <c r="E2" s="214" t="s">
        <v>275</v>
      </c>
      <c r="F2" s="213">
        <v>4</v>
      </c>
      <c r="G2" s="213"/>
      <c r="H2" s="513"/>
      <c r="I2" s="362"/>
      <c r="J2" s="233" t="s">
        <v>3096</v>
      </c>
      <c r="K2" s="363"/>
      <c r="L2" s="364"/>
    </row>
    <row r="3" spans="1:12">
      <c r="A3" s="365">
        <f t="shared" ref="A3:A14" si="0">ROW()-3</f>
        <v>0</v>
      </c>
      <c r="B3" s="366" t="s">
        <v>3139</v>
      </c>
      <c r="C3" s="365"/>
      <c r="D3" s="367" t="s">
        <v>3141</v>
      </c>
      <c r="E3" s="368" t="s">
        <v>279</v>
      </c>
      <c r="F3" s="365">
        <v>3</v>
      </c>
      <c r="G3" s="365"/>
      <c r="H3" s="514"/>
      <c r="I3" s="369"/>
      <c r="J3" s="370" t="s">
        <v>3145</v>
      </c>
      <c r="K3" s="371"/>
      <c r="L3" s="372"/>
    </row>
    <row r="4" spans="1:12">
      <c r="A4" s="373">
        <f t="shared" si="0"/>
        <v>1</v>
      </c>
      <c r="B4" s="374" t="s">
        <v>1703</v>
      </c>
      <c r="C4" s="373"/>
      <c r="D4" s="375" t="s">
        <v>1704</v>
      </c>
      <c r="E4" s="374" t="s">
        <v>275</v>
      </c>
      <c r="F4" s="373">
        <v>6</v>
      </c>
      <c r="G4" s="373"/>
      <c r="H4" s="343"/>
      <c r="I4" s="376"/>
      <c r="J4" s="377"/>
      <c r="K4" s="378"/>
      <c r="L4" s="379"/>
    </row>
    <row r="5" spans="1:12">
      <c r="A5" s="373">
        <f t="shared" si="0"/>
        <v>2</v>
      </c>
      <c r="B5" s="374" t="s">
        <v>1703</v>
      </c>
      <c r="C5" s="380"/>
      <c r="D5" s="381" t="s">
        <v>1706</v>
      </c>
      <c r="E5" s="374" t="s">
        <v>275</v>
      </c>
      <c r="F5" s="380">
        <v>14</v>
      </c>
      <c r="G5" s="380"/>
      <c r="H5" s="356"/>
      <c r="I5" s="373"/>
      <c r="J5" s="377"/>
      <c r="K5" s="378"/>
      <c r="L5" s="379"/>
    </row>
    <row r="6" spans="1:12">
      <c r="A6" s="373">
        <f t="shared" si="0"/>
        <v>3</v>
      </c>
      <c r="B6" s="374" t="s">
        <v>1703</v>
      </c>
      <c r="C6" s="380"/>
      <c r="D6" s="381" t="s">
        <v>1708</v>
      </c>
      <c r="E6" s="374" t="s">
        <v>275</v>
      </c>
      <c r="F6" s="380">
        <v>10</v>
      </c>
      <c r="G6" s="380"/>
      <c r="H6" s="356"/>
      <c r="I6" s="376"/>
      <c r="J6" s="377"/>
      <c r="K6" s="378"/>
      <c r="L6" s="379"/>
    </row>
    <row r="7" spans="1:12">
      <c r="A7" s="373">
        <f t="shared" si="0"/>
        <v>4</v>
      </c>
      <c r="B7" s="374" t="s">
        <v>1703</v>
      </c>
      <c r="C7" s="380"/>
      <c r="D7" s="381" t="s">
        <v>1710</v>
      </c>
      <c r="E7" s="374" t="s">
        <v>275</v>
      </c>
      <c r="F7" s="380">
        <v>8</v>
      </c>
      <c r="G7" s="380"/>
      <c r="H7" s="356"/>
      <c r="I7" s="376"/>
      <c r="J7" s="377"/>
      <c r="K7" s="378"/>
      <c r="L7" s="379"/>
    </row>
    <row r="8" spans="1:12">
      <c r="A8" s="373">
        <f t="shared" si="0"/>
        <v>5</v>
      </c>
      <c r="B8" s="374" t="s">
        <v>1703</v>
      </c>
      <c r="C8" s="382" t="s">
        <v>2573</v>
      </c>
      <c r="D8" s="382" t="s">
        <v>4030</v>
      </c>
      <c r="E8" s="383" t="s">
        <v>4258</v>
      </c>
      <c r="F8" s="383" t="s">
        <v>4260</v>
      </c>
      <c r="G8" s="380" t="s">
        <v>7242</v>
      </c>
      <c r="H8" s="356" t="s">
        <v>1578</v>
      </c>
      <c r="I8" s="373"/>
      <c r="J8" s="377"/>
      <c r="K8" s="378"/>
      <c r="L8" s="379"/>
    </row>
    <row r="9" spans="1:12">
      <c r="A9" s="373">
        <f t="shared" si="0"/>
        <v>6</v>
      </c>
      <c r="B9" s="374" t="s">
        <v>1703</v>
      </c>
      <c r="C9" s="517" t="s">
        <v>2394</v>
      </c>
      <c r="D9" s="517" t="s">
        <v>7232</v>
      </c>
      <c r="E9" s="383" t="s">
        <v>4261</v>
      </c>
      <c r="F9" s="383" t="s">
        <v>4262</v>
      </c>
      <c r="G9" s="380" t="s">
        <v>7242</v>
      </c>
      <c r="H9" s="241" t="s">
        <v>5794</v>
      </c>
      <c r="I9" s="516"/>
      <c r="J9" s="519"/>
      <c r="K9" s="363"/>
      <c r="L9" s="364"/>
    </row>
    <row r="10" spans="1:12">
      <c r="A10" s="373">
        <f t="shared" si="0"/>
        <v>7</v>
      </c>
      <c r="B10" s="374" t="s">
        <v>1703</v>
      </c>
      <c r="C10" s="517" t="s">
        <v>2396</v>
      </c>
      <c r="D10" s="517" t="s">
        <v>7233</v>
      </c>
      <c r="E10" s="383" t="s">
        <v>4261</v>
      </c>
      <c r="F10" s="383" t="s">
        <v>4262</v>
      </c>
      <c r="G10" s="380" t="s">
        <v>7242</v>
      </c>
      <c r="H10" s="241" t="s">
        <v>191</v>
      </c>
      <c r="I10" s="516"/>
      <c r="J10" s="519"/>
      <c r="K10" s="363"/>
      <c r="L10" s="364"/>
    </row>
    <row r="11" spans="1:12">
      <c r="A11" s="373">
        <f t="shared" si="0"/>
        <v>8</v>
      </c>
      <c r="B11" s="374" t="s">
        <v>1703</v>
      </c>
      <c r="C11" s="517" t="s">
        <v>4118</v>
      </c>
      <c r="D11" s="517" t="s">
        <v>7234</v>
      </c>
      <c r="E11" s="383" t="s">
        <v>4261</v>
      </c>
      <c r="F11" s="383" t="s">
        <v>4262</v>
      </c>
      <c r="G11" s="380" t="s">
        <v>7242</v>
      </c>
      <c r="H11" s="241" t="s">
        <v>7131</v>
      </c>
      <c r="I11" s="516"/>
      <c r="J11" s="519"/>
      <c r="K11" s="363"/>
      <c r="L11" s="364"/>
    </row>
    <row r="12" spans="1:12">
      <c r="A12" s="373">
        <f t="shared" si="0"/>
        <v>9</v>
      </c>
      <c r="B12" s="374" t="s">
        <v>1703</v>
      </c>
      <c r="C12" s="517" t="s">
        <v>2490</v>
      </c>
      <c r="D12" s="517" t="s">
        <v>7235</v>
      </c>
      <c r="E12" s="383" t="s">
        <v>4261</v>
      </c>
      <c r="F12" s="383" t="s">
        <v>4262</v>
      </c>
      <c r="G12" s="380" t="s">
        <v>7242</v>
      </c>
      <c r="H12" s="241" t="s">
        <v>3483</v>
      </c>
      <c r="I12" s="516"/>
      <c r="J12" s="519"/>
      <c r="K12" s="363"/>
      <c r="L12" s="364"/>
    </row>
    <row r="13" spans="1:12">
      <c r="A13" s="373">
        <f t="shared" si="0"/>
        <v>10</v>
      </c>
      <c r="B13" s="374" t="s">
        <v>1703</v>
      </c>
      <c r="C13" s="517" t="s">
        <v>4170</v>
      </c>
      <c r="D13" s="517" t="s">
        <v>7236</v>
      </c>
      <c r="E13" s="383" t="s">
        <v>4258</v>
      </c>
      <c r="F13" s="383" t="s">
        <v>4264</v>
      </c>
      <c r="G13" s="380" t="s">
        <v>7242</v>
      </c>
      <c r="H13" s="241" t="s">
        <v>5883</v>
      </c>
      <c r="I13" s="516"/>
      <c r="J13" s="519"/>
      <c r="K13" s="363"/>
      <c r="L13" s="364"/>
    </row>
    <row r="14" spans="1:12">
      <c r="A14" s="373">
        <f t="shared" si="0"/>
        <v>11</v>
      </c>
      <c r="B14" s="374" t="s">
        <v>1703</v>
      </c>
      <c r="C14" s="517" t="s">
        <v>4201</v>
      </c>
      <c r="D14" s="517" t="s">
        <v>7237</v>
      </c>
      <c r="E14" s="383" t="s">
        <v>4261</v>
      </c>
      <c r="F14" s="383" t="s">
        <v>4262</v>
      </c>
      <c r="G14" s="380" t="s">
        <v>7242</v>
      </c>
      <c r="H14" s="241" t="s">
        <v>7231</v>
      </c>
      <c r="I14" s="516"/>
      <c r="J14" s="519"/>
      <c r="K14" s="363"/>
      <c r="L14" s="364"/>
    </row>
    <row r="15" spans="1:12" ht="22.5">
      <c r="A15" s="386">
        <v>6</v>
      </c>
      <c r="B15" s="385" t="s">
        <v>3139</v>
      </c>
      <c r="C15" s="382" t="s">
        <v>1911</v>
      </c>
      <c r="D15" s="382" t="s">
        <v>4209</v>
      </c>
      <c r="E15" s="383" t="s">
        <v>4258</v>
      </c>
      <c r="F15" s="383" t="s">
        <v>4264</v>
      </c>
      <c r="G15" s="380" t="s">
        <v>3099</v>
      </c>
      <c r="H15" s="515" t="s">
        <v>7178</v>
      </c>
      <c r="I15" s="384"/>
      <c r="J15" s="384"/>
      <c r="K15" s="384"/>
      <c r="L15" s="384"/>
    </row>
    <row r="16" spans="1:12">
      <c r="A16" s="386">
        <v>7</v>
      </c>
      <c r="B16" s="385" t="s">
        <v>3139</v>
      </c>
      <c r="C16" s="382" t="s">
        <v>1913</v>
      </c>
      <c r="D16" s="382" t="s">
        <v>4210</v>
      </c>
      <c r="E16" s="383" t="s">
        <v>4261</v>
      </c>
      <c r="F16" s="383" t="s">
        <v>4262</v>
      </c>
      <c r="G16" s="380" t="s">
        <v>3099</v>
      </c>
      <c r="H16" s="356" t="s">
        <v>7179</v>
      </c>
      <c r="I16" s="384"/>
      <c r="J16" s="384"/>
      <c r="K16" s="384"/>
      <c r="L16" s="384"/>
    </row>
    <row r="17" spans="1:12" ht="33.75">
      <c r="A17" s="386">
        <v>8</v>
      </c>
      <c r="B17" s="385" t="s">
        <v>3139</v>
      </c>
      <c r="C17" s="382" t="s">
        <v>1915</v>
      </c>
      <c r="D17" s="382" t="s">
        <v>4211</v>
      </c>
      <c r="E17" s="383" t="s">
        <v>4258</v>
      </c>
      <c r="F17" s="383" t="s">
        <v>4264</v>
      </c>
      <c r="G17" s="380" t="s">
        <v>3099</v>
      </c>
      <c r="H17" s="515" t="s">
        <v>7180</v>
      </c>
      <c r="I17" s="384"/>
      <c r="J17" s="384"/>
      <c r="K17" s="384"/>
      <c r="L17" s="384"/>
    </row>
    <row r="18" spans="1:12">
      <c r="A18" s="386">
        <v>9</v>
      </c>
      <c r="B18" s="385" t="s">
        <v>3139</v>
      </c>
      <c r="C18" s="382" t="s">
        <v>1917</v>
      </c>
      <c r="D18" s="382" t="s">
        <v>4212</v>
      </c>
      <c r="E18" s="383" t="s">
        <v>4258</v>
      </c>
      <c r="F18" s="383" t="s">
        <v>4264</v>
      </c>
      <c r="G18" s="380" t="s">
        <v>3099</v>
      </c>
      <c r="H18" s="356" t="s">
        <v>7181</v>
      </c>
      <c r="I18" s="384"/>
      <c r="J18" s="384"/>
      <c r="K18" s="384"/>
      <c r="L18" s="384"/>
    </row>
    <row r="19" spans="1:12">
      <c r="A19" s="386">
        <v>10</v>
      </c>
      <c r="B19" s="385" t="s">
        <v>3139</v>
      </c>
      <c r="C19" s="382" t="s">
        <v>1919</v>
      </c>
      <c r="D19" s="382" t="s">
        <v>4213</v>
      </c>
      <c r="E19" s="383" t="s">
        <v>4261</v>
      </c>
      <c r="F19" s="383" t="s">
        <v>4262</v>
      </c>
      <c r="G19" s="380" t="s">
        <v>3099</v>
      </c>
      <c r="H19" s="356" t="s">
        <v>7182</v>
      </c>
      <c r="I19" s="384"/>
      <c r="J19" s="384"/>
      <c r="K19" s="384"/>
      <c r="L19" s="384"/>
    </row>
    <row r="20" spans="1:12" ht="22.5">
      <c r="A20" s="386">
        <v>11</v>
      </c>
      <c r="B20" s="385" t="s">
        <v>3139</v>
      </c>
      <c r="C20" s="382" t="s">
        <v>1921</v>
      </c>
      <c r="D20" s="382" t="s">
        <v>4196</v>
      </c>
      <c r="E20" s="383" t="s">
        <v>4258</v>
      </c>
      <c r="F20" s="383" t="s">
        <v>4264</v>
      </c>
      <c r="G20" s="380" t="s">
        <v>3099</v>
      </c>
      <c r="H20" s="515" t="s">
        <v>7183</v>
      </c>
      <c r="I20" s="384"/>
      <c r="J20" s="384"/>
      <c r="K20" s="384"/>
      <c r="L20" s="384"/>
    </row>
    <row r="21" spans="1:12">
      <c r="A21" s="386">
        <v>12</v>
      </c>
      <c r="B21" s="385" t="s">
        <v>3139</v>
      </c>
      <c r="C21" s="382" t="s">
        <v>1923</v>
      </c>
      <c r="D21" s="382" t="s">
        <v>4214</v>
      </c>
      <c r="E21" s="383" t="s">
        <v>4258</v>
      </c>
      <c r="F21" s="383" t="s">
        <v>4264</v>
      </c>
      <c r="G21" s="380" t="s">
        <v>3099</v>
      </c>
      <c r="H21" s="356" t="s">
        <v>7184</v>
      </c>
      <c r="I21" s="384"/>
      <c r="J21" s="384"/>
      <c r="K21" s="384"/>
      <c r="L21" s="384"/>
    </row>
    <row r="22" spans="1:12">
      <c r="A22" s="386">
        <v>13</v>
      </c>
      <c r="B22" s="385" t="s">
        <v>3139</v>
      </c>
      <c r="C22" s="382" t="s">
        <v>1925</v>
      </c>
      <c r="D22" s="382" t="s">
        <v>4215</v>
      </c>
      <c r="E22" s="383" t="s">
        <v>4261</v>
      </c>
      <c r="F22" s="383" t="s">
        <v>4262</v>
      </c>
      <c r="G22" s="380" t="s">
        <v>3099</v>
      </c>
      <c r="H22" s="356" t="s">
        <v>7185</v>
      </c>
      <c r="I22" s="384"/>
      <c r="J22" s="384"/>
      <c r="K22" s="384"/>
      <c r="L22" s="384"/>
    </row>
    <row r="23" spans="1:12">
      <c r="A23" s="386">
        <v>14</v>
      </c>
      <c r="B23" s="385" t="s">
        <v>3139</v>
      </c>
      <c r="C23" s="382" t="s">
        <v>1927</v>
      </c>
      <c r="D23" s="382" t="s">
        <v>4216</v>
      </c>
      <c r="E23" s="383" t="s">
        <v>4261</v>
      </c>
      <c r="F23" s="383" t="s">
        <v>4262</v>
      </c>
      <c r="G23" s="380" t="s">
        <v>3099</v>
      </c>
      <c r="H23" s="356" t="s">
        <v>7186</v>
      </c>
      <c r="I23" s="384"/>
      <c r="J23" s="384"/>
      <c r="K23" s="384"/>
      <c r="L23" s="384"/>
    </row>
    <row r="24" spans="1:12">
      <c r="A24" s="386">
        <v>15</v>
      </c>
      <c r="B24" s="385" t="s">
        <v>3139</v>
      </c>
      <c r="C24" s="382" t="s">
        <v>1930</v>
      </c>
      <c r="D24" s="382" t="s">
        <v>4217</v>
      </c>
      <c r="E24" s="383" t="s">
        <v>4261</v>
      </c>
      <c r="F24" s="383" t="s">
        <v>4262</v>
      </c>
      <c r="G24" s="380" t="s">
        <v>3099</v>
      </c>
      <c r="H24" s="356" t="s">
        <v>7187</v>
      </c>
      <c r="I24" s="384"/>
      <c r="J24" s="384"/>
      <c r="K24" s="384"/>
      <c r="L24" s="384"/>
    </row>
    <row r="25" spans="1:12">
      <c r="A25" s="386">
        <v>16</v>
      </c>
      <c r="B25" s="385" t="s">
        <v>3139</v>
      </c>
      <c r="C25" s="382" t="s">
        <v>1932</v>
      </c>
      <c r="D25" s="382" t="s">
        <v>4218</v>
      </c>
      <c r="E25" s="383" t="s">
        <v>4261</v>
      </c>
      <c r="F25" s="383" t="s">
        <v>4262</v>
      </c>
      <c r="G25" s="380" t="s">
        <v>3099</v>
      </c>
      <c r="H25" s="356" t="s">
        <v>7188</v>
      </c>
      <c r="I25" s="384"/>
      <c r="J25" s="384"/>
      <c r="K25" s="384"/>
      <c r="L25" s="384"/>
    </row>
    <row r="26" spans="1:12">
      <c r="A26" s="386">
        <v>17</v>
      </c>
      <c r="B26" s="385" t="s">
        <v>3139</v>
      </c>
      <c r="C26" s="382" t="s">
        <v>1934</v>
      </c>
      <c r="D26" s="382" t="s">
        <v>4219</v>
      </c>
      <c r="E26" s="383" t="s">
        <v>4261</v>
      </c>
      <c r="F26" s="383" t="s">
        <v>4262</v>
      </c>
      <c r="G26" s="380" t="s">
        <v>3099</v>
      </c>
      <c r="H26" s="356" t="s">
        <v>7189</v>
      </c>
      <c r="I26" s="384"/>
      <c r="J26" s="384"/>
      <c r="K26" s="384"/>
      <c r="L26" s="384"/>
    </row>
    <row r="27" spans="1:12">
      <c r="A27" s="386">
        <v>18</v>
      </c>
      <c r="B27" s="385" t="s">
        <v>3139</v>
      </c>
      <c r="C27" s="382" t="s">
        <v>1936</v>
      </c>
      <c r="D27" s="382" t="s">
        <v>4220</v>
      </c>
      <c r="E27" s="383" t="s">
        <v>4261</v>
      </c>
      <c r="F27" s="383" t="s">
        <v>4262</v>
      </c>
      <c r="G27" s="380" t="s">
        <v>3099</v>
      </c>
      <c r="H27" s="356" t="s">
        <v>7190</v>
      </c>
      <c r="I27" s="384"/>
      <c r="J27" s="384"/>
      <c r="K27" s="384"/>
      <c r="L27" s="384"/>
    </row>
    <row r="28" spans="1:12">
      <c r="A28" s="386">
        <v>19</v>
      </c>
      <c r="B28" s="385" t="s">
        <v>3139</v>
      </c>
      <c r="C28" s="382" t="s">
        <v>1938</v>
      </c>
      <c r="D28" s="382" t="s">
        <v>4221</v>
      </c>
      <c r="E28" s="383" t="s">
        <v>4261</v>
      </c>
      <c r="F28" s="383" t="s">
        <v>4262</v>
      </c>
      <c r="G28" s="380" t="s">
        <v>3099</v>
      </c>
      <c r="H28" s="356" t="s">
        <v>7191</v>
      </c>
      <c r="I28" s="384"/>
      <c r="J28" s="384"/>
      <c r="K28" s="384"/>
      <c r="L28" s="384"/>
    </row>
    <row r="29" spans="1:12">
      <c r="A29" s="386">
        <v>20</v>
      </c>
      <c r="B29" s="385" t="s">
        <v>3139</v>
      </c>
      <c r="C29" s="382" t="s">
        <v>1940</v>
      </c>
      <c r="D29" s="382" t="s">
        <v>4222</v>
      </c>
      <c r="E29" s="383" t="s">
        <v>4258</v>
      </c>
      <c r="F29" s="383" t="s">
        <v>4264</v>
      </c>
      <c r="G29" s="380" t="s">
        <v>3099</v>
      </c>
      <c r="H29" s="356" t="s">
        <v>7192</v>
      </c>
      <c r="I29" s="384"/>
      <c r="J29" s="384"/>
      <c r="K29" s="384"/>
      <c r="L29" s="384"/>
    </row>
    <row r="30" spans="1:12">
      <c r="A30" s="386">
        <v>21</v>
      </c>
      <c r="B30" s="385" t="s">
        <v>3139</v>
      </c>
      <c r="C30" s="382" t="s">
        <v>1941</v>
      </c>
      <c r="D30" s="382" t="s">
        <v>4223</v>
      </c>
      <c r="E30" s="383" t="s">
        <v>4258</v>
      </c>
      <c r="F30" s="383" t="s">
        <v>4264</v>
      </c>
      <c r="G30" s="380" t="s">
        <v>3099</v>
      </c>
      <c r="H30" s="356" t="s">
        <v>7193</v>
      </c>
      <c r="I30" s="384"/>
      <c r="J30" s="384"/>
      <c r="K30" s="384"/>
      <c r="L30" s="384"/>
    </row>
    <row r="31" spans="1:12">
      <c r="A31" s="386">
        <v>22</v>
      </c>
      <c r="B31" s="385" t="s">
        <v>3139</v>
      </c>
      <c r="C31" s="382" t="s">
        <v>1943</v>
      </c>
      <c r="D31" s="382" t="s">
        <v>4224</v>
      </c>
      <c r="E31" s="383" t="s">
        <v>4258</v>
      </c>
      <c r="F31" s="383" t="s">
        <v>4264</v>
      </c>
      <c r="G31" s="380" t="s">
        <v>3099</v>
      </c>
      <c r="H31" s="356" t="s">
        <v>7194</v>
      </c>
      <c r="I31" s="384"/>
      <c r="J31" s="384"/>
      <c r="K31" s="384"/>
      <c r="L31" s="384"/>
    </row>
    <row r="32" spans="1:12">
      <c r="A32" s="386">
        <v>23</v>
      </c>
      <c r="B32" s="385" t="s">
        <v>3139</v>
      </c>
      <c r="C32" s="382" t="s">
        <v>1945</v>
      </c>
      <c r="D32" s="382" t="s">
        <v>4225</v>
      </c>
      <c r="E32" s="383" t="s">
        <v>4258</v>
      </c>
      <c r="F32" s="383" t="s">
        <v>4264</v>
      </c>
      <c r="G32" s="380" t="s">
        <v>3099</v>
      </c>
      <c r="H32" s="356" t="s">
        <v>7195</v>
      </c>
      <c r="I32" s="384"/>
      <c r="J32" s="384"/>
      <c r="K32" s="384"/>
      <c r="L32" s="384"/>
    </row>
    <row r="33" spans="1:12">
      <c r="A33" s="386">
        <v>24</v>
      </c>
      <c r="B33" s="385" t="s">
        <v>3139</v>
      </c>
      <c r="C33" s="382" t="s">
        <v>1947</v>
      </c>
      <c r="D33" s="382" t="s">
        <v>4226</v>
      </c>
      <c r="E33" s="383" t="s">
        <v>4258</v>
      </c>
      <c r="F33" s="383" t="s">
        <v>4266</v>
      </c>
      <c r="G33" s="380" t="s">
        <v>3099</v>
      </c>
      <c r="H33" s="356" t="s">
        <v>7196</v>
      </c>
      <c r="I33" s="384"/>
      <c r="J33" s="384"/>
      <c r="K33" s="384"/>
      <c r="L33" s="384"/>
    </row>
    <row r="34" spans="1:12">
      <c r="A34" s="386">
        <v>25</v>
      </c>
      <c r="B34" s="385" t="s">
        <v>3139</v>
      </c>
      <c r="C34" s="382" t="s">
        <v>1949</v>
      </c>
      <c r="D34" s="382" t="s">
        <v>4227</v>
      </c>
      <c r="E34" s="383" t="s">
        <v>4258</v>
      </c>
      <c r="F34" s="383" t="s">
        <v>4263</v>
      </c>
      <c r="G34" s="380" t="s">
        <v>3099</v>
      </c>
      <c r="H34" s="356" t="s">
        <v>7197</v>
      </c>
      <c r="I34" s="384"/>
      <c r="J34" s="384"/>
      <c r="K34" s="384"/>
      <c r="L34" s="384"/>
    </row>
    <row r="35" spans="1:12">
      <c r="A35" s="386">
        <v>26</v>
      </c>
      <c r="B35" s="385" t="s">
        <v>3139</v>
      </c>
      <c r="C35" s="382" t="s">
        <v>1951</v>
      </c>
      <c r="D35" s="382" t="s">
        <v>4228</v>
      </c>
      <c r="E35" s="383" t="s">
        <v>4258</v>
      </c>
      <c r="F35" s="383" t="s">
        <v>4263</v>
      </c>
      <c r="G35" s="380" t="s">
        <v>3099</v>
      </c>
      <c r="H35" s="356" t="s">
        <v>7198</v>
      </c>
      <c r="I35" s="384"/>
      <c r="J35" s="384"/>
      <c r="K35" s="384"/>
      <c r="L35" s="384"/>
    </row>
    <row r="36" spans="1:12">
      <c r="A36" s="386">
        <v>27</v>
      </c>
      <c r="B36" s="385" t="s">
        <v>3139</v>
      </c>
      <c r="C36" s="382" t="s">
        <v>1953</v>
      </c>
      <c r="D36" s="382" t="s">
        <v>4229</v>
      </c>
      <c r="E36" s="383" t="s">
        <v>4258</v>
      </c>
      <c r="F36" s="383" t="s">
        <v>4263</v>
      </c>
      <c r="G36" s="380" t="s">
        <v>3099</v>
      </c>
      <c r="H36" s="356" t="s">
        <v>7199</v>
      </c>
      <c r="I36" s="384"/>
      <c r="J36" s="384"/>
      <c r="K36" s="384"/>
      <c r="L36" s="384"/>
    </row>
    <row r="37" spans="1:12">
      <c r="A37" s="386">
        <v>28</v>
      </c>
      <c r="B37" s="385" t="s">
        <v>3139</v>
      </c>
      <c r="C37" s="382" t="s">
        <v>1955</v>
      </c>
      <c r="D37" s="382" t="s">
        <v>1954</v>
      </c>
      <c r="E37" s="383" t="s">
        <v>4258</v>
      </c>
      <c r="F37" s="383" t="s">
        <v>4264</v>
      </c>
      <c r="G37" s="380" t="s">
        <v>3099</v>
      </c>
      <c r="H37" s="356" t="s">
        <v>7200</v>
      </c>
      <c r="I37" s="384"/>
      <c r="J37" s="384"/>
      <c r="K37" s="384"/>
      <c r="L37" s="384"/>
    </row>
    <row r="38" spans="1:12" ht="22.5">
      <c r="A38" s="386">
        <v>29</v>
      </c>
      <c r="B38" s="385" t="s">
        <v>3139</v>
      </c>
      <c r="C38" s="382" t="s">
        <v>1957</v>
      </c>
      <c r="D38" s="382" t="s">
        <v>4230</v>
      </c>
      <c r="E38" s="383" t="s">
        <v>4258</v>
      </c>
      <c r="F38" s="383" t="s">
        <v>4267</v>
      </c>
      <c r="G38" s="380" t="s">
        <v>3099</v>
      </c>
      <c r="H38" s="515" t="s">
        <v>7201</v>
      </c>
      <c r="I38" s="384"/>
      <c r="J38" s="384"/>
      <c r="K38" s="384"/>
      <c r="L38" s="384"/>
    </row>
    <row r="39" spans="1:12">
      <c r="A39" s="386">
        <v>30</v>
      </c>
      <c r="B39" s="385" t="s">
        <v>3139</v>
      </c>
      <c r="C39" s="382" t="s">
        <v>1959</v>
      </c>
      <c r="D39" s="382" t="s">
        <v>2800</v>
      </c>
      <c r="E39" s="383" t="s">
        <v>4258</v>
      </c>
      <c r="F39" s="383" t="s">
        <v>4264</v>
      </c>
      <c r="G39" s="380" t="s">
        <v>3099</v>
      </c>
      <c r="H39" s="356" t="s">
        <v>7202</v>
      </c>
      <c r="I39" s="384"/>
      <c r="J39" s="384"/>
      <c r="K39" s="384"/>
      <c r="L39" s="384"/>
    </row>
    <row r="40" spans="1:12">
      <c r="A40" s="386">
        <v>31</v>
      </c>
      <c r="B40" s="385" t="s">
        <v>3139</v>
      </c>
      <c r="C40" s="382" t="s">
        <v>1961</v>
      </c>
      <c r="D40" s="382" t="s">
        <v>4231</v>
      </c>
      <c r="E40" s="383" t="s">
        <v>4258</v>
      </c>
      <c r="F40" s="383" t="s">
        <v>4264</v>
      </c>
      <c r="G40" s="380" t="s">
        <v>3099</v>
      </c>
      <c r="H40" s="356" t="s">
        <v>7203</v>
      </c>
      <c r="I40" s="384"/>
      <c r="J40" s="384"/>
      <c r="K40" s="384"/>
      <c r="L40" s="384"/>
    </row>
    <row r="41" spans="1:12">
      <c r="A41" s="386">
        <v>32</v>
      </c>
      <c r="B41" s="385" t="s">
        <v>3139</v>
      </c>
      <c r="C41" s="382" t="s">
        <v>1963</v>
      </c>
      <c r="D41" s="382" t="s">
        <v>4232</v>
      </c>
      <c r="E41" s="383" t="s">
        <v>4258</v>
      </c>
      <c r="F41" s="383" t="s">
        <v>4267</v>
      </c>
      <c r="G41" s="380" t="s">
        <v>3099</v>
      </c>
      <c r="H41" s="356" t="s">
        <v>7204</v>
      </c>
      <c r="I41" s="384"/>
      <c r="J41" s="384"/>
      <c r="K41" s="384"/>
      <c r="L41" s="384"/>
    </row>
    <row r="42" spans="1:12" ht="22.5">
      <c r="A42" s="386">
        <v>33</v>
      </c>
      <c r="B42" s="385" t="s">
        <v>3139</v>
      </c>
      <c r="C42" s="382" t="s">
        <v>1965</v>
      </c>
      <c r="D42" s="382" t="s">
        <v>3899</v>
      </c>
      <c r="E42" s="383" t="s">
        <v>4258</v>
      </c>
      <c r="F42" s="383" t="s">
        <v>4264</v>
      </c>
      <c r="G42" s="380" t="s">
        <v>3099</v>
      </c>
      <c r="H42" s="515" t="s">
        <v>7205</v>
      </c>
      <c r="I42" s="384"/>
      <c r="J42" s="384"/>
      <c r="K42" s="384"/>
      <c r="L42" s="384"/>
    </row>
    <row r="43" spans="1:12">
      <c r="A43" s="386">
        <v>34</v>
      </c>
      <c r="B43" s="385" t="s">
        <v>3139</v>
      </c>
      <c r="C43" s="382" t="s">
        <v>1515</v>
      </c>
      <c r="D43" s="382" t="s">
        <v>4233</v>
      </c>
      <c r="E43" s="383" t="s">
        <v>4261</v>
      </c>
      <c r="F43" s="383" t="s">
        <v>4262</v>
      </c>
      <c r="G43" s="380" t="s">
        <v>3099</v>
      </c>
      <c r="H43" s="356" t="s">
        <v>7206</v>
      </c>
      <c r="I43" s="384"/>
      <c r="J43" s="384"/>
      <c r="K43" s="384"/>
      <c r="L43" s="384"/>
    </row>
    <row r="44" spans="1:12">
      <c r="A44" s="386">
        <v>35</v>
      </c>
      <c r="B44" s="385" t="s">
        <v>3139</v>
      </c>
      <c r="C44" s="382" t="s">
        <v>1968</v>
      </c>
      <c r="D44" s="382" t="s">
        <v>4234</v>
      </c>
      <c r="E44" s="383" t="s">
        <v>4261</v>
      </c>
      <c r="F44" s="383" t="s">
        <v>4262</v>
      </c>
      <c r="G44" s="380" t="s">
        <v>3099</v>
      </c>
      <c r="H44" s="356" t="s">
        <v>7207</v>
      </c>
      <c r="I44" s="384"/>
      <c r="J44" s="384"/>
      <c r="K44" s="384"/>
      <c r="L44" s="384"/>
    </row>
    <row r="45" spans="1:12">
      <c r="A45" s="386">
        <v>36</v>
      </c>
      <c r="B45" s="385" t="s">
        <v>3139</v>
      </c>
      <c r="C45" s="382" t="s">
        <v>1970</v>
      </c>
      <c r="D45" s="382" t="s">
        <v>4235</v>
      </c>
      <c r="E45" s="383" t="s">
        <v>4261</v>
      </c>
      <c r="F45" s="383" t="s">
        <v>4262</v>
      </c>
      <c r="G45" s="380" t="s">
        <v>3099</v>
      </c>
      <c r="H45" s="356" t="s">
        <v>7208</v>
      </c>
      <c r="I45" s="384"/>
      <c r="J45" s="384"/>
      <c r="K45" s="384"/>
      <c r="L45" s="384"/>
    </row>
    <row r="46" spans="1:12">
      <c r="A46" s="386">
        <v>37</v>
      </c>
      <c r="B46" s="385" t="s">
        <v>3139</v>
      </c>
      <c r="C46" s="382" t="s">
        <v>1972</v>
      </c>
      <c r="D46" s="382" t="s">
        <v>4236</v>
      </c>
      <c r="E46" s="383" t="s">
        <v>4261</v>
      </c>
      <c r="F46" s="383" t="s">
        <v>4262</v>
      </c>
      <c r="G46" s="380" t="s">
        <v>3099</v>
      </c>
      <c r="H46" s="356" t="s">
        <v>7209</v>
      </c>
      <c r="I46" s="384"/>
      <c r="J46" s="384"/>
      <c r="K46" s="384"/>
      <c r="L46" s="384"/>
    </row>
    <row r="47" spans="1:12">
      <c r="A47" s="386">
        <v>38</v>
      </c>
      <c r="B47" s="385" t="s">
        <v>3139</v>
      </c>
      <c r="C47" s="382" t="s">
        <v>1974</v>
      </c>
      <c r="D47" s="382" t="s">
        <v>4237</v>
      </c>
      <c r="E47" s="383" t="s">
        <v>4268</v>
      </c>
      <c r="F47" s="383" t="s">
        <v>4269</v>
      </c>
      <c r="G47" s="380" t="s">
        <v>3099</v>
      </c>
      <c r="H47" s="356" t="s">
        <v>7210</v>
      </c>
      <c r="I47" s="384"/>
      <c r="J47" s="384"/>
      <c r="K47" s="384"/>
      <c r="L47" s="384"/>
    </row>
    <row r="48" spans="1:12">
      <c r="A48" s="386">
        <v>39</v>
      </c>
      <c r="B48" s="385" t="s">
        <v>3139</v>
      </c>
      <c r="C48" s="382" t="s">
        <v>1976</v>
      </c>
      <c r="D48" s="382" t="s">
        <v>4238</v>
      </c>
      <c r="E48" s="383" t="s">
        <v>4268</v>
      </c>
      <c r="F48" s="383" t="s">
        <v>4269</v>
      </c>
      <c r="G48" s="380" t="s">
        <v>3099</v>
      </c>
      <c r="H48" s="356" t="s">
        <v>7211</v>
      </c>
      <c r="I48" s="384"/>
      <c r="J48" s="384"/>
      <c r="K48" s="384"/>
      <c r="L48" s="384"/>
    </row>
    <row r="49" spans="1:12">
      <c r="A49" s="386">
        <v>40</v>
      </c>
      <c r="B49" s="385" t="s">
        <v>3139</v>
      </c>
      <c r="C49" s="382" t="s">
        <v>1978</v>
      </c>
      <c r="D49" s="382" t="s">
        <v>1931</v>
      </c>
      <c r="E49" s="383" t="s">
        <v>4261</v>
      </c>
      <c r="F49" s="383" t="s">
        <v>4262</v>
      </c>
      <c r="G49" s="380" t="s">
        <v>3099</v>
      </c>
      <c r="H49" s="356" t="s">
        <v>7212</v>
      </c>
      <c r="I49" s="384"/>
      <c r="J49" s="384"/>
      <c r="K49" s="384"/>
      <c r="L49" s="384"/>
    </row>
    <row r="50" spans="1:12">
      <c r="A50" s="386">
        <v>41</v>
      </c>
      <c r="B50" s="385" t="s">
        <v>3139</v>
      </c>
      <c r="C50" s="382" t="s">
        <v>1980</v>
      </c>
      <c r="D50" s="382" t="s">
        <v>4239</v>
      </c>
      <c r="E50" s="383" t="s">
        <v>4261</v>
      </c>
      <c r="F50" s="383" t="s">
        <v>4262</v>
      </c>
      <c r="G50" s="380" t="s">
        <v>3099</v>
      </c>
      <c r="H50" s="356" t="s">
        <v>7213</v>
      </c>
      <c r="I50" s="384"/>
      <c r="J50" s="384"/>
      <c r="K50" s="384"/>
      <c r="L50" s="384"/>
    </row>
    <row r="51" spans="1:12">
      <c r="A51" s="386">
        <v>42</v>
      </c>
      <c r="B51" s="385" t="s">
        <v>3139</v>
      </c>
      <c r="C51" s="382" t="s">
        <v>1982</v>
      </c>
      <c r="D51" s="382" t="s">
        <v>4240</v>
      </c>
      <c r="E51" s="383" t="s">
        <v>4261</v>
      </c>
      <c r="F51" s="383" t="s">
        <v>4262</v>
      </c>
      <c r="G51" s="380" t="s">
        <v>3099</v>
      </c>
      <c r="H51" s="356" t="s">
        <v>7214</v>
      </c>
      <c r="I51" s="384"/>
      <c r="J51" s="384"/>
      <c r="K51" s="384"/>
      <c r="L51" s="384"/>
    </row>
    <row r="52" spans="1:12">
      <c r="A52" s="386">
        <v>43</v>
      </c>
      <c r="B52" s="351" t="s">
        <v>3139</v>
      </c>
      <c r="C52" s="359" t="s">
        <v>1984</v>
      </c>
      <c r="D52" s="359" t="s">
        <v>4241</v>
      </c>
      <c r="E52" s="360" t="s">
        <v>4258</v>
      </c>
      <c r="F52" s="360" t="s">
        <v>4264</v>
      </c>
      <c r="G52" s="512" t="s">
        <v>3099</v>
      </c>
      <c r="H52" s="356" t="s">
        <v>7215</v>
      </c>
      <c r="I52" s="263"/>
      <c r="J52" s="384"/>
      <c r="K52" s="384"/>
      <c r="L52" s="384"/>
    </row>
    <row r="53" spans="1:12">
      <c r="A53" s="386">
        <v>44</v>
      </c>
      <c r="B53" s="351" t="s">
        <v>3139</v>
      </c>
      <c r="C53" s="359" t="s">
        <v>1986</v>
      </c>
      <c r="D53" s="359" t="s">
        <v>4242</v>
      </c>
      <c r="E53" s="360" t="s">
        <v>4268</v>
      </c>
      <c r="F53" s="360" t="s">
        <v>4269</v>
      </c>
      <c r="G53" s="512" t="s">
        <v>3099</v>
      </c>
      <c r="H53" s="356" t="s">
        <v>7216</v>
      </c>
      <c r="I53" s="263"/>
      <c r="J53" s="384"/>
      <c r="K53" s="384"/>
      <c r="L53" s="384"/>
    </row>
    <row r="54" spans="1:12">
      <c r="A54" s="386">
        <v>45</v>
      </c>
      <c r="B54" s="351" t="s">
        <v>3139</v>
      </c>
      <c r="C54" s="359" t="s">
        <v>1988</v>
      </c>
      <c r="D54" s="359" t="s">
        <v>4243</v>
      </c>
      <c r="E54" s="360" t="s">
        <v>4258</v>
      </c>
      <c r="F54" s="360" t="s">
        <v>4263</v>
      </c>
      <c r="G54" s="512" t="s">
        <v>3099</v>
      </c>
      <c r="H54" s="356" t="s">
        <v>7217</v>
      </c>
      <c r="I54" s="263"/>
      <c r="J54" s="384"/>
      <c r="K54" s="384"/>
      <c r="L54" s="384"/>
    </row>
    <row r="55" spans="1:12">
      <c r="A55" s="386">
        <v>46</v>
      </c>
      <c r="B55" s="351" t="s">
        <v>3139</v>
      </c>
      <c r="C55" s="359" t="s">
        <v>1990</v>
      </c>
      <c r="D55" s="263" t="s">
        <v>7238</v>
      </c>
      <c r="E55" s="360" t="s">
        <v>4258</v>
      </c>
      <c r="F55" s="360">
        <v>200</v>
      </c>
      <c r="G55" s="512" t="s">
        <v>3099</v>
      </c>
      <c r="H55" s="356" t="s">
        <v>7218</v>
      </c>
      <c r="I55" s="263"/>
      <c r="J55" s="384"/>
      <c r="K55" s="384"/>
      <c r="L55" s="384"/>
    </row>
    <row r="56" spans="1:12">
      <c r="A56" s="386">
        <v>47</v>
      </c>
      <c r="B56" s="351" t="s">
        <v>3139</v>
      </c>
      <c r="C56" s="359" t="s">
        <v>5006</v>
      </c>
      <c r="D56" s="263" t="s">
        <v>7239</v>
      </c>
      <c r="E56" s="360" t="s">
        <v>4258</v>
      </c>
      <c r="F56" s="360">
        <v>200</v>
      </c>
      <c r="G56" s="512" t="s">
        <v>3099</v>
      </c>
      <c r="H56" s="356" t="s">
        <v>7219</v>
      </c>
      <c r="I56" s="263"/>
      <c r="J56" s="384"/>
      <c r="K56" s="384"/>
      <c r="L56" s="384"/>
    </row>
    <row r="57" spans="1:12">
      <c r="A57" s="386">
        <v>48</v>
      </c>
      <c r="B57" s="351" t="s">
        <v>3139</v>
      </c>
      <c r="C57" s="359" t="s">
        <v>5007</v>
      </c>
      <c r="D57" s="263" t="s">
        <v>7240</v>
      </c>
      <c r="E57" s="360" t="s">
        <v>4258</v>
      </c>
      <c r="F57" s="360">
        <v>200</v>
      </c>
      <c r="G57" s="512" t="s">
        <v>3099</v>
      </c>
      <c r="H57" s="356" t="s">
        <v>7220</v>
      </c>
      <c r="I57" s="263"/>
      <c r="J57" s="384"/>
      <c r="K57" s="384"/>
      <c r="L57" s="384"/>
    </row>
    <row r="58" spans="1:12">
      <c r="A58" s="386">
        <v>49</v>
      </c>
      <c r="B58" s="351" t="s">
        <v>3139</v>
      </c>
      <c r="C58" s="359" t="s">
        <v>5008</v>
      </c>
      <c r="D58" s="263" t="s">
        <v>7241</v>
      </c>
      <c r="E58" s="360" t="s">
        <v>4258</v>
      </c>
      <c r="F58" s="360">
        <v>200</v>
      </c>
      <c r="G58" s="512" t="s">
        <v>3099</v>
      </c>
      <c r="H58" s="356" t="s">
        <v>7221</v>
      </c>
      <c r="I58" s="263"/>
      <c r="J58" s="384"/>
      <c r="K58" s="384"/>
      <c r="L58" s="384"/>
    </row>
    <row r="59" spans="1:12">
      <c r="A59" s="386">
        <v>46</v>
      </c>
      <c r="B59" s="351" t="s">
        <v>3139</v>
      </c>
      <c r="C59" s="359" t="s">
        <v>4244</v>
      </c>
      <c r="D59" s="359" t="s">
        <v>1935</v>
      </c>
      <c r="E59" s="360" t="s">
        <v>4258</v>
      </c>
      <c r="F59" s="360" t="s">
        <v>4264</v>
      </c>
      <c r="G59" s="512" t="s">
        <v>3099</v>
      </c>
      <c r="H59" s="356" t="s">
        <v>7222</v>
      </c>
      <c r="I59" s="263"/>
      <c r="J59" s="384"/>
      <c r="K59" s="384"/>
      <c r="L59" s="384"/>
    </row>
    <row r="60" spans="1:12">
      <c r="A60" s="386">
        <v>47</v>
      </c>
      <c r="B60" s="351" t="s">
        <v>3139</v>
      </c>
      <c r="C60" s="359" t="s">
        <v>4245</v>
      </c>
      <c r="D60" s="359" t="s">
        <v>1933</v>
      </c>
      <c r="E60" s="360" t="s">
        <v>4268</v>
      </c>
      <c r="F60" s="360" t="s">
        <v>4269</v>
      </c>
      <c r="G60" s="512" t="s">
        <v>3099</v>
      </c>
      <c r="H60" s="356" t="s">
        <v>7223</v>
      </c>
      <c r="I60" s="263"/>
      <c r="J60" s="384"/>
      <c r="K60" s="384"/>
      <c r="L60" s="384"/>
    </row>
    <row r="61" spans="1:12">
      <c r="A61" s="386">
        <v>48</v>
      </c>
      <c r="B61" s="351" t="s">
        <v>3139</v>
      </c>
      <c r="C61" s="359" t="s">
        <v>2812</v>
      </c>
      <c r="D61" s="359" t="s">
        <v>4246</v>
      </c>
      <c r="E61" s="360" t="s">
        <v>4268</v>
      </c>
      <c r="F61" s="360" t="s">
        <v>4269</v>
      </c>
      <c r="G61" s="512" t="s">
        <v>3099</v>
      </c>
      <c r="H61" s="356" t="s">
        <v>7224</v>
      </c>
      <c r="I61" s="263"/>
      <c r="J61" s="384"/>
      <c r="K61" s="384"/>
      <c r="L61" s="384"/>
    </row>
    <row r="62" spans="1:12">
      <c r="A62" s="386">
        <v>49</v>
      </c>
      <c r="B62" s="351" t="s">
        <v>3139</v>
      </c>
      <c r="C62" s="359" t="s">
        <v>2024</v>
      </c>
      <c r="D62" s="359" t="s">
        <v>4247</v>
      </c>
      <c r="E62" s="360" t="s">
        <v>4261</v>
      </c>
      <c r="F62" s="360" t="s">
        <v>4262</v>
      </c>
      <c r="G62" s="512" t="s">
        <v>3099</v>
      </c>
      <c r="H62" s="356" t="s">
        <v>7225</v>
      </c>
      <c r="I62" s="263"/>
      <c r="J62" s="384"/>
      <c r="K62" s="384"/>
      <c r="L62" s="384"/>
    </row>
    <row r="63" spans="1:12">
      <c r="A63" s="386">
        <v>50</v>
      </c>
      <c r="B63" s="385" t="s">
        <v>3139</v>
      </c>
      <c r="C63" s="382" t="s">
        <v>2025</v>
      </c>
      <c r="D63" s="382" t="s">
        <v>4248</v>
      </c>
      <c r="E63" s="383" t="s">
        <v>4261</v>
      </c>
      <c r="F63" s="383" t="s">
        <v>4262</v>
      </c>
      <c r="G63" s="380" t="s">
        <v>3099</v>
      </c>
      <c r="H63" s="356" t="s">
        <v>7226</v>
      </c>
      <c r="I63" s="384"/>
      <c r="J63" s="384"/>
      <c r="K63" s="384"/>
      <c r="L63" s="384"/>
    </row>
    <row r="64" spans="1:12" ht="22.5">
      <c r="A64" s="386">
        <v>51</v>
      </c>
      <c r="B64" s="385" t="s">
        <v>3139</v>
      </c>
      <c r="C64" s="382" t="s">
        <v>2026</v>
      </c>
      <c r="D64" s="382" t="s">
        <v>4249</v>
      </c>
      <c r="E64" s="383" t="s">
        <v>4258</v>
      </c>
      <c r="F64" s="383" t="s">
        <v>4264</v>
      </c>
      <c r="G64" s="380" t="s">
        <v>3099</v>
      </c>
      <c r="H64" s="515" t="s">
        <v>7227</v>
      </c>
      <c r="I64" s="384"/>
      <c r="J64" s="384"/>
      <c r="K64" s="384"/>
      <c r="L64" s="384"/>
    </row>
    <row r="65" spans="1:12">
      <c r="A65" s="386">
        <v>52</v>
      </c>
      <c r="B65" s="385" t="s">
        <v>3139</v>
      </c>
      <c r="C65" s="382" t="s">
        <v>2027</v>
      </c>
      <c r="D65" s="382" t="s">
        <v>4282</v>
      </c>
      <c r="E65" s="383" t="s">
        <v>4258</v>
      </c>
      <c r="F65" s="383" t="s">
        <v>4264</v>
      </c>
      <c r="G65" s="380" t="s">
        <v>3099</v>
      </c>
      <c r="H65" s="241" t="s">
        <v>7285</v>
      </c>
      <c r="I65" s="384"/>
      <c r="J65" s="384"/>
      <c r="K65" s="384"/>
      <c r="L65" s="384"/>
    </row>
    <row r="66" spans="1:12">
      <c r="A66" s="386">
        <v>53</v>
      </c>
      <c r="B66" s="385" t="s">
        <v>3139</v>
      </c>
      <c r="C66" s="382" t="s">
        <v>2028</v>
      </c>
      <c r="D66" s="517" t="s">
        <v>7370</v>
      </c>
      <c r="E66" s="383" t="s">
        <v>4258</v>
      </c>
      <c r="F66" s="383" t="s">
        <v>4264</v>
      </c>
      <c r="G66" s="380" t="s">
        <v>3099</v>
      </c>
      <c r="H66" s="241" t="s">
        <v>7285</v>
      </c>
      <c r="I66" s="532"/>
      <c r="J66" s="532"/>
      <c r="K66" s="532"/>
      <c r="L66" s="532"/>
    </row>
    <row r="67" spans="1:12">
      <c r="A67" s="386">
        <v>54</v>
      </c>
      <c r="B67" s="385" t="s">
        <v>3139</v>
      </c>
      <c r="C67" s="382" t="s">
        <v>3195</v>
      </c>
      <c r="D67" s="517" t="s">
        <v>7371</v>
      </c>
      <c r="E67" s="383" t="s">
        <v>4258</v>
      </c>
      <c r="F67" s="383" t="s">
        <v>4264</v>
      </c>
      <c r="G67" s="380" t="s">
        <v>3099</v>
      </c>
      <c r="H67" s="241" t="s">
        <v>7285</v>
      </c>
      <c r="I67" s="532"/>
      <c r="J67" s="532"/>
      <c r="K67" s="532"/>
      <c r="L67" s="532"/>
    </row>
    <row r="68" spans="1:12">
      <c r="A68" s="386">
        <v>57</v>
      </c>
      <c r="B68" s="385" t="s">
        <v>3139</v>
      </c>
      <c r="C68" s="382" t="s">
        <v>5010</v>
      </c>
      <c r="D68" s="517" t="s">
        <v>7350</v>
      </c>
      <c r="E68" s="383" t="s">
        <v>4261</v>
      </c>
      <c r="F68" s="383" t="s">
        <v>4262</v>
      </c>
      <c r="G68" s="380" t="s">
        <v>3099</v>
      </c>
      <c r="H68" s="241" t="s">
        <v>7285</v>
      </c>
      <c r="I68" s="532"/>
      <c r="J68" s="532"/>
      <c r="K68" s="532"/>
      <c r="L68" s="532"/>
    </row>
    <row r="69" spans="1:12">
      <c r="A69" s="386">
        <v>58</v>
      </c>
      <c r="B69" s="385" t="s">
        <v>3139</v>
      </c>
      <c r="C69" s="382" t="s">
        <v>5011</v>
      </c>
      <c r="D69" s="517" t="s">
        <v>7351</v>
      </c>
      <c r="E69" s="383" t="s">
        <v>4258</v>
      </c>
      <c r="F69" s="383" t="s">
        <v>4264</v>
      </c>
      <c r="G69" s="380" t="s">
        <v>3099</v>
      </c>
      <c r="H69" s="241" t="s">
        <v>7285</v>
      </c>
      <c r="I69" s="532"/>
      <c r="J69" s="532"/>
      <c r="K69" s="532"/>
      <c r="L69" s="532"/>
    </row>
    <row r="70" spans="1:12">
      <c r="A70" s="386">
        <v>59</v>
      </c>
      <c r="B70" s="351" t="s">
        <v>3139</v>
      </c>
      <c r="C70" s="359" t="s">
        <v>4250</v>
      </c>
      <c r="D70" s="359" t="s">
        <v>4251</v>
      </c>
      <c r="E70" s="360" t="s">
        <v>4258</v>
      </c>
      <c r="F70" s="360" t="s">
        <v>4265</v>
      </c>
      <c r="G70" s="512" t="s">
        <v>3099</v>
      </c>
      <c r="H70" s="356" t="s">
        <v>7228</v>
      </c>
      <c r="I70" s="263"/>
      <c r="J70" s="263"/>
      <c r="K70" s="263"/>
      <c r="L70" s="263"/>
    </row>
    <row r="71" spans="1:12">
      <c r="A71" s="386">
        <v>60</v>
      </c>
      <c r="B71" s="351" t="s">
        <v>3139</v>
      </c>
      <c r="C71" s="359" t="s">
        <v>1998</v>
      </c>
      <c r="D71" s="359" t="s">
        <v>4252</v>
      </c>
      <c r="E71" s="360" t="s">
        <v>4258</v>
      </c>
      <c r="F71" s="360" t="s">
        <v>4267</v>
      </c>
      <c r="G71" s="512" t="s">
        <v>3099</v>
      </c>
      <c r="H71" s="356" t="s">
        <v>7229</v>
      </c>
      <c r="I71" s="263"/>
      <c r="J71" s="263"/>
      <c r="K71" s="263"/>
      <c r="L71" s="263"/>
    </row>
    <row r="72" spans="1:12">
      <c r="A72" s="386">
        <v>61</v>
      </c>
      <c r="B72" s="351" t="s">
        <v>3139</v>
      </c>
      <c r="C72" s="359" t="s">
        <v>2005</v>
      </c>
      <c r="D72" s="359" t="s">
        <v>4253</v>
      </c>
      <c r="E72" s="360" t="s">
        <v>4258</v>
      </c>
      <c r="F72" s="360" t="s">
        <v>4267</v>
      </c>
      <c r="G72" s="512" t="s">
        <v>3099</v>
      </c>
      <c r="H72" s="356" t="s">
        <v>4253</v>
      </c>
      <c r="I72" s="263"/>
      <c r="J72" s="263"/>
      <c r="K72" s="263"/>
      <c r="L72" s="263"/>
    </row>
    <row r="73" spans="1:12">
      <c r="A73" s="386">
        <v>62</v>
      </c>
      <c r="B73" s="351" t="s">
        <v>3139</v>
      </c>
      <c r="C73" s="359" t="s">
        <v>2007</v>
      </c>
      <c r="D73" s="359" t="s">
        <v>4254</v>
      </c>
      <c r="E73" s="360" t="s">
        <v>4258</v>
      </c>
      <c r="F73" s="360" t="s">
        <v>4267</v>
      </c>
      <c r="G73" s="512" t="s">
        <v>3099</v>
      </c>
      <c r="H73" s="356" t="s">
        <v>4254</v>
      </c>
      <c r="I73" s="263"/>
      <c r="J73" s="263"/>
      <c r="K73" s="263"/>
      <c r="L73" s="263"/>
    </row>
    <row r="74" spans="1:12">
      <c r="A74" s="386">
        <v>63</v>
      </c>
      <c r="B74" s="351" t="s">
        <v>3139</v>
      </c>
      <c r="C74" s="359" t="s">
        <v>2008</v>
      </c>
      <c r="D74" s="359" t="s">
        <v>4255</v>
      </c>
      <c r="E74" s="360" t="s">
        <v>4258</v>
      </c>
      <c r="F74" s="360" t="s">
        <v>4267</v>
      </c>
      <c r="G74" s="512" t="s">
        <v>3099</v>
      </c>
      <c r="H74" s="339" t="s">
        <v>4255</v>
      </c>
      <c r="I74" s="263"/>
      <c r="J74" s="263"/>
      <c r="K74" s="263"/>
      <c r="L74" s="263"/>
    </row>
    <row r="75" spans="1:12">
      <c r="A75" s="386">
        <v>64</v>
      </c>
      <c r="B75" s="351" t="s">
        <v>3139</v>
      </c>
      <c r="C75" s="359" t="s">
        <v>2009</v>
      </c>
      <c r="D75" s="359" t="s">
        <v>4256</v>
      </c>
      <c r="E75" s="360" t="s">
        <v>4258</v>
      </c>
      <c r="F75" s="360" t="s">
        <v>4267</v>
      </c>
      <c r="G75" s="512" t="s">
        <v>3099</v>
      </c>
      <c r="H75" s="339" t="s">
        <v>4256</v>
      </c>
      <c r="I75" s="263"/>
      <c r="J75" s="263"/>
      <c r="K75" s="263"/>
      <c r="L75" s="263"/>
    </row>
    <row r="76" spans="1:12">
      <c r="A76" s="386">
        <v>65</v>
      </c>
      <c r="B76" s="351" t="s">
        <v>3139</v>
      </c>
      <c r="C76" s="359" t="s">
        <v>2010</v>
      </c>
      <c r="D76" s="359" t="s">
        <v>4257</v>
      </c>
      <c r="E76" s="360" t="s">
        <v>4258</v>
      </c>
      <c r="F76" s="360" t="s">
        <v>4267</v>
      </c>
      <c r="G76" s="512" t="s">
        <v>3099</v>
      </c>
      <c r="H76" s="339" t="s">
        <v>4257</v>
      </c>
      <c r="I76" s="263"/>
      <c r="J76" s="263"/>
      <c r="K76" s="263"/>
      <c r="L76" s="263"/>
    </row>
    <row r="77" spans="1:12" ht="13.5">
      <c r="A77" s="782">
        <v>66</v>
      </c>
      <c r="B77" s="783" t="s">
        <v>3139</v>
      </c>
      <c r="C77" s="780" t="s">
        <v>7550</v>
      </c>
      <c r="D77" s="781" t="s">
        <v>4400</v>
      </c>
      <c r="E77" s="780" t="s">
        <v>275</v>
      </c>
      <c r="F77" s="784"/>
      <c r="G77" s="784"/>
      <c r="H77" s="785"/>
      <c r="I77" s="784"/>
      <c r="J77" s="784"/>
      <c r="K77" s="784"/>
      <c r="L77" s="784"/>
    </row>
    <row r="78" spans="1:12" ht="13.5">
      <c r="A78" s="782">
        <v>67</v>
      </c>
      <c r="B78" s="783" t="s">
        <v>3139</v>
      </c>
      <c r="C78" s="780" t="s">
        <v>7551</v>
      </c>
      <c r="D78" s="781" t="s">
        <v>7539</v>
      </c>
      <c r="E78" s="780" t="s">
        <v>275</v>
      </c>
      <c r="F78" s="784"/>
      <c r="G78" s="784"/>
      <c r="H78" s="785"/>
      <c r="I78" s="784"/>
      <c r="J78" s="784"/>
      <c r="K78" s="784"/>
      <c r="L78" s="784"/>
    </row>
    <row r="79" spans="1:12" ht="13.5">
      <c r="A79" s="782">
        <v>68</v>
      </c>
      <c r="B79" s="783" t="s">
        <v>3139</v>
      </c>
      <c r="C79" s="780" t="s">
        <v>7552</v>
      </c>
      <c r="D79" s="781" t="s">
        <v>7540</v>
      </c>
      <c r="E79" s="780" t="s">
        <v>275</v>
      </c>
      <c r="F79" s="784"/>
      <c r="G79" s="784"/>
      <c r="H79" s="785"/>
      <c r="I79" s="784"/>
      <c r="J79" s="784"/>
      <c r="K79" s="784"/>
      <c r="L79" s="784"/>
    </row>
    <row r="80" spans="1:12" ht="13.5">
      <c r="A80" s="782">
        <v>69</v>
      </c>
      <c r="B80" s="783" t="s">
        <v>3139</v>
      </c>
      <c r="C80" s="780" t="s">
        <v>7553</v>
      </c>
      <c r="D80" s="781" t="s">
        <v>7541</v>
      </c>
      <c r="E80" s="780" t="s">
        <v>275</v>
      </c>
      <c r="F80" s="784"/>
      <c r="G80" s="784"/>
      <c r="H80" s="785"/>
      <c r="I80" s="784"/>
      <c r="J80" s="784"/>
      <c r="K80" s="784"/>
      <c r="L80" s="784"/>
    </row>
    <row r="81" spans="1:12" ht="13.5">
      <c r="A81" s="782">
        <v>70</v>
      </c>
      <c r="B81" s="783" t="s">
        <v>3139</v>
      </c>
      <c r="C81" s="780" t="s">
        <v>7554</v>
      </c>
      <c r="D81" s="781" t="s">
        <v>7542</v>
      </c>
      <c r="E81" s="780" t="s">
        <v>275</v>
      </c>
      <c r="F81" s="784"/>
      <c r="G81" s="784"/>
      <c r="H81" s="785"/>
      <c r="I81" s="784"/>
      <c r="J81" s="784"/>
      <c r="K81" s="784"/>
      <c r="L81" s="784"/>
    </row>
    <row r="82" spans="1:12" ht="13.5">
      <c r="A82" s="782">
        <v>71</v>
      </c>
      <c r="B82" s="783" t="s">
        <v>3139</v>
      </c>
      <c r="C82" s="780" t="s">
        <v>7555</v>
      </c>
      <c r="D82" s="781" t="s">
        <v>7543</v>
      </c>
      <c r="E82" s="780" t="s">
        <v>4421</v>
      </c>
      <c r="F82" s="784"/>
      <c r="G82" s="784"/>
      <c r="H82" s="785"/>
      <c r="I82" s="784"/>
      <c r="J82" s="784"/>
      <c r="K82" s="784"/>
      <c r="L82" s="784"/>
    </row>
    <row r="83" spans="1:12" ht="13.5">
      <c r="A83" s="782">
        <v>72</v>
      </c>
      <c r="B83" s="783" t="s">
        <v>3139</v>
      </c>
      <c r="C83" s="780" t="s">
        <v>7556</v>
      </c>
      <c r="D83" s="781" t="s">
        <v>7544</v>
      </c>
      <c r="E83" s="780" t="s">
        <v>275</v>
      </c>
      <c r="F83" s="784"/>
      <c r="G83" s="784"/>
      <c r="H83" s="785"/>
      <c r="I83" s="784"/>
      <c r="J83" s="784"/>
      <c r="K83" s="784"/>
      <c r="L83" s="784"/>
    </row>
    <row r="84" spans="1:12" ht="13.5">
      <c r="A84" s="782">
        <v>73</v>
      </c>
      <c r="B84" s="783" t="s">
        <v>3139</v>
      </c>
      <c r="C84" s="780" t="s">
        <v>7557</v>
      </c>
      <c r="D84" s="781" t="s">
        <v>7545</v>
      </c>
      <c r="E84" s="780" t="s">
        <v>275</v>
      </c>
      <c r="F84" s="784"/>
      <c r="G84" s="784"/>
      <c r="H84" s="785"/>
      <c r="I84" s="784"/>
      <c r="J84" s="784"/>
      <c r="K84" s="784"/>
      <c r="L84" s="784"/>
    </row>
    <row r="85" spans="1:12" ht="13.5">
      <c r="A85" s="782">
        <v>74</v>
      </c>
      <c r="B85" s="783" t="s">
        <v>3139</v>
      </c>
      <c r="C85" s="780" t="s">
        <v>7558</v>
      </c>
      <c r="D85" s="781" t="s">
        <v>7546</v>
      </c>
      <c r="E85" s="780" t="s">
        <v>275</v>
      </c>
      <c r="F85" s="784"/>
      <c r="G85" s="784"/>
      <c r="H85" s="785"/>
      <c r="I85" s="784"/>
      <c r="J85" s="784"/>
      <c r="K85" s="784"/>
      <c r="L85" s="784"/>
    </row>
    <row r="86" spans="1:12" ht="13.5">
      <c r="A86" s="782">
        <v>75</v>
      </c>
      <c r="B86" s="783" t="s">
        <v>3139</v>
      </c>
      <c r="C86" s="780" t="s">
        <v>7559</v>
      </c>
      <c r="D86" s="781" t="s">
        <v>7547</v>
      </c>
      <c r="E86" s="780" t="s">
        <v>275</v>
      </c>
      <c r="F86" s="784"/>
      <c r="G86" s="784"/>
      <c r="H86" s="785"/>
      <c r="I86" s="784"/>
      <c r="J86" s="784"/>
      <c r="K86" s="784"/>
      <c r="L86" s="784"/>
    </row>
    <row r="87" spans="1:12" ht="13.5">
      <c r="A87" s="782">
        <v>76</v>
      </c>
      <c r="B87" s="783" t="s">
        <v>3139</v>
      </c>
      <c r="C87" s="780" t="s">
        <v>7560</v>
      </c>
      <c r="D87" s="781" t="s">
        <v>7548</v>
      </c>
      <c r="E87" s="780" t="s">
        <v>4421</v>
      </c>
      <c r="F87" s="784"/>
      <c r="G87" s="784"/>
      <c r="H87" s="785"/>
      <c r="I87" s="784"/>
      <c r="J87" s="784"/>
      <c r="K87" s="784"/>
      <c r="L87" s="784"/>
    </row>
    <row r="88" spans="1:12" ht="13.5">
      <c r="A88" s="782">
        <v>77</v>
      </c>
      <c r="B88" s="783" t="s">
        <v>3139</v>
      </c>
      <c r="C88" s="780" t="s">
        <v>7561</v>
      </c>
      <c r="D88" s="781" t="s">
        <v>7549</v>
      </c>
      <c r="E88" s="780" t="s">
        <v>275</v>
      </c>
      <c r="F88" s="784"/>
      <c r="G88" s="784"/>
      <c r="H88" s="785"/>
      <c r="I88" s="784"/>
      <c r="J88" s="784"/>
      <c r="K88" s="784"/>
      <c r="L88" s="784"/>
    </row>
  </sheetData>
  <phoneticPr fontId="2" type="noConversion"/>
  <pageMargins left="0.7" right="0.7" top="0.75" bottom="0.75" header="0.3" footer="0.3"/>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20"/>
  <sheetViews>
    <sheetView topLeftCell="A237" zoomScaleNormal="100" workbookViewId="0">
      <selection activeCell="G304" sqref="G304"/>
    </sheetView>
  </sheetViews>
  <sheetFormatPr defaultRowHeight="11.25"/>
  <cols>
    <col min="1" max="1" width="9" style="178"/>
    <col min="2" max="2" width="9" style="195"/>
    <col min="3" max="4" width="9" style="178"/>
    <col min="5" max="5" width="41.25" style="178" customWidth="1"/>
    <col min="6" max="6" width="12" style="178" customWidth="1"/>
    <col min="7" max="7" width="28.875" style="178" customWidth="1"/>
    <col min="8" max="8" width="11.5" style="178" customWidth="1"/>
    <col min="9" max="9" width="16.125" style="178" customWidth="1"/>
    <col min="10" max="10" width="21.75" style="178" customWidth="1"/>
    <col min="11" max="11" width="49.25" style="178" customWidth="1"/>
    <col min="12" max="12" width="15.625" style="178" customWidth="1"/>
    <col min="13" max="16384" width="9" style="178"/>
  </cols>
  <sheetData>
    <row r="1" spans="1:18" s="193" customFormat="1">
      <c r="A1" s="672" t="s">
        <v>1332</v>
      </c>
      <c r="B1" s="672" t="s">
        <v>2960</v>
      </c>
      <c r="C1" s="672" t="s">
        <v>748</v>
      </c>
      <c r="D1" s="672" t="s">
        <v>749</v>
      </c>
      <c r="E1" s="672" t="s">
        <v>2985</v>
      </c>
      <c r="F1" s="672" t="s">
        <v>1548</v>
      </c>
      <c r="G1" s="672" t="s">
        <v>3198</v>
      </c>
      <c r="H1" s="673" t="s">
        <v>3199</v>
      </c>
      <c r="I1" s="673" t="s">
        <v>3028</v>
      </c>
      <c r="J1" s="674" t="s">
        <v>3200</v>
      </c>
      <c r="K1" s="674" t="s">
        <v>3201</v>
      </c>
      <c r="L1" s="673" t="s">
        <v>752</v>
      </c>
      <c r="M1" s="669" t="s">
        <v>751</v>
      </c>
      <c r="N1" s="192" t="s">
        <v>753</v>
      </c>
      <c r="O1" s="209" t="s">
        <v>3197</v>
      </c>
      <c r="P1" s="209" t="s">
        <v>3037</v>
      </c>
      <c r="Q1" s="322" t="s">
        <v>3452</v>
      </c>
    </row>
    <row r="2" spans="1:18" s="252" customFormat="1">
      <c r="A2" s="643">
        <f>ROW()-1</f>
        <v>1</v>
      </c>
      <c r="B2" s="635" t="s">
        <v>3128</v>
      </c>
      <c r="C2" s="635" t="s">
        <v>275</v>
      </c>
      <c r="D2" s="635">
        <v>20</v>
      </c>
      <c r="E2" s="630" t="s">
        <v>3130</v>
      </c>
      <c r="F2" s="643"/>
      <c r="G2" s="643"/>
      <c r="H2" s="629"/>
      <c r="I2" s="643"/>
      <c r="J2" s="630"/>
      <c r="K2" s="645"/>
      <c r="L2" s="643"/>
      <c r="M2" s="670"/>
      <c r="N2" s="238"/>
      <c r="O2" s="239"/>
      <c r="P2" s="239"/>
      <c r="Q2" s="320"/>
    </row>
    <row r="3" spans="1:18" s="252" customFormat="1">
      <c r="A3" s="643">
        <f t="shared" ref="A3:A67" si="0">ROW()-1</f>
        <v>2</v>
      </c>
      <c r="B3" s="635" t="s">
        <v>3129</v>
      </c>
      <c r="C3" s="635" t="s">
        <v>279</v>
      </c>
      <c r="D3" s="635">
        <v>3</v>
      </c>
      <c r="E3" s="630" t="s">
        <v>3131</v>
      </c>
      <c r="F3" s="643"/>
      <c r="G3" s="643" t="s">
        <v>3135</v>
      </c>
      <c r="H3" s="629"/>
      <c r="I3" s="643"/>
      <c r="J3" s="630"/>
      <c r="K3" s="645"/>
      <c r="L3" s="643"/>
      <c r="M3" s="670"/>
      <c r="N3" s="238"/>
      <c r="O3" s="239"/>
      <c r="P3" s="239"/>
      <c r="Q3" s="320"/>
    </row>
    <row r="4" spans="1:18" s="252" customFormat="1" ht="12">
      <c r="A4" s="643">
        <f t="shared" si="0"/>
        <v>3</v>
      </c>
      <c r="B4" s="675" t="s">
        <v>4283</v>
      </c>
      <c r="C4" s="675" t="s">
        <v>4381</v>
      </c>
      <c r="D4" s="675">
        <v>14</v>
      </c>
      <c r="E4" s="676" t="s">
        <v>688</v>
      </c>
      <c r="F4" s="643"/>
      <c r="G4" s="677" t="s">
        <v>4681</v>
      </c>
      <c r="H4" s="678"/>
      <c r="I4" s="643"/>
      <c r="J4" s="630"/>
      <c r="K4" s="630"/>
      <c r="L4" s="675"/>
      <c r="M4" s="670"/>
      <c r="N4" s="241"/>
      <c r="O4" s="239"/>
      <c r="P4" s="239"/>
      <c r="Q4" s="320"/>
    </row>
    <row r="5" spans="1:18" s="252" customFormat="1" ht="12">
      <c r="A5" s="643">
        <f t="shared" si="0"/>
        <v>4</v>
      </c>
      <c r="B5" s="675" t="s">
        <v>4921</v>
      </c>
      <c r="C5" s="675" t="s">
        <v>4381</v>
      </c>
      <c r="D5" s="675">
        <v>2</v>
      </c>
      <c r="E5" s="676" t="s">
        <v>1459</v>
      </c>
      <c r="F5" s="643"/>
      <c r="G5" s="677"/>
      <c r="H5" s="678"/>
      <c r="I5" s="643"/>
      <c r="J5" s="630"/>
      <c r="K5" s="630"/>
      <c r="L5" s="675"/>
      <c r="M5" s="670"/>
      <c r="N5" s="241"/>
      <c r="O5" s="239"/>
      <c r="P5" s="239"/>
      <c r="Q5" s="320"/>
    </row>
    <row r="6" spans="1:18" s="252" customFormat="1" ht="12">
      <c r="A6" s="643">
        <f t="shared" si="0"/>
        <v>5</v>
      </c>
      <c r="B6" s="675" t="s">
        <v>2117</v>
      </c>
      <c r="C6" s="675" t="s">
        <v>4382</v>
      </c>
      <c r="D6" s="675">
        <v>15</v>
      </c>
      <c r="E6" s="676" t="s">
        <v>4383</v>
      </c>
      <c r="F6" s="643"/>
      <c r="G6" s="677" t="s">
        <v>4682</v>
      </c>
      <c r="H6" s="678"/>
      <c r="I6" s="643"/>
      <c r="J6" s="630"/>
      <c r="K6" s="630"/>
      <c r="L6" s="675"/>
      <c r="M6" s="670"/>
      <c r="N6" s="241"/>
      <c r="O6" s="239"/>
      <c r="P6" s="239"/>
      <c r="Q6" s="320"/>
    </row>
    <row r="7" spans="1:18" s="252" customFormat="1" ht="12">
      <c r="A7" s="643">
        <f t="shared" si="0"/>
        <v>6</v>
      </c>
      <c r="B7" s="675" t="s">
        <v>2118</v>
      </c>
      <c r="C7" s="675" t="s">
        <v>4381</v>
      </c>
      <c r="D7" s="675">
        <v>1</v>
      </c>
      <c r="E7" s="676" t="s">
        <v>4384</v>
      </c>
      <c r="F7" s="643"/>
      <c r="G7" s="677" t="s">
        <v>4683</v>
      </c>
      <c r="H7" s="678"/>
      <c r="I7" s="643"/>
      <c r="J7" s="630"/>
      <c r="K7" s="630"/>
      <c r="L7" s="675"/>
      <c r="M7" s="670"/>
      <c r="N7" s="241"/>
      <c r="O7" s="239"/>
      <c r="P7" s="239"/>
      <c r="Q7" s="320"/>
    </row>
    <row r="8" spans="1:18" s="278" customFormat="1" ht="12">
      <c r="A8" s="643">
        <f t="shared" si="0"/>
        <v>7</v>
      </c>
      <c r="B8" s="675" t="s">
        <v>2120</v>
      </c>
      <c r="C8" s="675" t="s">
        <v>4381</v>
      </c>
      <c r="D8" s="675">
        <v>1</v>
      </c>
      <c r="E8" s="676" t="s">
        <v>689</v>
      </c>
      <c r="F8" s="679"/>
      <c r="G8" s="677" t="s">
        <v>4684</v>
      </c>
      <c r="H8" s="620"/>
      <c r="I8" s="620" t="s">
        <v>683</v>
      </c>
      <c r="J8" s="620" t="s">
        <v>3079</v>
      </c>
      <c r="K8" s="620" t="s">
        <v>3066</v>
      </c>
      <c r="L8" s="680"/>
      <c r="M8" s="670"/>
      <c r="N8" s="246"/>
      <c r="O8" s="239"/>
      <c r="P8" s="239"/>
      <c r="Q8" s="320"/>
      <c r="R8" s="252"/>
    </row>
    <row r="9" spans="1:18" s="252" customFormat="1" ht="12">
      <c r="A9" s="643">
        <f t="shared" si="0"/>
        <v>8</v>
      </c>
      <c r="B9" s="681" t="s">
        <v>2121</v>
      </c>
      <c r="C9" s="675" t="s">
        <v>4381</v>
      </c>
      <c r="D9" s="681">
        <v>1</v>
      </c>
      <c r="E9" s="682" t="s">
        <v>690</v>
      </c>
      <c r="F9" s="643"/>
      <c r="G9" s="677" t="s">
        <v>4954</v>
      </c>
      <c r="H9" s="620"/>
      <c r="I9" s="620" t="s">
        <v>683</v>
      </c>
      <c r="J9" s="620" t="s">
        <v>3079</v>
      </c>
      <c r="K9" s="620" t="s">
        <v>3067</v>
      </c>
      <c r="L9" s="643"/>
      <c r="M9" s="670"/>
      <c r="N9" s="241"/>
      <c r="O9" s="239"/>
      <c r="P9" s="239"/>
      <c r="Q9" s="320"/>
    </row>
    <row r="10" spans="1:18" s="252" customFormat="1" ht="12">
      <c r="A10" s="643">
        <f t="shared" si="0"/>
        <v>9</v>
      </c>
      <c r="B10" s="675" t="s">
        <v>2122</v>
      </c>
      <c r="C10" s="675" t="s">
        <v>4381</v>
      </c>
      <c r="D10" s="675">
        <v>1</v>
      </c>
      <c r="E10" s="676" t="s">
        <v>691</v>
      </c>
      <c r="F10" s="643"/>
      <c r="G10" s="677" t="s">
        <v>4685</v>
      </c>
      <c r="H10" s="620"/>
      <c r="I10" s="620" t="s">
        <v>683</v>
      </c>
      <c r="J10" s="620" t="s">
        <v>3079</v>
      </c>
      <c r="K10" s="620" t="s">
        <v>3068</v>
      </c>
      <c r="L10" s="643"/>
      <c r="M10" s="670"/>
      <c r="N10" s="241"/>
      <c r="O10" s="239"/>
      <c r="P10" s="239"/>
      <c r="Q10" s="320"/>
    </row>
    <row r="11" spans="1:18" s="252" customFormat="1" ht="12">
      <c r="A11" s="643">
        <f t="shared" si="0"/>
        <v>10</v>
      </c>
      <c r="B11" s="675" t="s">
        <v>2605</v>
      </c>
      <c r="C11" s="675" t="s">
        <v>4381</v>
      </c>
      <c r="D11" s="675">
        <v>1</v>
      </c>
      <c r="E11" s="676" t="s">
        <v>692</v>
      </c>
      <c r="F11" s="643"/>
      <c r="G11" s="677" t="s">
        <v>4686</v>
      </c>
      <c r="H11" s="620"/>
      <c r="I11" s="620" t="s">
        <v>683</v>
      </c>
      <c r="J11" s="620" t="s">
        <v>3079</v>
      </c>
      <c r="K11" s="620" t="s">
        <v>3069</v>
      </c>
      <c r="L11" s="643"/>
      <c r="M11" s="670"/>
      <c r="N11" s="241"/>
      <c r="O11" s="239"/>
      <c r="P11" s="239"/>
      <c r="Q11" s="320"/>
    </row>
    <row r="12" spans="1:18" s="252" customFormat="1" ht="12">
      <c r="A12" s="643">
        <f t="shared" si="0"/>
        <v>11</v>
      </c>
      <c r="B12" s="675" t="s">
        <v>2606</v>
      </c>
      <c r="C12" s="675" t="s">
        <v>4381</v>
      </c>
      <c r="D12" s="675">
        <v>1</v>
      </c>
      <c r="E12" s="676" t="s">
        <v>693</v>
      </c>
      <c r="F12" s="683"/>
      <c r="G12" s="677" t="s">
        <v>4687</v>
      </c>
      <c r="H12" s="620"/>
      <c r="I12" s="620" t="s">
        <v>683</v>
      </c>
      <c r="J12" s="620" t="s">
        <v>3079</v>
      </c>
      <c r="K12" s="620" t="s">
        <v>3070</v>
      </c>
      <c r="L12" s="643"/>
      <c r="M12" s="671"/>
      <c r="N12" s="242"/>
      <c r="O12" s="239"/>
      <c r="P12" s="239"/>
      <c r="Q12" s="320"/>
    </row>
    <row r="13" spans="1:18" ht="12">
      <c r="A13" s="643">
        <f t="shared" si="0"/>
        <v>12</v>
      </c>
      <c r="B13" s="675" t="s">
        <v>2123</v>
      </c>
      <c r="C13" s="675" t="s">
        <v>4381</v>
      </c>
      <c r="D13" s="675">
        <v>1</v>
      </c>
      <c r="E13" s="676" t="s">
        <v>694</v>
      </c>
      <c r="F13" s="626"/>
      <c r="G13" s="677" t="s">
        <v>4688</v>
      </c>
      <c r="H13" s="620"/>
      <c r="I13" s="620" t="s">
        <v>683</v>
      </c>
      <c r="J13" s="620" t="s">
        <v>3079</v>
      </c>
      <c r="K13" s="620" t="s">
        <v>3071</v>
      </c>
      <c r="L13" s="620"/>
      <c r="M13" s="341"/>
      <c r="N13" s="341"/>
      <c r="O13" s="341"/>
      <c r="P13" s="341"/>
      <c r="Q13" s="341"/>
      <c r="R13" s="341"/>
    </row>
    <row r="14" spans="1:18" ht="12">
      <c r="A14" s="643">
        <f t="shared" si="0"/>
        <v>13</v>
      </c>
      <c r="B14" s="675" t="s">
        <v>2124</v>
      </c>
      <c r="C14" s="675" t="s">
        <v>4381</v>
      </c>
      <c r="D14" s="675">
        <v>1</v>
      </c>
      <c r="E14" s="676" t="s">
        <v>695</v>
      </c>
      <c r="F14" s="620"/>
      <c r="G14" s="677" t="s">
        <v>4689</v>
      </c>
      <c r="H14" s="620"/>
      <c r="I14" s="620" t="s">
        <v>683</v>
      </c>
      <c r="J14" s="620" t="s">
        <v>3079</v>
      </c>
      <c r="K14" s="620" t="s">
        <v>3072</v>
      </c>
      <c r="L14" s="620"/>
    </row>
    <row r="15" spans="1:18" ht="12">
      <c r="A15" s="643">
        <f t="shared" si="0"/>
        <v>14</v>
      </c>
      <c r="B15" s="675" t="s">
        <v>2125</v>
      </c>
      <c r="C15" s="675" t="s">
        <v>4381</v>
      </c>
      <c r="D15" s="675">
        <v>1</v>
      </c>
      <c r="E15" s="676" t="s">
        <v>696</v>
      </c>
      <c r="F15" s="620"/>
      <c r="G15" s="677" t="s">
        <v>4690</v>
      </c>
      <c r="H15" s="620"/>
      <c r="I15" s="620" t="s">
        <v>683</v>
      </c>
      <c r="J15" s="620" t="s">
        <v>3079</v>
      </c>
      <c r="K15" s="620" t="s">
        <v>3073</v>
      </c>
      <c r="L15" s="620"/>
    </row>
    <row r="16" spans="1:18" ht="12">
      <c r="A16" s="643">
        <f t="shared" si="0"/>
        <v>15</v>
      </c>
      <c r="B16" s="675" t="s">
        <v>2126</v>
      </c>
      <c r="C16" s="675" t="s">
        <v>4381</v>
      </c>
      <c r="D16" s="675">
        <v>1</v>
      </c>
      <c r="E16" s="676" t="s">
        <v>697</v>
      </c>
      <c r="F16" s="620"/>
      <c r="G16" s="677" t="s">
        <v>4955</v>
      </c>
      <c r="H16" s="620"/>
      <c r="I16" s="620" t="s">
        <v>683</v>
      </c>
      <c r="J16" s="620" t="s">
        <v>3079</v>
      </c>
      <c r="K16" s="620" t="s">
        <v>3074</v>
      </c>
      <c r="L16" s="620"/>
    </row>
    <row r="17" spans="1:13" ht="12">
      <c r="A17" s="643">
        <f t="shared" si="0"/>
        <v>16</v>
      </c>
      <c r="B17" s="675" t="s">
        <v>2127</v>
      </c>
      <c r="C17" s="675" t="s">
        <v>4381</v>
      </c>
      <c r="D17" s="675">
        <v>1</v>
      </c>
      <c r="E17" s="676" t="s">
        <v>698</v>
      </c>
      <c r="F17" s="620"/>
      <c r="G17" s="677" t="s">
        <v>4691</v>
      </c>
      <c r="H17" s="620"/>
      <c r="I17" s="620" t="s">
        <v>683</v>
      </c>
      <c r="J17" s="620" t="s">
        <v>3079</v>
      </c>
      <c r="K17" s="620" t="s">
        <v>3075</v>
      </c>
      <c r="L17" s="620"/>
    </row>
    <row r="18" spans="1:13" ht="12">
      <c r="A18" s="643">
        <f t="shared" si="0"/>
        <v>17</v>
      </c>
      <c r="B18" s="675" t="s">
        <v>2128</v>
      </c>
      <c r="C18" s="675" t="s">
        <v>4381</v>
      </c>
      <c r="D18" s="675">
        <v>1</v>
      </c>
      <c r="E18" s="676" t="s">
        <v>699</v>
      </c>
      <c r="F18" s="666"/>
      <c r="G18" s="677" t="s">
        <v>4692</v>
      </c>
      <c r="H18" s="620"/>
      <c r="I18" s="620" t="s">
        <v>683</v>
      </c>
      <c r="J18" s="620" t="s">
        <v>3079</v>
      </c>
      <c r="K18" s="620" t="s">
        <v>3076</v>
      </c>
      <c r="L18" s="620"/>
    </row>
    <row r="19" spans="1:13" ht="12">
      <c r="A19" s="643">
        <f t="shared" si="0"/>
        <v>18</v>
      </c>
      <c r="B19" s="675" t="s">
        <v>2129</v>
      </c>
      <c r="C19" s="675" t="s">
        <v>4381</v>
      </c>
      <c r="D19" s="675">
        <v>1</v>
      </c>
      <c r="E19" s="676" t="s">
        <v>700</v>
      </c>
      <c r="F19" s="666"/>
      <c r="G19" s="677" t="s">
        <v>4693</v>
      </c>
      <c r="H19" s="620"/>
      <c r="I19" s="620" t="s">
        <v>683</v>
      </c>
      <c r="J19" s="620" t="s">
        <v>3079</v>
      </c>
      <c r="K19" s="620" t="s">
        <v>3077</v>
      </c>
      <c r="L19" s="620"/>
    </row>
    <row r="20" spans="1:13" ht="12">
      <c r="A20" s="643">
        <f t="shared" si="0"/>
        <v>19</v>
      </c>
      <c r="B20" s="675" t="s">
        <v>2130</v>
      </c>
      <c r="C20" s="675" t="s">
        <v>4381</v>
      </c>
      <c r="D20" s="675">
        <v>1</v>
      </c>
      <c r="E20" s="676" t="s">
        <v>701</v>
      </c>
      <c r="F20" s="666"/>
      <c r="G20" s="677" t="s">
        <v>4694</v>
      </c>
      <c r="H20" s="620"/>
      <c r="I20" s="620" t="s">
        <v>683</v>
      </c>
      <c r="J20" s="620" t="s">
        <v>3079</v>
      </c>
      <c r="K20" s="620" t="s">
        <v>3078</v>
      </c>
      <c r="L20" s="620"/>
    </row>
    <row r="21" spans="1:13" ht="12">
      <c r="A21" s="643">
        <f t="shared" si="0"/>
        <v>20</v>
      </c>
      <c r="B21" s="675" t="s">
        <v>2138</v>
      </c>
      <c r="C21" s="675" t="s">
        <v>4382</v>
      </c>
      <c r="D21" s="675">
        <v>15</v>
      </c>
      <c r="E21" s="676" t="s">
        <v>177</v>
      </c>
      <c r="F21" s="666"/>
      <c r="G21" s="677" t="s">
        <v>4695</v>
      </c>
      <c r="H21" s="620"/>
      <c r="I21" s="620" t="s">
        <v>683</v>
      </c>
      <c r="J21" s="620" t="s">
        <v>3079</v>
      </c>
      <c r="K21" s="620" t="s">
        <v>177</v>
      </c>
      <c r="L21" s="620"/>
    </row>
    <row r="22" spans="1:13" ht="12">
      <c r="A22" s="643">
        <f t="shared" si="0"/>
        <v>21</v>
      </c>
      <c r="B22" s="675" t="s">
        <v>2139</v>
      </c>
      <c r="C22" s="675" t="s">
        <v>4382</v>
      </c>
      <c r="D22" s="675">
        <v>15</v>
      </c>
      <c r="E22" s="676" t="s">
        <v>178</v>
      </c>
      <c r="F22" s="666"/>
      <c r="G22" s="677" t="s">
        <v>4696</v>
      </c>
      <c r="H22" s="620"/>
      <c r="I22" s="620" t="s">
        <v>683</v>
      </c>
      <c r="J22" s="620" t="s">
        <v>3079</v>
      </c>
      <c r="K22" s="620" t="s">
        <v>178</v>
      </c>
      <c r="L22" s="620"/>
    </row>
    <row r="23" spans="1:13" ht="12">
      <c r="A23" s="643">
        <f t="shared" si="0"/>
        <v>22</v>
      </c>
      <c r="B23" s="675" t="s">
        <v>2140</v>
      </c>
      <c r="C23" s="675" t="s">
        <v>4382</v>
      </c>
      <c r="D23" s="675">
        <v>15</v>
      </c>
      <c r="E23" s="676" t="s">
        <v>4929</v>
      </c>
      <c r="F23" s="620"/>
      <c r="G23" s="677" t="s">
        <v>4697</v>
      </c>
      <c r="H23" s="620"/>
      <c r="I23" s="620" t="s">
        <v>683</v>
      </c>
      <c r="J23" s="620" t="s">
        <v>3079</v>
      </c>
      <c r="K23" s="620" t="s">
        <v>179</v>
      </c>
      <c r="L23" s="620"/>
    </row>
    <row r="24" spans="1:13" ht="12">
      <c r="A24" s="643">
        <f t="shared" si="0"/>
        <v>23</v>
      </c>
      <c r="B24" s="675" t="s">
        <v>2141</v>
      </c>
      <c r="C24" s="675" t="s">
        <v>4382</v>
      </c>
      <c r="D24" s="675">
        <v>15</v>
      </c>
      <c r="E24" s="676" t="s">
        <v>180</v>
      </c>
      <c r="F24" s="626"/>
      <c r="G24" s="677" t="s">
        <v>4698</v>
      </c>
      <c r="H24" s="620"/>
      <c r="I24" s="620" t="s">
        <v>683</v>
      </c>
      <c r="J24" s="620" t="s">
        <v>3079</v>
      </c>
      <c r="K24" s="620" t="s">
        <v>180</v>
      </c>
      <c r="L24" s="620"/>
      <c r="M24" s="341"/>
    </row>
    <row r="25" spans="1:13" ht="12">
      <c r="A25" s="643">
        <f t="shared" si="0"/>
        <v>24</v>
      </c>
      <c r="B25" s="681" t="s">
        <v>2142</v>
      </c>
      <c r="C25" s="675" t="s">
        <v>4382</v>
      </c>
      <c r="D25" s="681">
        <v>15</v>
      </c>
      <c r="E25" s="682" t="s">
        <v>4386</v>
      </c>
      <c r="F25" s="626"/>
      <c r="G25" s="677" t="s">
        <v>4699</v>
      </c>
      <c r="H25" s="620"/>
      <c r="I25" s="620" t="s">
        <v>683</v>
      </c>
      <c r="J25" s="620" t="s">
        <v>3079</v>
      </c>
      <c r="K25" s="620" t="s">
        <v>3080</v>
      </c>
      <c r="L25" s="620"/>
      <c r="M25" s="341"/>
    </row>
    <row r="26" spans="1:13" ht="12">
      <c r="A26" s="643">
        <f t="shared" si="0"/>
        <v>25</v>
      </c>
      <c r="B26" s="675" t="s">
        <v>2144</v>
      </c>
      <c r="C26" s="675" t="s">
        <v>4382</v>
      </c>
      <c r="D26" s="675">
        <v>15</v>
      </c>
      <c r="E26" s="676" t="s">
        <v>4387</v>
      </c>
      <c r="F26" s="626"/>
      <c r="G26" s="677" t="s">
        <v>4700</v>
      </c>
      <c r="H26" s="620"/>
      <c r="I26" s="620" t="s">
        <v>683</v>
      </c>
      <c r="J26" s="620" t="s">
        <v>3079</v>
      </c>
      <c r="K26" s="620" t="s">
        <v>3083</v>
      </c>
      <c r="L26" s="620"/>
      <c r="M26" s="341"/>
    </row>
    <row r="27" spans="1:13" ht="12">
      <c r="A27" s="643">
        <f t="shared" si="0"/>
        <v>26</v>
      </c>
      <c r="B27" s="675" t="s">
        <v>2131</v>
      </c>
      <c r="C27" s="675" t="s">
        <v>4381</v>
      </c>
      <c r="D27" s="675">
        <v>1</v>
      </c>
      <c r="E27" s="676" t="s">
        <v>731</v>
      </c>
      <c r="F27" s="626"/>
      <c r="G27" s="677" t="s">
        <v>4956</v>
      </c>
      <c r="H27" s="620"/>
      <c r="I27" s="620" t="s">
        <v>683</v>
      </c>
      <c r="J27" s="620" t="s">
        <v>3079</v>
      </c>
      <c r="K27" s="620" t="s">
        <v>174</v>
      </c>
      <c r="L27" s="620"/>
      <c r="M27" s="341"/>
    </row>
    <row r="28" spans="1:13" ht="12">
      <c r="A28" s="643">
        <f t="shared" si="0"/>
        <v>27</v>
      </c>
      <c r="B28" s="675" t="s">
        <v>2132</v>
      </c>
      <c r="C28" s="675" t="s">
        <v>4381</v>
      </c>
      <c r="D28" s="675">
        <v>1</v>
      </c>
      <c r="E28" s="676" t="s">
        <v>730</v>
      </c>
      <c r="F28" s="626"/>
      <c r="G28" s="677" t="s">
        <v>4957</v>
      </c>
      <c r="H28" s="620"/>
      <c r="I28" s="620" t="s">
        <v>683</v>
      </c>
      <c r="J28" s="620" t="s">
        <v>3079</v>
      </c>
      <c r="K28" s="620" t="s">
        <v>173</v>
      </c>
      <c r="L28" s="620"/>
      <c r="M28" s="341"/>
    </row>
    <row r="29" spans="1:13" ht="12">
      <c r="A29" s="643">
        <f t="shared" si="0"/>
        <v>28</v>
      </c>
      <c r="B29" s="675" t="s">
        <v>2133</v>
      </c>
      <c r="C29" s="675" t="s">
        <v>4381</v>
      </c>
      <c r="D29" s="675">
        <v>1</v>
      </c>
      <c r="E29" s="676" t="s">
        <v>732</v>
      </c>
      <c r="F29" s="626"/>
      <c r="G29" s="677" t="s">
        <v>4958</v>
      </c>
      <c r="H29" s="620"/>
      <c r="I29" s="620" t="s">
        <v>683</v>
      </c>
      <c r="J29" s="620" t="s">
        <v>3079</v>
      </c>
      <c r="K29" s="620" t="s">
        <v>175</v>
      </c>
      <c r="L29" s="620"/>
      <c r="M29" s="341"/>
    </row>
    <row r="30" spans="1:13" ht="12">
      <c r="A30" s="643">
        <f t="shared" si="0"/>
        <v>29</v>
      </c>
      <c r="B30" s="675" t="s">
        <v>2134</v>
      </c>
      <c r="C30" s="675" t="s">
        <v>4381</v>
      </c>
      <c r="D30" s="675">
        <v>1</v>
      </c>
      <c r="E30" s="676" t="s">
        <v>733</v>
      </c>
      <c r="F30" s="626"/>
      <c r="G30" s="677" t="s">
        <v>4959</v>
      </c>
      <c r="H30" s="620"/>
      <c r="I30" s="620" t="s">
        <v>683</v>
      </c>
      <c r="J30" s="620" t="s">
        <v>3079</v>
      </c>
      <c r="K30" s="620" t="s">
        <v>176</v>
      </c>
      <c r="L30" s="620"/>
      <c r="M30" s="341"/>
    </row>
    <row r="31" spans="1:13" ht="12">
      <c r="A31" s="643">
        <f t="shared" si="0"/>
        <v>30</v>
      </c>
      <c r="B31" s="675" t="s">
        <v>2135</v>
      </c>
      <c r="C31" s="675" t="s">
        <v>4381</v>
      </c>
      <c r="D31" s="675">
        <v>1</v>
      </c>
      <c r="E31" s="676" t="s">
        <v>181</v>
      </c>
      <c r="F31" s="626"/>
      <c r="G31" s="677" t="s">
        <v>4701</v>
      </c>
      <c r="H31" s="620"/>
      <c r="I31" s="620" t="s">
        <v>683</v>
      </c>
      <c r="J31" s="620" t="s">
        <v>3079</v>
      </c>
      <c r="K31" s="620" t="s">
        <v>181</v>
      </c>
      <c r="L31" s="620"/>
      <c r="M31" s="341"/>
    </row>
    <row r="32" spans="1:13" ht="12">
      <c r="A32" s="643">
        <f t="shared" si="0"/>
        <v>31</v>
      </c>
      <c r="B32" s="675" t="s">
        <v>2137</v>
      </c>
      <c r="C32" s="675" t="s">
        <v>4382</v>
      </c>
      <c r="D32" s="675">
        <v>15</v>
      </c>
      <c r="E32" s="676" t="s">
        <v>4388</v>
      </c>
      <c r="F32" s="626"/>
      <c r="G32" s="677" t="s">
        <v>4702</v>
      </c>
      <c r="H32" s="678"/>
      <c r="I32" s="620" t="s">
        <v>683</v>
      </c>
      <c r="J32" s="620" t="s">
        <v>3079</v>
      </c>
      <c r="K32" s="620" t="s">
        <v>1317</v>
      </c>
      <c r="L32" s="620"/>
      <c r="M32" s="341"/>
    </row>
    <row r="33" spans="1:13" ht="12">
      <c r="A33" s="643">
        <f t="shared" si="0"/>
        <v>32</v>
      </c>
      <c r="B33" s="675" t="s">
        <v>2145</v>
      </c>
      <c r="C33" s="675" t="s">
        <v>4382</v>
      </c>
      <c r="D33" s="675">
        <v>15</v>
      </c>
      <c r="E33" s="676" t="s">
        <v>1322</v>
      </c>
      <c r="F33" s="626"/>
      <c r="G33" s="677" t="s">
        <v>4960</v>
      </c>
      <c r="H33" s="678"/>
      <c r="I33" s="620" t="s">
        <v>683</v>
      </c>
      <c r="J33" s="620" t="s">
        <v>3079</v>
      </c>
      <c r="K33" s="620" t="s">
        <v>3082</v>
      </c>
      <c r="L33" s="675"/>
      <c r="M33" s="341"/>
    </row>
    <row r="34" spans="1:13" ht="12">
      <c r="A34" s="643">
        <f t="shared" si="0"/>
        <v>33</v>
      </c>
      <c r="B34" s="675" t="s">
        <v>2146</v>
      </c>
      <c r="C34" s="675" t="s">
        <v>4382</v>
      </c>
      <c r="D34" s="675">
        <v>15</v>
      </c>
      <c r="E34" s="676" t="s">
        <v>343</v>
      </c>
      <c r="F34" s="626"/>
      <c r="G34" s="677" t="s">
        <v>4961</v>
      </c>
      <c r="H34" s="678"/>
      <c r="I34" s="620" t="s">
        <v>683</v>
      </c>
      <c r="J34" s="620" t="s">
        <v>3079</v>
      </c>
      <c r="K34" s="620" t="s">
        <v>3086</v>
      </c>
      <c r="L34" s="675"/>
      <c r="M34" s="341"/>
    </row>
    <row r="35" spans="1:13" ht="12">
      <c r="A35" s="643">
        <f t="shared" si="0"/>
        <v>34</v>
      </c>
      <c r="B35" s="681" t="s">
        <v>2147</v>
      </c>
      <c r="C35" s="675" t="s">
        <v>4382</v>
      </c>
      <c r="D35" s="681">
        <v>15</v>
      </c>
      <c r="E35" s="682" t="s">
        <v>344</v>
      </c>
      <c r="F35" s="626"/>
      <c r="G35" s="677" t="s">
        <v>4962</v>
      </c>
      <c r="H35" s="678"/>
      <c r="I35" s="620" t="s">
        <v>683</v>
      </c>
      <c r="J35" s="620" t="s">
        <v>3079</v>
      </c>
      <c r="K35" s="620" t="s">
        <v>3087</v>
      </c>
      <c r="L35" s="681"/>
      <c r="M35" s="341"/>
    </row>
    <row r="36" spans="1:13" ht="12">
      <c r="A36" s="643">
        <f t="shared" si="0"/>
        <v>35</v>
      </c>
      <c r="B36" s="681" t="s">
        <v>4284</v>
      </c>
      <c r="C36" s="675" t="s">
        <v>4382</v>
      </c>
      <c r="D36" s="681">
        <v>15</v>
      </c>
      <c r="E36" s="682" t="s">
        <v>4389</v>
      </c>
      <c r="F36" s="626"/>
      <c r="G36" s="677" t="s">
        <v>4703</v>
      </c>
      <c r="H36" s="678"/>
      <c r="I36" s="620" t="s">
        <v>683</v>
      </c>
      <c r="J36" s="620" t="s">
        <v>3079</v>
      </c>
      <c r="K36" s="620" t="s">
        <v>1326</v>
      </c>
      <c r="L36" s="681"/>
      <c r="M36" s="341"/>
    </row>
    <row r="37" spans="1:13" ht="12">
      <c r="A37" s="684">
        <f t="shared" si="0"/>
        <v>36</v>
      </c>
      <c r="B37" s="685" t="s">
        <v>4285</v>
      </c>
      <c r="C37" s="685" t="s">
        <v>4382</v>
      </c>
      <c r="D37" s="685">
        <v>15</v>
      </c>
      <c r="E37" s="686" t="s">
        <v>346</v>
      </c>
      <c r="F37" s="687"/>
      <c r="G37" s="688" t="s">
        <v>4704</v>
      </c>
      <c r="H37" s="689"/>
      <c r="I37" s="667" t="s">
        <v>683</v>
      </c>
      <c r="J37" s="667" t="s">
        <v>3088</v>
      </c>
      <c r="K37" s="667" t="s">
        <v>739</v>
      </c>
      <c r="L37" s="681"/>
      <c r="M37" s="341"/>
    </row>
    <row r="38" spans="1:13" ht="12">
      <c r="A38" s="643">
        <f t="shared" si="0"/>
        <v>37</v>
      </c>
      <c r="B38" s="681" t="s">
        <v>4286</v>
      </c>
      <c r="C38" s="675" t="s">
        <v>4382</v>
      </c>
      <c r="D38" s="681">
        <v>15</v>
      </c>
      <c r="E38" s="682" t="s">
        <v>1319</v>
      </c>
      <c r="F38" s="626"/>
      <c r="G38" s="677" t="s">
        <v>4705</v>
      </c>
      <c r="H38" s="678"/>
      <c r="I38" s="620" t="s">
        <v>683</v>
      </c>
      <c r="J38" s="620" t="s">
        <v>3079</v>
      </c>
      <c r="K38" s="620" t="s">
        <v>3089</v>
      </c>
      <c r="L38" s="681"/>
      <c r="M38" s="341"/>
    </row>
    <row r="39" spans="1:13" ht="12">
      <c r="A39" s="643">
        <f t="shared" si="0"/>
        <v>38</v>
      </c>
      <c r="B39" s="681" t="s">
        <v>4287</v>
      </c>
      <c r="C39" s="681" t="s">
        <v>4381</v>
      </c>
      <c r="D39" s="681">
        <v>3</v>
      </c>
      <c r="E39" s="682" t="s">
        <v>4390</v>
      </c>
      <c r="F39" s="626"/>
      <c r="G39" s="677" t="s">
        <v>4706</v>
      </c>
      <c r="H39" s="678"/>
      <c r="I39" s="620" t="s">
        <v>683</v>
      </c>
      <c r="J39" s="620" t="s">
        <v>3079</v>
      </c>
      <c r="K39" s="620" t="s">
        <v>651</v>
      </c>
      <c r="L39" s="681"/>
      <c r="M39" s="341"/>
    </row>
    <row r="40" spans="1:13" ht="12">
      <c r="A40" s="684">
        <f t="shared" si="0"/>
        <v>39</v>
      </c>
      <c r="B40" s="685" t="s">
        <v>4288</v>
      </c>
      <c r="C40" s="685" t="s">
        <v>4381</v>
      </c>
      <c r="D40" s="685">
        <v>1</v>
      </c>
      <c r="E40" s="686" t="s">
        <v>4391</v>
      </c>
      <c r="F40" s="687"/>
      <c r="G40" s="688" t="s">
        <v>4707</v>
      </c>
      <c r="H40" s="689"/>
      <c r="I40" s="667" t="s">
        <v>683</v>
      </c>
      <c r="J40" s="667" t="s">
        <v>3090</v>
      </c>
      <c r="K40" s="667" t="s">
        <v>3062</v>
      </c>
      <c r="L40" s="681"/>
      <c r="M40" s="341"/>
    </row>
    <row r="41" spans="1:13" ht="12">
      <c r="A41" s="643">
        <f t="shared" si="0"/>
        <v>40</v>
      </c>
      <c r="B41" s="681" t="s">
        <v>4289</v>
      </c>
      <c r="C41" s="675" t="s">
        <v>4382</v>
      </c>
      <c r="D41" s="681">
        <v>15</v>
      </c>
      <c r="E41" s="682" t="s">
        <v>4392</v>
      </c>
      <c r="F41" s="626"/>
      <c r="G41" s="677" t="s">
        <v>4708</v>
      </c>
      <c r="H41" s="678"/>
      <c r="I41" s="626" t="s">
        <v>683</v>
      </c>
      <c r="J41" s="626" t="s">
        <v>3079</v>
      </c>
      <c r="K41" s="626" t="s">
        <v>3509</v>
      </c>
      <c r="L41" s="681"/>
      <c r="M41" s="341"/>
    </row>
    <row r="42" spans="1:13" ht="12">
      <c r="A42" s="643">
        <f t="shared" si="0"/>
        <v>41</v>
      </c>
      <c r="B42" s="675" t="s">
        <v>4290</v>
      </c>
      <c r="C42" s="675" t="s">
        <v>4382</v>
      </c>
      <c r="D42" s="675">
        <v>15</v>
      </c>
      <c r="E42" s="676" t="s">
        <v>4393</v>
      </c>
      <c r="F42" s="626"/>
      <c r="G42" s="677" t="s">
        <v>4709</v>
      </c>
      <c r="H42" s="678" t="s">
        <v>5115</v>
      </c>
      <c r="I42" s="620"/>
      <c r="J42" s="620"/>
      <c r="K42" s="620"/>
      <c r="L42" s="675"/>
      <c r="M42" s="341"/>
    </row>
    <row r="43" spans="1:13" ht="12">
      <c r="A43" s="643">
        <f t="shared" si="0"/>
        <v>42</v>
      </c>
      <c r="B43" s="675" t="s">
        <v>4291</v>
      </c>
      <c r="C43" s="675" t="s">
        <v>4382</v>
      </c>
      <c r="D43" s="675">
        <v>15</v>
      </c>
      <c r="E43" s="676" t="s">
        <v>4394</v>
      </c>
      <c r="F43" s="626"/>
      <c r="G43" s="677" t="s">
        <v>4710</v>
      </c>
      <c r="H43" s="678" t="s">
        <v>5114</v>
      </c>
      <c r="I43" s="620"/>
      <c r="J43" s="620"/>
      <c r="K43" s="620"/>
      <c r="L43" s="675"/>
      <c r="M43" s="341"/>
    </row>
    <row r="44" spans="1:13" ht="12">
      <c r="A44" s="643">
        <f t="shared" si="0"/>
        <v>43</v>
      </c>
      <c r="B44" s="681" t="s">
        <v>4292</v>
      </c>
      <c r="C44" s="681" t="s">
        <v>4382</v>
      </c>
      <c r="D44" s="681">
        <v>15</v>
      </c>
      <c r="E44" s="682" t="s">
        <v>4395</v>
      </c>
      <c r="F44" s="626"/>
      <c r="G44" s="677" t="s">
        <v>4711</v>
      </c>
      <c r="H44" s="678"/>
      <c r="I44" s="620" t="s">
        <v>683</v>
      </c>
      <c r="J44" s="620" t="s">
        <v>3079</v>
      </c>
      <c r="K44" s="626" t="s">
        <v>5089</v>
      </c>
      <c r="L44" s="681"/>
      <c r="M44" s="341"/>
    </row>
    <row r="45" spans="1:13" ht="12">
      <c r="A45" s="643">
        <f t="shared" si="0"/>
        <v>44</v>
      </c>
      <c r="B45" s="681" t="s">
        <v>2159</v>
      </c>
      <c r="C45" s="675" t="s">
        <v>4382</v>
      </c>
      <c r="D45" s="681">
        <v>15</v>
      </c>
      <c r="E45" s="682" t="s">
        <v>3943</v>
      </c>
      <c r="F45" s="626"/>
      <c r="G45" s="677" t="s">
        <v>4963</v>
      </c>
      <c r="H45" s="678" t="s">
        <v>5113</v>
      </c>
      <c r="I45" s="626" t="s">
        <v>5092</v>
      </c>
      <c r="J45" s="626" t="s">
        <v>5091</v>
      </c>
      <c r="K45" s="626" t="s">
        <v>5090</v>
      </c>
      <c r="L45" s="681"/>
      <c r="M45" s="341"/>
    </row>
    <row r="46" spans="1:13" ht="12">
      <c r="A46" s="643">
        <f t="shared" si="0"/>
        <v>45</v>
      </c>
      <c r="B46" s="681" t="s">
        <v>2607</v>
      </c>
      <c r="C46" s="681" t="s">
        <v>275</v>
      </c>
      <c r="D46" s="681">
        <v>2</v>
      </c>
      <c r="E46" s="682" t="s">
        <v>4396</v>
      </c>
      <c r="F46" s="643"/>
      <c r="G46" s="690" t="s">
        <v>4712</v>
      </c>
      <c r="H46" s="678"/>
      <c r="I46" s="626"/>
      <c r="J46" s="626"/>
      <c r="K46" s="626" t="s">
        <v>5093</v>
      </c>
      <c r="L46" s="691"/>
      <c r="M46" s="341"/>
    </row>
    <row r="47" spans="1:13" ht="12">
      <c r="A47" s="643">
        <f t="shared" si="0"/>
        <v>46</v>
      </c>
      <c r="B47" s="681" t="s">
        <v>2608</v>
      </c>
      <c r="C47" s="681" t="s">
        <v>4385</v>
      </c>
      <c r="D47" s="681">
        <v>3</v>
      </c>
      <c r="E47" s="682" t="s">
        <v>4397</v>
      </c>
      <c r="F47" s="643"/>
      <c r="G47" s="690" t="s">
        <v>4713</v>
      </c>
      <c r="H47" s="678"/>
      <c r="I47" s="626"/>
      <c r="J47" s="626"/>
      <c r="K47" s="626" t="s">
        <v>5094</v>
      </c>
      <c r="L47" s="691"/>
      <c r="M47" s="341"/>
    </row>
    <row r="48" spans="1:13" ht="12">
      <c r="A48" s="643">
        <f t="shared" si="0"/>
        <v>47</v>
      </c>
      <c r="B48" s="681" t="s">
        <v>2609</v>
      </c>
      <c r="C48" s="692" t="s">
        <v>4382</v>
      </c>
      <c r="D48" s="681">
        <v>5</v>
      </c>
      <c r="E48" s="682" t="s">
        <v>4398</v>
      </c>
      <c r="F48" s="643"/>
      <c r="G48" s="690" t="s">
        <v>4714</v>
      </c>
      <c r="H48" s="678"/>
      <c r="I48" s="626"/>
      <c r="J48" s="626"/>
      <c r="K48" s="626" t="s">
        <v>5095</v>
      </c>
      <c r="L48" s="691"/>
      <c r="M48" s="341"/>
    </row>
    <row r="49" spans="1:13" ht="12">
      <c r="A49" s="643">
        <f t="shared" si="0"/>
        <v>48</v>
      </c>
      <c r="B49" s="681" t="s">
        <v>2610</v>
      </c>
      <c r="C49" s="681" t="s">
        <v>275</v>
      </c>
      <c r="D49" s="681">
        <v>1</v>
      </c>
      <c r="E49" s="682" t="s">
        <v>4399</v>
      </c>
      <c r="F49" s="643"/>
      <c r="G49" s="690" t="s">
        <v>4715</v>
      </c>
      <c r="H49" s="678"/>
      <c r="I49" s="626"/>
      <c r="J49" s="626"/>
      <c r="K49" s="626" t="s">
        <v>5096</v>
      </c>
      <c r="L49" s="691"/>
      <c r="M49" s="341"/>
    </row>
    <row r="50" spans="1:13" ht="12">
      <c r="A50" s="643">
        <f t="shared" si="0"/>
        <v>49</v>
      </c>
      <c r="B50" s="681" t="s">
        <v>2611</v>
      </c>
      <c r="C50" s="681" t="s">
        <v>275</v>
      </c>
      <c r="D50" s="681">
        <v>1</v>
      </c>
      <c r="E50" s="682" t="s">
        <v>4400</v>
      </c>
      <c r="F50" s="643"/>
      <c r="G50" s="690" t="s">
        <v>4716</v>
      </c>
      <c r="H50" s="678"/>
      <c r="I50" s="626"/>
      <c r="J50" s="626"/>
      <c r="K50" s="626" t="s">
        <v>5097</v>
      </c>
      <c r="L50" s="691"/>
      <c r="M50" s="341"/>
    </row>
    <row r="51" spans="1:13" ht="12">
      <c r="A51" s="643">
        <f t="shared" si="0"/>
        <v>50</v>
      </c>
      <c r="B51" s="681" t="s">
        <v>2612</v>
      </c>
      <c r="C51" s="681" t="s">
        <v>275</v>
      </c>
      <c r="D51" s="681">
        <v>1</v>
      </c>
      <c r="E51" s="682" t="s">
        <v>4401</v>
      </c>
      <c r="F51" s="643"/>
      <c r="G51" s="690" t="s">
        <v>4717</v>
      </c>
      <c r="H51" s="678"/>
      <c r="I51" s="626"/>
      <c r="J51" s="626"/>
      <c r="K51" s="626" t="s">
        <v>5098</v>
      </c>
      <c r="L51" s="691"/>
      <c r="M51" s="341"/>
    </row>
    <row r="52" spans="1:13" ht="12">
      <c r="A52" s="643">
        <f t="shared" si="0"/>
        <v>51</v>
      </c>
      <c r="B52" s="681" t="s">
        <v>2613</v>
      </c>
      <c r="C52" s="681" t="s">
        <v>275</v>
      </c>
      <c r="D52" s="681">
        <v>2</v>
      </c>
      <c r="E52" s="682" t="s">
        <v>4402</v>
      </c>
      <c r="F52" s="643"/>
      <c r="G52" s="690" t="s">
        <v>4718</v>
      </c>
      <c r="H52" s="678"/>
      <c r="I52" s="626"/>
      <c r="J52" s="626"/>
      <c r="K52" s="626" t="s">
        <v>5099</v>
      </c>
      <c r="L52" s="691"/>
      <c r="M52" s="341"/>
    </row>
    <row r="53" spans="1:13" ht="12">
      <c r="A53" s="643">
        <f t="shared" si="0"/>
        <v>52</v>
      </c>
      <c r="B53" s="681" t="s">
        <v>2614</v>
      </c>
      <c r="C53" s="692" t="s">
        <v>4382</v>
      </c>
      <c r="D53" s="681">
        <v>5</v>
      </c>
      <c r="E53" s="682" t="s">
        <v>4403</v>
      </c>
      <c r="F53" s="643"/>
      <c r="G53" s="690" t="s">
        <v>4719</v>
      </c>
      <c r="H53" s="678"/>
      <c r="I53" s="626"/>
      <c r="J53" s="626"/>
      <c r="K53" s="626" t="s">
        <v>5100</v>
      </c>
      <c r="L53" s="691"/>
      <c r="M53" s="341"/>
    </row>
    <row r="54" spans="1:13" ht="12">
      <c r="A54" s="643">
        <f t="shared" si="0"/>
        <v>53</v>
      </c>
      <c r="B54" s="681" t="s">
        <v>2615</v>
      </c>
      <c r="C54" s="681" t="s">
        <v>275</v>
      </c>
      <c r="D54" s="681">
        <v>2</v>
      </c>
      <c r="E54" s="682" t="s">
        <v>4404</v>
      </c>
      <c r="F54" s="643"/>
      <c r="G54" s="690" t="s">
        <v>4720</v>
      </c>
      <c r="H54" s="678"/>
      <c r="I54" s="626"/>
      <c r="J54" s="626"/>
      <c r="K54" s="626" t="s">
        <v>5101</v>
      </c>
      <c r="L54" s="691"/>
      <c r="M54" s="341"/>
    </row>
    <row r="55" spans="1:13" ht="12">
      <c r="A55" s="643">
        <f t="shared" si="0"/>
        <v>54</v>
      </c>
      <c r="B55" s="681" t="s">
        <v>2616</v>
      </c>
      <c r="C55" s="692" t="s">
        <v>4382</v>
      </c>
      <c r="D55" s="681">
        <v>5</v>
      </c>
      <c r="E55" s="682" t="s">
        <v>4405</v>
      </c>
      <c r="F55" s="643"/>
      <c r="G55" s="690" t="s">
        <v>4721</v>
      </c>
      <c r="H55" s="678"/>
      <c r="I55" s="626"/>
      <c r="J55" s="626"/>
      <c r="K55" s="626" t="s">
        <v>5102</v>
      </c>
      <c r="L55" s="691"/>
      <c r="M55" s="341"/>
    </row>
    <row r="56" spans="1:13" ht="12">
      <c r="A56" s="643">
        <f t="shared" si="0"/>
        <v>55</v>
      </c>
      <c r="B56" s="681" t="s">
        <v>2617</v>
      </c>
      <c r="C56" s="681" t="s">
        <v>4385</v>
      </c>
      <c r="D56" s="681">
        <v>15</v>
      </c>
      <c r="E56" s="682" t="s">
        <v>4406</v>
      </c>
      <c r="F56" s="643"/>
      <c r="G56" s="690" t="s">
        <v>4722</v>
      </c>
      <c r="H56" s="678"/>
      <c r="I56" s="626"/>
      <c r="J56" s="626"/>
      <c r="K56" s="626" t="s">
        <v>5103</v>
      </c>
      <c r="L56" s="691"/>
      <c r="M56" s="341"/>
    </row>
    <row r="57" spans="1:13" ht="12">
      <c r="A57" s="643">
        <f t="shared" si="0"/>
        <v>56</v>
      </c>
      <c r="B57" s="681" t="s">
        <v>2618</v>
      </c>
      <c r="C57" s="681" t="s">
        <v>4385</v>
      </c>
      <c r="D57" s="681">
        <v>15</v>
      </c>
      <c r="E57" s="682" t="s">
        <v>4407</v>
      </c>
      <c r="F57" s="643"/>
      <c r="G57" s="690" t="s">
        <v>4723</v>
      </c>
      <c r="H57" s="678"/>
      <c r="I57" s="626"/>
      <c r="J57" s="626"/>
      <c r="K57" s="626" t="s">
        <v>5104</v>
      </c>
      <c r="L57" s="691"/>
      <c r="M57" s="341"/>
    </row>
    <row r="58" spans="1:13" ht="12">
      <c r="A58" s="643">
        <f t="shared" si="0"/>
        <v>57</v>
      </c>
      <c r="B58" s="693" t="s">
        <v>4293</v>
      </c>
      <c r="C58" s="693" t="s">
        <v>4382</v>
      </c>
      <c r="D58" s="693">
        <v>15</v>
      </c>
      <c r="E58" s="694" t="s">
        <v>4408</v>
      </c>
      <c r="F58" s="626"/>
      <c r="G58" s="677" t="s">
        <v>4724</v>
      </c>
      <c r="H58" s="678"/>
      <c r="I58" s="620" t="s">
        <v>683</v>
      </c>
      <c r="J58" s="620" t="s">
        <v>3079</v>
      </c>
      <c r="K58" s="626" t="s">
        <v>5105</v>
      </c>
      <c r="L58" s="693"/>
      <c r="M58" s="341"/>
    </row>
    <row r="59" spans="1:13" ht="12">
      <c r="A59" s="643">
        <f t="shared" si="0"/>
        <v>58</v>
      </c>
      <c r="B59" s="693" t="s">
        <v>5107</v>
      </c>
      <c r="C59" s="693" t="s">
        <v>4382</v>
      </c>
      <c r="D59" s="693">
        <v>15</v>
      </c>
      <c r="E59" s="694" t="s">
        <v>5108</v>
      </c>
      <c r="F59" s="626"/>
      <c r="G59" s="677"/>
      <c r="H59" s="678" t="s">
        <v>5113</v>
      </c>
      <c r="I59" s="620"/>
      <c r="J59" s="626" t="s">
        <v>5091</v>
      </c>
      <c r="K59" s="626" t="s">
        <v>5106</v>
      </c>
      <c r="L59" s="693"/>
      <c r="M59" s="341"/>
    </row>
    <row r="60" spans="1:13" ht="12">
      <c r="A60" s="643">
        <f t="shared" si="0"/>
        <v>59</v>
      </c>
      <c r="B60" s="681" t="s">
        <v>4294</v>
      </c>
      <c r="C60" s="693" t="s">
        <v>4382</v>
      </c>
      <c r="D60" s="681">
        <v>15</v>
      </c>
      <c r="E60" s="682" t="s">
        <v>4409</v>
      </c>
      <c r="F60" s="626"/>
      <c r="G60" s="677" t="s">
        <v>4725</v>
      </c>
      <c r="H60" s="678"/>
      <c r="I60" s="626"/>
      <c r="J60" s="626"/>
      <c r="K60" s="620" t="s">
        <v>5109</v>
      </c>
      <c r="L60" s="681"/>
      <c r="M60" s="341"/>
    </row>
    <row r="61" spans="1:13" ht="12">
      <c r="A61" s="643">
        <f t="shared" si="0"/>
        <v>60</v>
      </c>
      <c r="B61" s="681" t="s">
        <v>4295</v>
      </c>
      <c r="C61" s="693" t="s">
        <v>4382</v>
      </c>
      <c r="D61" s="681">
        <v>15</v>
      </c>
      <c r="E61" s="682" t="s">
        <v>4410</v>
      </c>
      <c r="F61" s="626"/>
      <c r="G61" s="677" t="s">
        <v>4726</v>
      </c>
      <c r="H61" s="678"/>
      <c r="I61" s="626"/>
      <c r="J61" s="626"/>
      <c r="K61" s="626" t="s">
        <v>5110</v>
      </c>
      <c r="L61" s="681"/>
      <c r="M61" s="341"/>
    </row>
    <row r="62" spans="1:13" ht="12">
      <c r="A62" s="643">
        <f t="shared" si="0"/>
        <v>61</v>
      </c>
      <c r="B62" s="681" t="s">
        <v>2626</v>
      </c>
      <c r="C62" s="693" t="s">
        <v>4382</v>
      </c>
      <c r="D62" s="681">
        <v>15</v>
      </c>
      <c r="E62" s="682" t="s">
        <v>3946</v>
      </c>
      <c r="F62" s="626"/>
      <c r="G62" s="677" t="s">
        <v>4727</v>
      </c>
      <c r="H62" s="678" t="s">
        <v>5116</v>
      </c>
      <c r="I62" s="626"/>
      <c r="J62" s="626" t="s">
        <v>3946</v>
      </c>
      <c r="K62" s="626" t="s">
        <v>5112</v>
      </c>
      <c r="L62" s="681"/>
      <c r="M62" s="341"/>
    </row>
    <row r="63" spans="1:13" ht="12">
      <c r="A63" s="643">
        <f t="shared" si="0"/>
        <v>62</v>
      </c>
      <c r="B63" s="681" t="s">
        <v>2627</v>
      </c>
      <c r="C63" s="693" t="s">
        <v>4382</v>
      </c>
      <c r="D63" s="681">
        <v>15</v>
      </c>
      <c r="E63" s="682" t="s">
        <v>3947</v>
      </c>
      <c r="F63" s="626"/>
      <c r="G63" s="677" t="s">
        <v>4728</v>
      </c>
      <c r="H63" s="678"/>
      <c r="I63" s="620" t="s">
        <v>683</v>
      </c>
      <c r="J63" s="620" t="s">
        <v>3079</v>
      </c>
      <c r="K63" s="626" t="s">
        <v>5111</v>
      </c>
      <c r="L63" s="681"/>
      <c r="M63" s="341"/>
    </row>
    <row r="64" spans="1:13" ht="12">
      <c r="A64" s="643">
        <f t="shared" si="0"/>
        <v>63</v>
      </c>
      <c r="B64" s="681" t="s">
        <v>4296</v>
      </c>
      <c r="C64" s="681" t="s">
        <v>275</v>
      </c>
      <c r="D64" s="681">
        <v>1</v>
      </c>
      <c r="E64" s="682" t="s">
        <v>4411</v>
      </c>
      <c r="F64" s="626"/>
      <c r="G64" s="677" t="s">
        <v>4729</v>
      </c>
      <c r="H64" s="678"/>
      <c r="I64" s="626"/>
      <c r="J64" s="626"/>
      <c r="K64" s="626" t="s">
        <v>5117</v>
      </c>
      <c r="L64" s="681"/>
      <c r="M64" s="341"/>
    </row>
    <row r="65" spans="1:13" ht="12">
      <c r="A65" s="643">
        <f t="shared" si="0"/>
        <v>64</v>
      </c>
      <c r="B65" s="681" t="s">
        <v>4297</v>
      </c>
      <c r="C65" s="681" t="s">
        <v>4381</v>
      </c>
      <c r="D65" s="681">
        <v>1</v>
      </c>
      <c r="E65" s="682" t="s">
        <v>4412</v>
      </c>
      <c r="F65" s="626"/>
      <c r="G65" s="677" t="s">
        <v>4964</v>
      </c>
      <c r="H65" s="678"/>
      <c r="I65" s="626"/>
      <c r="J65" s="626"/>
      <c r="K65" s="626" t="s">
        <v>5118</v>
      </c>
      <c r="L65" s="681"/>
      <c r="M65" s="341"/>
    </row>
    <row r="66" spans="1:13" ht="12">
      <c r="A66" s="643">
        <f t="shared" si="0"/>
        <v>65</v>
      </c>
      <c r="B66" s="681" t="s">
        <v>4298</v>
      </c>
      <c r="C66" s="681" t="s">
        <v>4382</v>
      </c>
      <c r="D66" s="681">
        <v>15</v>
      </c>
      <c r="E66" s="682" t="s">
        <v>4057</v>
      </c>
      <c r="F66" s="626"/>
      <c r="G66" s="677" t="s">
        <v>4730</v>
      </c>
      <c r="H66" s="678" t="s">
        <v>5116</v>
      </c>
      <c r="I66" s="626"/>
      <c r="J66" s="626"/>
      <c r="K66" s="626" t="s">
        <v>5119</v>
      </c>
      <c r="L66" s="685"/>
      <c r="M66" s="341"/>
    </row>
    <row r="67" spans="1:13" ht="12">
      <c r="A67" s="643">
        <f t="shared" si="0"/>
        <v>66</v>
      </c>
      <c r="B67" s="681" t="s">
        <v>2631</v>
      </c>
      <c r="C67" s="681" t="s">
        <v>4382</v>
      </c>
      <c r="D67" s="681">
        <v>15</v>
      </c>
      <c r="E67" s="682" t="s">
        <v>4058</v>
      </c>
      <c r="F67" s="626"/>
      <c r="G67" s="677" t="s">
        <v>4731</v>
      </c>
      <c r="H67" s="678" t="s">
        <v>5116</v>
      </c>
      <c r="I67" s="626"/>
      <c r="J67" s="626"/>
      <c r="K67" s="626" t="s">
        <v>5120</v>
      </c>
      <c r="L67" s="685"/>
      <c r="M67" s="341"/>
    </row>
    <row r="68" spans="1:13" ht="12">
      <c r="A68" s="643">
        <f t="shared" ref="A68:A143" si="1">ROW()-1</f>
        <v>67</v>
      </c>
      <c r="B68" s="681" t="s">
        <v>2632</v>
      </c>
      <c r="C68" s="681" t="s">
        <v>4382</v>
      </c>
      <c r="D68" s="681">
        <v>15</v>
      </c>
      <c r="E68" s="682" t="s">
        <v>4059</v>
      </c>
      <c r="F68" s="626"/>
      <c r="G68" s="677" t="s">
        <v>4732</v>
      </c>
      <c r="H68" s="678" t="s">
        <v>5116</v>
      </c>
      <c r="I68" s="626"/>
      <c r="J68" s="626"/>
      <c r="K68" s="626" t="s">
        <v>5121</v>
      </c>
      <c r="L68" s="685"/>
      <c r="M68" s="341"/>
    </row>
    <row r="69" spans="1:13" ht="12">
      <c r="A69" s="643">
        <f t="shared" si="1"/>
        <v>68</v>
      </c>
      <c r="B69" s="681" t="s">
        <v>2633</v>
      </c>
      <c r="C69" s="681" t="s">
        <v>4381</v>
      </c>
      <c r="D69" s="681">
        <v>2</v>
      </c>
      <c r="E69" s="682" t="s">
        <v>4413</v>
      </c>
      <c r="F69" s="626"/>
      <c r="G69" s="677"/>
      <c r="H69" s="678" t="s">
        <v>5116</v>
      </c>
      <c r="I69" s="643"/>
      <c r="J69" s="630"/>
      <c r="K69" s="626" t="s">
        <v>5122</v>
      </c>
      <c r="L69" s="685"/>
      <c r="M69" s="341"/>
    </row>
    <row r="70" spans="1:13" ht="12">
      <c r="A70" s="643">
        <f t="shared" si="1"/>
        <v>69</v>
      </c>
      <c r="B70" s="681" t="s">
        <v>2634</v>
      </c>
      <c r="C70" s="681" t="s">
        <v>4381</v>
      </c>
      <c r="D70" s="681">
        <v>2</v>
      </c>
      <c r="E70" s="682" t="s">
        <v>4414</v>
      </c>
      <c r="F70" s="626"/>
      <c r="G70" s="677"/>
      <c r="H70" s="678" t="s">
        <v>5116</v>
      </c>
      <c r="I70" s="626"/>
      <c r="J70" s="626"/>
      <c r="K70" s="626" t="s">
        <v>5123</v>
      </c>
      <c r="L70" s="685"/>
      <c r="M70" s="341"/>
    </row>
    <row r="71" spans="1:13" ht="12">
      <c r="A71" s="643">
        <f t="shared" si="1"/>
        <v>70</v>
      </c>
      <c r="B71" s="681" t="s">
        <v>2635</v>
      </c>
      <c r="C71" s="681" t="s">
        <v>4382</v>
      </c>
      <c r="D71" s="681">
        <v>15</v>
      </c>
      <c r="E71" s="682" t="s">
        <v>4416</v>
      </c>
      <c r="F71" s="626"/>
      <c r="G71" s="677"/>
      <c r="H71" s="678" t="s">
        <v>5113</v>
      </c>
      <c r="I71" s="626"/>
      <c r="J71" s="626" t="s">
        <v>5124</v>
      </c>
      <c r="K71" s="626"/>
      <c r="L71" s="685"/>
      <c r="M71" s="341"/>
    </row>
    <row r="72" spans="1:13" ht="12">
      <c r="A72" s="643">
        <f t="shared" si="1"/>
        <v>71</v>
      </c>
      <c r="B72" s="681" t="s">
        <v>2636</v>
      </c>
      <c r="C72" s="681" t="s">
        <v>4382</v>
      </c>
      <c r="D72" s="681">
        <v>15</v>
      </c>
      <c r="E72" s="682" t="s">
        <v>4417</v>
      </c>
      <c r="F72" s="626"/>
      <c r="G72" s="677"/>
      <c r="H72" s="678" t="s">
        <v>5128</v>
      </c>
      <c r="I72" s="626"/>
      <c r="J72" s="626" t="s">
        <v>5125</v>
      </c>
      <c r="K72" s="626" t="s">
        <v>5126</v>
      </c>
      <c r="L72" s="685"/>
      <c r="M72" s="341"/>
    </row>
    <row r="73" spans="1:13" ht="12">
      <c r="A73" s="643">
        <f t="shared" si="1"/>
        <v>72</v>
      </c>
      <c r="B73" s="681" t="s">
        <v>2637</v>
      </c>
      <c r="C73" s="681" t="s">
        <v>4381</v>
      </c>
      <c r="D73" s="681">
        <v>3</v>
      </c>
      <c r="E73" s="682" t="s">
        <v>4418</v>
      </c>
      <c r="F73" s="626"/>
      <c r="G73" s="677"/>
      <c r="H73" s="678" t="s">
        <v>5128</v>
      </c>
      <c r="I73" s="643"/>
      <c r="J73" s="630" t="s">
        <v>5125</v>
      </c>
      <c r="K73" s="626" t="s">
        <v>5127</v>
      </c>
      <c r="L73" s="685"/>
      <c r="M73" s="341"/>
    </row>
    <row r="74" spans="1:13" ht="12">
      <c r="A74" s="643">
        <f t="shared" si="1"/>
        <v>73</v>
      </c>
      <c r="B74" s="681" t="s">
        <v>2638</v>
      </c>
      <c r="C74" s="681" t="s">
        <v>4381</v>
      </c>
      <c r="D74" s="681">
        <v>2</v>
      </c>
      <c r="E74" s="682" t="s">
        <v>4419</v>
      </c>
      <c r="F74" s="626"/>
      <c r="G74" s="677"/>
      <c r="H74" s="678" t="s">
        <v>5113</v>
      </c>
      <c r="I74" s="626"/>
      <c r="J74" s="626" t="s">
        <v>5129</v>
      </c>
      <c r="K74" s="626"/>
      <c r="L74" s="685"/>
      <c r="M74" s="341"/>
    </row>
    <row r="75" spans="1:13" ht="12">
      <c r="A75" s="643">
        <f t="shared" si="1"/>
        <v>74</v>
      </c>
      <c r="B75" s="681" t="s">
        <v>2639</v>
      </c>
      <c r="C75" s="681" t="s">
        <v>4381</v>
      </c>
      <c r="D75" s="681">
        <v>2</v>
      </c>
      <c r="E75" s="682" t="s">
        <v>4420</v>
      </c>
      <c r="F75" s="724" t="s">
        <v>3593</v>
      </c>
      <c r="G75" s="677"/>
      <c r="H75" s="678" t="s">
        <v>5113</v>
      </c>
      <c r="I75" s="626"/>
      <c r="J75" s="626" t="s">
        <v>5130</v>
      </c>
      <c r="K75" s="626"/>
      <c r="L75" s="685"/>
      <c r="M75" s="341"/>
    </row>
    <row r="76" spans="1:13" ht="12">
      <c r="A76" s="643">
        <f t="shared" si="1"/>
        <v>75</v>
      </c>
      <c r="B76" s="675" t="s">
        <v>2640</v>
      </c>
      <c r="C76" s="675" t="s">
        <v>4381</v>
      </c>
      <c r="D76" s="675">
        <v>4</v>
      </c>
      <c r="E76" s="676" t="s">
        <v>4930</v>
      </c>
      <c r="F76" s="725"/>
      <c r="G76" s="677" t="s">
        <v>4965</v>
      </c>
      <c r="H76" s="678"/>
      <c r="I76" s="626"/>
      <c r="J76" s="626" t="s">
        <v>5131</v>
      </c>
      <c r="K76" s="626"/>
      <c r="L76" s="695"/>
      <c r="M76" s="341"/>
    </row>
    <row r="77" spans="1:13" ht="12">
      <c r="A77" s="643">
        <f t="shared" si="1"/>
        <v>76</v>
      </c>
      <c r="B77" s="675" t="s">
        <v>2641</v>
      </c>
      <c r="C77" s="675" t="s">
        <v>4381</v>
      </c>
      <c r="D77" s="675">
        <v>1</v>
      </c>
      <c r="E77" s="676" t="s">
        <v>4931</v>
      </c>
      <c r="F77" s="725"/>
      <c r="G77" s="677" t="s">
        <v>4966</v>
      </c>
      <c r="H77" s="678"/>
      <c r="I77" s="626"/>
      <c r="J77" s="626" t="s">
        <v>5132</v>
      </c>
      <c r="K77" s="626"/>
      <c r="L77" s="695"/>
      <c r="M77" s="341"/>
    </row>
    <row r="78" spans="1:13" ht="12">
      <c r="A78" s="643">
        <f t="shared" si="1"/>
        <v>77</v>
      </c>
      <c r="B78" s="675" t="s">
        <v>2642</v>
      </c>
      <c r="C78" s="675" t="s">
        <v>4381</v>
      </c>
      <c r="D78" s="675">
        <v>1</v>
      </c>
      <c r="E78" s="676" t="s">
        <v>4932</v>
      </c>
      <c r="F78" s="725"/>
      <c r="G78" s="677" t="s">
        <v>4967</v>
      </c>
      <c r="H78" s="678"/>
      <c r="I78" s="626"/>
      <c r="J78" s="626" t="s">
        <v>5133</v>
      </c>
      <c r="K78" s="626"/>
      <c r="L78" s="695"/>
      <c r="M78" s="341"/>
    </row>
    <row r="79" spans="1:13" ht="12">
      <c r="A79" s="643">
        <f t="shared" si="1"/>
        <v>78</v>
      </c>
      <c r="B79" s="675" t="s">
        <v>4922</v>
      </c>
      <c r="C79" s="675" t="s">
        <v>4381</v>
      </c>
      <c r="D79" s="675">
        <v>8</v>
      </c>
      <c r="E79" s="676" t="s">
        <v>4933</v>
      </c>
      <c r="F79" s="725"/>
      <c r="G79" s="677" t="s">
        <v>4967</v>
      </c>
      <c r="H79" s="678"/>
      <c r="I79" s="626"/>
      <c r="J79" s="626" t="s">
        <v>5134</v>
      </c>
      <c r="K79" s="626"/>
      <c r="L79" s="695"/>
      <c r="M79" s="341"/>
    </row>
    <row r="80" spans="1:13" ht="12">
      <c r="A80" s="643">
        <f t="shared" si="1"/>
        <v>79</v>
      </c>
      <c r="B80" s="675" t="s">
        <v>4923</v>
      </c>
      <c r="C80" s="675" t="s">
        <v>4381</v>
      </c>
      <c r="D80" s="675">
        <v>1</v>
      </c>
      <c r="E80" s="676" t="s">
        <v>4934</v>
      </c>
      <c r="F80" s="725"/>
      <c r="G80" s="677" t="s">
        <v>4968</v>
      </c>
      <c r="H80" s="678"/>
      <c r="I80" s="626"/>
      <c r="J80" s="626" t="s">
        <v>5135</v>
      </c>
      <c r="K80" s="626"/>
      <c r="L80" s="695"/>
      <c r="M80" s="341"/>
    </row>
    <row r="81" spans="1:13" ht="12">
      <c r="A81" s="643">
        <f t="shared" si="1"/>
        <v>80</v>
      </c>
      <c r="B81" s="675" t="s">
        <v>4924</v>
      </c>
      <c r="C81" s="675" t="s">
        <v>4382</v>
      </c>
      <c r="D81" s="675">
        <v>15</v>
      </c>
      <c r="E81" s="676" t="s">
        <v>4935</v>
      </c>
      <c r="F81" s="725"/>
      <c r="G81" s="677" t="s">
        <v>4969</v>
      </c>
      <c r="H81" s="678"/>
      <c r="I81" s="620" t="s">
        <v>683</v>
      </c>
      <c r="J81" s="620" t="s">
        <v>3079</v>
      </c>
      <c r="K81" s="620" t="s">
        <v>5136</v>
      </c>
      <c r="L81" s="697"/>
    </row>
    <row r="82" spans="1:13" ht="12">
      <c r="A82" s="643">
        <f t="shared" si="1"/>
        <v>81</v>
      </c>
      <c r="B82" s="675" t="s">
        <v>4925</v>
      </c>
      <c r="C82" s="675" t="s">
        <v>4382</v>
      </c>
      <c r="D82" s="675">
        <v>15</v>
      </c>
      <c r="E82" s="676" t="s">
        <v>4936</v>
      </c>
      <c r="F82" s="725"/>
      <c r="G82" s="677"/>
      <c r="H82" s="678"/>
      <c r="I82" s="620"/>
      <c r="J82" s="620" t="s">
        <v>5125</v>
      </c>
      <c r="K82" s="620" t="s">
        <v>5137</v>
      </c>
      <c r="L82" s="697"/>
    </row>
    <row r="83" spans="1:13" ht="12">
      <c r="A83" s="643">
        <f t="shared" si="1"/>
        <v>82</v>
      </c>
      <c r="B83" s="714" t="s">
        <v>2647</v>
      </c>
      <c r="C83" s="714" t="s">
        <v>5088</v>
      </c>
      <c r="D83" s="714" t="s">
        <v>4263</v>
      </c>
      <c r="E83" s="726" t="s">
        <v>5086</v>
      </c>
      <c r="F83" s="725"/>
      <c r="G83" s="677"/>
      <c r="H83" s="678"/>
      <c r="I83" s="620"/>
      <c r="J83" s="620"/>
      <c r="K83" s="620" t="s">
        <v>5138</v>
      </c>
      <c r="L83" s="697"/>
    </row>
    <row r="84" spans="1:13" ht="12">
      <c r="A84" s="643">
        <f t="shared" si="1"/>
        <v>83</v>
      </c>
      <c r="B84" s="714" t="s">
        <v>2648</v>
      </c>
      <c r="C84" s="714" t="s">
        <v>5088</v>
      </c>
      <c r="D84" s="714" t="s">
        <v>4263</v>
      </c>
      <c r="E84" s="726" t="s">
        <v>5087</v>
      </c>
      <c r="F84" s="725"/>
      <c r="G84" s="677"/>
      <c r="H84" s="678"/>
      <c r="I84" s="620"/>
      <c r="J84" s="620"/>
      <c r="K84" s="620" t="s">
        <v>5139</v>
      </c>
      <c r="L84" s="696" t="s">
        <v>5140</v>
      </c>
    </row>
    <row r="85" spans="1:13" ht="12">
      <c r="A85" s="643">
        <f t="shared" si="1"/>
        <v>84</v>
      </c>
      <c r="B85" s="714" t="s">
        <v>2649</v>
      </c>
      <c r="C85" s="681" t="s">
        <v>4382</v>
      </c>
      <c r="D85" s="681">
        <v>15</v>
      </c>
      <c r="E85" s="726" t="s">
        <v>5204</v>
      </c>
      <c r="F85" s="725"/>
      <c r="G85" s="677"/>
      <c r="H85" s="678"/>
      <c r="I85" s="620"/>
      <c r="J85" s="620"/>
      <c r="K85" s="620"/>
      <c r="L85" s="696"/>
    </row>
    <row r="86" spans="1:13" ht="12">
      <c r="A86" s="643">
        <f t="shared" si="1"/>
        <v>85</v>
      </c>
      <c r="B86" s="714" t="s">
        <v>2650</v>
      </c>
      <c r="C86" s="714" t="s">
        <v>4258</v>
      </c>
      <c r="D86" s="714" t="s">
        <v>7523</v>
      </c>
      <c r="E86" s="726" t="s">
        <v>7518</v>
      </c>
      <c r="F86" s="725"/>
      <c r="G86" s="677"/>
      <c r="H86" s="678"/>
      <c r="I86" s="620"/>
      <c r="J86" s="620"/>
      <c r="K86" s="620"/>
      <c r="L86" s="696"/>
    </row>
    <row r="87" spans="1:13" ht="12">
      <c r="A87" s="643">
        <f t="shared" si="1"/>
        <v>86</v>
      </c>
      <c r="B87" s="714" t="s">
        <v>2651</v>
      </c>
      <c r="C87" s="714" t="s">
        <v>52</v>
      </c>
      <c r="D87" s="714" t="s">
        <v>4262</v>
      </c>
      <c r="E87" s="726" t="s">
        <v>7519</v>
      </c>
      <c r="F87" s="725"/>
      <c r="G87" s="677"/>
      <c r="H87" s="678"/>
      <c r="I87" s="620"/>
      <c r="J87" s="620"/>
      <c r="K87" s="620"/>
      <c r="L87" s="696"/>
    </row>
    <row r="88" spans="1:13" ht="12">
      <c r="A88" s="643">
        <f t="shared" si="1"/>
        <v>87</v>
      </c>
      <c r="B88" s="714" t="s">
        <v>2652</v>
      </c>
      <c r="C88" s="714" t="s">
        <v>52</v>
      </c>
      <c r="D88" s="714" t="s">
        <v>4262</v>
      </c>
      <c r="E88" s="726" t="s">
        <v>7520</v>
      </c>
      <c r="F88" s="725"/>
      <c r="G88" s="677"/>
      <c r="H88" s="678"/>
      <c r="I88" s="620"/>
      <c r="J88" s="620"/>
      <c r="K88" s="620"/>
      <c r="L88" s="696"/>
    </row>
    <row r="89" spans="1:13" ht="12">
      <c r="A89" s="643">
        <f t="shared" si="1"/>
        <v>88</v>
      </c>
      <c r="B89" s="714" t="s">
        <v>2653</v>
      </c>
      <c r="C89" s="714" t="s">
        <v>52</v>
      </c>
      <c r="D89" s="714" t="s">
        <v>4262</v>
      </c>
      <c r="E89" s="726" t="s">
        <v>7521</v>
      </c>
      <c r="F89" s="725"/>
      <c r="G89" s="677"/>
      <c r="H89" s="678"/>
      <c r="I89" s="620"/>
      <c r="J89" s="620"/>
      <c r="K89" s="620"/>
      <c r="L89" s="696"/>
    </row>
    <row r="90" spans="1:13" ht="12">
      <c r="A90" s="643">
        <f t="shared" si="1"/>
        <v>89</v>
      </c>
      <c r="B90" s="714" t="s">
        <v>2655</v>
      </c>
      <c r="C90" s="714" t="s">
        <v>4258</v>
      </c>
      <c r="D90" s="714" t="s">
        <v>4263</v>
      </c>
      <c r="E90" s="726" t="s">
        <v>7522</v>
      </c>
      <c r="F90" s="725"/>
      <c r="G90" s="677"/>
      <c r="H90" s="678"/>
      <c r="I90" s="620"/>
      <c r="J90" s="620"/>
      <c r="K90" s="620"/>
      <c r="L90" s="696"/>
    </row>
    <row r="91" spans="1:13" ht="12">
      <c r="A91" s="643">
        <f t="shared" si="1"/>
        <v>90</v>
      </c>
      <c r="B91" s="714" t="s">
        <v>2656</v>
      </c>
      <c r="C91" s="714" t="s">
        <v>4258</v>
      </c>
      <c r="D91" s="714" t="s">
        <v>4264</v>
      </c>
      <c r="E91" s="726" t="s">
        <v>5902</v>
      </c>
      <c r="F91" s="725"/>
      <c r="G91" s="677"/>
      <c r="H91" s="678"/>
      <c r="I91" s="620"/>
      <c r="J91" s="620"/>
      <c r="K91" s="620"/>
      <c r="L91" s="696"/>
    </row>
    <row r="92" spans="1:13" ht="12">
      <c r="A92" s="643">
        <f t="shared" si="1"/>
        <v>91</v>
      </c>
      <c r="B92" s="714" t="s">
        <v>2657</v>
      </c>
      <c r="C92" s="714" t="s">
        <v>4258</v>
      </c>
      <c r="D92" s="714" t="s">
        <v>4264</v>
      </c>
      <c r="E92" s="726" t="s">
        <v>5903</v>
      </c>
      <c r="F92" s="725"/>
      <c r="G92" s="677"/>
      <c r="H92" s="678"/>
      <c r="I92" s="620"/>
      <c r="J92" s="620"/>
      <c r="K92" s="620"/>
      <c r="L92" s="696"/>
    </row>
    <row r="93" spans="1:13" ht="12">
      <c r="A93" s="643">
        <f t="shared" si="1"/>
        <v>92</v>
      </c>
      <c r="B93" s="714" t="s">
        <v>2658</v>
      </c>
      <c r="C93" s="714" t="s">
        <v>52</v>
      </c>
      <c r="D93" s="714" t="s">
        <v>5299</v>
      </c>
      <c r="E93" s="726" t="s">
        <v>7403</v>
      </c>
      <c r="F93" s="725"/>
      <c r="G93" s="677"/>
      <c r="H93" s="678"/>
      <c r="I93" s="620"/>
      <c r="J93" s="620"/>
      <c r="K93" s="620"/>
      <c r="L93" s="696"/>
    </row>
    <row r="94" spans="1:13" ht="12">
      <c r="A94" s="643">
        <f t="shared" si="1"/>
        <v>93</v>
      </c>
      <c r="B94" s="714" t="s">
        <v>2659</v>
      </c>
      <c r="C94" s="714" t="s">
        <v>52</v>
      </c>
      <c r="D94" s="714" t="s">
        <v>5299</v>
      </c>
      <c r="E94" s="726" t="s">
        <v>7404</v>
      </c>
      <c r="F94" s="725"/>
      <c r="G94" s="677"/>
      <c r="H94" s="678"/>
      <c r="I94" s="620"/>
      <c r="J94" s="620"/>
      <c r="K94" s="620"/>
      <c r="L94" s="696"/>
    </row>
    <row r="95" spans="1:13" ht="12">
      <c r="A95" s="643">
        <f t="shared" si="1"/>
        <v>94</v>
      </c>
      <c r="B95" s="681" t="s">
        <v>4299</v>
      </c>
      <c r="C95" s="681" t="s">
        <v>4421</v>
      </c>
      <c r="D95" s="681">
        <v>15</v>
      </c>
      <c r="E95" s="698" t="s">
        <v>4422</v>
      </c>
      <c r="F95" s="725"/>
      <c r="G95" s="677" t="s">
        <v>4733</v>
      </c>
      <c r="H95" s="678"/>
      <c r="I95" s="626"/>
      <c r="J95" s="626" t="s">
        <v>5141</v>
      </c>
      <c r="K95" s="626"/>
      <c r="L95" s="681"/>
      <c r="M95" s="341"/>
    </row>
    <row r="96" spans="1:13" ht="12">
      <c r="A96" s="643">
        <f t="shared" si="1"/>
        <v>95</v>
      </c>
      <c r="B96" s="681" t="s">
        <v>3772</v>
      </c>
      <c r="C96" s="681" t="s">
        <v>4421</v>
      </c>
      <c r="D96" s="681">
        <v>15</v>
      </c>
      <c r="E96" s="698" t="s">
        <v>4423</v>
      </c>
      <c r="F96" s="626"/>
      <c r="G96" s="677" t="s">
        <v>4734</v>
      </c>
      <c r="H96" s="678"/>
      <c r="I96" s="626"/>
      <c r="J96" s="626" t="s">
        <v>5141</v>
      </c>
      <c r="K96" s="626"/>
      <c r="L96" s="681"/>
      <c r="M96" s="341"/>
    </row>
    <row r="97" spans="1:13" ht="16.5" customHeight="1">
      <c r="A97" s="643">
        <f t="shared" si="1"/>
        <v>96</v>
      </c>
      <c r="B97" s="681" t="s">
        <v>3773</v>
      </c>
      <c r="C97" s="681" t="s">
        <v>4421</v>
      </c>
      <c r="D97" s="681">
        <v>15</v>
      </c>
      <c r="E97" s="698" t="s">
        <v>4424</v>
      </c>
      <c r="F97" s="626"/>
      <c r="G97" s="677" t="s">
        <v>4735</v>
      </c>
      <c r="H97" s="678"/>
      <c r="I97" s="626"/>
      <c r="J97" s="626" t="s">
        <v>5141</v>
      </c>
      <c r="K97" s="626"/>
      <c r="L97" s="681"/>
      <c r="M97" s="341"/>
    </row>
    <row r="98" spans="1:13" ht="12">
      <c r="A98" s="643">
        <f t="shared" si="1"/>
        <v>97</v>
      </c>
      <c r="B98" s="681" t="s">
        <v>3774</v>
      </c>
      <c r="C98" s="681" t="s">
        <v>4415</v>
      </c>
      <c r="D98" s="681">
        <v>15</v>
      </c>
      <c r="E98" s="698" t="s">
        <v>4425</v>
      </c>
      <c r="F98" s="626"/>
      <c r="G98" s="677" t="s">
        <v>4736</v>
      </c>
      <c r="H98" s="678"/>
      <c r="I98" s="626"/>
      <c r="J98" s="626" t="s">
        <v>5141</v>
      </c>
      <c r="K98" s="626"/>
      <c r="L98" s="681"/>
      <c r="M98" s="341"/>
    </row>
    <row r="99" spans="1:13" ht="12">
      <c r="A99" s="643">
        <f t="shared" si="1"/>
        <v>98</v>
      </c>
      <c r="B99" s="681" t="s">
        <v>3775</v>
      </c>
      <c r="C99" s="681" t="s">
        <v>4421</v>
      </c>
      <c r="D99" s="681">
        <v>15</v>
      </c>
      <c r="E99" s="698" t="s">
        <v>4426</v>
      </c>
      <c r="F99" s="626"/>
      <c r="G99" s="677" t="s">
        <v>4737</v>
      </c>
      <c r="H99" s="678"/>
      <c r="I99" s="626"/>
      <c r="J99" s="626" t="s">
        <v>5141</v>
      </c>
      <c r="K99" s="626"/>
      <c r="L99" s="681"/>
      <c r="M99" s="341"/>
    </row>
    <row r="100" spans="1:13" ht="12">
      <c r="A100" s="643">
        <f t="shared" si="1"/>
        <v>99</v>
      </c>
      <c r="B100" s="681" t="s">
        <v>3776</v>
      </c>
      <c r="C100" s="681" t="s">
        <v>4421</v>
      </c>
      <c r="D100" s="681">
        <v>15</v>
      </c>
      <c r="E100" s="698" t="s">
        <v>4427</v>
      </c>
      <c r="F100" s="626"/>
      <c r="G100" s="677" t="s">
        <v>4738</v>
      </c>
      <c r="H100" s="678"/>
      <c r="I100" s="626"/>
      <c r="J100" s="626" t="s">
        <v>5141</v>
      </c>
      <c r="K100" s="626"/>
      <c r="L100" s="681"/>
      <c r="M100" s="341"/>
    </row>
    <row r="101" spans="1:13" ht="12">
      <c r="A101" s="643">
        <f t="shared" si="1"/>
        <v>100</v>
      </c>
      <c r="B101" s="681" t="s">
        <v>3777</v>
      </c>
      <c r="C101" s="681" t="s">
        <v>4421</v>
      </c>
      <c r="D101" s="681">
        <v>15</v>
      </c>
      <c r="E101" s="698" t="s">
        <v>4428</v>
      </c>
      <c r="F101" s="626"/>
      <c r="G101" s="677" t="s">
        <v>4739</v>
      </c>
      <c r="H101" s="678"/>
      <c r="I101" s="626"/>
      <c r="J101" s="626" t="s">
        <v>5141</v>
      </c>
      <c r="K101" s="626"/>
      <c r="L101" s="681"/>
      <c r="M101" s="341"/>
    </row>
    <row r="102" spans="1:13" ht="12">
      <c r="A102" s="643">
        <f t="shared" si="1"/>
        <v>101</v>
      </c>
      <c r="B102" s="681" t="s">
        <v>3778</v>
      </c>
      <c r="C102" s="681" t="s">
        <v>4415</v>
      </c>
      <c r="D102" s="693">
        <v>15</v>
      </c>
      <c r="E102" s="694" t="s">
        <v>4429</v>
      </c>
      <c r="F102" s="626"/>
      <c r="G102" s="677" t="s">
        <v>4740</v>
      </c>
      <c r="H102" s="678"/>
      <c r="I102" s="626"/>
      <c r="J102" s="626" t="s">
        <v>5141</v>
      </c>
      <c r="K102" s="626"/>
      <c r="L102" s="693"/>
      <c r="M102" s="341"/>
    </row>
    <row r="103" spans="1:13" ht="12">
      <c r="A103" s="643">
        <f t="shared" si="1"/>
        <v>102</v>
      </c>
      <c r="B103" s="681" t="s">
        <v>3779</v>
      </c>
      <c r="C103" s="681" t="s">
        <v>4415</v>
      </c>
      <c r="D103" s="681">
        <v>15</v>
      </c>
      <c r="E103" s="698" t="s">
        <v>4430</v>
      </c>
      <c r="F103" s="626"/>
      <c r="G103" s="677" t="s">
        <v>4741</v>
      </c>
      <c r="H103" s="678"/>
      <c r="I103" s="626"/>
      <c r="J103" s="626" t="s">
        <v>5141</v>
      </c>
      <c r="K103" s="626"/>
      <c r="L103" s="681"/>
      <c r="M103" s="341"/>
    </row>
    <row r="104" spans="1:13" ht="12">
      <c r="A104" s="643">
        <f t="shared" si="1"/>
        <v>103</v>
      </c>
      <c r="B104" s="681" t="s">
        <v>3780</v>
      </c>
      <c r="C104" s="681" t="s">
        <v>4421</v>
      </c>
      <c r="D104" s="681">
        <v>15</v>
      </c>
      <c r="E104" s="698" t="s">
        <v>3768</v>
      </c>
      <c r="F104" s="626"/>
      <c r="G104" s="677" t="s">
        <v>4742</v>
      </c>
      <c r="H104" s="678"/>
      <c r="I104" s="626"/>
      <c r="J104" s="626" t="s">
        <v>5141</v>
      </c>
      <c r="K104" s="626"/>
      <c r="L104" s="681"/>
      <c r="M104" s="341"/>
    </row>
    <row r="105" spans="1:13" ht="12">
      <c r="A105" s="643">
        <f t="shared" si="1"/>
        <v>104</v>
      </c>
      <c r="B105" s="681" t="s">
        <v>3781</v>
      </c>
      <c r="C105" s="681" t="s">
        <v>4415</v>
      </c>
      <c r="D105" s="681">
        <v>15</v>
      </c>
      <c r="E105" s="698" t="s">
        <v>4431</v>
      </c>
      <c r="F105" s="626"/>
      <c r="G105" s="677" t="s">
        <v>4743</v>
      </c>
      <c r="H105" s="678"/>
      <c r="I105" s="626"/>
      <c r="J105" s="626" t="s">
        <v>5141</v>
      </c>
      <c r="K105" s="626"/>
      <c r="L105" s="681"/>
      <c r="M105" s="341"/>
    </row>
    <row r="106" spans="1:13" ht="12">
      <c r="A106" s="643">
        <f t="shared" si="1"/>
        <v>105</v>
      </c>
      <c r="B106" s="681" t="s">
        <v>3782</v>
      </c>
      <c r="C106" s="681" t="s">
        <v>4421</v>
      </c>
      <c r="D106" s="681">
        <v>15</v>
      </c>
      <c r="E106" s="698" t="s">
        <v>3770</v>
      </c>
      <c r="F106" s="626"/>
      <c r="G106" s="677" t="s">
        <v>4744</v>
      </c>
      <c r="H106" s="678"/>
      <c r="I106" s="626"/>
      <c r="J106" s="626" t="s">
        <v>5141</v>
      </c>
      <c r="K106" s="626"/>
      <c r="L106" s="681"/>
      <c r="M106" s="341"/>
    </row>
    <row r="107" spans="1:13" ht="12">
      <c r="A107" s="699">
        <f t="shared" si="1"/>
        <v>106</v>
      </c>
      <c r="B107" s="700" t="s">
        <v>2351</v>
      </c>
      <c r="C107" s="700" t="s">
        <v>4382</v>
      </c>
      <c r="D107" s="700">
        <v>9</v>
      </c>
      <c r="E107" s="701" t="s">
        <v>783</v>
      </c>
      <c r="F107" s="702"/>
      <c r="G107" s="703" t="s">
        <v>4745</v>
      </c>
      <c r="H107" s="704"/>
      <c r="I107" s="702"/>
      <c r="J107" s="702"/>
      <c r="K107" s="702"/>
      <c r="L107" s="700" t="s">
        <v>784</v>
      </c>
      <c r="M107" s="341"/>
    </row>
    <row r="108" spans="1:13" ht="12">
      <c r="A108" s="643">
        <f t="shared" si="1"/>
        <v>107</v>
      </c>
      <c r="B108" s="675" t="s">
        <v>2352</v>
      </c>
      <c r="C108" s="675" t="s">
        <v>4382</v>
      </c>
      <c r="D108" s="675">
        <v>9</v>
      </c>
      <c r="E108" s="676" t="s">
        <v>1347</v>
      </c>
      <c r="F108" s="626"/>
      <c r="G108" s="677" t="s">
        <v>4746</v>
      </c>
      <c r="H108" s="678"/>
      <c r="I108" s="626"/>
      <c r="J108" s="626"/>
      <c r="K108" s="626"/>
      <c r="L108" s="675" t="s">
        <v>1348</v>
      </c>
      <c r="M108" s="341"/>
    </row>
    <row r="109" spans="1:13" ht="12">
      <c r="A109" s="643">
        <f t="shared" si="1"/>
        <v>108</v>
      </c>
      <c r="B109" s="675" t="s">
        <v>2356</v>
      </c>
      <c r="C109" s="675" t="s">
        <v>4382</v>
      </c>
      <c r="D109" s="675">
        <v>9</v>
      </c>
      <c r="E109" s="676" t="s">
        <v>754</v>
      </c>
      <c r="F109" s="626"/>
      <c r="G109" s="677" t="s">
        <v>4747</v>
      </c>
      <c r="H109" s="678"/>
      <c r="I109" s="626"/>
      <c r="J109" s="626"/>
      <c r="K109" s="626"/>
      <c r="L109" s="675" t="s">
        <v>755</v>
      </c>
      <c r="M109" s="341"/>
    </row>
    <row r="110" spans="1:13" ht="12">
      <c r="A110" s="643">
        <f t="shared" si="1"/>
        <v>109</v>
      </c>
      <c r="B110" s="675" t="s">
        <v>2357</v>
      </c>
      <c r="C110" s="675" t="s">
        <v>4382</v>
      </c>
      <c r="D110" s="675">
        <v>9</v>
      </c>
      <c r="E110" s="676" t="s">
        <v>798</v>
      </c>
      <c r="F110" s="626"/>
      <c r="G110" s="677" t="s">
        <v>4748</v>
      </c>
      <c r="H110" s="678"/>
      <c r="I110" s="626"/>
      <c r="J110" s="626"/>
      <c r="K110" s="626"/>
      <c r="L110" s="675" t="s">
        <v>799</v>
      </c>
      <c r="M110" s="341"/>
    </row>
    <row r="111" spans="1:13" ht="12">
      <c r="A111" s="643">
        <f t="shared" si="1"/>
        <v>110</v>
      </c>
      <c r="B111" s="675" t="s">
        <v>2358</v>
      </c>
      <c r="C111" s="675" t="s">
        <v>4381</v>
      </c>
      <c r="D111" s="691">
        <v>1</v>
      </c>
      <c r="E111" s="676" t="s">
        <v>767</v>
      </c>
      <c r="F111" s="620"/>
      <c r="G111" s="677" t="s">
        <v>4749</v>
      </c>
      <c r="H111" s="678"/>
      <c r="I111" s="620"/>
      <c r="J111" s="620"/>
      <c r="K111" s="620"/>
      <c r="L111" s="675" t="s">
        <v>4432</v>
      </c>
    </row>
    <row r="112" spans="1:13" ht="12">
      <c r="A112" s="643">
        <f t="shared" si="1"/>
        <v>111</v>
      </c>
      <c r="B112" s="675" t="s">
        <v>2359</v>
      </c>
      <c r="C112" s="675" t="s">
        <v>4381</v>
      </c>
      <c r="D112" s="691">
        <v>1</v>
      </c>
      <c r="E112" s="676" t="s">
        <v>1337</v>
      </c>
      <c r="F112" s="620"/>
      <c r="G112" s="677" t="s">
        <v>4750</v>
      </c>
      <c r="H112" s="678"/>
      <c r="I112" s="620"/>
      <c r="J112" s="620"/>
      <c r="K112" s="620"/>
      <c r="L112" s="675" t="s">
        <v>4996</v>
      </c>
    </row>
    <row r="113" spans="1:12" ht="12">
      <c r="A113" s="643">
        <f t="shared" si="1"/>
        <v>112</v>
      </c>
      <c r="B113" s="675" t="s">
        <v>2360</v>
      </c>
      <c r="C113" s="675" t="s">
        <v>4381</v>
      </c>
      <c r="D113" s="691">
        <v>1</v>
      </c>
      <c r="E113" s="676" t="s">
        <v>770</v>
      </c>
      <c r="F113" s="620"/>
      <c r="G113" s="677" t="s">
        <v>4751</v>
      </c>
      <c r="H113" s="678"/>
      <c r="I113" s="620"/>
      <c r="J113" s="620"/>
      <c r="K113" s="620"/>
      <c r="L113" s="675" t="s">
        <v>771</v>
      </c>
    </row>
    <row r="114" spans="1:12" ht="12">
      <c r="A114" s="643">
        <f t="shared" si="1"/>
        <v>113</v>
      </c>
      <c r="B114" s="675" t="s">
        <v>2361</v>
      </c>
      <c r="C114" s="675" t="s">
        <v>4381</v>
      </c>
      <c r="D114" s="675">
        <v>1</v>
      </c>
      <c r="E114" s="676" t="s">
        <v>786</v>
      </c>
      <c r="F114" s="620"/>
      <c r="G114" s="677" t="s">
        <v>4752</v>
      </c>
      <c r="H114" s="678"/>
      <c r="I114" s="620"/>
      <c r="J114" s="620"/>
      <c r="K114" s="620"/>
      <c r="L114" s="675" t="s">
        <v>787</v>
      </c>
    </row>
    <row r="115" spans="1:12" ht="12">
      <c r="A115" s="643">
        <f t="shared" si="1"/>
        <v>114</v>
      </c>
      <c r="B115" s="675" t="s">
        <v>2362</v>
      </c>
      <c r="C115" s="675" t="s">
        <v>4381</v>
      </c>
      <c r="D115" s="675">
        <v>1</v>
      </c>
      <c r="E115" s="676" t="s">
        <v>789</v>
      </c>
      <c r="F115" s="620"/>
      <c r="G115" s="677" t="s">
        <v>4753</v>
      </c>
      <c r="H115" s="678"/>
      <c r="I115" s="620"/>
      <c r="J115" s="620"/>
      <c r="K115" s="620"/>
      <c r="L115" s="675" t="s">
        <v>790</v>
      </c>
    </row>
    <row r="116" spans="1:12" ht="12">
      <c r="A116" s="643">
        <f t="shared" si="1"/>
        <v>115</v>
      </c>
      <c r="B116" s="675" t="s">
        <v>2363</v>
      </c>
      <c r="C116" s="675" t="s">
        <v>4381</v>
      </c>
      <c r="D116" s="675">
        <v>1</v>
      </c>
      <c r="E116" s="676" t="s">
        <v>795</v>
      </c>
      <c r="F116" s="620"/>
      <c r="G116" s="677" t="s">
        <v>4754</v>
      </c>
      <c r="H116" s="678"/>
      <c r="I116" s="620"/>
      <c r="J116" s="620"/>
      <c r="K116" s="620"/>
      <c r="L116" s="675" t="s">
        <v>796</v>
      </c>
    </row>
    <row r="117" spans="1:12" ht="12">
      <c r="A117" s="643">
        <f t="shared" si="1"/>
        <v>116</v>
      </c>
      <c r="B117" s="675" t="s">
        <v>2364</v>
      </c>
      <c r="C117" s="675" t="s">
        <v>4381</v>
      </c>
      <c r="D117" s="675">
        <v>1</v>
      </c>
      <c r="E117" s="676" t="s">
        <v>792</v>
      </c>
      <c r="F117" s="620"/>
      <c r="G117" s="677" t="s">
        <v>4755</v>
      </c>
      <c r="H117" s="678"/>
      <c r="I117" s="620"/>
      <c r="J117" s="620"/>
      <c r="K117" s="620"/>
      <c r="L117" s="675" t="s">
        <v>793</v>
      </c>
    </row>
    <row r="118" spans="1:12" ht="12">
      <c r="A118" s="643">
        <f t="shared" si="1"/>
        <v>117</v>
      </c>
      <c r="B118" s="675" t="s">
        <v>2365</v>
      </c>
      <c r="C118" s="681" t="s">
        <v>275</v>
      </c>
      <c r="D118" s="675">
        <v>1</v>
      </c>
      <c r="E118" s="676" t="s">
        <v>855</v>
      </c>
      <c r="F118" s="620"/>
      <c r="G118" s="677" t="s">
        <v>4756</v>
      </c>
      <c r="H118" s="678"/>
      <c r="I118" s="620"/>
      <c r="J118" s="620"/>
      <c r="K118" s="620"/>
      <c r="L118" s="675" t="s">
        <v>856</v>
      </c>
    </row>
    <row r="119" spans="1:12" ht="12">
      <c r="A119" s="643">
        <f t="shared" si="1"/>
        <v>118</v>
      </c>
      <c r="B119" s="705"/>
      <c r="C119" s="705" t="s">
        <v>4385</v>
      </c>
      <c r="D119" s="705">
        <v>9</v>
      </c>
      <c r="E119" s="706" t="s">
        <v>1333</v>
      </c>
      <c r="F119" s="620"/>
      <c r="G119" s="707" t="s">
        <v>4757</v>
      </c>
      <c r="H119" s="620"/>
      <c r="I119" s="620"/>
      <c r="J119" s="620"/>
      <c r="K119" s="620"/>
      <c r="L119" s="705" t="s">
        <v>1335</v>
      </c>
    </row>
    <row r="120" spans="1:12" ht="12">
      <c r="A120" s="643">
        <f t="shared" si="1"/>
        <v>119</v>
      </c>
      <c r="B120" s="675" t="s">
        <v>2367</v>
      </c>
      <c r="C120" s="675" t="s">
        <v>4382</v>
      </c>
      <c r="D120" s="675">
        <v>9</v>
      </c>
      <c r="E120" s="676" t="s">
        <v>871</v>
      </c>
      <c r="F120" s="620"/>
      <c r="G120" s="677" t="s">
        <v>4758</v>
      </c>
      <c r="H120" s="678"/>
      <c r="I120" s="620"/>
      <c r="J120" s="620"/>
      <c r="K120" s="620"/>
      <c r="L120" s="675" t="s">
        <v>872</v>
      </c>
    </row>
    <row r="121" spans="1:12" ht="12">
      <c r="A121" s="643">
        <f t="shared" si="1"/>
        <v>120</v>
      </c>
      <c r="B121" s="675" t="s">
        <v>2368</v>
      </c>
      <c r="C121" s="675" t="s">
        <v>4382</v>
      </c>
      <c r="D121" s="675">
        <v>9</v>
      </c>
      <c r="E121" s="676" t="s">
        <v>1340</v>
      </c>
      <c r="F121" s="620"/>
      <c r="G121" s="677" t="s">
        <v>4759</v>
      </c>
      <c r="H121" s="678"/>
      <c r="I121" s="620"/>
      <c r="J121" s="620"/>
      <c r="K121" s="620"/>
      <c r="L121" s="675" t="s">
        <v>1341</v>
      </c>
    </row>
    <row r="122" spans="1:12" ht="12">
      <c r="A122" s="643">
        <f t="shared" si="1"/>
        <v>121</v>
      </c>
      <c r="B122" s="675" t="s">
        <v>2369</v>
      </c>
      <c r="C122" s="675" t="s">
        <v>4382</v>
      </c>
      <c r="D122" s="675">
        <v>9</v>
      </c>
      <c r="E122" s="676" t="s">
        <v>1346</v>
      </c>
      <c r="F122" s="620"/>
      <c r="G122" s="677" t="s">
        <v>4760</v>
      </c>
      <c r="H122" s="678"/>
      <c r="I122" s="620"/>
      <c r="J122" s="620"/>
      <c r="K122" s="620"/>
      <c r="L122" s="675" t="s">
        <v>4433</v>
      </c>
    </row>
    <row r="123" spans="1:12" ht="12">
      <c r="A123" s="643">
        <f t="shared" si="1"/>
        <v>122</v>
      </c>
      <c r="B123" s="675" t="s">
        <v>2370</v>
      </c>
      <c r="C123" s="675" t="s">
        <v>4382</v>
      </c>
      <c r="D123" s="675">
        <v>9</v>
      </c>
      <c r="E123" s="676" t="s">
        <v>1356</v>
      </c>
      <c r="F123" s="620"/>
      <c r="G123" s="677" t="s">
        <v>4761</v>
      </c>
      <c r="H123" s="678"/>
      <c r="I123" s="620"/>
      <c r="J123" s="620"/>
      <c r="K123" s="620"/>
      <c r="L123" s="675" t="s">
        <v>1357</v>
      </c>
    </row>
    <row r="124" spans="1:12" ht="12">
      <c r="A124" s="643">
        <f t="shared" si="1"/>
        <v>123</v>
      </c>
      <c r="B124" s="675" t="s">
        <v>2371</v>
      </c>
      <c r="C124" s="675" t="s">
        <v>4382</v>
      </c>
      <c r="D124" s="675">
        <v>9</v>
      </c>
      <c r="E124" s="676" t="s">
        <v>1365</v>
      </c>
      <c r="F124" s="620"/>
      <c r="G124" s="677" t="s">
        <v>4762</v>
      </c>
      <c r="H124" s="678"/>
      <c r="I124" s="620"/>
      <c r="J124" s="620"/>
      <c r="K124" s="620"/>
      <c r="L124" s="675" t="s">
        <v>1366</v>
      </c>
    </row>
    <row r="125" spans="1:12" ht="12">
      <c r="A125" s="643">
        <f t="shared" si="1"/>
        <v>124</v>
      </c>
      <c r="B125" s="675" t="s">
        <v>2374</v>
      </c>
      <c r="C125" s="675" t="s">
        <v>4382</v>
      </c>
      <c r="D125" s="675">
        <v>9</v>
      </c>
      <c r="E125" s="676" t="s">
        <v>1362</v>
      </c>
      <c r="F125" s="620"/>
      <c r="G125" s="677" t="s">
        <v>4763</v>
      </c>
      <c r="H125" s="678"/>
      <c r="I125" s="620"/>
      <c r="J125" s="620"/>
      <c r="K125" s="620"/>
      <c r="L125" s="675" t="s">
        <v>1363</v>
      </c>
    </row>
    <row r="126" spans="1:12" ht="12">
      <c r="A126" s="643">
        <f t="shared" si="1"/>
        <v>125</v>
      </c>
      <c r="B126" s="675" t="s">
        <v>2375</v>
      </c>
      <c r="C126" s="675" t="s">
        <v>4382</v>
      </c>
      <c r="D126" s="675">
        <v>9</v>
      </c>
      <c r="E126" s="676" t="s">
        <v>1407</v>
      </c>
      <c r="F126" s="620"/>
      <c r="G126" s="677" t="s">
        <v>4764</v>
      </c>
      <c r="H126" s="678"/>
      <c r="I126" s="620"/>
      <c r="J126" s="620"/>
      <c r="K126" s="620"/>
      <c r="L126" s="675" t="s">
        <v>1408</v>
      </c>
    </row>
    <row r="127" spans="1:12" ht="12">
      <c r="A127" s="643">
        <f t="shared" si="1"/>
        <v>126</v>
      </c>
      <c r="B127" s="675" t="s">
        <v>2376</v>
      </c>
      <c r="C127" s="675" t="s">
        <v>4382</v>
      </c>
      <c r="D127" s="675">
        <v>9</v>
      </c>
      <c r="E127" s="676" t="s">
        <v>757</v>
      </c>
      <c r="F127" s="620"/>
      <c r="G127" s="677" t="s">
        <v>4765</v>
      </c>
      <c r="H127" s="678"/>
      <c r="I127" s="620"/>
      <c r="J127" s="620"/>
      <c r="K127" s="620"/>
      <c r="L127" s="675" t="s">
        <v>4997</v>
      </c>
    </row>
    <row r="128" spans="1:12" ht="12">
      <c r="A128" s="643">
        <f t="shared" si="1"/>
        <v>127</v>
      </c>
      <c r="B128" s="675" t="s">
        <v>2377</v>
      </c>
      <c r="C128" s="675" t="s">
        <v>4382</v>
      </c>
      <c r="D128" s="675">
        <v>9</v>
      </c>
      <c r="E128" s="676" t="s">
        <v>4937</v>
      </c>
      <c r="F128" s="620"/>
      <c r="G128" s="677" t="s">
        <v>4766</v>
      </c>
      <c r="H128" s="678"/>
      <c r="I128" s="620"/>
      <c r="J128" s="620"/>
      <c r="K128" s="620"/>
      <c r="L128" s="675" t="s">
        <v>867</v>
      </c>
    </row>
    <row r="129" spans="1:15" ht="12">
      <c r="A129" s="643">
        <f t="shared" si="1"/>
        <v>128</v>
      </c>
      <c r="B129" s="675" t="s">
        <v>2378</v>
      </c>
      <c r="C129" s="675" t="s">
        <v>4382</v>
      </c>
      <c r="D129" s="675">
        <v>9</v>
      </c>
      <c r="E129" s="676" t="s">
        <v>4938</v>
      </c>
      <c r="F129" s="620"/>
      <c r="G129" s="677" t="s">
        <v>4767</v>
      </c>
      <c r="H129" s="678"/>
      <c r="I129" s="620"/>
      <c r="J129" s="620"/>
      <c r="K129" s="620"/>
      <c r="L129" s="675" t="s">
        <v>869</v>
      </c>
    </row>
    <row r="130" spans="1:15" ht="12">
      <c r="A130" s="643">
        <f t="shared" si="1"/>
        <v>129</v>
      </c>
      <c r="B130" s="675" t="s">
        <v>2379</v>
      </c>
      <c r="C130" s="675" t="s">
        <v>4382</v>
      </c>
      <c r="D130" s="675">
        <v>9</v>
      </c>
      <c r="E130" s="676" t="s">
        <v>863</v>
      </c>
      <c r="F130" s="620"/>
      <c r="G130" s="677" t="s">
        <v>4768</v>
      </c>
      <c r="H130" s="678"/>
      <c r="I130" s="620"/>
      <c r="J130" s="620"/>
      <c r="K130" s="620"/>
      <c r="L130" s="675" t="s">
        <v>4434</v>
      </c>
    </row>
    <row r="131" spans="1:15" ht="12">
      <c r="A131" s="643">
        <f t="shared" si="1"/>
        <v>130</v>
      </c>
      <c r="B131" s="675" t="s">
        <v>2380</v>
      </c>
      <c r="C131" s="675" t="s">
        <v>4382</v>
      </c>
      <c r="D131" s="675">
        <v>9</v>
      </c>
      <c r="E131" s="676" t="s">
        <v>893</v>
      </c>
      <c r="F131" s="620"/>
      <c r="G131" s="677" t="s">
        <v>4769</v>
      </c>
      <c r="H131" s="678"/>
      <c r="I131" s="620"/>
      <c r="J131" s="620"/>
      <c r="K131" s="620"/>
      <c r="L131" s="675" t="s">
        <v>894</v>
      </c>
    </row>
    <row r="132" spans="1:15" ht="12">
      <c r="A132" s="643">
        <f t="shared" si="1"/>
        <v>131</v>
      </c>
      <c r="B132" s="675" t="s">
        <v>2381</v>
      </c>
      <c r="C132" s="681" t="s">
        <v>275</v>
      </c>
      <c r="D132" s="675">
        <v>4</v>
      </c>
      <c r="E132" s="676" t="s">
        <v>4939</v>
      </c>
      <c r="F132" s="620"/>
      <c r="G132" s="677" t="s">
        <v>4770</v>
      </c>
      <c r="H132" s="678"/>
      <c r="I132" s="620"/>
      <c r="J132" s="620"/>
      <c r="K132" s="620"/>
      <c r="L132" s="675" t="s">
        <v>918</v>
      </c>
    </row>
    <row r="133" spans="1:15" ht="12">
      <c r="A133" s="643">
        <f t="shared" si="1"/>
        <v>132</v>
      </c>
      <c r="B133" s="675" t="s">
        <v>2382</v>
      </c>
      <c r="C133" s="681" t="s">
        <v>275</v>
      </c>
      <c r="D133" s="675">
        <v>4</v>
      </c>
      <c r="E133" s="676" t="s">
        <v>1441</v>
      </c>
      <c r="F133" s="620"/>
      <c r="G133" s="677" t="s">
        <v>4771</v>
      </c>
      <c r="H133" s="678"/>
      <c r="I133" s="620"/>
      <c r="J133" s="620"/>
      <c r="K133" s="620"/>
      <c r="L133" s="675" t="s">
        <v>920</v>
      </c>
    </row>
    <row r="134" spans="1:15" ht="12">
      <c r="A134" s="643">
        <f t="shared" si="1"/>
        <v>133</v>
      </c>
      <c r="B134" s="675" t="s">
        <v>2383</v>
      </c>
      <c r="C134" s="681" t="s">
        <v>275</v>
      </c>
      <c r="D134" s="675">
        <v>4</v>
      </c>
      <c r="E134" s="676" t="s">
        <v>914</v>
      </c>
      <c r="F134" s="620"/>
      <c r="G134" s="677" t="s">
        <v>4772</v>
      </c>
      <c r="H134" s="678"/>
      <c r="I134" s="620"/>
      <c r="J134" s="620"/>
      <c r="K134" s="620"/>
      <c r="L134" s="675" t="s">
        <v>915</v>
      </c>
    </row>
    <row r="135" spans="1:15" ht="12">
      <c r="A135" s="643">
        <f t="shared" si="1"/>
        <v>134</v>
      </c>
      <c r="B135" s="675" t="s">
        <v>2384</v>
      </c>
      <c r="C135" s="681" t="s">
        <v>275</v>
      </c>
      <c r="D135" s="675">
        <v>4</v>
      </c>
      <c r="E135" s="676" t="s">
        <v>1442</v>
      </c>
      <c r="F135" s="620"/>
      <c r="G135" s="677" t="s">
        <v>4773</v>
      </c>
      <c r="H135" s="678"/>
      <c r="I135" s="620"/>
      <c r="J135" s="620"/>
      <c r="K135" s="620"/>
      <c r="L135" s="675" t="s">
        <v>906</v>
      </c>
    </row>
    <row r="136" spans="1:15" ht="12">
      <c r="A136" s="643">
        <f t="shared" si="1"/>
        <v>135</v>
      </c>
      <c r="B136" s="675" t="s">
        <v>2385</v>
      </c>
      <c r="C136" s="681" t="s">
        <v>275</v>
      </c>
      <c r="D136" s="675">
        <v>4</v>
      </c>
      <c r="E136" s="676" t="s">
        <v>1443</v>
      </c>
      <c r="F136" s="620"/>
      <c r="G136" s="677" t="s">
        <v>4774</v>
      </c>
      <c r="H136" s="678"/>
      <c r="I136" s="620"/>
      <c r="J136" s="620"/>
      <c r="K136" s="620"/>
      <c r="L136" s="675" t="s">
        <v>909</v>
      </c>
    </row>
    <row r="137" spans="1:15" ht="12">
      <c r="A137" s="643">
        <f t="shared" si="1"/>
        <v>136</v>
      </c>
      <c r="B137" s="675" t="s">
        <v>4300</v>
      </c>
      <c r="C137" s="675" t="s">
        <v>4382</v>
      </c>
      <c r="D137" s="675">
        <v>9</v>
      </c>
      <c r="E137" s="708" t="s">
        <v>4435</v>
      </c>
      <c r="F137" s="620"/>
      <c r="G137" s="677" t="s">
        <v>4775</v>
      </c>
      <c r="H137" s="678"/>
      <c r="I137" s="620"/>
      <c r="J137" s="620"/>
      <c r="K137" s="620"/>
      <c r="L137" s="709"/>
    </row>
    <row r="138" spans="1:15" ht="12">
      <c r="A138" s="643">
        <f t="shared" si="1"/>
        <v>137</v>
      </c>
      <c r="B138" s="675" t="s">
        <v>2387</v>
      </c>
      <c r="C138" s="675" t="s">
        <v>4382</v>
      </c>
      <c r="D138" s="675">
        <v>9</v>
      </c>
      <c r="E138" s="676" t="s">
        <v>4940</v>
      </c>
      <c r="F138" s="620"/>
      <c r="G138" s="677" t="s">
        <v>4776</v>
      </c>
      <c r="H138" s="678"/>
      <c r="I138" s="620"/>
      <c r="J138" s="620"/>
      <c r="K138" s="620"/>
      <c r="L138" s="675" t="s">
        <v>4436</v>
      </c>
    </row>
    <row r="139" spans="1:15" ht="12">
      <c r="A139" s="643">
        <f t="shared" si="1"/>
        <v>138</v>
      </c>
      <c r="B139" s="710" t="s">
        <v>2962</v>
      </c>
      <c r="C139" s="711" t="s">
        <v>275</v>
      </c>
      <c r="D139" s="710">
        <v>4</v>
      </c>
      <c r="E139" s="712" t="s">
        <v>2977</v>
      </c>
      <c r="F139" s="620"/>
      <c r="G139" s="713" t="s">
        <v>4777</v>
      </c>
      <c r="H139" s="620"/>
      <c r="I139" s="620"/>
      <c r="J139" s="620"/>
      <c r="K139" s="620"/>
      <c r="L139" s="710" t="s">
        <v>2967</v>
      </c>
    </row>
    <row r="140" spans="1:15" ht="12">
      <c r="A140" s="643">
        <f t="shared" si="1"/>
        <v>139</v>
      </c>
      <c r="B140" s="681" t="s">
        <v>4301</v>
      </c>
      <c r="C140" s="681" t="s">
        <v>4381</v>
      </c>
      <c r="D140" s="681">
        <v>1</v>
      </c>
      <c r="E140" s="682" t="s">
        <v>4941</v>
      </c>
      <c r="F140" s="626"/>
      <c r="G140" s="677" t="s">
        <v>4778</v>
      </c>
      <c r="H140" s="678"/>
      <c r="I140" s="626"/>
      <c r="J140" s="626"/>
      <c r="K140" s="626"/>
      <c r="L140" s="681"/>
      <c r="M140" s="341"/>
      <c r="N140" s="341"/>
      <c r="O140" s="341"/>
    </row>
    <row r="141" spans="1:15" ht="12">
      <c r="A141" s="643">
        <f t="shared" si="1"/>
        <v>140</v>
      </c>
      <c r="B141" s="681" t="s">
        <v>4302</v>
      </c>
      <c r="C141" s="675" t="s">
        <v>4382</v>
      </c>
      <c r="D141" s="681">
        <v>15</v>
      </c>
      <c r="E141" s="682" t="s">
        <v>4438</v>
      </c>
      <c r="F141" s="626"/>
      <c r="G141" s="677" t="s">
        <v>4779</v>
      </c>
      <c r="H141" s="678"/>
      <c r="I141" s="626"/>
      <c r="J141" s="626"/>
      <c r="K141" s="626"/>
      <c r="L141" s="681" t="s">
        <v>4437</v>
      </c>
      <c r="M141" s="341"/>
      <c r="N141" s="341"/>
      <c r="O141" s="341"/>
    </row>
    <row r="142" spans="1:15" ht="12">
      <c r="A142" s="643">
        <f t="shared" si="1"/>
        <v>141</v>
      </c>
      <c r="B142" s="681" t="s">
        <v>3648</v>
      </c>
      <c r="C142" s="675" t="s">
        <v>4382</v>
      </c>
      <c r="D142" s="681">
        <v>15</v>
      </c>
      <c r="E142" s="682" t="s">
        <v>4439</v>
      </c>
      <c r="F142" s="626"/>
      <c r="G142" s="677" t="s">
        <v>4780</v>
      </c>
      <c r="H142" s="678"/>
      <c r="I142" s="626"/>
      <c r="J142" s="626"/>
      <c r="K142" s="626"/>
      <c r="L142" s="681" t="s">
        <v>3663</v>
      </c>
      <c r="M142" s="341"/>
      <c r="N142" s="341"/>
      <c r="O142" s="341"/>
    </row>
    <row r="143" spans="1:15" ht="12">
      <c r="A143" s="643">
        <f t="shared" si="1"/>
        <v>142</v>
      </c>
      <c r="B143" s="681" t="s">
        <v>3649</v>
      </c>
      <c r="C143" s="681" t="s">
        <v>275</v>
      </c>
      <c r="D143" s="681">
        <v>4</v>
      </c>
      <c r="E143" s="682" t="s">
        <v>925</v>
      </c>
      <c r="F143" s="626"/>
      <c r="G143" s="677" t="s">
        <v>4781</v>
      </c>
      <c r="H143" s="678"/>
      <c r="I143" s="626"/>
      <c r="J143" s="626"/>
      <c r="K143" s="626"/>
      <c r="L143" s="681" t="s">
        <v>3108</v>
      </c>
      <c r="M143" s="341"/>
      <c r="N143" s="341"/>
      <c r="O143" s="341"/>
    </row>
    <row r="144" spans="1:15" ht="12">
      <c r="A144" s="643">
        <f t="shared" ref="A144:A207" si="2">ROW()-1</f>
        <v>143</v>
      </c>
      <c r="B144" s="681" t="s">
        <v>3650</v>
      </c>
      <c r="C144" s="681" t="s">
        <v>275</v>
      </c>
      <c r="D144" s="681">
        <v>4</v>
      </c>
      <c r="E144" s="682" t="s">
        <v>3112</v>
      </c>
      <c r="F144" s="626"/>
      <c r="G144" s="677" t="s">
        <v>4782</v>
      </c>
      <c r="H144" s="678"/>
      <c r="I144" s="626"/>
      <c r="J144" s="626"/>
      <c r="K144" s="626"/>
      <c r="L144" s="681" t="s">
        <v>899</v>
      </c>
      <c r="M144" s="341"/>
      <c r="N144" s="341"/>
      <c r="O144" s="341"/>
    </row>
    <row r="145" spans="1:15" ht="12">
      <c r="A145" s="643">
        <f t="shared" si="2"/>
        <v>144</v>
      </c>
      <c r="B145" s="681" t="s">
        <v>4303</v>
      </c>
      <c r="C145" s="675" t="s">
        <v>4382</v>
      </c>
      <c r="D145" s="681">
        <v>15</v>
      </c>
      <c r="E145" s="682" t="s">
        <v>4440</v>
      </c>
      <c r="F145" s="626"/>
      <c r="G145" s="677" t="s">
        <v>4783</v>
      </c>
      <c r="H145" s="678"/>
      <c r="I145" s="626"/>
      <c r="J145" s="626"/>
      <c r="K145" s="626"/>
      <c r="L145" s="681" t="s">
        <v>3663</v>
      </c>
      <c r="M145" s="341"/>
      <c r="N145" s="341"/>
      <c r="O145" s="341"/>
    </row>
    <row r="146" spans="1:15" ht="12">
      <c r="A146" s="643">
        <f t="shared" si="2"/>
        <v>145</v>
      </c>
      <c r="B146" s="681" t="s">
        <v>4304</v>
      </c>
      <c r="C146" s="681" t="s">
        <v>4381</v>
      </c>
      <c r="D146" s="681">
        <v>4</v>
      </c>
      <c r="E146" s="682" t="s">
        <v>4442</v>
      </c>
      <c r="F146" s="626"/>
      <c r="G146" s="677" t="s">
        <v>4784</v>
      </c>
      <c r="H146" s="678"/>
      <c r="I146" s="626"/>
      <c r="J146" s="626"/>
      <c r="K146" s="626"/>
      <c r="L146" s="681" t="s">
        <v>4441</v>
      </c>
      <c r="M146" s="341"/>
      <c r="N146" s="341"/>
      <c r="O146" s="341"/>
    </row>
    <row r="147" spans="1:15" ht="12">
      <c r="A147" s="643">
        <f t="shared" si="2"/>
        <v>146</v>
      </c>
      <c r="B147" s="681" t="s">
        <v>3713</v>
      </c>
      <c r="C147" s="681" t="s">
        <v>4381</v>
      </c>
      <c r="D147" s="681">
        <v>4</v>
      </c>
      <c r="E147" s="682" t="s">
        <v>4942</v>
      </c>
      <c r="F147" s="626"/>
      <c r="G147" s="677" t="s">
        <v>4785</v>
      </c>
      <c r="H147" s="678"/>
      <c r="I147" s="626"/>
      <c r="J147" s="626"/>
      <c r="K147" s="626"/>
      <c r="L147" s="681" t="s">
        <v>4443</v>
      </c>
      <c r="M147" s="341"/>
      <c r="N147" s="341"/>
      <c r="O147" s="341"/>
    </row>
    <row r="148" spans="1:15" ht="12">
      <c r="A148" s="643">
        <f t="shared" si="2"/>
        <v>147</v>
      </c>
      <c r="B148" s="681" t="s">
        <v>4305</v>
      </c>
      <c r="C148" s="681" t="s">
        <v>4421</v>
      </c>
      <c r="D148" s="681">
        <v>15</v>
      </c>
      <c r="E148" s="682" t="s">
        <v>4446</v>
      </c>
      <c r="F148" s="626"/>
      <c r="G148" s="677" t="s">
        <v>4786</v>
      </c>
      <c r="H148" s="678"/>
      <c r="I148" s="626"/>
      <c r="J148" s="626"/>
      <c r="K148" s="626"/>
      <c r="L148" s="681" t="s">
        <v>4445</v>
      </c>
      <c r="M148" s="341"/>
      <c r="N148" s="341"/>
      <c r="O148" s="341"/>
    </row>
    <row r="149" spans="1:15" ht="12">
      <c r="A149" s="643">
        <f t="shared" si="2"/>
        <v>148</v>
      </c>
      <c r="B149" s="681" t="s">
        <v>4306</v>
      </c>
      <c r="C149" s="681" t="s">
        <v>4421</v>
      </c>
      <c r="D149" s="681">
        <v>9</v>
      </c>
      <c r="E149" s="682" t="s">
        <v>4099</v>
      </c>
      <c r="F149" s="626"/>
      <c r="G149" s="677" t="s">
        <v>4787</v>
      </c>
      <c r="H149" s="678"/>
      <c r="I149" s="626"/>
      <c r="J149" s="626"/>
      <c r="K149" s="626"/>
      <c r="L149" s="681" t="s">
        <v>4447</v>
      </c>
      <c r="M149" s="341"/>
      <c r="N149" s="341"/>
      <c r="O149" s="341"/>
    </row>
    <row r="150" spans="1:15" ht="12">
      <c r="A150" s="643">
        <f t="shared" si="2"/>
        <v>149</v>
      </c>
      <c r="B150" s="681" t="s">
        <v>4307</v>
      </c>
      <c r="C150" s="681" t="s">
        <v>4421</v>
      </c>
      <c r="D150" s="681">
        <v>9</v>
      </c>
      <c r="E150" s="682" t="s">
        <v>4101</v>
      </c>
      <c r="F150" s="626"/>
      <c r="G150" s="677" t="s">
        <v>4788</v>
      </c>
      <c r="H150" s="678"/>
      <c r="I150" s="626"/>
      <c r="J150" s="626"/>
      <c r="K150" s="626"/>
      <c r="L150" s="681" t="s">
        <v>4448</v>
      </c>
      <c r="M150" s="341"/>
      <c r="N150" s="341"/>
      <c r="O150" s="341"/>
    </row>
    <row r="151" spans="1:15" ht="12">
      <c r="A151" s="643">
        <f t="shared" si="2"/>
        <v>150</v>
      </c>
      <c r="B151" s="681" t="s">
        <v>4308</v>
      </c>
      <c r="C151" s="681" t="s">
        <v>4421</v>
      </c>
      <c r="D151" s="681">
        <v>9</v>
      </c>
      <c r="E151" s="682" t="s">
        <v>4103</v>
      </c>
      <c r="F151" s="626"/>
      <c r="G151" s="677" t="s">
        <v>4789</v>
      </c>
      <c r="H151" s="678"/>
      <c r="I151" s="626"/>
      <c r="J151" s="626"/>
      <c r="K151" s="626"/>
      <c r="L151" s="681" t="s">
        <v>4449</v>
      </c>
      <c r="M151" s="341"/>
      <c r="N151" s="341"/>
      <c r="O151" s="341"/>
    </row>
    <row r="152" spans="1:15" ht="12">
      <c r="A152" s="643">
        <f t="shared" si="2"/>
        <v>151</v>
      </c>
      <c r="B152" s="681" t="s">
        <v>4309</v>
      </c>
      <c r="C152" s="681" t="s">
        <v>4421</v>
      </c>
      <c r="D152" s="681">
        <v>9</v>
      </c>
      <c r="E152" s="682" t="s">
        <v>4073</v>
      </c>
      <c r="F152" s="626"/>
      <c r="G152" s="677" t="s">
        <v>4790</v>
      </c>
      <c r="H152" s="678"/>
      <c r="I152" s="626"/>
      <c r="J152" s="626"/>
      <c r="K152" s="626"/>
      <c r="L152" s="681" t="s">
        <v>4450</v>
      </c>
      <c r="M152" s="341"/>
      <c r="N152" s="341"/>
      <c r="O152" s="341"/>
    </row>
    <row r="153" spans="1:15" ht="12">
      <c r="A153" s="643">
        <f t="shared" si="2"/>
        <v>152</v>
      </c>
      <c r="B153" s="681" t="s">
        <v>4310</v>
      </c>
      <c r="C153" s="681" t="s">
        <v>4421</v>
      </c>
      <c r="D153" s="681">
        <v>9</v>
      </c>
      <c r="E153" s="682" t="s">
        <v>4074</v>
      </c>
      <c r="F153" s="626"/>
      <c r="G153" s="677" t="s">
        <v>4791</v>
      </c>
      <c r="H153" s="678"/>
      <c r="I153" s="626"/>
      <c r="J153" s="626"/>
      <c r="K153" s="626"/>
      <c r="L153" s="681" t="s">
        <v>4451</v>
      </c>
      <c r="M153" s="341"/>
      <c r="N153" s="341"/>
      <c r="O153" s="341"/>
    </row>
    <row r="154" spans="1:15" ht="12">
      <c r="A154" s="643">
        <f t="shared" si="2"/>
        <v>153</v>
      </c>
      <c r="B154" s="681" t="s">
        <v>4311</v>
      </c>
      <c r="C154" s="681" t="s">
        <v>4421</v>
      </c>
      <c r="D154" s="681">
        <v>9</v>
      </c>
      <c r="E154" s="682" t="s">
        <v>4453</v>
      </c>
      <c r="F154" s="626"/>
      <c r="G154" s="677" t="s">
        <v>4792</v>
      </c>
      <c r="H154" s="678"/>
      <c r="I154" s="626"/>
      <c r="J154" s="626"/>
      <c r="K154" s="626"/>
      <c r="L154" s="681" t="s">
        <v>4452</v>
      </c>
      <c r="M154" s="341"/>
      <c r="N154" s="341"/>
      <c r="O154" s="341"/>
    </row>
    <row r="155" spans="1:15" ht="12">
      <c r="A155" s="643">
        <f t="shared" si="2"/>
        <v>154</v>
      </c>
      <c r="B155" s="681" t="s">
        <v>4312</v>
      </c>
      <c r="C155" s="681" t="s">
        <v>4421</v>
      </c>
      <c r="D155" s="681">
        <v>9</v>
      </c>
      <c r="E155" s="682" t="s">
        <v>4455</v>
      </c>
      <c r="F155" s="626"/>
      <c r="G155" s="677" t="s">
        <v>4793</v>
      </c>
      <c r="H155" s="678"/>
      <c r="I155" s="626"/>
      <c r="J155" s="626"/>
      <c r="K155" s="626"/>
      <c r="L155" s="681" t="s">
        <v>4454</v>
      </c>
      <c r="M155" s="341"/>
      <c r="N155" s="341"/>
      <c r="O155" s="341"/>
    </row>
    <row r="156" spans="1:15" ht="12">
      <c r="A156" s="643">
        <f t="shared" si="2"/>
        <v>155</v>
      </c>
      <c r="B156" s="681" t="s">
        <v>4313</v>
      </c>
      <c r="C156" s="681" t="s">
        <v>4421</v>
      </c>
      <c r="D156" s="681">
        <v>9</v>
      </c>
      <c r="E156" s="682" t="s">
        <v>4095</v>
      </c>
      <c r="F156" s="626"/>
      <c r="G156" s="677" t="s">
        <v>4793</v>
      </c>
      <c r="H156" s="678"/>
      <c r="I156" s="626"/>
      <c r="J156" s="626"/>
      <c r="K156" s="626"/>
      <c r="L156" s="681" t="s">
        <v>4456</v>
      </c>
      <c r="M156" s="341"/>
      <c r="N156" s="341"/>
      <c r="O156" s="341"/>
    </row>
    <row r="157" spans="1:15" ht="12">
      <c r="A157" s="643">
        <f t="shared" si="2"/>
        <v>156</v>
      </c>
      <c r="B157" s="681" t="s">
        <v>4314</v>
      </c>
      <c r="C157" s="681" t="s">
        <v>4421</v>
      </c>
      <c r="D157" s="681">
        <v>9</v>
      </c>
      <c r="E157" s="682" t="s">
        <v>4097</v>
      </c>
      <c r="F157" s="626"/>
      <c r="G157" s="677" t="s">
        <v>4794</v>
      </c>
      <c r="H157" s="678"/>
      <c r="I157" s="626"/>
      <c r="J157" s="626"/>
      <c r="K157" s="626"/>
      <c r="L157" s="681" t="s">
        <v>776</v>
      </c>
      <c r="M157" s="341"/>
      <c r="N157" s="341"/>
      <c r="O157" s="341"/>
    </row>
    <row r="158" spans="1:15" ht="12">
      <c r="A158" s="643">
        <f t="shared" si="2"/>
        <v>157</v>
      </c>
      <c r="B158" s="714" t="s">
        <v>4315</v>
      </c>
      <c r="C158" s="675" t="s">
        <v>4382</v>
      </c>
      <c r="D158" s="675">
        <v>9</v>
      </c>
      <c r="E158" s="715" t="s">
        <v>4458</v>
      </c>
      <c r="F158" s="626"/>
      <c r="G158" s="677" t="s">
        <v>4795</v>
      </c>
      <c r="H158" s="678"/>
      <c r="I158" s="620"/>
      <c r="J158" s="626"/>
      <c r="K158" s="626"/>
      <c r="L158" s="714" t="s">
        <v>4457</v>
      </c>
      <c r="M158" s="341"/>
      <c r="N158" s="341"/>
      <c r="O158" s="341"/>
    </row>
    <row r="159" spans="1:15" ht="12">
      <c r="A159" s="643">
        <f t="shared" si="2"/>
        <v>158</v>
      </c>
      <c r="B159" s="714" t="s">
        <v>3784</v>
      </c>
      <c r="C159" s="675" t="s">
        <v>4421</v>
      </c>
      <c r="D159" s="675">
        <v>9</v>
      </c>
      <c r="E159" s="715" t="s">
        <v>4460</v>
      </c>
      <c r="F159" s="626"/>
      <c r="G159" s="677" t="s">
        <v>4796</v>
      </c>
      <c r="H159" s="678"/>
      <c r="I159" s="620"/>
      <c r="J159" s="626"/>
      <c r="K159" s="626"/>
      <c r="L159" s="714" t="s">
        <v>4459</v>
      </c>
      <c r="M159" s="341"/>
      <c r="N159" s="341"/>
      <c r="O159" s="341"/>
    </row>
    <row r="160" spans="1:15" ht="12">
      <c r="A160" s="643">
        <f t="shared" si="2"/>
        <v>159</v>
      </c>
      <c r="B160" s="714" t="s">
        <v>3785</v>
      </c>
      <c r="C160" s="675" t="s">
        <v>4421</v>
      </c>
      <c r="D160" s="675">
        <v>9</v>
      </c>
      <c r="E160" s="715" t="s">
        <v>4462</v>
      </c>
      <c r="F160" s="626"/>
      <c r="G160" s="677" t="s">
        <v>4797</v>
      </c>
      <c r="H160" s="678"/>
      <c r="I160" s="620"/>
      <c r="J160" s="626"/>
      <c r="K160" s="626"/>
      <c r="L160" s="714" t="s">
        <v>4461</v>
      </c>
      <c r="M160" s="341"/>
      <c r="N160" s="341"/>
      <c r="O160" s="341"/>
    </row>
    <row r="161" spans="1:15" ht="12">
      <c r="A161" s="643">
        <f t="shared" si="2"/>
        <v>160</v>
      </c>
      <c r="B161" s="714" t="s">
        <v>3786</v>
      </c>
      <c r="C161" s="675" t="s">
        <v>4421</v>
      </c>
      <c r="D161" s="675">
        <v>9</v>
      </c>
      <c r="E161" s="715" t="s">
        <v>4464</v>
      </c>
      <c r="F161" s="626"/>
      <c r="G161" s="677" t="s">
        <v>4798</v>
      </c>
      <c r="H161" s="678"/>
      <c r="I161" s="620"/>
      <c r="J161" s="626"/>
      <c r="K161" s="626"/>
      <c r="L161" s="714" t="s">
        <v>4463</v>
      </c>
      <c r="M161" s="341"/>
      <c r="N161" s="341"/>
      <c r="O161" s="341"/>
    </row>
    <row r="162" spans="1:15" ht="12">
      <c r="A162" s="643">
        <f t="shared" si="2"/>
        <v>161</v>
      </c>
      <c r="B162" s="714" t="s">
        <v>3787</v>
      </c>
      <c r="C162" s="675" t="s">
        <v>4421</v>
      </c>
      <c r="D162" s="675">
        <v>9</v>
      </c>
      <c r="E162" s="715" t="s">
        <v>4466</v>
      </c>
      <c r="F162" s="626"/>
      <c r="G162" s="677" t="s">
        <v>4799</v>
      </c>
      <c r="H162" s="678"/>
      <c r="I162" s="620"/>
      <c r="J162" s="626"/>
      <c r="K162" s="626"/>
      <c r="L162" s="714" t="s">
        <v>4465</v>
      </c>
      <c r="M162" s="341"/>
      <c r="N162" s="341"/>
      <c r="O162" s="341"/>
    </row>
    <row r="163" spans="1:15" ht="12">
      <c r="A163" s="643">
        <f t="shared" si="2"/>
        <v>162</v>
      </c>
      <c r="B163" s="714" t="s">
        <v>3788</v>
      </c>
      <c r="C163" s="675" t="s">
        <v>4421</v>
      </c>
      <c r="D163" s="675">
        <v>9</v>
      </c>
      <c r="E163" s="715" t="s">
        <v>4468</v>
      </c>
      <c r="F163" s="626"/>
      <c r="G163" s="677" t="s">
        <v>4800</v>
      </c>
      <c r="H163" s="678"/>
      <c r="I163" s="620"/>
      <c r="J163" s="626"/>
      <c r="K163" s="626"/>
      <c r="L163" s="714" t="s">
        <v>4467</v>
      </c>
      <c r="M163" s="341"/>
      <c r="N163" s="341"/>
      <c r="O163" s="341"/>
    </row>
    <row r="164" spans="1:15" ht="12">
      <c r="A164" s="643">
        <f t="shared" si="2"/>
        <v>163</v>
      </c>
      <c r="B164" s="714" t="s">
        <v>3789</v>
      </c>
      <c r="C164" s="675" t="s">
        <v>4421</v>
      </c>
      <c r="D164" s="675">
        <v>9</v>
      </c>
      <c r="E164" s="715" t="s">
        <v>4470</v>
      </c>
      <c r="F164" s="626"/>
      <c r="G164" s="677" t="s">
        <v>4801</v>
      </c>
      <c r="H164" s="678"/>
      <c r="I164" s="620"/>
      <c r="J164" s="626"/>
      <c r="K164" s="626"/>
      <c r="L164" s="714" t="s">
        <v>4469</v>
      </c>
      <c r="M164" s="341"/>
      <c r="N164" s="341"/>
      <c r="O164" s="341"/>
    </row>
    <row r="165" spans="1:15" ht="12">
      <c r="A165" s="643">
        <f t="shared" si="2"/>
        <v>164</v>
      </c>
      <c r="B165" s="714" t="s">
        <v>3790</v>
      </c>
      <c r="C165" s="675" t="s">
        <v>4421</v>
      </c>
      <c r="D165" s="675">
        <v>9</v>
      </c>
      <c r="E165" s="715" t="s">
        <v>4472</v>
      </c>
      <c r="F165" s="626"/>
      <c r="G165" s="677" t="s">
        <v>4802</v>
      </c>
      <c r="H165" s="678"/>
      <c r="I165" s="620"/>
      <c r="J165" s="626"/>
      <c r="K165" s="626"/>
      <c r="L165" s="714" t="s">
        <v>4471</v>
      </c>
      <c r="M165" s="341"/>
      <c r="N165" s="341"/>
      <c r="O165" s="341"/>
    </row>
    <row r="166" spans="1:15" ht="12">
      <c r="A166" s="643">
        <f t="shared" si="2"/>
        <v>165</v>
      </c>
      <c r="B166" s="714" t="s">
        <v>3791</v>
      </c>
      <c r="C166" s="681" t="s">
        <v>4421</v>
      </c>
      <c r="D166" s="675">
        <v>9</v>
      </c>
      <c r="E166" s="715" t="s">
        <v>4474</v>
      </c>
      <c r="F166" s="620"/>
      <c r="G166" s="677" t="s">
        <v>4803</v>
      </c>
      <c r="H166" s="678"/>
      <c r="I166" s="620"/>
      <c r="J166" s="620"/>
      <c r="K166" s="620"/>
      <c r="L166" s="714" t="s">
        <v>4473</v>
      </c>
    </row>
    <row r="167" spans="1:15" ht="12">
      <c r="A167" s="643">
        <f t="shared" si="2"/>
        <v>166</v>
      </c>
      <c r="B167" s="714" t="s">
        <v>3792</v>
      </c>
      <c r="C167" s="681" t="s">
        <v>4421</v>
      </c>
      <c r="D167" s="675">
        <v>9</v>
      </c>
      <c r="E167" s="715" t="s">
        <v>4476</v>
      </c>
      <c r="F167" s="620"/>
      <c r="G167" s="677" t="s">
        <v>4804</v>
      </c>
      <c r="H167" s="678"/>
      <c r="I167" s="620"/>
      <c r="J167" s="620"/>
      <c r="K167" s="620"/>
      <c r="L167" s="714" t="s">
        <v>4475</v>
      </c>
    </row>
    <row r="168" spans="1:15" ht="12">
      <c r="A168" s="643">
        <f t="shared" si="2"/>
        <v>167</v>
      </c>
      <c r="B168" s="714" t="s">
        <v>3793</v>
      </c>
      <c r="C168" s="681" t="s">
        <v>4421</v>
      </c>
      <c r="D168" s="681">
        <v>15</v>
      </c>
      <c r="E168" s="715" t="s">
        <v>3825</v>
      </c>
      <c r="F168" s="620"/>
      <c r="G168" s="677" t="s">
        <v>4970</v>
      </c>
      <c r="H168" s="678"/>
      <c r="I168" s="620"/>
      <c r="J168" s="620"/>
      <c r="K168" s="620"/>
      <c r="L168" s="714" t="s">
        <v>4477</v>
      </c>
    </row>
    <row r="169" spans="1:15" ht="12">
      <c r="A169" s="643">
        <f t="shared" si="2"/>
        <v>168</v>
      </c>
      <c r="B169" s="714" t="s">
        <v>4316</v>
      </c>
      <c r="C169" s="681" t="s">
        <v>4421</v>
      </c>
      <c r="D169" s="675">
        <v>9</v>
      </c>
      <c r="E169" s="715" t="s">
        <v>4479</v>
      </c>
      <c r="F169" s="620"/>
      <c r="G169" s="677" t="s">
        <v>4805</v>
      </c>
      <c r="H169" s="678"/>
      <c r="I169" s="620"/>
      <c r="J169" s="620"/>
      <c r="K169" s="620"/>
      <c r="L169" s="714" t="s">
        <v>4478</v>
      </c>
    </row>
    <row r="170" spans="1:15" ht="12">
      <c r="A170" s="643">
        <f t="shared" si="2"/>
        <v>169</v>
      </c>
      <c r="B170" s="714" t="s">
        <v>4317</v>
      </c>
      <c r="C170" s="681" t="s">
        <v>4421</v>
      </c>
      <c r="D170" s="681">
        <v>15</v>
      </c>
      <c r="E170" s="715" t="s">
        <v>3828</v>
      </c>
      <c r="F170" s="620"/>
      <c r="G170" s="677" t="s">
        <v>4971</v>
      </c>
      <c r="H170" s="678"/>
      <c r="I170" s="620"/>
      <c r="J170" s="620"/>
      <c r="K170" s="620"/>
      <c r="L170" s="714" t="s">
        <v>4480</v>
      </c>
    </row>
    <row r="171" spans="1:15" ht="12">
      <c r="A171" s="643">
        <f t="shared" si="2"/>
        <v>170</v>
      </c>
      <c r="B171" s="714" t="s">
        <v>4318</v>
      </c>
      <c r="C171" s="681" t="s">
        <v>4421</v>
      </c>
      <c r="D171" s="675">
        <v>9</v>
      </c>
      <c r="E171" s="715" t="s">
        <v>4482</v>
      </c>
      <c r="F171" s="620"/>
      <c r="G171" s="677" t="s">
        <v>4806</v>
      </c>
      <c r="H171" s="678"/>
      <c r="I171" s="620"/>
      <c r="J171" s="620"/>
      <c r="K171" s="620"/>
      <c r="L171" s="714" t="s">
        <v>4481</v>
      </c>
    </row>
    <row r="172" spans="1:15" ht="12">
      <c r="A172" s="643">
        <f t="shared" si="2"/>
        <v>171</v>
      </c>
      <c r="B172" s="714" t="s">
        <v>4319</v>
      </c>
      <c r="C172" s="681" t="s">
        <v>4421</v>
      </c>
      <c r="D172" s="681">
        <v>15</v>
      </c>
      <c r="E172" s="715" t="s">
        <v>4077</v>
      </c>
      <c r="F172" s="620"/>
      <c r="G172" s="677" t="s">
        <v>4972</v>
      </c>
      <c r="H172" s="678"/>
      <c r="I172" s="620"/>
      <c r="J172" s="620"/>
      <c r="K172" s="620"/>
      <c r="L172" s="716" t="s">
        <v>4483</v>
      </c>
    </row>
    <row r="173" spans="1:15" ht="12">
      <c r="A173" s="643">
        <f t="shared" si="2"/>
        <v>172</v>
      </c>
      <c r="B173" s="714" t="s">
        <v>4320</v>
      </c>
      <c r="C173" s="675" t="s">
        <v>4385</v>
      </c>
      <c r="D173" s="675">
        <v>15</v>
      </c>
      <c r="E173" s="715" t="s">
        <v>3826</v>
      </c>
      <c r="F173" s="626"/>
      <c r="G173" s="677" t="s">
        <v>4807</v>
      </c>
      <c r="H173" s="678"/>
      <c r="I173" s="620"/>
      <c r="J173" s="626"/>
      <c r="K173" s="626"/>
      <c r="L173" s="714" t="s">
        <v>4484</v>
      </c>
      <c r="M173" s="341"/>
      <c r="N173" s="341"/>
    </row>
    <row r="174" spans="1:15" ht="12">
      <c r="A174" s="643">
        <f t="shared" si="2"/>
        <v>173</v>
      </c>
      <c r="B174" s="714" t="s">
        <v>4321</v>
      </c>
      <c r="C174" s="675" t="s">
        <v>4385</v>
      </c>
      <c r="D174" s="675">
        <v>15</v>
      </c>
      <c r="E174" s="715" t="s">
        <v>3827</v>
      </c>
      <c r="F174" s="626"/>
      <c r="G174" s="677" t="s">
        <v>4808</v>
      </c>
      <c r="H174" s="678"/>
      <c r="I174" s="620"/>
      <c r="J174" s="626"/>
      <c r="K174" s="626"/>
      <c r="L174" s="714" t="s">
        <v>4485</v>
      </c>
      <c r="M174" s="341"/>
      <c r="N174" s="341"/>
    </row>
    <row r="175" spans="1:15" ht="12">
      <c r="A175" s="643">
        <f t="shared" si="2"/>
        <v>174</v>
      </c>
      <c r="B175" s="714" t="s">
        <v>4322</v>
      </c>
      <c r="C175" s="681" t="s">
        <v>4421</v>
      </c>
      <c r="D175" s="675">
        <v>15</v>
      </c>
      <c r="E175" s="715" t="s">
        <v>3829</v>
      </c>
      <c r="F175" s="626"/>
      <c r="G175" s="677" t="s">
        <v>4809</v>
      </c>
      <c r="H175" s="678"/>
      <c r="I175" s="620"/>
      <c r="J175" s="626"/>
      <c r="K175" s="626"/>
      <c r="L175" s="714" t="s">
        <v>4486</v>
      </c>
      <c r="M175" s="341"/>
      <c r="N175" s="341"/>
    </row>
    <row r="176" spans="1:15" ht="12">
      <c r="A176" s="643">
        <f t="shared" si="2"/>
        <v>175</v>
      </c>
      <c r="B176" s="714" t="s">
        <v>4323</v>
      </c>
      <c r="C176" s="681" t="s">
        <v>4421</v>
      </c>
      <c r="D176" s="675">
        <v>15</v>
      </c>
      <c r="E176" s="715" t="s">
        <v>3830</v>
      </c>
      <c r="F176" s="626"/>
      <c r="G176" s="677" t="s">
        <v>4810</v>
      </c>
      <c r="H176" s="678"/>
      <c r="I176" s="620"/>
      <c r="J176" s="626"/>
      <c r="K176" s="626"/>
      <c r="L176" s="714" t="s">
        <v>4487</v>
      </c>
      <c r="M176" s="341"/>
      <c r="N176" s="341"/>
    </row>
    <row r="177" spans="1:14" ht="12">
      <c r="A177" s="643">
        <f t="shared" si="2"/>
        <v>176</v>
      </c>
      <c r="B177" s="714" t="s">
        <v>4324</v>
      </c>
      <c r="C177" s="681" t="s">
        <v>4421</v>
      </c>
      <c r="D177" s="675">
        <v>15</v>
      </c>
      <c r="E177" s="715" t="s">
        <v>3831</v>
      </c>
      <c r="F177" s="626"/>
      <c r="G177" s="677" t="s">
        <v>4811</v>
      </c>
      <c r="H177" s="678"/>
      <c r="I177" s="620"/>
      <c r="J177" s="626"/>
      <c r="K177" s="626"/>
      <c r="L177" s="714" t="s">
        <v>4488</v>
      </c>
      <c r="M177" s="341"/>
      <c r="N177" s="341"/>
    </row>
    <row r="178" spans="1:14" ht="12">
      <c r="A178" s="643">
        <f t="shared" si="2"/>
        <v>177</v>
      </c>
      <c r="B178" s="714" t="s">
        <v>4325</v>
      </c>
      <c r="C178" s="681" t="s">
        <v>4421</v>
      </c>
      <c r="D178" s="675">
        <v>15</v>
      </c>
      <c r="E178" s="715" t="s">
        <v>3832</v>
      </c>
      <c r="F178" s="626"/>
      <c r="G178" s="677" t="s">
        <v>4812</v>
      </c>
      <c r="H178" s="678"/>
      <c r="I178" s="620"/>
      <c r="J178" s="626"/>
      <c r="K178" s="626"/>
      <c r="L178" s="714" t="s">
        <v>4489</v>
      </c>
      <c r="M178" s="341"/>
      <c r="N178" s="341"/>
    </row>
    <row r="179" spans="1:14" ht="12">
      <c r="A179" s="643">
        <f t="shared" si="2"/>
        <v>178</v>
      </c>
      <c r="B179" s="714" t="s">
        <v>4326</v>
      </c>
      <c r="C179" s="681" t="s">
        <v>4421</v>
      </c>
      <c r="D179" s="675">
        <v>15</v>
      </c>
      <c r="E179" s="715" t="s">
        <v>3833</v>
      </c>
      <c r="F179" s="626"/>
      <c r="G179" s="677" t="s">
        <v>4813</v>
      </c>
      <c r="H179" s="678"/>
      <c r="I179" s="620"/>
      <c r="J179" s="626"/>
      <c r="K179" s="626"/>
      <c r="L179" s="714" t="s">
        <v>4490</v>
      </c>
      <c r="M179" s="341"/>
      <c r="N179" s="341"/>
    </row>
    <row r="180" spans="1:14" ht="12">
      <c r="A180" s="643">
        <f t="shared" si="2"/>
        <v>179</v>
      </c>
      <c r="B180" s="714" t="s">
        <v>4327</v>
      </c>
      <c r="C180" s="681" t="s">
        <v>4421</v>
      </c>
      <c r="D180" s="675">
        <v>15</v>
      </c>
      <c r="E180" s="715" t="s">
        <v>3835</v>
      </c>
      <c r="F180" s="626"/>
      <c r="G180" s="677" t="s">
        <v>4814</v>
      </c>
      <c r="H180" s="678"/>
      <c r="I180" s="620"/>
      <c r="J180" s="626"/>
      <c r="K180" s="626"/>
      <c r="L180" s="714" t="s">
        <v>4491</v>
      </c>
      <c r="M180" s="341"/>
      <c r="N180" s="341"/>
    </row>
    <row r="181" spans="1:14" ht="12">
      <c r="A181" s="643">
        <f t="shared" si="2"/>
        <v>180</v>
      </c>
      <c r="B181" s="675" t="s">
        <v>2392</v>
      </c>
      <c r="C181" s="681" t="s">
        <v>4421</v>
      </c>
      <c r="D181" s="675">
        <v>4</v>
      </c>
      <c r="E181" s="676" t="s">
        <v>4943</v>
      </c>
      <c r="F181" s="626"/>
      <c r="G181" s="677" t="s">
        <v>4815</v>
      </c>
      <c r="H181" s="678"/>
      <c r="I181" s="620"/>
      <c r="J181" s="626"/>
      <c r="K181" s="626"/>
      <c r="L181" s="675" t="s">
        <v>1024</v>
      </c>
      <c r="M181" s="341"/>
      <c r="N181" s="341"/>
    </row>
    <row r="182" spans="1:14" ht="12">
      <c r="A182" s="643">
        <f t="shared" si="2"/>
        <v>181</v>
      </c>
      <c r="B182" s="675" t="s">
        <v>2393</v>
      </c>
      <c r="C182" s="681" t="s">
        <v>275</v>
      </c>
      <c r="D182" s="675">
        <v>2</v>
      </c>
      <c r="E182" s="676" t="s">
        <v>4944</v>
      </c>
      <c r="F182" s="626"/>
      <c r="G182" s="677" t="s">
        <v>4816</v>
      </c>
      <c r="H182" s="678"/>
      <c r="I182" s="620"/>
      <c r="J182" s="626"/>
      <c r="K182" s="626"/>
      <c r="L182" s="675" t="s">
        <v>1428</v>
      </c>
      <c r="M182" s="341"/>
      <c r="N182" s="341"/>
    </row>
    <row r="183" spans="1:14" ht="12">
      <c r="A183" s="643">
        <f t="shared" si="2"/>
        <v>182</v>
      </c>
      <c r="B183" s="675" t="s">
        <v>2394</v>
      </c>
      <c r="C183" s="681" t="s">
        <v>4382</v>
      </c>
      <c r="D183" s="675">
        <v>15</v>
      </c>
      <c r="E183" s="676" t="s">
        <v>987</v>
      </c>
      <c r="F183" s="626"/>
      <c r="G183" s="677" t="s">
        <v>4817</v>
      </c>
      <c r="H183" s="678"/>
      <c r="I183" s="620"/>
      <c r="J183" s="626"/>
      <c r="K183" s="626"/>
      <c r="L183" s="675" t="s">
        <v>988</v>
      </c>
      <c r="M183" s="341"/>
      <c r="N183" s="341"/>
    </row>
    <row r="184" spans="1:14" ht="12">
      <c r="A184" s="643">
        <f t="shared" si="2"/>
        <v>183</v>
      </c>
      <c r="B184" s="675" t="s">
        <v>2395</v>
      </c>
      <c r="C184" s="681" t="s">
        <v>4382</v>
      </c>
      <c r="D184" s="675">
        <v>15</v>
      </c>
      <c r="E184" s="676" t="s">
        <v>979</v>
      </c>
      <c r="F184" s="626"/>
      <c r="G184" s="677" t="s">
        <v>4818</v>
      </c>
      <c r="H184" s="678"/>
      <c r="I184" s="620"/>
      <c r="J184" s="626"/>
      <c r="K184" s="626"/>
      <c r="L184" s="675" t="s">
        <v>980</v>
      </c>
      <c r="M184" s="341"/>
      <c r="N184" s="341"/>
    </row>
    <row r="185" spans="1:14" ht="12">
      <c r="A185" s="643">
        <f t="shared" si="2"/>
        <v>184</v>
      </c>
      <c r="B185" s="675" t="s">
        <v>2396</v>
      </c>
      <c r="C185" s="681" t="s">
        <v>4382</v>
      </c>
      <c r="D185" s="675">
        <v>15</v>
      </c>
      <c r="E185" s="676" t="s">
        <v>1429</v>
      </c>
      <c r="F185" s="626"/>
      <c r="G185" s="677" t="s">
        <v>4819</v>
      </c>
      <c r="H185" s="678"/>
      <c r="I185" s="620"/>
      <c r="J185" s="626"/>
      <c r="K185" s="626"/>
      <c r="L185" s="675" t="s">
        <v>4492</v>
      </c>
      <c r="M185" s="341"/>
      <c r="N185" s="341"/>
    </row>
    <row r="186" spans="1:14" ht="12">
      <c r="A186" s="643">
        <f t="shared" si="2"/>
        <v>185</v>
      </c>
      <c r="B186" s="675" t="s">
        <v>2397</v>
      </c>
      <c r="C186" s="681" t="s">
        <v>4382</v>
      </c>
      <c r="D186" s="675">
        <v>15</v>
      </c>
      <c r="E186" s="676" t="s">
        <v>961</v>
      </c>
      <c r="F186" s="626"/>
      <c r="G186" s="677" t="s">
        <v>4820</v>
      </c>
      <c r="H186" s="678"/>
      <c r="I186" s="620"/>
      <c r="J186" s="626"/>
      <c r="K186" s="626"/>
      <c r="L186" s="675" t="s">
        <v>962</v>
      </c>
    </row>
    <row r="187" spans="1:14" ht="12">
      <c r="A187" s="643">
        <f t="shared" si="2"/>
        <v>186</v>
      </c>
      <c r="B187" s="675" t="s">
        <v>2398</v>
      </c>
      <c r="C187" s="681" t="s">
        <v>4382</v>
      </c>
      <c r="D187" s="675">
        <v>15</v>
      </c>
      <c r="E187" s="676" t="s">
        <v>964</v>
      </c>
      <c r="F187" s="626"/>
      <c r="G187" s="677" t="s">
        <v>4821</v>
      </c>
      <c r="H187" s="678"/>
      <c r="I187" s="620"/>
      <c r="J187" s="626"/>
      <c r="K187" s="626"/>
      <c r="L187" s="675" t="s">
        <v>965</v>
      </c>
    </row>
    <row r="188" spans="1:14" ht="12">
      <c r="A188" s="643">
        <f t="shared" si="2"/>
        <v>187</v>
      </c>
      <c r="B188" s="675" t="s">
        <v>2399</v>
      </c>
      <c r="C188" s="681" t="s">
        <v>4382</v>
      </c>
      <c r="D188" s="675">
        <v>3</v>
      </c>
      <c r="E188" s="676" t="s">
        <v>4945</v>
      </c>
      <c r="F188" s="626"/>
      <c r="G188" s="677" t="s">
        <v>4822</v>
      </c>
      <c r="H188" s="678"/>
      <c r="I188" s="620"/>
      <c r="J188" s="626"/>
      <c r="K188" s="626"/>
      <c r="L188" s="675" t="s">
        <v>4493</v>
      </c>
    </row>
    <row r="189" spans="1:14" ht="12">
      <c r="A189" s="643">
        <f t="shared" si="2"/>
        <v>188</v>
      </c>
      <c r="B189" s="681" t="s">
        <v>4328</v>
      </c>
      <c r="C189" s="681" t="s">
        <v>275</v>
      </c>
      <c r="D189" s="681">
        <v>1</v>
      </c>
      <c r="E189" s="682" t="s">
        <v>4494</v>
      </c>
      <c r="F189" s="626"/>
      <c r="G189" s="677" t="s">
        <v>4973</v>
      </c>
      <c r="H189" s="678"/>
      <c r="I189" s="620"/>
      <c r="J189" s="626"/>
      <c r="K189" s="626"/>
      <c r="L189" s="681"/>
    </row>
    <row r="190" spans="1:14" ht="12">
      <c r="A190" s="643">
        <f t="shared" si="2"/>
        <v>189</v>
      </c>
      <c r="B190" s="681" t="s">
        <v>4329</v>
      </c>
      <c r="C190" s="681" t="s">
        <v>4382</v>
      </c>
      <c r="D190" s="681">
        <v>9</v>
      </c>
      <c r="E190" s="682" t="s">
        <v>4496</v>
      </c>
      <c r="F190" s="626"/>
      <c r="G190" s="677" t="s">
        <v>4823</v>
      </c>
      <c r="H190" s="678"/>
      <c r="I190" s="620"/>
      <c r="J190" s="626"/>
      <c r="K190" s="626"/>
      <c r="L190" s="681" t="s">
        <v>4495</v>
      </c>
    </row>
    <row r="191" spans="1:14" ht="12">
      <c r="A191" s="643">
        <f t="shared" si="2"/>
        <v>190</v>
      </c>
      <c r="B191" s="681" t="s">
        <v>2407</v>
      </c>
      <c r="C191" s="675" t="s">
        <v>4385</v>
      </c>
      <c r="D191" s="681">
        <v>15</v>
      </c>
      <c r="E191" s="682" t="s">
        <v>4498</v>
      </c>
      <c r="F191" s="626"/>
      <c r="G191" s="677" t="s">
        <v>4824</v>
      </c>
      <c r="H191" s="678"/>
      <c r="I191" s="620"/>
      <c r="J191" s="626"/>
      <c r="K191" s="626"/>
      <c r="L191" s="681" t="s">
        <v>4497</v>
      </c>
    </row>
    <row r="192" spans="1:14" ht="12">
      <c r="A192" s="643">
        <f t="shared" si="2"/>
        <v>191</v>
      </c>
      <c r="B192" s="681" t="s">
        <v>2408</v>
      </c>
      <c r="C192" s="681" t="s">
        <v>4382</v>
      </c>
      <c r="D192" s="681">
        <v>15</v>
      </c>
      <c r="E192" s="682" t="s">
        <v>4500</v>
      </c>
      <c r="F192" s="626"/>
      <c r="G192" s="677" t="s">
        <v>4825</v>
      </c>
      <c r="H192" s="678"/>
      <c r="I192" s="620"/>
      <c r="J192" s="626"/>
      <c r="K192" s="626"/>
      <c r="L192" s="681" t="s">
        <v>4499</v>
      </c>
    </row>
    <row r="193" spans="1:12" ht="12">
      <c r="A193" s="643">
        <f t="shared" si="2"/>
        <v>192</v>
      </c>
      <c r="B193" s="681" t="s">
        <v>2409</v>
      </c>
      <c r="C193" s="681" t="s">
        <v>4382</v>
      </c>
      <c r="D193" s="681">
        <v>15</v>
      </c>
      <c r="E193" s="682" t="s">
        <v>4502</v>
      </c>
      <c r="F193" s="626"/>
      <c r="G193" s="677" t="s">
        <v>4826</v>
      </c>
      <c r="H193" s="678"/>
      <c r="I193" s="626"/>
      <c r="J193" s="626"/>
      <c r="K193" s="626"/>
      <c r="L193" s="681" t="s">
        <v>4501</v>
      </c>
    </row>
    <row r="194" spans="1:12" ht="12">
      <c r="A194" s="643">
        <f t="shared" si="2"/>
        <v>193</v>
      </c>
      <c r="B194" s="681" t="s">
        <v>4330</v>
      </c>
      <c r="C194" s="681" t="s">
        <v>4382</v>
      </c>
      <c r="D194" s="681">
        <v>9</v>
      </c>
      <c r="E194" s="682" t="s">
        <v>4504</v>
      </c>
      <c r="F194" s="626"/>
      <c r="G194" s="677" t="s">
        <v>4827</v>
      </c>
      <c r="H194" s="678"/>
      <c r="I194" s="626"/>
      <c r="J194" s="626"/>
      <c r="K194" s="626"/>
      <c r="L194" s="681" t="s">
        <v>4503</v>
      </c>
    </row>
    <row r="195" spans="1:12" ht="12">
      <c r="A195" s="643">
        <f t="shared" si="2"/>
        <v>194</v>
      </c>
      <c r="B195" s="681" t="s">
        <v>2413</v>
      </c>
      <c r="C195" s="681" t="s">
        <v>4381</v>
      </c>
      <c r="D195" s="714">
        <v>2</v>
      </c>
      <c r="E195" s="715" t="s">
        <v>4505</v>
      </c>
      <c r="F195" s="626"/>
      <c r="G195" s="677" t="s">
        <v>4828</v>
      </c>
      <c r="H195" s="678"/>
      <c r="I195" s="626"/>
      <c r="J195" s="626"/>
      <c r="K195" s="626"/>
      <c r="L195" s="681" t="s">
        <v>1066</v>
      </c>
    </row>
    <row r="196" spans="1:12" ht="12">
      <c r="A196" s="643">
        <f t="shared" si="2"/>
        <v>195</v>
      </c>
      <c r="B196" s="681" t="s">
        <v>2414</v>
      </c>
      <c r="C196" s="681" t="s">
        <v>4381</v>
      </c>
      <c r="D196" s="714">
        <v>2</v>
      </c>
      <c r="E196" s="715" t="s">
        <v>1059</v>
      </c>
      <c r="F196" s="626"/>
      <c r="G196" s="677" t="s">
        <v>4829</v>
      </c>
      <c r="H196" s="678"/>
      <c r="I196" s="626"/>
      <c r="J196" s="626"/>
      <c r="K196" s="626"/>
      <c r="L196" s="681" t="s">
        <v>1060</v>
      </c>
    </row>
    <row r="197" spans="1:12" ht="12">
      <c r="A197" s="643">
        <f t="shared" si="2"/>
        <v>196</v>
      </c>
      <c r="B197" s="681" t="s">
        <v>2416</v>
      </c>
      <c r="C197" s="681" t="s">
        <v>4381</v>
      </c>
      <c r="D197" s="714">
        <v>2</v>
      </c>
      <c r="E197" s="715" t="s">
        <v>1034</v>
      </c>
      <c r="F197" s="626"/>
      <c r="G197" s="677" t="s">
        <v>4830</v>
      </c>
      <c r="H197" s="678"/>
      <c r="I197" s="626"/>
      <c r="J197" s="626"/>
      <c r="K197" s="626"/>
      <c r="L197" s="681" t="s">
        <v>1035</v>
      </c>
    </row>
    <row r="198" spans="1:12" ht="12">
      <c r="A198" s="643">
        <f t="shared" si="2"/>
        <v>197</v>
      </c>
      <c r="B198" s="681" t="s">
        <v>2418</v>
      </c>
      <c r="C198" s="681" t="s">
        <v>4381</v>
      </c>
      <c r="D198" s="714">
        <v>2</v>
      </c>
      <c r="E198" s="715" t="s">
        <v>1046</v>
      </c>
      <c r="F198" s="626"/>
      <c r="G198" s="677" t="s">
        <v>4831</v>
      </c>
      <c r="H198" s="678"/>
      <c r="I198" s="626"/>
      <c r="J198" s="626"/>
      <c r="K198" s="626"/>
      <c r="L198" s="681" t="s">
        <v>1047</v>
      </c>
    </row>
    <row r="199" spans="1:12" ht="12">
      <c r="A199" s="643">
        <f t="shared" si="2"/>
        <v>198</v>
      </c>
      <c r="B199" s="681" t="s">
        <v>4331</v>
      </c>
      <c r="C199" s="681" t="s">
        <v>4382</v>
      </c>
      <c r="D199" s="714">
        <v>15</v>
      </c>
      <c r="E199" s="715" t="s">
        <v>3855</v>
      </c>
      <c r="F199" s="620"/>
      <c r="G199" s="677" t="s">
        <v>4832</v>
      </c>
      <c r="H199" s="678"/>
      <c r="I199" s="620"/>
      <c r="J199" s="620"/>
      <c r="K199" s="620"/>
      <c r="L199" s="681" t="s">
        <v>4506</v>
      </c>
    </row>
    <row r="200" spans="1:12" ht="12">
      <c r="A200" s="643">
        <f t="shared" si="2"/>
        <v>199</v>
      </c>
      <c r="B200" s="681" t="s">
        <v>2420</v>
      </c>
      <c r="C200" s="681" t="s">
        <v>4382</v>
      </c>
      <c r="D200" s="714">
        <v>15</v>
      </c>
      <c r="E200" s="715" t="s">
        <v>1053</v>
      </c>
      <c r="F200" s="620"/>
      <c r="G200" s="677" t="s">
        <v>4833</v>
      </c>
      <c r="H200" s="678"/>
      <c r="I200" s="620"/>
      <c r="J200" s="620"/>
      <c r="K200" s="620"/>
      <c r="L200" s="681" t="s">
        <v>1054</v>
      </c>
    </row>
    <row r="201" spans="1:12" ht="12">
      <c r="A201" s="643">
        <f t="shared" si="2"/>
        <v>200</v>
      </c>
      <c r="B201" s="717" t="s">
        <v>2422</v>
      </c>
      <c r="C201" s="717" t="s">
        <v>4381</v>
      </c>
      <c r="D201" s="718">
        <v>2</v>
      </c>
      <c r="E201" s="719" t="s">
        <v>4508</v>
      </c>
      <c r="F201" s="620"/>
      <c r="G201" s="720" t="s">
        <v>4834</v>
      </c>
      <c r="H201" s="678"/>
      <c r="I201" s="620"/>
      <c r="J201" s="620"/>
      <c r="K201" s="620"/>
      <c r="L201" s="717" t="s">
        <v>4507</v>
      </c>
    </row>
    <row r="202" spans="1:12" ht="12">
      <c r="A202" s="643">
        <f t="shared" si="2"/>
        <v>201</v>
      </c>
      <c r="B202" s="717" t="s">
        <v>2423</v>
      </c>
      <c r="C202" s="717" t="s">
        <v>4381</v>
      </c>
      <c r="D202" s="718">
        <v>1</v>
      </c>
      <c r="E202" s="719" t="s">
        <v>4510</v>
      </c>
      <c r="F202" s="620"/>
      <c r="G202" s="720" t="s">
        <v>4835</v>
      </c>
      <c r="H202" s="678"/>
      <c r="I202" s="620"/>
      <c r="J202" s="620"/>
      <c r="K202" s="620"/>
      <c r="L202" s="717" t="s">
        <v>4509</v>
      </c>
    </row>
    <row r="203" spans="1:12" ht="12">
      <c r="A203" s="643">
        <f t="shared" si="2"/>
        <v>202</v>
      </c>
      <c r="B203" s="681" t="s">
        <v>4332</v>
      </c>
      <c r="C203" s="681" t="s">
        <v>4385</v>
      </c>
      <c r="D203" s="714">
        <v>15</v>
      </c>
      <c r="E203" s="715" t="s">
        <v>4512</v>
      </c>
      <c r="F203" s="620"/>
      <c r="G203" s="677" t="s">
        <v>4836</v>
      </c>
      <c r="H203" s="678"/>
      <c r="I203" s="620"/>
      <c r="J203" s="620"/>
      <c r="K203" s="620"/>
      <c r="L203" s="681" t="s">
        <v>4511</v>
      </c>
    </row>
    <row r="204" spans="1:12" ht="12">
      <c r="A204" s="643">
        <f t="shared" si="2"/>
        <v>203</v>
      </c>
      <c r="B204" s="681" t="s">
        <v>4333</v>
      </c>
      <c r="C204" s="681" t="s">
        <v>4382</v>
      </c>
      <c r="D204" s="714">
        <v>15</v>
      </c>
      <c r="E204" s="715" t="s">
        <v>4514</v>
      </c>
      <c r="F204" s="620"/>
      <c r="G204" s="677" t="s">
        <v>4837</v>
      </c>
      <c r="H204" s="678"/>
      <c r="I204" s="620"/>
      <c r="J204" s="620"/>
      <c r="K204" s="620"/>
      <c r="L204" s="681" t="s">
        <v>4513</v>
      </c>
    </row>
    <row r="205" spans="1:12" ht="12">
      <c r="A205" s="643">
        <f t="shared" si="2"/>
        <v>204</v>
      </c>
      <c r="B205" s="681" t="s">
        <v>2428</v>
      </c>
      <c r="C205" s="681" t="s">
        <v>4381</v>
      </c>
      <c r="D205" s="714">
        <v>2</v>
      </c>
      <c r="E205" s="715" t="s">
        <v>3899</v>
      </c>
      <c r="F205" s="620"/>
      <c r="G205" s="677" t="s">
        <v>4838</v>
      </c>
      <c r="H205" s="678"/>
      <c r="I205" s="620"/>
      <c r="J205" s="620"/>
      <c r="K205" s="620"/>
      <c r="L205" s="681" t="s">
        <v>4515</v>
      </c>
    </row>
    <row r="206" spans="1:12" ht="12">
      <c r="A206" s="643">
        <f t="shared" si="2"/>
        <v>205</v>
      </c>
      <c r="B206" s="681" t="s">
        <v>2430</v>
      </c>
      <c r="C206" s="681" t="s">
        <v>4381</v>
      </c>
      <c r="D206" s="714">
        <v>3</v>
      </c>
      <c r="E206" s="715" t="s">
        <v>4517</v>
      </c>
      <c r="F206" s="620"/>
      <c r="G206" s="677" t="s">
        <v>4839</v>
      </c>
      <c r="H206" s="678"/>
      <c r="I206" s="620"/>
      <c r="J206" s="620"/>
      <c r="K206" s="620"/>
      <c r="L206" s="681" t="s">
        <v>4516</v>
      </c>
    </row>
    <row r="207" spans="1:12" ht="12">
      <c r="A207" s="643">
        <f t="shared" si="2"/>
        <v>206</v>
      </c>
      <c r="B207" s="681" t="s">
        <v>2431</v>
      </c>
      <c r="C207" s="681" t="s">
        <v>4381</v>
      </c>
      <c r="D207" s="714">
        <v>3</v>
      </c>
      <c r="E207" s="715" t="s">
        <v>4519</v>
      </c>
      <c r="F207" s="620"/>
      <c r="G207" s="677" t="s">
        <v>4840</v>
      </c>
      <c r="H207" s="678"/>
      <c r="I207" s="620"/>
      <c r="J207" s="620"/>
      <c r="K207" s="620"/>
      <c r="L207" s="681" t="s">
        <v>4518</v>
      </c>
    </row>
    <row r="208" spans="1:12" ht="12">
      <c r="A208" s="643">
        <f t="shared" ref="A208:A277" si="3">ROW()-1</f>
        <v>207</v>
      </c>
      <c r="B208" s="681" t="s">
        <v>2432</v>
      </c>
      <c r="C208" s="681" t="s">
        <v>4381</v>
      </c>
      <c r="D208" s="714">
        <v>8</v>
      </c>
      <c r="E208" s="715" t="s">
        <v>4521</v>
      </c>
      <c r="F208" s="620"/>
      <c r="G208" s="677" t="s">
        <v>4841</v>
      </c>
      <c r="H208" s="678"/>
      <c r="I208" s="620"/>
      <c r="J208" s="620"/>
      <c r="K208" s="620"/>
      <c r="L208" s="681" t="s">
        <v>4520</v>
      </c>
    </row>
    <row r="209" spans="1:14" ht="12">
      <c r="A209" s="643">
        <f t="shared" si="3"/>
        <v>208</v>
      </c>
      <c r="B209" s="681" t="s">
        <v>2433</v>
      </c>
      <c r="C209" s="681" t="s">
        <v>4381</v>
      </c>
      <c r="D209" s="714">
        <v>8</v>
      </c>
      <c r="E209" s="715" t="s">
        <v>4523</v>
      </c>
      <c r="F209" s="620"/>
      <c r="G209" s="677" t="s">
        <v>4842</v>
      </c>
      <c r="H209" s="678"/>
      <c r="I209" s="620"/>
      <c r="J209" s="620"/>
      <c r="K209" s="620"/>
      <c r="L209" s="681" t="s">
        <v>4522</v>
      </c>
    </row>
    <row r="210" spans="1:14" ht="12">
      <c r="A210" s="643">
        <f t="shared" si="3"/>
        <v>209</v>
      </c>
      <c r="B210" s="681" t="s">
        <v>2434</v>
      </c>
      <c r="C210" s="681" t="s">
        <v>4381</v>
      </c>
      <c r="D210" s="714">
        <v>3</v>
      </c>
      <c r="E210" s="715" t="s">
        <v>4525</v>
      </c>
      <c r="F210" s="620"/>
      <c r="G210" s="677" t="s">
        <v>4843</v>
      </c>
      <c r="H210" s="678"/>
      <c r="I210" s="620"/>
      <c r="J210" s="620"/>
      <c r="K210" s="620"/>
      <c r="L210" s="681" t="s">
        <v>4524</v>
      </c>
    </row>
    <row r="211" spans="1:14" ht="12">
      <c r="A211" s="643">
        <f t="shared" si="3"/>
        <v>210</v>
      </c>
      <c r="B211" s="681" t="s">
        <v>2435</v>
      </c>
      <c r="C211" s="681" t="s">
        <v>4381</v>
      </c>
      <c r="D211" s="714">
        <v>3</v>
      </c>
      <c r="E211" s="715" t="s">
        <v>4527</v>
      </c>
      <c r="F211" s="620"/>
      <c r="G211" s="677" t="s">
        <v>4844</v>
      </c>
      <c r="H211" s="678"/>
      <c r="I211" s="620"/>
      <c r="J211" s="620"/>
      <c r="K211" s="620"/>
      <c r="L211" s="681" t="s">
        <v>4526</v>
      </c>
    </row>
    <row r="212" spans="1:14" ht="12">
      <c r="A212" s="643">
        <f t="shared" si="3"/>
        <v>211</v>
      </c>
      <c r="B212" s="681" t="s">
        <v>2436</v>
      </c>
      <c r="C212" s="681" t="s">
        <v>4381</v>
      </c>
      <c r="D212" s="714">
        <v>3</v>
      </c>
      <c r="E212" s="715" t="s">
        <v>4529</v>
      </c>
      <c r="F212" s="620"/>
      <c r="G212" s="677" t="s">
        <v>4845</v>
      </c>
      <c r="H212" s="678"/>
      <c r="I212" s="620"/>
      <c r="J212" s="620"/>
      <c r="K212" s="620"/>
      <c r="L212" s="681" t="s">
        <v>4528</v>
      </c>
    </row>
    <row r="213" spans="1:14" ht="12">
      <c r="A213" s="643">
        <f t="shared" si="3"/>
        <v>212</v>
      </c>
      <c r="B213" s="681" t="s">
        <v>2437</v>
      </c>
      <c r="C213" s="681" t="s">
        <v>4381</v>
      </c>
      <c r="D213" s="714">
        <v>3</v>
      </c>
      <c r="E213" s="715" t="s">
        <v>4530</v>
      </c>
      <c r="F213" s="620"/>
      <c r="G213" s="677" t="s">
        <v>4846</v>
      </c>
      <c r="H213" s="678"/>
      <c r="I213" s="620"/>
      <c r="J213" s="620"/>
      <c r="K213" s="620"/>
      <c r="L213" s="721" t="s">
        <v>4998</v>
      </c>
    </row>
    <row r="214" spans="1:14" ht="12">
      <c r="A214" s="643">
        <f t="shared" si="3"/>
        <v>213</v>
      </c>
      <c r="B214" s="681" t="s">
        <v>2439</v>
      </c>
      <c r="C214" s="681" t="s">
        <v>4381</v>
      </c>
      <c r="D214" s="714">
        <v>2</v>
      </c>
      <c r="E214" s="715" t="s">
        <v>4532</v>
      </c>
      <c r="F214" s="620"/>
      <c r="G214" s="677" t="s">
        <v>4847</v>
      </c>
      <c r="H214" s="678"/>
      <c r="I214" s="620"/>
      <c r="J214" s="620"/>
      <c r="K214" s="620"/>
      <c r="L214" s="681" t="s">
        <v>4531</v>
      </c>
    </row>
    <row r="215" spans="1:14" ht="12">
      <c r="A215" s="643">
        <f t="shared" si="3"/>
        <v>214</v>
      </c>
      <c r="B215" s="681" t="s">
        <v>2440</v>
      </c>
      <c r="C215" s="681" t="s">
        <v>4381</v>
      </c>
      <c r="D215" s="714">
        <v>1</v>
      </c>
      <c r="E215" s="715" t="s">
        <v>4534</v>
      </c>
      <c r="F215" s="626"/>
      <c r="G215" s="677" t="s">
        <v>4848</v>
      </c>
      <c r="H215" s="678"/>
      <c r="I215" s="626"/>
      <c r="J215" s="626"/>
      <c r="K215" s="626"/>
      <c r="L215" s="681" t="s">
        <v>4533</v>
      </c>
      <c r="M215" s="341"/>
      <c r="N215" s="341"/>
    </row>
    <row r="216" spans="1:14" ht="12">
      <c r="A216" s="643">
        <f t="shared" si="3"/>
        <v>215</v>
      </c>
      <c r="B216" s="681" t="s">
        <v>2520</v>
      </c>
      <c r="C216" s="681" t="s">
        <v>4382</v>
      </c>
      <c r="D216" s="714">
        <v>15</v>
      </c>
      <c r="E216" s="715" t="s">
        <v>4536</v>
      </c>
      <c r="F216" s="626"/>
      <c r="G216" s="677" t="s">
        <v>4849</v>
      </c>
      <c r="H216" s="678"/>
      <c r="I216" s="626"/>
      <c r="J216" s="626"/>
      <c r="K216" s="626"/>
      <c r="L216" s="681" t="s">
        <v>4535</v>
      </c>
      <c r="M216" s="341"/>
      <c r="N216" s="341"/>
    </row>
    <row r="217" spans="1:14" ht="12">
      <c r="A217" s="643">
        <f t="shared" si="3"/>
        <v>216</v>
      </c>
      <c r="B217" s="681" t="s">
        <v>3422</v>
      </c>
      <c r="C217" s="681" t="s">
        <v>4382</v>
      </c>
      <c r="D217" s="714">
        <v>15</v>
      </c>
      <c r="E217" s="715" t="s">
        <v>4538</v>
      </c>
      <c r="F217" s="626"/>
      <c r="G217" s="677" t="s">
        <v>4850</v>
      </c>
      <c r="H217" s="678"/>
      <c r="I217" s="626"/>
      <c r="J217" s="626"/>
      <c r="K217" s="626"/>
      <c r="L217" s="681" t="s">
        <v>4537</v>
      </c>
      <c r="M217" s="341"/>
      <c r="N217" s="341"/>
    </row>
    <row r="218" spans="1:14" ht="12">
      <c r="A218" s="643">
        <f t="shared" si="3"/>
        <v>217</v>
      </c>
      <c r="B218" s="681" t="s">
        <v>3423</v>
      </c>
      <c r="C218" s="681" t="s">
        <v>4382</v>
      </c>
      <c r="D218" s="714">
        <v>15</v>
      </c>
      <c r="E218" s="715" t="s">
        <v>4540</v>
      </c>
      <c r="F218" s="626"/>
      <c r="G218" s="677" t="s">
        <v>4851</v>
      </c>
      <c r="H218" s="678"/>
      <c r="I218" s="620"/>
      <c r="J218" s="626"/>
      <c r="K218" s="626"/>
      <c r="L218" s="681" t="s">
        <v>4539</v>
      </c>
      <c r="M218" s="341"/>
      <c r="N218" s="341"/>
    </row>
    <row r="219" spans="1:14" ht="12">
      <c r="A219" s="643">
        <f t="shared" si="3"/>
        <v>218</v>
      </c>
      <c r="B219" s="681" t="s">
        <v>4334</v>
      </c>
      <c r="C219" s="681" t="s">
        <v>4382</v>
      </c>
      <c r="D219" s="714">
        <v>15</v>
      </c>
      <c r="E219" s="715" t="s">
        <v>4542</v>
      </c>
      <c r="F219" s="626"/>
      <c r="G219" s="677" t="s">
        <v>4852</v>
      </c>
      <c r="H219" s="678"/>
      <c r="I219" s="620"/>
      <c r="J219" s="626"/>
      <c r="K219" s="626"/>
      <c r="L219" s="681" t="s">
        <v>4541</v>
      </c>
      <c r="M219" s="341"/>
      <c r="N219" s="341"/>
    </row>
    <row r="220" spans="1:14" ht="12">
      <c r="A220" s="643">
        <f t="shared" si="3"/>
        <v>219</v>
      </c>
      <c r="B220" s="681" t="s">
        <v>4335</v>
      </c>
      <c r="C220" s="681" t="s">
        <v>4382</v>
      </c>
      <c r="D220" s="714">
        <v>15</v>
      </c>
      <c r="E220" s="715" t="s">
        <v>4544</v>
      </c>
      <c r="F220" s="626"/>
      <c r="G220" s="677" t="s">
        <v>4853</v>
      </c>
      <c r="H220" s="678"/>
      <c r="I220" s="620"/>
      <c r="J220" s="626"/>
      <c r="K220" s="626"/>
      <c r="L220" s="681" t="s">
        <v>4543</v>
      </c>
      <c r="M220" s="341"/>
      <c r="N220" s="341"/>
    </row>
    <row r="221" spans="1:14" ht="12">
      <c r="A221" s="643">
        <f t="shared" si="3"/>
        <v>220</v>
      </c>
      <c r="B221" s="693" t="s">
        <v>4336</v>
      </c>
      <c r="C221" s="681" t="s">
        <v>4382</v>
      </c>
      <c r="D221" s="722">
        <v>15</v>
      </c>
      <c r="E221" s="723" t="s">
        <v>4545</v>
      </c>
      <c r="F221" s="626"/>
      <c r="G221" s="677" t="s">
        <v>4854</v>
      </c>
      <c r="H221" s="678"/>
      <c r="I221" s="620"/>
      <c r="J221" s="626"/>
      <c r="K221" s="626"/>
      <c r="L221" s="693" t="s">
        <v>991</v>
      </c>
      <c r="M221" s="341"/>
      <c r="N221" s="341"/>
    </row>
    <row r="222" spans="1:14" ht="12">
      <c r="A222" s="643">
        <f t="shared" si="3"/>
        <v>221</v>
      </c>
      <c r="B222" s="693" t="s">
        <v>4337</v>
      </c>
      <c r="C222" s="693" t="s">
        <v>4382</v>
      </c>
      <c r="D222" s="722">
        <v>15</v>
      </c>
      <c r="E222" s="723" t="s">
        <v>4547</v>
      </c>
      <c r="F222" s="626"/>
      <c r="G222" s="677" t="s">
        <v>4855</v>
      </c>
      <c r="H222" s="678"/>
      <c r="I222" s="620"/>
      <c r="J222" s="626"/>
      <c r="K222" s="626"/>
      <c r="L222" s="693" t="s">
        <v>4546</v>
      </c>
      <c r="M222" s="341"/>
      <c r="N222" s="341"/>
    </row>
    <row r="223" spans="1:14" ht="12">
      <c r="A223" s="643">
        <f t="shared" si="3"/>
        <v>222</v>
      </c>
      <c r="B223" s="693" t="s">
        <v>4338</v>
      </c>
      <c r="C223" s="681" t="s">
        <v>4421</v>
      </c>
      <c r="D223" s="722">
        <v>15</v>
      </c>
      <c r="E223" s="723" t="s">
        <v>4549</v>
      </c>
      <c r="F223" s="626"/>
      <c r="G223" s="677" t="s">
        <v>4856</v>
      </c>
      <c r="H223" s="678"/>
      <c r="I223" s="620"/>
      <c r="J223" s="626"/>
      <c r="K223" s="626"/>
      <c r="L223" s="693" t="s">
        <v>4548</v>
      </c>
      <c r="M223" s="341"/>
      <c r="N223" s="341"/>
    </row>
    <row r="224" spans="1:14" ht="12">
      <c r="A224" s="643">
        <f t="shared" si="3"/>
        <v>223</v>
      </c>
      <c r="B224" s="675" t="s">
        <v>4926</v>
      </c>
      <c r="C224" s="675" t="s">
        <v>4382</v>
      </c>
      <c r="D224" s="714">
        <v>15</v>
      </c>
      <c r="E224" s="715" t="s">
        <v>4946</v>
      </c>
      <c r="F224" s="626"/>
      <c r="G224" s="677" t="s">
        <v>4974</v>
      </c>
      <c r="H224" s="678"/>
      <c r="I224" s="620"/>
      <c r="J224" s="626"/>
      <c r="K224" s="626"/>
      <c r="L224" s="675" t="s">
        <v>4999</v>
      </c>
      <c r="M224" s="341"/>
      <c r="N224" s="341"/>
    </row>
    <row r="225" spans="1:14" ht="12">
      <c r="A225" s="643">
        <f t="shared" si="3"/>
        <v>224</v>
      </c>
      <c r="B225" s="675" t="s">
        <v>3677</v>
      </c>
      <c r="C225" s="675" t="s">
        <v>4382</v>
      </c>
      <c r="D225" s="714">
        <v>15</v>
      </c>
      <c r="E225" s="715" t="s">
        <v>4947</v>
      </c>
      <c r="F225" s="626"/>
      <c r="G225" s="677" t="s">
        <v>4975</v>
      </c>
      <c r="H225" s="678"/>
      <c r="I225" s="620"/>
      <c r="J225" s="626"/>
      <c r="K225" s="626"/>
      <c r="L225" s="675" t="s">
        <v>5000</v>
      </c>
      <c r="M225" s="341"/>
      <c r="N225" s="341"/>
    </row>
    <row r="226" spans="1:14" ht="12">
      <c r="A226" s="643">
        <f t="shared" si="3"/>
        <v>225</v>
      </c>
      <c r="B226" s="675" t="s">
        <v>4927</v>
      </c>
      <c r="C226" s="675" t="s">
        <v>4382</v>
      </c>
      <c r="D226" s="714">
        <v>15</v>
      </c>
      <c r="E226" s="715" t="s">
        <v>4948</v>
      </c>
      <c r="F226" s="626"/>
      <c r="G226" s="677" t="s">
        <v>4976</v>
      </c>
      <c r="H226" s="678"/>
      <c r="I226" s="620"/>
      <c r="J226" s="626"/>
      <c r="K226" s="626"/>
      <c r="L226" s="675" t="s">
        <v>5001</v>
      </c>
      <c r="M226" s="341"/>
      <c r="N226" s="341"/>
    </row>
    <row r="227" spans="1:14" ht="12">
      <c r="A227" s="643">
        <f t="shared" si="3"/>
        <v>226</v>
      </c>
      <c r="B227" s="675" t="s">
        <v>3923</v>
      </c>
      <c r="C227" s="675" t="s">
        <v>4382</v>
      </c>
      <c r="D227" s="714">
        <v>15</v>
      </c>
      <c r="E227" s="715" t="s">
        <v>4949</v>
      </c>
      <c r="F227" s="626"/>
      <c r="G227" s="677" t="s">
        <v>4977</v>
      </c>
      <c r="H227" s="678"/>
      <c r="I227" s="620"/>
      <c r="J227" s="626"/>
      <c r="K227" s="626"/>
      <c r="L227" s="675" t="s">
        <v>5002</v>
      </c>
      <c r="M227" s="341"/>
      <c r="N227" s="341"/>
    </row>
    <row r="228" spans="1:14" ht="12">
      <c r="A228" s="643">
        <f t="shared" si="3"/>
        <v>227</v>
      </c>
      <c r="B228" s="675" t="s">
        <v>3925</v>
      </c>
      <c r="C228" s="675" t="s">
        <v>4382</v>
      </c>
      <c r="D228" s="714">
        <v>15</v>
      </c>
      <c r="E228" s="715" t="s">
        <v>4950</v>
      </c>
      <c r="F228" s="626"/>
      <c r="G228" s="677" t="s">
        <v>4978</v>
      </c>
      <c r="H228" s="678"/>
      <c r="I228" s="620"/>
      <c r="J228" s="626"/>
      <c r="K228" s="626"/>
      <c r="L228" s="675" t="s">
        <v>5003</v>
      </c>
      <c r="M228" s="341"/>
      <c r="N228" s="341"/>
    </row>
    <row r="229" spans="1:14" ht="12">
      <c r="A229" s="643">
        <f t="shared" si="3"/>
        <v>228</v>
      </c>
      <c r="B229" s="675" t="s">
        <v>3927</v>
      </c>
      <c r="C229" s="675" t="s">
        <v>4382</v>
      </c>
      <c r="D229" s="714">
        <v>15</v>
      </c>
      <c r="E229" s="715" t="s">
        <v>4951</v>
      </c>
      <c r="F229" s="626"/>
      <c r="G229" s="677" t="s">
        <v>4979</v>
      </c>
      <c r="H229" s="678"/>
      <c r="I229" s="620"/>
      <c r="J229" s="626"/>
      <c r="K229" s="626"/>
      <c r="L229" s="675" t="s">
        <v>5004</v>
      </c>
      <c r="M229" s="341"/>
      <c r="N229" s="341"/>
    </row>
    <row r="230" spans="1:14" ht="12">
      <c r="A230" s="643">
        <f t="shared" si="3"/>
        <v>229</v>
      </c>
      <c r="B230" s="675" t="s">
        <v>4928</v>
      </c>
      <c r="C230" s="675" t="s">
        <v>4381</v>
      </c>
      <c r="D230" s="714">
        <v>2</v>
      </c>
      <c r="E230" s="715" t="s">
        <v>4952</v>
      </c>
      <c r="F230" s="626"/>
      <c r="G230" s="677" t="s">
        <v>7372</v>
      </c>
      <c r="H230" s="678"/>
      <c r="I230" s="626"/>
      <c r="J230" s="626"/>
      <c r="K230" s="626"/>
      <c r="L230" s="675" t="s">
        <v>5005</v>
      </c>
      <c r="M230" s="341"/>
      <c r="N230" s="341"/>
    </row>
    <row r="231" spans="1:14" ht="12">
      <c r="A231" s="643">
        <f t="shared" si="3"/>
        <v>230</v>
      </c>
      <c r="B231" s="675" t="s">
        <v>3931</v>
      </c>
      <c r="C231" s="675" t="s">
        <v>4381</v>
      </c>
      <c r="D231" s="714">
        <v>2</v>
      </c>
      <c r="E231" s="715" t="s">
        <v>5824</v>
      </c>
      <c r="F231" s="626"/>
      <c r="G231" s="677" t="s">
        <v>7372</v>
      </c>
      <c r="H231" s="678"/>
      <c r="I231" s="626"/>
      <c r="J231" s="626"/>
      <c r="K231" s="626"/>
      <c r="L231" s="675" t="s">
        <v>5466</v>
      </c>
      <c r="M231" s="341"/>
      <c r="N231" s="341"/>
    </row>
    <row r="232" spans="1:14" ht="12">
      <c r="A232" s="643">
        <f t="shared" si="3"/>
        <v>231</v>
      </c>
      <c r="B232" s="675" t="s">
        <v>3933</v>
      </c>
      <c r="C232" s="675" t="s">
        <v>4381</v>
      </c>
      <c r="D232" s="714">
        <v>1</v>
      </c>
      <c r="E232" s="715" t="s">
        <v>5826</v>
      </c>
      <c r="F232" s="626"/>
      <c r="G232" s="677" t="s">
        <v>7372</v>
      </c>
      <c r="H232" s="678"/>
      <c r="I232" s="626"/>
      <c r="J232" s="626"/>
      <c r="K232" s="626"/>
      <c r="L232" s="675" t="s">
        <v>5467</v>
      </c>
      <c r="M232" s="341"/>
      <c r="N232" s="341"/>
    </row>
    <row r="233" spans="1:14" ht="12">
      <c r="A233" s="643">
        <f t="shared" si="3"/>
        <v>232</v>
      </c>
      <c r="B233" s="675" t="s">
        <v>3935</v>
      </c>
      <c r="C233" s="675" t="s">
        <v>4381</v>
      </c>
      <c r="D233" s="714">
        <v>9</v>
      </c>
      <c r="E233" s="715" t="s">
        <v>5827</v>
      </c>
      <c r="F233" s="626"/>
      <c r="G233" s="677" t="s">
        <v>7372</v>
      </c>
      <c r="H233" s="678"/>
      <c r="I233" s="626"/>
      <c r="J233" s="626"/>
      <c r="K233" s="626"/>
      <c r="L233" s="675" t="s">
        <v>5468</v>
      </c>
      <c r="M233" s="341"/>
      <c r="N233" s="341"/>
    </row>
    <row r="234" spans="1:14" ht="12">
      <c r="A234" s="643">
        <f t="shared" si="3"/>
        <v>233</v>
      </c>
      <c r="B234" s="675" t="s">
        <v>3937</v>
      </c>
      <c r="C234" s="675" t="s">
        <v>4381</v>
      </c>
      <c r="D234" s="714">
        <v>2</v>
      </c>
      <c r="E234" s="715" t="s">
        <v>5828</v>
      </c>
      <c r="F234" s="626"/>
      <c r="G234" s="677" t="s">
        <v>7372</v>
      </c>
      <c r="H234" s="678"/>
      <c r="I234" s="626"/>
      <c r="J234" s="626"/>
      <c r="K234" s="626"/>
      <c r="L234" s="675" t="s">
        <v>5465</v>
      </c>
      <c r="M234" s="341"/>
      <c r="N234" s="341"/>
    </row>
    <row r="235" spans="1:14" ht="12">
      <c r="A235" s="643">
        <f t="shared" si="3"/>
        <v>234</v>
      </c>
      <c r="B235" s="675" t="s">
        <v>5406</v>
      </c>
      <c r="C235" s="681" t="s">
        <v>4421</v>
      </c>
      <c r="D235" s="714">
        <v>15</v>
      </c>
      <c r="E235" s="715" t="s">
        <v>7010</v>
      </c>
      <c r="F235" s="626"/>
      <c r="G235" s="677" t="s">
        <v>7372</v>
      </c>
      <c r="H235" s="678"/>
      <c r="I235" s="626"/>
      <c r="J235" s="626"/>
      <c r="K235" s="626"/>
      <c r="L235" s="675" t="s">
        <v>7009</v>
      </c>
      <c r="M235" s="341"/>
      <c r="N235" s="341"/>
    </row>
    <row r="236" spans="1:14" ht="12">
      <c r="A236" s="643">
        <f t="shared" si="3"/>
        <v>235</v>
      </c>
      <c r="B236" s="675" t="s">
        <v>5821</v>
      </c>
      <c r="C236" s="675" t="s">
        <v>4381</v>
      </c>
      <c r="D236" s="714">
        <v>2</v>
      </c>
      <c r="E236" s="715" t="s">
        <v>7314</v>
      </c>
      <c r="F236" s="626"/>
      <c r="G236" s="677" t="s">
        <v>7372</v>
      </c>
      <c r="H236" s="678"/>
      <c r="I236" s="626"/>
      <c r="J236" s="626"/>
      <c r="K236" s="626"/>
      <c r="L236" s="675" t="s">
        <v>7316</v>
      </c>
      <c r="M236" s="341"/>
      <c r="N236" s="341"/>
    </row>
    <row r="237" spans="1:14" ht="12">
      <c r="A237" s="643">
        <f t="shared" si="3"/>
        <v>236</v>
      </c>
      <c r="B237" s="681" t="s">
        <v>3794</v>
      </c>
      <c r="C237" s="681" t="s">
        <v>4421</v>
      </c>
      <c r="D237" s="714">
        <v>15</v>
      </c>
      <c r="E237" s="715" t="s">
        <v>4551</v>
      </c>
      <c r="F237" s="626"/>
      <c r="G237" s="677" t="s">
        <v>4857</v>
      </c>
      <c r="H237" s="678"/>
      <c r="I237" s="626"/>
      <c r="J237" s="626"/>
      <c r="K237" s="626"/>
      <c r="L237" s="681" t="s">
        <v>4550</v>
      </c>
      <c r="M237" s="341"/>
      <c r="N237" s="341"/>
    </row>
    <row r="238" spans="1:14" ht="12">
      <c r="A238" s="643">
        <f t="shared" si="3"/>
        <v>237</v>
      </c>
      <c r="B238" s="681" t="s">
        <v>3795</v>
      </c>
      <c r="C238" s="681" t="s">
        <v>4421</v>
      </c>
      <c r="D238" s="714">
        <v>15</v>
      </c>
      <c r="E238" s="715" t="s">
        <v>4553</v>
      </c>
      <c r="F238" s="626"/>
      <c r="G238" s="677" t="s">
        <v>4858</v>
      </c>
      <c r="H238" s="678"/>
      <c r="I238" s="626"/>
      <c r="J238" s="626"/>
      <c r="K238" s="626"/>
      <c r="L238" s="681" t="s">
        <v>4552</v>
      </c>
      <c r="M238" s="341"/>
      <c r="N238" s="341"/>
    </row>
    <row r="239" spans="1:14" ht="12">
      <c r="A239" s="643">
        <f t="shared" si="3"/>
        <v>238</v>
      </c>
      <c r="B239" s="681" t="s">
        <v>3796</v>
      </c>
      <c r="C239" s="681" t="s">
        <v>4421</v>
      </c>
      <c r="D239" s="714">
        <v>15</v>
      </c>
      <c r="E239" s="715" t="s">
        <v>4555</v>
      </c>
      <c r="F239" s="620"/>
      <c r="G239" s="677" t="s">
        <v>4859</v>
      </c>
      <c r="H239" s="678"/>
      <c r="I239" s="620"/>
      <c r="J239" s="620"/>
      <c r="K239" s="620"/>
      <c r="L239" s="681" t="s">
        <v>4554</v>
      </c>
    </row>
    <row r="240" spans="1:14" ht="12">
      <c r="A240" s="643">
        <f t="shared" si="3"/>
        <v>239</v>
      </c>
      <c r="B240" s="681" t="s">
        <v>3797</v>
      </c>
      <c r="C240" s="681" t="s">
        <v>4421</v>
      </c>
      <c r="D240" s="714">
        <v>15</v>
      </c>
      <c r="E240" s="715" t="s">
        <v>4557</v>
      </c>
      <c r="F240" s="620"/>
      <c r="G240" s="677" t="s">
        <v>4980</v>
      </c>
      <c r="H240" s="678"/>
      <c r="I240" s="620"/>
      <c r="J240" s="620"/>
      <c r="K240" s="620"/>
      <c r="L240" s="681" t="s">
        <v>4556</v>
      </c>
    </row>
    <row r="241" spans="1:12" ht="12">
      <c r="A241" s="643">
        <f t="shared" si="3"/>
        <v>240</v>
      </c>
      <c r="B241" s="681" t="s">
        <v>3798</v>
      </c>
      <c r="C241" s="681" t="s">
        <v>4421</v>
      </c>
      <c r="D241" s="714">
        <v>15</v>
      </c>
      <c r="E241" s="715" t="s">
        <v>4559</v>
      </c>
      <c r="F241" s="620"/>
      <c r="G241" s="677" t="s">
        <v>4860</v>
      </c>
      <c r="H241" s="678"/>
      <c r="I241" s="620"/>
      <c r="J241" s="620"/>
      <c r="K241" s="620"/>
      <c r="L241" s="681" t="s">
        <v>4558</v>
      </c>
    </row>
    <row r="242" spans="1:12" ht="12">
      <c r="A242" s="643">
        <f t="shared" si="3"/>
        <v>241</v>
      </c>
      <c r="B242" s="681" t="s">
        <v>3799</v>
      </c>
      <c r="C242" s="681" t="s">
        <v>4421</v>
      </c>
      <c r="D242" s="714">
        <v>15</v>
      </c>
      <c r="E242" s="715" t="s">
        <v>4561</v>
      </c>
      <c r="F242" s="620"/>
      <c r="G242" s="677" t="s">
        <v>4981</v>
      </c>
      <c r="H242" s="678"/>
      <c r="I242" s="620"/>
      <c r="J242" s="620"/>
      <c r="K242" s="620"/>
      <c r="L242" s="681" t="s">
        <v>4560</v>
      </c>
    </row>
    <row r="243" spans="1:12" ht="12">
      <c r="A243" s="643">
        <f t="shared" si="3"/>
        <v>242</v>
      </c>
      <c r="B243" s="681" t="s">
        <v>4339</v>
      </c>
      <c r="C243" s="681" t="s">
        <v>4415</v>
      </c>
      <c r="D243" s="714">
        <v>15</v>
      </c>
      <c r="E243" s="715" t="s">
        <v>4563</v>
      </c>
      <c r="F243" s="620"/>
      <c r="G243" s="677" t="s">
        <v>4861</v>
      </c>
      <c r="H243" s="678"/>
      <c r="I243" s="620"/>
      <c r="J243" s="620"/>
      <c r="K243" s="620"/>
      <c r="L243" s="681" t="s">
        <v>4562</v>
      </c>
    </row>
    <row r="244" spans="1:12" ht="12">
      <c r="A244" s="643">
        <f t="shared" si="3"/>
        <v>243</v>
      </c>
      <c r="B244" s="681" t="s">
        <v>3800</v>
      </c>
      <c r="C244" s="681" t="s">
        <v>4421</v>
      </c>
      <c r="D244" s="714">
        <v>15</v>
      </c>
      <c r="E244" s="715" t="s">
        <v>4565</v>
      </c>
      <c r="F244" s="620"/>
      <c r="G244" s="677" t="s">
        <v>4862</v>
      </c>
      <c r="H244" s="678"/>
      <c r="I244" s="620"/>
      <c r="J244" s="620"/>
      <c r="K244" s="620"/>
      <c r="L244" s="681" t="s">
        <v>4564</v>
      </c>
    </row>
    <row r="245" spans="1:12" ht="12">
      <c r="A245" s="643">
        <f t="shared" si="3"/>
        <v>244</v>
      </c>
      <c r="B245" s="681" t="s">
        <v>3801</v>
      </c>
      <c r="C245" s="681" t="s">
        <v>4415</v>
      </c>
      <c r="D245" s="714">
        <v>15</v>
      </c>
      <c r="E245" s="715" t="s">
        <v>4567</v>
      </c>
      <c r="F245" s="620"/>
      <c r="G245" s="677" t="s">
        <v>4863</v>
      </c>
      <c r="H245" s="678"/>
      <c r="I245" s="620"/>
      <c r="J245" s="620"/>
      <c r="K245" s="620"/>
      <c r="L245" s="681" t="s">
        <v>4566</v>
      </c>
    </row>
    <row r="246" spans="1:12" ht="12">
      <c r="A246" s="643">
        <f t="shared" si="3"/>
        <v>245</v>
      </c>
      <c r="B246" s="681" t="s">
        <v>3802</v>
      </c>
      <c r="C246" s="681" t="s">
        <v>4421</v>
      </c>
      <c r="D246" s="714">
        <v>15</v>
      </c>
      <c r="E246" s="715" t="s">
        <v>4569</v>
      </c>
      <c r="F246" s="620"/>
      <c r="G246" s="677" t="s">
        <v>4982</v>
      </c>
      <c r="H246" s="678"/>
      <c r="I246" s="620"/>
      <c r="J246" s="620"/>
      <c r="K246" s="620"/>
      <c r="L246" s="681" t="s">
        <v>4568</v>
      </c>
    </row>
    <row r="247" spans="1:12" ht="12">
      <c r="A247" s="643">
        <f t="shared" si="3"/>
        <v>246</v>
      </c>
      <c r="B247" s="681" t="s">
        <v>3803</v>
      </c>
      <c r="C247" s="681" t="s">
        <v>4421</v>
      </c>
      <c r="D247" s="714">
        <v>15</v>
      </c>
      <c r="E247" s="715" t="s">
        <v>4571</v>
      </c>
      <c r="F247" s="620"/>
      <c r="G247" s="677" t="s">
        <v>4983</v>
      </c>
      <c r="H247" s="678"/>
      <c r="I247" s="620"/>
      <c r="J247" s="620"/>
      <c r="K247" s="620"/>
      <c r="L247" s="681" t="s">
        <v>4570</v>
      </c>
    </row>
    <row r="248" spans="1:12" ht="12">
      <c r="A248" s="643">
        <f t="shared" si="3"/>
        <v>247</v>
      </c>
      <c r="B248" s="681" t="s">
        <v>3804</v>
      </c>
      <c r="C248" s="681" t="s">
        <v>4415</v>
      </c>
      <c r="D248" s="714">
        <v>15</v>
      </c>
      <c r="E248" s="715" t="s">
        <v>4573</v>
      </c>
      <c r="F248" s="620"/>
      <c r="G248" s="677" t="s">
        <v>4864</v>
      </c>
      <c r="H248" s="678"/>
      <c r="I248" s="620"/>
      <c r="J248" s="620"/>
      <c r="K248" s="620"/>
      <c r="L248" s="681" t="s">
        <v>4572</v>
      </c>
    </row>
    <row r="249" spans="1:12" ht="12">
      <c r="A249" s="643">
        <f t="shared" si="3"/>
        <v>248</v>
      </c>
      <c r="B249" s="681" t="s">
        <v>3805</v>
      </c>
      <c r="C249" s="681" t="s">
        <v>4421</v>
      </c>
      <c r="D249" s="714">
        <v>15</v>
      </c>
      <c r="E249" s="715" t="s">
        <v>4575</v>
      </c>
      <c r="F249" s="620"/>
      <c r="G249" s="677" t="s">
        <v>4984</v>
      </c>
      <c r="H249" s="678"/>
      <c r="I249" s="620"/>
      <c r="J249" s="620"/>
      <c r="K249" s="620"/>
      <c r="L249" s="681" t="s">
        <v>4574</v>
      </c>
    </row>
    <row r="250" spans="1:12" ht="12">
      <c r="A250" s="643">
        <f t="shared" si="3"/>
        <v>249</v>
      </c>
      <c r="B250" s="681" t="s">
        <v>3806</v>
      </c>
      <c r="C250" s="681" t="s">
        <v>4421</v>
      </c>
      <c r="D250" s="714">
        <v>15</v>
      </c>
      <c r="E250" s="715" t="s">
        <v>4577</v>
      </c>
      <c r="F250" s="620"/>
      <c r="G250" s="677" t="s">
        <v>4865</v>
      </c>
      <c r="H250" s="678"/>
      <c r="I250" s="620"/>
      <c r="J250" s="620"/>
      <c r="K250" s="620"/>
      <c r="L250" s="681" t="s">
        <v>4576</v>
      </c>
    </row>
    <row r="251" spans="1:12" ht="12">
      <c r="A251" s="643">
        <f t="shared" si="3"/>
        <v>250</v>
      </c>
      <c r="B251" s="681" t="s">
        <v>3807</v>
      </c>
      <c r="C251" s="681" t="s">
        <v>4421</v>
      </c>
      <c r="D251" s="714">
        <v>15</v>
      </c>
      <c r="E251" s="715" t="s">
        <v>4579</v>
      </c>
      <c r="F251" s="620"/>
      <c r="G251" s="677" t="s">
        <v>4866</v>
      </c>
      <c r="H251" s="678"/>
      <c r="I251" s="620"/>
      <c r="J251" s="620"/>
      <c r="K251" s="620"/>
      <c r="L251" s="681" t="s">
        <v>4578</v>
      </c>
    </row>
    <row r="252" spans="1:12" ht="12">
      <c r="A252" s="643">
        <f t="shared" si="3"/>
        <v>251</v>
      </c>
      <c r="B252" s="681" t="s">
        <v>3808</v>
      </c>
      <c r="C252" s="681" t="s">
        <v>4421</v>
      </c>
      <c r="D252" s="714">
        <v>15</v>
      </c>
      <c r="E252" s="715" t="s">
        <v>4581</v>
      </c>
      <c r="F252" s="620"/>
      <c r="G252" s="677" t="s">
        <v>4867</v>
      </c>
      <c r="H252" s="678"/>
      <c r="I252" s="620"/>
      <c r="J252" s="620"/>
      <c r="K252" s="620"/>
      <c r="L252" s="681" t="s">
        <v>4580</v>
      </c>
    </row>
    <row r="253" spans="1:12" ht="12">
      <c r="A253" s="643">
        <f t="shared" si="3"/>
        <v>252</v>
      </c>
      <c r="B253" s="681" t="s">
        <v>3809</v>
      </c>
      <c r="C253" s="681" t="s">
        <v>4421</v>
      </c>
      <c r="D253" s="714">
        <v>15</v>
      </c>
      <c r="E253" s="715" t="s">
        <v>4583</v>
      </c>
      <c r="F253" s="620"/>
      <c r="G253" s="677" t="s">
        <v>4868</v>
      </c>
      <c r="H253" s="678"/>
      <c r="I253" s="620"/>
      <c r="J253" s="620"/>
      <c r="K253" s="620"/>
      <c r="L253" s="681" t="s">
        <v>4582</v>
      </c>
    </row>
    <row r="254" spans="1:12" ht="12">
      <c r="A254" s="643">
        <f t="shared" si="3"/>
        <v>253</v>
      </c>
      <c r="B254" s="681" t="s">
        <v>3810</v>
      </c>
      <c r="C254" s="681" t="s">
        <v>4415</v>
      </c>
      <c r="D254" s="714">
        <v>15</v>
      </c>
      <c r="E254" s="715" t="s">
        <v>4585</v>
      </c>
      <c r="F254" s="620"/>
      <c r="G254" s="677" t="s">
        <v>4869</v>
      </c>
      <c r="H254" s="678"/>
      <c r="I254" s="620"/>
      <c r="J254" s="620"/>
      <c r="K254" s="620"/>
      <c r="L254" s="681" t="s">
        <v>4584</v>
      </c>
    </row>
    <row r="255" spans="1:12" ht="12">
      <c r="A255" s="643">
        <f t="shared" si="3"/>
        <v>254</v>
      </c>
      <c r="B255" s="681" t="s">
        <v>3811</v>
      </c>
      <c r="C255" s="681" t="s">
        <v>4415</v>
      </c>
      <c r="D255" s="714">
        <v>15</v>
      </c>
      <c r="E255" s="715" t="s">
        <v>4587</v>
      </c>
      <c r="F255" s="620"/>
      <c r="G255" s="677" t="s">
        <v>4870</v>
      </c>
      <c r="H255" s="678"/>
      <c r="I255" s="620"/>
      <c r="J255" s="620"/>
      <c r="K255" s="620"/>
      <c r="L255" s="681" t="s">
        <v>4586</v>
      </c>
    </row>
    <row r="256" spans="1:12" ht="12">
      <c r="A256" s="643">
        <f t="shared" si="3"/>
        <v>255</v>
      </c>
      <c r="B256" s="681" t="s">
        <v>3812</v>
      </c>
      <c r="C256" s="681" t="s">
        <v>4415</v>
      </c>
      <c r="D256" s="714">
        <v>15</v>
      </c>
      <c r="E256" s="715" t="s">
        <v>4589</v>
      </c>
      <c r="F256" s="620"/>
      <c r="G256" s="677" t="s">
        <v>4871</v>
      </c>
      <c r="H256" s="678"/>
      <c r="I256" s="620"/>
      <c r="J256" s="620"/>
      <c r="K256" s="620"/>
      <c r="L256" s="681" t="s">
        <v>4588</v>
      </c>
    </row>
    <row r="257" spans="1:12" ht="12">
      <c r="A257" s="643">
        <f t="shared" si="3"/>
        <v>256</v>
      </c>
      <c r="B257" s="675" t="s">
        <v>3813</v>
      </c>
      <c r="C257" s="675" t="s">
        <v>4421</v>
      </c>
      <c r="D257" s="714">
        <v>15</v>
      </c>
      <c r="E257" s="715" t="s">
        <v>4591</v>
      </c>
      <c r="F257" s="620"/>
      <c r="G257" s="677" t="s">
        <v>4872</v>
      </c>
      <c r="H257" s="678"/>
      <c r="I257" s="620"/>
      <c r="J257" s="620"/>
      <c r="K257" s="620"/>
      <c r="L257" s="675" t="s">
        <v>4590</v>
      </c>
    </row>
    <row r="258" spans="1:12" ht="12">
      <c r="A258" s="643">
        <f t="shared" si="3"/>
        <v>257</v>
      </c>
      <c r="B258" s="675" t="s">
        <v>3814</v>
      </c>
      <c r="C258" s="675" t="s">
        <v>4421</v>
      </c>
      <c r="D258" s="714">
        <v>15</v>
      </c>
      <c r="E258" s="715" t="s">
        <v>4593</v>
      </c>
      <c r="F258" s="620"/>
      <c r="G258" s="677" t="s">
        <v>4873</v>
      </c>
      <c r="H258" s="678"/>
      <c r="I258" s="620"/>
      <c r="J258" s="620"/>
      <c r="K258" s="620"/>
      <c r="L258" s="675" t="s">
        <v>4592</v>
      </c>
    </row>
    <row r="259" spans="1:12" ht="12">
      <c r="A259" s="643">
        <f t="shared" si="3"/>
        <v>258</v>
      </c>
      <c r="B259" s="675" t="s">
        <v>3815</v>
      </c>
      <c r="C259" s="675" t="s">
        <v>4421</v>
      </c>
      <c r="D259" s="714">
        <v>15</v>
      </c>
      <c r="E259" s="715" t="s">
        <v>4595</v>
      </c>
      <c r="F259" s="620"/>
      <c r="G259" s="677" t="s">
        <v>4874</v>
      </c>
      <c r="H259" s="678"/>
      <c r="I259" s="620"/>
      <c r="J259" s="620"/>
      <c r="K259" s="620"/>
      <c r="L259" s="675" t="s">
        <v>4594</v>
      </c>
    </row>
    <row r="260" spans="1:12" ht="12">
      <c r="A260" s="643">
        <f t="shared" si="3"/>
        <v>259</v>
      </c>
      <c r="B260" s="675" t="s">
        <v>3816</v>
      </c>
      <c r="C260" s="675" t="s">
        <v>4421</v>
      </c>
      <c r="D260" s="714">
        <v>15</v>
      </c>
      <c r="E260" s="715" t="s">
        <v>4597</v>
      </c>
      <c r="F260" s="620"/>
      <c r="G260" s="677" t="s">
        <v>4875</v>
      </c>
      <c r="H260" s="678"/>
      <c r="I260" s="620"/>
      <c r="J260" s="620"/>
      <c r="K260" s="620"/>
      <c r="L260" s="675" t="s">
        <v>4596</v>
      </c>
    </row>
    <row r="261" spans="1:12" ht="12">
      <c r="A261" s="643">
        <f t="shared" si="3"/>
        <v>260</v>
      </c>
      <c r="B261" s="675" t="s">
        <v>3817</v>
      </c>
      <c r="C261" s="675" t="s">
        <v>4421</v>
      </c>
      <c r="D261" s="714">
        <v>15</v>
      </c>
      <c r="E261" s="715" t="s">
        <v>4599</v>
      </c>
      <c r="F261" s="620"/>
      <c r="G261" s="677" t="s">
        <v>4876</v>
      </c>
      <c r="H261" s="678"/>
      <c r="I261" s="620"/>
      <c r="J261" s="620"/>
      <c r="K261" s="620"/>
      <c r="L261" s="675" t="s">
        <v>4598</v>
      </c>
    </row>
    <row r="262" spans="1:12" ht="12">
      <c r="A262" s="643">
        <f t="shared" si="3"/>
        <v>261</v>
      </c>
      <c r="B262" s="675" t="s">
        <v>3818</v>
      </c>
      <c r="C262" s="675" t="s">
        <v>4421</v>
      </c>
      <c r="D262" s="714">
        <v>15</v>
      </c>
      <c r="E262" s="715" t="s">
        <v>4601</v>
      </c>
      <c r="F262" s="620"/>
      <c r="G262" s="677" t="s">
        <v>4877</v>
      </c>
      <c r="H262" s="678"/>
      <c r="I262" s="620"/>
      <c r="J262" s="620"/>
      <c r="K262" s="620"/>
      <c r="L262" s="675" t="s">
        <v>4600</v>
      </c>
    </row>
    <row r="263" spans="1:12" ht="12">
      <c r="A263" s="643">
        <f t="shared" si="3"/>
        <v>262</v>
      </c>
      <c r="B263" s="675" t="s">
        <v>3819</v>
      </c>
      <c r="C263" s="675" t="s">
        <v>4421</v>
      </c>
      <c r="D263" s="714">
        <v>15</v>
      </c>
      <c r="E263" s="715" t="s">
        <v>4603</v>
      </c>
      <c r="F263" s="620"/>
      <c r="G263" s="677" t="s">
        <v>4878</v>
      </c>
      <c r="H263" s="678"/>
      <c r="I263" s="620"/>
      <c r="J263" s="620"/>
      <c r="K263" s="620"/>
      <c r="L263" s="675" t="s">
        <v>4602</v>
      </c>
    </row>
    <row r="264" spans="1:12" ht="12">
      <c r="A264" s="643">
        <f t="shared" si="3"/>
        <v>263</v>
      </c>
      <c r="B264" s="675" t="s">
        <v>3820</v>
      </c>
      <c r="C264" s="675" t="s">
        <v>4421</v>
      </c>
      <c r="D264" s="714">
        <v>15</v>
      </c>
      <c r="E264" s="715" t="s">
        <v>4605</v>
      </c>
      <c r="F264" s="620"/>
      <c r="G264" s="677" t="s">
        <v>4879</v>
      </c>
      <c r="H264" s="678"/>
      <c r="I264" s="620"/>
      <c r="J264" s="620"/>
      <c r="K264" s="620"/>
      <c r="L264" s="675" t="s">
        <v>4604</v>
      </c>
    </row>
    <row r="265" spans="1:12" ht="12">
      <c r="A265" s="643">
        <f t="shared" si="3"/>
        <v>264</v>
      </c>
      <c r="B265" s="675" t="s">
        <v>4340</v>
      </c>
      <c r="C265" s="675" t="s">
        <v>4421</v>
      </c>
      <c r="D265" s="714">
        <v>15</v>
      </c>
      <c r="E265" s="715" t="s">
        <v>4607</v>
      </c>
      <c r="F265" s="620"/>
      <c r="G265" s="677" t="s">
        <v>4880</v>
      </c>
      <c r="H265" s="678"/>
      <c r="I265" s="620"/>
      <c r="J265" s="620"/>
      <c r="K265" s="620"/>
      <c r="L265" s="675" t="s">
        <v>4606</v>
      </c>
    </row>
    <row r="266" spans="1:12" ht="12">
      <c r="A266" s="643">
        <f t="shared" si="3"/>
        <v>265</v>
      </c>
      <c r="B266" s="675" t="s">
        <v>3821</v>
      </c>
      <c r="C266" s="675" t="s">
        <v>4421</v>
      </c>
      <c r="D266" s="714">
        <v>15</v>
      </c>
      <c r="E266" s="715" t="s">
        <v>4609</v>
      </c>
      <c r="F266" s="620"/>
      <c r="G266" s="677" t="s">
        <v>4985</v>
      </c>
      <c r="H266" s="678"/>
      <c r="I266" s="620"/>
      <c r="J266" s="620"/>
      <c r="K266" s="620"/>
      <c r="L266" s="675" t="s">
        <v>4608</v>
      </c>
    </row>
    <row r="267" spans="1:12" ht="12">
      <c r="A267" s="643">
        <f t="shared" si="3"/>
        <v>266</v>
      </c>
      <c r="B267" s="675" t="s">
        <v>3822</v>
      </c>
      <c r="C267" s="675" t="s">
        <v>4421</v>
      </c>
      <c r="D267" s="714">
        <v>15</v>
      </c>
      <c r="E267" s="715" t="s">
        <v>4611</v>
      </c>
      <c r="F267" s="620"/>
      <c r="G267" s="677" t="s">
        <v>4986</v>
      </c>
      <c r="H267" s="678"/>
      <c r="I267" s="620"/>
      <c r="J267" s="620"/>
      <c r="K267" s="620"/>
      <c r="L267" s="675" t="s">
        <v>4610</v>
      </c>
    </row>
    <row r="268" spans="1:12" ht="12">
      <c r="A268" s="643">
        <f t="shared" si="3"/>
        <v>267</v>
      </c>
      <c r="B268" s="675" t="s">
        <v>3823</v>
      </c>
      <c r="C268" s="675" t="s">
        <v>4421</v>
      </c>
      <c r="D268" s="714">
        <v>15</v>
      </c>
      <c r="E268" s="715" t="s">
        <v>4613</v>
      </c>
      <c r="F268" s="620"/>
      <c r="G268" s="677" t="s">
        <v>4881</v>
      </c>
      <c r="H268" s="678"/>
      <c r="I268" s="620"/>
      <c r="J268" s="620"/>
      <c r="K268" s="620"/>
      <c r="L268" s="675" t="s">
        <v>4612</v>
      </c>
    </row>
    <row r="269" spans="1:12" ht="12">
      <c r="A269" s="643">
        <f t="shared" si="3"/>
        <v>268</v>
      </c>
      <c r="B269" s="675" t="s">
        <v>3824</v>
      </c>
      <c r="C269" s="675" t="s">
        <v>4421</v>
      </c>
      <c r="D269" s="714">
        <v>15</v>
      </c>
      <c r="E269" s="715" t="s">
        <v>4615</v>
      </c>
      <c r="F269" s="620"/>
      <c r="G269" s="677" t="s">
        <v>4882</v>
      </c>
      <c r="H269" s="678"/>
      <c r="I269" s="620"/>
      <c r="J269" s="620"/>
      <c r="K269" s="620"/>
      <c r="L269" s="675" t="s">
        <v>4614</v>
      </c>
    </row>
    <row r="270" spans="1:12" ht="12">
      <c r="A270" s="643">
        <f t="shared" si="3"/>
        <v>269</v>
      </c>
      <c r="B270" s="675" t="s">
        <v>4341</v>
      </c>
      <c r="C270" s="675" t="s">
        <v>4421</v>
      </c>
      <c r="D270" s="714">
        <v>15</v>
      </c>
      <c r="E270" s="715" t="s">
        <v>4617</v>
      </c>
      <c r="F270" s="620"/>
      <c r="G270" s="677" t="s">
        <v>4883</v>
      </c>
      <c r="H270" s="678"/>
      <c r="I270" s="620"/>
      <c r="J270" s="620"/>
      <c r="K270" s="620"/>
      <c r="L270" s="675" t="s">
        <v>4616</v>
      </c>
    </row>
    <row r="271" spans="1:12" ht="12">
      <c r="A271" s="643">
        <f t="shared" si="3"/>
        <v>270</v>
      </c>
      <c r="B271" s="675" t="s">
        <v>4342</v>
      </c>
      <c r="C271" s="675" t="s">
        <v>4421</v>
      </c>
      <c r="D271" s="714">
        <v>15</v>
      </c>
      <c r="E271" s="715" t="s">
        <v>4619</v>
      </c>
      <c r="F271" s="620"/>
      <c r="G271" s="677" t="s">
        <v>4987</v>
      </c>
      <c r="H271" s="678"/>
      <c r="I271" s="620"/>
      <c r="J271" s="620"/>
      <c r="K271" s="620"/>
      <c r="L271" s="675" t="s">
        <v>4618</v>
      </c>
    </row>
    <row r="272" spans="1:12" ht="12">
      <c r="A272" s="643">
        <f t="shared" si="3"/>
        <v>271</v>
      </c>
      <c r="B272" s="675" t="s">
        <v>4343</v>
      </c>
      <c r="C272" s="675" t="s">
        <v>4421</v>
      </c>
      <c r="D272" s="714">
        <v>15</v>
      </c>
      <c r="E272" s="715" t="s">
        <v>4621</v>
      </c>
      <c r="F272" s="620"/>
      <c r="G272" s="677" t="s">
        <v>4988</v>
      </c>
      <c r="H272" s="678"/>
      <c r="I272" s="620"/>
      <c r="J272" s="620"/>
      <c r="K272" s="620"/>
      <c r="L272" s="675" t="s">
        <v>4620</v>
      </c>
    </row>
    <row r="273" spans="1:13" ht="12">
      <c r="A273" s="643">
        <f t="shared" si="3"/>
        <v>272</v>
      </c>
      <c r="B273" s="675" t="s">
        <v>4344</v>
      </c>
      <c r="C273" s="675" t="s">
        <v>4421</v>
      </c>
      <c r="D273" s="714">
        <v>15</v>
      </c>
      <c r="E273" s="715" t="s">
        <v>4623</v>
      </c>
      <c r="F273" s="620"/>
      <c r="G273" s="677" t="s">
        <v>4884</v>
      </c>
      <c r="H273" s="678"/>
      <c r="I273" s="620"/>
      <c r="J273" s="620"/>
      <c r="K273" s="620"/>
      <c r="L273" s="675" t="s">
        <v>4622</v>
      </c>
    </row>
    <row r="274" spans="1:13" ht="12">
      <c r="A274" s="643">
        <f t="shared" si="3"/>
        <v>273</v>
      </c>
      <c r="B274" s="675" t="s">
        <v>4345</v>
      </c>
      <c r="C274" s="675" t="s">
        <v>4415</v>
      </c>
      <c r="D274" s="714">
        <v>15</v>
      </c>
      <c r="E274" s="715" t="s">
        <v>4625</v>
      </c>
      <c r="F274" s="620"/>
      <c r="G274" s="677" t="s">
        <v>4989</v>
      </c>
      <c r="H274" s="678"/>
      <c r="I274" s="620"/>
      <c r="J274" s="620"/>
      <c r="K274" s="620"/>
      <c r="L274" s="675" t="s">
        <v>4624</v>
      </c>
    </row>
    <row r="275" spans="1:13" ht="12">
      <c r="A275" s="643">
        <f t="shared" si="3"/>
        <v>274</v>
      </c>
      <c r="B275" s="675" t="s">
        <v>4346</v>
      </c>
      <c r="C275" s="675" t="s">
        <v>4415</v>
      </c>
      <c r="D275" s="714">
        <v>15</v>
      </c>
      <c r="E275" s="715" t="s">
        <v>4627</v>
      </c>
      <c r="F275" s="620"/>
      <c r="G275" s="677" t="s">
        <v>4990</v>
      </c>
      <c r="H275" s="678"/>
      <c r="I275" s="620"/>
      <c r="J275" s="620"/>
      <c r="K275" s="620"/>
      <c r="L275" s="675" t="s">
        <v>4626</v>
      </c>
    </row>
    <row r="276" spans="1:13" ht="12">
      <c r="A276" s="643">
        <f t="shared" si="3"/>
        <v>275</v>
      </c>
      <c r="B276" s="675" t="s">
        <v>4347</v>
      </c>
      <c r="C276" s="675" t="s">
        <v>4421</v>
      </c>
      <c r="D276" s="714">
        <v>15</v>
      </c>
      <c r="E276" s="715" t="s">
        <v>4629</v>
      </c>
      <c r="F276" s="620"/>
      <c r="G276" s="677" t="s">
        <v>4885</v>
      </c>
      <c r="H276" s="678"/>
      <c r="I276" s="620"/>
      <c r="J276" s="620"/>
      <c r="K276" s="620"/>
      <c r="L276" s="675" t="s">
        <v>4628</v>
      </c>
    </row>
    <row r="277" spans="1:13" ht="12">
      <c r="A277" s="643">
        <f t="shared" si="3"/>
        <v>276</v>
      </c>
      <c r="B277" s="675" t="s">
        <v>4348</v>
      </c>
      <c r="C277" s="675" t="s">
        <v>4421</v>
      </c>
      <c r="D277" s="714">
        <v>15</v>
      </c>
      <c r="E277" s="715" t="s">
        <v>4631</v>
      </c>
      <c r="F277" s="620"/>
      <c r="G277" s="677" t="s">
        <v>4886</v>
      </c>
      <c r="H277" s="678"/>
      <c r="I277" s="620"/>
      <c r="J277" s="620"/>
      <c r="K277" s="620"/>
      <c r="L277" s="675" t="s">
        <v>4630</v>
      </c>
    </row>
    <row r="278" spans="1:13" ht="12">
      <c r="A278" s="643">
        <f t="shared" ref="A278:A318" si="4">ROW()-1</f>
        <v>277</v>
      </c>
      <c r="B278" s="675" t="s">
        <v>4349</v>
      </c>
      <c r="C278" s="675" t="s">
        <v>4421</v>
      </c>
      <c r="D278" s="714">
        <v>15</v>
      </c>
      <c r="E278" s="715" t="s">
        <v>4633</v>
      </c>
      <c r="F278" s="620"/>
      <c r="G278" s="677" t="s">
        <v>4887</v>
      </c>
      <c r="H278" s="678"/>
      <c r="I278" s="620"/>
      <c r="J278" s="620"/>
      <c r="K278" s="620"/>
      <c r="L278" s="675" t="s">
        <v>4632</v>
      </c>
    </row>
    <row r="279" spans="1:13" ht="12">
      <c r="A279" s="643">
        <f t="shared" si="4"/>
        <v>278</v>
      </c>
      <c r="B279" s="675" t="s">
        <v>4350</v>
      </c>
      <c r="C279" s="675" t="s">
        <v>4421</v>
      </c>
      <c r="D279" s="714">
        <v>15</v>
      </c>
      <c r="E279" s="715" t="s">
        <v>4635</v>
      </c>
      <c r="F279" s="620"/>
      <c r="G279" s="677" t="s">
        <v>4991</v>
      </c>
      <c r="H279" s="678"/>
      <c r="I279" s="620"/>
      <c r="J279" s="620"/>
      <c r="K279" s="620"/>
      <c r="L279" s="675" t="s">
        <v>4634</v>
      </c>
    </row>
    <row r="280" spans="1:13" ht="12">
      <c r="A280" s="643">
        <f t="shared" si="4"/>
        <v>279</v>
      </c>
      <c r="B280" s="675" t="s">
        <v>4351</v>
      </c>
      <c r="C280" s="675" t="s">
        <v>4421</v>
      </c>
      <c r="D280" s="714">
        <v>15</v>
      </c>
      <c r="E280" s="715" t="s">
        <v>4637</v>
      </c>
      <c r="F280" s="620"/>
      <c r="G280" s="677" t="s">
        <v>4992</v>
      </c>
      <c r="H280" s="678"/>
      <c r="I280" s="620"/>
      <c r="J280" s="620"/>
      <c r="K280" s="620"/>
      <c r="L280" s="675" t="s">
        <v>4636</v>
      </c>
    </row>
    <row r="281" spans="1:13" ht="12">
      <c r="A281" s="643">
        <f t="shared" si="4"/>
        <v>280</v>
      </c>
      <c r="B281" s="675" t="s">
        <v>4352</v>
      </c>
      <c r="C281" s="675" t="s">
        <v>4421</v>
      </c>
      <c r="D281" s="714">
        <v>15</v>
      </c>
      <c r="E281" s="715" t="s">
        <v>4639</v>
      </c>
      <c r="F281" s="620"/>
      <c r="G281" s="677" t="s">
        <v>4993</v>
      </c>
      <c r="H281" s="678"/>
      <c r="I281" s="620"/>
      <c r="J281" s="620"/>
      <c r="K281" s="620"/>
      <c r="L281" s="675" t="s">
        <v>4638</v>
      </c>
    </row>
    <row r="282" spans="1:13" ht="12">
      <c r="A282" s="643">
        <f t="shared" si="4"/>
        <v>281</v>
      </c>
      <c r="B282" s="675" t="s">
        <v>4353</v>
      </c>
      <c r="C282" s="675" t="s">
        <v>4421</v>
      </c>
      <c r="D282" s="714">
        <v>15</v>
      </c>
      <c r="E282" s="715" t="s">
        <v>4641</v>
      </c>
      <c r="F282" s="620"/>
      <c r="G282" s="677" t="s">
        <v>4994</v>
      </c>
      <c r="H282" s="678"/>
      <c r="I282" s="620"/>
      <c r="J282" s="620"/>
      <c r="K282" s="620"/>
      <c r="L282" s="675" t="s">
        <v>4640</v>
      </c>
    </row>
    <row r="283" spans="1:13" ht="12">
      <c r="A283" s="643">
        <f t="shared" si="4"/>
        <v>282</v>
      </c>
      <c r="B283" s="675" t="s">
        <v>4354</v>
      </c>
      <c r="C283" s="675" t="s">
        <v>4421</v>
      </c>
      <c r="D283" s="714">
        <v>15</v>
      </c>
      <c r="E283" s="715" t="s">
        <v>4643</v>
      </c>
      <c r="F283" s="620"/>
      <c r="G283" s="677" t="s">
        <v>4888</v>
      </c>
      <c r="H283" s="678"/>
      <c r="I283" s="620"/>
      <c r="J283" s="620"/>
      <c r="K283" s="620"/>
      <c r="L283" s="675" t="s">
        <v>4642</v>
      </c>
    </row>
    <row r="284" spans="1:13" ht="12">
      <c r="A284" s="643">
        <f t="shared" si="4"/>
        <v>283</v>
      </c>
      <c r="B284" s="675" t="s">
        <v>4355</v>
      </c>
      <c r="C284" s="675" t="s">
        <v>4421</v>
      </c>
      <c r="D284" s="714">
        <v>15</v>
      </c>
      <c r="E284" s="715" t="s">
        <v>4645</v>
      </c>
      <c r="F284" s="626"/>
      <c r="G284" s="677" t="s">
        <v>4889</v>
      </c>
      <c r="H284" s="678"/>
      <c r="I284" s="626"/>
      <c r="J284" s="626"/>
      <c r="K284" s="626"/>
      <c r="L284" s="675" t="s">
        <v>4644</v>
      </c>
      <c r="M284" s="341"/>
    </row>
    <row r="285" spans="1:13" ht="12">
      <c r="A285" s="643">
        <f t="shared" si="4"/>
        <v>284</v>
      </c>
      <c r="B285" s="675" t="s">
        <v>4356</v>
      </c>
      <c r="C285" s="675" t="s">
        <v>4421</v>
      </c>
      <c r="D285" s="714">
        <v>15</v>
      </c>
      <c r="E285" s="715" t="s">
        <v>4647</v>
      </c>
      <c r="F285" s="626"/>
      <c r="G285" s="677" t="s">
        <v>4890</v>
      </c>
      <c r="H285" s="678"/>
      <c r="I285" s="626"/>
      <c r="J285" s="626"/>
      <c r="K285" s="626"/>
      <c r="L285" s="675" t="s">
        <v>4646</v>
      </c>
      <c r="M285" s="341"/>
    </row>
    <row r="286" spans="1:13" ht="12">
      <c r="A286" s="643">
        <f t="shared" si="4"/>
        <v>285</v>
      </c>
      <c r="B286" s="675" t="s">
        <v>4357</v>
      </c>
      <c r="C286" s="675" t="s">
        <v>4421</v>
      </c>
      <c r="D286" s="714">
        <v>15</v>
      </c>
      <c r="E286" s="715" t="s">
        <v>4649</v>
      </c>
      <c r="F286" s="626"/>
      <c r="G286" s="677" t="s">
        <v>4891</v>
      </c>
      <c r="H286" s="678"/>
      <c r="I286" s="626"/>
      <c r="J286" s="626"/>
      <c r="K286" s="626"/>
      <c r="L286" s="675" t="s">
        <v>4648</v>
      </c>
      <c r="M286" s="341"/>
    </row>
    <row r="287" spans="1:13" ht="12">
      <c r="A287" s="643">
        <f t="shared" si="4"/>
        <v>286</v>
      </c>
      <c r="B287" s="675" t="s">
        <v>4358</v>
      </c>
      <c r="C287" s="675" t="s">
        <v>4421</v>
      </c>
      <c r="D287" s="714">
        <v>15</v>
      </c>
      <c r="E287" s="715" t="s">
        <v>4651</v>
      </c>
      <c r="F287" s="626"/>
      <c r="G287" s="677" t="s">
        <v>4892</v>
      </c>
      <c r="H287" s="678"/>
      <c r="I287" s="626"/>
      <c r="J287" s="626"/>
      <c r="K287" s="626"/>
      <c r="L287" s="675" t="s">
        <v>4650</v>
      </c>
      <c r="M287" s="341"/>
    </row>
    <row r="288" spans="1:13" ht="12">
      <c r="A288" s="643">
        <f t="shared" si="4"/>
        <v>287</v>
      </c>
      <c r="B288" s="675" t="s">
        <v>4359</v>
      </c>
      <c r="C288" s="675" t="s">
        <v>4421</v>
      </c>
      <c r="D288" s="714">
        <v>15</v>
      </c>
      <c r="E288" s="715" t="s">
        <v>4653</v>
      </c>
      <c r="F288" s="626"/>
      <c r="G288" s="677" t="s">
        <v>4893</v>
      </c>
      <c r="H288" s="678"/>
      <c r="I288" s="626"/>
      <c r="J288" s="626"/>
      <c r="K288" s="626"/>
      <c r="L288" s="675" t="s">
        <v>4652</v>
      </c>
      <c r="M288" s="341"/>
    </row>
    <row r="289" spans="1:13" ht="12">
      <c r="A289" s="643">
        <f t="shared" si="4"/>
        <v>288</v>
      </c>
      <c r="B289" s="675" t="s">
        <v>4360</v>
      </c>
      <c r="C289" s="675" t="s">
        <v>4421</v>
      </c>
      <c r="D289" s="714">
        <v>15</v>
      </c>
      <c r="E289" s="715" t="s">
        <v>4655</v>
      </c>
      <c r="F289" s="626"/>
      <c r="G289" s="677" t="s">
        <v>4894</v>
      </c>
      <c r="H289" s="678"/>
      <c r="I289" s="626"/>
      <c r="J289" s="626"/>
      <c r="K289" s="626"/>
      <c r="L289" s="675" t="s">
        <v>4654</v>
      </c>
      <c r="M289" s="341"/>
    </row>
    <row r="290" spans="1:13" ht="12">
      <c r="A290" s="643">
        <f t="shared" si="4"/>
        <v>289</v>
      </c>
      <c r="B290" s="675" t="s">
        <v>4361</v>
      </c>
      <c r="C290" s="675" t="s">
        <v>4421</v>
      </c>
      <c r="D290" s="714">
        <v>15</v>
      </c>
      <c r="E290" s="715" t="s">
        <v>4656</v>
      </c>
      <c r="F290" s="626"/>
      <c r="G290" s="677" t="s">
        <v>4895</v>
      </c>
      <c r="H290" s="678"/>
      <c r="I290" s="626"/>
      <c r="J290" s="626"/>
      <c r="K290" s="626"/>
      <c r="L290" s="675" t="s">
        <v>977</v>
      </c>
      <c r="M290" s="341"/>
    </row>
    <row r="291" spans="1:13" ht="12">
      <c r="A291" s="643">
        <f t="shared" si="4"/>
        <v>290</v>
      </c>
      <c r="B291" s="675" t="s">
        <v>4362</v>
      </c>
      <c r="C291" s="675" t="s">
        <v>4421</v>
      </c>
      <c r="D291" s="714">
        <v>15</v>
      </c>
      <c r="E291" s="715" t="s">
        <v>4657</v>
      </c>
      <c r="F291" s="626"/>
      <c r="G291" s="677" t="s">
        <v>4995</v>
      </c>
      <c r="H291" s="678"/>
      <c r="I291" s="626"/>
      <c r="J291" s="626"/>
      <c r="K291" s="626"/>
      <c r="L291" s="675" t="s">
        <v>974</v>
      </c>
      <c r="M291" s="341"/>
    </row>
    <row r="292" spans="1:13" ht="12">
      <c r="A292" s="643">
        <f t="shared" si="4"/>
        <v>291</v>
      </c>
      <c r="B292" s="681" t="s">
        <v>4363</v>
      </c>
      <c r="C292" s="714" t="s">
        <v>3218</v>
      </c>
      <c r="D292" s="714">
        <v>15</v>
      </c>
      <c r="E292" s="715" t="s">
        <v>3836</v>
      </c>
      <c r="F292" s="626"/>
      <c r="G292" s="677" t="s">
        <v>4896</v>
      </c>
      <c r="H292" s="678"/>
      <c r="I292" s="626"/>
      <c r="J292" s="626"/>
      <c r="K292" s="626"/>
      <c r="L292" s="681" t="s">
        <v>4658</v>
      </c>
      <c r="M292" s="341"/>
    </row>
    <row r="293" spans="1:13" ht="12">
      <c r="A293" s="643">
        <f t="shared" si="4"/>
        <v>292</v>
      </c>
      <c r="B293" s="681" t="s">
        <v>4364</v>
      </c>
      <c r="C293" s="714" t="s">
        <v>3218</v>
      </c>
      <c r="D293" s="714">
        <v>15</v>
      </c>
      <c r="E293" s="715" t="s">
        <v>3838</v>
      </c>
      <c r="F293" s="626"/>
      <c r="G293" s="677" t="s">
        <v>4897</v>
      </c>
      <c r="H293" s="678"/>
      <c r="I293" s="626"/>
      <c r="J293" s="626"/>
      <c r="K293" s="626"/>
      <c r="L293" s="681" t="s">
        <v>4659</v>
      </c>
      <c r="M293" s="341"/>
    </row>
    <row r="294" spans="1:13" ht="12">
      <c r="A294" s="643">
        <f t="shared" si="4"/>
        <v>293</v>
      </c>
      <c r="B294" s="681" t="s">
        <v>4365</v>
      </c>
      <c r="C294" s="714" t="s">
        <v>3218</v>
      </c>
      <c r="D294" s="714">
        <v>15</v>
      </c>
      <c r="E294" s="715" t="s">
        <v>3839</v>
      </c>
      <c r="F294" s="626"/>
      <c r="G294" s="677" t="s">
        <v>4898</v>
      </c>
      <c r="H294" s="678"/>
      <c r="I294" s="626"/>
      <c r="J294" s="626"/>
      <c r="K294" s="626"/>
      <c r="L294" s="681" t="s">
        <v>4660</v>
      </c>
      <c r="M294" s="341"/>
    </row>
    <row r="295" spans="1:13" ht="12">
      <c r="A295" s="643">
        <f t="shared" si="4"/>
        <v>294</v>
      </c>
      <c r="B295" s="681" t="s">
        <v>4366</v>
      </c>
      <c r="C295" s="714" t="s">
        <v>3218</v>
      </c>
      <c r="D295" s="714">
        <v>15</v>
      </c>
      <c r="E295" s="715" t="s">
        <v>3841</v>
      </c>
      <c r="F295" s="626"/>
      <c r="G295" s="677" t="s">
        <v>4899</v>
      </c>
      <c r="H295" s="678"/>
      <c r="I295" s="626"/>
      <c r="J295" s="626"/>
      <c r="K295" s="626"/>
      <c r="L295" s="681" t="s">
        <v>4661</v>
      </c>
      <c r="M295" s="341"/>
    </row>
    <row r="296" spans="1:13" ht="12">
      <c r="A296" s="643">
        <f t="shared" si="4"/>
        <v>295</v>
      </c>
      <c r="B296" s="681" t="s">
        <v>4367</v>
      </c>
      <c r="C296" s="714" t="s">
        <v>3218</v>
      </c>
      <c r="D296" s="714">
        <v>15</v>
      </c>
      <c r="E296" s="715" t="s">
        <v>3842</v>
      </c>
      <c r="F296" s="626"/>
      <c r="G296" s="677" t="s">
        <v>4900</v>
      </c>
      <c r="H296" s="678"/>
      <c r="I296" s="626"/>
      <c r="J296" s="626"/>
      <c r="K296" s="626"/>
      <c r="L296" s="681" t="s">
        <v>4662</v>
      </c>
      <c r="M296" s="341"/>
    </row>
    <row r="297" spans="1:13" ht="12">
      <c r="A297" s="643">
        <f t="shared" si="4"/>
        <v>296</v>
      </c>
      <c r="B297" s="681" t="s">
        <v>4368</v>
      </c>
      <c r="C297" s="714" t="s">
        <v>3218</v>
      </c>
      <c r="D297" s="714">
        <v>15</v>
      </c>
      <c r="E297" s="715" t="s">
        <v>3843</v>
      </c>
      <c r="F297" s="626"/>
      <c r="G297" s="677" t="s">
        <v>4901</v>
      </c>
      <c r="H297" s="678"/>
      <c r="I297" s="626"/>
      <c r="J297" s="626"/>
      <c r="K297" s="626"/>
      <c r="L297" s="681" t="s">
        <v>4663</v>
      </c>
      <c r="M297" s="341"/>
    </row>
    <row r="298" spans="1:13" ht="12">
      <c r="A298" s="643">
        <f t="shared" si="4"/>
        <v>297</v>
      </c>
      <c r="B298" s="681" t="s">
        <v>4369</v>
      </c>
      <c r="C298" s="714" t="s">
        <v>3218</v>
      </c>
      <c r="D298" s="714">
        <v>15</v>
      </c>
      <c r="E298" s="715" t="s">
        <v>3848</v>
      </c>
      <c r="F298" s="626"/>
      <c r="G298" s="677" t="s">
        <v>4902</v>
      </c>
      <c r="H298" s="678"/>
      <c r="I298" s="626"/>
      <c r="J298" s="626"/>
      <c r="K298" s="626"/>
      <c r="L298" s="681" t="s">
        <v>4664</v>
      </c>
      <c r="M298" s="341"/>
    </row>
    <row r="299" spans="1:13" ht="12">
      <c r="A299" s="643">
        <f t="shared" si="4"/>
        <v>298</v>
      </c>
      <c r="B299" s="681" t="s">
        <v>4370</v>
      </c>
      <c r="C299" s="714" t="s">
        <v>3218</v>
      </c>
      <c r="D299" s="714">
        <v>15</v>
      </c>
      <c r="E299" s="715" t="s">
        <v>3849</v>
      </c>
      <c r="F299" s="626"/>
      <c r="G299" s="677" t="s">
        <v>4903</v>
      </c>
      <c r="H299" s="678"/>
      <c r="I299" s="626"/>
      <c r="J299" s="626"/>
      <c r="K299" s="626"/>
      <c r="L299" s="681" t="s">
        <v>4665</v>
      </c>
      <c r="M299" s="341"/>
    </row>
    <row r="300" spans="1:13" ht="12">
      <c r="A300" s="643">
        <f t="shared" si="4"/>
        <v>299</v>
      </c>
      <c r="B300" s="681" t="s">
        <v>4371</v>
      </c>
      <c r="C300" s="714" t="s">
        <v>3218</v>
      </c>
      <c r="D300" s="714">
        <v>15</v>
      </c>
      <c r="E300" s="715" t="s">
        <v>3850</v>
      </c>
      <c r="F300" s="626"/>
      <c r="G300" s="677" t="s">
        <v>4904</v>
      </c>
      <c r="H300" s="678"/>
      <c r="I300" s="626"/>
      <c r="J300" s="626"/>
      <c r="K300" s="626"/>
      <c r="L300" s="681" t="s">
        <v>4666</v>
      </c>
      <c r="M300" s="341"/>
    </row>
    <row r="301" spans="1:13" ht="12">
      <c r="A301" s="643">
        <f t="shared" si="4"/>
        <v>300</v>
      </c>
      <c r="B301" s="681" t="s">
        <v>4372</v>
      </c>
      <c r="C301" s="714" t="s">
        <v>3218</v>
      </c>
      <c r="D301" s="714">
        <v>15</v>
      </c>
      <c r="E301" s="715" t="s">
        <v>3851</v>
      </c>
      <c r="F301" s="626"/>
      <c r="G301" s="677" t="s">
        <v>4905</v>
      </c>
      <c r="H301" s="678"/>
      <c r="I301" s="626"/>
      <c r="J301" s="626"/>
      <c r="K301" s="626"/>
      <c r="L301" s="681" t="s">
        <v>4667</v>
      </c>
      <c r="M301" s="341"/>
    </row>
    <row r="302" spans="1:13" ht="12">
      <c r="A302" s="643">
        <f t="shared" si="4"/>
        <v>301</v>
      </c>
      <c r="B302" s="681" t="s">
        <v>4373</v>
      </c>
      <c r="C302" s="714" t="s">
        <v>3218</v>
      </c>
      <c r="D302" s="714">
        <v>15</v>
      </c>
      <c r="E302" s="715" t="s">
        <v>3853</v>
      </c>
      <c r="F302" s="626"/>
      <c r="G302" s="677" t="s">
        <v>4906</v>
      </c>
      <c r="H302" s="678"/>
      <c r="I302" s="626"/>
      <c r="J302" s="626"/>
      <c r="K302" s="626"/>
      <c r="L302" s="681" t="s">
        <v>4668</v>
      </c>
      <c r="M302" s="341"/>
    </row>
    <row r="303" spans="1:13" ht="12">
      <c r="A303" s="643">
        <f t="shared" si="4"/>
        <v>302</v>
      </c>
      <c r="B303" s="681" t="s">
        <v>4374</v>
      </c>
      <c r="C303" s="714" t="s">
        <v>3218</v>
      </c>
      <c r="D303" s="714">
        <v>15</v>
      </c>
      <c r="E303" s="715" t="s">
        <v>3857</v>
      </c>
      <c r="F303" s="626"/>
      <c r="G303" s="677" t="s">
        <v>4907</v>
      </c>
      <c r="H303" s="678"/>
      <c r="I303" s="626"/>
      <c r="J303" s="626"/>
      <c r="K303" s="626"/>
      <c r="L303" s="681" t="s">
        <v>4669</v>
      </c>
      <c r="M303" s="341"/>
    </row>
    <row r="304" spans="1:13" ht="12">
      <c r="A304" s="643">
        <f t="shared" si="4"/>
        <v>303</v>
      </c>
      <c r="B304" s="681" t="s">
        <v>4375</v>
      </c>
      <c r="C304" s="714" t="s">
        <v>3218</v>
      </c>
      <c r="D304" s="714">
        <v>15</v>
      </c>
      <c r="E304" s="715" t="s">
        <v>3860</v>
      </c>
      <c r="F304" s="626"/>
      <c r="G304" s="677" t="s">
        <v>4908</v>
      </c>
      <c r="H304" s="678"/>
      <c r="I304" s="626"/>
      <c r="J304" s="626"/>
      <c r="K304" s="626"/>
      <c r="L304" s="681" t="s">
        <v>4670</v>
      </c>
      <c r="M304" s="341"/>
    </row>
    <row r="305" spans="1:13" ht="12">
      <c r="A305" s="643">
        <f t="shared" si="4"/>
        <v>304</v>
      </c>
      <c r="B305" s="681" t="s">
        <v>4376</v>
      </c>
      <c r="C305" s="714" t="s">
        <v>3218</v>
      </c>
      <c r="D305" s="714">
        <v>15</v>
      </c>
      <c r="E305" s="715" t="s">
        <v>3862</v>
      </c>
      <c r="F305" s="626"/>
      <c r="G305" s="677" t="s">
        <v>4909</v>
      </c>
      <c r="H305" s="678"/>
      <c r="I305" s="626"/>
      <c r="J305" s="626"/>
      <c r="K305" s="626"/>
      <c r="L305" s="681" t="s">
        <v>4671</v>
      </c>
      <c r="M305" s="341"/>
    </row>
    <row r="306" spans="1:13" ht="12">
      <c r="A306" s="643">
        <f t="shared" si="4"/>
        <v>305</v>
      </c>
      <c r="B306" s="681" t="s">
        <v>4377</v>
      </c>
      <c r="C306" s="714" t="s">
        <v>3218</v>
      </c>
      <c r="D306" s="714">
        <v>15</v>
      </c>
      <c r="E306" s="715" t="s">
        <v>3863</v>
      </c>
      <c r="F306" s="626"/>
      <c r="G306" s="677" t="s">
        <v>4910</v>
      </c>
      <c r="H306" s="678"/>
      <c r="I306" s="626"/>
      <c r="J306" s="626"/>
      <c r="K306" s="626"/>
      <c r="L306" s="681" t="s">
        <v>4672</v>
      </c>
      <c r="M306" s="341"/>
    </row>
    <row r="307" spans="1:13" ht="12">
      <c r="A307" s="643">
        <f t="shared" si="4"/>
        <v>306</v>
      </c>
      <c r="B307" s="681" t="s">
        <v>4378</v>
      </c>
      <c r="C307" s="681" t="s">
        <v>4382</v>
      </c>
      <c r="D307" s="681">
        <v>15</v>
      </c>
      <c r="E307" s="682" t="s">
        <v>4673</v>
      </c>
      <c r="F307" s="626"/>
      <c r="G307" s="677" t="s">
        <v>4911</v>
      </c>
      <c r="H307" s="678"/>
      <c r="I307" s="626"/>
      <c r="J307" s="626" t="s">
        <v>5142</v>
      </c>
      <c r="K307" s="626"/>
      <c r="L307" s="681"/>
      <c r="M307" s="341"/>
    </row>
    <row r="308" spans="1:13" ht="12">
      <c r="A308" s="643">
        <f t="shared" si="4"/>
        <v>307</v>
      </c>
      <c r="B308" s="681" t="s">
        <v>4379</v>
      </c>
      <c r="C308" s="681" t="s">
        <v>4382</v>
      </c>
      <c r="D308" s="681">
        <v>15</v>
      </c>
      <c r="E308" s="682" t="s">
        <v>4953</v>
      </c>
      <c r="F308" s="626"/>
      <c r="G308" s="677" t="s">
        <v>4912</v>
      </c>
      <c r="H308" s="678"/>
      <c r="I308" s="626"/>
      <c r="J308" s="626" t="s">
        <v>5142</v>
      </c>
      <c r="K308" s="626"/>
      <c r="L308" s="681"/>
      <c r="M308" s="341"/>
    </row>
    <row r="309" spans="1:13" ht="12">
      <c r="A309" s="643">
        <f t="shared" si="4"/>
        <v>308</v>
      </c>
      <c r="B309" s="681" t="s">
        <v>4380</v>
      </c>
      <c r="C309" s="681" t="s">
        <v>4382</v>
      </c>
      <c r="D309" s="681">
        <v>15</v>
      </c>
      <c r="E309" s="682" t="s">
        <v>4674</v>
      </c>
      <c r="F309" s="620"/>
      <c r="G309" s="677" t="s">
        <v>4913</v>
      </c>
      <c r="H309" s="678"/>
      <c r="I309" s="620"/>
      <c r="J309" s="626" t="s">
        <v>5142</v>
      </c>
      <c r="K309" s="620"/>
      <c r="L309" s="681"/>
    </row>
    <row r="310" spans="1:13" s="735" customFormat="1">
      <c r="A310" s="727">
        <f t="shared" si="4"/>
        <v>309</v>
      </c>
      <c r="B310" s="728" t="s">
        <v>3721</v>
      </c>
      <c r="C310" s="729" t="s">
        <v>4382</v>
      </c>
      <c r="D310" s="728">
        <v>15</v>
      </c>
      <c r="E310" s="730" t="s">
        <v>4675</v>
      </c>
      <c r="F310" s="731"/>
      <c r="G310" s="732" t="s">
        <v>4914</v>
      </c>
      <c r="H310" s="733"/>
      <c r="I310" s="731"/>
      <c r="J310" s="734" t="s">
        <v>5142</v>
      </c>
      <c r="K310" s="731"/>
      <c r="L310" s="728"/>
    </row>
    <row r="311" spans="1:13" s="744" customFormat="1" ht="12">
      <c r="A311" s="736">
        <f t="shared" si="4"/>
        <v>310</v>
      </c>
      <c r="B311" s="737" t="s">
        <v>3722</v>
      </c>
      <c r="C311" s="738" t="s">
        <v>4382</v>
      </c>
      <c r="D311" s="737">
        <v>15</v>
      </c>
      <c r="E311" s="739" t="s">
        <v>4676</v>
      </c>
      <c r="F311" s="740"/>
      <c r="G311" s="741" t="s">
        <v>4915</v>
      </c>
      <c r="H311" s="742"/>
      <c r="I311" s="740"/>
      <c r="J311" s="743" t="s">
        <v>5142</v>
      </c>
      <c r="K311" s="740"/>
      <c r="L311" s="737"/>
    </row>
    <row r="312" spans="1:13" s="744" customFormat="1" ht="12">
      <c r="A312" s="736">
        <f t="shared" si="4"/>
        <v>311</v>
      </c>
      <c r="B312" s="737" t="s">
        <v>3723</v>
      </c>
      <c r="C312" s="738" t="s">
        <v>4382</v>
      </c>
      <c r="D312" s="737">
        <v>15</v>
      </c>
      <c r="E312" s="739" t="s">
        <v>4677</v>
      </c>
      <c r="F312" s="740"/>
      <c r="G312" s="741" t="s">
        <v>4916</v>
      </c>
      <c r="H312" s="742"/>
      <c r="I312" s="740"/>
      <c r="J312" s="743" t="s">
        <v>5142</v>
      </c>
      <c r="K312" s="740"/>
      <c r="L312" s="737"/>
    </row>
    <row r="313" spans="1:13" s="744" customFormat="1" ht="12">
      <c r="A313" s="736">
        <f t="shared" si="4"/>
        <v>312</v>
      </c>
      <c r="B313" s="737" t="s">
        <v>3724</v>
      </c>
      <c r="C313" s="738" t="s">
        <v>4382</v>
      </c>
      <c r="D313" s="737">
        <v>15</v>
      </c>
      <c r="E313" s="739" t="s">
        <v>4678</v>
      </c>
      <c r="F313" s="740"/>
      <c r="G313" s="741" t="s">
        <v>4917</v>
      </c>
      <c r="H313" s="742"/>
      <c r="I313" s="740"/>
      <c r="J313" s="743" t="s">
        <v>5142</v>
      </c>
      <c r="K313" s="740"/>
      <c r="L313" s="737"/>
    </row>
    <row r="314" spans="1:13" s="744" customFormat="1" ht="12">
      <c r="A314" s="736">
        <f t="shared" si="4"/>
        <v>313</v>
      </c>
      <c r="B314" s="737" t="s">
        <v>3725</v>
      </c>
      <c r="C314" s="738" t="s">
        <v>4382</v>
      </c>
      <c r="D314" s="737">
        <v>15</v>
      </c>
      <c r="E314" s="739" t="s">
        <v>4679</v>
      </c>
      <c r="F314" s="740"/>
      <c r="G314" s="741" t="s">
        <v>4918</v>
      </c>
      <c r="H314" s="742"/>
      <c r="I314" s="740"/>
      <c r="J314" s="743" t="s">
        <v>5142</v>
      </c>
      <c r="K314" s="740"/>
      <c r="L314" s="737"/>
    </row>
    <row r="315" spans="1:13" s="744" customFormat="1" ht="12">
      <c r="A315" s="736">
        <f t="shared" si="4"/>
        <v>314</v>
      </c>
      <c r="B315" s="737" t="s">
        <v>4206</v>
      </c>
      <c r="C315" s="738" t="s">
        <v>4382</v>
      </c>
      <c r="D315" s="737">
        <v>15</v>
      </c>
      <c r="E315" s="739" t="s">
        <v>4680</v>
      </c>
      <c r="F315" s="740"/>
      <c r="G315" s="741" t="s">
        <v>4919</v>
      </c>
      <c r="H315" s="742"/>
      <c r="I315" s="740"/>
      <c r="J315" s="743" t="s">
        <v>5142</v>
      </c>
      <c r="K315" s="740"/>
      <c r="L315" s="737"/>
    </row>
    <row r="316" spans="1:13" s="744" customFormat="1" ht="12">
      <c r="A316" s="736">
        <f t="shared" si="4"/>
        <v>315</v>
      </c>
      <c r="B316" s="737" t="s">
        <v>3726</v>
      </c>
      <c r="C316" s="745" t="s">
        <v>52</v>
      </c>
      <c r="D316" s="745" t="s">
        <v>4262</v>
      </c>
      <c r="E316" s="742" t="s">
        <v>3756</v>
      </c>
      <c r="F316" s="740"/>
      <c r="G316" s="741" t="s">
        <v>4920</v>
      </c>
      <c r="H316" s="742"/>
      <c r="I316" s="740"/>
      <c r="J316" s="743" t="s">
        <v>5142</v>
      </c>
      <c r="K316" s="740"/>
      <c r="L316" s="737"/>
    </row>
    <row r="317" spans="1:13" s="744" customFormat="1" ht="12">
      <c r="A317" s="736">
        <f t="shared" si="4"/>
        <v>316</v>
      </c>
      <c r="B317" s="745" t="s">
        <v>5442</v>
      </c>
      <c r="C317" s="745" t="s">
        <v>52</v>
      </c>
      <c r="D317" s="745" t="s">
        <v>4262</v>
      </c>
      <c r="E317" s="742" t="s">
        <v>5451</v>
      </c>
    </row>
    <row r="318" spans="1:13" s="744" customFormat="1" ht="12">
      <c r="A318" s="736">
        <f t="shared" si="4"/>
        <v>317</v>
      </c>
      <c r="B318" s="745" t="s">
        <v>5443</v>
      </c>
      <c r="C318" s="745" t="s">
        <v>52</v>
      </c>
      <c r="D318" s="745" t="s">
        <v>4262</v>
      </c>
      <c r="E318" s="742" t="s">
        <v>5450</v>
      </c>
    </row>
    <row r="319" spans="1:13" s="744" customFormat="1" ht="12">
      <c r="B319" s="746"/>
    </row>
    <row r="320" spans="1:13" s="744" customFormat="1" ht="12">
      <c r="B320" s="746"/>
    </row>
  </sheetData>
  <phoneticPr fontId="2" type="noConversion"/>
  <conditionalFormatting sqref="B158:B172">
    <cfRule type="duplicateValues" dxfId="13" priority="1"/>
  </conditionalFormatting>
  <conditionalFormatting sqref="B173:B180">
    <cfRule type="duplicateValues" dxfId="12" priority="2"/>
  </conditionalFormatting>
  <pageMargins left="0.7" right="0.7" top="0.75" bottom="0.75" header="0.3" footer="0.3"/>
  <pageSetup paperSize="0" orientation="portrait" horizontalDpi="0" verticalDpi="0" copies="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
  <sheetViews>
    <sheetView topLeftCell="A61" workbookViewId="0">
      <selection activeCell="N93" sqref="N93"/>
    </sheetView>
  </sheetViews>
  <sheetFormatPr defaultRowHeight="11.25"/>
  <cols>
    <col min="1" max="1" width="9" style="195"/>
    <col min="2" max="3" width="9" style="178"/>
    <col min="4" max="4" width="25.5" style="178" bestFit="1" customWidth="1"/>
    <col min="5" max="7" width="9" style="178"/>
    <col min="8" max="8" width="23" style="178" customWidth="1"/>
    <col min="9" max="16384" width="9" style="178"/>
  </cols>
  <sheetData>
    <row r="1" spans="1:11">
      <c r="A1" s="211" t="s">
        <v>1700</v>
      </c>
      <c r="B1" s="212" t="s">
        <v>1701</v>
      </c>
      <c r="C1" s="211" t="s">
        <v>2816</v>
      </c>
      <c r="D1" s="212" t="s">
        <v>1456</v>
      </c>
      <c r="E1" s="212" t="s">
        <v>1454</v>
      </c>
      <c r="F1" s="211" t="s">
        <v>749</v>
      </c>
      <c r="G1" s="234" t="s">
        <v>1548</v>
      </c>
      <c r="H1" s="240" t="s">
        <v>7243</v>
      </c>
      <c r="I1" s="234" t="s">
        <v>3095</v>
      </c>
      <c r="J1" s="234" t="s">
        <v>3101</v>
      </c>
      <c r="K1" s="234" t="s">
        <v>3094</v>
      </c>
    </row>
    <row r="2" spans="1:11">
      <c r="A2" s="213">
        <f>ROW()-3</f>
        <v>-1</v>
      </c>
      <c r="B2" s="214" t="s">
        <v>3139</v>
      </c>
      <c r="C2" s="213"/>
      <c r="D2" s="361" t="s">
        <v>3140</v>
      </c>
      <c r="E2" s="214" t="s">
        <v>275</v>
      </c>
      <c r="F2" s="213">
        <v>4</v>
      </c>
      <c r="G2" s="213"/>
      <c r="H2" s="224"/>
      <c r="I2" s="233" t="s">
        <v>3096</v>
      </c>
      <c r="J2" s="363"/>
      <c r="K2" s="364"/>
    </row>
    <row r="3" spans="1:11">
      <c r="A3" s="365">
        <f t="shared" ref="A3:A8" si="0">ROW()-3</f>
        <v>0</v>
      </c>
      <c r="B3" s="366" t="s">
        <v>3139</v>
      </c>
      <c r="C3" s="365"/>
      <c r="D3" s="367" t="s">
        <v>3141</v>
      </c>
      <c r="E3" s="368" t="s">
        <v>279</v>
      </c>
      <c r="F3" s="365">
        <v>3</v>
      </c>
      <c r="G3" s="365"/>
      <c r="H3" s="224"/>
      <c r="I3" s="233" t="s">
        <v>3145</v>
      </c>
      <c r="J3" s="363"/>
      <c r="K3" s="364"/>
    </row>
    <row r="4" spans="1:11">
      <c r="A4" s="373">
        <f t="shared" si="0"/>
        <v>1</v>
      </c>
      <c r="B4" s="374" t="s">
        <v>1703</v>
      </c>
      <c r="C4" s="373"/>
      <c r="D4" s="375" t="s">
        <v>1704</v>
      </c>
      <c r="E4" s="374" t="s">
        <v>275</v>
      </c>
      <c r="F4" s="373">
        <v>6</v>
      </c>
      <c r="G4" s="373"/>
      <c r="H4" s="534"/>
      <c r="I4" s="519"/>
      <c r="J4" s="363"/>
      <c r="K4" s="364"/>
    </row>
    <row r="5" spans="1:11">
      <c r="A5" s="373">
        <f t="shared" si="0"/>
        <v>2</v>
      </c>
      <c r="B5" s="374" t="s">
        <v>1703</v>
      </c>
      <c r="C5" s="380"/>
      <c r="D5" s="381" t="s">
        <v>1706</v>
      </c>
      <c r="E5" s="374" t="s">
        <v>275</v>
      </c>
      <c r="F5" s="380">
        <v>14</v>
      </c>
      <c r="G5" s="380"/>
      <c r="H5" s="516"/>
      <c r="I5" s="519"/>
      <c r="J5" s="363"/>
      <c r="K5" s="364"/>
    </row>
    <row r="6" spans="1:11">
      <c r="A6" s="373">
        <f t="shared" si="0"/>
        <v>3</v>
      </c>
      <c r="B6" s="374" t="s">
        <v>1703</v>
      </c>
      <c r="C6" s="380"/>
      <c r="D6" s="381" t="s">
        <v>1708</v>
      </c>
      <c r="E6" s="374" t="s">
        <v>275</v>
      </c>
      <c r="F6" s="380">
        <v>10</v>
      </c>
      <c r="G6" s="380"/>
      <c r="H6" s="534"/>
      <c r="I6" s="519"/>
      <c r="J6" s="363"/>
      <c r="K6" s="364"/>
    </row>
    <row r="7" spans="1:11">
      <c r="A7" s="373">
        <f t="shared" si="0"/>
        <v>4</v>
      </c>
      <c r="B7" s="374" t="s">
        <v>1703</v>
      </c>
      <c r="C7" s="380"/>
      <c r="D7" s="381" t="s">
        <v>1710</v>
      </c>
      <c r="E7" s="374" t="s">
        <v>275</v>
      </c>
      <c r="F7" s="380">
        <v>8</v>
      </c>
      <c r="G7" s="380"/>
      <c r="H7" s="534"/>
      <c r="I7" s="519"/>
      <c r="J7" s="363"/>
      <c r="K7" s="364"/>
    </row>
    <row r="8" spans="1:11">
      <c r="A8" s="373">
        <f t="shared" si="0"/>
        <v>5</v>
      </c>
      <c r="B8" s="374" t="s">
        <v>1703</v>
      </c>
      <c r="C8" s="395" t="s">
        <v>4283</v>
      </c>
      <c r="D8" s="396" t="s">
        <v>5016</v>
      </c>
      <c r="E8" s="395" t="s">
        <v>4381</v>
      </c>
      <c r="F8" s="395">
        <v>14</v>
      </c>
      <c r="G8" s="380"/>
      <c r="H8" s="516"/>
      <c r="I8" s="519"/>
      <c r="J8" s="363"/>
      <c r="K8" s="364"/>
    </row>
    <row r="9" spans="1:11">
      <c r="A9" s="386">
        <v>6</v>
      </c>
      <c r="B9" s="385" t="s">
        <v>3139</v>
      </c>
      <c r="C9" s="388" t="s">
        <v>1457</v>
      </c>
      <c r="D9" s="394" t="s">
        <v>1459</v>
      </c>
      <c r="E9" s="388" t="s">
        <v>4381</v>
      </c>
      <c r="F9" s="388">
        <v>2</v>
      </c>
      <c r="G9" s="380" t="s">
        <v>3099</v>
      </c>
      <c r="H9" s="532" t="s">
        <v>3396</v>
      </c>
      <c r="I9" s="532"/>
      <c r="J9" s="532"/>
      <c r="K9" s="532"/>
    </row>
    <row r="10" spans="1:11">
      <c r="A10" s="386">
        <v>7</v>
      </c>
      <c r="B10" s="385" t="s">
        <v>3139</v>
      </c>
      <c r="C10" s="388" t="s">
        <v>1460</v>
      </c>
      <c r="D10" s="394" t="s">
        <v>5017</v>
      </c>
      <c r="E10" s="388" t="s">
        <v>4382</v>
      </c>
      <c r="F10" s="388">
        <v>15</v>
      </c>
      <c r="G10" s="380" t="s">
        <v>3099</v>
      </c>
      <c r="H10" s="532" t="s">
        <v>330</v>
      </c>
      <c r="I10" s="532"/>
      <c r="J10" s="532"/>
      <c r="K10" s="532"/>
    </row>
    <row r="11" spans="1:11">
      <c r="A11" s="386">
        <v>8</v>
      </c>
      <c r="B11" s="385" t="s">
        <v>3139</v>
      </c>
      <c r="C11" s="388" t="s">
        <v>1915</v>
      </c>
      <c r="D11" s="394" t="s">
        <v>5018</v>
      </c>
      <c r="E11" s="388" t="s">
        <v>4381</v>
      </c>
      <c r="F11" s="388">
        <v>2</v>
      </c>
      <c r="G11" s="380" t="s">
        <v>3099</v>
      </c>
      <c r="H11" s="532" t="s">
        <v>7244</v>
      </c>
      <c r="I11" s="532"/>
      <c r="J11" s="532"/>
      <c r="K11" s="532"/>
    </row>
    <row r="12" spans="1:11">
      <c r="A12" s="386">
        <v>9</v>
      </c>
      <c r="B12" s="385" t="s">
        <v>3139</v>
      </c>
      <c r="C12" s="388" t="s">
        <v>1917</v>
      </c>
      <c r="D12" s="394" t="s">
        <v>5019</v>
      </c>
      <c r="E12" s="388" t="s">
        <v>4385</v>
      </c>
      <c r="F12" s="388">
        <v>5.2</v>
      </c>
      <c r="G12" s="380" t="s">
        <v>3099</v>
      </c>
      <c r="H12" s="532" t="s">
        <v>6182</v>
      </c>
      <c r="I12" s="532"/>
      <c r="J12" s="532"/>
      <c r="K12" s="532"/>
    </row>
    <row r="13" spans="1:11">
      <c r="A13" s="386">
        <v>10</v>
      </c>
      <c r="B13" s="385" t="s">
        <v>3139</v>
      </c>
      <c r="C13" s="388" t="s">
        <v>1919</v>
      </c>
      <c r="D13" s="394" t="s">
        <v>5020</v>
      </c>
      <c r="E13" s="388" t="s">
        <v>4382</v>
      </c>
      <c r="F13" s="388">
        <v>15</v>
      </c>
      <c r="G13" s="380" t="s">
        <v>3099</v>
      </c>
      <c r="H13" s="532" t="s">
        <v>7054</v>
      </c>
      <c r="I13" s="532"/>
      <c r="J13" s="532"/>
      <c r="K13" s="532"/>
    </row>
    <row r="14" spans="1:11">
      <c r="A14" s="386">
        <v>11</v>
      </c>
      <c r="B14" s="385" t="s">
        <v>3139</v>
      </c>
      <c r="C14" s="388" t="s">
        <v>1921</v>
      </c>
      <c r="D14" s="394" t="s">
        <v>5021</v>
      </c>
      <c r="E14" s="388" t="s">
        <v>4382</v>
      </c>
      <c r="F14" s="388">
        <v>15</v>
      </c>
      <c r="G14" s="380" t="s">
        <v>3099</v>
      </c>
      <c r="H14" s="532" t="s">
        <v>7056</v>
      </c>
      <c r="I14" s="532"/>
      <c r="J14" s="532"/>
      <c r="K14" s="532"/>
    </row>
    <row r="15" spans="1:11">
      <c r="A15" s="386">
        <v>12</v>
      </c>
      <c r="B15" s="385" t="s">
        <v>3139</v>
      </c>
      <c r="C15" s="397" t="s">
        <v>1923</v>
      </c>
      <c r="D15" s="398" t="s">
        <v>5022</v>
      </c>
      <c r="E15" s="397" t="s">
        <v>4381</v>
      </c>
      <c r="F15" s="397">
        <v>1</v>
      </c>
      <c r="G15" s="380" t="s">
        <v>3099</v>
      </c>
      <c r="H15" s="532" t="s">
        <v>7245</v>
      </c>
      <c r="I15" s="532"/>
      <c r="J15" s="532"/>
      <c r="K15" s="532"/>
    </row>
    <row r="16" spans="1:11">
      <c r="A16" s="386">
        <v>13</v>
      </c>
      <c r="B16" s="385" t="s">
        <v>3139</v>
      </c>
      <c r="C16" s="388" t="s">
        <v>1925</v>
      </c>
      <c r="D16" s="394" t="s">
        <v>5023</v>
      </c>
      <c r="E16" s="388" t="s">
        <v>4381</v>
      </c>
      <c r="F16" s="388">
        <v>1</v>
      </c>
      <c r="G16" s="380" t="s">
        <v>3099</v>
      </c>
      <c r="H16" s="532" t="s">
        <v>11</v>
      </c>
      <c r="I16" s="532"/>
      <c r="J16" s="532"/>
      <c r="K16" s="532"/>
    </row>
    <row r="17" spans="1:11">
      <c r="A17" s="386">
        <v>14</v>
      </c>
      <c r="B17" s="385" t="s">
        <v>3139</v>
      </c>
      <c r="C17" s="397" t="s">
        <v>1927</v>
      </c>
      <c r="D17" s="399" t="s">
        <v>5024</v>
      </c>
      <c r="E17" s="397" t="s">
        <v>4381</v>
      </c>
      <c r="F17" s="397">
        <v>4</v>
      </c>
      <c r="G17" s="380" t="s">
        <v>3099</v>
      </c>
      <c r="H17" s="532" t="s">
        <v>7246</v>
      </c>
      <c r="I17" s="532"/>
      <c r="J17" s="532"/>
      <c r="K17" s="532"/>
    </row>
    <row r="18" spans="1:11">
      <c r="A18" s="386">
        <v>15</v>
      </c>
      <c r="B18" s="385" t="s">
        <v>3139</v>
      </c>
      <c r="C18" s="397" t="s">
        <v>1930</v>
      </c>
      <c r="D18" s="399" t="s">
        <v>5025</v>
      </c>
      <c r="E18" s="397" t="s">
        <v>4381</v>
      </c>
      <c r="F18" s="397">
        <v>15</v>
      </c>
      <c r="G18" s="380" t="s">
        <v>3099</v>
      </c>
      <c r="H18" s="532" t="s">
        <v>7060</v>
      </c>
      <c r="I18" s="532"/>
      <c r="J18" s="532"/>
      <c r="K18" s="532"/>
    </row>
    <row r="19" spans="1:11">
      <c r="A19" s="386">
        <v>16</v>
      </c>
      <c r="B19" s="385" t="s">
        <v>3139</v>
      </c>
      <c r="C19" s="388" t="s">
        <v>1932</v>
      </c>
      <c r="D19" s="394" t="s">
        <v>5026</v>
      </c>
      <c r="E19" s="388" t="s">
        <v>4381</v>
      </c>
      <c r="F19" s="388">
        <v>1</v>
      </c>
      <c r="G19" s="380" t="s">
        <v>3099</v>
      </c>
      <c r="H19" s="532" t="s">
        <v>4228</v>
      </c>
      <c r="I19" s="532"/>
      <c r="J19" s="532"/>
      <c r="K19" s="532"/>
    </row>
    <row r="20" spans="1:11">
      <c r="A20" s="386">
        <v>17</v>
      </c>
      <c r="B20" s="385" t="s">
        <v>3139</v>
      </c>
      <c r="C20" s="388" t="s">
        <v>1934</v>
      </c>
      <c r="D20" s="394" t="s">
        <v>5027</v>
      </c>
      <c r="E20" s="388" t="s">
        <v>4381</v>
      </c>
      <c r="F20" s="388">
        <v>1</v>
      </c>
      <c r="G20" s="380" t="s">
        <v>3099</v>
      </c>
      <c r="H20" s="532" t="s">
        <v>4229</v>
      </c>
      <c r="I20" s="532"/>
      <c r="J20" s="532"/>
      <c r="K20" s="532"/>
    </row>
    <row r="21" spans="1:11">
      <c r="A21" s="386">
        <v>18</v>
      </c>
      <c r="B21" s="385" t="s">
        <v>3139</v>
      </c>
      <c r="C21" s="388" t="s">
        <v>1936</v>
      </c>
      <c r="D21" s="394" t="s">
        <v>5028</v>
      </c>
      <c r="E21" s="388" t="s">
        <v>4381</v>
      </c>
      <c r="F21" s="388">
        <v>2</v>
      </c>
      <c r="G21" s="380" t="s">
        <v>3099</v>
      </c>
      <c r="H21" s="532" t="s">
        <v>7247</v>
      </c>
      <c r="I21" s="532"/>
      <c r="J21" s="532"/>
      <c r="K21" s="532"/>
    </row>
    <row r="22" spans="1:11">
      <c r="A22" s="386">
        <v>19</v>
      </c>
      <c r="B22" s="385" t="s">
        <v>3139</v>
      </c>
      <c r="C22" s="388" t="s">
        <v>1938</v>
      </c>
      <c r="D22" s="394" t="s">
        <v>1502</v>
      </c>
      <c r="E22" s="388" t="s">
        <v>4381</v>
      </c>
      <c r="F22" s="388">
        <v>1</v>
      </c>
      <c r="G22" s="380" t="s">
        <v>3099</v>
      </c>
      <c r="H22" s="532" t="s">
        <v>1952</v>
      </c>
      <c r="I22" s="532"/>
      <c r="J22" s="532"/>
      <c r="K22" s="532"/>
    </row>
    <row r="23" spans="1:11" ht="22.5">
      <c r="A23" s="386">
        <v>20</v>
      </c>
      <c r="B23" s="385" t="s">
        <v>3139</v>
      </c>
      <c r="C23" s="388" t="s">
        <v>1940</v>
      </c>
      <c r="D23" s="394" t="s">
        <v>5029</v>
      </c>
      <c r="E23" s="388" t="s">
        <v>4381</v>
      </c>
      <c r="F23" s="388">
        <v>2</v>
      </c>
      <c r="G23" s="380" t="s">
        <v>3099</v>
      </c>
      <c r="H23" s="535" t="s">
        <v>7227</v>
      </c>
      <c r="I23" s="532"/>
      <c r="J23" s="532"/>
      <c r="K23" s="532"/>
    </row>
    <row r="24" spans="1:11" ht="22.5">
      <c r="A24" s="386">
        <v>21</v>
      </c>
      <c r="B24" s="385" t="s">
        <v>3139</v>
      </c>
      <c r="C24" s="388" t="s">
        <v>1941</v>
      </c>
      <c r="D24" s="394" t="s">
        <v>5030</v>
      </c>
      <c r="E24" s="388" t="s">
        <v>4381</v>
      </c>
      <c r="F24" s="388">
        <v>2</v>
      </c>
      <c r="G24" s="380" t="s">
        <v>3099</v>
      </c>
      <c r="H24" s="535" t="s">
        <v>7300</v>
      </c>
      <c r="I24" s="532"/>
      <c r="J24" s="532"/>
      <c r="K24" s="532"/>
    </row>
    <row r="25" spans="1:11">
      <c r="A25" s="386">
        <v>22</v>
      </c>
      <c r="B25" s="385" t="s">
        <v>3139</v>
      </c>
      <c r="C25" s="388" t="s">
        <v>1943</v>
      </c>
      <c r="D25" s="394" t="s">
        <v>5031</v>
      </c>
      <c r="E25" s="388" t="s">
        <v>4381</v>
      </c>
      <c r="F25" s="388">
        <v>2</v>
      </c>
      <c r="G25" s="380" t="s">
        <v>3099</v>
      </c>
      <c r="H25" s="532" t="s">
        <v>7248</v>
      </c>
      <c r="I25" s="532"/>
      <c r="J25" s="532"/>
      <c r="K25" s="532"/>
    </row>
    <row r="26" spans="1:11">
      <c r="A26" s="386">
        <v>23</v>
      </c>
      <c r="B26" s="385" t="s">
        <v>3139</v>
      </c>
      <c r="C26" s="388" t="s">
        <v>1945</v>
      </c>
      <c r="D26" s="400" t="s">
        <v>5032</v>
      </c>
      <c r="E26" s="401" t="s">
        <v>4382</v>
      </c>
      <c r="F26" s="401">
        <v>15</v>
      </c>
      <c r="G26" s="380" t="s">
        <v>3099</v>
      </c>
      <c r="H26" s="532" t="s">
        <v>7249</v>
      </c>
      <c r="I26" s="532"/>
      <c r="J26" s="532"/>
      <c r="K26" s="532"/>
    </row>
    <row r="27" spans="1:11">
      <c r="A27" s="386">
        <v>24</v>
      </c>
      <c r="B27" s="385" t="s">
        <v>3139</v>
      </c>
      <c r="C27" s="388" t="s">
        <v>1947</v>
      </c>
      <c r="D27" s="400" t="s">
        <v>5033</v>
      </c>
      <c r="E27" s="401" t="s">
        <v>4381</v>
      </c>
      <c r="F27" s="401">
        <v>2</v>
      </c>
      <c r="G27" s="380" t="s">
        <v>3099</v>
      </c>
      <c r="H27" s="532" t="s">
        <v>7250</v>
      </c>
      <c r="I27" s="532"/>
      <c r="J27" s="532"/>
      <c r="K27" s="532"/>
    </row>
    <row r="28" spans="1:11">
      <c r="A28" s="386">
        <v>25</v>
      </c>
      <c r="B28" s="385" t="s">
        <v>3139</v>
      </c>
      <c r="C28" s="388" t="s">
        <v>1949</v>
      </c>
      <c r="D28" s="400" t="s">
        <v>5034</v>
      </c>
      <c r="E28" s="401" t="s">
        <v>4382</v>
      </c>
      <c r="F28" s="401">
        <v>15</v>
      </c>
      <c r="G28" s="380" t="s">
        <v>3099</v>
      </c>
      <c r="H28" s="532" t="s">
        <v>7251</v>
      </c>
      <c r="I28" s="532"/>
      <c r="J28" s="532"/>
      <c r="K28" s="532"/>
    </row>
    <row r="29" spans="1:11">
      <c r="A29" s="386">
        <v>26</v>
      </c>
      <c r="B29" s="385" t="s">
        <v>3139</v>
      </c>
      <c r="C29" s="388" t="s">
        <v>1951</v>
      </c>
      <c r="D29" s="400" t="s">
        <v>5035</v>
      </c>
      <c r="E29" s="401" t="s">
        <v>4381</v>
      </c>
      <c r="F29" s="401">
        <v>2</v>
      </c>
      <c r="G29" s="380" t="s">
        <v>3099</v>
      </c>
      <c r="H29" s="532" t="s">
        <v>7252</v>
      </c>
      <c r="I29" s="532"/>
      <c r="J29" s="532"/>
      <c r="K29" s="532"/>
    </row>
    <row r="30" spans="1:11">
      <c r="A30" s="386">
        <v>27</v>
      </c>
      <c r="B30" s="385" t="s">
        <v>3139</v>
      </c>
      <c r="C30" s="388" t="s">
        <v>1953</v>
      </c>
      <c r="D30" s="402" t="s">
        <v>5036</v>
      </c>
      <c r="E30" s="388" t="s">
        <v>4382</v>
      </c>
      <c r="F30" s="388">
        <v>15</v>
      </c>
      <c r="G30" s="380" t="s">
        <v>3099</v>
      </c>
      <c r="H30" s="532" t="s">
        <v>7253</v>
      </c>
      <c r="I30" s="532"/>
      <c r="J30" s="532"/>
      <c r="K30" s="532"/>
    </row>
    <row r="31" spans="1:11">
      <c r="A31" s="386">
        <v>28</v>
      </c>
      <c r="B31" s="385" t="s">
        <v>3139</v>
      </c>
      <c r="C31" s="388" t="s">
        <v>1955</v>
      </c>
      <c r="D31" s="402" t="s">
        <v>5037</v>
      </c>
      <c r="E31" s="388" t="s">
        <v>4382</v>
      </c>
      <c r="F31" s="388">
        <v>15</v>
      </c>
      <c r="G31" s="380" t="s">
        <v>3099</v>
      </c>
      <c r="H31" s="532" t="s">
        <v>7254</v>
      </c>
      <c r="I31" s="532"/>
      <c r="J31" s="532"/>
      <c r="K31" s="532"/>
    </row>
    <row r="32" spans="1:11">
      <c r="A32" s="386">
        <v>29</v>
      </c>
      <c r="B32" s="385" t="s">
        <v>3139</v>
      </c>
      <c r="C32" s="388" t="s">
        <v>1957</v>
      </c>
      <c r="D32" s="402" t="s">
        <v>5038</v>
      </c>
      <c r="E32" s="388" t="s">
        <v>4381</v>
      </c>
      <c r="F32" s="388">
        <v>3</v>
      </c>
      <c r="G32" s="380" t="s">
        <v>3099</v>
      </c>
      <c r="H32" s="532" t="s">
        <v>7255</v>
      </c>
      <c r="I32" s="532"/>
      <c r="J32" s="532"/>
      <c r="K32" s="532"/>
    </row>
    <row r="33" spans="1:11">
      <c r="A33" s="386">
        <v>30</v>
      </c>
      <c r="B33" s="385" t="s">
        <v>3139</v>
      </c>
      <c r="C33" s="388" t="s">
        <v>1959</v>
      </c>
      <c r="D33" s="402" t="s">
        <v>5039</v>
      </c>
      <c r="E33" s="388" t="s">
        <v>4381</v>
      </c>
      <c r="F33" s="388">
        <v>2</v>
      </c>
      <c r="G33" s="380" t="s">
        <v>3099</v>
      </c>
      <c r="H33" s="532" t="s">
        <v>7256</v>
      </c>
      <c r="I33" s="532"/>
      <c r="J33" s="532"/>
      <c r="K33" s="532"/>
    </row>
    <row r="34" spans="1:11">
      <c r="A34" s="386">
        <v>31</v>
      </c>
      <c r="B34" s="385" t="s">
        <v>3139</v>
      </c>
      <c r="C34" s="388" t="s">
        <v>1961</v>
      </c>
      <c r="D34" s="402" t="s">
        <v>5040</v>
      </c>
      <c r="E34" s="388" t="s">
        <v>4381</v>
      </c>
      <c r="F34" s="388">
        <v>2</v>
      </c>
      <c r="G34" s="380" t="s">
        <v>3099</v>
      </c>
      <c r="H34" s="532" t="s">
        <v>7257</v>
      </c>
      <c r="I34" s="532"/>
      <c r="J34" s="532"/>
      <c r="K34" s="532"/>
    </row>
    <row r="35" spans="1:11">
      <c r="A35" s="386">
        <v>32</v>
      </c>
      <c r="B35" s="385" t="s">
        <v>3139</v>
      </c>
      <c r="C35" s="388" t="s">
        <v>1963</v>
      </c>
      <c r="D35" s="394" t="s">
        <v>5041</v>
      </c>
      <c r="E35" s="388" t="s">
        <v>4382</v>
      </c>
      <c r="F35" s="388">
        <v>15</v>
      </c>
      <c r="G35" s="380" t="s">
        <v>3099</v>
      </c>
      <c r="H35" s="532" t="s">
        <v>14</v>
      </c>
      <c r="I35" s="532"/>
      <c r="J35" s="532"/>
      <c r="K35" s="532"/>
    </row>
    <row r="36" spans="1:11">
      <c r="A36" s="386">
        <v>33</v>
      </c>
      <c r="B36" s="385" t="s">
        <v>3139</v>
      </c>
      <c r="C36" s="388" t="s">
        <v>1965</v>
      </c>
      <c r="D36" s="394" t="s">
        <v>5042</v>
      </c>
      <c r="E36" s="388" t="s">
        <v>4382</v>
      </c>
      <c r="F36" s="388">
        <v>15</v>
      </c>
      <c r="G36" s="380" t="s">
        <v>3099</v>
      </c>
      <c r="H36" s="532" t="s">
        <v>7258</v>
      </c>
      <c r="I36" s="532"/>
      <c r="J36" s="532"/>
      <c r="K36" s="532"/>
    </row>
    <row r="37" spans="1:11">
      <c r="A37" s="386">
        <v>34</v>
      </c>
      <c r="B37" s="385" t="s">
        <v>3139</v>
      </c>
      <c r="C37" s="388" t="s">
        <v>1515</v>
      </c>
      <c r="D37" s="394" t="s">
        <v>1512</v>
      </c>
      <c r="E37" s="393" t="s">
        <v>4385</v>
      </c>
      <c r="F37" s="388">
        <v>15</v>
      </c>
      <c r="G37" s="380" t="s">
        <v>3099</v>
      </c>
      <c r="H37" s="532" t="s">
        <v>7259</v>
      </c>
      <c r="I37" s="532"/>
      <c r="J37" s="532"/>
      <c r="K37" s="532"/>
    </row>
    <row r="38" spans="1:11">
      <c r="A38" s="386">
        <v>35</v>
      </c>
      <c r="B38" s="385" t="s">
        <v>3139</v>
      </c>
      <c r="C38" s="388" t="s">
        <v>1968</v>
      </c>
      <c r="D38" s="394" t="s">
        <v>1476</v>
      </c>
      <c r="E38" s="393" t="s">
        <v>4385</v>
      </c>
      <c r="F38" s="388">
        <v>15</v>
      </c>
      <c r="G38" s="380" t="s">
        <v>3099</v>
      </c>
      <c r="H38" s="532" t="s">
        <v>7260</v>
      </c>
      <c r="I38" s="532"/>
      <c r="J38" s="532"/>
      <c r="K38" s="532"/>
    </row>
    <row r="39" spans="1:11">
      <c r="A39" s="386">
        <v>36</v>
      </c>
      <c r="B39" s="385" t="s">
        <v>3139</v>
      </c>
      <c r="C39" s="388" t="s">
        <v>1970</v>
      </c>
      <c r="D39" s="403" t="s">
        <v>5043</v>
      </c>
      <c r="E39" s="388" t="s">
        <v>4382</v>
      </c>
      <c r="F39" s="388">
        <v>15</v>
      </c>
      <c r="G39" s="380" t="s">
        <v>3099</v>
      </c>
      <c r="H39" s="532" t="s">
        <v>7117</v>
      </c>
      <c r="I39" s="532"/>
      <c r="J39" s="532"/>
      <c r="K39" s="532"/>
    </row>
    <row r="40" spans="1:11">
      <c r="A40" s="386">
        <v>37</v>
      </c>
      <c r="B40" s="385" t="s">
        <v>3139</v>
      </c>
      <c r="C40" s="388" t="s">
        <v>1972</v>
      </c>
      <c r="D40" s="387" t="s">
        <v>5044</v>
      </c>
      <c r="E40" s="388" t="s">
        <v>4382</v>
      </c>
      <c r="F40" s="388">
        <v>15</v>
      </c>
      <c r="G40" s="380" t="s">
        <v>3099</v>
      </c>
      <c r="H40" s="532" t="s">
        <v>7261</v>
      </c>
      <c r="I40" s="532"/>
      <c r="J40" s="532"/>
      <c r="K40" s="532"/>
    </row>
    <row r="41" spans="1:11">
      <c r="A41" s="386">
        <v>38</v>
      </c>
      <c r="B41" s="385" t="s">
        <v>3139</v>
      </c>
      <c r="C41" s="388" t="s">
        <v>1974</v>
      </c>
      <c r="D41" s="387" t="s">
        <v>5045</v>
      </c>
      <c r="E41" s="388" t="s">
        <v>4382</v>
      </c>
      <c r="F41" s="388">
        <v>15</v>
      </c>
      <c r="G41" s="380" t="s">
        <v>3099</v>
      </c>
      <c r="H41" s="532" t="s">
        <v>7262</v>
      </c>
      <c r="I41" s="532"/>
      <c r="J41" s="532"/>
      <c r="K41" s="532"/>
    </row>
    <row r="42" spans="1:11">
      <c r="A42" s="386">
        <v>39</v>
      </c>
      <c r="B42" s="385" t="s">
        <v>3139</v>
      </c>
      <c r="C42" s="388" t="s">
        <v>1976</v>
      </c>
      <c r="D42" s="394" t="s">
        <v>5046</v>
      </c>
      <c r="E42" s="388" t="s">
        <v>4382</v>
      </c>
      <c r="F42" s="388">
        <v>15</v>
      </c>
      <c r="G42" s="380" t="s">
        <v>3099</v>
      </c>
      <c r="H42" s="532" t="s">
        <v>7263</v>
      </c>
      <c r="I42" s="532"/>
      <c r="J42" s="532"/>
      <c r="K42" s="532"/>
    </row>
    <row r="43" spans="1:11">
      <c r="A43" s="386">
        <v>40</v>
      </c>
      <c r="B43" s="385" t="s">
        <v>3139</v>
      </c>
      <c r="C43" s="388" t="s">
        <v>1978</v>
      </c>
      <c r="D43" s="394" t="s">
        <v>5047</v>
      </c>
      <c r="E43" s="388" t="s">
        <v>4382</v>
      </c>
      <c r="F43" s="388">
        <v>15</v>
      </c>
      <c r="G43" s="380" t="s">
        <v>3099</v>
      </c>
      <c r="H43" s="532" t="s">
        <v>7264</v>
      </c>
      <c r="I43" s="532"/>
      <c r="J43" s="532"/>
      <c r="K43" s="532"/>
    </row>
    <row r="44" spans="1:11">
      <c r="A44" s="386">
        <v>41</v>
      </c>
      <c r="B44" s="385" t="s">
        <v>3139</v>
      </c>
      <c r="C44" s="388" t="s">
        <v>1980</v>
      </c>
      <c r="D44" s="404" t="s">
        <v>5048</v>
      </c>
      <c r="E44" s="401" t="s">
        <v>4382</v>
      </c>
      <c r="F44" s="401">
        <v>15</v>
      </c>
      <c r="G44" s="380" t="s">
        <v>3099</v>
      </c>
      <c r="H44" s="532" t="s">
        <v>7265</v>
      </c>
      <c r="I44" s="532"/>
      <c r="J44" s="532"/>
      <c r="K44" s="532"/>
    </row>
    <row r="45" spans="1:11">
      <c r="A45" s="386">
        <v>42</v>
      </c>
      <c r="B45" s="385" t="s">
        <v>3139</v>
      </c>
      <c r="C45" s="388" t="s">
        <v>1982</v>
      </c>
      <c r="D45" s="404" t="s">
        <v>5049</v>
      </c>
      <c r="E45" s="401" t="s">
        <v>4382</v>
      </c>
      <c r="F45" s="401">
        <v>15</v>
      </c>
      <c r="G45" s="380" t="s">
        <v>3099</v>
      </c>
      <c r="H45" s="532" t="s">
        <v>7266</v>
      </c>
      <c r="I45" s="532"/>
      <c r="J45" s="532"/>
      <c r="K45" s="532"/>
    </row>
    <row r="46" spans="1:11">
      <c r="A46" s="386">
        <v>43</v>
      </c>
      <c r="B46" s="385" t="s">
        <v>3139</v>
      </c>
      <c r="C46" s="388" t="s">
        <v>1984</v>
      </c>
      <c r="D46" s="389" t="s">
        <v>5050</v>
      </c>
      <c r="E46" s="388" t="s">
        <v>4382</v>
      </c>
      <c r="F46" s="388">
        <v>15</v>
      </c>
      <c r="G46" s="380" t="s">
        <v>3099</v>
      </c>
      <c r="H46" s="532" t="s">
        <v>7267</v>
      </c>
      <c r="I46" s="532"/>
      <c r="J46" s="532"/>
      <c r="K46" s="532"/>
    </row>
    <row r="47" spans="1:11">
      <c r="A47" s="386">
        <v>44</v>
      </c>
      <c r="B47" s="385" t="s">
        <v>3139</v>
      </c>
      <c r="C47" s="391" t="s">
        <v>1986</v>
      </c>
      <c r="D47" s="390" t="s">
        <v>5051</v>
      </c>
      <c r="E47" s="391" t="s">
        <v>4382</v>
      </c>
      <c r="F47" s="391">
        <v>15</v>
      </c>
      <c r="G47" s="380" t="s">
        <v>3099</v>
      </c>
      <c r="H47" s="532" t="s">
        <v>7268</v>
      </c>
      <c r="I47" s="532"/>
      <c r="J47" s="532"/>
      <c r="K47" s="532"/>
    </row>
    <row r="48" spans="1:11">
      <c r="A48" s="386">
        <v>45</v>
      </c>
      <c r="B48" s="385" t="s">
        <v>3139</v>
      </c>
      <c r="C48" s="391" t="s">
        <v>1988</v>
      </c>
      <c r="D48" s="390" t="s">
        <v>5052</v>
      </c>
      <c r="E48" s="391" t="s">
        <v>4382</v>
      </c>
      <c r="F48" s="391">
        <v>15</v>
      </c>
      <c r="G48" s="380" t="s">
        <v>3099</v>
      </c>
      <c r="H48" s="532" t="s">
        <v>7269</v>
      </c>
      <c r="I48" s="532"/>
      <c r="J48" s="532"/>
      <c r="K48" s="532"/>
    </row>
    <row r="49" spans="1:11">
      <c r="A49" s="386">
        <v>46</v>
      </c>
      <c r="B49" s="385" t="s">
        <v>3139</v>
      </c>
      <c r="C49" s="388" t="s">
        <v>1990</v>
      </c>
      <c r="D49" s="387" t="s">
        <v>5053</v>
      </c>
      <c r="E49" s="388" t="s">
        <v>4381</v>
      </c>
      <c r="F49" s="388">
        <v>1</v>
      </c>
      <c r="G49" s="380" t="s">
        <v>3099</v>
      </c>
      <c r="H49" s="532" t="s">
        <v>5217</v>
      </c>
      <c r="I49" s="532"/>
      <c r="J49" s="532"/>
      <c r="K49" s="532"/>
    </row>
    <row r="50" spans="1:11">
      <c r="A50" s="386">
        <v>47</v>
      </c>
      <c r="B50" s="385" t="s">
        <v>3139</v>
      </c>
      <c r="C50" s="388" t="s">
        <v>5006</v>
      </c>
      <c r="D50" s="387" t="s">
        <v>5054</v>
      </c>
      <c r="E50" s="388" t="s">
        <v>4382</v>
      </c>
      <c r="F50" s="388">
        <v>15</v>
      </c>
      <c r="G50" s="380" t="s">
        <v>3099</v>
      </c>
      <c r="H50" s="532" t="s">
        <v>7270</v>
      </c>
      <c r="I50" s="532"/>
      <c r="J50" s="532"/>
      <c r="K50" s="532"/>
    </row>
    <row r="51" spans="1:11">
      <c r="A51" s="386">
        <v>48</v>
      </c>
      <c r="B51" s="385" t="s">
        <v>3139</v>
      </c>
      <c r="C51" s="388" t="s">
        <v>5007</v>
      </c>
      <c r="D51" s="387" t="s">
        <v>5055</v>
      </c>
      <c r="E51" s="388" t="s">
        <v>4382</v>
      </c>
      <c r="F51" s="388">
        <v>15</v>
      </c>
      <c r="G51" s="380" t="s">
        <v>3099</v>
      </c>
      <c r="H51" s="532" t="s">
        <v>7271</v>
      </c>
      <c r="I51" s="532"/>
      <c r="J51" s="532"/>
      <c r="K51" s="532"/>
    </row>
    <row r="52" spans="1:11">
      <c r="A52" s="386">
        <v>49</v>
      </c>
      <c r="B52" s="385" t="s">
        <v>3139</v>
      </c>
      <c r="C52" s="388" t="s">
        <v>5008</v>
      </c>
      <c r="D52" s="387" t="s">
        <v>5056</v>
      </c>
      <c r="E52" s="388" t="s">
        <v>4382</v>
      </c>
      <c r="F52" s="388">
        <v>15</v>
      </c>
      <c r="G52" s="380" t="s">
        <v>3099</v>
      </c>
      <c r="H52" s="532" t="s">
        <v>5223</v>
      </c>
      <c r="I52" s="532"/>
      <c r="J52" s="532"/>
      <c r="K52" s="532"/>
    </row>
    <row r="53" spans="1:11">
      <c r="A53" s="386">
        <v>50</v>
      </c>
      <c r="B53" s="385" t="s">
        <v>3139</v>
      </c>
      <c r="C53" s="388" t="s">
        <v>4244</v>
      </c>
      <c r="D53" s="387" t="s">
        <v>5057</v>
      </c>
      <c r="E53" s="388" t="s">
        <v>4382</v>
      </c>
      <c r="F53" s="388">
        <v>15</v>
      </c>
      <c r="G53" s="380" t="s">
        <v>3099</v>
      </c>
      <c r="H53" s="532" t="s">
        <v>7123</v>
      </c>
      <c r="I53" s="532"/>
      <c r="J53" s="532"/>
      <c r="K53" s="532"/>
    </row>
    <row r="54" spans="1:11">
      <c r="A54" s="386">
        <v>51</v>
      </c>
      <c r="B54" s="385" t="s">
        <v>3139</v>
      </c>
      <c r="C54" s="388" t="s">
        <v>4245</v>
      </c>
      <c r="D54" s="387" t="s">
        <v>5058</v>
      </c>
      <c r="E54" s="388" t="s">
        <v>4382</v>
      </c>
      <c r="F54" s="388">
        <v>15</v>
      </c>
      <c r="G54" s="380" t="s">
        <v>3099</v>
      </c>
      <c r="H54" s="532" t="s">
        <v>7272</v>
      </c>
      <c r="I54" s="532"/>
      <c r="J54" s="532"/>
      <c r="K54" s="532"/>
    </row>
    <row r="55" spans="1:11">
      <c r="A55" s="386">
        <v>52</v>
      </c>
      <c r="B55" s="385" t="s">
        <v>3139</v>
      </c>
      <c r="C55" s="388" t="s">
        <v>2812</v>
      </c>
      <c r="D55" s="405" t="s">
        <v>4943</v>
      </c>
      <c r="E55" s="388" t="s">
        <v>4382</v>
      </c>
      <c r="F55" s="406">
        <v>5</v>
      </c>
      <c r="G55" s="380" t="s">
        <v>3099</v>
      </c>
      <c r="H55" s="532" t="s">
        <v>7129</v>
      </c>
      <c r="I55" s="532"/>
      <c r="J55" s="532"/>
      <c r="K55" s="532"/>
    </row>
    <row r="56" spans="1:11">
      <c r="A56" s="386">
        <v>53</v>
      </c>
      <c r="B56" s="385" t="s">
        <v>3139</v>
      </c>
      <c r="C56" s="388" t="s">
        <v>2024</v>
      </c>
      <c r="D56" s="407" t="s">
        <v>5059</v>
      </c>
      <c r="E56" s="388" t="s">
        <v>4382</v>
      </c>
      <c r="F56" s="406">
        <v>5</v>
      </c>
      <c r="G56" s="380" t="s">
        <v>3099</v>
      </c>
      <c r="H56" s="532" t="s">
        <v>7131</v>
      </c>
      <c r="I56" s="532"/>
      <c r="J56" s="532"/>
      <c r="K56" s="532"/>
    </row>
    <row r="57" spans="1:11" ht="22.5">
      <c r="A57" s="386">
        <v>54</v>
      </c>
      <c r="B57" s="385" t="s">
        <v>3139</v>
      </c>
      <c r="C57" s="388" t="s">
        <v>2025</v>
      </c>
      <c r="D57" s="394" t="s">
        <v>5060</v>
      </c>
      <c r="E57" s="388" t="s">
        <v>4381</v>
      </c>
      <c r="F57" s="388">
        <v>2</v>
      </c>
      <c r="G57" s="380" t="s">
        <v>3099</v>
      </c>
      <c r="H57" s="535" t="s">
        <v>7298</v>
      </c>
      <c r="I57" s="532"/>
      <c r="J57" s="532"/>
      <c r="K57" s="532"/>
    </row>
    <row r="58" spans="1:11" ht="22.5">
      <c r="A58" s="386">
        <v>55</v>
      </c>
      <c r="B58" s="385" t="s">
        <v>3139</v>
      </c>
      <c r="C58" s="388" t="s">
        <v>2026</v>
      </c>
      <c r="D58" s="392" t="s">
        <v>5061</v>
      </c>
      <c r="E58" s="388" t="s">
        <v>4381</v>
      </c>
      <c r="F58" s="388">
        <v>4</v>
      </c>
      <c r="G58" s="380" t="s">
        <v>3099</v>
      </c>
      <c r="H58" s="535" t="s">
        <v>7299</v>
      </c>
      <c r="I58" s="532"/>
      <c r="J58" s="532"/>
      <c r="K58" s="532"/>
    </row>
    <row r="59" spans="1:11" ht="22.5">
      <c r="A59" s="386">
        <v>56</v>
      </c>
      <c r="B59" s="385" t="s">
        <v>3139</v>
      </c>
      <c r="C59" s="388" t="s">
        <v>2027</v>
      </c>
      <c r="D59" s="394" t="s">
        <v>4444</v>
      </c>
      <c r="E59" s="388" t="s">
        <v>4381</v>
      </c>
      <c r="F59" s="388">
        <v>4</v>
      </c>
      <c r="G59" s="380" t="s">
        <v>3099</v>
      </c>
      <c r="H59" s="535" t="s">
        <v>7201</v>
      </c>
      <c r="I59" s="532"/>
      <c r="J59" s="532"/>
      <c r="K59" s="532"/>
    </row>
    <row r="60" spans="1:11" ht="22.5">
      <c r="A60" s="386">
        <v>57</v>
      </c>
      <c r="B60" s="385" t="s">
        <v>3139</v>
      </c>
      <c r="C60" s="388" t="s">
        <v>2028</v>
      </c>
      <c r="D60" s="394" t="s">
        <v>5062</v>
      </c>
      <c r="E60" s="388" t="s">
        <v>4381</v>
      </c>
      <c r="F60" s="388">
        <v>2</v>
      </c>
      <c r="G60" s="380" t="s">
        <v>3099</v>
      </c>
      <c r="H60" s="535" t="s">
        <v>7205</v>
      </c>
      <c r="I60" s="532"/>
      <c r="J60" s="532"/>
      <c r="K60" s="532"/>
    </row>
    <row r="61" spans="1:11">
      <c r="A61" s="386">
        <v>58</v>
      </c>
      <c r="B61" s="385" t="s">
        <v>3139</v>
      </c>
      <c r="C61" s="388" t="s">
        <v>3195</v>
      </c>
      <c r="D61" s="394" t="s">
        <v>5063</v>
      </c>
      <c r="E61" s="388" t="s">
        <v>4381</v>
      </c>
      <c r="F61" s="388">
        <v>2</v>
      </c>
      <c r="G61" s="380" t="s">
        <v>3099</v>
      </c>
      <c r="H61" s="532" t="s">
        <v>2909</v>
      </c>
      <c r="I61" s="532"/>
      <c r="J61" s="532"/>
      <c r="K61" s="532"/>
    </row>
    <row r="62" spans="1:11">
      <c r="A62" s="386">
        <v>59</v>
      </c>
      <c r="B62" s="385" t="s">
        <v>3139</v>
      </c>
      <c r="C62" s="388" t="s">
        <v>3238</v>
      </c>
      <c r="D62" s="394" t="s">
        <v>5064</v>
      </c>
      <c r="E62" s="388" t="s">
        <v>4381</v>
      </c>
      <c r="F62" s="388">
        <v>2</v>
      </c>
      <c r="G62" s="380" t="s">
        <v>3099</v>
      </c>
      <c r="H62" s="532" t="s">
        <v>7101</v>
      </c>
      <c r="I62" s="532"/>
      <c r="J62" s="532"/>
      <c r="K62" s="532"/>
    </row>
    <row r="63" spans="1:11">
      <c r="A63" s="386">
        <v>60</v>
      </c>
      <c r="B63" s="385" t="s">
        <v>3139</v>
      </c>
      <c r="C63" s="388" t="s">
        <v>5009</v>
      </c>
      <c r="D63" s="394" t="s">
        <v>5065</v>
      </c>
      <c r="E63" s="388" t="s">
        <v>4381</v>
      </c>
      <c r="F63" s="388">
        <v>2</v>
      </c>
      <c r="G63" s="380" t="s">
        <v>3099</v>
      </c>
      <c r="H63" s="532" t="s">
        <v>3486</v>
      </c>
      <c r="I63" s="532"/>
      <c r="J63" s="532"/>
      <c r="K63" s="532"/>
    </row>
    <row r="64" spans="1:11">
      <c r="A64" s="386">
        <v>61</v>
      </c>
      <c r="B64" s="385" t="s">
        <v>3139</v>
      </c>
      <c r="C64" s="388" t="s">
        <v>5010</v>
      </c>
      <c r="D64" s="394" t="s">
        <v>5066</v>
      </c>
      <c r="E64" s="388" t="s">
        <v>4381</v>
      </c>
      <c r="F64" s="388">
        <v>2</v>
      </c>
      <c r="G64" s="380" t="s">
        <v>3099</v>
      </c>
      <c r="H64" s="532" t="s">
        <v>7273</v>
      </c>
      <c r="I64" s="532"/>
      <c r="J64" s="532"/>
      <c r="K64" s="532"/>
    </row>
    <row r="65" spans="1:11">
      <c r="A65" s="386">
        <v>62</v>
      </c>
      <c r="B65" s="385" t="s">
        <v>3139</v>
      </c>
      <c r="C65" s="388" t="s">
        <v>5011</v>
      </c>
      <c r="D65" s="387" t="s">
        <v>5067</v>
      </c>
      <c r="E65" s="388" t="s">
        <v>4381</v>
      </c>
      <c r="F65" s="388">
        <v>4</v>
      </c>
      <c r="G65" s="380" t="s">
        <v>3099</v>
      </c>
      <c r="H65" s="532" t="s">
        <v>7274</v>
      </c>
      <c r="I65" s="532"/>
      <c r="J65" s="532"/>
      <c r="K65" s="532"/>
    </row>
    <row r="66" spans="1:11">
      <c r="A66" s="386">
        <v>63</v>
      </c>
      <c r="B66" s="385" t="s">
        <v>3139</v>
      </c>
      <c r="C66" s="388" t="s">
        <v>5012</v>
      </c>
      <c r="D66" s="387" t="s">
        <v>5068</v>
      </c>
      <c r="E66" s="388" t="s">
        <v>4381</v>
      </c>
      <c r="F66" s="388">
        <v>4</v>
      </c>
      <c r="G66" s="380" t="s">
        <v>3099</v>
      </c>
      <c r="H66" s="532" t="s">
        <v>2868</v>
      </c>
      <c r="I66" s="532"/>
      <c r="J66" s="532"/>
      <c r="K66" s="532"/>
    </row>
    <row r="67" spans="1:11">
      <c r="A67" s="386">
        <v>64</v>
      </c>
      <c r="B67" s="385" t="s">
        <v>3139</v>
      </c>
      <c r="C67" s="388" t="s">
        <v>5013</v>
      </c>
      <c r="D67" s="407" t="s">
        <v>5069</v>
      </c>
      <c r="E67" s="388" t="s">
        <v>4381</v>
      </c>
      <c r="F67" s="406">
        <v>2</v>
      </c>
      <c r="G67" s="380" t="s">
        <v>3099</v>
      </c>
      <c r="H67" s="532" t="s">
        <v>7275</v>
      </c>
      <c r="I67" s="532"/>
      <c r="J67" s="532"/>
      <c r="K67" s="532"/>
    </row>
    <row r="68" spans="1:11">
      <c r="A68" s="386">
        <v>65</v>
      </c>
      <c r="B68" s="385" t="s">
        <v>3139</v>
      </c>
      <c r="C68" s="388" t="s">
        <v>3147</v>
      </c>
      <c r="D68" s="407" t="s">
        <v>5070</v>
      </c>
      <c r="E68" s="388" t="s">
        <v>4381</v>
      </c>
      <c r="F68" s="406">
        <v>2</v>
      </c>
      <c r="G68" s="380" t="s">
        <v>3099</v>
      </c>
      <c r="H68" s="532" t="s">
        <v>7276</v>
      </c>
      <c r="I68" s="532"/>
      <c r="J68" s="532"/>
      <c r="K68" s="532"/>
    </row>
    <row r="69" spans="1:11">
      <c r="A69" s="386">
        <v>66</v>
      </c>
      <c r="B69" s="385" t="s">
        <v>3139</v>
      </c>
      <c r="C69" s="388" t="s">
        <v>3149</v>
      </c>
      <c r="D69" s="408" t="s">
        <v>5071</v>
      </c>
      <c r="E69" s="388" t="s">
        <v>4382</v>
      </c>
      <c r="F69" s="388">
        <v>15</v>
      </c>
      <c r="G69" s="380" t="s">
        <v>3099</v>
      </c>
      <c r="H69" s="532" t="s">
        <v>7063</v>
      </c>
      <c r="I69" s="532"/>
      <c r="J69" s="532"/>
      <c r="K69" s="532"/>
    </row>
    <row r="70" spans="1:11">
      <c r="A70" s="386">
        <v>67</v>
      </c>
      <c r="B70" s="385" t="s">
        <v>3139</v>
      </c>
      <c r="C70" s="388" t="s">
        <v>3150</v>
      </c>
      <c r="D70" s="392" t="s">
        <v>5072</v>
      </c>
      <c r="E70" s="388" t="s">
        <v>4382</v>
      </c>
      <c r="F70" s="388">
        <v>15</v>
      </c>
      <c r="G70" s="380" t="s">
        <v>3099</v>
      </c>
      <c r="H70" s="532" t="s">
        <v>7064</v>
      </c>
      <c r="I70" s="532"/>
      <c r="J70" s="532"/>
      <c r="K70" s="532"/>
    </row>
    <row r="71" spans="1:11">
      <c r="A71" s="386">
        <v>68</v>
      </c>
      <c r="B71" s="385" t="s">
        <v>3139</v>
      </c>
      <c r="C71" s="388" t="s">
        <v>3151</v>
      </c>
      <c r="D71" s="392" t="s">
        <v>5073</v>
      </c>
      <c r="E71" s="388" t="s">
        <v>4382</v>
      </c>
      <c r="F71" s="388">
        <v>15</v>
      </c>
      <c r="G71" s="380" t="s">
        <v>3099</v>
      </c>
      <c r="H71" s="532" t="s">
        <v>7277</v>
      </c>
      <c r="I71" s="532"/>
      <c r="J71" s="532"/>
      <c r="K71" s="532"/>
    </row>
    <row r="72" spans="1:11">
      <c r="A72" s="386">
        <v>69</v>
      </c>
      <c r="B72" s="385" t="s">
        <v>3139</v>
      </c>
      <c r="C72" s="388" t="s">
        <v>3153</v>
      </c>
      <c r="D72" s="392" t="s">
        <v>5074</v>
      </c>
      <c r="E72" s="388" t="s">
        <v>4382</v>
      </c>
      <c r="F72" s="388">
        <v>15</v>
      </c>
      <c r="G72" s="380" t="s">
        <v>3099</v>
      </c>
      <c r="H72" s="532" t="s">
        <v>7278</v>
      </c>
      <c r="I72" s="532"/>
      <c r="J72" s="532"/>
      <c r="K72" s="532"/>
    </row>
    <row r="73" spans="1:11">
      <c r="A73" s="386">
        <v>70</v>
      </c>
      <c r="B73" s="385" t="s">
        <v>3139</v>
      </c>
      <c r="C73" s="388" t="s">
        <v>3154</v>
      </c>
      <c r="D73" s="392" t="s">
        <v>5075</v>
      </c>
      <c r="E73" s="388" t="s">
        <v>4382</v>
      </c>
      <c r="F73" s="388">
        <v>15</v>
      </c>
      <c r="G73" s="380" t="s">
        <v>3099</v>
      </c>
      <c r="H73" s="532" t="s">
        <v>16</v>
      </c>
      <c r="I73" s="532"/>
      <c r="J73" s="532"/>
      <c r="K73" s="532"/>
    </row>
    <row r="74" spans="1:11">
      <c r="A74" s="386">
        <v>71</v>
      </c>
      <c r="B74" s="385" t="s">
        <v>3139</v>
      </c>
      <c r="C74" s="388" t="s">
        <v>3158</v>
      </c>
      <c r="D74" s="392" t="s">
        <v>5076</v>
      </c>
      <c r="E74" s="388" t="s">
        <v>4382</v>
      </c>
      <c r="F74" s="388">
        <v>15</v>
      </c>
      <c r="G74" s="380" t="s">
        <v>3099</v>
      </c>
      <c r="H74" s="532" t="s">
        <v>7279</v>
      </c>
      <c r="I74" s="532"/>
      <c r="J74" s="532"/>
      <c r="K74" s="532"/>
    </row>
    <row r="75" spans="1:11">
      <c r="A75" s="386">
        <v>72</v>
      </c>
      <c r="B75" s="385" t="s">
        <v>3139</v>
      </c>
      <c r="C75" s="388" t="s">
        <v>3160</v>
      </c>
      <c r="D75" s="392" t="s">
        <v>5077</v>
      </c>
      <c r="E75" s="388" t="s">
        <v>4382</v>
      </c>
      <c r="F75" s="388">
        <v>15</v>
      </c>
      <c r="G75" s="380" t="s">
        <v>3099</v>
      </c>
      <c r="H75" s="532" t="s">
        <v>7280</v>
      </c>
      <c r="I75" s="532"/>
      <c r="J75" s="532"/>
      <c r="K75" s="532"/>
    </row>
    <row r="76" spans="1:11">
      <c r="A76" s="520">
        <v>73</v>
      </c>
      <c r="B76" s="521" t="s">
        <v>3139</v>
      </c>
      <c r="C76" s="522" t="s">
        <v>3162</v>
      </c>
      <c r="D76" s="523" t="s">
        <v>5078</v>
      </c>
      <c r="E76" s="522" t="s">
        <v>4381</v>
      </c>
      <c r="F76" s="522">
        <v>1</v>
      </c>
      <c r="G76" s="524" t="s">
        <v>3099</v>
      </c>
      <c r="H76" s="532"/>
      <c r="I76" s="532"/>
      <c r="J76" s="532"/>
      <c r="K76" s="532"/>
    </row>
    <row r="77" spans="1:11">
      <c r="A77" s="386">
        <v>74</v>
      </c>
      <c r="B77" s="385" t="s">
        <v>3139</v>
      </c>
      <c r="C77" s="388" t="s">
        <v>3164</v>
      </c>
      <c r="D77" s="409" t="s">
        <v>4413</v>
      </c>
      <c r="E77" s="401" t="s">
        <v>4381</v>
      </c>
      <c r="F77" s="401">
        <v>2</v>
      </c>
      <c r="G77" s="380" t="s">
        <v>3099</v>
      </c>
      <c r="H77" s="532" t="s">
        <v>3532</v>
      </c>
      <c r="I77" s="532"/>
      <c r="J77" s="532"/>
      <c r="K77" s="532"/>
    </row>
    <row r="78" spans="1:11">
      <c r="A78" s="386">
        <v>75</v>
      </c>
      <c r="B78" s="385" t="s">
        <v>3139</v>
      </c>
      <c r="C78" s="388" t="s">
        <v>3166</v>
      </c>
      <c r="D78" s="410" t="s">
        <v>4414</v>
      </c>
      <c r="E78" s="411" t="s">
        <v>4381</v>
      </c>
      <c r="F78" s="411">
        <v>2</v>
      </c>
      <c r="G78" s="380" t="s">
        <v>3099</v>
      </c>
      <c r="H78" s="532" t="s">
        <v>2830</v>
      </c>
      <c r="I78" s="532"/>
      <c r="J78" s="532"/>
      <c r="K78" s="532"/>
    </row>
    <row r="79" spans="1:11">
      <c r="A79" s="386">
        <v>76</v>
      </c>
      <c r="B79" s="385" t="s">
        <v>3139</v>
      </c>
      <c r="C79" s="388" t="s">
        <v>3137</v>
      </c>
      <c r="D79" s="410" t="s">
        <v>5079</v>
      </c>
      <c r="E79" s="411" t="s">
        <v>4381</v>
      </c>
      <c r="F79" s="411">
        <v>2</v>
      </c>
      <c r="G79" s="380" t="s">
        <v>3099</v>
      </c>
      <c r="H79" s="532" t="s">
        <v>7281</v>
      </c>
      <c r="I79" s="532"/>
      <c r="J79" s="532"/>
      <c r="K79" s="532"/>
    </row>
    <row r="80" spans="1:11">
      <c r="A80" s="386">
        <v>77</v>
      </c>
      <c r="B80" s="385" t="s">
        <v>3139</v>
      </c>
      <c r="C80" s="388" t="s">
        <v>3169</v>
      </c>
      <c r="D80" s="410" t="s">
        <v>5080</v>
      </c>
      <c r="E80" s="411" t="s">
        <v>4381</v>
      </c>
      <c r="F80" s="411">
        <v>1</v>
      </c>
      <c r="G80" s="380" t="s">
        <v>3099</v>
      </c>
      <c r="H80" s="532" t="s">
        <v>7282</v>
      </c>
      <c r="I80" s="532"/>
      <c r="J80" s="532"/>
      <c r="K80" s="532"/>
    </row>
    <row r="81" spans="1:11">
      <c r="A81" s="386">
        <v>78</v>
      </c>
      <c r="B81" s="385" t="s">
        <v>3139</v>
      </c>
      <c r="C81" s="397" t="s">
        <v>3171</v>
      </c>
      <c r="D81" s="412" t="s">
        <v>5081</v>
      </c>
      <c r="E81" s="397" t="s">
        <v>4381</v>
      </c>
      <c r="F81" s="397">
        <v>1</v>
      </c>
      <c r="G81" s="380" t="s">
        <v>3099</v>
      </c>
      <c r="H81" s="532" t="s">
        <v>7283</v>
      </c>
      <c r="I81" s="532"/>
      <c r="J81" s="532"/>
      <c r="K81" s="532"/>
    </row>
    <row r="82" spans="1:11">
      <c r="A82" s="386">
        <v>79</v>
      </c>
      <c r="B82" s="385" t="s">
        <v>3139</v>
      </c>
      <c r="C82" s="388" t="s">
        <v>3173</v>
      </c>
      <c r="D82" s="413" t="s">
        <v>5082</v>
      </c>
      <c r="E82" s="411" t="s">
        <v>4381</v>
      </c>
      <c r="F82" s="411">
        <v>5</v>
      </c>
      <c r="G82" s="380" t="s">
        <v>3099</v>
      </c>
      <c r="H82" s="532" t="s">
        <v>7284</v>
      </c>
      <c r="I82" s="532"/>
      <c r="J82" s="532"/>
      <c r="K82" s="532"/>
    </row>
    <row r="83" spans="1:11">
      <c r="A83" s="386">
        <v>80</v>
      </c>
      <c r="B83" s="385" t="s">
        <v>3139</v>
      </c>
      <c r="C83" s="397" t="s">
        <v>5014</v>
      </c>
      <c r="D83" s="412" t="s">
        <v>5083</v>
      </c>
      <c r="E83" s="397" t="s">
        <v>4381</v>
      </c>
      <c r="F83" s="397">
        <v>2</v>
      </c>
      <c r="G83" s="380" t="s">
        <v>3099</v>
      </c>
      <c r="H83" s="532" t="s">
        <v>1956</v>
      </c>
      <c r="I83" s="532"/>
      <c r="J83" s="532"/>
      <c r="K83" s="532"/>
    </row>
    <row r="84" spans="1:11">
      <c r="A84" s="386">
        <v>81</v>
      </c>
      <c r="B84" s="385" t="s">
        <v>3139</v>
      </c>
      <c r="C84" s="397" t="s">
        <v>3177</v>
      </c>
      <c r="D84" s="412" t="s">
        <v>5084</v>
      </c>
      <c r="E84" s="397" t="s">
        <v>4382</v>
      </c>
      <c r="F84" s="397">
        <v>15</v>
      </c>
      <c r="G84" s="380" t="s">
        <v>3099</v>
      </c>
      <c r="H84" s="532" t="s">
        <v>6202</v>
      </c>
      <c r="I84" s="532"/>
      <c r="J84" s="532"/>
      <c r="K84" s="532"/>
    </row>
    <row r="85" spans="1:11">
      <c r="A85" s="525">
        <v>82</v>
      </c>
      <c r="B85" s="366" t="s">
        <v>3139</v>
      </c>
      <c r="C85" s="526" t="s">
        <v>5015</v>
      </c>
      <c r="D85" s="527" t="s">
        <v>5085</v>
      </c>
      <c r="E85" s="526" t="s">
        <v>4382</v>
      </c>
      <c r="F85" s="526">
        <v>15</v>
      </c>
      <c r="G85" s="528" t="s">
        <v>3099</v>
      </c>
      <c r="H85" s="532" t="s">
        <v>7065</v>
      </c>
      <c r="I85" s="532"/>
      <c r="J85" s="532"/>
      <c r="K85" s="532"/>
    </row>
    <row r="86" spans="1:11">
      <c r="A86" s="529">
        <v>83</v>
      </c>
      <c r="B86" s="530" t="s">
        <v>3139</v>
      </c>
      <c r="C86" s="531" t="s">
        <v>5199</v>
      </c>
      <c r="D86" s="532" t="s">
        <v>5200</v>
      </c>
      <c r="E86" s="531" t="s">
        <v>4382</v>
      </c>
      <c r="F86" s="531">
        <v>15</v>
      </c>
      <c r="G86" s="518" t="s">
        <v>3099</v>
      </c>
      <c r="H86" s="532" t="s">
        <v>7285</v>
      </c>
      <c r="I86" s="532"/>
      <c r="J86" s="532"/>
      <c r="K86" s="532"/>
    </row>
    <row r="87" spans="1:11">
      <c r="A87" s="529">
        <v>84</v>
      </c>
      <c r="B87" s="530" t="s">
        <v>3139</v>
      </c>
      <c r="C87" s="531" t="s">
        <v>3183</v>
      </c>
      <c r="D87" s="532" t="s">
        <v>5201</v>
      </c>
      <c r="E87" s="531" t="s">
        <v>4382</v>
      </c>
      <c r="F87" s="531">
        <v>15</v>
      </c>
      <c r="G87" s="518" t="s">
        <v>3099</v>
      </c>
      <c r="H87" s="532" t="s">
        <v>7285</v>
      </c>
      <c r="I87" s="532"/>
      <c r="J87" s="532"/>
      <c r="K87" s="532"/>
    </row>
    <row r="88" spans="1:11">
      <c r="A88" s="529">
        <v>85</v>
      </c>
      <c r="B88" s="530" t="s">
        <v>3139</v>
      </c>
      <c r="C88" s="531" t="s">
        <v>3185</v>
      </c>
      <c r="D88" s="532" t="s">
        <v>5202</v>
      </c>
      <c r="E88" s="531" t="s">
        <v>4382</v>
      </c>
      <c r="F88" s="531">
        <v>15</v>
      </c>
      <c r="G88" s="518" t="s">
        <v>3099</v>
      </c>
      <c r="H88" s="532" t="s">
        <v>7285</v>
      </c>
      <c r="I88" s="532"/>
      <c r="J88" s="532"/>
      <c r="K88" s="532"/>
    </row>
    <row r="89" spans="1:11">
      <c r="A89" s="529">
        <v>86</v>
      </c>
      <c r="B89" s="530" t="s">
        <v>3139</v>
      </c>
      <c r="C89" s="531" t="s">
        <v>3138</v>
      </c>
      <c r="D89" s="532" t="s">
        <v>5203</v>
      </c>
      <c r="E89" s="531" t="s">
        <v>4381</v>
      </c>
      <c r="F89" s="533">
        <v>2</v>
      </c>
      <c r="G89" s="518" t="s">
        <v>3099</v>
      </c>
      <c r="H89" s="532" t="s">
        <v>7285</v>
      </c>
      <c r="I89" s="532"/>
      <c r="J89" s="532"/>
      <c r="K89" s="532"/>
    </row>
    <row r="90" spans="1:11">
      <c r="A90" s="529">
        <v>87</v>
      </c>
      <c r="B90" s="530" t="s">
        <v>3139</v>
      </c>
      <c r="C90" s="531" t="s">
        <v>3188</v>
      </c>
      <c r="D90" s="532" t="s">
        <v>7286</v>
      </c>
      <c r="E90" s="531" t="s">
        <v>4382</v>
      </c>
      <c r="F90" s="531">
        <v>15</v>
      </c>
      <c r="G90" s="518" t="s">
        <v>3099</v>
      </c>
      <c r="H90" s="532" t="s">
        <v>7285</v>
      </c>
      <c r="I90" s="532"/>
      <c r="J90" s="532"/>
      <c r="K90" s="532"/>
    </row>
    <row r="91" spans="1:11">
      <c r="A91" s="529">
        <v>88</v>
      </c>
      <c r="B91" s="530" t="s">
        <v>3139</v>
      </c>
      <c r="C91" s="531" t="s">
        <v>3190</v>
      </c>
      <c r="D91" s="532" t="s">
        <v>7287</v>
      </c>
      <c r="E91" s="531" t="s">
        <v>4381</v>
      </c>
      <c r="F91" s="533">
        <v>1</v>
      </c>
      <c r="G91" s="518" t="s">
        <v>3099</v>
      </c>
      <c r="H91" s="532" t="s">
        <v>7287</v>
      </c>
      <c r="I91" s="532"/>
      <c r="J91" s="532"/>
      <c r="K91" s="532"/>
    </row>
    <row r="92" spans="1:11">
      <c r="A92" s="529">
        <v>89</v>
      </c>
      <c r="B92" s="530" t="s">
        <v>3139</v>
      </c>
      <c r="C92" s="531" t="s">
        <v>7116</v>
      </c>
      <c r="D92" s="532" t="s">
        <v>179</v>
      </c>
      <c r="E92" s="531" t="s">
        <v>4382</v>
      </c>
      <c r="F92" s="531">
        <v>15</v>
      </c>
      <c r="G92" s="518" t="s">
        <v>3099</v>
      </c>
      <c r="H92" s="532" t="s">
        <v>7285</v>
      </c>
      <c r="I92" s="532"/>
      <c r="J92" s="532"/>
      <c r="K92" s="532"/>
    </row>
    <row r="93" spans="1:11">
      <c r="A93" s="529">
        <v>90</v>
      </c>
      <c r="B93" s="530" t="s">
        <v>3139</v>
      </c>
      <c r="C93" s="531" t="s">
        <v>3192</v>
      </c>
      <c r="D93" s="532" t="s">
        <v>7288</v>
      </c>
      <c r="E93" s="531" t="s">
        <v>4382</v>
      </c>
      <c r="F93" s="531">
        <v>15</v>
      </c>
      <c r="G93" s="518" t="s">
        <v>3099</v>
      </c>
      <c r="H93" s="532" t="s">
        <v>7285</v>
      </c>
      <c r="I93" s="532"/>
      <c r="J93" s="532"/>
      <c r="K93" s="532"/>
    </row>
    <row r="94" spans="1:11">
      <c r="A94" s="529">
        <v>91</v>
      </c>
      <c r="B94" s="530" t="s">
        <v>3139</v>
      </c>
      <c r="C94" s="531" t="s">
        <v>3194</v>
      </c>
      <c r="D94" s="532" t="s">
        <v>7289</v>
      </c>
      <c r="E94" s="531" t="s">
        <v>4381</v>
      </c>
      <c r="F94" s="533">
        <v>2</v>
      </c>
      <c r="G94" s="518" t="s">
        <v>3099</v>
      </c>
      <c r="H94" s="532" t="s">
        <v>7294</v>
      </c>
      <c r="I94" s="532"/>
      <c r="J94" s="532"/>
      <c r="K94" s="532"/>
    </row>
    <row r="95" spans="1:11">
      <c r="A95" s="529">
        <v>92</v>
      </c>
      <c r="B95" s="530" t="s">
        <v>3139</v>
      </c>
      <c r="C95" s="531" t="s">
        <v>3156</v>
      </c>
      <c r="D95" s="532" t="s">
        <v>7290</v>
      </c>
      <c r="E95" s="531" t="s">
        <v>4381</v>
      </c>
      <c r="F95" s="533">
        <v>2</v>
      </c>
      <c r="G95" s="518" t="s">
        <v>3099</v>
      </c>
      <c r="H95" s="532" t="s">
        <v>7295</v>
      </c>
      <c r="I95" s="532"/>
      <c r="J95" s="532"/>
      <c r="K95" s="532"/>
    </row>
    <row r="96" spans="1:11">
      <c r="A96" s="529">
        <v>93</v>
      </c>
      <c r="B96" s="530" t="s">
        <v>3139</v>
      </c>
      <c r="C96" s="531" t="s">
        <v>3948</v>
      </c>
      <c r="D96" s="532" t="s">
        <v>7143</v>
      </c>
      <c r="E96" s="531" t="s">
        <v>4381</v>
      </c>
      <c r="F96" s="533">
        <v>2</v>
      </c>
      <c r="G96" s="518" t="s">
        <v>3099</v>
      </c>
      <c r="H96" s="532" t="s">
        <v>7296</v>
      </c>
      <c r="I96" s="532"/>
      <c r="J96" s="532"/>
      <c r="K96" s="532"/>
    </row>
    <row r="97" spans="1:11">
      <c r="A97" s="529">
        <v>94</v>
      </c>
      <c r="B97" s="530" t="s">
        <v>3139</v>
      </c>
      <c r="C97" s="531" t="s">
        <v>3951</v>
      </c>
      <c r="D97" s="532" t="s">
        <v>7291</v>
      </c>
      <c r="E97" s="531" t="s">
        <v>4381</v>
      </c>
      <c r="F97" s="533">
        <v>1</v>
      </c>
      <c r="G97" s="518" t="s">
        <v>3099</v>
      </c>
      <c r="H97" s="532" t="s">
        <v>7297</v>
      </c>
      <c r="I97" s="532"/>
      <c r="J97" s="532"/>
      <c r="K97" s="532"/>
    </row>
    <row r="98" spans="1:11">
      <c r="A98" s="529">
        <v>95</v>
      </c>
      <c r="B98" s="530" t="s">
        <v>3139</v>
      </c>
      <c r="C98" s="531" t="s">
        <v>3953</v>
      </c>
      <c r="D98" s="532" t="s">
        <v>7292</v>
      </c>
      <c r="E98" s="531" t="s">
        <v>4381</v>
      </c>
      <c r="F98" s="533">
        <v>1</v>
      </c>
      <c r="G98" s="518" t="s">
        <v>3099</v>
      </c>
      <c r="H98" s="532" t="s">
        <v>7292</v>
      </c>
      <c r="I98" s="532"/>
      <c r="J98" s="532"/>
      <c r="K98" s="532"/>
    </row>
    <row r="99" spans="1:11">
      <c r="A99" s="529">
        <v>96</v>
      </c>
      <c r="B99" s="530" t="s">
        <v>3139</v>
      </c>
      <c r="C99" s="531" t="s">
        <v>7524</v>
      </c>
      <c r="D99" s="532" t="s">
        <v>7293</v>
      </c>
      <c r="E99" s="531" t="s">
        <v>4382</v>
      </c>
      <c r="F99" s="531">
        <v>15</v>
      </c>
      <c r="G99" s="518" t="s">
        <v>3099</v>
      </c>
      <c r="H99" s="532" t="s">
        <v>7293</v>
      </c>
      <c r="I99" s="532"/>
      <c r="J99" s="532"/>
      <c r="K99" s="532"/>
    </row>
    <row r="100" spans="1:11">
      <c r="A100" s="529"/>
      <c r="B100" s="530"/>
      <c r="C100" s="531"/>
    </row>
  </sheetData>
  <phoneticPr fontId="2" type="noConversion"/>
  <pageMargins left="0.7" right="0.7" top="0.75" bottom="0.75" header="0.3" footer="0.3"/>
  <pageSetup paperSize="0" orientation="portrait" horizontalDpi="0" verticalDpi="0" copies="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J124"/>
  <sheetViews>
    <sheetView workbookViewId="0">
      <selection activeCell="D31" sqref="D31"/>
    </sheetView>
  </sheetViews>
  <sheetFormatPr defaultRowHeight="16.5"/>
  <cols>
    <col min="1" max="3" width="9" style="178"/>
    <col min="4" max="4" width="36.875" style="178" customWidth="1"/>
    <col min="5" max="5" width="9" style="178"/>
    <col min="6" max="7" width="17.25" style="178" customWidth="1"/>
    <col min="8" max="8" width="18.75" style="178" customWidth="1"/>
    <col min="9" max="9" width="26.5" style="178" customWidth="1"/>
    <col min="10" max="10" width="34.25" style="178" customWidth="1"/>
  </cols>
  <sheetData>
    <row r="1" spans="1:10">
      <c r="A1" s="207" t="s">
        <v>2960</v>
      </c>
      <c r="B1" s="207" t="s">
        <v>748</v>
      </c>
      <c r="C1" s="207" t="s">
        <v>749</v>
      </c>
      <c r="D1" s="207" t="s">
        <v>2985</v>
      </c>
      <c r="E1" s="208" t="s">
        <v>3132</v>
      </c>
      <c r="F1" s="207" t="s">
        <v>3198</v>
      </c>
      <c r="G1" s="192" t="s">
        <v>3199</v>
      </c>
      <c r="H1" s="192" t="s">
        <v>3028</v>
      </c>
      <c r="I1" s="192" t="s">
        <v>3200</v>
      </c>
      <c r="J1" s="192" t="s">
        <v>3201</v>
      </c>
    </row>
    <row r="2" spans="1:10">
      <c r="A2" s="178" t="s">
        <v>2116</v>
      </c>
      <c r="B2" s="178" t="s">
        <v>1910</v>
      </c>
      <c r="C2" s="178">
        <v>2</v>
      </c>
      <c r="D2" s="178" t="s">
        <v>445</v>
      </c>
      <c r="E2" s="178" t="s">
        <v>2963</v>
      </c>
      <c r="F2" s="178" t="s">
        <v>3038</v>
      </c>
      <c r="H2" s="178" t="s">
        <v>683</v>
      </c>
      <c r="I2" s="178" t="s">
        <v>3063</v>
      </c>
      <c r="J2" s="178" t="s">
        <v>1576</v>
      </c>
    </row>
    <row r="3" spans="1:10">
      <c r="A3" s="181" t="s">
        <v>2573</v>
      </c>
      <c r="B3" s="181" t="s">
        <v>279</v>
      </c>
      <c r="C3" s="181">
        <v>9</v>
      </c>
      <c r="D3" s="181" t="s">
        <v>1448</v>
      </c>
      <c r="E3" s="181" t="s">
        <v>2963</v>
      </c>
      <c r="F3" s="181" t="s">
        <v>3039</v>
      </c>
      <c r="G3" s="181"/>
      <c r="H3" s="181" t="e">
        <v>#N/A</v>
      </c>
      <c r="I3" s="181" t="s">
        <v>2330</v>
      </c>
      <c r="J3" s="181" t="s">
        <v>2330</v>
      </c>
    </row>
    <row r="4" spans="1:10">
      <c r="A4" s="181" t="s">
        <v>2574</v>
      </c>
      <c r="B4" s="181" t="s">
        <v>279</v>
      </c>
      <c r="C4" s="181">
        <v>9</v>
      </c>
      <c r="D4" s="181" t="s">
        <v>1449</v>
      </c>
      <c r="E4" s="181" t="s">
        <v>2963</v>
      </c>
      <c r="F4" s="181" t="s">
        <v>3039</v>
      </c>
      <c r="G4" s="181"/>
      <c r="H4" s="181" t="e">
        <v>#N/A</v>
      </c>
      <c r="I4" s="181" t="s">
        <v>2330</v>
      </c>
      <c r="J4" s="181" t="s">
        <v>2330</v>
      </c>
    </row>
    <row r="5" spans="1:10">
      <c r="A5" s="178" t="s">
        <v>2117</v>
      </c>
      <c r="B5" s="178" t="s">
        <v>279</v>
      </c>
      <c r="C5" s="178">
        <v>9</v>
      </c>
      <c r="D5" s="178" t="s">
        <v>1297</v>
      </c>
      <c r="E5" s="178" t="s">
        <v>2963</v>
      </c>
      <c r="F5" s="178" t="s">
        <v>3040</v>
      </c>
      <c r="H5" s="178" t="s">
        <v>683</v>
      </c>
      <c r="I5" s="178" t="s">
        <v>3063</v>
      </c>
      <c r="J5" s="178" t="s">
        <v>3064</v>
      </c>
    </row>
    <row r="6" spans="1:10">
      <c r="A6" s="178" t="s">
        <v>2118</v>
      </c>
      <c r="B6" s="178" t="s">
        <v>1910</v>
      </c>
      <c r="C6" s="178">
        <v>1</v>
      </c>
      <c r="D6" s="178" t="s">
        <v>687</v>
      </c>
      <c r="E6" s="178" t="s">
        <v>2963</v>
      </c>
      <c r="H6" s="178" t="s">
        <v>683</v>
      </c>
      <c r="I6" s="178" t="s">
        <v>3061</v>
      </c>
      <c r="J6" s="178" t="s">
        <v>3065</v>
      </c>
    </row>
    <row r="7" spans="1:10">
      <c r="A7" s="178" t="s">
        <v>2575</v>
      </c>
      <c r="B7" s="178" t="s">
        <v>1910</v>
      </c>
      <c r="C7" s="178">
        <v>14</v>
      </c>
      <c r="D7" s="178" t="s">
        <v>688</v>
      </c>
      <c r="E7" s="178" t="s">
        <v>2963</v>
      </c>
      <c r="H7" s="178" t="s">
        <v>683</v>
      </c>
      <c r="I7" s="178" t="s">
        <v>3063</v>
      </c>
      <c r="J7" s="178" t="s">
        <v>50</v>
      </c>
    </row>
    <row r="8" spans="1:10">
      <c r="A8" s="178" t="s">
        <v>2120</v>
      </c>
      <c r="B8" s="178" t="s">
        <v>1910</v>
      </c>
      <c r="C8" s="178">
        <v>1</v>
      </c>
      <c r="D8" s="178" t="s">
        <v>689</v>
      </c>
      <c r="E8" s="178" t="s">
        <v>2963</v>
      </c>
      <c r="F8" s="178" t="s">
        <v>3041</v>
      </c>
      <c r="H8" s="178" t="s">
        <v>683</v>
      </c>
      <c r="I8" s="178" t="s">
        <v>3079</v>
      </c>
      <c r="J8" s="178" t="s">
        <v>3066</v>
      </c>
    </row>
    <row r="9" spans="1:10">
      <c r="A9" s="178" t="s">
        <v>2121</v>
      </c>
      <c r="B9" s="178" t="s">
        <v>1910</v>
      </c>
      <c r="C9" s="178">
        <v>1</v>
      </c>
      <c r="D9" s="178" t="s">
        <v>690</v>
      </c>
      <c r="E9" s="178" t="s">
        <v>2963</v>
      </c>
      <c r="F9" s="178" t="s">
        <v>3042</v>
      </c>
      <c r="H9" s="178" t="s">
        <v>683</v>
      </c>
      <c r="I9" s="178" t="s">
        <v>3079</v>
      </c>
      <c r="J9" s="178" t="s">
        <v>3067</v>
      </c>
    </row>
    <row r="10" spans="1:10">
      <c r="A10" s="178" t="s">
        <v>2122</v>
      </c>
      <c r="B10" s="178" t="s">
        <v>1910</v>
      </c>
      <c r="C10" s="178">
        <v>1</v>
      </c>
      <c r="D10" s="178" t="s">
        <v>691</v>
      </c>
      <c r="E10" s="178" t="s">
        <v>2963</v>
      </c>
      <c r="F10" s="178" t="s">
        <v>3043</v>
      </c>
      <c r="H10" s="178" t="s">
        <v>683</v>
      </c>
      <c r="I10" s="178" t="s">
        <v>3079</v>
      </c>
      <c r="J10" s="178" t="s">
        <v>3068</v>
      </c>
    </row>
    <row r="11" spans="1:10">
      <c r="A11" s="178" t="s">
        <v>2605</v>
      </c>
      <c r="B11" s="178" t="s">
        <v>1910</v>
      </c>
      <c r="C11" s="178">
        <v>1</v>
      </c>
      <c r="D11" s="178" t="s">
        <v>692</v>
      </c>
      <c r="E11" s="178" t="s">
        <v>2963</v>
      </c>
      <c r="F11" s="178" t="s">
        <v>3044</v>
      </c>
      <c r="H11" s="178" t="s">
        <v>683</v>
      </c>
      <c r="I11" s="178" t="s">
        <v>3079</v>
      </c>
      <c r="J11" s="178" t="s">
        <v>3069</v>
      </c>
    </row>
    <row r="12" spans="1:10">
      <c r="A12" s="178" t="s">
        <v>2606</v>
      </c>
      <c r="B12" s="178" t="s">
        <v>1910</v>
      </c>
      <c r="C12" s="178">
        <v>1</v>
      </c>
      <c r="D12" s="178" t="s">
        <v>693</v>
      </c>
      <c r="E12" s="178" t="s">
        <v>2963</v>
      </c>
      <c r="F12" s="178" t="s">
        <v>3045</v>
      </c>
      <c r="H12" s="178" t="s">
        <v>683</v>
      </c>
      <c r="I12" s="178" t="s">
        <v>3079</v>
      </c>
      <c r="J12" s="178" t="s">
        <v>3070</v>
      </c>
    </row>
    <row r="13" spans="1:10">
      <c r="A13" s="178" t="s">
        <v>2123</v>
      </c>
      <c r="B13" s="178" t="s">
        <v>1910</v>
      </c>
      <c r="C13" s="178">
        <v>1</v>
      </c>
      <c r="D13" s="178" t="s">
        <v>694</v>
      </c>
      <c r="E13" s="178" t="s">
        <v>2963</v>
      </c>
      <c r="F13" s="178" t="s">
        <v>3046</v>
      </c>
      <c r="H13" s="178" t="s">
        <v>683</v>
      </c>
      <c r="I13" s="178" t="s">
        <v>3079</v>
      </c>
      <c r="J13" s="178" t="s">
        <v>3071</v>
      </c>
    </row>
    <row r="14" spans="1:10">
      <c r="A14" s="178" t="s">
        <v>2124</v>
      </c>
      <c r="B14" s="178" t="s">
        <v>1910</v>
      </c>
      <c r="C14" s="178">
        <v>1</v>
      </c>
      <c r="D14" s="178" t="s">
        <v>695</v>
      </c>
      <c r="E14" s="178" t="s">
        <v>2963</v>
      </c>
      <c r="F14" s="178" t="s">
        <v>3047</v>
      </c>
      <c r="H14" s="178" t="s">
        <v>683</v>
      </c>
      <c r="I14" s="178" t="s">
        <v>3079</v>
      </c>
      <c r="J14" s="178" t="s">
        <v>3072</v>
      </c>
    </row>
    <row r="15" spans="1:10">
      <c r="A15" s="178" t="s">
        <v>2125</v>
      </c>
      <c r="B15" s="178" t="s">
        <v>1910</v>
      </c>
      <c r="C15" s="178">
        <v>1</v>
      </c>
      <c r="D15" s="178" t="s">
        <v>696</v>
      </c>
      <c r="E15" s="178" t="s">
        <v>2963</v>
      </c>
      <c r="F15" s="178" t="s">
        <v>3048</v>
      </c>
      <c r="H15" s="178" t="s">
        <v>683</v>
      </c>
      <c r="I15" s="178" t="s">
        <v>3079</v>
      </c>
      <c r="J15" s="178" t="s">
        <v>3073</v>
      </c>
    </row>
    <row r="16" spans="1:10">
      <c r="A16" s="178" t="s">
        <v>2126</v>
      </c>
      <c r="B16" s="178" t="s">
        <v>1910</v>
      </c>
      <c r="C16" s="178">
        <v>1</v>
      </c>
      <c r="D16" s="178" t="s">
        <v>697</v>
      </c>
      <c r="E16" s="178" t="s">
        <v>2963</v>
      </c>
      <c r="F16" s="178" t="s">
        <v>3049</v>
      </c>
      <c r="H16" s="178" t="s">
        <v>683</v>
      </c>
      <c r="I16" s="178" t="s">
        <v>3079</v>
      </c>
      <c r="J16" s="178" t="s">
        <v>3074</v>
      </c>
    </row>
    <row r="17" spans="1:10">
      <c r="A17" s="178" t="s">
        <v>2127</v>
      </c>
      <c r="B17" s="178" t="s">
        <v>1910</v>
      </c>
      <c r="C17" s="178">
        <v>1</v>
      </c>
      <c r="D17" s="178" t="s">
        <v>698</v>
      </c>
      <c r="E17" s="178" t="s">
        <v>2963</v>
      </c>
      <c r="F17" s="178" t="s">
        <v>3050</v>
      </c>
      <c r="H17" s="178" t="s">
        <v>683</v>
      </c>
      <c r="I17" s="178" t="s">
        <v>3079</v>
      </c>
      <c r="J17" s="178" t="s">
        <v>3075</v>
      </c>
    </row>
    <row r="18" spans="1:10">
      <c r="A18" s="178" t="s">
        <v>2128</v>
      </c>
      <c r="B18" s="178" t="s">
        <v>1910</v>
      </c>
      <c r="C18" s="178">
        <v>1</v>
      </c>
      <c r="D18" s="178" t="s">
        <v>699</v>
      </c>
      <c r="E18" s="178" t="s">
        <v>2963</v>
      </c>
      <c r="F18" s="178" t="s">
        <v>3051</v>
      </c>
      <c r="H18" s="178" t="s">
        <v>683</v>
      </c>
      <c r="I18" s="178" t="s">
        <v>3079</v>
      </c>
      <c r="J18" s="178" t="s">
        <v>3076</v>
      </c>
    </row>
    <row r="19" spans="1:10">
      <c r="A19" s="178" t="s">
        <v>2129</v>
      </c>
      <c r="B19" s="178" t="s">
        <v>1910</v>
      </c>
      <c r="C19" s="178">
        <v>1</v>
      </c>
      <c r="D19" s="178" t="s">
        <v>700</v>
      </c>
      <c r="E19" s="178" t="s">
        <v>2963</v>
      </c>
      <c r="F19" s="178" t="s">
        <v>3052</v>
      </c>
      <c r="H19" s="178" t="s">
        <v>683</v>
      </c>
      <c r="I19" s="178" t="s">
        <v>3079</v>
      </c>
      <c r="J19" s="178" t="s">
        <v>3077</v>
      </c>
    </row>
    <row r="20" spans="1:10">
      <c r="A20" s="178" t="s">
        <v>2130</v>
      </c>
      <c r="B20" s="178" t="s">
        <v>1910</v>
      </c>
      <c r="C20" s="178">
        <v>1</v>
      </c>
      <c r="D20" s="178" t="s">
        <v>701</v>
      </c>
      <c r="E20" s="178" t="s">
        <v>2963</v>
      </c>
      <c r="F20" s="178" t="s">
        <v>3053</v>
      </c>
      <c r="H20" s="178" t="s">
        <v>683</v>
      </c>
      <c r="I20" s="178" t="s">
        <v>3079</v>
      </c>
      <c r="J20" s="178" t="s">
        <v>3078</v>
      </c>
    </row>
    <row r="21" spans="1:10">
      <c r="A21" s="178" t="s">
        <v>2138</v>
      </c>
      <c r="B21" s="178" t="s">
        <v>279</v>
      </c>
      <c r="C21" s="178">
        <v>15</v>
      </c>
      <c r="D21" s="178" t="s">
        <v>177</v>
      </c>
      <c r="E21" s="178" t="s">
        <v>2963</v>
      </c>
      <c r="H21" s="178" t="s">
        <v>683</v>
      </c>
      <c r="I21" s="178" t="s">
        <v>3079</v>
      </c>
      <c r="J21" s="178" t="s">
        <v>177</v>
      </c>
    </row>
    <row r="22" spans="1:10">
      <c r="A22" s="178" t="s">
        <v>2139</v>
      </c>
      <c r="B22" s="178" t="s">
        <v>279</v>
      </c>
      <c r="C22" s="178">
        <v>15</v>
      </c>
      <c r="D22" s="178" t="s">
        <v>178</v>
      </c>
      <c r="E22" s="178" t="s">
        <v>2963</v>
      </c>
      <c r="H22" s="178" t="s">
        <v>683</v>
      </c>
      <c r="I22" s="178" t="s">
        <v>3079</v>
      </c>
      <c r="J22" s="178" t="s">
        <v>178</v>
      </c>
    </row>
    <row r="23" spans="1:10">
      <c r="A23" s="178" t="s">
        <v>2140</v>
      </c>
      <c r="B23" s="178" t="s">
        <v>279</v>
      </c>
      <c r="C23" s="178">
        <v>15</v>
      </c>
      <c r="D23" s="178" t="s">
        <v>179</v>
      </c>
      <c r="E23" s="178" t="s">
        <v>2963</v>
      </c>
      <c r="H23" s="178" t="s">
        <v>683</v>
      </c>
      <c r="I23" s="178" t="s">
        <v>3079</v>
      </c>
      <c r="J23" s="178" t="s">
        <v>179</v>
      </c>
    </row>
    <row r="24" spans="1:10">
      <c r="A24" s="178" t="s">
        <v>2141</v>
      </c>
      <c r="B24" s="178" t="s">
        <v>279</v>
      </c>
      <c r="C24" s="178">
        <v>15</v>
      </c>
      <c r="D24" s="178" t="s">
        <v>180</v>
      </c>
      <c r="E24" s="178" t="s">
        <v>2963</v>
      </c>
      <c r="H24" s="178" t="s">
        <v>683</v>
      </c>
      <c r="I24" s="178" t="s">
        <v>3079</v>
      </c>
      <c r="J24" s="178" t="s">
        <v>180</v>
      </c>
    </row>
    <row r="25" spans="1:10">
      <c r="A25" s="178" t="s">
        <v>2142</v>
      </c>
      <c r="B25" s="178" t="s">
        <v>279</v>
      </c>
      <c r="C25" s="178">
        <v>15</v>
      </c>
      <c r="D25" s="178" t="s">
        <v>1318</v>
      </c>
      <c r="E25" s="178" t="s">
        <v>2963</v>
      </c>
      <c r="F25" s="178" t="s">
        <v>3054</v>
      </c>
      <c r="H25" s="178" t="s">
        <v>683</v>
      </c>
      <c r="I25" s="178" t="s">
        <v>3079</v>
      </c>
      <c r="J25" s="178" t="s">
        <v>3080</v>
      </c>
    </row>
    <row r="26" spans="1:10">
      <c r="A26" s="178" t="s">
        <v>2144</v>
      </c>
      <c r="B26" s="178" t="s">
        <v>279</v>
      </c>
      <c r="C26" s="178">
        <v>15</v>
      </c>
      <c r="D26" s="178" t="s">
        <v>342</v>
      </c>
      <c r="E26" s="178" t="s">
        <v>2963</v>
      </c>
      <c r="H26" s="178" t="s">
        <v>683</v>
      </c>
      <c r="I26" s="178" t="s">
        <v>3085</v>
      </c>
      <c r="J26" s="178" t="s">
        <v>3083</v>
      </c>
    </row>
    <row r="27" spans="1:10">
      <c r="A27" s="178" t="s">
        <v>2131</v>
      </c>
      <c r="B27" s="178" t="s">
        <v>1910</v>
      </c>
      <c r="C27" s="178">
        <v>1</v>
      </c>
      <c r="D27" s="178" t="s">
        <v>731</v>
      </c>
      <c r="E27" s="178" t="s">
        <v>2963</v>
      </c>
      <c r="H27" s="178" t="s">
        <v>683</v>
      </c>
      <c r="I27" s="178" t="s">
        <v>3079</v>
      </c>
      <c r="J27" s="178" t="s">
        <v>174</v>
      </c>
    </row>
    <row r="28" spans="1:10">
      <c r="A28" s="178" t="s">
        <v>2132</v>
      </c>
      <c r="B28" s="178" t="s">
        <v>1910</v>
      </c>
      <c r="C28" s="178">
        <v>1</v>
      </c>
      <c r="D28" s="178" t="s">
        <v>730</v>
      </c>
      <c r="E28" s="178" t="s">
        <v>2963</v>
      </c>
      <c r="H28" s="178" t="s">
        <v>683</v>
      </c>
      <c r="I28" s="178" t="s">
        <v>3079</v>
      </c>
      <c r="J28" s="178" t="s">
        <v>173</v>
      </c>
    </row>
    <row r="29" spans="1:10">
      <c r="A29" s="178" t="s">
        <v>2133</v>
      </c>
      <c r="B29" s="178" t="s">
        <v>1910</v>
      </c>
      <c r="C29" s="178">
        <v>1</v>
      </c>
      <c r="D29" s="178" t="s">
        <v>732</v>
      </c>
      <c r="E29" s="178" t="s">
        <v>2963</v>
      </c>
      <c r="H29" s="178" t="s">
        <v>683</v>
      </c>
      <c r="I29" s="178" t="s">
        <v>3079</v>
      </c>
      <c r="J29" s="178" t="s">
        <v>175</v>
      </c>
    </row>
    <row r="30" spans="1:10">
      <c r="A30" s="178" t="s">
        <v>2134</v>
      </c>
      <c r="B30" s="178" t="s">
        <v>1910</v>
      </c>
      <c r="C30" s="178">
        <v>1</v>
      </c>
      <c r="D30" s="178" t="s">
        <v>733</v>
      </c>
      <c r="E30" s="178" t="s">
        <v>2963</v>
      </c>
      <c r="H30" s="178" t="s">
        <v>683</v>
      </c>
      <c r="I30" s="178" t="s">
        <v>3079</v>
      </c>
      <c r="J30" s="178" t="s">
        <v>176</v>
      </c>
    </row>
    <row r="31" spans="1:10">
      <c r="A31" s="178" t="s">
        <v>2135</v>
      </c>
      <c r="B31" s="178" t="s">
        <v>1910</v>
      </c>
      <c r="C31" s="178">
        <v>1</v>
      </c>
      <c r="D31" s="178" t="s">
        <v>181</v>
      </c>
      <c r="E31" s="178" t="s">
        <v>2963</v>
      </c>
      <c r="H31" s="178" t="s">
        <v>683</v>
      </c>
      <c r="I31" s="178" t="s">
        <v>3079</v>
      </c>
      <c r="J31" s="178" t="s">
        <v>181</v>
      </c>
    </row>
    <row r="32" spans="1:10">
      <c r="A32" s="178" t="s">
        <v>2136</v>
      </c>
      <c r="B32" s="178" t="s">
        <v>1910</v>
      </c>
      <c r="C32" s="178">
        <v>2</v>
      </c>
      <c r="D32" s="178" t="s">
        <v>685</v>
      </c>
      <c r="E32" s="178" t="s">
        <v>2963</v>
      </c>
      <c r="H32" s="178" t="s">
        <v>683</v>
      </c>
      <c r="I32" s="178" t="s">
        <v>3081</v>
      </c>
      <c r="J32" s="178" t="s">
        <v>3081</v>
      </c>
    </row>
    <row r="33" spans="1:10">
      <c r="A33" s="178" t="s">
        <v>2137</v>
      </c>
      <c r="B33" s="178" t="s">
        <v>279</v>
      </c>
      <c r="C33" s="178">
        <v>15</v>
      </c>
      <c r="D33" s="178" t="s">
        <v>686</v>
      </c>
      <c r="E33" s="178" t="s">
        <v>2963</v>
      </c>
      <c r="H33" s="178" t="s">
        <v>683</v>
      </c>
      <c r="I33" s="178" t="s">
        <v>3081</v>
      </c>
      <c r="J33" s="178" t="s">
        <v>3081</v>
      </c>
    </row>
    <row r="34" spans="1:10">
      <c r="A34" s="178" t="s">
        <v>2145</v>
      </c>
      <c r="B34" s="178" t="s">
        <v>279</v>
      </c>
      <c r="C34" s="178">
        <v>15</v>
      </c>
      <c r="D34" s="178" t="s">
        <v>1322</v>
      </c>
      <c r="E34" s="178" t="s">
        <v>2963</v>
      </c>
      <c r="H34" s="178" t="s">
        <v>683</v>
      </c>
      <c r="I34" s="178" t="s">
        <v>3079</v>
      </c>
      <c r="J34" s="178" t="s">
        <v>3082</v>
      </c>
    </row>
    <row r="35" spans="1:10">
      <c r="A35" s="178" t="s">
        <v>2146</v>
      </c>
      <c r="B35" s="178" t="s">
        <v>279</v>
      </c>
      <c r="C35" s="178">
        <v>15</v>
      </c>
      <c r="D35" s="178" t="s">
        <v>343</v>
      </c>
      <c r="E35" s="178" t="s">
        <v>2963</v>
      </c>
      <c r="H35" s="178" t="s">
        <v>683</v>
      </c>
      <c r="I35" s="178" t="s">
        <v>3079</v>
      </c>
      <c r="J35" s="178" t="s">
        <v>3086</v>
      </c>
    </row>
    <row r="36" spans="1:10">
      <c r="A36" s="178" t="s">
        <v>2147</v>
      </c>
      <c r="B36" s="178" t="s">
        <v>279</v>
      </c>
      <c r="C36" s="178">
        <v>15</v>
      </c>
      <c r="D36" s="178" t="s">
        <v>344</v>
      </c>
      <c r="E36" s="178" t="s">
        <v>2963</v>
      </c>
      <c r="H36" s="178" t="s">
        <v>683</v>
      </c>
      <c r="I36" s="178" t="s">
        <v>3079</v>
      </c>
      <c r="J36" s="178" t="s">
        <v>3087</v>
      </c>
    </row>
    <row r="37" spans="1:10">
      <c r="A37" s="178" t="s">
        <v>2143</v>
      </c>
      <c r="B37" s="178" t="s">
        <v>279</v>
      </c>
      <c r="C37" s="178">
        <v>15</v>
      </c>
      <c r="D37" s="178" t="s">
        <v>345</v>
      </c>
      <c r="E37" s="178" t="s">
        <v>2963</v>
      </c>
      <c r="H37" s="178" t="s">
        <v>683</v>
      </c>
      <c r="I37" s="178" t="s">
        <v>3079</v>
      </c>
      <c r="J37" s="178" t="s">
        <v>1326</v>
      </c>
    </row>
    <row r="38" spans="1:10">
      <c r="A38" s="178" t="s">
        <v>2148</v>
      </c>
      <c r="B38" s="178" t="s">
        <v>279</v>
      </c>
      <c r="C38" s="178">
        <v>15</v>
      </c>
      <c r="D38" s="178" t="s">
        <v>346</v>
      </c>
      <c r="E38" s="178" t="s">
        <v>2963</v>
      </c>
      <c r="H38" s="178" t="s">
        <v>683</v>
      </c>
      <c r="I38" s="178" t="s">
        <v>3088</v>
      </c>
      <c r="J38" s="178" t="s">
        <v>739</v>
      </c>
    </row>
    <row r="39" spans="1:10">
      <c r="A39" s="178" t="s">
        <v>2149</v>
      </c>
      <c r="B39" s="178" t="s">
        <v>279</v>
      </c>
      <c r="C39" s="178">
        <v>15</v>
      </c>
      <c r="D39" s="178" t="s">
        <v>1319</v>
      </c>
      <c r="E39" s="178" t="s">
        <v>2963</v>
      </c>
      <c r="H39" s="178" t="s">
        <v>683</v>
      </c>
      <c r="I39" s="178" t="s">
        <v>3079</v>
      </c>
      <c r="J39" s="178" t="s">
        <v>3089</v>
      </c>
    </row>
    <row r="40" spans="1:10">
      <c r="A40" s="178" t="s">
        <v>2150</v>
      </c>
      <c r="B40" s="178" t="s">
        <v>1910</v>
      </c>
      <c r="C40" s="178">
        <v>3</v>
      </c>
      <c r="D40" s="178" t="s">
        <v>2972</v>
      </c>
      <c r="E40" s="178" t="s">
        <v>2963</v>
      </c>
      <c r="F40" s="182" t="s">
        <v>3059</v>
      </c>
      <c r="G40" s="182"/>
      <c r="H40" s="178" t="s">
        <v>683</v>
      </c>
      <c r="I40" s="178" t="s">
        <v>3079</v>
      </c>
      <c r="J40" s="178" t="s">
        <v>3060</v>
      </c>
    </row>
    <row r="41" spans="1:10">
      <c r="A41" s="178" t="s">
        <v>2151</v>
      </c>
      <c r="B41" s="178" t="s">
        <v>1910</v>
      </c>
      <c r="C41" s="178">
        <v>1</v>
      </c>
      <c r="D41" s="178" t="s">
        <v>2973</v>
      </c>
      <c r="E41" s="178" t="s">
        <v>2963</v>
      </c>
      <c r="F41" s="178" t="s">
        <v>3055</v>
      </c>
      <c r="H41" s="178" t="s">
        <v>683</v>
      </c>
      <c r="I41" s="178" t="s">
        <v>3090</v>
      </c>
      <c r="J41" s="178" t="s">
        <v>3062</v>
      </c>
    </row>
    <row r="42" spans="1:10">
      <c r="A42" s="178" t="s">
        <v>2152</v>
      </c>
      <c r="B42" s="178" t="s">
        <v>279</v>
      </c>
      <c r="C42" s="178">
        <v>15</v>
      </c>
      <c r="D42" s="178" t="s">
        <v>2974</v>
      </c>
      <c r="E42" s="178" t="s">
        <v>2963</v>
      </c>
      <c r="F42" s="178" t="s">
        <v>3056</v>
      </c>
      <c r="H42" s="178" t="e">
        <v>#N/A</v>
      </c>
      <c r="I42" s="178" t="s">
        <v>3081</v>
      </c>
      <c r="J42" s="178" t="s">
        <v>3081</v>
      </c>
    </row>
    <row r="43" spans="1:10">
      <c r="A43" s="178" t="s">
        <v>2153</v>
      </c>
      <c r="B43" s="178" t="s">
        <v>279</v>
      </c>
      <c r="C43" s="178">
        <v>15</v>
      </c>
      <c r="D43" s="178" t="s">
        <v>2975</v>
      </c>
      <c r="E43" s="178" t="s">
        <v>2963</v>
      </c>
      <c r="F43" s="178" t="s">
        <v>3056</v>
      </c>
      <c r="H43" s="178" t="e">
        <v>#N/A</v>
      </c>
      <c r="I43" s="178" t="s">
        <v>3081</v>
      </c>
      <c r="J43" s="178" t="s">
        <v>3081</v>
      </c>
    </row>
    <row r="44" spans="1:10">
      <c r="A44" s="178" t="s">
        <v>2154</v>
      </c>
      <c r="B44" s="178" t="s">
        <v>279</v>
      </c>
      <c r="C44" s="178">
        <v>15</v>
      </c>
      <c r="D44" s="178" t="s">
        <v>2976</v>
      </c>
      <c r="E44" s="178" t="s">
        <v>2963</v>
      </c>
      <c r="F44" s="178" t="s">
        <v>3056</v>
      </c>
      <c r="H44" s="178" t="e">
        <v>#N/A</v>
      </c>
      <c r="I44" s="178" t="s">
        <v>3081</v>
      </c>
      <c r="J44" s="178" t="s">
        <v>3081</v>
      </c>
    </row>
    <row r="45" spans="1:10">
      <c r="A45" s="178" t="s">
        <v>2331</v>
      </c>
      <c r="B45" s="178" t="s">
        <v>279</v>
      </c>
      <c r="C45" s="178">
        <v>9</v>
      </c>
      <c r="D45" s="178" t="s">
        <v>1392</v>
      </c>
      <c r="E45" s="178" t="s">
        <v>2964</v>
      </c>
      <c r="H45" s="178" t="s">
        <v>626</v>
      </c>
      <c r="I45" s="178" t="s">
        <v>2987</v>
      </c>
      <c r="J45" s="178" t="s">
        <v>1394</v>
      </c>
    </row>
    <row r="46" spans="1:10">
      <c r="A46" s="178" t="s">
        <v>2332</v>
      </c>
      <c r="B46" s="178" t="s">
        <v>279</v>
      </c>
      <c r="C46" s="178">
        <v>9</v>
      </c>
      <c r="D46" s="178" t="s">
        <v>1395</v>
      </c>
      <c r="E46" s="178" t="s">
        <v>2964</v>
      </c>
      <c r="H46" s="178" t="s">
        <v>626</v>
      </c>
      <c r="I46" s="178" t="s">
        <v>2987</v>
      </c>
      <c r="J46" s="178" t="s">
        <v>1397</v>
      </c>
    </row>
    <row r="47" spans="1:10">
      <c r="A47" s="178" t="s">
        <v>2333</v>
      </c>
      <c r="B47" s="178" t="s">
        <v>279</v>
      </c>
      <c r="C47" s="178">
        <v>9</v>
      </c>
      <c r="D47" s="178" t="s">
        <v>1401</v>
      </c>
      <c r="E47" s="178" t="s">
        <v>2964</v>
      </c>
      <c r="H47" s="178" t="s">
        <v>626</v>
      </c>
      <c r="I47" s="178" t="s">
        <v>2987</v>
      </c>
      <c r="J47" s="178" t="s">
        <v>2988</v>
      </c>
    </row>
    <row r="48" spans="1:10">
      <c r="A48" s="178" t="s">
        <v>2334</v>
      </c>
      <c r="B48" s="178" t="s">
        <v>279</v>
      </c>
      <c r="C48" s="178">
        <v>9</v>
      </c>
      <c r="D48" s="178" t="s">
        <v>1404</v>
      </c>
      <c r="E48" s="178" t="s">
        <v>2964</v>
      </c>
      <c r="H48" s="178" t="s">
        <v>626</v>
      </c>
      <c r="I48" s="178" t="s">
        <v>2987</v>
      </c>
      <c r="J48" s="178" t="s">
        <v>1406</v>
      </c>
    </row>
    <row r="49" spans="1:10">
      <c r="A49" s="178" t="s">
        <v>2335</v>
      </c>
      <c r="B49" s="178" t="s">
        <v>279</v>
      </c>
      <c r="C49" s="178">
        <v>9</v>
      </c>
      <c r="D49" s="178" t="s">
        <v>1371</v>
      </c>
      <c r="E49" s="178" t="s">
        <v>2964</v>
      </c>
      <c r="H49" s="178" t="s">
        <v>626</v>
      </c>
      <c r="I49" s="178" t="s">
        <v>2987</v>
      </c>
      <c r="J49" s="178" t="s">
        <v>2989</v>
      </c>
    </row>
    <row r="50" spans="1:10">
      <c r="A50" s="178" t="s">
        <v>2336</v>
      </c>
      <c r="B50" s="178" t="s">
        <v>279</v>
      </c>
      <c r="C50" s="178">
        <v>9</v>
      </c>
      <c r="D50" s="178" t="s">
        <v>1389</v>
      </c>
      <c r="E50" s="178" t="s">
        <v>2964</v>
      </c>
      <c r="H50" s="178" t="s">
        <v>626</v>
      </c>
      <c r="I50" s="178" t="s">
        <v>2987</v>
      </c>
      <c r="J50" s="178" t="s">
        <v>2990</v>
      </c>
    </row>
    <row r="51" spans="1:10">
      <c r="A51" s="178" t="s">
        <v>2337</v>
      </c>
      <c r="B51" s="178" t="s">
        <v>279</v>
      </c>
      <c r="C51" s="178">
        <v>9</v>
      </c>
      <c r="D51" s="178" t="s">
        <v>1374</v>
      </c>
      <c r="E51" s="178" t="s">
        <v>2964</v>
      </c>
      <c r="H51" s="178" t="s">
        <v>626</v>
      </c>
      <c r="I51" s="178" t="s">
        <v>2987</v>
      </c>
      <c r="J51" s="178" t="s">
        <v>2991</v>
      </c>
    </row>
    <row r="52" spans="1:10">
      <c r="A52" s="178" t="s">
        <v>2338</v>
      </c>
      <c r="B52" s="178" t="s">
        <v>279</v>
      </c>
      <c r="C52" s="178">
        <v>9</v>
      </c>
      <c r="D52" s="178" t="s">
        <v>1398</v>
      </c>
      <c r="E52" s="178" t="s">
        <v>2964</v>
      </c>
      <c r="H52" s="178" t="s">
        <v>626</v>
      </c>
      <c r="I52" s="178" t="s">
        <v>2987</v>
      </c>
      <c r="J52" s="178" t="s">
        <v>2992</v>
      </c>
    </row>
    <row r="53" spans="1:10">
      <c r="A53" s="178" t="s">
        <v>2339</v>
      </c>
      <c r="B53" s="178" t="s">
        <v>279</v>
      </c>
      <c r="C53" s="178">
        <v>9</v>
      </c>
      <c r="D53" s="178" t="s">
        <v>1377</v>
      </c>
      <c r="E53" s="178" t="s">
        <v>2964</v>
      </c>
      <c r="H53" s="178" t="s">
        <v>626</v>
      </c>
      <c r="I53" s="178" t="s">
        <v>2987</v>
      </c>
      <c r="J53" s="178" t="s">
        <v>2993</v>
      </c>
    </row>
    <row r="54" spans="1:10">
      <c r="A54" s="178" t="s">
        <v>2340</v>
      </c>
      <c r="B54" s="178" t="s">
        <v>279</v>
      </c>
      <c r="C54" s="178">
        <v>9</v>
      </c>
      <c r="D54" s="178" t="s">
        <v>1380</v>
      </c>
      <c r="E54" s="178" t="s">
        <v>2964</v>
      </c>
      <c r="H54" s="178" t="s">
        <v>626</v>
      </c>
      <c r="I54" s="178" t="s">
        <v>2987</v>
      </c>
      <c r="J54" s="178" t="s">
        <v>2994</v>
      </c>
    </row>
    <row r="55" spans="1:10">
      <c r="A55" s="178" t="s">
        <v>2341</v>
      </c>
      <c r="B55" s="178" t="s">
        <v>279</v>
      </c>
      <c r="C55" s="178">
        <v>9</v>
      </c>
      <c r="D55" s="178" t="s">
        <v>1383</v>
      </c>
      <c r="E55" s="178" t="s">
        <v>2964</v>
      </c>
      <c r="H55" s="178" t="s">
        <v>626</v>
      </c>
      <c r="I55" s="178" t="s">
        <v>2987</v>
      </c>
      <c r="J55" s="178" t="s">
        <v>2995</v>
      </c>
    </row>
    <row r="56" spans="1:10">
      <c r="A56" s="178" t="s">
        <v>2342</v>
      </c>
      <c r="B56" s="178" t="s">
        <v>279</v>
      </c>
      <c r="C56" s="178">
        <v>9</v>
      </c>
      <c r="D56" s="178" t="s">
        <v>896</v>
      </c>
      <c r="E56" s="178" t="s">
        <v>2964</v>
      </c>
      <c r="H56" s="178" t="s">
        <v>626</v>
      </c>
      <c r="I56" s="178" t="s">
        <v>2987</v>
      </c>
      <c r="J56" s="178" t="s">
        <v>2996</v>
      </c>
    </row>
    <row r="57" spans="1:10">
      <c r="A57" s="178" t="s">
        <v>2343</v>
      </c>
      <c r="B57" s="178" t="s">
        <v>279</v>
      </c>
      <c r="C57" s="178">
        <v>9</v>
      </c>
      <c r="D57" s="178" t="s">
        <v>801</v>
      </c>
      <c r="E57" s="178" t="s">
        <v>2964</v>
      </c>
      <c r="H57" s="178" t="s">
        <v>626</v>
      </c>
      <c r="I57" s="178" t="s">
        <v>2987</v>
      </c>
      <c r="J57" s="178" t="s">
        <v>803</v>
      </c>
    </row>
    <row r="58" spans="1:10">
      <c r="A58" s="178" t="s">
        <v>2344</v>
      </c>
      <c r="B58" s="178" t="s">
        <v>279</v>
      </c>
      <c r="C58" s="178">
        <v>9</v>
      </c>
      <c r="D58" s="178" t="s">
        <v>1411</v>
      </c>
      <c r="E58" s="178" t="s">
        <v>2964</v>
      </c>
      <c r="H58" s="178" t="s">
        <v>626</v>
      </c>
      <c r="I58" s="178" t="s">
        <v>2987</v>
      </c>
      <c r="J58" s="178" t="s">
        <v>892</v>
      </c>
    </row>
    <row r="59" spans="1:10">
      <c r="A59" s="178" t="s">
        <v>2345</v>
      </c>
      <c r="B59" s="178" t="s">
        <v>279</v>
      </c>
      <c r="C59" s="178">
        <v>9</v>
      </c>
      <c r="D59" s="178" t="s">
        <v>1350</v>
      </c>
      <c r="E59" s="178" t="s">
        <v>2964</v>
      </c>
      <c r="H59" s="178" t="s">
        <v>626</v>
      </c>
      <c r="I59" s="178" t="s">
        <v>2987</v>
      </c>
      <c r="J59" s="178" t="s">
        <v>2997</v>
      </c>
    </row>
    <row r="60" spans="1:10">
      <c r="A60" s="178" t="s">
        <v>2346</v>
      </c>
      <c r="B60" s="178" t="s">
        <v>1910</v>
      </c>
      <c r="C60" s="178">
        <v>3</v>
      </c>
      <c r="D60" s="178" t="s">
        <v>3026</v>
      </c>
      <c r="E60" s="178" t="s">
        <v>2964</v>
      </c>
      <c r="H60" s="178" t="s">
        <v>625</v>
      </c>
      <c r="I60" s="178" t="s">
        <v>2987</v>
      </c>
      <c r="J60" s="178" t="s">
        <v>1415</v>
      </c>
    </row>
    <row r="61" spans="1:10">
      <c r="A61" s="178" t="s">
        <v>2347</v>
      </c>
      <c r="B61" s="178" t="s">
        <v>1910</v>
      </c>
      <c r="C61" s="178">
        <v>3</v>
      </c>
      <c r="D61" s="178" t="s">
        <v>1438</v>
      </c>
      <c r="E61" s="178" t="s">
        <v>2964</v>
      </c>
      <c r="H61" s="178" t="s">
        <v>625</v>
      </c>
      <c r="I61" s="178" t="s">
        <v>2987</v>
      </c>
      <c r="J61" s="178" t="s">
        <v>1416</v>
      </c>
    </row>
    <row r="62" spans="1:10">
      <c r="A62" s="178" t="s">
        <v>2348</v>
      </c>
      <c r="B62" s="178" t="s">
        <v>1910</v>
      </c>
      <c r="C62" s="178">
        <v>3</v>
      </c>
      <c r="D62" s="178" t="s">
        <v>1439</v>
      </c>
      <c r="E62" s="178" t="s">
        <v>2964</v>
      </c>
      <c r="H62" s="178" t="s">
        <v>625</v>
      </c>
      <c r="I62" s="178" t="s">
        <v>2987</v>
      </c>
      <c r="J62" s="178" t="s">
        <v>1417</v>
      </c>
    </row>
    <row r="63" spans="1:10">
      <c r="A63" s="178" t="s">
        <v>2349</v>
      </c>
      <c r="B63" s="178" t="s">
        <v>279</v>
      </c>
      <c r="C63" s="178">
        <v>9</v>
      </c>
      <c r="D63" s="178" t="s">
        <v>764</v>
      </c>
      <c r="E63" s="178" t="s">
        <v>2964</v>
      </c>
      <c r="H63" s="178" t="s">
        <v>626</v>
      </c>
      <c r="I63" s="178" t="s">
        <v>2987</v>
      </c>
      <c r="J63" s="178" t="s">
        <v>766</v>
      </c>
    </row>
    <row r="64" spans="1:10">
      <c r="A64" s="178" t="s">
        <v>2350</v>
      </c>
      <c r="B64" s="178" t="s">
        <v>279</v>
      </c>
      <c r="C64" s="178">
        <v>9</v>
      </c>
      <c r="D64" s="178" t="s">
        <v>1343</v>
      </c>
      <c r="E64" s="178" t="s">
        <v>2964</v>
      </c>
      <c r="H64" s="178" t="s">
        <v>626</v>
      </c>
      <c r="I64" s="178" t="s">
        <v>2987</v>
      </c>
      <c r="J64" s="178" t="s">
        <v>2998</v>
      </c>
    </row>
    <row r="65" spans="1:10">
      <c r="A65" s="178" t="s">
        <v>2351</v>
      </c>
      <c r="B65" s="178" t="s">
        <v>279</v>
      </c>
      <c r="C65" s="178">
        <v>9</v>
      </c>
      <c r="D65" s="178" t="s">
        <v>783</v>
      </c>
      <c r="E65" s="178" t="s">
        <v>2964</v>
      </c>
      <c r="H65" s="178" t="s">
        <v>626</v>
      </c>
      <c r="I65" s="178" t="s">
        <v>2987</v>
      </c>
      <c r="J65" s="178" t="s">
        <v>785</v>
      </c>
    </row>
    <row r="66" spans="1:10">
      <c r="A66" s="178" t="s">
        <v>2352</v>
      </c>
      <c r="B66" s="178" t="s">
        <v>279</v>
      </c>
      <c r="C66" s="178">
        <v>9</v>
      </c>
      <c r="D66" s="178" t="s">
        <v>1347</v>
      </c>
      <c r="E66" s="178" t="s">
        <v>2964</v>
      </c>
      <c r="H66" s="178" t="s">
        <v>626</v>
      </c>
      <c r="I66" s="178" t="s">
        <v>2987</v>
      </c>
      <c r="J66" s="178" t="s">
        <v>2999</v>
      </c>
    </row>
    <row r="67" spans="1:10">
      <c r="A67" s="178" t="s">
        <v>2353</v>
      </c>
      <c r="B67" s="178" t="s">
        <v>279</v>
      </c>
      <c r="C67" s="178">
        <v>9</v>
      </c>
      <c r="D67" s="178" t="s">
        <v>1353</v>
      </c>
      <c r="E67" s="178" t="s">
        <v>2964</v>
      </c>
      <c r="H67" s="178" t="s">
        <v>626</v>
      </c>
      <c r="I67" s="178" t="s">
        <v>2987</v>
      </c>
      <c r="J67" s="178" t="s">
        <v>3000</v>
      </c>
    </row>
    <row r="68" spans="1:10">
      <c r="A68" s="178" t="s">
        <v>2354</v>
      </c>
      <c r="B68" s="178" t="s">
        <v>279</v>
      </c>
      <c r="C68" s="178">
        <v>9</v>
      </c>
      <c r="D68" s="178" t="s">
        <v>1368</v>
      </c>
      <c r="E68" s="178" t="s">
        <v>2964</v>
      </c>
      <c r="H68" s="178" t="s">
        <v>626</v>
      </c>
      <c r="I68" s="178" t="s">
        <v>2987</v>
      </c>
      <c r="J68" s="178" t="s">
        <v>3001</v>
      </c>
    </row>
    <row r="69" spans="1:10">
      <c r="A69" s="178" t="s">
        <v>2355</v>
      </c>
      <c r="B69" s="178" t="s">
        <v>279</v>
      </c>
      <c r="C69" s="178">
        <v>9</v>
      </c>
      <c r="D69" s="178" t="s">
        <v>874</v>
      </c>
      <c r="E69" s="178" t="s">
        <v>2964</v>
      </c>
      <c r="H69" s="178" t="s">
        <v>626</v>
      </c>
      <c r="I69" s="178" t="s">
        <v>2987</v>
      </c>
      <c r="J69" s="178" t="s">
        <v>3002</v>
      </c>
    </row>
    <row r="70" spans="1:10">
      <c r="A70" s="178" t="s">
        <v>2356</v>
      </c>
      <c r="B70" s="178" t="s">
        <v>279</v>
      </c>
      <c r="C70" s="178">
        <v>9</v>
      </c>
      <c r="D70" s="178" t="s">
        <v>754</v>
      </c>
      <c r="E70" s="178" t="s">
        <v>2964</v>
      </c>
      <c r="H70" s="178" t="s">
        <v>626</v>
      </c>
      <c r="I70" s="178" t="s">
        <v>2987</v>
      </c>
      <c r="J70" s="178" t="s">
        <v>756</v>
      </c>
    </row>
    <row r="71" spans="1:10">
      <c r="A71" s="178" t="s">
        <v>2357</v>
      </c>
      <c r="B71" s="178" t="s">
        <v>279</v>
      </c>
      <c r="C71" s="178">
        <v>9</v>
      </c>
      <c r="D71" s="178" t="s">
        <v>798</v>
      </c>
      <c r="E71" s="178" t="s">
        <v>2964</v>
      </c>
      <c r="H71" s="178" t="s">
        <v>626</v>
      </c>
      <c r="I71" s="178" t="s">
        <v>2987</v>
      </c>
      <c r="J71" s="178" t="s">
        <v>800</v>
      </c>
    </row>
    <row r="72" spans="1:10">
      <c r="A72" s="178" t="s">
        <v>2358</v>
      </c>
      <c r="B72" s="178" t="s">
        <v>279</v>
      </c>
      <c r="C72" s="178">
        <v>9</v>
      </c>
      <c r="D72" s="178" t="s">
        <v>767</v>
      </c>
      <c r="E72" s="178" t="s">
        <v>2964</v>
      </c>
      <c r="H72" s="178" t="s">
        <v>626</v>
      </c>
      <c r="I72" s="178" t="s">
        <v>2987</v>
      </c>
      <c r="J72" s="178" t="s">
        <v>769</v>
      </c>
    </row>
    <row r="73" spans="1:10">
      <c r="A73" s="178" t="s">
        <v>2359</v>
      </c>
      <c r="B73" s="178" t="s">
        <v>279</v>
      </c>
      <c r="C73" s="178">
        <v>9</v>
      </c>
      <c r="D73" s="178" t="s">
        <v>1337</v>
      </c>
      <c r="E73" s="178" t="s">
        <v>2964</v>
      </c>
      <c r="H73" s="178" t="s">
        <v>626</v>
      </c>
      <c r="I73" s="178" t="s">
        <v>2987</v>
      </c>
      <c r="J73" s="178" t="s">
        <v>763</v>
      </c>
    </row>
    <row r="74" spans="1:10">
      <c r="A74" s="178" t="s">
        <v>2360</v>
      </c>
      <c r="B74" s="178" t="s">
        <v>279</v>
      </c>
      <c r="C74" s="178">
        <v>9</v>
      </c>
      <c r="D74" s="178" t="s">
        <v>770</v>
      </c>
      <c r="E74" s="178" t="s">
        <v>2964</v>
      </c>
      <c r="H74" s="178" t="s">
        <v>626</v>
      </c>
      <c r="I74" s="178" t="s">
        <v>2987</v>
      </c>
      <c r="J74" s="178" t="s">
        <v>772</v>
      </c>
    </row>
    <row r="75" spans="1:10">
      <c r="A75" s="178" t="s">
        <v>2361</v>
      </c>
      <c r="B75" s="178" t="s">
        <v>279</v>
      </c>
      <c r="C75" s="178">
        <v>9</v>
      </c>
      <c r="D75" s="178" t="s">
        <v>786</v>
      </c>
      <c r="E75" s="178" t="s">
        <v>2964</v>
      </c>
      <c r="H75" s="178" t="s">
        <v>626</v>
      </c>
      <c r="I75" s="178" t="s">
        <v>2987</v>
      </c>
      <c r="J75" s="178" t="s">
        <v>788</v>
      </c>
    </row>
    <row r="76" spans="1:10">
      <c r="A76" s="178" t="s">
        <v>2362</v>
      </c>
      <c r="B76" s="178" t="s">
        <v>279</v>
      </c>
      <c r="C76" s="178">
        <v>9</v>
      </c>
      <c r="D76" s="178" t="s">
        <v>789</v>
      </c>
      <c r="E76" s="178" t="s">
        <v>2964</v>
      </c>
      <c r="H76" s="178" t="s">
        <v>626</v>
      </c>
      <c r="I76" s="178" t="s">
        <v>2987</v>
      </c>
      <c r="J76" s="178" t="s">
        <v>791</v>
      </c>
    </row>
    <row r="77" spans="1:10">
      <c r="A77" s="178" t="s">
        <v>2363</v>
      </c>
      <c r="B77" s="178" t="s">
        <v>279</v>
      </c>
      <c r="C77" s="178">
        <v>9</v>
      </c>
      <c r="D77" s="178" t="s">
        <v>795</v>
      </c>
      <c r="E77" s="178" t="s">
        <v>2964</v>
      </c>
      <c r="H77" s="178" t="s">
        <v>626</v>
      </c>
      <c r="I77" s="178" t="s">
        <v>2987</v>
      </c>
      <c r="J77" s="178" t="s">
        <v>797</v>
      </c>
    </row>
    <row r="78" spans="1:10">
      <c r="A78" s="178" t="s">
        <v>2364</v>
      </c>
      <c r="B78" s="178" t="s">
        <v>279</v>
      </c>
      <c r="C78" s="178">
        <v>9</v>
      </c>
      <c r="D78" s="178" t="s">
        <v>792</v>
      </c>
      <c r="E78" s="178" t="s">
        <v>2964</v>
      </c>
      <c r="H78" s="178" t="s">
        <v>626</v>
      </c>
      <c r="I78" s="178" t="s">
        <v>2987</v>
      </c>
      <c r="J78" s="178" t="s">
        <v>794</v>
      </c>
    </row>
    <row r="79" spans="1:10">
      <c r="A79" s="178" t="s">
        <v>2365</v>
      </c>
      <c r="B79" s="178" t="s">
        <v>279</v>
      </c>
      <c r="C79" s="178">
        <v>9</v>
      </c>
      <c r="D79" s="178" t="s">
        <v>855</v>
      </c>
      <c r="E79" s="178" t="s">
        <v>2964</v>
      </c>
      <c r="H79" s="178" t="s">
        <v>626</v>
      </c>
      <c r="I79" s="178" t="s">
        <v>2987</v>
      </c>
      <c r="J79" s="178" t="s">
        <v>857</v>
      </c>
    </row>
    <row r="80" spans="1:10">
      <c r="A80" s="178" t="s">
        <v>2366</v>
      </c>
      <c r="B80" s="178" t="s">
        <v>279</v>
      </c>
      <c r="C80" s="178">
        <v>9</v>
      </c>
      <c r="D80" s="178" t="s">
        <v>1333</v>
      </c>
      <c r="E80" s="178" t="s">
        <v>2964</v>
      </c>
      <c r="H80" s="178" t="s">
        <v>627</v>
      </c>
      <c r="I80" s="178" t="s">
        <v>3003</v>
      </c>
      <c r="J80" s="178" t="s">
        <v>1336</v>
      </c>
    </row>
    <row r="81" spans="1:10">
      <c r="A81" s="178" t="s">
        <v>2367</v>
      </c>
      <c r="B81" s="178" t="s">
        <v>279</v>
      </c>
      <c r="C81" s="178">
        <v>9</v>
      </c>
      <c r="D81" s="178" t="s">
        <v>871</v>
      </c>
      <c r="E81" s="178" t="s">
        <v>2964</v>
      </c>
      <c r="H81" s="178" t="s">
        <v>626</v>
      </c>
      <c r="I81" s="178" t="s">
        <v>2987</v>
      </c>
      <c r="J81" s="178" t="s">
        <v>873</v>
      </c>
    </row>
    <row r="82" spans="1:10">
      <c r="A82" s="178" t="s">
        <v>2368</v>
      </c>
      <c r="B82" s="178" t="s">
        <v>279</v>
      </c>
      <c r="C82" s="178">
        <v>9</v>
      </c>
      <c r="D82" s="178" t="s">
        <v>1340</v>
      </c>
      <c r="E82" s="178" t="s">
        <v>2964</v>
      </c>
      <c r="H82" s="178" t="s">
        <v>626</v>
      </c>
      <c r="I82" s="178" t="s">
        <v>2987</v>
      </c>
      <c r="J82" s="178" t="s">
        <v>3004</v>
      </c>
    </row>
    <row r="83" spans="1:10">
      <c r="A83" s="178" t="s">
        <v>2369</v>
      </c>
      <c r="B83" s="178" t="s">
        <v>279</v>
      </c>
      <c r="C83" s="178">
        <v>9</v>
      </c>
      <c r="D83" s="178" t="s">
        <v>1346</v>
      </c>
      <c r="E83" s="178" t="s">
        <v>2964</v>
      </c>
      <c r="H83" s="178" t="s">
        <v>626</v>
      </c>
      <c r="I83" s="178" t="s">
        <v>2987</v>
      </c>
      <c r="J83" s="178" t="s">
        <v>774</v>
      </c>
    </row>
    <row r="84" spans="1:10">
      <c r="A84" s="178" t="s">
        <v>2370</v>
      </c>
      <c r="B84" s="178" t="s">
        <v>279</v>
      </c>
      <c r="C84" s="178">
        <v>9</v>
      </c>
      <c r="D84" s="178" t="s">
        <v>1356</v>
      </c>
      <c r="E84" s="178" t="s">
        <v>2964</v>
      </c>
      <c r="H84" s="178" t="s">
        <v>626</v>
      </c>
      <c r="I84" s="178" t="s">
        <v>2987</v>
      </c>
      <c r="J84" s="178" t="s">
        <v>3005</v>
      </c>
    </row>
    <row r="85" spans="1:10">
      <c r="A85" s="178" t="s">
        <v>2371</v>
      </c>
      <c r="B85" s="178" t="s">
        <v>279</v>
      </c>
      <c r="C85" s="178">
        <v>9</v>
      </c>
      <c r="D85" s="178" t="s">
        <v>1365</v>
      </c>
      <c r="E85" s="178" t="s">
        <v>2964</v>
      </c>
      <c r="H85" s="178" t="s">
        <v>626</v>
      </c>
      <c r="I85" s="178" t="s">
        <v>2987</v>
      </c>
      <c r="J85" s="178" t="s">
        <v>3006</v>
      </c>
    </row>
    <row r="86" spans="1:10">
      <c r="A86" s="178" t="s">
        <v>2372</v>
      </c>
      <c r="B86" s="178" t="s">
        <v>279</v>
      </c>
      <c r="C86" s="178">
        <v>9</v>
      </c>
      <c r="D86" s="178" t="s">
        <v>1386</v>
      </c>
      <c r="E86" s="178" t="s">
        <v>2964</v>
      </c>
      <c r="H86" s="178" t="s">
        <v>626</v>
      </c>
      <c r="I86" s="178" t="s">
        <v>2987</v>
      </c>
      <c r="J86" s="178" t="s">
        <v>3007</v>
      </c>
    </row>
    <row r="87" spans="1:10">
      <c r="A87" s="178" t="s">
        <v>2373</v>
      </c>
      <c r="B87" s="178" t="s">
        <v>279</v>
      </c>
      <c r="C87" s="178">
        <v>9</v>
      </c>
      <c r="D87" s="178" t="s">
        <v>1359</v>
      </c>
      <c r="E87" s="178" t="s">
        <v>2964</v>
      </c>
      <c r="H87" s="178" t="s">
        <v>626</v>
      </c>
      <c r="I87" s="178" t="s">
        <v>2987</v>
      </c>
      <c r="J87" s="178" t="s">
        <v>2875</v>
      </c>
    </row>
    <row r="88" spans="1:10">
      <c r="A88" s="178" t="s">
        <v>2374</v>
      </c>
      <c r="B88" s="178" t="s">
        <v>279</v>
      </c>
      <c r="C88" s="178">
        <v>9</v>
      </c>
      <c r="D88" s="178" t="s">
        <v>1362</v>
      </c>
      <c r="E88" s="178" t="s">
        <v>2964</v>
      </c>
      <c r="H88" s="178" t="s">
        <v>626</v>
      </c>
      <c r="I88" s="178" t="s">
        <v>2987</v>
      </c>
      <c r="J88" s="178" t="s">
        <v>3008</v>
      </c>
    </row>
    <row r="89" spans="1:10">
      <c r="A89" s="178" t="s">
        <v>2375</v>
      </c>
      <c r="B89" s="178" t="s">
        <v>279</v>
      </c>
      <c r="C89" s="178">
        <v>9</v>
      </c>
      <c r="D89" s="178" t="s">
        <v>1407</v>
      </c>
      <c r="E89" s="178" t="s">
        <v>2964</v>
      </c>
      <c r="H89" s="178" t="s">
        <v>626</v>
      </c>
      <c r="I89" s="178" t="s">
        <v>2987</v>
      </c>
      <c r="J89" s="178" t="s">
        <v>3009</v>
      </c>
    </row>
    <row r="90" spans="1:10">
      <c r="A90" s="178" t="s">
        <v>2376</v>
      </c>
      <c r="B90" s="178" t="s">
        <v>279</v>
      </c>
      <c r="C90" s="178">
        <v>9</v>
      </c>
      <c r="D90" s="178" t="s">
        <v>757</v>
      </c>
      <c r="E90" s="178" t="s">
        <v>2964</v>
      </c>
      <c r="H90" s="178" t="s">
        <v>626</v>
      </c>
      <c r="I90" s="178" t="s">
        <v>2987</v>
      </c>
      <c r="J90" s="178" t="s">
        <v>761</v>
      </c>
    </row>
    <row r="91" spans="1:10">
      <c r="A91" s="178" t="s">
        <v>2377</v>
      </c>
      <c r="B91" s="178" t="s">
        <v>279</v>
      </c>
      <c r="C91" s="178">
        <v>9</v>
      </c>
      <c r="D91" s="178" t="s">
        <v>866</v>
      </c>
      <c r="E91" s="178" t="s">
        <v>2964</v>
      </c>
      <c r="H91" s="178" t="s">
        <v>626</v>
      </c>
      <c r="I91" s="178" t="s">
        <v>2987</v>
      </c>
      <c r="J91" s="178" t="s">
        <v>3010</v>
      </c>
    </row>
    <row r="92" spans="1:10">
      <c r="A92" s="178" t="s">
        <v>2378</v>
      </c>
      <c r="B92" s="178" t="s">
        <v>279</v>
      </c>
      <c r="C92" s="178">
        <v>9</v>
      </c>
      <c r="D92" s="178" t="s">
        <v>868</v>
      </c>
      <c r="E92" s="178" t="s">
        <v>2964</v>
      </c>
      <c r="H92" s="178" t="s">
        <v>626</v>
      </c>
      <c r="I92" s="178" t="s">
        <v>2987</v>
      </c>
      <c r="J92" s="178" t="s">
        <v>3011</v>
      </c>
    </row>
    <row r="93" spans="1:10">
      <c r="A93" s="178" t="s">
        <v>2379</v>
      </c>
      <c r="B93" s="178" t="s">
        <v>279</v>
      </c>
      <c r="C93" s="178">
        <v>9</v>
      </c>
      <c r="D93" s="178" t="s">
        <v>863</v>
      </c>
      <c r="E93" s="178" t="s">
        <v>2964</v>
      </c>
      <c r="H93" s="178" t="s">
        <v>626</v>
      </c>
      <c r="I93" s="178" t="s">
        <v>2987</v>
      </c>
      <c r="J93" s="178" t="s">
        <v>865</v>
      </c>
    </row>
    <row r="94" spans="1:10">
      <c r="A94" s="178" t="s">
        <v>2380</v>
      </c>
      <c r="B94" s="178" t="s">
        <v>279</v>
      </c>
      <c r="C94" s="178">
        <v>9</v>
      </c>
      <c r="D94" s="178" t="s">
        <v>893</v>
      </c>
      <c r="E94" s="178" t="s">
        <v>2964</v>
      </c>
      <c r="H94" s="178" t="s">
        <v>626</v>
      </c>
      <c r="I94" s="178" t="s">
        <v>2987</v>
      </c>
      <c r="J94" s="178" t="s">
        <v>895</v>
      </c>
    </row>
    <row r="95" spans="1:10">
      <c r="A95" s="178" t="s">
        <v>2381</v>
      </c>
      <c r="B95" s="178" t="s">
        <v>279</v>
      </c>
      <c r="C95" s="178">
        <v>4</v>
      </c>
      <c r="D95" s="178" t="s">
        <v>917</v>
      </c>
      <c r="E95" s="178" t="s">
        <v>2964</v>
      </c>
      <c r="H95" s="178" t="s">
        <v>625</v>
      </c>
      <c r="I95" s="178" t="s">
        <v>3012</v>
      </c>
      <c r="J95" s="178" t="s">
        <v>92</v>
      </c>
    </row>
    <row r="96" spans="1:10">
      <c r="A96" s="178" t="s">
        <v>2382</v>
      </c>
      <c r="B96" s="178" t="s">
        <v>279</v>
      </c>
      <c r="C96" s="178">
        <v>4</v>
      </c>
      <c r="D96" s="178" t="s">
        <v>1441</v>
      </c>
      <c r="E96" s="178" t="s">
        <v>2964</v>
      </c>
      <c r="H96" s="178" t="s">
        <v>625</v>
      </c>
      <c r="I96" s="178" t="s">
        <v>3012</v>
      </c>
      <c r="J96" s="178" t="s">
        <v>3013</v>
      </c>
    </row>
    <row r="97" spans="1:10">
      <c r="A97" s="178" t="s">
        <v>2383</v>
      </c>
      <c r="B97" s="178" t="s">
        <v>279</v>
      </c>
      <c r="C97" s="178">
        <v>4</v>
      </c>
      <c r="D97" s="178" t="s">
        <v>914</v>
      </c>
      <c r="E97" s="178" t="s">
        <v>2964</v>
      </c>
      <c r="H97" s="178" t="s">
        <v>625</v>
      </c>
      <c r="I97" s="178" t="s">
        <v>3012</v>
      </c>
      <c r="J97" s="178" t="s">
        <v>3014</v>
      </c>
    </row>
    <row r="98" spans="1:10">
      <c r="A98" s="178" t="s">
        <v>2384</v>
      </c>
      <c r="B98" s="178" t="s">
        <v>279</v>
      </c>
      <c r="C98" s="178">
        <v>4</v>
      </c>
      <c r="D98" s="178" t="s">
        <v>1442</v>
      </c>
      <c r="E98" s="178" t="s">
        <v>2964</v>
      </c>
      <c r="H98" s="178" t="s">
        <v>625</v>
      </c>
      <c r="I98" s="178" t="s">
        <v>3012</v>
      </c>
      <c r="J98" s="178" t="s">
        <v>2736</v>
      </c>
    </row>
    <row r="99" spans="1:10">
      <c r="A99" s="178" t="s">
        <v>2385</v>
      </c>
      <c r="B99" s="178" t="s">
        <v>279</v>
      </c>
      <c r="C99" s="178">
        <v>4</v>
      </c>
      <c r="D99" s="178" t="s">
        <v>1443</v>
      </c>
      <c r="E99" s="178" t="s">
        <v>2964</v>
      </c>
      <c r="H99" s="178" t="s">
        <v>625</v>
      </c>
      <c r="I99" s="178" t="s">
        <v>3012</v>
      </c>
      <c r="J99" s="178" t="s">
        <v>3015</v>
      </c>
    </row>
    <row r="100" spans="1:10" ht="45">
      <c r="A100" s="178" t="s">
        <v>2386</v>
      </c>
      <c r="B100" s="178" t="s">
        <v>279</v>
      </c>
      <c r="C100" s="178">
        <v>9</v>
      </c>
      <c r="D100" s="178" t="s">
        <v>1444</v>
      </c>
      <c r="E100" s="178" t="s">
        <v>2964</v>
      </c>
      <c r="H100" s="178" t="e">
        <v>#N/A</v>
      </c>
      <c r="I100" s="179" t="s">
        <v>3027</v>
      </c>
      <c r="J100" s="178" t="s">
        <v>3016</v>
      </c>
    </row>
    <row r="101" spans="1:10">
      <c r="A101" s="178" t="s">
        <v>2387</v>
      </c>
      <c r="B101" s="178" t="s">
        <v>279</v>
      </c>
      <c r="C101" s="178">
        <v>9</v>
      </c>
      <c r="D101" s="178" t="s">
        <v>858</v>
      </c>
      <c r="E101" s="178" t="s">
        <v>2964</v>
      </c>
      <c r="H101" s="178" t="s">
        <v>626</v>
      </c>
      <c r="I101" s="178" t="s">
        <v>2987</v>
      </c>
      <c r="J101" s="178" t="s">
        <v>191</v>
      </c>
    </row>
    <row r="102" spans="1:10">
      <c r="A102" s="178" t="s">
        <v>2388</v>
      </c>
      <c r="B102" s="178" t="s">
        <v>279</v>
      </c>
      <c r="C102" s="178">
        <v>9</v>
      </c>
      <c r="D102" s="178" t="s">
        <v>1447</v>
      </c>
      <c r="E102" s="178" t="s">
        <v>2964</v>
      </c>
      <c r="H102" s="178" t="s">
        <v>625</v>
      </c>
      <c r="I102" s="178" t="s">
        <v>2987</v>
      </c>
      <c r="J102" s="178" t="s">
        <v>842</v>
      </c>
    </row>
    <row r="103" spans="1:10">
      <c r="A103" s="178" t="s">
        <v>2389</v>
      </c>
      <c r="B103" s="178" t="s">
        <v>279</v>
      </c>
      <c r="C103" s="178">
        <v>4</v>
      </c>
      <c r="D103" s="178" t="s">
        <v>1418</v>
      </c>
      <c r="E103" s="178" t="s">
        <v>2964</v>
      </c>
      <c r="H103" s="178" t="s">
        <v>625</v>
      </c>
      <c r="I103" s="178" t="s">
        <v>3012</v>
      </c>
      <c r="J103" s="178" t="s">
        <v>1419</v>
      </c>
    </row>
    <row r="104" spans="1:10">
      <c r="A104" s="178" t="s">
        <v>2390</v>
      </c>
      <c r="B104" s="178" t="s">
        <v>279</v>
      </c>
      <c r="C104" s="178">
        <v>4</v>
      </c>
      <c r="D104" s="178" t="s">
        <v>922</v>
      </c>
      <c r="E104" s="178" t="s">
        <v>2964</v>
      </c>
      <c r="F104" s="178" t="s">
        <v>3057</v>
      </c>
      <c r="H104" s="178" t="s">
        <v>625</v>
      </c>
      <c r="I104" s="178" t="s">
        <v>3012</v>
      </c>
      <c r="J104" s="178" t="s">
        <v>924</v>
      </c>
    </row>
    <row r="105" spans="1:10">
      <c r="A105" s="178" t="s">
        <v>2391</v>
      </c>
      <c r="B105" s="178" t="s">
        <v>279</v>
      </c>
      <c r="C105" s="178">
        <v>4</v>
      </c>
      <c r="D105" s="178" t="s">
        <v>1420</v>
      </c>
      <c r="E105" s="178" t="s">
        <v>2964</v>
      </c>
      <c r="H105" s="178" t="s">
        <v>625</v>
      </c>
      <c r="I105" s="178" t="s">
        <v>3012</v>
      </c>
      <c r="J105" s="178" t="s">
        <v>1421</v>
      </c>
    </row>
    <row r="106" spans="1:10">
      <c r="A106" s="178" t="s">
        <v>2519</v>
      </c>
      <c r="B106" s="178" t="s">
        <v>279</v>
      </c>
      <c r="C106" s="178">
        <v>4</v>
      </c>
      <c r="D106" s="178" t="s">
        <v>1422</v>
      </c>
      <c r="E106" s="178" t="s">
        <v>2964</v>
      </c>
      <c r="H106" s="178" t="s">
        <v>625</v>
      </c>
      <c r="I106" s="178" t="s">
        <v>3012</v>
      </c>
      <c r="J106" s="178" t="s">
        <v>1423</v>
      </c>
    </row>
    <row r="107" spans="1:10">
      <c r="A107" s="178" t="s">
        <v>2961</v>
      </c>
      <c r="B107" s="178" t="s">
        <v>279</v>
      </c>
      <c r="C107" s="178">
        <v>4</v>
      </c>
      <c r="D107" s="178" t="s">
        <v>1424</v>
      </c>
      <c r="E107" s="178" t="s">
        <v>2964</v>
      </c>
      <c r="H107" s="178" t="s">
        <v>625</v>
      </c>
      <c r="I107" s="178" t="s">
        <v>3012</v>
      </c>
      <c r="J107" s="178" t="s">
        <v>1425</v>
      </c>
    </row>
    <row r="108" spans="1:10">
      <c r="A108" s="178" t="s">
        <v>2962</v>
      </c>
      <c r="B108" s="178" t="s">
        <v>279</v>
      </c>
      <c r="C108" s="178">
        <v>4</v>
      </c>
      <c r="D108" s="178" t="s">
        <v>2977</v>
      </c>
      <c r="E108" s="178" t="s">
        <v>2964</v>
      </c>
      <c r="H108" s="180" t="s">
        <v>625</v>
      </c>
      <c r="I108" s="178" t="s">
        <v>3012</v>
      </c>
      <c r="J108" s="178" t="s">
        <v>3017</v>
      </c>
    </row>
    <row r="109" spans="1:10" ht="56.25">
      <c r="A109" s="178" t="s">
        <v>2392</v>
      </c>
      <c r="B109" s="178" t="s">
        <v>279</v>
      </c>
      <c r="C109" s="178">
        <v>4</v>
      </c>
      <c r="D109" s="178" t="s">
        <v>1023</v>
      </c>
      <c r="E109" s="178" t="s">
        <v>2965</v>
      </c>
      <c r="H109" s="179" t="s">
        <v>3031</v>
      </c>
      <c r="I109" s="178" t="s">
        <v>3018</v>
      </c>
      <c r="J109" s="178" t="s">
        <v>104</v>
      </c>
    </row>
    <row r="110" spans="1:10" ht="56.25">
      <c r="A110" s="178" t="s">
        <v>2393</v>
      </c>
      <c r="B110" s="178" t="s">
        <v>279</v>
      </c>
      <c r="C110" s="178">
        <v>2</v>
      </c>
      <c r="D110" s="178" t="s">
        <v>1427</v>
      </c>
      <c r="E110" s="178" t="s">
        <v>2965</v>
      </c>
      <c r="F110" s="178" t="s">
        <v>3057</v>
      </c>
      <c r="H110" s="179" t="s">
        <v>3031</v>
      </c>
      <c r="I110" s="178" t="s">
        <v>3018</v>
      </c>
      <c r="J110" s="178" t="s">
        <v>105</v>
      </c>
    </row>
    <row r="111" spans="1:10" ht="56.25">
      <c r="A111" s="178" t="s">
        <v>2394</v>
      </c>
      <c r="B111" s="178" t="s">
        <v>279</v>
      </c>
      <c r="C111" s="178">
        <v>3</v>
      </c>
      <c r="D111" s="178" t="s">
        <v>987</v>
      </c>
      <c r="E111" s="178" t="s">
        <v>2965</v>
      </c>
      <c r="H111" s="179" t="s">
        <v>3031</v>
      </c>
      <c r="I111" s="178" t="s">
        <v>3019</v>
      </c>
      <c r="J111" s="178" t="s">
        <v>989</v>
      </c>
    </row>
    <row r="112" spans="1:10" ht="56.25">
      <c r="A112" s="178" t="s">
        <v>2395</v>
      </c>
      <c r="B112" s="178" t="s">
        <v>279</v>
      </c>
      <c r="C112" s="178">
        <v>3</v>
      </c>
      <c r="D112" s="178" t="s">
        <v>979</v>
      </c>
      <c r="E112" s="178" t="s">
        <v>2965</v>
      </c>
      <c r="H112" s="179" t="s">
        <v>3031</v>
      </c>
      <c r="I112" s="178" t="s">
        <v>3019</v>
      </c>
      <c r="J112" s="178" t="s">
        <v>981</v>
      </c>
    </row>
    <row r="113" spans="1:10" ht="56.25">
      <c r="A113" s="178" t="s">
        <v>2396</v>
      </c>
      <c r="B113" s="178" t="s">
        <v>279</v>
      </c>
      <c r="C113" s="178">
        <v>9</v>
      </c>
      <c r="D113" s="178" t="s">
        <v>1429</v>
      </c>
      <c r="E113" s="178" t="s">
        <v>2965</v>
      </c>
      <c r="H113" s="179" t="s">
        <v>3031</v>
      </c>
      <c r="I113" s="178" t="s">
        <v>3019</v>
      </c>
      <c r="J113" s="178" t="s">
        <v>983</v>
      </c>
    </row>
    <row r="114" spans="1:10" ht="56.25">
      <c r="A114" s="178" t="s">
        <v>2397</v>
      </c>
      <c r="B114" s="178" t="s">
        <v>279</v>
      </c>
      <c r="C114" s="178">
        <v>9</v>
      </c>
      <c r="D114" s="178" t="s">
        <v>961</v>
      </c>
      <c r="E114" s="178" t="s">
        <v>2965</v>
      </c>
      <c r="H114" s="179" t="s">
        <v>3031</v>
      </c>
      <c r="I114" s="178" t="s">
        <v>3019</v>
      </c>
      <c r="J114" s="178" t="s">
        <v>963</v>
      </c>
    </row>
    <row r="115" spans="1:10" ht="56.25">
      <c r="A115" s="178" t="s">
        <v>2398</v>
      </c>
      <c r="B115" s="178" t="s">
        <v>279</v>
      </c>
      <c r="C115" s="178">
        <v>9</v>
      </c>
      <c r="D115" s="178" t="s">
        <v>964</v>
      </c>
      <c r="E115" s="178" t="s">
        <v>2965</v>
      </c>
      <c r="H115" s="179" t="s">
        <v>3031</v>
      </c>
      <c r="I115" s="178" t="s">
        <v>3019</v>
      </c>
      <c r="J115" s="178" t="s">
        <v>966</v>
      </c>
    </row>
    <row r="116" spans="1:10" ht="56.25">
      <c r="A116" s="178" t="s">
        <v>2399</v>
      </c>
      <c r="B116" s="178" t="s">
        <v>279</v>
      </c>
      <c r="C116" s="178">
        <v>3</v>
      </c>
      <c r="D116" s="178" t="s">
        <v>1430</v>
      </c>
      <c r="E116" s="178" t="s">
        <v>2965</v>
      </c>
      <c r="H116" s="179" t="s">
        <v>3033</v>
      </c>
      <c r="I116" s="178" t="s">
        <v>3019</v>
      </c>
      <c r="J116" s="178" t="s">
        <v>2839</v>
      </c>
    </row>
    <row r="117" spans="1:10" ht="56.25">
      <c r="A117" s="178" t="s">
        <v>2400</v>
      </c>
      <c r="B117" s="178" t="s">
        <v>279</v>
      </c>
      <c r="C117" s="178">
        <v>9</v>
      </c>
      <c r="D117" s="178" t="s">
        <v>1433</v>
      </c>
      <c r="E117" s="178" t="s">
        <v>2965</v>
      </c>
      <c r="H117" s="179" t="s">
        <v>3031</v>
      </c>
      <c r="I117" s="178" t="s">
        <v>3019</v>
      </c>
      <c r="J117" s="178" t="s">
        <v>1052</v>
      </c>
    </row>
    <row r="118" spans="1:10">
      <c r="A118" s="178" t="s">
        <v>2401</v>
      </c>
      <c r="B118" s="178" t="s">
        <v>279</v>
      </c>
      <c r="C118" s="178">
        <v>5</v>
      </c>
      <c r="D118" s="178" t="s">
        <v>2978</v>
      </c>
      <c r="E118" s="178" t="s">
        <v>2965</v>
      </c>
      <c r="H118" s="180" t="s">
        <v>635</v>
      </c>
      <c r="I118" s="178" t="s">
        <v>3019</v>
      </c>
      <c r="J118" s="178" t="s">
        <v>3020</v>
      </c>
    </row>
    <row r="119" spans="1:10">
      <c r="A119" s="178" t="s">
        <v>2402</v>
      </c>
      <c r="B119" s="178" t="s">
        <v>1910</v>
      </c>
      <c r="C119" s="178">
        <v>9</v>
      </c>
      <c r="D119" s="178" t="s">
        <v>2979</v>
      </c>
      <c r="E119" s="178" t="s">
        <v>2965</v>
      </c>
      <c r="H119" s="180" t="s">
        <v>635</v>
      </c>
      <c r="I119" s="178" t="s">
        <v>3019</v>
      </c>
      <c r="J119" s="178" t="s">
        <v>3021</v>
      </c>
    </row>
    <row r="120" spans="1:10">
      <c r="A120" s="178" t="s">
        <v>2403</v>
      </c>
      <c r="B120" s="178" t="s">
        <v>1910</v>
      </c>
      <c r="C120" s="178">
        <v>9</v>
      </c>
      <c r="D120" s="178" t="s">
        <v>2980</v>
      </c>
      <c r="E120" s="178" t="s">
        <v>2965</v>
      </c>
      <c r="H120" s="180" t="s">
        <v>635</v>
      </c>
      <c r="I120" s="178" t="s">
        <v>3019</v>
      </c>
      <c r="J120" s="178" t="s">
        <v>3022</v>
      </c>
    </row>
    <row r="121" spans="1:10">
      <c r="A121" s="178" t="s">
        <v>2404</v>
      </c>
      <c r="B121" s="178" t="s">
        <v>1910</v>
      </c>
      <c r="C121" s="178">
        <v>9</v>
      </c>
      <c r="D121" s="178" t="s">
        <v>2981</v>
      </c>
      <c r="E121" s="178" t="s">
        <v>2965</v>
      </c>
      <c r="H121" s="180" t="s">
        <v>635</v>
      </c>
      <c r="I121" s="178" t="s">
        <v>3019</v>
      </c>
      <c r="J121" s="178" t="s">
        <v>3023</v>
      </c>
    </row>
    <row r="122" spans="1:10">
      <c r="A122" s="178" t="s">
        <v>2441</v>
      </c>
      <c r="B122" s="178" t="s">
        <v>1910</v>
      </c>
      <c r="C122" s="178">
        <v>4</v>
      </c>
      <c r="D122" s="178" t="s">
        <v>2982</v>
      </c>
      <c r="E122" s="178" t="s">
        <v>2966</v>
      </c>
      <c r="H122" s="180" t="s">
        <v>3034</v>
      </c>
      <c r="I122" s="178" t="s">
        <v>3024</v>
      </c>
      <c r="J122" s="178" t="s">
        <v>3025</v>
      </c>
    </row>
    <row r="123" spans="1:10">
      <c r="A123" s="178" t="s">
        <v>2442</v>
      </c>
      <c r="B123" s="178" t="s">
        <v>279</v>
      </c>
      <c r="C123" s="178">
        <v>5</v>
      </c>
      <c r="D123" s="178" t="s">
        <v>2983</v>
      </c>
      <c r="E123" s="178" t="s">
        <v>2966</v>
      </c>
      <c r="H123" s="180" t="s">
        <v>3034</v>
      </c>
      <c r="I123" s="178" t="s">
        <v>3024</v>
      </c>
      <c r="J123" s="178" t="s">
        <v>2983</v>
      </c>
    </row>
    <row r="124" spans="1:10">
      <c r="A124" s="178" t="s">
        <v>2443</v>
      </c>
      <c r="B124" s="178" t="s">
        <v>279</v>
      </c>
      <c r="C124" s="178">
        <v>5</v>
      </c>
      <c r="D124" s="178" t="s">
        <v>2984</v>
      </c>
      <c r="E124" s="178" t="s">
        <v>2966</v>
      </c>
      <c r="H124" s="180" t="s">
        <v>3034</v>
      </c>
      <c r="I124" s="178" t="s">
        <v>3024</v>
      </c>
      <c r="J124" s="178" t="s">
        <v>2984</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C99B-2787-4D93-B035-08EBF7D259EA}">
  <sheetPr>
    <tabColor rgb="FF00B0F0"/>
  </sheetPr>
  <dimension ref="A1:X360"/>
  <sheetViews>
    <sheetView workbookViewId="0">
      <selection activeCell="Z26" sqref="Z26"/>
    </sheetView>
  </sheetViews>
  <sheetFormatPr defaultRowHeight="11.25"/>
  <cols>
    <col min="1" max="1" width="4.5" style="178" customWidth="1"/>
    <col min="2" max="3" width="5.25" style="434" customWidth="1"/>
    <col min="4" max="4" width="9" style="178"/>
    <col min="5" max="5" width="35" style="178" customWidth="1"/>
    <col min="6" max="6" width="11.5" style="178" customWidth="1"/>
    <col min="7" max="7" width="7.625" style="178" customWidth="1"/>
    <col min="8" max="8" width="14.5" style="178" customWidth="1"/>
    <col min="9" max="9" width="9.125" style="178" customWidth="1"/>
    <col min="10" max="10" width="25.75" style="178" customWidth="1"/>
    <col min="11" max="12" width="12.375" style="178" customWidth="1"/>
    <col min="13" max="13" width="13.75" style="178" customWidth="1"/>
    <col min="14" max="14" width="4.875" style="178" customWidth="1"/>
    <col min="15" max="16" width="4.25" style="178" customWidth="1"/>
    <col min="17" max="17" width="15" style="178" hidden="1" customWidth="1"/>
    <col min="18" max="18" width="0" style="178" hidden="1" customWidth="1"/>
    <col min="19" max="19" width="15.625" style="178" hidden="1" customWidth="1"/>
    <col min="20" max="20" width="11.125" style="178" hidden="1" customWidth="1"/>
    <col min="21" max="21" width="15.5" style="178" hidden="1" customWidth="1"/>
    <col min="22" max="25" width="0" style="178" hidden="1" customWidth="1"/>
    <col min="26" max="16384" width="9" style="178"/>
  </cols>
  <sheetData>
    <row r="1" spans="1:24" ht="16.5">
      <c r="A1" s="422" t="s">
        <v>5744</v>
      </c>
      <c r="B1" s="277"/>
      <c r="C1" s="277"/>
      <c r="D1" s="770" t="s">
        <v>5745</v>
      </c>
      <c r="E1" s="771"/>
      <c r="F1" s="771"/>
      <c r="G1" s="771"/>
      <c r="H1" s="772"/>
      <c r="I1" s="773" t="s">
        <v>5746</v>
      </c>
      <c r="J1" s="774"/>
      <c r="K1" s="774"/>
      <c r="L1" s="774"/>
      <c r="M1" s="775"/>
      <c r="Q1" s="423" t="s">
        <v>5745</v>
      </c>
      <c r="R1" s="423"/>
      <c r="S1" s="423"/>
      <c r="T1" s="423"/>
      <c r="U1" s="218" t="s">
        <v>5746</v>
      </c>
      <c r="V1" s="218"/>
      <c r="W1" s="218"/>
      <c r="X1" s="218"/>
    </row>
    <row r="2" spans="1:24">
      <c r="A2" s="277" t="s">
        <v>5747</v>
      </c>
      <c r="B2" s="277"/>
      <c r="C2" s="277"/>
      <c r="D2" s="424" t="s">
        <v>5748</v>
      </c>
      <c r="E2" s="424" t="s">
        <v>5749</v>
      </c>
      <c r="F2" s="424" t="s">
        <v>5750</v>
      </c>
      <c r="G2" s="424" t="s">
        <v>5751</v>
      </c>
      <c r="H2" s="424" t="s">
        <v>5752</v>
      </c>
      <c r="I2" s="425" t="s">
        <v>5748</v>
      </c>
      <c r="J2" s="425" t="s">
        <v>5749</v>
      </c>
      <c r="K2" s="425" t="s">
        <v>5750</v>
      </c>
      <c r="L2" s="425" t="s">
        <v>5751</v>
      </c>
      <c r="M2" s="425" t="s">
        <v>5752</v>
      </c>
      <c r="Q2" s="426" t="s">
        <v>5753</v>
      </c>
      <c r="R2" s="426" t="s">
        <v>5754</v>
      </c>
      <c r="S2" s="426" t="s">
        <v>5755</v>
      </c>
      <c r="T2" s="427" t="s">
        <v>5756</v>
      </c>
      <c r="U2" s="426" t="s">
        <v>5753</v>
      </c>
      <c r="V2" s="426" t="s">
        <v>5754</v>
      </c>
      <c r="W2" s="426" t="s">
        <v>5755</v>
      </c>
      <c r="X2" s="427" t="s">
        <v>5756</v>
      </c>
    </row>
    <row r="3" spans="1:24">
      <c r="A3" s="428" t="str">
        <f>A4&amp;A5&amp;A6&amp;A7</f>
        <v xml:space="preserve">Online_C6_ASS       344A100118             A1004000000000000034A10050              A100618000130398524 A20010              A20020              A20030              A20040              A20050              A20060              A20070              A20080              A20090              A20100              A20110              A20120              A20130              A2014000000000000000A2015000000000000000A2016000000000000000A2017000000000000000A2018000000000000000A2019000000000000000A20200              A20210              A20220              A20230              A20240              A2026000000000000000A2027000000000000000A2028000000000000000A2029000000000000000A2030000000000000000A2031000000000000000A2032000000000000000A2033               A20340              A2035000000000000000A2036000000000000000A2037000000000000000A2057               A2042000000000000000A2043               A2044000000000000000A2045000000000000000A2046               A2047               A2048               A2049               A2050000000000000000A2051               A2052000000000000000A2053000000000000000A2054000000000000000A2055000000000000000A2056000000000000000A2060000000000000000A2061000000000000000A2062000000000000000A2063000000000000000A2064000000000000000A2065000000000000000A20662              A2067000000000000000A2069000000000000000A2070               A2071               A2072000000000000000A20740              A2038000000000031165A203923             A2040000000000053000A2041000000000000000A3016               A3017               A3018               A3021000000000000000A3022000000000000000A3026000000000000000A3027000000000000000A3028000000000000000A3029000000000000009A3030000000000000009A3031000000000000000A3032000000000000000A3033000000000000000A3034000000000000000A3035000000000000000A3036000000000000000A3037000000000000000A3038000000000000000A3039000000000000000A3040000000000000000A3041000000000000000A3044000000000000000A3045000000000000000A3046000000000000000A3047000000000000000A3048000000000000000A3049000000000000000A3050000000000000000A3051000000000000003A3052000000000000002A3053000000000000006A3054000000000000003A3055000000000000004A3056000000000000000A3057000000000002717A3064000000000000000A3065000000000000000A3066000000000000000A3070000000000000000A4001000000000000938A4002000000000000002A4003000000000000000A4004000000000000000A4005000000000000000A4006000000000000000A4007000000000000000A4008000000000000000A4014000000000000000A4015000000000000000A4016000000000000007A4017-00000099999999A4018000000000000000A4019000000000025000A7001               A7002000000000000000A7003000000000000000A7004000000000000000A7005000000000158500A7007000000000053000A7009000000000000000A7011000000000000000A7013000000000000000A7014000000000000000A7015000000000155500A7016000000000000002A70170              A7018000000000000000A7019000000000000000A7020000000000031165A7021000000000031165A307107             A307202             A3073000000000000871A30740008           A30750005           A3076000000000000000A3077000000000000000A3078000000000000000A3079000000000000000A3080000000000000000A3081000000000000000A3082000000000000000A3083000000000000000A3084000000000000000A3085000000000000000A3086000000000000000A3087000000000000000A3088000000000000000A3089000000000000000A3090000000000000000A3091000000000000000A3092000000000000000A3093000000000000000A3094000000000000000A30950000           A30960000           B3001000000000000000B3002000000000000000B3003000000000003940B3004000000000001887B3005000000000000000B3006000000000000000B3007000000000000000B3008000000000000000B3009000000999999999B3010000000999999999B3011000000000006796B3012000000000000000B3013000000999999999B3014000000000099999B3015000000000000000A4021000000000000000A402200             A402300             A4024000000000000687A402502             A4026000000000000661A402707             A4028000000000000000A4029000000000000000A4030000000000000676A403105             A4032P              A40330000009999999.9A4034000000000000722A403502             A4036000000000000948A40370              A40380              A4039SCPTB999       A4040SCPTN999       A40413              A40420              A40431              A404499             A4045000000000000344A4046000000000000012A4047D              A4048000000000000000A4049000000000000000A4050000000000000000A4051000000000000000A4052000000000000000A4053000000000000000A4054000000000000000A405505             A405602             A405703             A4058N              A40590              B4001000000000000000B4002000000000003390B4003000000000000000B4004000000000000000B4005000000999999999B4006-00000099999999B40070000008888888.8B4008000000000000002B40090000008888888.8B4010000000000000000B4011000000000000011B40120000008888888.8B4013000000000004081B4014000000000000000B4015000000000000001B4016000000000000001B4017000000000002827B40180000000000000.6B40190000008888888.8B40200000008888888.8B4021000000000000000B40220000000000000.6B4023000000000000282B40240000000000000.0B4025000000000002500B4026000000000002500B4027000000000000000B4028000000000000000B4029000000000000000B4030000000000000000B4031000000000000000B4032000000000000000B4033000000000000000B4034000000000000000B4035000000000000000B4036000000000000000B4037000000000000000B40380000009999999.9B40390000009999999.9B4040000000000000000B4041000000000000000B4042000000000000000B4043000000000220120B4044000000000000000B4045000000000000000B4046000000000000000B4047000000000000000B4048000000000000000B4049000000000000000B4050000000000000133B4051000000000000000B4052000000000000000B4053000000000000000B4054000000999999999B4055000000000000000B4056000000000000000B4057000000000000002B4058000000000000001B4059000000000002738B4060000000000000420B4061000000000000000B4062000000000000000B4063000000000000000B4064000000000000000B4065000000000000000B4066000000000000000B4067000000000005048B3016000000000000000B3017-00000000000999B3018000000000000000B3019000000000000000B3020000000000000000B3021000000000000000B3022000000000000000B3023000000000000000B4068000000000000000B4069000000000000000B4070000000999999999B4071000000000000000A4110000000000000741A4111741            A4112P28P78P36      A4113N74            A41144              A4115000000000000763A4116763            A4117P15P12P10      A4118N39N24         A41192              A8000               A8001               A8002               A8003               A8004               A8005000000000000000A8006000000000000000A8007000000000000000A8008000000000000000A8009000000000000000A8010000000000000000A8011000000000000000A8012000000000000000A8013               A8014000000000000000A8015               A8016000000000000000A8017               B2001000000000000000B2002000000000000000B2003000000000000000B2004000000000000000B2005000000000000000B2006000000000000000B2007000000000000000B2008000000000000000B2009000000000000000B2010000000000000000B2011000000000000000B2012000000000000000A2068               A2073               </v>
      </c>
      <c r="B3" s="429">
        <v>1</v>
      </c>
      <c r="C3" s="429">
        <v>6</v>
      </c>
      <c r="D3" s="430" t="str">
        <f>MIDB($A$3, $B3+23, 5)</f>
        <v>A1001</v>
      </c>
      <c r="E3" s="430" t="str">
        <f>VLOOKUP(D3,'RCLIPS송신(일사천리론)_최종'!$B:$E,4,0)</f>
        <v>상품코드</v>
      </c>
      <c r="F3" s="430" t="str">
        <f>VLOOKUP(D3,'RCLIPS송신(일사천리론)_최종'!$B:$D,2,0)</f>
        <v>Character</v>
      </c>
      <c r="G3" s="430">
        <f>VLOOKUP($D3,'RCLIPS송신(일사천리론)_최종'!$B:$D,3,0)</f>
        <v>2</v>
      </c>
      <c r="H3" s="430" t="str">
        <f>MIDB($A$3, $C3+23, 15)</f>
        <v xml:space="preserve">18             </v>
      </c>
      <c r="I3" s="263" t="str">
        <f>MIDB($A$8, $B3+10, 5)</f>
        <v>A3051</v>
      </c>
      <c r="J3" s="263" t="str">
        <f>VLOOKUP($I3,'RCLIPS수신(일사천리론)_최종'!$C:$F,2,0)</f>
        <v>NICE CB등급</v>
      </c>
      <c r="K3" s="263" t="str">
        <f>VLOOKUP($I3,'RCLIPS수신(일사천리론)_최종'!$C:$F,3,0)</f>
        <v>S</v>
      </c>
      <c r="L3" s="263">
        <f>VLOOKUP($I3,'RCLIPS수신(일사천리론)_최종'!$C:$F,4,0)</f>
        <v>0</v>
      </c>
      <c r="M3" s="263" t="str">
        <f>MIDB($A$8, $C3+10, 15)</f>
        <v xml:space="preserve">03             </v>
      </c>
      <c r="N3" s="180" t="s">
        <v>5757</v>
      </c>
      <c r="O3" s="180" t="str">
        <f>MIDB($A$8, 1, 4)</f>
        <v>0000</v>
      </c>
      <c r="P3" s="180" t="str">
        <f>VLOOKUP(O3,[2]응답메시지!$A:$B,2,0)</f>
        <v>정상</v>
      </c>
      <c r="Q3" s="178" t="str">
        <f>VLOOKUP(D3,[3]R클립스송수신결과!$D:$H,5,0)</f>
        <v xml:space="preserve">18             </v>
      </c>
      <c r="R3" s="178" t="str">
        <f>IFERROR(IF(H3&lt;&gt;Q3, "NOT OK", "OK"), "TOBE ONLY")</f>
        <v>OK</v>
      </c>
      <c r="U3" s="178" t="str">
        <f>VLOOKUP(I3,[3]R클립스송수신결과!$I:$M,5,0)</f>
        <v xml:space="preserve">06             </v>
      </c>
      <c r="V3" s="178" t="str">
        <f>IFERROR(IF(M3&lt;&gt;U3, "NOT OK", "OK"), "TOBE ONLY")</f>
        <v>NOT OK</v>
      </c>
    </row>
    <row r="4" spans="1:24">
      <c r="A4" s="431" t="s">
        <v>5758</v>
      </c>
      <c r="B4" s="429">
        <f>C3+15</f>
        <v>21</v>
      </c>
      <c r="C4" s="429">
        <f>B4+5</f>
        <v>26</v>
      </c>
      <c r="D4" s="430" t="str">
        <f t="shared" ref="D4:D67" si="0">MIDB($A$3, $B4+23, 5)</f>
        <v>A1004</v>
      </c>
      <c r="E4" s="430" t="str">
        <f>VLOOKUP(D4,'RCLIPS송신(일사천리론)_최종'!$B:$E,4,0)</f>
        <v>연령</v>
      </c>
      <c r="F4" s="430" t="str">
        <f>VLOOKUP(D4,'RCLIPS송신(일사천리론)_최종'!$B:$D,2,0)</f>
        <v>Numeric</v>
      </c>
      <c r="G4" s="430">
        <f>VLOOKUP($D4,'RCLIPS송신(일사천리론)_최종'!$B:$D,3,0)</f>
        <v>9</v>
      </c>
      <c r="H4" s="430" t="str">
        <f t="shared" ref="H4:H67" si="1">MIDB($A$3, $C4+23, 15)</f>
        <v>000000000000034</v>
      </c>
      <c r="I4" s="263" t="str">
        <f t="shared" ref="I4:I67" si="2">MIDB($A$8, $B4+10, 5)</f>
        <v>A3052</v>
      </c>
      <c r="J4" s="263" t="str">
        <f>VLOOKUP($I4,'RCLIPS수신(일사천리론)_최종'!$C:$F,2,0)</f>
        <v>Sub-prime부실예측모형 등급</v>
      </c>
      <c r="K4" s="263" t="str">
        <f>VLOOKUP($I4,'RCLIPS수신(일사천리론)_최종'!$C:$F,3,0)</f>
        <v>S</v>
      </c>
      <c r="L4" s="263">
        <f>VLOOKUP($I4,'RCLIPS수신(일사천리론)_최종'!$C:$F,4,0)</f>
        <v>0</v>
      </c>
      <c r="M4" s="263" t="str">
        <f t="shared" ref="M4:M67" si="3">MIDB($A$8, $C4+10, 15)</f>
        <v xml:space="preserve">02             </v>
      </c>
      <c r="Q4" s="178" t="str">
        <f>VLOOKUP(D4,[3]R클립스송수신결과!$D:$H,5,0)</f>
        <v>000000000000065</v>
      </c>
      <c r="R4" s="178" t="str">
        <f t="shared" ref="R4:R67" si="4">IFERROR(IF(H4&lt;&gt;Q4, "NOT OK", "OK"), "TOBE ONLY")</f>
        <v>NOT OK</v>
      </c>
      <c r="U4" s="178" t="str">
        <f>VLOOKUP(I4,[3]R클립스송수신결과!$I:$M,5,0)</f>
        <v xml:space="preserve">03             </v>
      </c>
      <c r="V4" s="178" t="str">
        <f t="shared" ref="V4:V67" si="5">IFERROR(IF(M4&lt;&gt;U4, "NOT OK", "OK"), "TOBE ONLY")</f>
        <v>NOT OK</v>
      </c>
    </row>
    <row r="5" spans="1:24">
      <c r="A5" s="431" t="s">
        <v>5759</v>
      </c>
      <c r="B5" s="429">
        <f t="shared" ref="B5:B68" si="6">C4+15</f>
        <v>41</v>
      </c>
      <c r="C5" s="429">
        <f t="shared" ref="C5:C68" si="7">B5+5</f>
        <v>46</v>
      </c>
      <c r="D5" s="430" t="str">
        <f t="shared" si="0"/>
        <v>A1005</v>
      </c>
      <c r="E5" s="430" t="str">
        <f>VLOOKUP(D5,'RCLIPS송신(일사천리론)_최종'!$B:$E,4,0)</f>
        <v>외국인여부</v>
      </c>
      <c r="F5" s="430" t="str">
        <f>VLOOKUP(D5,'RCLIPS송신(일사천리론)_최종'!$B:$D,2,0)</f>
        <v>Character</v>
      </c>
      <c r="G5" s="430">
        <f>VLOOKUP($D5,'RCLIPS송신(일사천리론)_최종'!$B:$D,3,0)</f>
        <v>1</v>
      </c>
      <c r="H5" s="430" t="str">
        <f t="shared" si="1"/>
        <v xml:space="preserve">0              </v>
      </c>
      <c r="I5" s="263" t="str">
        <f t="shared" si="2"/>
        <v>A3053</v>
      </c>
      <c r="J5" s="263" t="str">
        <f>VLOOKUP($I5,'RCLIPS수신(일사천리론)_최종'!$C:$F,2,0)</f>
        <v>NICE DEP등급</v>
      </c>
      <c r="K5" s="263" t="str">
        <f>VLOOKUP($I5,'RCLIPS수신(일사천리론)_최종'!$C:$F,3,0)</f>
        <v>S</v>
      </c>
      <c r="L5" s="263">
        <f>VLOOKUP($I5,'RCLIPS수신(일사천리론)_최종'!$C:$F,4,0)</f>
        <v>0</v>
      </c>
      <c r="M5" s="263" t="str">
        <f t="shared" si="3"/>
        <v xml:space="preserve">06             </v>
      </c>
      <c r="Q5" s="178" t="str">
        <f>VLOOKUP(D5,[3]R클립스송수신결과!$D:$H,5,0)</f>
        <v xml:space="preserve">0              </v>
      </c>
      <c r="R5" s="178" t="str">
        <f t="shared" si="4"/>
        <v>OK</v>
      </c>
      <c r="U5" s="178" t="str">
        <f>VLOOKUP(I5,[3]R클립스송수신결과!$I:$M,5,0)</f>
        <v xml:space="preserve">07             </v>
      </c>
      <c r="V5" s="178" t="str">
        <f t="shared" si="5"/>
        <v>NOT OK</v>
      </c>
    </row>
    <row r="6" spans="1:24">
      <c r="A6" s="431"/>
      <c r="B6" s="429">
        <f t="shared" si="6"/>
        <v>61</v>
      </c>
      <c r="C6" s="429">
        <f t="shared" si="7"/>
        <v>66</v>
      </c>
      <c r="D6" s="430" t="str">
        <f t="shared" si="0"/>
        <v>A1006</v>
      </c>
      <c r="E6" s="430" t="str">
        <f>VLOOKUP(D6,'RCLIPS송신(일사천리론)_최종'!$B:$E,4,0)</f>
        <v>접수번호</v>
      </c>
      <c r="F6" s="430" t="str">
        <f>VLOOKUP(D6,'RCLIPS송신(일사천리론)_최종'!$B:$D,2,0)</f>
        <v>Character</v>
      </c>
      <c r="G6" s="430">
        <f>VLOOKUP($D6,'RCLIPS송신(일사천리론)_최종'!$B:$D,3,0)</f>
        <v>14</v>
      </c>
      <c r="H6" s="430" t="str">
        <f t="shared" si="1"/>
        <v xml:space="preserve">18000130398524 </v>
      </c>
      <c r="I6" s="263" t="str">
        <f t="shared" si="2"/>
        <v>A3054</v>
      </c>
      <c r="J6" s="263" t="str">
        <f>VLOOKUP($I6,'RCLIPS수신(일사천리론)_최종'!$C:$F,2,0)</f>
        <v>PI등급 2.0버젼</v>
      </c>
      <c r="K6" s="263" t="str">
        <f>VLOOKUP($I6,'RCLIPS수신(일사천리론)_최종'!$C:$F,3,0)</f>
        <v>S</v>
      </c>
      <c r="L6" s="263">
        <f>VLOOKUP($I6,'RCLIPS수신(일사천리론)_최종'!$C:$F,4,0)</f>
        <v>0</v>
      </c>
      <c r="M6" s="263" t="str">
        <f t="shared" si="3"/>
        <v xml:space="preserve">03             </v>
      </c>
      <c r="Q6" s="178" t="str">
        <f>VLOOKUP(D6,[3]R클립스송수신결과!$D:$H,5,0)</f>
        <v xml:space="preserve">48880000014441 </v>
      </c>
      <c r="R6" s="178" t="str">
        <f t="shared" si="4"/>
        <v>NOT OK</v>
      </c>
      <c r="S6" s="178" t="s">
        <v>5760</v>
      </c>
      <c r="T6" s="178" t="s">
        <v>5761</v>
      </c>
      <c r="U6" s="178" t="str">
        <f>VLOOKUP(I6,[3]R클립스송수신결과!$I:$M,5,0)</f>
        <v xml:space="preserve">02             </v>
      </c>
      <c r="V6" s="178" t="str">
        <f t="shared" si="5"/>
        <v>NOT OK</v>
      </c>
    </row>
    <row r="7" spans="1:24">
      <c r="A7" s="431"/>
      <c r="B7" s="429">
        <f t="shared" si="6"/>
        <v>81</v>
      </c>
      <c r="C7" s="429">
        <f t="shared" si="7"/>
        <v>86</v>
      </c>
      <c r="D7" s="430" t="str">
        <f t="shared" si="0"/>
        <v>A2001</v>
      </c>
      <c r="E7" s="430" t="str">
        <f>VLOOKUP(D7,'RCLIPS송신(일사천리론)_최종'!$B:$E,4,0)</f>
        <v>여신연체고객(KB 국민은행정보)</v>
      </c>
      <c r="F7" s="430" t="str">
        <f>VLOOKUP(D7,'RCLIPS송신(일사천리론)_최종'!$B:$D,2,0)</f>
        <v>Character</v>
      </c>
      <c r="G7" s="430">
        <f>VLOOKUP($D7,'RCLIPS송신(일사천리론)_최종'!$B:$D,3,0)</f>
        <v>1</v>
      </c>
      <c r="H7" s="430" t="str">
        <f t="shared" si="1"/>
        <v xml:space="preserve">0              </v>
      </c>
      <c r="I7" s="263" t="str">
        <f t="shared" si="2"/>
        <v>A3055</v>
      </c>
      <c r="J7" s="263" t="str">
        <f>VLOOKUP($I7,'RCLIPS수신(일사천리론)_최종'!$C:$F,2,0)</f>
        <v>PI플러스스코어</v>
      </c>
      <c r="K7" s="263" t="str">
        <f>VLOOKUP($I7,'RCLIPS수신(일사천리론)_최종'!$C:$F,3,0)</f>
        <v>S</v>
      </c>
      <c r="L7" s="263">
        <f>VLOOKUP($I7,'RCLIPS수신(일사천리론)_최종'!$C:$F,4,0)</f>
        <v>0</v>
      </c>
      <c r="M7" s="263" t="str">
        <f t="shared" si="3"/>
        <v xml:space="preserve">04             </v>
      </c>
      <c r="Q7" s="178" t="str">
        <f>VLOOKUP(D7,[3]R클립스송수신결과!$D:$H,5,0)</f>
        <v xml:space="preserve">               </v>
      </c>
      <c r="R7" s="178" t="str">
        <f t="shared" si="4"/>
        <v>NOT OK</v>
      </c>
      <c r="S7" s="178" t="s">
        <v>5762</v>
      </c>
      <c r="T7" s="178" t="s">
        <v>5763</v>
      </c>
      <c r="U7" s="178" t="str">
        <f>VLOOKUP(I7,[3]R클립스송수신결과!$I:$M,5,0)</f>
        <v xml:space="preserve">02             </v>
      </c>
      <c r="V7" s="178" t="str">
        <f t="shared" si="5"/>
        <v>NOT OK</v>
      </c>
    </row>
    <row r="8" spans="1:24">
      <c r="A8" s="428" t="str">
        <f>A9&amp;A10&amp;A11&amp;A12</f>
        <v>0000300002A305103             A305202             A305306             A305403             A305504             A3056000000000000000A3066000000000000000A400202             A4019000000000025000R000118             R0002000000000000719R000304             R00044              R0005E              R00060              R00071              R0008000000002083333R0009000000000000060R0010000000000226416R0011000000001023583R00120000000000016.4R0013C2             R0014000000011200000R0015000000003000000R0016000000009500000R0017000000030000000R0018000000011200000R0019000000003000000R0020000000003000000R0021000000000000015R0022A              R0023DR             R0024EA             R0025000000000000000R0026000000000000011R0027000000000000100R0028000000000000024R0029000000000000003R00300              R0031000000000000000R00320000000000002.0R00330000000000003.0R0034000000025000000R0035000000000000000R0036000000002716992R003704             R00380000000000741.0R003906             R004005             R004107             R0042               R004300             R0044000000002083333R0045000000000000000R0046000000000000000R004701             A4001000000000000938A3073000000000000871R00510              R0052000000019999996R0053000000053000000R0054000000053000000R0055000000003000000R005005             R00561              R0057               R0058000000012800000R00590              R0060000000019999996R0061000000000000000R00620              R00660              R00672              R00680              R0069000000000000763R007002             R007103             R00720              R8000               R8001               R8002               R800307             R8004               R80050000000000000.0R8006B04            R8007               R8008000000000000000R80090000000000000.0R8010000000000000000R80110              S0001000000000000000S0002000000000000000S0003000000000000000S0004000000000000000S0005000000000000000S0006000000000000000S0007000000000000000S0008000000000000000S0009000000000000000S0010000000000000000S0011000000000000000S0012000000000000000S0013000000000000000S0014000000000000000S0015000000000003940S0016000000000001887S0017000000000000000S0018000000000000000S0019000000000000000S0020000000000000000S0021000000999999999S0022000000999999999S0023000000000006796S0024000000000006796S0025000000000000000S0026000000999999999S0027000000999999999S0028000000000000000S0029-00000000000999S0030000000000000000S0031000000000000000S0032000000999999999S0033000000000000002S0034000000008888888S0035000000000000000S0036000000000000011S0037000000000000011S0038000000008888888S0039000000000004081S0040000000000004081S0041000000000000000S0042000000000000001S0043000000000000001S0044000000000002827S0045000000008888888S0046000000008888888S0047000000000000000S0048000000000000000S0049000000000000282S0050000000000000000S0051000000000002500S0052000000000002500S0053000000000000000S0054000000000000000S0055000000000000000S0056000000000000000S0057000000000000000S0058000000000000000S0059000000000000000S0060000000009999999S0061000000009999999S0062000000009999999S0063000000009999999S0064000000000000000S0065000000000220120S0066000000000220120S0067000000000000000S0068000000000000000S0069000000000000000S0070000000000000002S0071000000000000001S0072000000000002738S0073000000000000420S0074000000000000000S0075000000000000000S0076000000000000000S0077000000000000000S0078000000000000000S0079000000000000000S0080000000000005048S0081000000000000000S0082000000000000000S0083000000000000000S0084000000000000000S0085000000000000000S0086000000000000000S0087000000000000000S0088000000000000000S0089000000000000000S0090000000000000000S0091000000888888888S0092000000000000100S0093000000888888888S0094000000888888888S0095000000888888888S0096000000000000000S0097000000000000000S0098000000000000000S0099000000000000000S0100000000888888888S0101000000000000000S0102000000000000000S0103000000888888888S0104-00000099999999S0105000000000000000W0001-00000000000002W0002000000000000003W0003000000000000001W0004000000000000001W0005-00000000000003W0006-00000000000002W0007-00000000000002W0008000000000000002W0009-00000000000012W0010000000000000002W0011000000000000001W0012000000000000002W0013000000000000005W0014000000000000001W0015000000000000008W0016000000000000003W0017000000000000001W0018000000000000000W0019000000000000005W0020000000000000002W0021-00000000000002W0022-00000000000001W0023000000000000024W0024000000000000024W0025000000000000001W0026-00000000000001W0027-00000000000001W0028000000000000003W0029-00000000000032W0030-00000000000002W0031000000000000001W0032000000000000001W0033000000000000005W0034-00000000000002W0035-00000000000002W0036-00000000000002W0037-00000000000002W0038-00000000000002W0039-00000000000002W0040-00000000000002W0041000000000000001W0042000000000000001W0043-00000000000011W0044000000000000016W0045-00000000000001W0046-00000000000001W0047000000000000007W0048-00000000000006W0049-00000000000005W0050-00000000000005W0051000000000000005W0052000000000000005W0053-00000000000014W0054000000000000005W0055-00000000000001W0056000000000000001W0057-00000000000001W0058000000000000002W0059000000000000002W0060-00000000000014W0061-00000000000014W0062-00000000000008W0063-00000000000008W0064000000000000000W0065000000000000007W0066000000000000007W0067000000000000003W0068000000000000003W0069000000000000001W0070000000000000004W0071-00000000000002W0072000000000000010W0073000000000000004W0074000000000000001W0075000000000000002W0076000000000000001W0077000000000000001W0078000000000000001W0079-00000000000001W0080-00000000000001W0081000000000000002W0082000000000000001W0083000000000000001W0084000000000000001W0085000000000000001W0086000000000000025W0087000000000000025W0088000000000000004W0089000000000000017W0090000000000000007W0091-00000000000016W0092-00000000000012W0093-00000000000001W0094000000000000001W0095000000000000001W0096000000000000001W0097000000000000006W0098000000000000020W0099000000000000001W0100000000000000004W0101000000000000002W0102000000000000001W0103000000000000001W0104-00000000000002W0105-00000000000002KORLTK373KORLTK362</v>
      </c>
      <c r="B8" s="429">
        <f t="shared" si="6"/>
        <v>101</v>
      </c>
      <c r="C8" s="429">
        <f t="shared" si="7"/>
        <v>106</v>
      </c>
      <c r="D8" s="430" t="str">
        <f t="shared" si="0"/>
        <v>A2002</v>
      </c>
      <c r="E8" s="430" t="str">
        <f>VLOOKUP(D8,'RCLIPS송신(일사천리론)_최종'!$B:$E,4,0)</f>
        <v>신용카드 거래정지 등록고객</v>
      </c>
      <c r="F8" s="430" t="str">
        <f>VLOOKUP(D8,'RCLIPS송신(일사천리론)_최종'!$B:$D,2,0)</f>
        <v>Character</v>
      </c>
      <c r="G8" s="430">
        <f>VLOOKUP($D8,'RCLIPS송신(일사천리론)_최종'!$B:$D,3,0)</f>
        <v>1</v>
      </c>
      <c r="H8" s="430" t="str">
        <f t="shared" si="1"/>
        <v xml:space="preserve">0              </v>
      </c>
      <c r="I8" s="263" t="str">
        <f t="shared" si="2"/>
        <v>A3056</v>
      </c>
      <c r="J8" s="263" t="str">
        <f>VLOOKUP($I8,'RCLIPS수신(일사천리론)_최종'!$C:$F,2,0)</f>
        <v>실시간 대출 기관수</v>
      </c>
      <c r="K8" s="263" t="str">
        <f>VLOOKUP($I8,'RCLIPS수신(일사천리론)_최종'!$C:$F,3,0)</f>
        <v>N</v>
      </c>
      <c r="L8" s="263">
        <f>VLOOKUP($I8,'RCLIPS수신(일사천리론)_최종'!$C:$F,4,0)</f>
        <v>15</v>
      </c>
      <c r="M8" s="263" t="str">
        <f t="shared" si="3"/>
        <v>000000000000000</v>
      </c>
      <c r="Q8" s="178" t="str">
        <f>VLOOKUP(D8,[3]R클립스송수신결과!$D:$H,5,0)</f>
        <v xml:space="preserve">               </v>
      </c>
      <c r="R8" s="178" t="str">
        <f t="shared" si="4"/>
        <v>NOT OK</v>
      </c>
      <c r="S8" s="178" t="s">
        <v>5762</v>
      </c>
      <c r="T8" s="178" t="s">
        <v>5763</v>
      </c>
      <c r="U8" s="178" t="str">
        <f>VLOOKUP(I8,[3]R클립스송수신결과!$I:$M,5,0)</f>
        <v>000000000000000</v>
      </c>
      <c r="V8" s="178" t="str">
        <f t="shared" si="5"/>
        <v>OK</v>
      </c>
    </row>
    <row r="9" spans="1:24">
      <c r="A9" s="431" t="s">
        <v>5764</v>
      </c>
      <c r="B9" s="429">
        <f t="shared" si="6"/>
        <v>121</v>
      </c>
      <c r="C9" s="429">
        <f t="shared" si="7"/>
        <v>126</v>
      </c>
      <c r="D9" s="430" t="str">
        <f t="shared" si="0"/>
        <v>A2003</v>
      </c>
      <c r="E9" s="430" t="str">
        <f>VLOOKUP(D9,'RCLIPS송신(일사천리론)_최종'!$B:$E,4,0)</f>
        <v>신용관리대상 및 당행정보관리 등재고객(KB 국민은행 정보)</v>
      </c>
      <c r="F9" s="430" t="str">
        <f>VLOOKUP(D9,'RCLIPS송신(일사천리론)_최종'!$B:$D,2,0)</f>
        <v>Character</v>
      </c>
      <c r="G9" s="430">
        <f>VLOOKUP($D9,'RCLIPS송신(일사천리론)_최종'!$B:$D,3,0)</f>
        <v>1</v>
      </c>
      <c r="H9" s="430" t="str">
        <f t="shared" si="1"/>
        <v xml:space="preserve">0              </v>
      </c>
      <c r="I9" s="263" t="str">
        <f t="shared" si="2"/>
        <v>A3066</v>
      </c>
      <c r="J9" s="263" t="str">
        <f>VLOOKUP($I9,'RCLIPS수신(일사천리론)_최종'!$C:$F,2,0)</f>
        <v>최종연소득금액</v>
      </c>
      <c r="K9" s="263" t="str">
        <f>VLOOKUP($I9,'RCLIPS수신(일사천리론)_최종'!$C:$F,3,0)</f>
        <v>N</v>
      </c>
      <c r="L9" s="263">
        <f>VLOOKUP($I9,'RCLIPS수신(일사천리론)_최종'!$C:$F,4,0)</f>
        <v>15</v>
      </c>
      <c r="M9" s="263" t="str">
        <f t="shared" si="3"/>
        <v>000000000000000</v>
      </c>
      <c r="Q9" s="178" t="str">
        <f>VLOOKUP(D9,[3]R클립스송수신결과!$D:$H,5,0)</f>
        <v xml:space="preserve">               </v>
      </c>
      <c r="R9" s="178" t="str">
        <f t="shared" si="4"/>
        <v>NOT OK</v>
      </c>
      <c r="S9" s="178" t="s">
        <v>5762</v>
      </c>
      <c r="T9" s="178" t="s">
        <v>5763</v>
      </c>
      <c r="U9" s="178" t="e">
        <f>VLOOKUP(I9,[3]R클립스송수신결과!$I:$M,5,0)</f>
        <v>#N/A</v>
      </c>
      <c r="V9" s="178" t="str">
        <f t="shared" si="5"/>
        <v>TOBE ONLY</v>
      </c>
    </row>
    <row r="10" spans="1:24">
      <c r="A10" s="431" t="s">
        <v>5765</v>
      </c>
      <c r="B10" s="429">
        <f t="shared" si="6"/>
        <v>141</v>
      </c>
      <c r="C10" s="429">
        <f t="shared" si="7"/>
        <v>146</v>
      </c>
      <c r="D10" s="430" t="str">
        <f t="shared" si="0"/>
        <v>A2004</v>
      </c>
      <c r="E10" s="430" t="str">
        <f>VLOOKUP(D10,'RCLIPS송신(일사천리론)_최종'!$B:$E,4,0)</f>
        <v>NICE 타사연체정보 보유고객(신용정보)</v>
      </c>
      <c r="F10" s="430" t="str">
        <f>VLOOKUP(D10,'RCLIPS송신(일사천리론)_최종'!$B:$D,2,0)</f>
        <v>Character</v>
      </c>
      <c r="G10" s="430">
        <f>VLOOKUP($D10,'RCLIPS송신(일사천리론)_최종'!$B:$D,3,0)</f>
        <v>1</v>
      </c>
      <c r="H10" s="430" t="str">
        <f t="shared" si="1"/>
        <v xml:space="preserve">0              </v>
      </c>
      <c r="I10" s="263" t="str">
        <f t="shared" si="2"/>
        <v>A4002</v>
      </c>
      <c r="J10" s="263" t="str">
        <f>VLOOKUP($I10,'RCLIPS수신(일사천리론)_최종'!$C:$F,2,0)</f>
        <v>K-Score Score등급(적용배제)</v>
      </c>
      <c r="K10" s="263" t="str">
        <f>VLOOKUP($I10,'RCLIPS수신(일사천리론)_최종'!$C:$F,3,0)</f>
        <v>S</v>
      </c>
      <c r="L10" s="263">
        <f>VLOOKUP($I10,'RCLIPS수신(일사천리론)_최종'!$C:$F,4,0)</f>
        <v>0</v>
      </c>
      <c r="M10" s="263" t="str">
        <f t="shared" si="3"/>
        <v xml:space="preserve">02             </v>
      </c>
      <c r="Q10" s="178" t="str">
        <f>VLOOKUP(D10,[3]R클립스송수신결과!$D:$H,5,0)</f>
        <v xml:space="preserve">               </v>
      </c>
      <c r="R10" s="178" t="str">
        <f t="shared" si="4"/>
        <v>NOT OK</v>
      </c>
      <c r="S10" s="178" t="s">
        <v>5762</v>
      </c>
      <c r="T10" s="178" t="s">
        <v>5763</v>
      </c>
      <c r="U10" s="178" t="str">
        <f>VLOOKUP(I10,[3]R클립스송수신결과!$I:$M,5,0)</f>
        <v xml:space="preserve">03             </v>
      </c>
      <c r="V10" s="178" t="str">
        <f t="shared" si="5"/>
        <v>NOT OK</v>
      </c>
    </row>
    <row r="11" spans="1:24">
      <c r="A11" s="431"/>
      <c r="B11" s="429">
        <f t="shared" si="6"/>
        <v>161</v>
      </c>
      <c r="C11" s="429">
        <f t="shared" si="7"/>
        <v>166</v>
      </c>
      <c r="D11" s="430" t="str">
        <f t="shared" si="0"/>
        <v>A2005</v>
      </c>
      <c r="E11" s="430" t="str">
        <f>VLOOKUP(D11,'RCLIPS송신(일사천리론)_최종'!$B:$E,4,0)</f>
        <v>KCB 타사연체정보 보유고객(신용정보)</v>
      </c>
      <c r="F11" s="430" t="str">
        <f>VLOOKUP(D11,'RCLIPS송신(일사천리론)_최종'!$B:$D,2,0)</f>
        <v>Character</v>
      </c>
      <c r="G11" s="430">
        <f>VLOOKUP($D11,'RCLIPS송신(일사천리론)_최종'!$B:$D,3,0)</f>
        <v>1</v>
      </c>
      <c r="H11" s="430" t="str">
        <f t="shared" si="1"/>
        <v xml:space="preserve">0              </v>
      </c>
      <c r="I11" s="263" t="str">
        <f t="shared" si="2"/>
        <v>A4019</v>
      </c>
      <c r="J11" s="263" t="str">
        <f>VLOOKUP($I11,'RCLIPS수신(일사천리론)_최종'!$C:$F,2,0)</f>
        <v>소득추정모형(결정연소득금액)(소득추정모형 VER 3.0)</v>
      </c>
      <c r="K11" s="263" t="str">
        <f>VLOOKUP($I11,'RCLIPS수신(일사천리론)_최종'!$C:$F,3,0)</f>
        <v>N</v>
      </c>
      <c r="L11" s="263">
        <f>VLOOKUP($I11,'RCLIPS수신(일사천리론)_최종'!$C:$F,4,0)</f>
        <v>15</v>
      </c>
      <c r="M11" s="263" t="str">
        <f t="shared" si="3"/>
        <v>000000000025000</v>
      </c>
      <c r="Q11" s="178" t="str">
        <f>VLOOKUP(D11,[3]R클립스송수신결과!$D:$H,5,0)</f>
        <v xml:space="preserve">               </v>
      </c>
      <c r="R11" s="178" t="str">
        <f t="shared" si="4"/>
        <v>NOT OK</v>
      </c>
      <c r="S11" s="178" t="s">
        <v>5762</v>
      </c>
      <c r="T11" s="178" t="s">
        <v>5763</v>
      </c>
      <c r="U11" s="178" t="e">
        <f>VLOOKUP(I11,[3]R클립스송수신결과!$I:$M,5,0)</f>
        <v>#N/A</v>
      </c>
      <c r="V11" s="178" t="str">
        <f t="shared" si="5"/>
        <v>TOBE ONLY</v>
      </c>
      <c r="X11" s="178" t="s">
        <v>5766</v>
      </c>
    </row>
    <row r="12" spans="1:24">
      <c r="A12" s="431"/>
      <c r="B12" s="429">
        <f t="shared" si="6"/>
        <v>181</v>
      </c>
      <c r="C12" s="429">
        <f t="shared" si="7"/>
        <v>186</v>
      </c>
      <c r="D12" s="430" t="str">
        <f t="shared" si="0"/>
        <v>A2006</v>
      </c>
      <c r="E12" s="430" t="str">
        <f>VLOOKUP(D12,'RCLIPS송신(일사천리론)_최종'!$B:$E,4,0)</f>
        <v>사망실종 고객(고객정보)</v>
      </c>
      <c r="F12" s="430" t="str">
        <f>VLOOKUP(D12,'RCLIPS송신(일사천리론)_최종'!$B:$D,2,0)</f>
        <v>Character</v>
      </c>
      <c r="G12" s="430">
        <f>VLOOKUP($D12,'RCLIPS송신(일사천리론)_최종'!$B:$D,3,0)</f>
        <v>1</v>
      </c>
      <c r="H12" s="430" t="str">
        <f t="shared" si="1"/>
        <v xml:space="preserve">0              </v>
      </c>
      <c r="I12" s="263" t="str">
        <f t="shared" si="2"/>
        <v>R0001</v>
      </c>
      <c r="J12" s="263" t="str">
        <f>VLOOKUP($I12,'RCLIPS수신(일사천리론)_최종'!$C:$F,2,0)</f>
        <v>상품코드</v>
      </c>
      <c r="K12" s="263" t="str">
        <f>VLOOKUP($I12,'RCLIPS수신(일사천리론)_최종'!$C:$F,3,0)</f>
        <v>C</v>
      </c>
      <c r="L12" s="263" t="str">
        <f>VLOOKUP($I12,'RCLIPS수신(일사천리론)_최종'!$C:$F,4,0)</f>
        <v>15</v>
      </c>
      <c r="M12" s="263" t="str">
        <f t="shared" si="3"/>
        <v xml:space="preserve">18             </v>
      </c>
      <c r="Q12" s="178" t="str">
        <f>VLOOKUP(D12,[3]R클립스송수신결과!$D:$H,5,0)</f>
        <v xml:space="preserve">               </v>
      </c>
      <c r="R12" s="178" t="str">
        <f t="shared" si="4"/>
        <v>NOT OK</v>
      </c>
      <c r="S12" s="178" t="s">
        <v>5762</v>
      </c>
      <c r="T12" s="178" t="s">
        <v>5763</v>
      </c>
      <c r="U12" s="178" t="str">
        <f>VLOOKUP(I12,[3]R클립스송수신결과!$I:$M,5,0)</f>
        <v xml:space="preserve">18             </v>
      </c>
      <c r="V12" s="178" t="str">
        <f t="shared" si="5"/>
        <v>OK</v>
      </c>
    </row>
    <row r="13" spans="1:24">
      <c r="A13" s="263"/>
      <c r="B13" s="429">
        <f t="shared" si="6"/>
        <v>201</v>
      </c>
      <c r="C13" s="429">
        <f t="shared" si="7"/>
        <v>206</v>
      </c>
      <c r="D13" s="430" t="str">
        <f t="shared" si="0"/>
        <v>A2007</v>
      </c>
      <c r="E13" s="430" t="str">
        <f>VLOOKUP(D13,'RCLIPS송신(일사천리론)_최종'!$B:$E,4,0)</f>
        <v>거래주의보정보 등록고객(고객정보)</v>
      </c>
      <c r="F13" s="430" t="str">
        <f>VLOOKUP(D13,'RCLIPS송신(일사천리론)_최종'!$B:$D,2,0)</f>
        <v>Character</v>
      </c>
      <c r="G13" s="430">
        <f>VLOOKUP($D13,'RCLIPS송신(일사천리론)_최종'!$B:$D,3,0)</f>
        <v>1</v>
      </c>
      <c r="H13" s="430" t="str">
        <f t="shared" si="1"/>
        <v xml:space="preserve">0              </v>
      </c>
      <c r="I13" s="263" t="str">
        <f t="shared" si="2"/>
        <v>R0002</v>
      </c>
      <c r="J13" s="263" t="str">
        <f>VLOOKUP($I13,'RCLIPS수신(일사천리론)_최종'!$C:$F,2,0)</f>
        <v>신청평점</v>
      </c>
      <c r="K13" s="263" t="str">
        <f>VLOOKUP($I13,'RCLIPS수신(일사천리론)_최종'!$C:$F,3,0)</f>
        <v>N</v>
      </c>
      <c r="L13" s="263" t="str">
        <f>VLOOKUP($I13,'RCLIPS수신(일사천리론)_최종'!$C:$F,4,0)</f>
        <v>15</v>
      </c>
      <c r="M13" s="263" t="str">
        <f t="shared" si="3"/>
        <v>000000000000719</v>
      </c>
      <c r="Q13" s="178" t="str">
        <f>VLOOKUP(D13,[3]R클립스송수신결과!$D:$H,5,0)</f>
        <v xml:space="preserve">               </v>
      </c>
      <c r="R13" s="178" t="str">
        <f t="shared" si="4"/>
        <v>NOT OK</v>
      </c>
      <c r="S13" s="178" t="s">
        <v>5762</v>
      </c>
      <c r="T13" s="178" t="s">
        <v>5763</v>
      </c>
      <c r="U13" s="178" t="str">
        <f>VLOOKUP(I13,[3]R클립스송수신결과!$I:$M,5,0)</f>
        <v>000000000000689</v>
      </c>
      <c r="V13" s="178" t="str">
        <f t="shared" si="5"/>
        <v>NOT OK</v>
      </c>
    </row>
    <row r="14" spans="1:24">
      <c r="A14" s="263"/>
      <c r="B14" s="429">
        <f t="shared" si="6"/>
        <v>221</v>
      </c>
      <c r="C14" s="429">
        <f t="shared" si="7"/>
        <v>226</v>
      </c>
      <c r="D14" s="430" t="str">
        <f t="shared" si="0"/>
        <v>A2008</v>
      </c>
      <c r="E14" s="430" t="str">
        <f>VLOOKUP(D14,'RCLIPS송신(일사천리론)_최종'!$B:$E,4,0)</f>
        <v>워크아웃 등록고객</v>
      </c>
      <c r="F14" s="430" t="str">
        <f>VLOOKUP(D14,'RCLIPS송신(일사천리론)_최종'!$B:$D,2,0)</f>
        <v>Character</v>
      </c>
      <c r="G14" s="430">
        <f>VLOOKUP($D14,'RCLIPS송신(일사천리론)_최종'!$B:$D,3,0)</f>
        <v>1</v>
      </c>
      <c r="H14" s="430" t="str">
        <f t="shared" si="1"/>
        <v xml:space="preserve">0              </v>
      </c>
      <c r="I14" s="263" t="str">
        <f t="shared" si="2"/>
        <v>R0003</v>
      </c>
      <c r="J14" s="263" t="str">
        <f>VLOOKUP($I14,'RCLIPS수신(일사천리론)_최종'!$C:$F,2,0)</f>
        <v>신청등급</v>
      </c>
      <c r="K14" s="263" t="str">
        <f>VLOOKUP($I14,'RCLIPS수신(일사천리론)_최종'!$C:$F,3,0)</f>
        <v>N</v>
      </c>
      <c r="L14" s="263" t="str">
        <f>VLOOKUP($I14,'RCLIPS수신(일사천리론)_최종'!$C:$F,4,0)</f>
        <v>15</v>
      </c>
      <c r="M14" s="263" t="str">
        <f t="shared" si="3"/>
        <v xml:space="preserve">04             </v>
      </c>
      <c r="Q14" s="178" t="str">
        <f>VLOOKUP(D14,[3]R클립스송수신결과!$D:$H,5,0)</f>
        <v xml:space="preserve">               </v>
      </c>
      <c r="R14" s="178" t="str">
        <f t="shared" si="4"/>
        <v>NOT OK</v>
      </c>
      <c r="S14" s="178" t="s">
        <v>5762</v>
      </c>
      <c r="T14" s="178" t="s">
        <v>5763</v>
      </c>
      <c r="U14" s="178" t="str">
        <f>VLOOKUP(I14,[3]R클립스송수신결과!$I:$M,5,0)</f>
        <v xml:space="preserve">03             </v>
      </c>
      <c r="V14" s="178" t="str">
        <f t="shared" si="5"/>
        <v>NOT OK</v>
      </c>
    </row>
    <row r="15" spans="1:24">
      <c r="A15" s="263"/>
      <c r="B15" s="429">
        <f t="shared" si="6"/>
        <v>241</v>
      </c>
      <c r="C15" s="429">
        <f t="shared" si="7"/>
        <v>246</v>
      </c>
      <c r="D15" s="430" t="str">
        <f t="shared" si="0"/>
        <v>A2009</v>
      </c>
      <c r="E15" s="430" t="str">
        <f>VLOOKUP(D15,'RCLIPS송신(일사천리론)_최종'!$B:$E,4,0)</f>
        <v>장기카드대출 연체고객</v>
      </c>
      <c r="F15" s="430" t="str">
        <f>VLOOKUP(D15,'RCLIPS송신(일사천리론)_최종'!$B:$D,2,0)</f>
        <v>Character</v>
      </c>
      <c r="G15" s="430">
        <f>VLOOKUP($D15,'RCLIPS송신(일사천리론)_최종'!$B:$D,3,0)</f>
        <v>1</v>
      </c>
      <c r="H15" s="430" t="str">
        <f t="shared" si="1"/>
        <v xml:space="preserve">0              </v>
      </c>
      <c r="I15" s="263" t="str">
        <f t="shared" si="2"/>
        <v>R0004</v>
      </c>
      <c r="J15" s="263" t="str">
        <f>VLOOKUP($I15,'RCLIPS수신(일사천리론)_최종'!$C:$F,2,0)</f>
        <v>결합등급</v>
      </c>
      <c r="K15" s="263" t="str">
        <f>VLOOKUP($I15,'RCLIPS수신(일사천리론)_최종'!$C:$F,3,0)</f>
        <v>N</v>
      </c>
      <c r="L15" s="263" t="str">
        <f>VLOOKUP($I15,'RCLIPS수신(일사천리론)_최종'!$C:$F,4,0)</f>
        <v>15</v>
      </c>
      <c r="M15" s="263" t="str">
        <f t="shared" si="3"/>
        <v xml:space="preserve">4              </v>
      </c>
      <c r="Q15" s="178" t="str">
        <f>VLOOKUP(D15,[3]R클립스송수신결과!$D:$H,5,0)</f>
        <v xml:space="preserve">               </v>
      </c>
      <c r="R15" s="178" t="str">
        <f t="shared" si="4"/>
        <v>NOT OK</v>
      </c>
      <c r="S15" s="178" t="s">
        <v>5762</v>
      </c>
      <c r="T15" s="178" t="s">
        <v>5763</v>
      </c>
      <c r="U15" s="178" t="str">
        <f>VLOOKUP(I15,[3]R클립스송수신결과!$I:$M,5,0)</f>
        <v xml:space="preserve">04             </v>
      </c>
      <c r="V15" s="178" t="str">
        <f t="shared" si="5"/>
        <v>NOT OK</v>
      </c>
    </row>
    <row r="16" spans="1:24">
      <c r="A16" s="263"/>
      <c r="B16" s="429">
        <f t="shared" si="6"/>
        <v>261</v>
      </c>
      <c r="C16" s="429">
        <f t="shared" si="7"/>
        <v>266</v>
      </c>
      <c r="D16" s="430" t="str">
        <f t="shared" si="0"/>
        <v>A2010</v>
      </c>
      <c r="E16" s="430" t="str">
        <f>VLOOKUP(D16,'RCLIPS송신(일사천리론)_최종'!$B:$E,4,0)</f>
        <v>요주의 등록고객(신용정보)</v>
      </c>
      <c r="F16" s="430" t="str">
        <f>VLOOKUP(D16,'RCLIPS송신(일사천리론)_최종'!$B:$D,2,0)</f>
        <v>Character</v>
      </c>
      <c r="G16" s="430">
        <f>VLOOKUP($D16,'RCLIPS송신(일사천리론)_최종'!$B:$D,3,0)</f>
        <v>1</v>
      </c>
      <c r="H16" s="430" t="str">
        <f t="shared" si="1"/>
        <v xml:space="preserve">0              </v>
      </c>
      <c r="I16" s="263" t="str">
        <f t="shared" si="2"/>
        <v>R0005</v>
      </c>
      <c r="J16" s="263" t="str">
        <f>VLOOKUP($I16,'RCLIPS수신(일사천리론)_최종'!$C:$F,2,0)</f>
        <v>전략등급</v>
      </c>
      <c r="K16" s="263" t="str">
        <f>VLOOKUP($I16,'RCLIPS수신(일사천리론)_최종'!$C:$F,3,0)</f>
        <v>C</v>
      </c>
      <c r="L16" s="263" t="str">
        <f>VLOOKUP($I16,'RCLIPS수신(일사천리론)_최종'!$C:$F,4,0)</f>
        <v>15</v>
      </c>
      <c r="M16" s="263" t="str">
        <f t="shared" si="3"/>
        <v xml:space="preserve">E              </v>
      </c>
      <c r="Q16" s="178" t="str">
        <f>VLOOKUP(D16,[3]R클립스송수신결과!$D:$H,5,0)</f>
        <v xml:space="preserve">               </v>
      </c>
      <c r="R16" s="178" t="str">
        <f t="shared" si="4"/>
        <v>NOT OK</v>
      </c>
      <c r="S16" s="178" t="s">
        <v>5762</v>
      </c>
      <c r="T16" s="178" t="s">
        <v>5763</v>
      </c>
      <c r="U16" s="178" t="str">
        <f>VLOOKUP(I16,[3]R클립스송수신결과!$I:$M,5,0)</f>
        <v xml:space="preserve">A              </v>
      </c>
      <c r="V16" s="178" t="str">
        <f t="shared" si="5"/>
        <v>NOT OK</v>
      </c>
    </row>
    <row r="17" spans="1:22">
      <c r="A17" s="263"/>
      <c r="B17" s="429">
        <f t="shared" si="6"/>
        <v>281</v>
      </c>
      <c r="C17" s="429">
        <f t="shared" si="7"/>
        <v>286</v>
      </c>
      <c r="D17" s="430" t="str">
        <f t="shared" si="0"/>
        <v>A2011</v>
      </c>
      <c r="E17" s="430" t="str">
        <f>VLOOKUP(D17,'RCLIPS송신(일사천리론)_최종'!$B:$E,4,0)</f>
        <v>신용불량 채무관계제한 등록고객(신용정보)</v>
      </c>
      <c r="F17" s="430" t="str">
        <f>VLOOKUP(D17,'RCLIPS송신(일사천리론)_최종'!$B:$D,2,0)</f>
        <v>Character</v>
      </c>
      <c r="G17" s="430">
        <f>VLOOKUP($D17,'RCLIPS송신(일사천리론)_최종'!$B:$D,3,0)</f>
        <v>1</v>
      </c>
      <c r="H17" s="430" t="str">
        <f t="shared" si="1"/>
        <v xml:space="preserve">0              </v>
      </c>
      <c r="I17" s="263" t="str">
        <f t="shared" si="2"/>
        <v>R0006</v>
      </c>
      <c r="J17" s="263" t="str">
        <f>VLOOKUP($I17,'RCLIPS수신(일사천리론)_최종'!$C:$F,2,0)</f>
        <v>Thin-file여부</v>
      </c>
      <c r="K17" s="263" t="str">
        <f>VLOOKUP($I17,'RCLIPS수신(일사천리론)_최종'!$C:$F,3,0)</f>
        <v>N</v>
      </c>
      <c r="L17" s="263" t="str">
        <f>VLOOKUP($I17,'RCLIPS수신(일사천리론)_최종'!$C:$F,4,0)</f>
        <v>15</v>
      </c>
      <c r="M17" s="263" t="str">
        <f t="shared" si="3"/>
        <v xml:space="preserve">0              </v>
      </c>
      <c r="Q17" s="178" t="str">
        <f>VLOOKUP(D17,[3]R클립스송수신결과!$D:$H,5,0)</f>
        <v xml:space="preserve">               </v>
      </c>
      <c r="R17" s="178" t="str">
        <f t="shared" si="4"/>
        <v>NOT OK</v>
      </c>
      <c r="S17" s="178" t="s">
        <v>5762</v>
      </c>
      <c r="T17" s="178" t="s">
        <v>5763</v>
      </c>
      <c r="U17" s="178" t="str">
        <f>VLOOKUP(I17,[3]R클립스송수신결과!$I:$M,5,0)</f>
        <v xml:space="preserve">0              </v>
      </c>
      <c r="V17" s="178" t="str">
        <f t="shared" si="5"/>
        <v>OK</v>
      </c>
    </row>
    <row r="18" spans="1:22">
      <c r="A18" s="263"/>
      <c r="B18" s="429">
        <f t="shared" si="6"/>
        <v>301</v>
      </c>
      <c r="C18" s="429">
        <f t="shared" si="7"/>
        <v>306</v>
      </c>
      <c r="D18" s="430" t="str">
        <f t="shared" si="0"/>
        <v>A2012</v>
      </c>
      <c r="E18" s="430" t="str">
        <f>VLOOKUP(D18,'RCLIPS송신(일사천리론)_최종'!$B:$E,4,0)</f>
        <v>은행 사전채무조정 신청자 및 확정자 등록고객(KB 국민은행 정보)</v>
      </c>
      <c r="F18" s="430" t="str">
        <f>VLOOKUP(D18,'RCLIPS송신(일사천리론)_최종'!$B:$D,2,0)</f>
        <v>Character</v>
      </c>
      <c r="G18" s="430">
        <f>VLOOKUP($D18,'RCLIPS송신(일사천리론)_최종'!$B:$D,3,0)</f>
        <v>1</v>
      </c>
      <c r="H18" s="430" t="str">
        <f t="shared" si="1"/>
        <v xml:space="preserve">0              </v>
      </c>
      <c r="I18" s="432" t="str">
        <f t="shared" si="2"/>
        <v>R0007</v>
      </c>
      <c r="J18" s="432" t="str">
        <f>VLOOKUP($I18,'RCLIPS수신(일사천리론)_최종'!$C:$F,2,0)</f>
        <v>Knock-out여부</v>
      </c>
      <c r="K18" s="432" t="str">
        <f>VLOOKUP($I18,'RCLIPS수신(일사천리론)_최종'!$C:$F,3,0)</f>
        <v>N</v>
      </c>
      <c r="L18" s="432" t="str">
        <f>VLOOKUP($I18,'RCLIPS수신(일사천리론)_최종'!$C:$F,4,0)</f>
        <v>15</v>
      </c>
      <c r="M18" s="432" t="str">
        <f t="shared" si="3"/>
        <v xml:space="preserve">1              </v>
      </c>
      <c r="Q18" s="178" t="str">
        <f>VLOOKUP(D18,[3]R클립스송수신결과!$D:$H,5,0)</f>
        <v xml:space="preserve">               </v>
      </c>
      <c r="R18" s="178" t="str">
        <f t="shared" si="4"/>
        <v>NOT OK</v>
      </c>
      <c r="S18" s="178" t="s">
        <v>5762</v>
      </c>
      <c r="T18" s="178" t="s">
        <v>5763</v>
      </c>
      <c r="U18" s="178" t="str">
        <f>VLOOKUP(I18,[3]R클립스송수신결과!$I:$M,5,0)</f>
        <v xml:space="preserve">0              </v>
      </c>
      <c r="V18" s="178" t="str">
        <f t="shared" si="5"/>
        <v>NOT OK</v>
      </c>
    </row>
    <row r="19" spans="1:22">
      <c r="A19" s="263"/>
      <c r="B19" s="429">
        <f t="shared" si="6"/>
        <v>321</v>
      </c>
      <c r="C19" s="429">
        <f t="shared" si="7"/>
        <v>326</v>
      </c>
      <c r="D19" s="430" t="str">
        <f t="shared" si="0"/>
        <v>A2013</v>
      </c>
      <c r="E19" s="430" t="str">
        <f>VLOOKUP(D19,'RCLIPS송신(일사천리론)_최종'!$B:$E,4,0)</f>
        <v>고객기본정보 구분코드 오류(고객정보)</v>
      </c>
      <c r="F19" s="430" t="str">
        <f>VLOOKUP(D19,'RCLIPS송신(일사천리론)_최종'!$B:$D,2,0)</f>
        <v>Character</v>
      </c>
      <c r="G19" s="430">
        <f>VLOOKUP($D19,'RCLIPS송신(일사천리론)_최종'!$B:$D,3,0)</f>
        <v>1</v>
      </c>
      <c r="H19" s="430" t="str">
        <f t="shared" si="1"/>
        <v xml:space="preserve">0              </v>
      </c>
      <c r="I19" s="263" t="str">
        <f t="shared" si="2"/>
        <v>R0008</v>
      </c>
      <c r="J19" s="263" t="str">
        <f>VLOOKUP($I19,'RCLIPS수신(일사천리론)_최종'!$C:$F,2,0)</f>
        <v>월소득</v>
      </c>
      <c r="K19" s="263" t="str">
        <f>VLOOKUP($I19,'RCLIPS수신(일사천리론)_최종'!$C:$F,3,0)</f>
        <v>N</v>
      </c>
      <c r="L19" s="263" t="str">
        <f>VLOOKUP($I19,'RCLIPS수신(일사천리론)_최종'!$C:$F,4,0)</f>
        <v>15</v>
      </c>
      <c r="M19" s="263" t="str">
        <f t="shared" si="3"/>
        <v>000000002083333</v>
      </c>
      <c r="Q19" s="178" t="str">
        <f>VLOOKUP(D19,[3]R클립스송수신결과!$D:$H,5,0)</f>
        <v xml:space="preserve">               </v>
      </c>
      <c r="R19" s="178" t="str">
        <f t="shared" si="4"/>
        <v>NOT OK</v>
      </c>
      <c r="S19" s="178" t="s">
        <v>5762</v>
      </c>
      <c r="T19" s="178" t="s">
        <v>5763</v>
      </c>
      <c r="U19" s="178" t="str">
        <f>VLOOKUP(I19,[3]R클립스송수신결과!$I:$M,5,0)</f>
        <v>000000003416666</v>
      </c>
      <c r="V19" s="178" t="str">
        <f t="shared" si="5"/>
        <v>NOT OK</v>
      </c>
    </row>
    <row r="20" spans="1:22">
      <c r="A20" s="263"/>
      <c r="B20" s="429">
        <f t="shared" si="6"/>
        <v>341</v>
      </c>
      <c r="C20" s="429">
        <f t="shared" si="7"/>
        <v>346</v>
      </c>
      <c r="D20" s="430" t="str">
        <f t="shared" si="0"/>
        <v>A2014</v>
      </c>
      <c r="E20" s="430" t="str">
        <f>VLOOKUP(D20,'RCLIPS송신(일사천리론)_최종'!$B:$E,4,0)</f>
        <v>카드론대출잔액</v>
      </c>
      <c r="F20" s="430" t="str">
        <f>VLOOKUP(D20,'RCLIPS송신(일사천리론)_최종'!$B:$D,2,0)</f>
        <v>Numeric</v>
      </c>
      <c r="G20" s="430">
        <f>VLOOKUP($D20,'RCLIPS송신(일사천리론)_최종'!$B:$D,3,0)</f>
        <v>15</v>
      </c>
      <c r="H20" s="430" t="str">
        <f t="shared" si="1"/>
        <v>000000000000000</v>
      </c>
      <c r="I20" s="263" t="str">
        <f t="shared" si="2"/>
        <v>R0009</v>
      </c>
      <c r="J20" s="263" t="str">
        <f>VLOOKUP($I20,'RCLIPS수신(일사천리론)_최종'!$C:$F,2,0)</f>
        <v>DTI가중치</v>
      </c>
      <c r="K20" s="263" t="str">
        <f>VLOOKUP($I20,'RCLIPS수신(일사천리론)_최종'!$C:$F,3,0)</f>
        <v>N</v>
      </c>
      <c r="L20" s="263" t="str">
        <f>VLOOKUP($I20,'RCLIPS수신(일사천리론)_최종'!$C:$F,4,0)</f>
        <v>15</v>
      </c>
      <c r="M20" s="263" t="str">
        <f t="shared" si="3"/>
        <v>000000000000060</v>
      </c>
      <c r="Q20" s="178" t="str">
        <f>VLOOKUP(D20,[3]R클립스송수신결과!$D:$H,5,0)</f>
        <v>000000000000000</v>
      </c>
      <c r="R20" s="178" t="str">
        <f t="shared" si="4"/>
        <v>OK</v>
      </c>
      <c r="U20" s="178" t="str">
        <f>VLOOKUP(I20,[3]R클립스송수신결과!$I:$M,5,0)</f>
        <v>000000000000060</v>
      </c>
      <c r="V20" s="178" t="str">
        <f t="shared" si="5"/>
        <v>OK</v>
      </c>
    </row>
    <row r="21" spans="1:22">
      <c r="A21" s="263"/>
      <c r="B21" s="429">
        <f t="shared" si="6"/>
        <v>361</v>
      </c>
      <c r="C21" s="429">
        <f t="shared" si="7"/>
        <v>366</v>
      </c>
      <c r="D21" s="430" t="str">
        <f t="shared" si="0"/>
        <v>A2015</v>
      </c>
      <c r="E21" s="430" t="str">
        <f>VLOOKUP(D21,'RCLIPS송신(일사천리론)_최종'!$B:$E,4,0)</f>
        <v>오토론대출잔액</v>
      </c>
      <c r="F21" s="430" t="str">
        <f>VLOOKUP(D21,'RCLIPS송신(일사천리론)_최종'!$B:$D,2,0)</f>
        <v>Numeric</v>
      </c>
      <c r="G21" s="430">
        <f>VLOOKUP($D21,'RCLIPS송신(일사천리론)_최종'!$B:$D,3,0)</f>
        <v>15</v>
      </c>
      <c r="H21" s="430" t="str">
        <f t="shared" si="1"/>
        <v>000000000000000</v>
      </c>
      <c r="I21" s="263" t="str">
        <f t="shared" si="2"/>
        <v>R0010</v>
      </c>
      <c r="J21" s="263" t="str">
        <f>VLOOKUP($I21,'RCLIPS수신(일사천리론)_최종'!$C:$F,2,0)</f>
        <v>월원리금상환금액</v>
      </c>
      <c r="K21" s="263" t="str">
        <f>VLOOKUP($I21,'RCLIPS수신(일사천리론)_최종'!$C:$F,3,0)</f>
        <v>N</v>
      </c>
      <c r="L21" s="263" t="str">
        <f>VLOOKUP($I21,'RCLIPS수신(일사천리론)_최종'!$C:$F,4,0)</f>
        <v>15</v>
      </c>
      <c r="M21" s="263" t="str">
        <f t="shared" si="3"/>
        <v>000000000226416</v>
      </c>
      <c r="Q21" s="178" t="str">
        <f>VLOOKUP(D21,[3]R클립스송수신결과!$D:$H,5,0)</f>
        <v>000000000000000</v>
      </c>
      <c r="R21" s="178" t="str">
        <f t="shared" si="4"/>
        <v>OK</v>
      </c>
      <c r="U21" s="178" t="str">
        <f>VLOOKUP(I21,[3]R클립스송수신결과!$I:$M,5,0)</f>
        <v>000000000000000</v>
      </c>
      <c r="V21" s="178" t="str">
        <f t="shared" si="5"/>
        <v>NOT OK</v>
      </c>
    </row>
    <row r="22" spans="1:22">
      <c r="A22" s="263"/>
      <c r="B22" s="429">
        <f t="shared" si="6"/>
        <v>381</v>
      </c>
      <c r="C22" s="429">
        <f t="shared" si="7"/>
        <v>386</v>
      </c>
      <c r="D22" s="430" t="str">
        <f t="shared" si="0"/>
        <v>A2016</v>
      </c>
      <c r="E22" s="430" t="str">
        <f>VLOOKUP(D22,'RCLIPS송신(일사천리론)_최종'!$B:$E,4,0)</f>
        <v>신용대출잔액</v>
      </c>
      <c r="F22" s="430" t="str">
        <f>VLOOKUP(D22,'RCLIPS송신(일사천리론)_최종'!$B:$D,2,0)</f>
        <v>Numeric</v>
      </c>
      <c r="G22" s="430">
        <f>VLOOKUP($D22,'RCLIPS송신(일사천리론)_최종'!$B:$D,3,0)</f>
        <v>15</v>
      </c>
      <c r="H22" s="430" t="str">
        <f t="shared" si="1"/>
        <v>000000000000000</v>
      </c>
      <c r="I22" s="263" t="str">
        <f t="shared" si="2"/>
        <v>R0011</v>
      </c>
      <c r="J22" s="263" t="str">
        <f>VLOOKUP($I22,'RCLIPS수신(일사천리론)_최종'!$C:$F,2,0)</f>
        <v>월가처분소득</v>
      </c>
      <c r="K22" s="263" t="str">
        <f>VLOOKUP($I22,'RCLIPS수신(일사천리론)_최종'!$C:$F,3,0)</f>
        <v>N</v>
      </c>
      <c r="L22" s="263" t="str">
        <f>VLOOKUP($I22,'RCLIPS수신(일사천리론)_최종'!$C:$F,4,0)</f>
        <v>15</v>
      </c>
      <c r="M22" s="263" t="str">
        <f t="shared" si="3"/>
        <v>000000001023583</v>
      </c>
      <c r="Q22" s="178" t="str">
        <f>VLOOKUP(D22,[3]R클립스송수신결과!$D:$H,5,0)</f>
        <v>000000000000000</v>
      </c>
      <c r="R22" s="178" t="str">
        <f t="shared" si="4"/>
        <v>OK</v>
      </c>
      <c r="U22" s="178" t="str">
        <f>VLOOKUP(I22,[3]R클립스송수신결과!$I:$M,5,0)</f>
        <v>000000002049999</v>
      </c>
      <c r="V22" s="178" t="str">
        <f t="shared" si="5"/>
        <v>NOT OK</v>
      </c>
    </row>
    <row r="23" spans="1:22">
      <c r="A23" s="263"/>
      <c r="B23" s="429">
        <f t="shared" si="6"/>
        <v>401</v>
      </c>
      <c r="C23" s="429">
        <f t="shared" si="7"/>
        <v>406</v>
      </c>
      <c r="D23" s="430" t="str">
        <f t="shared" si="0"/>
        <v>A2017</v>
      </c>
      <c r="E23" s="430" t="str">
        <f>VLOOKUP(D23,'RCLIPS송신(일사천리론)_최종'!$B:$E,4,0)</f>
        <v>대환론대출잔액</v>
      </c>
      <c r="F23" s="430" t="str">
        <f>VLOOKUP(D23,'RCLIPS송신(일사천리론)_최종'!$B:$D,2,0)</f>
        <v>Numeric</v>
      </c>
      <c r="G23" s="430">
        <f>VLOOKUP($D23,'RCLIPS송신(일사천리론)_최종'!$B:$D,3,0)</f>
        <v>15</v>
      </c>
      <c r="H23" s="430" t="str">
        <f t="shared" si="1"/>
        <v>000000000000000</v>
      </c>
      <c r="I23" s="263" t="str">
        <f t="shared" si="2"/>
        <v>R0012</v>
      </c>
      <c r="J23" s="263" t="str">
        <f>VLOOKUP($I23,'RCLIPS수신(일사천리론)_최종'!$C:$F,2,0)</f>
        <v>적용금리</v>
      </c>
      <c r="K23" s="263" t="str">
        <f>VLOOKUP($I23,'RCLIPS수신(일사천리론)_최종'!$C:$F,3,0)</f>
        <v>N</v>
      </c>
      <c r="L23" s="263" t="str">
        <f>VLOOKUP($I23,'RCLIPS수신(일사천리론)_최종'!$C:$F,4,0)</f>
        <v>15</v>
      </c>
      <c r="M23" s="263" t="str">
        <f t="shared" si="3"/>
        <v>0000000000016.4</v>
      </c>
      <c r="Q23" s="178" t="str">
        <f>VLOOKUP(D23,[3]R클립스송수신결과!$D:$H,5,0)</f>
        <v>000000000000000</v>
      </c>
      <c r="R23" s="178" t="str">
        <f t="shared" si="4"/>
        <v>OK</v>
      </c>
      <c r="U23" s="178" t="str">
        <f>VLOOKUP(I23,[3]R클립스송수신결과!$I:$M,5,0)</f>
        <v>0000000000017.4</v>
      </c>
      <c r="V23" s="178" t="str">
        <f t="shared" si="5"/>
        <v>NOT OK</v>
      </c>
    </row>
    <row r="24" spans="1:22">
      <c r="A24" s="263"/>
      <c r="B24" s="429">
        <f t="shared" si="6"/>
        <v>421</v>
      </c>
      <c r="C24" s="429">
        <f t="shared" si="7"/>
        <v>426</v>
      </c>
      <c r="D24" s="430" t="str">
        <f t="shared" si="0"/>
        <v>A2018</v>
      </c>
      <c r="E24" s="430" t="str">
        <f>VLOOKUP(D24,'RCLIPS송신(일사천리론)_최종'!$B:$E,4,0)</f>
        <v>순수 비회원 신용대출 잔액</v>
      </c>
      <c r="F24" s="430" t="str">
        <f>VLOOKUP(D24,'RCLIPS송신(일사천리론)_최종'!$B:$D,2,0)</f>
        <v>Numeric</v>
      </c>
      <c r="G24" s="430">
        <f>VLOOKUP($D24,'RCLIPS송신(일사천리론)_최종'!$B:$D,3,0)</f>
        <v>15</v>
      </c>
      <c r="H24" s="430" t="str">
        <f t="shared" si="1"/>
        <v>000000000000000</v>
      </c>
      <c r="I24" s="263" t="str">
        <f t="shared" si="2"/>
        <v>R0013</v>
      </c>
      <c r="J24" s="263" t="str">
        <f>VLOOKUP($I24,'RCLIPS수신(일사천리론)_최종'!$C:$F,2,0)</f>
        <v>적용금리코드</v>
      </c>
      <c r="K24" s="263" t="str">
        <f>VLOOKUP($I24,'RCLIPS수신(일사천리론)_최종'!$C:$F,3,0)</f>
        <v>C</v>
      </c>
      <c r="L24" s="263" t="str">
        <f>VLOOKUP($I24,'RCLIPS수신(일사천리론)_최종'!$C:$F,4,0)</f>
        <v>15</v>
      </c>
      <c r="M24" s="263" t="str">
        <f t="shared" si="3"/>
        <v xml:space="preserve">C2             </v>
      </c>
      <c r="Q24" s="178" t="str">
        <f>VLOOKUP(D24,[3]R클립스송수신결과!$D:$H,5,0)</f>
        <v>000000000000000</v>
      </c>
      <c r="R24" s="178" t="str">
        <f t="shared" si="4"/>
        <v>OK</v>
      </c>
      <c r="U24" s="178" t="str">
        <f>VLOOKUP(I24,[3]R클립스송수신결과!$I:$M,5,0)</f>
        <v xml:space="preserve">B1             </v>
      </c>
      <c r="V24" s="178" t="str">
        <f t="shared" si="5"/>
        <v>NOT OK</v>
      </c>
    </row>
    <row r="25" spans="1:22">
      <c r="A25" s="263"/>
      <c r="B25" s="429">
        <f t="shared" si="6"/>
        <v>441</v>
      </c>
      <c r="C25" s="429">
        <f t="shared" si="7"/>
        <v>446</v>
      </c>
      <c r="D25" s="430" t="str">
        <f t="shared" si="0"/>
        <v>A2019</v>
      </c>
      <c r="E25" s="430" t="str">
        <f>VLOOKUP(D25,'RCLIPS송신(일사천리론)_최종'!$B:$E,4,0)</f>
        <v>당사 신용카드 잔액</v>
      </c>
      <c r="F25" s="430" t="str">
        <f>VLOOKUP(D25,'RCLIPS송신(일사천리론)_최종'!$B:$D,2,0)</f>
        <v>Numeric</v>
      </c>
      <c r="G25" s="430">
        <f>VLOOKUP($D25,'RCLIPS송신(일사천리론)_최종'!$B:$D,3,0)</f>
        <v>15</v>
      </c>
      <c r="H25" s="430" t="str">
        <f t="shared" si="1"/>
        <v>000000000000000</v>
      </c>
      <c r="I25" s="263" t="str">
        <f t="shared" si="2"/>
        <v>R0014</v>
      </c>
      <c r="J25" s="263" t="str">
        <f>VLOOKUP($I25,'RCLIPS수신(일사천리론)_최종'!$C:$F,2,0)</f>
        <v>기초한도</v>
      </c>
      <c r="K25" s="263" t="str">
        <f>VLOOKUP($I25,'RCLIPS수신(일사천리론)_최종'!$C:$F,3,0)</f>
        <v>N</v>
      </c>
      <c r="L25" s="263" t="str">
        <f>VLOOKUP($I25,'RCLIPS수신(일사천리론)_최종'!$C:$F,4,0)</f>
        <v>15</v>
      </c>
      <c r="M25" s="263" t="str">
        <f t="shared" si="3"/>
        <v>000000011200000</v>
      </c>
      <c r="Q25" s="178" t="str">
        <f>VLOOKUP(D25,[3]R클립스송수신결과!$D:$H,5,0)</f>
        <v>000000000000000</v>
      </c>
      <c r="R25" s="178" t="str">
        <f t="shared" si="4"/>
        <v>OK</v>
      </c>
      <c r="U25" s="178" t="str">
        <f>VLOOKUP(I25,[3]R클립스송수신결과!$I:$M,5,0)</f>
        <v>000000022400000</v>
      </c>
      <c r="V25" s="178" t="str">
        <f t="shared" si="5"/>
        <v>NOT OK</v>
      </c>
    </row>
    <row r="26" spans="1:22">
      <c r="A26" s="263"/>
      <c r="B26" s="429">
        <f t="shared" si="6"/>
        <v>461</v>
      </c>
      <c r="C26" s="429">
        <f t="shared" si="7"/>
        <v>466</v>
      </c>
      <c r="D26" s="430" t="str">
        <f t="shared" si="0"/>
        <v>A2020</v>
      </c>
      <c r="E26" s="430" t="str">
        <f>VLOOKUP(D26,'RCLIPS송신(일사천리론)_최종'!$B:$E,4,0)</f>
        <v>유효회원여부</v>
      </c>
      <c r="F26" s="430" t="str">
        <f>VLOOKUP(D26,'RCLIPS송신(일사천리론)_최종'!$B:$D,2,0)</f>
        <v>Character</v>
      </c>
      <c r="G26" s="430">
        <f>VLOOKUP($D26,'RCLIPS송신(일사천리론)_최종'!$B:$D,3,0)</f>
        <v>1</v>
      </c>
      <c r="H26" s="430" t="str">
        <f t="shared" si="1"/>
        <v xml:space="preserve">0              </v>
      </c>
      <c r="I26" s="263" t="str">
        <f t="shared" si="2"/>
        <v>R0015</v>
      </c>
      <c r="J26" s="263" t="str">
        <f>VLOOKUP($I26,'RCLIPS수신(일사천리론)_최종'!$C:$F,2,0)</f>
        <v>신용한도CAP</v>
      </c>
      <c r="K26" s="263" t="str">
        <f>VLOOKUP($I26,'RCLIPS수신(일사천리론)_최종'!$C:$F,3,0)</f>
        <v>N</v>
      </c>
      <c r="L26" s="263" t="str">
        <f>VLOOKUP($I26,'RCLIPS수신(일사천리론)_최종'!$C:$F,4,0)</f>
        <v>15</v>
      </c>
      <c r="M26" s="263" t="str">
        <f t="shared" si="3"/>
        <v>000000003000000</v>
      </c>
      <c r="Q26" s="178" t="str">
        <f>VLOOKUP(D26,[3]R클립스송수신결과!$D:$H,5,0)</f>
        <v xml:space="preserve">0              </v>
      </c>
      <c r="R26" s="178" t="str">
        <f t="shared" si="4"/>
        <v>OK</v>
      </c>
      <c r="U26" s="178" t="str">
        <f>VLOOKUP(I26,[3]R클립스송수신결과!$I:$M,5,0)</f>
        <v>000000006000000</v>
      </c>
      <c r="V26" s="178" t="str">
        <f t="shared" si="5"/>
        <v>NOT OK</v>
      </c>
    </row>
    <row r="27" spans="1:22">
      <c r="A27" s="263"/>
      <c r="B27" s="429">
        <f t="shared" si="6"/>
        <v>481</v>
      </c>
      <c r="C27" s="429">
        <f t="shared" si="7"/>
        <v>486</v>
      </c>
      <c r="D27" s="430" t="str">
        <f t="shared" si="0"/>
        <v>A2021</v>
      </c>
      <c r="E27" s="430" t="str">
        <f>VLOOKUP(D27,'RCLIPS송신(일사천리론)_최종'!$B:$E,4,0)</f>
        <v>유효고객여부</v>
      </c>
      <c r="F27" s="430" t="str">
        <f>VLOOKUP(D27,'RCLIPS송신(일사천리론)_최종'!$B:$D,2,0)</f>
        <v>Character</v>
      </c>
      <c r="G27" s="430">
        <f>VLOOKUP($D27,'RCLIPS송신(일사천리론)_최종'!$B:$D,3,0)</f>
        <v>1</v>
      </c>
      <c r="H27" s="430" t="str">
        <f t="shared" si="1"/>
        <v xml:space="preserve">0              </v>
      </c>
      <c r="I27" s="432" t="str">
        <f t="shared" si="2"/>
        <v>R0016</v>
      </c>
      <c r="J27" s="432" t="str">
        <f>VLOOKUP($I27,'RCLIPS수신(일사천리론)_최종'!$C:$F,2,0)</f>
        <v/>
      </c>
      <c r="K27" s="432" t="str">
        <f>VLOOKUP($I27,'RCLIPS수신(일사천리론)_최종'!$C:$F,3,0)</f>
        <v/>
      </c>
      <c r="L27" s="432" t="str">
        <f>VLOOKUP($I27,'RCLIPS수신(일사천리론)_최종'!$C:$F,4,0)</f>
        <v/>
      </c>
      <c r="M27" s="432" t="str">
        <f t="shared" si="3"/>
        <v>000000009500000</v>
      </c>
      <c r="Q27" s="178" t="str">
        <f>VLOOKUP(D27,[3]R클립스송수신결과!$D:$H,5,0)</f>
        <v xml:space="preserve">0              </v>
      </c>
      <c r="R27" s="178" t="str">
        <f t="shared" si="4"/>
        <v>OK</v>
      </c>
      <c r="U27" s="178" t="str">
        <f>VLOOKUP(I27,[3]R클립스송수신결과!$I:$M,5,0)</f>
        <v>000000000000000</v>
      </c>
      <c r="V27" s="178" t="str">
        <f t="shared" si="5"/>
        <v>NOT OK</v>
      </c>
    </row>
    <row r="28" spans="1:22">
      <c r="A28" s="263"/>
      <c r="B28" s="429">
        <f t="shared" si="6"/>
        <v>501</v>
      </c>
      <c r="C28" s="429">
        <f t="shared" si="7"/>
        <v>506</v>
      </c>
      <c r="D28" s="430" t="str">
        <f t="shared" si="0"/>
        <v>A2022</v>
      </c>
      <c r="E28" s="430" t="str">
        <f>VLOOKUP(D28,'RCLIPS송신(일사천리론)_최종'!$B:$E,4,0)</f>
        <v>신용카드소지여부</v>
      </c>
      <c r="F28" s="430" t="str">
        <f>VLOOKUP(D28,'RCLIPS송신(일사천리론)_최종'!$B:$D,2,0)</f>
        <v>Character</v>
      </c>
      <c r="G28" s="430">
        <f>VLOOKUP($D28,'RCLIPS송신(일사천리론)_최종'!$B:$D,3,0)</f>
        <v>1</v>
      </c>
      <c r="H28" s="430" t="str">
        <f t="shared" si="1"/>
        <v xml:space="preserve">0              </v>
      </c>
      <c r="I28" s="263" t="str">
        <f t="shared" si="2"/>
        <v>R0017</v>
      </c>
      <c r="J28" s="263" t="str">
        <f>VLOOKUP($I28,'RCLIPS수신(일사천리론)_최종'!$C:$F,2,0)</f>
        <v>연령한도CAP</v>
      </c>
      <c r="K28" s="263" t="str">
        <f>VLOOKUP($I28,'RCLIPS수신(일사천리론)_최종'!$C:$F,3,0)</f>
        <v>N</v>
      </c>
      <c r="L28" s="263" t="str">
        <f>VLOOKUP($I28,'RCLIPS수신(일사천리론)_최종'!$C:$F,4,0)</f>
        <v>15</v>
      </c>
      <c r="M28" s="263" t="str">
        <f t="shared" si="3"/>
        <v>000000030000000</v>
      </c>
      <c r="Q28" s="178" t="str">
        <f>VLOOKUP(D28,[3]R클립스송수신결과!$D:$H,5,0)</f>
        <v xml:space="preserve">0              </v>
      </c>
      <c r="R28" s="178" t="str">
        <f t="shared" si="4"/>
        <v>OK</v>
      </c>
      <c r="U28" s="178" t="str">
        <f>VLOOKUP(I28,[3]R클립스송수신결과!$I:$M,5,0)</f>
        <v>000000020499996</v>
      </c>
      <c r="V28" s="178" t="str">
        <f t="shared" si="5"/>
        <v>NOT OK</v>
      </c>
    </row>
    <row r="29" spans="1:22">
      <c r="A29" s="263"/>
      <c r="B29" s="429">
        <f t="shared" si="6"/>
        <v>521</v>
      </c>
      <c r="C29" s="429">
        <f t="shared" si="7"/>
        <v>526</v>
      </c>
      <c r="D29" s="430" t="str">
        <f t="shared" si="0"/>
        <v>A2023</v>
      </c>
      <c r="E29" s="430" t="str">
        <f>VLOOKUP(D29,'RCLIPS송신(일사천리론)_최종'!$B:$E,4,0)</f>
        <v>체크카드보유여부</v>
      </c>
      <c r="F29" s="430" t="str">
        <f>VLOOKUP(D29,'RCLIPS송신(일사천리론)_최종'!$B:$D,2,0)</f>
        <v>Character</v>
      </c>
      <c r="G29" s="430">
        <f>VLOOKUP($D29,'RCLIPS송신(일사천리론)_최종'!$B:$D,3,0)</f>
        <v>1</v>
      </c>
      <c r="H29" s="430" t="str">
        <f t="shared" si="1"/>
        <v xml:space="preserve">0              </v>
      </c>
      <c r="I29" s="263" t="str">
        <f t="shared" si="2"/>
        <v>R0018</v>
      </c>
      <c r="J29" s="263" t="str">
        <f>VLOOKUP($I29,'RCLIPS수신(일사천리론)_최종'!$C:$F,2,0)</f>
        <v>신용한도</v>
      </c>
      <c r="K29" s="263" t="str">
        <f>VLOOKUP($I29,'RCLIPS수신(일사천리론)_최종'!$C:$F,3,0)</f>
        <v>N</v>
      </c>
      <c r="L29" s="263" t="str">
        <f>VLOOKUP($I29,'RCLIPS수신(일사천리론)_최종'!$C:$F,4,0)</f>
        <v>15</v>
      </c>
      <c r="M29" s="263" t="str">
        <f t="shared" si="3"/>
        <v>000000011200000</v>
      </c>
      <c r="Q29" s="178" t="str">
        <f>VLOOKUP(D29,[3]R클립스송수신결과!$D:$H,5,0)</f>
        <v xml:space="preserve">0              </v>
      </c>
      <c r="R29" s="178" t="str">
        <f t="shared" si="4"/>
        <v>OK</v>
      </c>
      <c r="U29" s="178" t="str">
        <f>VLOOKUP(I29,[3]R클립스송수신결과!$I:$M,5,0)</f>
        <v>000000006000000</v>
      </c>
      <c r="V29" s="178" t="str">
        <f t="shared" si="5"/>
        <v>NOT OK</v>
      </c>
    </row>
    <row r="30" spans="1:22">
      <c r="A30" s="263"/>
      <c r="B30" s="429">
        <f t="shared" si="6"/>
        <v>541</v>
      </c>
      <c r="C30" s="429">
        <f t="shared" si="7"/>
        <v>546</v>
      </c>
      <c r="D30" s="430" t="str">
        <f t="shared" si="0"/>
        <v>A2024</v>
      </c>
      <c r="E30" s="430" t="str">
        <f>VLOOKUP(D30,'RCLIPS송신(일사천리론)_최종'!$B:$E,4,0)</f>
        <v>가맹점대표자여부</v>
      </c>
      <c r="F30" s="430" t="str">
        <f>VLOOKUP(D30,'RCLIPS송신(일사천리론)_최종'!$B:$D,2,0)</f>
        <v>Character</v>
      </c>
      <c r="G30" s="430">
        <f>VLOOKUP($D30,'RCLIPS송신(일사천리론)_최종'!$B:$D,3,0)</f>
        <v>1</v>
      </c>
      <c r="H30" s="430" t="str">
        <f t="shared" si="1"/>
        <v xml:space="preserve">0              </v>
      </c>
      <c r="I30" s="263" t="str">
        <f t="shared" si="2"/>
        <v>R0019</v>
      </c>
      <c r="J30" s="263" t="str">
        <f>VLOOKUP($I30,'RCLIPS수신(일사천리론)_최종'!$C:$F,2,0)</f>
        <v>시스템한도금액</v>
      </c>
      <c r="K30" s="263" t="str">
        <f>VLOOKUP($I30,'RCLIPS수신(일사천리론)_최종'!$C:$F,3,0)</f>
        <v>N</v>
      </c>
      <c r="L30" s="263" t="str">
        <f>VLOOKUP($I30,'RCLIPS수신(일사천리론)_최종'!$C:$F,4,0)</f>
        <v>15</v>
      </c>
      <c r="M30" s="263" t="str">
        <f t="shared" si="3"/>
        <v>000000003000000</v>
      </c>
      <c r="Q30" s="178" t="str">
        <f>VLOOKUP(D30,[3]R클립스송수신결과!$D:$H,5,0)</f>
        <v xml:space="preserve">0              </v>
      </c>
      <c r="R30" s="178" t="str">
        <f t="shared" si="4"/>
        <v>OK</v>
      </c>
      <c r="U30" s="178" t="str">
        <f>VLOOKUP(I30,[3]R클립스송수신결과!$I:$M,5,0)</f>
        <v>000000007200000</v>
      </c>
      <c r="V30" s="178" t="str">
        <f t="shared" si="5"/>
        <v>NOT OK</v>
      </c>
    </row>
    <row r="31" spans="1:22">
      <c r="A31" s="263"/>
      <c r="B31" s="429">
        <f t="shared" si="6"/>
        <v>561</v>
      </c>
      <c r="C31" s="429">
        <f t="shared" si="7"/>
        <v>566</v>
      </c>
      <c r="D31" s="430" t="str">
        <f t="shared" si="0"/>
        <v>A2026</v>
      </c>
      <c r="E31" s="430" t="str">
        <f>VLOOKUP(D31,'RCLIPS송신(일사천리론)_최종'!$B:$E,4,0)</f>
        <v>최근 6개월 가맹점 매출액</v>
      </c>
      <c r="F31" s="430" t="str">
        <f>VLOOKUP(D31,'RCLIPS송신(일사천리론)_최종'!$B:$D,2,0)</f>
        <v>Numeric</v>
      </c>
      <c r="G31" s="430">
        <f>VLOOKUP($D31,'RCLIPS송신(일사천리론)_최종'!$B:$D,3,0)</f>
        <v>15</v>
      </c>
      <c r="H31" s="430" t="str">
        <f t="shared" si="1"/>
        <v>000000000000000</v>
      </c>
      <c r="I31" s="432" t="str">
        <f t="shared" si="2"/>
        <v>R0020</v>
      </c>
      <c r="J31" s="432" t="str">
        <f>VLOOKUP($I31,'RCLIPS수신(일사천리론)_최종'!$C:$F,2,0)</f>
        <v>대출가능금액</v>
      </c>
      <c r="K31" s="432" t="str">
        <f>VLOOKUP($I31,'RCLIPS수신(일사천리론)_최종'!$C:$F,3,0)</f>
        <v>N</v>
      </c>
      <c r="L31" s="432" t="str">
        <f>VLOOKUP($I31,'RCLIPS수신(일사천리론)_최종'!$C:$F,4,0)</f>
        <v>15</v>
      </c>
      <c r="M31" s="432" t="str">
        <f t="shared" si="3"/>
        <v>000000003000000</v>
      </c>
      <c r="Q31" s="178" t="str">
        <f>VLOOKUP(D31,[3]R클립스송수신결과!$D:$H,5,0)</f>
        <v>000000000000000</v>
      </c>
      <c r="R31" s="178" t="str">
        <f t="shared" si="4"/>
        <v>OK</v>
      </c>
      <c r="U31" s="178" t="str">
        <f>VLOOKUP(I31,[3]R클립스송수신결과!$I:$M,5,0)</f>
        <v>000000007200000</v>
      </c>
      <c r="V31" s="178" t="str">
        <f t="shared" si="5"/>
        <v>NOT OK</v>
      </c>
    </row>
    <row r="32" spans="1:22">
      <c r="A32" s="263"/>
      <c r="B32" s="429">
        <f t="shared" si="6"/>
        <v>581</v>
      </c>
      <c r="C32" s="429">
        <f t="shared" si="7"/>
        <v>586</v>
      </c>
      <c r="D32" s="430" t="str">
        <f t="shared" si="0"/>
        <v>A2027</v>
      </c>
      <c r="E32" s="430" t="str">
        <f>VLOOKUP(D32,'RCLIPS송신(일사천리론)_최종'!$B:$E,4,0)</f>
        <v>당사 CA 잔액</v>
      </c>
      <c r="F32" s="430" t="str">
        <f>VLOOKUP(D32,'RCLIPS송신(일사천리론)_최종'!$B:$D,2,0)</f>
        <v>Numeric</v>
      </c>
      <c r="G32" s="430">
        <f>VLOOKUP($D32,'RCLIPS송신(일사천리론)_최종'!$B:$D,3,0)</f>
        <v>15</v>
      </c>
      <c r="H32" s="430" t="str">
        <f t="shared" si="1"/>
        <v>000000000000000</v>
      </c>
      <c r="I32" s="263" t="str">
        <f t="shared" si="2"/>
        <v>R0021</v>
      </c>
      <c r="J32" s="263" t="str">
        <f>VLOOKUP($I32,'RCLIPS수신(일사천리론)_최종'!$C:$F,2,0)</f>
        <v>한도충족률</v>
      </c>
      <c r="K32" s="263" t="str">
        <f>VLOOKUP($I32,'RCLIPS수신(일사천리론)_최종'!$C:$F,3,0)</f>
        <v>N</v>
      </c>
      <c r="L32" s="263" t="str">
        <f>VLOOKUP($I32,'RCLIPS수신(일사천리론)_최종'!$C:$F,4,0)</f>
        <v>15</v>
      </c>
      <c r="M32" s="263" t="str">
        <f t="shared" si="3"/>
        <v>000000000000015</v>
      </c>
      <c r="Q32" s="178" t="str">
        <f>VLOOKUP(D32,[3]R클립스송수신결과!$D:$H,5,0)</f>
        <v>000000000000000</v>
      </c>
      <c r="R32" s="178" t="str">
        <f t="shared" si="4"/>
        <v>OK</v>
      </c>
      <c r="U32" s="178" t="str">
        <f>VLOOKUP(I32,[3]R클립스송수신결과!$I:$M,5,0)</f>
        <v>000000000000072</v>
      </c>
      <c r="V32" s="178" t="str">
        <f t="shared" si="5"/>
        <v>NOT OK</v>
      </c>
    </row>
    <row r="33" spans="1:22">
      <c r="A33" s="263"/>
      <c r="B33" s="429">
        <f t="shared" si="6"/>
        <v>601</v>
      </c>
      <c r="C33" s="429">
        <f t="shared" si="7"/>
        <v>606</v>
      </c>
      <c r="D33" s="430" t="str">
        <f t="shared" si="0"/>
        <v>A2028</v>
      </c>
      <c r="E33" s="430" t="str">
        <f>VLOOKUP(D33,'RCLIPS송신(일사천리론)_최종'!$B:$E,4,0)</f>
        <v>당사 RLS이월잔액</v>
      </c>
      <c r="F33" s="430" t="str">
        <f>VLOOKUP(D33,'RCLIPS송신(일사천리론)_최종'!$B:$D,2,0)</f>
        <v>Numeric</v>
      </c>
      <c r="G33" s="430">
        <f>VLOOKUP($D33,'RCLIPS송신(일사천리론)_최종'!$B:$D,3,0)</f>
        <v>15</v>
      </c>
      <c r="H33" s="430" t="str">
        <f t="shared" si="1"/>
        <v>000000000000000</v>
      </c>
      <c r="I33" s="263" t="str">
        <f t="shared" si="2"/>
        <v>R0022</v>
      </c>
      <c r="J33" s="263" t="str">
        <f>VLOOKUP($I33,'RCLIPS수신(일사천리론)_최종'!$C:$F,2,0)</f>
        <v>한도결과코드</v>
      </c>
      <c r="K33" s="263" t="str">
        <f>VLOOKUP($I33,'RCLIPS수신(일사천리론)_최종'!$C:$F,3,0)</f>
        <v>C</v>
      </c>
      <c r="L33" s="263" t="str">
        <f>VLOOKUP($I33,'RCLIPS수신(일사천리론)_최종'!$C:$F,4,0)</f>
        <v>15</v>
      </c>
      <c r="M33" s="263" t="str">
        <f t="shared" si="3"/>
        <v xml:space="preserve">A              </v>
      </c>
      <c r="Q33" s="178" t="str">
        <f>VLOOKUP(D33,[3]R클립스송수신결과!$D:$H,5,0)</f>
        <v>000000000000000</v>
      </c>
      <c r="R33" s="178" t="str">
        <f t="shared" si="4"/>
        <v>OK</v>
      </c>
      <c r="U33" s="178" t="str">
        <f>VLOOKUP(I33,[3]R클립스송수신결과!$I:$M,5,0)</f>
        <v xml:space="preserve">A              </v>
      </c>
      <c r="V33" s="178" t="str">
        <f t="shared" si="5"/>
        <v>OK</v>
      </c>
    </row>
    <row r="34" spans="1:22">
      <c r="A34" s="263"/>
      <c r="B34" s="429">
        <f t="shared" si="6"/>
        <v>621</v>
      </c>
      <c r="C34" s="429">
        <f t="shared" si="7"/>
        <v>626</v>
      </c>
      <c r="D34" s="430" t="str">
        <f t="shared" si="0"/>
        <v>A2029</v>
      </c>
      <c r="E34" s="430" t="str">
        <f>VLOOKUP(D34,'RCLIPS송신(일사천리론)_최종'!$B:$E,4,0)</f>
        <v>당사 RCA이월잔액</v>
      </c>
      <c r="F34" s="430" t="str">
        <f>VLOOKUP(D34,'RCLIPS송신(일사천리론)_최종'!$B:$D,2,0)</f>
        <v>Numeric</v>
      </c>
      <c r="G34" s="430">
        <f>VLOOKUP($D34,'RCLIPS송신(일사천리론)_최종'!$B:$D,3,0)</f>
        <v>15</v>
      </c>
      <c r="H34" s="430" t="str">
        <f t="shared" si="1"/>
        <v>000000000000000</v>
      </c>
      <c r="I34" s="432" t="str">
        <f t="shared" si="2"/>
        <v>R0023</v>
      </c>
      <c r="J34" s="432" t="str">
        <f>VLOOKUP($I34,'RCLIPS수신(일사천리론)_최종'!$C:$F,2,0)</f>
        <v>시스템판정결과</v>
      </c>
      <c r="K34" s="432" t="str">
        <f>VLOOKUP($I34,'RCLIPS수신(일사천리론)_최종'!$C:$F,3,0)</f>
        <v>C</v>
      </c>
      <c r="L34" s="432" t="str">
        <f>VLOOKUP($I34,'RCLIPS수신(일사천리론)_최종'!$C:$F,4,0)</f>
        <v>15</v>
      </c>
      <c r="M34" s="432" t="str">
        <f t="shared" si="3"/>
        <v xml:space="preserve">DR             </v>
      </c>
      <c r="Q34" s="178" t="str">
        <f>VLOOKUP(D34,[3]R클립스송수신결과!$D:$H,5,0)</f>
        <v>000000000000000</v>
      </c>
      <c r="R34" s="178" t="str">
        <f t="shared" si="4"/>
        <v>OK</v>
      </c>
      <c r="U34" s="178" t="str">
        <f>VLOOKUP(I34,[3]R클립스송수신결과!$I:$M,5,0)</f>
        <v xml:space="preserve">자동승인       </v>
      </c>
      <c r="V34" s="178" t="str">
        <f t="shared" si="5"/>
        <v>NOT OK</v>
      </c>
    </row>
    <row r="35" spans="1:22">
      <c r="A35" s="263"/>
      <c r="B35" s="429">
        <f t="shared" si="6"/>
        <v>641</v>
      </c>
      <c r="C35" s="429">
        <f t="shared" si="7"/>
        <v>646</v>
      </c>
      <c r="D35" s="430" t="str">
        <f t="shared" si="0"/>
        <v>A2030</v>
      </c>
      <c r="E35" s="430" t="str">
        <f>VLOOKUP(D35,'RCLIPS송신(일사천리론)_최종'!$B:$E,4,0)</f>
        <v>매입할부금융잔액</v>
      </c>
      <c r="F35" s="430" t="str">
        <f>VLOOKUP(D35,'RCLIPS송신(일사천리론)_최종'!$B:$D,2,0)</f>
        <v>Numeric</v>
      </c>
      <c r="G35" s="430">
        <f>VLOOKUP($D35,'RCLIPS송신(일사천리론)_최종'!$B:$D,3,0)</f>
        <v>15</v>
      </c>
      <c r="H35" s="430" t="str">
        <f t="shared" si="1"/>
        <v>000000000000000</v>
      </c>
      <c r="I35" s="263" t="str">
        <f t="shared" si="2"/>
        <v>R0024</v>
      </c>
      <c r="J35" s="263" t="str">
        <f>VLOOKUP($I35,'RCLIPS수신(일사천리론)_최종'!$C:$F,2,0)</f>
        <v>시스템상세판정코드</v>
      </c>
      <c r="K35" s="263" t="str">
        <f>VLOOKUP($I35,'RCLIPS수신(일사천리론)_최종'!$C:$F,3,0)</f>
        <v>C</v>
      </c>
      <c r="L35" s="263" t="str">
        <f>VLOOKUP($I35,'RCLIPS수신(일사천리론)_최종'!$C:$F,4,0)</f>
        <v>15</v>
      </c>
      <c r="M35" s="263" t="str">
        <f t="shared" si="3"/>
        <v xml:space="preserve">EA             </v>
      </c>
      <c r="Q35" s="178" t="str">
        <f>VLOOKUP(D35,[3]R클립스송수신결과!$D:$H,5,0)</f>
        <v>000000000000000</v>
      </c>
      <c r="R35" s="178" t="str">
        <f t="shared" si="4"/>
        <v>OK</v>
      </c>
      <c r="U35" s="178" t="str">
        <f>VLOOKUP(I35,[3]R클립스송수신결과!$I:$M,5,0)</f>
        <v xml:space="preserve">AA             </v>
      </c>
      <c r="V35" s="178" t="str">
        <f t="shared" si="5"/>
        <v>NOT OK</v>
      </c>
    </row>
    <row r="36" spans="1:22">
      <c r="A36" s="263"/>
      <c r="B36" s="429">
        <f t="shared" si="6"/>
        <v>661</v>
      </c>
      <c r="C36" s="429">
        <f t="shared" si="7"/>
        <v>666</v>
      </c>
      <c r="D36" s="430" t="str">
        <f t="shared" si="0"/>
        <v>A2031</v>
      </c>
      <c r="E36" s="430" t="str">
        <f>VLOOKUP(D36,'RCLIPS송신(일사천리론)_최종'!$B:$E,4,0)</f>
        <v>부채증명서 발급 경과일수 (단위: 일)</v>
      </c>
      <c r="F36" s="430" t="str">
        <f>VLOOKUP(D36,'RCLIPS송신(일사천리론)_최종'!$B:$D,2,0)</f>
        <v>Numeric</v>
      </c>
      <c r="G36" s="430">
        <f>VLOOKUP($D36,'RCLIPS송신(일사천리론)_최종'!$B:$D,3,0)</f>
        <v>15</v>
      </c>
      <c r="H36" s="430" t="str">
        <f t="shared" si="1"/>
        <v>000000000000000</v>
      </c>
      <c r="I36" s="263" t="str">
        <f t="shared" si="2"/>
        <v>R0025</v>
      </c>
      <c r="J36" s="263" t="str">
        <f>VLOOKUP($I36,'RCLIPS수신(일사천리론)_최종'!$C:$F,2,0)</f>
        <v>우대한도</v>
      </c>
      <c r="K36" s="263" t="str">
        <f>VLOOKUP($I36,'RCLIPS수신(일사천리론)_최종'!$C:$F,3,0)</f>
        <v>N</v>
      </c>
      <c r="L36" s="263" t="str">
        <f>VLOOKUP($I36,'RCLIPS수신(일사천리론)_최종'!$C:$F,4,0)</f>
        <v>15</v>
      </c>
      <c r="M36" s="263" t="str">
        <f t="shared" si="3"/>
        <v>000000000000000</v>
      </c>
      <c r="Q36" s="178" t="str">
        <f>VLOOKUP(D36,[3]R클립스송수신결과!$D:$H,5,0)</f>
        <v>000000000000000</v>
      </c>
      <c r="R36" s="178" t="str">
        <f t="shared" si="4"/>
        <v>OK</v>
      </c>
      <c r="U36" s="178" t="str">
        <f>VLOOKUP(I36,[3]R클립스송수신결과!$I:$M,5,0)</f>
        <v>000000001200000</v>
      </c>
      <c r="V36" s="178" t="str">
        <f t="shared" si="5"/>
        <v>NOT OK</v>
      </c>
    </row>
    <row r="37" spans="1:22">
      <c r="A37" s="263"/>
      <c r="B37" s="429">
        <f t="shared" si="6"/>
        <v>681</v>
      </c>
      <c r="C37" s="429">
        <f t="shared" si="7"/>
        <v>686</v>
      </c>
      <c r="D37" s="430" t="str">
        <f t="shared" si="0"/>
        <v>A2032</v>
      </c>
      <c r="E37" s="430" t="str">
        <f>VLOOKUP(D37,'RCLIPS송신(일사천리론)_최종'!$B:$E,4,0)</f>
        <v>쉬프트론대출잔액</v>
      </c>
      <c r="F37" s="430" t="str">
        <f>VLOOKUP(D37,'RCLIPS송신(일사천리론)_최종'!$B:$D,2,0)</f>
        <v>Numeric</v>
      </c>
      <c r="G37" s="430">
        <f>VLOOKUP($D37,'RCLIPS송신(일사천리론)_최종'!$B:$D,3,0)</f>
        <v>15</v>
      </c>
      <c r="H37" s="430" t="str">
        <f t="shared" si="1"/>
        <v>000000000000000</v>
      </c>
      <c r="I37" s="263" t="str">
        <f t="shared" si="2"/>
        <v>R0026</v>
      </c>
      <c r="J37" s="263" t="str">
        <f>VLOOKUP($I37,'RCLIPS수신(일사천리론)_최종'!$C:$F,2,0)</f>
        <v>DTI</v>
      </c>
      <c r="K37" s="263" t="str">
        <f>VLOOKUP($I37,'RCLIPS수신(일사천리론)_최종'!$C:$F,3,0)</f>
        <v>N</v>
      </c>
      <c r="L37" s="263" t="str">
        <f>VLOOKUP($I37,'RCLIPS수신(일사천리론)_최종'!$C:$F,4,0)</f>
        <v>15</v>
      </c>
      <c r="M37" s="263" t="str">
        <f t="shared" si="3"/>
        <v>000000000000011</v>
      </c>
      <c r="Q37" s="178" t="str">
        <f>VLOOKUP(D37,[3]R클립스송수신결과!$D:$H,5,0)</f>
        <v>000000000000000</v>
      </c>
      <c r="R37" s="178" t="str">
        <f t="shared" si="4"/>
        <v>OK</v>
      </c>
      <c r="U37" s="178" t="str">
        <f>VLOOKUP(I37,[3]R클립스송수신결과!$I:$M,5,0)</f>
        <v>000000000000000</v>
      </c>
      <c r="V37" s="178" t="str">
        <f t="shared" si="5"/>
        <v>NOT OK</v>
      </c>
    </row>
    <row r="38" spans="1:22">
      <c r="A38" s="263"/>
      <c r="B38" s="429">
        <f t="shared" si="6"/>
        <v>701</v>
      </c>
      <c r="C38" s="429">
        <f t="shared" si="7"/>
        <v>706</v>
      </c>
      <c r="D38" s="430" t="str">
        <f t="shared" si="0"/>
        <v>A2033</v>
      </c>
      <c r="E38" s="430" t="str">
        <f>VLOOKUP(D38,'RCLIPS송신(일사천리론)_최종'!$B:$E,4,0)</f>
        <v>대출광고제휴업체구분코드</v>
      </c>
      <c r="F38" s="430" t="str">
        <f>VLOOKUP(D38,'RCLIPS송신(일사천리론)_최종'!$B:$D,2,0)</f>
        <v>Character</v>
      </c>
      <c r="G38" s="430">
        <f>VLOOKUP($D38,'RCLIPS송신(일사천리론)_최종'!$B:$D,3,0)</f>
        <v>3</v>
      </c>
      <c r="H38" s="430" t="str">
        <f t="shared" si="1"/>
        <v xml:space="preserve">               </v>
      </c>
      <c r="I38" s="263" t="str">
        <f t="shared" si="2"/>
        <v>R0027</v>
      </c>
      <c r="J38" s="263" t="str">
        <f>VLOOKUP($I38,'RCLIPS수신(일사천리론)_최종'!$C:$F,2,0)</f>
        <v>신용가중치</v>
      </c>
      <c r="K38" s="263" t="str">
        <f>VLOOKUP($I38,'RCLIPS수신(일사천리론)_최종'!$C:$F,3,0)</f>
        <v>N</v>
      </c>
      <c r="L38" s="263" t="str">
        <f>VLOOKUP($I38,'RCLIPS수신(일사천리론)_최종'!$C:$F,4,0)</f>
        <v>15</v>
      </c>
      <c r="M38" s="263" t="str">
        <f t="shared" si="3"/>
        <v>000000000000100</v>
      </c>
      <c r="Q38" s="178" t="str">
        <f>VLOOKUP(D38,[3]R클립스송수신결과!$D:$H,5,0)</f>
        <v xml:space="preserve">               </v>
      </c>
      <c r="R38" s="178" t="str">
        <f t="shared" si="4"/>
        <v>OK</v>
      </c>
      <c r="U38" s="178" t="str">
        <f>VLOOKUP(I38,[3]R클립스송수신결과!$I:$M,5,0)</f>
        <v>000000000000100</v>
      </c>
      <c r="V38" s="178" t="str">
        <f t="shared" si="5"/>
        <v>OK</v>
      </c>
    </row>
    <row r="39" spans="1:22">
      <c r="A39" s="263"/>
      <c r="B39" s="429">
        <f t="shared" si="6"/>
        <v>721</v>
      </c>
      <c r="C39" s="429">
        <f t="shared" si="7"/>
        <v>726</v>
      </c>
      <c r="D39" s="430" t="str">
        <f t="shared" si="0"/>
        <v>A2034</v>
      </c>
      <c r="E39" s="430" t="str">
        <f>VLOOKUP(D39,'RCLIPS송신(일사천리론)_최종'!$B:$E,4,0)</f>
        <v>우대한도소득충족여부</v>
      </c>
      <c r="F39" s="430" t="str">
        <f>VLOOKUP(D39,'RCLIPS송신(일사천리론)_최종'!$B:$D,2,0)</f>
        <v>Character</v>
      </c>
      <c r="G39" s="430">
        <f>VLOOKUP($D39,'RCLIPS송신(일사천리론)_최종'!$B:$D,3,0)</f>
        <v>1</v>
      </c>
      <c r="H39" s="430" t="str">
        <f t="shared" si="1"/>
        <v xml:space="preserve">0              </v>
      </c>
      <c r="I39" s="263" t="str">
        <f t="shared" si="2"/>
        <v>R0028</v>
      </c>
      <c r="J39" s="263" t="str">
        <f>VLOOKUP($I39,'RCLIPS수신(일사천리론)_최종'!$C:$F,2,0)</f>
        <v>대출가능개월수</v>
      </c>
      <c r="K39" s="263" t="str">
        <f>VLOOKUP($I39,'RCLIPS수신(일사천리론)_최종'!$C:$F,3,0)</f>
        <v>N</v>
      </c>
      <c r="L39" s="263" t="str">
        <f>VLOOKUP($I39,'RCLIPS수신(일사천리론)_최종'!$C:$F,4,0)</f>
        <v>15</v>
      </c>
      <c r="M39" s="263" t="str">
        <f t="shared" si="3"/>
        <v>000000000000024</v>
      </c>
      <c r="Q39" s="178" t="str">
        <f>VLOOKUP(D39,[3]R클립스송수신결과!$D:$H,5,0)</f>
        <v xml:space="preserve">               </v>
      </c>
      <c r="R39" s="178" t="str">
        <f t="shared" si="4"/>
        <v>NOT OK</v>
      </c>
      <c r="U39" s="178" t="str">
        <f>VLOOKUP(I39,[3]R클립스송수신결과!$I:$M,5,0)</f>
        <v>000000000000024</v>
      </c>
      <c r="V39" s="178" t="str">
        <f t="shared" si="5"/>
        <v>OK</v>
      </c>
    </row>
    <row r="40" spans="1:22">
      <c r="A40" s="263"/>
      <c r="B40" s="429">
        <f t="shared" si="6"/>
        <v>741</v>
      </c>
      <c r="C40" s="429">
        <f t="shared" si="7"/>
        <v>746</v>
      </c>
      <c r="D40" s="430" t="str">
        <f t="shared" si="0"/>
        <v>A2035</v>
      </c>
      <c r="E40" s="430" t="str">
        <f>VLOOKUP(D40,'RCLIPS송신(일사천리론)_최종'!$B:$E,4,0)</f>
        <v>중고차할부금융잔액</v>
      </c>
      <c r="F40" s="430" t="str">
        <f>VLOOKUP(D40,'RCLIPS송신(일사천리론)_최종'!$B:$D,2,0)</f>
        <v>Numeric</v>
      </c>
      <c r="G40" s="430">
        <f>VLOOKUP($D40,'RCLIPS송신(일사천리론)_최종'!$B:$D,3,0)</f>
        <v>15</v>
      </c>
      <c r="H40" s="430" t="str">
        <f t="shared" si="1"/>
        <v>000000000000000</v>
      </c>
      <c r="I40" s="263" t="str">
        <f t="shared" si="2"/>
        <v>R0029</v>
      </c>
      <c r="J40" s="263" t="str">
        <f>VLOOKUP($I40,'RCLIPS수신(일사천리론)_최종'!$C:$F,2,0)</f>
        <v>거치가능개월수</v>
      </c>
      <c r="K40" s="263" t="str">
        <f>VLOOKUP($I40,'RCLIPS수신(일사천리론)_최종'!$C:$F,3,0)</f>
        <v>N</v>
      </c>
      <c r="L40" s="263" t="str">
        <f>VLOOKUP($I40,'RCLIPS수신(일사천리론)_최종'!$C:$F,4,0)</f>
        <v>15</v>
      </c>
      <c r="M40" s="263" t="str">
        <f t="shared" si="3"/>
        <v>000000000000003</v>
      </c>
      <c r="Q40" s="178" t="str">
        <f>VLOOKUP(D40,[3]R클립스송수신결과!$D:$H,5,0)</f>
        <v>000000000000000</v>
      </c>
      <c r="R40" s="178" t="str">
        <f t="shared" si="4"/>
        <v>OK</v>
      </c>
      <c r="S40" s="178" t="s">
        <v>5767</v>
      </c>
      <c r="T40" s="178" t="s">
        <v>5763</v>
      </c>
      <c r="U40" s="178" t="str">
        <f>VLOOKUP(I40,[3]R클립스송수신결과!$I:$M,5,0)</f>
        <v>000000000000003</v>
      </c>
      <c r="V40" s="178" t="str">
        <f t="shared" si="5"/>
        <v>OK</v>
      </c>
    </row>
    <row r="41" spans="1:22">
      <c r="A41" s="263"/>
      <c r="B41" s="429">
        <f t="shared" si="6"/>
        <v>761</v>
      </c>
      <c r="C41" s="429">
        <f t="shared" si="7"/>
        <v>766</v>
      </c>
      <c r="D41" s="430" t="str">
        <f t="shared" si="0"/>
        <v>A2036</v>
      </c>
      <c r="E41" s="430" t="str">
        <f>VLOOKUP(D41,'RCLIPS송신(일사천리론)_최종'!$B:$E,4,0)</f>
        <v>스크래핑소득_건보</v>
      </c>
      <c r="F41" s="430" t="str">
        <f>VLOOKUP(D41,'RCLIPS송신(일사천리론)_최종'!$B:$D,2,0)</f>
        <v>Numeric</v>
      </c>
      <c r="G41" s="430">
        <f>VLOOKUP($D41,'RCLIPS송신(일사천리론)_최종'!$B:$D,3,0)</f>
        <v>15</v>
      </c>
      <c r="H41" s="430" t="str">
        <f t="shared" si="1"/>
        <v>000000000000000</v>
      </c>
      <c r="I41" s="263" t="str">
        <f t="shared" si="2"/>
        <v>R0030</v>
      </c>
      <c r="J41" s="263" t="str">
        <f>VLOOKUP($I41,'RCLIPS수신(일사천리론)_최종'!$C:$F,2,0)</f>
        <v>우대대상여부</v>
      </c>
      <c r="K41" s="263" t="str">
        <f>VLOOKUP($I41,'RCLIPS수신(일사천리론)_최종'!$C:$F,3,0)</f>
        <v>C</v>
      </c>
      <c r="L41" s="263" t="str">
        <f>VLOOKUP($I41,'RCLIPS수신(일사천리론)_최종'!$C:$F,4,0)</f>
        <v>15</v>
      </c>
      <c r="M41" s="263" t="str">
        <f t="shared" si="3"/>
        <v xml:space="preserve">0              </v>
      </c>
      <c r="Q41" s="178" t="str">
        <f>VLOOKUP(D41,[3]R클립스송수신결과!$D:$H,5,0)</f>
        <v>000000000000000</v>
      </c>
      <c r="R41" s="178" t="str">
        <f t="shared" si="4"/>
        <v>OK</v>
      </c>
      <c r="U41" s="178" t="str">
        <f>VLOOKUP(I41,[3]R클립스송수신결과!$I:$M,5,0)</f>
        <v xml:space="preserve">               </v>
      </c>
      <c r="V41" s="178" t="str">
        <f t="shared" si="5"/>
        <v>NOT OK</v>
      </c>
    </row>
    <row r="42" spans="1:22">
      <c r="A42" s="263"/>
      <c r="B42" s="429">
        <f t="shared" si="6"/>
        <v>781</v>
      </c>
      <c r="C42" s="429">
        <f t="shared" si="7"/>
        <v>786</v>
      </c>
      <c r="D42" s="430" t="str">
        <f t="shared" si="0"/>
        <v>A2037</v>
      </c>
      <c r="E42" s="430" t="str">
        <f>VLOOKUP(D42,'RCLIPS송신(일사천리론)_최종'!$B:$E,4,0)</f>
        <v>스크래핑소득_국세청</v>
      </c>
      <c r="F42" s="430" t="str">
        <f>VLOOKUP(D42,'RCLIPS송신(일사천리론)_최종'!$B:$D,2,0)</f>
        <v>Numeric</v>
      </c>
      <c r="G42" s="430">
        <f>VLOOKUP($D42,'RCLIPS송신(일사천리론)_최종'!$B:$D,3,0)</f>
        <v>15</v>
      </c>
      <c r="H42" s="430" t="str">
        <f t="shared" si="1"/>
        <v>000000000000000</v>
      </c>
      <c r="I42" s="263" t="str">
        <f t="shared" si="2"/>
        <v>R0031</v>
      </c>
      <c r="J42" s="263" t="str">
        <f>VLOOKUP($I42,'RCLIPS수신(일사천리론)_최종'!$C:$F,2,0)</f>
        <v>우대한도금액</v>
      </c>
      <c r="K42" s="263" t="str">
        <f>VLOOKUP($I42,'RCLIPS수신(일사천리론)_최종'!$C:$F,3,0)</f>
        <v>N</v>
      </c>
      <c r="L42" s="263" t="str">
        <f>VLOOKUP($I42,'RCLIPS수신(일사천리론)_최종'!$C:$F,4,0)</f>
        <v>15</v>
      </c>
      <c r="M42" s="263" t="str">
        <f t="shared" si="3"/>
        <v>000000000000000</v>
      </c>
      <c r="Q42" s="178" t="str">
        <f>VLOOKUP(D42,[3]R클립스송수신결과!$D:$H,5,0)</f>
        <v>000000000000000</v>
      </c>
      <c r="R42" s="178" t="str">
        <f t="shared" si="4"/>
        <v>OK</v>
      </c>
      <c r="U42" s="178" t="str">
        <f>VLOOKUP(I42,[3]R클립스송수신결과!$I:$M,5,0)</f>
        <v>000000007200000</v>
      </c>
      <c r="V42" s="178" t="str">
        <f t="shared" si="5"/>
        <v>NOT OK</v>
      </c>
    </row>
    <row r="43" spans="1:22">
      <c r="A43" s="263"/>
      <c r="B43" s="429">
        <f t="shared" si="6"/>
        <v>801</v>
      </c>
      <c r="C43" s="429">
        <f t="shared" si="7"/>
        <v>806</v>
      </c>
      <c r="D43" s="430" t="str">
        <f t="shared" si="0"/>
        <v>A2057</v>
      </c>
      <c r="E43" s="430" t="str">
        <f>VLOOKUP(D43,'RCLIPS송신(일사천리론)_최종'!$B:$E,4,0)</f>
        <v>건강보험가입자구분코드</v>
      </c>
      <c r="F43" s="430" t="str">
        <f>VLOOKUP(D43,'RCLIPS송신(일사천리론)_최종'!$B:$D,2,0)</f>
        <v>Character</v>
      </c>
      <c r="G43" s="430">
        <f>VLOOKUP($D43,'RCLIPS송신(일사천리론)_최종'!$B:$D,3,0)</f>
        <v>1</v>
      </c>
      <c r="H43" s="430" t="str">
        <f t="shared" si="1"/>
        <v xml:space="preserve">               </v>
      </c>
      <c r="I43" s="263" t="str">
        <f t="shared" si="2"/>
        <v>R0032</v>
      </c>
      <c r="J43" s="263" t="str">
        <f>VLOOKUP($I43,'RCLIPS수신(일사천리론)_최종'!$C:$F,2,0)</f>
        <v>KCB신용등급</v>
      </c>
      <c r="K43" s="263" t="str">
        <f>VLOOKUP($I43,'RCLIPS수신(일사천리론)_최종'!$C:$F,3,0)</f>
        <v>N</v>
      </c>
      <c r="L43" s="263" t="str">
        <f>VLOOKUP($I43,'RCLIPS수신(일사천리론)_최종'!$C:$F,4,0)</f>
        <v>15</v>
      </c>
      <c r="M43" s="263" t="str">
        <f t="shared" si="3"/>
        <v>0000000000002.0</v>
      </c>
      <c r="Q43" s="178" t="e">
        <f>VLOOKUP(D43,[3]R클립스송수신결과!$D:$H,5,0)</f>
        <v>#N/A</v>
      </c>
      <c r="R43" s="178" t="str">
        <f t="shared" si="4"/>
        <v>TOBE ONLY</v>
      </c>
      <c r="U43" s="178" t="str">
        <f>VLOOKUP(I43,[3]R클립스송수신결과!$I:$M,5,0)</f>
        <v>0000000000003.0</v>
      </c>
      <c r="V43" s="178" t="str">
        <f t="shared" si="5"/>
        <v>NOT OK</v>
      </c>
    </row>
    <row r="44" spans="1:22">
      <c r="A44" s="263"/>
      <c r="B44" s="429">
        <f t="shared" si="6"/>
        <v>821</v>
      </c>
      <c r="C44" s="429">
        <f t="shared" si="7"/>
        <v>826</v>
      </c>
      <c r="D44" s="430" t="str">
        <f t="shared" si="0"/>
        <v>A2042</v>
      </c>
      <c r="E44" s="430" t="str">
        <f>VLOOKUP(D44,'RCLIPS송신(일사천리론)_최종'!$B:$E,4,0)</f>
        <v>스크래핑소득_제휴채널</v>
      </c>
      <c r="F44" s="430" t="str">
        <f>VLOOKUP(D44,'RCLIPS송신(일사천리론)_최종'!$B:$D,2,0)</f>
        <v>Numeric</v>
      </c>
      <c r="G44" s="430">
        <f>VLOOKUP($D44,'RCLIPS송신(일사천리론)_최종'!$B:$D,3,0)</f>
        <v>15</v>
      </c>
      <c r="H44" s="430" t="str">
        <f t="shared" si="1"/>
        <v>000000000000000</v>
      </c>
      <c r="I44" s="263" t="str">
        <f t="shared" si="2"/>
        <v>R0033</v>
      </c>
      <c r="J44" s="263" t="str">
        <f>VLOOKUP($I44,'RCLIPS수신(일사천리론)_최종'!$C:$F,2,0)</f>
        <v>NICE신용등급</v>
      </c>
      <c r="K44" s="263" t="str">
        <f>VLOOKUP($I44,'RCLIPS수신(일사천리론)_최종'!$C:$F,3,0)</f>
        <v>N</v>
      </c>
      <c r="L44" s="263" t="str">
        <f>VLOOKUP($I44,'RCLIPS수신(일사천리론)_최종'!$C:$F,4,0)</f>
        <v>15</v>
      </c>
      <c r="M44" s="263" t="str">
        <f t="shared" si="3"/>
        <v>0000000000003.0</v>
      </c>
      <c r="Q44" s="178" t="e">
        <f>VLOOKUP(D44,[3]R클립스송수신결과!$D:$H,5,0)</f>
        <v>#N/A</v>
      </c>
      <c r="R44" s="178" t="str">
        <f t="shared" si="4"/>
        <v>TOBE ONLY</v>
      </c>
      <c r="U44" s="178" t="str">
        <f>VLOOKUP(I44,[3]R클립스송수신결과!$I:$M,5,0)</f>
        <v>0000000000006.0</v>
      </c>
      <c r="V44" s="178" t="str">
        <f t="shared" si="5"/>
        <v>NOT OK</v>
      </c>
    </row>
    <row r="45" spans="1:22">
      <c r="A45" s="263"/>
      <c r="B45" s="429">
        <f t="shared" si="6"/>
        <v>841</v>
      </c>
      <c r="C45" s="429">
        <f t="shared" si="7"/>
        <v>846</v>
      </c>
      <c r="D45" s="430" t="str">
        <f t="shared" si="0"/>
        <v>A2043</v>
      </c>
      <c r="E45" s="430" t="str">
        <f>VLOOKUP(D45,'RCLIPS송신(일사천리론)_최종'!$B:$E,4,0)</f>
        <v>혜택가맹점구분</v>
      </c>
      <c r="F45" s="430" t="str">
        <f>VLOOKUP(D45,'RCLIPS송신(일사천리론)_최종'!$B:$D,2,0)</f>
        <v>Character</v>
      </c>
      <c r="G45" s="430">
        <f>VLOOKUP($D45,'RCLIPS송신(일사천리론)_최종'!$B:$D,3,0)</f>
        <v>2</v>
      </c>
      <c r="H45" s="430" t="str">
        <f t="shared" si="1"/>
        <v xml:space="preserve">               </v>
      </c>
      <c r="I45" s="263" t="str">
        <f t="shared" si="2"/>
        <v>R0034</v>
      </c>
      <c r="J45" s="263" t="str">
        <f>VLOOKUP($I45,'RCLIPS수신(일사천리론)_최종'!$C:$F,2,0)</f>
        <v>KCB추정소득</v>
      </c>
      <c r="K45" s="263" t="str">
        <f>VLOOKUP($I45,'RCLIPS수신(일사천리론)_최종'!$C:$F,3,0)</f>
        <v>N</v>
      </c>
      <c r="L45" s="263" t="str">
        <f>VLOOKUP($I45,'RCLIPS수신(일사천리론)_최종'!$C:$F,4,0)</f>
        <v>15</v>
      </c>
      <c r="M45" s="263" t="str">
        <f t="shared" si="3"/>
        <v>000000025000000</v>
      </c>
      <c r="Q45" s="178" t="e">
        <f>VLOOKUP(D45,[3]R클립스송수신결과!$D:$H,5,0)</f>
        <v>#N/A</v>
      </c>
      <c r="R45" s="178" t="str">
        <f t="shared" si="4"/>
        <v>TOBE ONLY</v>
      </c>
      <c r="U45" s="178" t="str">
        <f>VLOOKUP(I45,[3]R클립스송수신결과!$I:$M,5,0)</f>
        <v>000000041000000</v>
      </c>
      <c r="V45" s="178" t="str">
        <f t="shared" si="5"/>
        <v>NOT OK</v>
      </c>
    </row>
    <row r="46" spans="1:22">
      <c r="A46" s="263"/>
      <c r="B46" s="429">
        <f t="shared" si="6"/>
        <v>861</v>
      </c>
      <c r="C46" s="429">
        <f t="shared" si="7"/>
        <v>866</v>
      </c>
      <c r="D46" s="430" t="str">
        <f t="shared" si="0"/>
        <v>A2044</v>
      </c>
      <c r="E46" s="430" t="str">
        <f>VLOOKUP(D46,'RCLIPS송신(일사천리론)_최종'!$B:$E,4,0)</f>
        <v>혜택가맹점할인율</v>
      </c>
      <c r="F46" s="430" t="str">
        <f>VLOOKUP(D46,'RCLIPS송신(일사천리론)_최종'!$B:$D,2,0)</f>
        <v>Numeric</v>
      </c>
      <c r="G46" s="430">
        <f>VLOOKUP($D46,'RCLIPS송신(일사천리론)_최종'!$B:$D,3,0)</f>
        <v>3</v>
      </c>
      <c r="H46" s="430" t="str">
        <f t="shared" si="1"/>
        <v>000000000000000</v>
      </c>
      <c r="I46" s="263" t="str">
        <f t="shared" si="2"/>
        <v>R0035</v>
      </c>
      <c r="J46" s="263" t="str">
        <f>VLOOKUP($I46,'RCLIPS수신(일사천리론)_최종'!$C:$F,2,0)</f>
        <v>NICE추정소득</v>
      </c>
      <c r="K46" s="263" t="str">
        <f>VLOOKUP($I46,'RCLIPS수신(일사천리론)_최종'!$C:$F,3,0)</f>
        <v>N</v>
      </c>
      <c r="L46" s="263" t="str">
        <f>VLOOKUP($I46,'RCLIPS수신(일사천리론)_최종'!$C:$F,4,0)</f>
        <v>15</v>
      </c>
      <c r="M46" s="263" t="str">
        <f t="shared" si="3"/>
        <v>000000000000000</v>
      </c>
      <c r="Q46" s="178" t="e">
        <f>VLOOKUP(D46,[3]R클립스송수신결과!$D:$H,5,0)</f>
        <v>#N/A</v>
      </c>
      <c r="R46" s="178" t="str">
        <f t="shared" si="4"/>
        <v>TOBE ONLY</v>
      </c>
      <c r="U46" s="178" t="str">
        <f>VLOOKUP(I46,[3]R클립스송수신결과!$I:$M,5,0)</f>
        <v>000000041000000</v>
      </c>
      <c r="V46" s="178" t="str">
        <f t="shared" si="5"/>
        <v>NOT OK</v>
      </c>
    </row>
    <row r="47" spans="1:22">
      <c r="A47" s="263"/>
      <c r="B47" s="429">
        <f t="shared" si="6"/>
        <v>881</v>
      </c>
      <c r="C47" s="429">
        <f t="shared" si="7"/>
        <v>886</v>
      </c>
      <c r="D47" s="430" t="str">
        <f t="shared" si="0"/>
        <v>A2045</v>
      </c>
      <c r="E47" s="430" t="str">
        <f>VLOOKUP(D47,'RCLIPS송신(일사천리론)_최종'!$B:$E,4,0)</f>
        <v>사업자등록경과일수</v>
      </c>
      <c r="F47" s="430" t="str">
        <f>VLOOKUP(D47,'RCLIPS송신(일사천리론)_최종'!$B:$D,2,0)</f>
        <v>Numeric</v>
      </c>
      <c r="G47" s="430">
        <f>VLOOKUP($D47,'RCLIPS송신(일사천리론)_최종'!$B:$D,3,0)</f>
        <v>5</v>
      </c>
      <c r="H47" s="430" t="str">
        <f t="shared" si="1"/>
        <v>000000000000000</v>
      </c>
      <c r="I47" s="263" t="str">
        <f t="shared" si="2"/>
        <v>R0036</v>
      </c>
      <c r="J47" s="263" t="str">
        <f>VLOOKUP($I47,'RCLIPS수신(일사천리론)_최종'!$C:$F,2,0)</f>
        <v>연원리금상환액</v>
      </c>
      <c r="K47" s="263" t="str">
        <f>VLOOKUP($I47,'RCLIPS수신(일사천리론)_최종'!$C:$F,3,0)</f>
        <v>N</v>
      </c>
      <c r="L47" s="263" t="str">
        <f>VLOOKUP($I47,'RCLIPS수신(일사천리론)_최종'!$C:$F,4,0)</f>
        <v>15</v>
      </c>
      <c r="M47" s="263" t="str">
        <f t="shared" si="3"/>
        <v>000000002716992</v>
      </c>
      <c r="Q47" s="178" t="e">
        <f>VLOOKUP(D47,[3]R클립스송수신결과!$D:$H,5,0)</f>
        <v>#N/A</v>
      </c>
      <c r="R47" s="178" t="str">
        <f t="shared" si="4"/>
        <v>TOBE ONLY</v>
      </c>
      <c r="U47" s="178" t="str">
        <f>VLOOKUP(I47,[3]R클립스송수신결과!$I:$M,5,0)</f>
        <v>000000000000000</v>
      </c>
      <c r="V47" s="178" t="str">
        <f t="shared" si="5"/>
        <v>NOT OK</v>
      </c>
    </row>
    <row r="48" spans="1:22">
      <c r="A48" s="263"/>
      <c r="B48" s="429">
        <f t="shared" si="6"/>
        <v>901</v>
      </c>
      <c r="C48" s="429">
        <f t="shared" si="7"/>
        <v>906</v>
      </c>
      <c r="D48" s="430" t="str">
        <f t="shared" si="0"/>
        <v>A2046</v>
      </c>
      <c r="E48" s="430" t="str">
        <f>VLOOKUP(D48,'RCLIPS송신(일사천리론)_최종'!$B:$E,4,0)</f>
        <v>개인사업자여부</v>
      </c>
      <c r="F48" s="430" t="str">
        <f>VLOOKUP(D48,'RCLIPS송신(일사천리론)_최종'!$B:$D,2,0)</f>
        <v>Character</v>
      </c>
      <c r="G48" s="430">
        <f>VLOOKUP($D48,'RCLIPS송신(일사천리론)_최종'!$B:$D,3,0)</f>
        <v>1</v>
      </c>
      <c r="H48" s="430" t="str">
        <f t="shared" si="1"/>
        <v xml:space="preserve">               </v>
      </c>
      <c r="I48" s="263" t="str">
        <f t="shared" si="2"/>
        <v>R0037</v>
      </c>
      <c r="J48" s="263" t="str">
        <f>VLOOKUP($I48,'RCLIPS수신(일사천리론)_최종'!$C:$F,2,0)</f>
        <v>회원구분코드</v>
      </c>
      <c r="K48" s="263" t="str">
        <f>VLOOKUP($I48,'RCLIPS수신(일사천리론)_최종'!$C:$F,3,0)</f>
        <v>C</v>
      </c>
      <c r="L48" s="263" t="str">
        <f>VLOOKUP($I48,'RCLIPS수신(일사천리론)_최종'!$C:$F,4,0)</f>
        <v>15</v>
      </c>
      <c r="M48" s="263" t="str">
        <f t="shared" si="3"/>
        <v xml:space="preserve">04             </v>
      </c>
      <c r="Q48" s="178" t="e">
        <f>VLOOKUP(D48,[3]R클립스송수신결과!$D:$H,5,0)</f>
        <v>#N/A</v>
      </c>
      <c r="R48" s="178" t="str">
        <f t="shared" si="4"/>
        <v>TOBE ONLY</v>
      </c>
      <c r="U48" s="178" t="str">
        <f>VLOOKUP(I48,[3]R클립스송수신결과!$I:$M,5,0)</f>
        <v xml:space="preserve">04             </v>
      </c>
      <c r="V48" s="178" t="str">
        <f t="shared" si="5"/>
        <v>OK</v>
      </c>
    </row>
    <row r="49" spans="1:22">
      <c r="A49" s="263"/>
      <c r="B49" s="429">
        <f t="shared" si="6"/>
        <v>921</v>
      </c>
      <c r="C49" s="429">
        <f t="shared" si="7"/>
        <v>926</v>
      </c>
      <c r="D49" s="430" t="str">
        <f t="shared" si="0"/>
        <v>A2047</v>
      </c>
      <c r="E49" s="430" t="str">
        <f>VLOOKUP(D49,'RCLIPS송신(일사천리론)_최종'!$B:$E,4,0)</f>
        <v>소호고객여부</v>
      </c>
      <c r="F49" s="430" t="str">
        <f>VLOOKUP(D49,'RCLIPS송신(일사천리론)_최종'!$B:$D,2,0)</f>
        <v>Character</v>
      </c>
      <c r="G49" s="430">
        <f>VLOOKUP($D49,'RCLIPS송신(일사천리론)_최종'!$B:$D,3,0)</f>
        <v>1</v>
      </c>
      <c r="H49" s="430" t="str">
        <f t="shared" si="1"/>
        <v xml:space="preserve">               </v>
      </c>
      <c r="I49" s="263" t="str">
        <f t="shared" si="2"/>
        <v>R0038</v>
      </c>
      <c r="J49" s="263" t="str">
        <f>VLOOKUP($I49,'RCLIPS수신(일사천리론)_최종'!$C:$F,2,0)</f>
        <v>그룹통합모형평점</v>
      </c>
      <c r="K49" s="263" t="str">
        <f>VLOOKUP($I49,'RCLIPS수신(일사천리론)_최종'!$C:$F,3,0)</f>
        <v>N</v>
      </c>
      <c r="L49" s="263" t="str">
        <f>VLOOKUP($I49,'RCLIPS수신(일사천리론)_최종'!$C:$F,4,0)</f>
        <v>15</v>
      </c>
      <c r="M49" s="263" t="str">
        <f t="shared" si="3"/>
        <v>0000000000741.0</v>
      </c>
      <c r="Q49" s="178" t="e">
        <f>VLOOKUP(D49,[3]R클립스송수신결과!$D:$H,5,0)</f>
        <v>#N/A</v>
      </c>
      <c r="R49" s="178" t="str">
        <f t="shared" si="4"/>
        <v>TOBE ONLY</v>
      </c>
      <c r="U49" s="178" t="str">
        <f>VLOOKUP(I49,[3]R클립스송수신결과!$I:$M,5,0)</f>
        <v>0000000000712.0</v>
      </c>
      <c r="V49" s="178" t="str">
        <f t="shared" si="5"/>
        <v>NOT OK</v>
      </c>
    </row>
    <row r="50" spans="1:22">
      <c r="A50" s="263"/>
      <c r="B50" s="429">
        <f t="shared" si="6"/>
        <v>941</v>
      </c>
      <c r="C50" s="429">
        <f t="shared" si="7"/>
        <v>946</v>
      </c>
      <c r="D50" s="430" t="str">
        <f t="shared" si="0"/>
        <v>A2048</v>
      </c>
      <c r="E50" s="430" t="str">
        <f>VLOOKUP(D50,'RCLIPS송신(일사천리론)_최종'!$B:$E,4,0)</f>
        <v>소호특화등급산정대상여부</v>
      </c>
      <c r="F50" s="430" t="str">
        <f>VLOOKUP(D50,'RCLIPS송신(일사천리론)_최종'!$B:$D,2,0)</f>
        <v>Character</v>
      </c>
      <c r="G50" s="430">
        <f>VLOOKUP($D50,'RCLIPS송신(일사천리론)_최종'!$B:$D,3,0)</f>
        <v>1</v>
      </c>
      <c r="H50" s="430" t="str">
        <f t="shared" si="1"/>
        <v xml:space="preserve">               </v>
      </c>
      <c r="I50" s="263" t="str">
        <f t="shared" si="2"/>
        <v>R0039</v>
      </c>
      <c r="J50" s="263" t="str">
        <f>VLOOKUP($I50,'RCLIPS수신(일사천리론)_최종'!$C:$F,2,0)</f>
        <v>그룹통합모형등급</v>
      </c>
      <c r="K50" s="263" t="str">
        <f>VLOOKUP($I50,'RCLIPS수신(일사천리론)_최종'!$C:$F,3,0)</f>
        <v>C</v>
      </c>
      <c r="L50" s="263" t="str">
        <f>VLOOKUP($I50,'RCLIPS수신(일사천리론)_최종'!$C:$F,4,0)</f>
        <v>15</v>
      </c>
      <c r="M50" s="263" t="str">
        <f t="shared" si="3"/>
        <v xml:space="preserve">06             </v>
      </c>
      <c r="Q50" s="178" t="e">
        <f>VLOOKUP(D50,[3]R클립스송수신결과!$D:$H,5,0)</f>
        <v>#N/A</v>
      </c>
      <c r="R50" s="178" t="str">
        <f t="shared" si="4"/>
        <v>TOBE ONLY</v>
      </c>
      <c r="U50" s="178" t="str">
        <f>VLOOKUP(I50,[3]R클립스송수신결과!$I:$M,5,0)</f>
        <v xml:space="preserve">06             </v>
      </c>
      <c r="V50" s="178" t="str">
        <f t="shared" si="5"/>
        <v>OK</v>
      </c>
    </row>
    <row r="51" spans="1:22">
      <c r="A51" s="263"/>
      <c r="B51" s="429">
        <f t="shared" si="6"/>
        <v>961</v>
      </c>
      <c r="C51" s="429">
        <f t="shared" si="7"/>
        <v>966</v>
      </c>
      <c r="D51" s="430" t="str">
        <f t="shared" si="0"/>
        <v>A2049</v>
      </c>
      <c r="E51" s="430" t="str">
        <f>VLOOKUP(D51,'RCLIPS송신(일사천리론)_최종'!$B:$E,4,0)</f>
        <v>소호특화가중치구분코드</v>
      </c>
      <c r="F51" s="430" t="str">
        <f>VLOOKUP(D51,'RCLIPS송신(일사천리론)_최종'!$B:$D,2,0)</f>
        <v>Character</v>
      </c>
      <c r="G51" s="430">
        <f>VLOOKUP($D51,'RCLIPS송신(일사천리론)_최종'!$B:$D,3,0)</f>
        <v>2</v>
      </c>
      <c r="H51" s="430" t="str">
        <f t="shared" si="1"/>
        <v xml:space="preserve">               </v>
      </c>
      <c r="I51" s="263" t="str">
        <f t="shared" si="2"/>
        <v>R0040</v>
      </c>
      <c r="J51" s="263" t="str">
        <f>VLOOKUP($I51,'RCLIPS수신(일사천리론)_최종'!$C:$F,2,0)</f>
        <v>그룹통합모형카드등급</v>
      </c>
      <c r="K51" s="263" t="str">
        <f>VLOOKUP($I51,'RCLIPS수신(일사천리론)_최종'!$C:$F,3,0)</f>
        <v>C</v>
      </c>
      <c r="L51" s="263" t="str">
        <f>VLOOKUP($I51,'RCLIPS수신(일사천리론)_최종'!$C:$F,4,0)</f>
        <v>15</v>
      </c>
      <c r="M51" s="263" t="str">
        <f t="shared" si="3"/>
        <v xml:space="preserve">05             </v>
      </c>
      <c r="Q51" s="178" t="e">
        <f>VLOOKUP(D51,[3]R클립스송수신결과!$D:$H,5,0)</f>
        <v>#N/A</v>
      </c>
      <c r="R51" s="178" t="str">
        <f t="shared" si="4"/>
        <v>TOBE ONLY</v>
      </c>
      <c r="U51" s="178" t="str">
        <f>VLOOKUP(I51,[3]R클립스송수신결과!$I:$M,5,0)</f>
        <v xml:space="preserve">04             </v>
      </c>
      <c r="V51" s="178" t="str">
        <f t="shared" si="5"/>
        <v>NOT OK</v>
      </c>
    </row>
    <row r="52" spans="1:22">
      <c r="A52" s="263"/>
      <c r="B52" s="429">
        <f t="shared" si="6"/>
        <v>981</v>
      </c>
      <c r="C52" s="429">
        <f t="shared" si="7"/>
        <v>986</v>
      </c>
      <c r="D52" s="430" t="str">
        <f t="shared" si="0"/>
        <v>A2050</v>
      </c>
      <c r="E52" s="430" t="str">
        <f>VLOOKUP(D52,'RCLIPS송신(일사천리론)_최종'!$B:$E,4,0)</f>
        <v>소호특화통합평가점수</v>
      </c>
      <c r="F52" s="430" t="str">
        <f>VLOOKUP(D52,'RCLIPS송신(일사천리론)_최종'!$B:$D,2,0)</f>
        <v>Numeric</v>
      </c>
      <c r="G52" s="430">
        <f>VLOOKUP($D52,'RCLIPS송신(일사천리론)_최종'!$B:$D,3,0)</f>
        <v>5</v>
      </c>
      <c r="H52" s="430" t="str">
        <f t="shared" si="1"/>
        <v>000000000000000</v>
      </c>
      <c r="I52" s="263" t="str">
        <f t="shared" si="2"/>
        <v>R0041</v>
      </c>
      <c r="J52" s="263" t="str">
        <f>VLOOKUP($I52,'RCLIPS수신(일사천리론)_최종'!$C:$F,2,0)</f>
        <v>그룹통합모형은행등급</v>
      </c>
      <c r="K52" s="263" t="str">
        <f>VLOOKUP($I52,'RCLIPS수신(일사천리론)_최종'!$C:$F,3,0)</f>
        <v>C</v>
      </c>
      <c r="L52" s="263" t="str">
        <f>VLOOKUP($I52,'RCLIPS수신(일사천리론)_최종'!$C:$F,4,0)</f>
        <v>15</v>
      </c>
      <c r="M52" s="263" t="str">
        <f t="shared" si="3"/>
        <v xml:space="preserve">07             </v>
      </c>
      <c r="Q52" s="178" t="e">
        <f>VLOOKUP(D52,[3]R클립스송수신결과!$D:$H,5,0)</f>
        <v>#N/A</v>
      </c>
      <c r="R52" s="178" t="str">
        <f t="shared" si="4"/>
        <v>TOBE ONLY</v>
      </c>
      <c r="U52" s="178" t="str">
        <f>VLOOKUP(I52,[3]R클립스송수신결과!$I:$M,5,0)</f>
        <v xml:space="preserve">07             </v>
      </c>
      <c r="V52" s="178" t="str">
        <f t="shared" si="5"/>
        <v>OK</v>
      </c>
    </row>
    <row r="53" spans="1:22">
      <c r="A53" s="263"/>
      <c r="B53" s="429">
        <f t="shared" si="6"/>
        <v>1001</v>
      </c>
      <c r="C53" s="429">
        <f t="shared" si="7"/>
        <v>1006</v>
      </c>
      <c r="D53" s="430" t="str">
        <f t="shared" si="0"/>
        <v>A2051</v>
      </c>
      <c r="E53" s="430" t="str">
        <f>VLOOKUP(D53,'RCLIPS송신(일사천리론)_최종'!$B:$E,4,0)</f>
        <v>소호특화통합등급구분코드</v>
      </c>
      <c r="F53" s="430" t="str">
        <f>VLOOKUP(D53,'RCLIPS송신(일사천리론)_최종'!$B:$D,2,0)</f>
        <v>Character</v>
      </c>
      <c r="G53" s="430">
        <f>VLOOKUP($D53,'RCLIPS송신(일사천리론)_최종'!$B:$D,3,0)</f>
        <v>2</v>
      </c>
      <c r="H53" s="430" t="str">
        <f t="shared" si="1"/>
        <v xml:space="preserve">               </v>
      </c>
      <c r="I53" s="263" t="str">
        <f t="shared" si="2"/>
        <v>R0042</v>
      </c>
      <c r="J53" s="263" t="str">
        <f>VLOOKUP($I53,'RCLIPS수신(일사천리론)_최종'!$C:$F,2,0)</f>
        <v>우대한도구분</v>
      </c>
      <c r="K53" s="263" t="str">
        <f>VLOOKUP($I53,'RCLIPS수신(일사천리론)_최종'!$C:$F,3,0)</f>
        <v>N</v>
      </c>
      <c r="L53" s="263" t="str">
        <f>VLOOKUP($I53,'RCLIPS수신(일사천리론)_최종'!$C:$F,4,0)</f>
        <v>15</v>
      </c>
      <c r="M53" s="263" t="str">
        <f t="shared" si="3"/>
        <v xml:space="preserve">               </v>
      </c>
      <c r="Q53" s="178" t="e">
        <f>VLOOKUP(D53,[3]R클립스송수신결과!$D:$H,5,0)</f>
        <v>#N/A</v>
      </c>
      <c r="R53" s="178" t="str">
        <f t="shared" si="4"/>
        <v>TOBE ONLY</v>
      </c>
      <c r="U53" s="178" t="str">
        <f>VLOOKUP(I53,[3]R클립스송수신결과!$I:$M,5,0)</f>
        <v xml:space="preserve">01             </v>
      </c>
      <c r="V53" s="178" t="str">
        <f t="shared" si="5"/>
        <v>NOT OK</v>
      </c>
    </row>
    <row r="54" spans="1:22">
      <c r="A54" s="263"/>
      <c r="B54" s="429">
        <f t="shared" si="6"/>
        <v>1021</v>
      </c>
      <c r="C54" s="429">
        <f t="shared" si="7"/>
        <v>1026</v>
      </c>
      <c r="D54" s="430" t="str">
        <f t="shared" si="0"/>
        <v>A2052</v>
      </c>
      <c r="E54" s="430" t="str">
        <f>VLOOKUP(D54,'RCLIPS송신(일사천리론)_최종'!$B:$E,4,0)</f>
        <v>가맹점신규경과월수</v>
      </c>
      <c r="F54" s="430" t="str">
        <f>VLOOKUP(D54,'RCLIPS송신(일사천리론)_최종'!$B:$D,2,0)</f>
        <v>Numeric</v>
      </c>
      <c r="G54" s="430">
        <f>VLOOKUP($D54,'RCLIPS송신(일사천리론)_최종'!$B:$D,3,0)</f>
        <v>5</v>
      </c>
      <c r="H54" s="430" t="str">
        <f t="shared" si="1"/>
        <v>000000000000000</v>
      </c>
      <c r="I54" s="263" t="str">
        <f t="shared" si="2"/>
        <v>R0043</v>
      </c>
      <c r="J54" s="263" t="str">
        <f>VLOOKUP($I54,'RCLIPS수신(일사천리론)_최종'!$C:$F,2,0)</f>
        <v>스크래핑소득적용구분</v>
      </c>
      <c r="K54" s="263" t="str">
        <f>VLOOKUP($I54,'RCLIPS수신(일사천리론)_최종'!$C:$F,3,0)</f>
        <v>N</v>
      </c>
      <c r="L54" s="263" t="str">
        <f>VLOOKUP($I54,'RCLIPS수신(일사천리론)_최종'!$C:$F,4,0)</f>
        <v>15</v>
      </c>
      <c r="M54" s="263" t="str">
        <f t="shared" si="3"/>
        <v xml:space="preserve">00             </v>
      </c>
      <c r="Q54" s="178" t="e">
        <f>VLOOKUP(D54,[3]R클립스송수신결과!$D:$H,5,0)</f>
        <v>#N/A</v>
      </c>
      <c r="R54" s="178" t="str">
        <f t="shared" si="4"/>
        <v>TOBE ONLY</v>
      </c>
      <c r="U54" s="178" t="str">
        <f>VLOOKUP(I54,[3]R클립스송수신결과!$I:$M,5,0)</f>
        <v xml:space="preserve">00             </v>
      </c>
      <c r="V54" s="178" t="str">
        <f t="shared" si="5"/>
        <v>OK</v>
      </c>
    </row>
    <row r="55" spans="1:22">
      <c r="A55" s="263"/>
      <c r="B55" s="429">
        <f t="shared" si="6"/>
        <v>1041</v>
      </c>
      <c r="C55" s="429">
        <f t="shared" si="7"/>
        <v>1046</v>
      </c>
      <c r="D55" s="430" t="str">
        <f t="shared" si="0"/>
        <v>A2053</v>
      </c>
      <c r="E55" s="430" t="str">
        <f>VLOOKUP(D55,'RCLIPS송신(일사천리론)_최종'!$B:$E,4,0)</f>
        <v>N3M1M평균매출액변동률</v>
      </c>
      <c r="F55" s="430" t="str">
        <f>VLOOKUP(D55,'RCLIPS송신(일사천리론)_최종'!$B:$D,2,0)</f>
        <v>Numeric</v>
      </c>
      <c r="G55" s="430">
        <f>VLOOKUP($D55,'RCLIPS송신(일사천리론)_최종'!$B:$D,3,0)</f>
        <v>15</v>
      </c>
      <c r="H55" s="430" t="str">
        <f t="shared" si="1"/>
        <v>000000000000000</v>
      </c>
      <c r="I55" s="263" t="str">
        <f t="shared" si="2"/>
        <v>R0044</v>
      </c>
      <c r="J55" s="263" t="str">
        <f>VLOOKUP($I55,'RCLIPS수신(일사천리론)_최종'!$C:$F,2,0)</f>
        <v>최종적용소득</v>
      </c>
      <c r="K55" s="263" t="str">
        <f>VLOOKUP($I55,'RCLIPS수신(일사천리론)_최종'!$C:$F,3,0)</f>
        <v>N</v>
      </c>
      <c r="L55" s="263" t="str">
        <f>VLOOKUP($I55,'RCLIPS수신(일사천리론)_최종'!$C:$F,4,0)</f>
        <v>15</v>
      </c>
      <c r="M55" s="263" t="str">
        <f t="shared" si="3"/>
        <v>000000002083333</v>
      </c>
      <c r="Q55" s="178" t="e">
        <f>VLOOKUP(D55,[3]R클립스송수신결과!$D:$H,5,0)</f>
        <v>#N/A</v>
      </c>
      <c r="R55" s="178" t="str">
        <f t="shared" si="4"/>
        <v>TOBE ONLY</v>
      </c>
      <c r="U55" s="178" t="str">
        <f>VLOOKUP(I55,[3]R클립스송수신결과!$I:$M,5,0)</f>
        <v>000000003416666</v>
      </c>
      <c r="V55" s="178" t="str">
        <f t="shared" si="5"/>
        <v>NOT OK</v>
      </c>
    </row>
    <row r="56" spans="1:22">
      <c r="A56" s="263"/>
      <c r="B56" s="429">
        <f t="shared" si="6"/>
        <v>1061</v>
      </c>
      <c r="C56" s="429">
        <f t="shared" si="7"/>
        <v>1066</v>
      </c>
      <c r="D56" s="430" t="str">
        <f t="shared" si="0"/>
        <v>A2054</v>
      </c>
      <c r="E56" s="430" t="str">
        <f>VLOOKUP(D56,'RCLIPS송신(일사천리론)_최종'!$B:$E,4,0)</f>
        <v>N6M3M평균매출액변동률</v>
      </c>
      <c r="F56" s="430" t="str">
        <f>VLOOKUP(D56,'RCLIPS송신(일사천리론)_최종'!$B:$D,2,0)</f>
        <v>Numeric</v>
      </c>
      <c r="G56" s="430">
        <f>VLOOKUP($D56,'RCLIPS송신(일사천리론)_최종'!$B:$D,3,0)</f>
        <v>15</v>
      </c>
      <c r="H56" s="430" t="str">
        <f t="shared" si="1"/>
        <v>000000000000000</v>
      </c>
      <c r="I56" s="263" t="str">
        <f t="shared" si="2"/>
        <v>R0045</v>
      </c>
      <c r="J56" s="263" t="str">
        <f>VLOOKUP($I56,'RCLIPS수신(일사천리론)_최종'!$C:$F,2,0)</f>
        <v>DSR_본건제외(항목만 만들어져있고 값산출 X)</v>
      </c>
      <c r="K56" s="263" t="str">
        <f>VLOOKUP($I56,'RCLIPS수신(일사천리론)_최종'!$C:$F,3,0)</f>
        <v>N</v>
      </c>
      <c r="L56" s="263" t="str">
        <f>VLOOKUP($I56,'RCLIPS수신(일사천리론)_최종'!$C:$F,4,0)</f>
        <v>15</v>
      </c>
      <c r="M56" s="263" t="str">
        <f t="shared" si="3"/>
        <v>000000000000000</v>
      </c>
      <c r="Q56" s="178" t="e">
        <f>VLOOKUP(D56,[3]R클립스송수신결과!$D:$H,5,0)</f>
        <v>#N/A</v>
      </c>
      <c r="R56" s="178" t="str">
        <f t="shared" si="4"/>
        <v>TOBE ONLY</v>
      </c>
      <c r="U56" s="178" t="e">
        <f>VLOOKUP(I56,[3]R클립스송수신결과!$I:$M,5,0)</f>
        <v>#N/A</v>
      </c>
      <c r="V56" s="178" t="str">
        <f t="shared" si="5"/>
        <v>TOBE ONLY</v>
      </c>
    </row>
    <row r="57" spans="1:22">
      <c r="A57" s="263"/>
      <c r="B57" s="429">
        <f t="shared" si="6"/>
        <v>1081</v>
      </c>
      <c r="C57" s="429">
        <f t="shared" si="7"/>
        <v>1086</v>
      </c>
      <c r="D57" s="430" t="str">
        <f t="shared" si="0"/>
        <v>A2055</v>
      </c>
      <c r="E57" s="430" t="str">
        <f>VLOOKUP(D57,'RCLIPS송신(일사천리론)_최종'!$B:$E,4,0)</f>
        <v>비회원신용대출건수</v>
      </c>
      <c r="F57" s="430" t="str">
        <f>VLOOKUP(D57,'RCLIPS송신(일사천리론)_최종'!$B:$D,2,0)</f>
        <v>Numeric</v>
      </c>
      <c r="G57" s="430">
        <f>VLOOKUP($D57,'RCLIPS송신(일사천리론)_최종'!$B:$D,3,0)</f>
        <v>15</v>
      </c>
      <c r="H57" s="430" t="str">
        <f t="shared" si="1"/>
        <v>000000000000000</v>
      </c>
      <c r="I57" s="263" t="str">
        <f t="shared" si="2"/>
        <v>R0046</v>
      </c>
      <c r="J57" s="263" t="str">
        <f>VLOOKUP($I57,'RCLIPS수신(일사천리론)_최종'!$C:$F,2,0)</f>
        <v>DSR_본건포함(항목만 만들어져있고 값산출 X)</v>
      </c>
      <c r="K57" s="263" t="str">
        <f>VLOOKUP($I57,'RCLIPS수신(일사천리론)_최종'!$C:$F,3,0)</f>
        <v>N</v>
      </c>
      <c r="L57" s="263" t="str">
        <f>VLOOKUP($I57,'RCLIPS수신(일사천리론)_최종'!$C:$F,4,0)</f>
        <v>15</v>
      </c>
      <c r="M57" s="263" t="str">
        <f t="shared" si="3"/>
        <v>000000000000000</v>
      </c>
      <c r="Q57" s="178" t="e">
        <f>VLOOKUP(D57,[3]R클립스송수신결과!$D:$H,5,0)</f>
        <v>#N/A</v>
      </c>
      <c r="R57" s="178" t="str">
        <f t="shared" si="4"/>
        <v>TOBE ONLY</v>
      </c>
      <c r="U57" s="178" t="e">
        <f>VLOOKUP(I57,[3]R클립스송수신결과!$I:$M,5,0)</f>
        <v>#N/A</v>
      </c>
      <c r="V57" s="178" t="str">
        <f t="shared" si="5"/>
        <v>TOBE ONLY</v>
      </c>
    </row>
    <row r="58" spans="1:22">
      <c r="A58" s="263"/>
      <c r="B58" s="429">
        <f t="shared" si="6"/>
        <v>1101</v>
      </c>
      <c r="C58" s="429">
        <f t="shared" si="7"/>
        <v>1106</v>
      </c>
      <c r="D58" s="430" t="str">
        <f t="shared" si="0"/>
        <v>A2056</v>
      </c>
      <c r="E58" s="430" t="str">
        <f>VLOOKUP(D58,'RCLIPS송신(일사천리론)_최종'!$B:$E,4,0)</f>
        <v>연소득금액(고객입력)</v>
      </c>
      <c r="F58" s="430" t="str">
        <f>VLOOKUP(D58,'RCLIPS송신(일사천리론)_최종'!$B:$D,2,0)</f>
        <v>Numeric</v>
      </c>
      <c r="G58" s="430">
        <f>VLOOKUP($D58,'RCLIPS송신(일사천리론)_최종'!$B:$D,3,0)</f>
        <v>15</v>
      </c>
      <c r="H58" s="430" t="str">
        <f t="shared" si="1"/>
        <v>000000000000000</v>
      </c>
      <c r="I58" s="263" t="str">
        <f t="shared" si="2"/>
        <v>R0047</v>
      </c>
      <c r="J58" s="263" t="str">
        <f>VLOOKUP($I58,'RCLIPS수신(일사천리론)_최종'!$C:$F,2,0)</f>
        <v>그룹다중채무세그먼트등급</v>
      </c>
      <c r="K58" s="263" t="str">
        <f>VLOOKUP($I58,'RCLIPS수신(일사천리론)_최종'!$C:$F,3,0)</f>
        <v>S</v>
      </c>
      <c r="L58" s="263" t="str">
        <f>VLOOKUP($I58,'RCLIPS수신(일사천리론)_최종'!$C:$F,4,0)</f>
        <v>2</v>
      </c>
      <c r="M58" s="263" t="str">
        <f t="shared" si="3"/>
        <v xml:space="preserve">01             </v>
      </c>
      <c r="Q58" s="178" t="e">
        <f>VLOOKUP(D58,[3]R클립스송수신결과!$D:$H,5,0)</f>
        <v>#N/A</v>
      </c>
      <c r="R58" s="178" t="str">
        <f t="shared" si="4"/>
        <v>TOBE ONLY</v>
      </c>
      <c r="U58" s="178" t="e">
        <f>VLOOKUP(I58,[3]R클립스송수신결과!$I:$M,5,0)</f>
        <v>#N/A</v>
      </c>
      <c r="V58" s="178" t="str">
        <f t="shared" si="5"/>
        <v>TOBE ONLY</v>
      </c>
    </row>
    <row r="59" spans="1:22">
      <c r="A59" s="263"/>
      <c r="B59" s="429">
        <f t="shared" si="6"/>
        <v>1121</v>
      </c>
      <c r="C59" s="429">
        <f t="shared" si="7"/>
        <v>1126</v>
      </c>
      <c r="D59" s="430" t="str">
        <f t="shared" si="0"/>
        <v>A2060</v>
      </c>
      <c r="E59" s="430" t="str">
        <f>VLOOKUP(D59,'RCLIPS송신(일사천리론)_최종'!$B:$E,4,0)</f>
        <v>국은6개월신탁평잔</v>
      </c>
      <c r="F59" s="430" t="str">
        <f>VLOOKUP(D59,'RCLIPS송신(일사천리론)_최종'!$B:$D,2,0)</f>
        <v>Numeric</v>
      </c>
      <c r="G59" s="430">
        <f>VLOOKUP($D59,'RCLIPS송신(일사천리론)_최종'!$B:$D,3,0)</f>
        <v>15</v>
      </c>
      <c r="H59" s="430" t="str">
        <f t="shared" si="1"/>
        <v>000000000000000</v>
      </c>
      <c r="I59" s="263" t="str">
        <f t="shared" si="2"/>
        <v>A4001</v>
      </c>
      <c r="J59" s="263" t="str">
        <f>VLOOKUP($I59,'RCLIPS수신(일사천리론)_최종'!$C:$F,2,0)</f>
        <v>K-Score Score</v>
      </c>
      <c r="K59" s="263" t="str">
        <f>VLOOKUP($I59,'RCLIPS수신(일사천리론)_최종'!$C:$F,3,0)</f>
        <v>N</v>
      </c>
      <c r="L59" s="263">
        <f>VLOOKUP($I59,'RCLIPS수신(일사천리론)_최종'!$C:$F,4,0)</f>
        <v>15</v>
      </c>
      <c r="M59" s="263" t="str">
        <f t="shared" si="3"/>
        <v>000000000000938</v>
      </c>
      <c r="Q59" s="178" t="e">
        <f>VLOOKUP(D59,[3]R클립스송수신결과!$D:$H,5,0)</f>
        <v>#N/A</v>
      </c>
      <c r="R59" s="178" t="str">
        <f t="shared" si="4"/>
        <v>TOBE ONLY</v>
      </c>
      <c r="U59" s="178" t="e">
        <f>VLOOKUP(I59,[3]R클립스송수신결과!$I:$M,5,0)</f>
        <v>#N/A</v>
      </c>
      <c r="V59" s="178" t="str">
        <f t="shared" si="5"/>
        <v>TOBE ONLY</v>
      </c>
    </row>
    <row r="60" spans="1:22">
      <c r="A60" s="263"/>
      <c r="B60" s="429">
        <f t="shared" si="6"/>
        <v>1141</v>
      </c>
      <c r="C60" s="429">
        <f t="shared" si="7"/>
        <v>1146</v>
      </c>
      <c r="D60" s="430" t="str">
        <f t="shared" si="0"/>
        <v>A2061</v>
      </c>
      <c r="E60" s="430" t="str">
        <f>VLOOKUP(D60,'RCLIPS송신(일사천리론)_최종'!$B:$E,4,0)</f>
        <v>국은6개월방카평잔</v>
      </c>
      <c r="F60" s="430" t="str">
        <f>VLOOKUP(D60,'RCLIPS송신(일사천리론)_최종'!$B:$D,2,0)</f>
        <v>Numeric</v>
      </c>
      <c r="G60" s="430">
        <f>VLOOKUP($D60,'RCLIPS송신(일사천리론)_최종'!$B:$D,3,0)</f>
        <v>15</v>
      </c>
      <c r="H60" s="430" t="str">
        <f t="shared" si="1"/>
        <v>000000000000000</v>
      </c>
      <c r="I60" s="263" t="str">
        <f t="shared" si="2"/>
        <v>A3073</v>
      </c>
      <c r="J60" s="263" t="str">
        <f>VLOOKUP($I60,'RCLIPS수신(일사천리론)_최종'!$C:$F,2,0)</f>
        <v>NICE스코어_V5</v>
      </c>
      <c r="K60" s="263" t="str">
        <f>VLOOKUP($I60,'RCLIPS수신(일사천리론)_최종'!$C:$F,3,0)</f>
        <v>N</v>
      </c>
      <c r="L60" s="263">
        <f>VLOOKUP($I60,'RCLIPS수신(일사천리론)_최종'!$C:$F,4,0)</f>
        <v>15</v>
      </c>
      <c r="M60" s="263" t="str">
        <f t="shared" si="3"/>
        <v>000000000000871</v>
      </c>
      <c r="Q60" s="178" t="e">
        <f>VLOOKUP(D60,[3]R클립스송수신결과!$D:$H,5,0)</f>
        <v>#N/A</v>
      </c>
      <c r="R60" s="178" t="str">
        <f t="shared" si="4"/>
        <v>TOBE ONLY</v>
      </c>
      <c r="U60" s="178" t="e">
        <f>VLOOKUP(I60,[3]R클립스송수신결과!$I:$M,5,0)</f>
        <v>#N/A</v>
      </c>
      <c r="V60" s="178" t="str">
        <f t="shared" si="5"/>
        <v>TOBE ONLY</v>
      </c>
    </row>
    <row r="61" spans="1:22">
      <c r="A61" s="263"/>
      <c r="B61" s="429">
        <f t="shared" si="6"/>
        <v>1161</v>
      </c>
      <c r="C61" s="429">
        <f t="shared" si="7"/>
        <v>1166</v>
      </c>
      <c r="D61" s="430" t="str">
        <f t="shared" si="0"/>
        <v>A2062</v>
      </c>
      <c r="E61" s="430" t="str">
        <f>VLOOKUP(D61,'RCLIPS송신(일사천리론)_최종'!$B:$E,4,0)</f>
        <v>기업대출한도</v>
      </c>
      <c r="F61" s="430" t="str">
        <f>VLOOKUP(D61,'RCLIPS송신(일사천리론)_최종'!$B:$D,2,0)</f>
        <v>Numeric</v>
      </c>
      <c r="G61" s="430">
        <f>VLOOKUP($D61,'RCLIPS송신(일사천리론)_최종'!$B:$D,3,0)</f>
        <v>15</v>
      </c>
      <c r="H61" s="430" t="str">
        <f t="shared" si="1"/>
        <v>000000000000000</v>
      </c>
      <c r="I61" s="263" t="str">
        <f t="shared" si="2"/>
        <v>R0051</v>
      </c>
      <c r="J61" s="263" t="str">
        <f>VLOOKUP($I61,'RCLIPS수신(일사천리론)_최종'!$C:$F,2,0)</f>
        <v>DSR관리대상여부</v>
      </c>
      <c r="K61" s="263" t="str">
        <f>VLOOKUP($I61,'RCLIPS수신(일사천리론)_최종'!$C:$F,3,0)</f>
        <v>S</v>
      </c>
      <c r="L61" s="263" t="str">
        <f>VLOOKUP($I61,'RCLIPS수신(일사천리론)_최종'!$C:$F,4,0)</f>
        <v>1</v>
      </c>
      <c r="M61" s="263" t="str">
        <f t="shared" si="3"/>
        <v xml:space="preserve">0              </v>
      </c>
      <c r="Q61" s="178" t="e">
        <f>VLOOKUP(D61,[3]R클립스송수신결과!$D:$H,5,0)</f>
        <v>#N/A</v>
      </c>
      <c r="R61" s="178" t="str">
        <f t="shared" si="4"/>
        <v>TOBE ONLY</v>
      </c>
      <c r="U61" s="178" t="e">
        <f>VLOOKUP(I61,[3]R클립스송수신결과!$I:$M,5,0)</f>
        <v>#N/A</v>
      </c>
      <c r="V61" s="178" t="str">
        <f t="shared" si="5"/>
        <v>TOBE ONLY</v>
      </c>
    </row>
    <row r="62" spans="1:22">
      <c r="A62" s="263"/>
      <c r="B62" s="429">
        <f t="shared" si="6"/>
        <v>1181</v>
      </c>
      <c r="C62" s="429">
        <f t="shared" si="7"/>
        <v>1186</v>
      </c>
      <c r="D62" s="430" t="str">
        <f t="shared" si="0"/>
        <v>A2063</v>
      </c>
      <c r="E62" s="430" t="str">
        <f>VLOOKUP(D62,'RCLIPS송신(일사천리론)_최종'!$B:$E,4,0)</f>
        <v>기업대출금액</v>
      </c>
      <c r="F62" s="430" t="str">
        <f>VLOOKUP(D62,'RCLIPS송신(일사천리론)_최종'!$B:$D,2,0)</f>
        <v>Numeric</v>
      </c>
      <c r="G62" s="430">
        <f>VLOOKUP($D62,'RCLIPS송신(일사천리론)_최종'!$B:$D,3,0)</f>
        <v>15</v>
      </c>
      <c r="H62" s="430" t="str">
        <f t="shared" si="1"/>
        <v>000000000000000</v>
      </c>
      <c r="I62" s="263" t="str">
        <f t="shared" si="2"/>
        <v>R0052</v>
      </c>
      <c r="J62" s="263" t="str">
        <f>VLOOKUP($I62,'RCLIPS수신(일사천리론)_최종'!$C:$F,2,0)</f>
        <v>DSR관리대상자_소득</v>
      </c>
      <c r="K62" s="263" t="str">
        <f>VLOOKUP($I62,'RCLIPS수신(일사천리론)_최종'!$C:$F,3,0)</f>
        <v>N</v>
      </c>
      <c r="L62" s="263" t="str">
        <f>VLOOKUP($I62,'RCLIPS수신(일사천리론)_최종'!$C:$F,4,0)</f>
        <v>15</v>
      </c>
      <c r="M62" s="263" t="str">
        <f t="shared" si="3"/>
        <v>000000019999996</v>
      </c>
      <c r="Q62" s="178" t="e">
        <f>VLOOKUP(D62,[3]R클립스송수신결과!$D:$H,5,0)</f>
        <v>#N/A</v>
      </c>
      <c r="R62" s="178" t="str">
        <f t="shared" si="4"/>
        <v>TOBE ONLY</v>
      </c>
      <c r="U62" s="178" t="e">
        <f>VLOOKUP(I62,[3]R클립스송수신결과!$I:$M,5,0)</f>
        <v>#N/A</v>
      </c>
      <c r="V62" s="178" t="str">
        <f t="shared" si="5"/>
        <v>TOBE ONLY</v>
      </c>
    </row>
    <row r="63" spans="1:22">
      <c r="A63" s="263"/>
      <c r="B63" s="429">
        <f t="shared" si="6"/>
        <v>1201</v>
      </c>
      <c r="C63" s="429">
        <f t="shared" si="7"/>
        <v>1206</v>
      </c>
      <c r="D63" s="430" t="str">
        <f t="shared" si="0"/>
        <v>A2064</v>
      </c>
      <c r="E63" s="430" t="str">
        <f>VLOOKUP(D63,'RCLIPS송신(일사천리론)_최종'!$B:$E,4,0)</f>
        <v>이지대환대출한도</v>
      </c>
      <c r="F63" s="430" t="str">
        <f>VLOOKUP(D63,'RCLIPS송신(일사천리론)_최종'!$B:$D,2,0)</f>
        <v>Numeric</v>
      </c>
      <c r="G63" s="430">
        <f>VLOOKUP($D63,'RCLIPS송신(일사천리론)_최종'!$B:$D,3,0)</f>
        <v>15</v>
      </c>
      <c r="H63" s="430" t="str">
        <f t="shared" si="1"/>
        <v>000000000000000</v>
      </c>
      <c r="I63" s="263" t="str">
        <f t="shared" si="2"/>
        <v>R0053</v>
      </c>
      <c r="J63" s="263" t="str">
        <f>VLOOKUP($I63,'RCLIPS수신(일사천리론)_최종'!$C:$F,2,0)</f>
        <v>신용대출잔액_신정원</v>
      </c>
      <c r="K63" s="263" t="str">
        <f>VLOOKUP($I63,'RCLIPS수신(일사천리론)_최종'!$C:$F,3,0)</f>
        <v>N</v>
      </c>
      <c r="L63" s="263" t="str">
        <f>VLOOKUP($I63,'RCLIPS수신(일사천리론)_최종'!$C:$F,4,0)</f>
        <v>15</v>
      </c>
      <c r="M63" s="263" t="str">
        <f t="shared" si="3"/>
        <v>000000053000000</v>
      </c>
      <c r="Q63" s="178" t="e">
        <f>VLOOKUP(D63,[3]R클립스송수신결과!$D:$H,5,0)</f>
        <v>#N/A</v>
      </c>
      <c r="R63" s="178" t="str">
        <f t="shared" si="4"/>
        <v>TOBE ONLY</v>
      </c>
      <c r="T63" s="178" t="s">
        <v>5768</v>
      </c>
      <c r="U63" s="178" t="e">
        <f>VLOOKUP(I63,[3]R클립스송수신결과!$I:$M,5,0)</f>
        <v>#N/A</v>
      </c>
      <c r="V63" s="178" t="str">
        <f t="shared" si="5"/>
        <v>TOBE ONLY</v>
      </c>
    </row>
    <row r="64" spans="1:22">
      <c r="A64" s="263"/>
      <c r="B64" s="429">
        <f t="shared" si="6"/>
        <v>1221</v>
      </c>
      <c r="C64" s="429">
        <f t="shared" si="7"/>
        <v>1226</v>
      </c>
      <c r="D64" s="430" t="str">
        <f t="shared" si="0"/>
        <v>A2065</v>
      </c>
      <c r="E64" s="430" t="str">
        <f>VLOOKUP(D64,'RCLIPS송신(일사천리론)_최종'!$B:$E,4,0)</f>
        <v>이지대환대출금액</v>
      </c>
      <c r="F64" s="430" t="str">
        <f>VLOOKUP(D64,'RCLIPS송신(일사천리론)_최종'!$B:$D,2,0)</f>
        <v>Numeric</v>
      </c>
      <c r="G64" s="430">
        <f>VLOOKUP($D64,'RCLIPS송신(일사천리론)_최종'!$B:$D,3,0)</f>
        <v>15</v>
      </c>
      <c r="H64" s="430" t="str">
        <f t="shared" si="1"/>
        <v>000000000000000</v>
      </c>
      <c r="I64" s="263" t="str">
        <f t="shared" si="2"/>
        <v>R0054</v>
      </c>
      <c r="J64" s="263" t="str">
        <f>VLOOKUP($I64,'RCLIPS수신(일사천리론)_최종'!$C:$F,2,0)</f>
        <v>금소법용_대출잔액</v>
      </c>
      <c r="K64" s="263" t="str">
        <f>VLOOKUP($I64,'RCLIPS수신(일사천리론)_최종'!$C:$F,3,0)</f>
        <v>N</v>
      </c>
      <c r="L64" s="263" t="str">
        <f>VLOOKUP($I64,'RCLIPS수신(일사천리론)_최종'!$C:$F,4,0)</f>
        <v>15</v>
      </c>
      <c r="M64" s="263" t="str">
        <f t="shared" si="3"/>
        <v>000000053000000</v>
      </c>
      <c r="Q64" s="178" t="e">
        <f>VLOOKUP(D64,[3]R클립스송수신결과!$D:$H,5,0)</f>
        <v>#N/A</v>
      </c>
      <c r="R64" s="178" t="str">
        <f t="shared" si="4"/>
        <v>TOBE ONLY</v>
      </c>
      <c r="U64" s="178" t="e">
        <f>VLOOKUP(I64,[3]R클립스송수신결과!$I:$M,5,0)</f>
        <v>#N/A</v>
      </c>
      <c r="V64" s="178" t="str">
        <f t="shared" si="5"/>
        <v>TOBE ONLY</v>
      </c>
    </row>
    <row r="65" spans="1:22">
      <c r="A65" s="263"/>
      <c r="B65" s="429">
        <f t="shared" si="6"/>
        <v>1241</v>
      </c>
      <c r="C65" s="429">
        <f t="shared" si="7"/>
        <v>1246</v>
      </c>
      <c r="D65" s="430" t="str">
        <f t="shared" si="0"/>
        <v>A2066</v>
      </c>
      <c r="E65" s="430" t="str">
        <f>VLOOKUP(D65,'RCLIPS송신(일사천리론)_최종'!$B:$E,4,0)</f>
        <v>상생대출신청여부</v>
      </c>
      <c r="F65" s="430" t="str">
        <f>VLOOKUP(D65,'RCLIPS송신(일사천리론)_최종'!$B:$D,2,0)</f>
        <v>S</v>
      </c>
      <c r="G65" s="430" t="str">
        <f>VLOOKUP($D65,'RCLIPS송신(일사천리론)_최종'!$B:$D,3,0)</f>
        <v>1</v>
      </c>
      <c r="H65" s="430" t="str">
        <f t="shared" si="1"/>
        <v xml:space="preserve">2              </v>
      </c>
      <c r="I65" s="263" t="str">
        <f t="shared" si="2"/>
        <v>R0055</v>
      </c>
      <c r="J65" s="263" t="str">
        <f>VLOOKUP($I65,'RCLIPS수신(일사천리론)_최종'!$C:$F,2,0)</f>
        <v>DSR가능한도금액</v>
      </c>
      <c r="K65" s="263" t="str">
        <f>VLOOKUP($I65,'RCLIPS수신(일사천리론)_최종'!$C:$F,3,0)</f>
        <v>N</v>
      </c>
      <c r="L65" s="263" t="str">
        <f>VLOOKUP($I65,'RCLIPS수신(일사천리론)_최종'!$C:$F,4,0)</f>
        <v>15</v>
      </c>
      <c r="M65" s="263" t="str">
        <f t="shared" si="3"/>
        <v>000000003000000</v>
      </c>
      <c r="Q65" s="178" t="e">
        <f>VLOOKUP(D65,[3]R클립스송수신결과!$D:$H,5,0)</f>
        <v>#N/A</v>
      </c>
      <c r="R65" s="178" t="str">
        <f t="shared" si="4"/>
        <v>TOBE ONLY</v>
      </c>
      <c r="U65" s="178" t="e">
        <f>VLOOKUP(I65,[3]R클립스송수신결과!$I:$M,5,0)</f>
        <v>#N/A</v>
      </c>
      <c r="V65" s="178" t="str">
        <f t="shared" si="5"/>
        <v>TOBE ONLY</v>
      </c>
    </row>
    <row r="66" spans="1:22">
      <c r="A66" s="263"/>
      <c r="B66" s="429">
        <f t="shared" si="6"/>
        <v>1261</v>
      </c>
      <c r="C66" s="429">
        <f t="shared" si="7"/>
        <v>1266</v>
      </c>
      <c r="D66" s="430" t="str">
        <f t="shared" si="0"/>
        <v>A2067</v>
      </c>
      <c r="E66" s="430" t="str">
        <f>VLOOKUP(D66,'RCLIPS송신(일사천리론)_최종'!$B:$E,4,0)</f>
        <v>이지론한도</v>
      </c>
      <c r="F66" s="430" t="str">
        <f>VLOOKUP(D66,'RCLIPS송신(일사천리론)_최종'!$B:$D,2,0)</f>
        <v>N</v>
      </c>
      <c r="G66" s="430" t="str">
        <f>VLOOKUP($D66,'RCLIPS송신(일사천리론)_최종'!$B:$D,3,0)</f>
        <v>15</v>
      </c>
      <c r="H66" s="430" t="str">
        <f t="shared" si="1"/>
        <v>000000000000000</v>
      </c>
      <c r="I66" s="263" t="str">
        <f t="shared" si="2"/>
        <v>R0050</v>
      </c>
      <c r="J66" s="263" t="str">
        <f>VLOOKUP($I66,'RCLIPS수신(일사천리론)_최종'!$C:$F,2,0)</f>
        <v>소호특화대상구분</v>
      </c>
      <c r="K66" s="263" t="str">
        <f>VLOOKUP($I66,'RCLIPS수신(일사천리론)_최종'!$C:$F,3,0)</f>
        <v>S</v>
      </c>
      <c r="L66" s="263" t="str">
        <f>VLOOKUP($I66,'RCLIPS수신(일사천리론)_최종'!$C:$F,4,0)</f>
        <v>1</v>
      </c>
      <c r="M66" s="263" t="str">
        <f t="shared" si="3"/>
        <v xml:space="preserve">05             </v>
      </c>
      <c r="Q66" s="178" t="e">
        <f>VLOOKUP(D66,[3]R클립스송수신결과!$D:$H,5,0)</f>
        <v>#N/A</v>
      </c>
      <c r="R66" s="178" t="str">
        <f t="shared" si="4"/>
        <v>TOBE ONLY</v>
      </c>
      <c r="U66" s="178" t="e">
        <f>VLOOKUP(I66,[3]R클립스송수신결과!$I:$M,5,0)</f>
        <v>#N/A</v>
      </c>
      <c r="V66" s="178" t="str">
        <f t="shared" si="5"/>
        <v>TOBE ONLY</v>
      </c>
    </row>
    <row r="67" spans="1:22">
      <c r="A67" s="263"/>
      <c r="B67" s="429">
        <f t="shared" si="6"/>
        <v>1281</v>
      </c>
      <c r="C67" s="429">
        <f t="shared" si="7"/>
        <v>1286</v>
      </c>
      <c r="D67" s="430" t="str">
        <f t="shared" si="0"/>
        <v>A2069</v>
      </c>
      <c r="E67" s="430" t="str">
        <f>VLOOKUP(D67,'RCLIPS송신(일사천리론)_최종'!$B:$E,4,0)</f>
        <v>누리론한도</v>
      </c>
      <c r="F67" s="430" t="str">
        <f>VLOOKUP(D67,'RCLIPS송신(일사천리론)_최종'!$B:$D,2,0)</f>
        <v>N</v>
      </c>
      <c r="G67" s="430" t="str">
        <f>VLOOKUP($D67,'RCLIPS송신(일사천리론)_최종'!$B:$D,3,0)</f>
        <v>15</v>
      </c>
      <c r="H67" s="430" t="str">
        <f t="shared" si="1"/>
        <v>000000000000000</v>
      </c>
      <c r="I67" s="263" t="str">
        <f t="shared" si="2"/>
        <v>R0056</v>
      </c>
      <c r="J67" s="263" t="str">
        <f>VLOOKUP($I67,'RCLIPS수신(일사천리론)_최종'!$C:$F,2,0)</f>
        <v>사업자평가대상여부</v>
      </c>
      <c r="K67" s="263" t="str">
        <f>VLOOKUP($I67,'RCLIPS수신(일사천리론)_최종'!$C:$F,3,0)</f>
        <v>S</v>
      </c>
      <c r="L67" s="263" t="str">
        <f>VLOOKUP($I67,'RCLIPS수신(일사천리론)_최종'!$C:$F,4,0)</f>
        <v>2</v>
      </c>
      <c r="M67" s="263" t="str">
        <f t="shared" si="3"/>
        <v xml:space="preserve">1              </v>
      </c>
      <c r="Q67" s="178" t="e">
        <f>VLOOKUP(D67,[3]R클립스송수신결과!$D:$H,5,0)</f>
        <v>#N/A</v>
      </c>
      <c r="R67" s="178" t="str">
        <f t="shared" si="4"/>
        <v>TOBE ONLY</v>
      </c>
      <c r="U67" s="178" t="e">
        <f>VLOOKUP(I67,[3]R클립스송수신결과!$I:$M,5,0)</f>
        <v>#N/A</v>
      </c>
      <c r="V67" s="178" t="str">
        <f t="shared" si="5"/>
        <v>TOBE ONLY</v>
      </c>
    </row>
    <row r="68" spans="1:22">
      <c r="A68" s="263"/>
      <c r="B68" s="429">
        <f t="shared" si="6"/>
        <v>1301</v>
      </c>
      <c r="C68" s="429">
        <f t="shared" si="7"/>
        <v>1306</v>
      </c>
      <c r="D68" s="430" t="str">
        <f t="shared" ref="D68:D131" si="8">MIDB($A$3, $B68+23, 5)</f>
        <v>A2070</v>
      </c>
      <c r="E68" s="430" t="str">
        <f>VLOOKUP(D68,'RCLIPS송신(일사천리론)_최종'!$B:$E,4,0)</f>
        <v>카드론신규등급구분</v>
      </c>
      <c r="F68" s="430" t="str">
        <f>VLOOKUP(D68,'RCLIPS송신(일사천리론)_최종'!$B:$D,2,0)</f>
        <v>S</v>
      </c>
      <c r="G68" s="430" t="str">
        <f>VLOOKUP($D68,'RCLIPS송신(일사천리론)_최종'!$B:$D,3,0)</f>
        <v>2</v>
      </c>
      <c r="H68" s="430" t="str">
        <f t="shared" ref="H68:H131" si="9">MIDB($A$3, $C68+23, 15)</f>
        <v xml:space="preserve">               </v>
      </c>
      <c r="I68" s="263" t="str">
        <f t="shared" ref="I68:I132" si="10">MIDB($A$8, $B68+10, 5)</f>
        <v>R0057</v>
      </c>
      <c r="J68" s="263" t="str">
        <f>VLOOKUP($I68,'RCLIPS수신(일사천리론)_최종'!$C:$F,2,0)</f>
        <v>혜택가맹점구분</v>
      </c>
      <c r="K68" s="263" t="str">
        <f>VLOOKUP($I68,'RCLIPS수신(일사천리론)_최종'!$C:$F,3,0)</f>
        <v>S</v>
      </c>
      <c r="L68" s="263" t="str">
        <f>VLOOKUP($I68,'RCLIPS수신(일사천리론)_최종'!$C:$F,4,0)</f>
        <v>2</v>
      </c>
      <c r="M68" s="263" t="str">
        <f t="shared" ref="M68:M132" si="11">MIDB($A$8, $C68+10, 15)</f>
        <v xml:space="preserve">               </v>
      </c>
      <c r="Q68" s="178" t="e">
        <f>VLOOKUP(D68,[3]R클립스송수신결과!$D:$H,5,0)</f>
        <v>#N/A</v>
      </c>
      <c r="R68" s="178" t="str">
        <f t="shared" ref="R68:R123" si="12">IFERROR(IF(H68&lt;&gt;Q68, "NOT OK", "OK"), "TOBE ONLY")</f>
        <v>TOBE ONLY</v>
      </c>
      <c r="U68" s="178" t="e">
        <f>VLOOKUP(I68,[3]R클립스송수신결과!$I:$M,5,0)</f>
        <v>#N/A</v>
      </c>
      <c r="V68" s="178" t="str">
        <f t="shared" ref="V68:V77" si="13">IFERROR(IF(M68&lt;&gt;U68, "NOT OK", "OK"), "TOBE ONLY")</f>
        <v>TOBE ONLY</v>
      </c>
    </row>
    <row r="69" spans="1:22">
      <c r="A69" s="263"/>
      <c r="B69" s="429">
        <f t="shared" ref="B69:B132" si="14">C68+15</f>
        <v>1321</v>
      </c>
      <c r="C69" s="429">
        <f t="shared" ref="C69:C132" si="15">B69+5</f>
        <v>1326</v>
      </c>
      <c r="D69" s="430" t="str">
        <f t="shared" si="8"/>
        <v>A2071</v>
      </c>
      <c r="E69" s="430" t="str">
        <f>VLOOKUP(D69,'RCLIPS송신(일사천리론)_최종'!$B:$E,4,0)</f>
        <v>카드론회원세그먼트구분</v>
      </c>
      <c r="F69" s="430" t="str">
        <f>VLOOKUP(D69,'RCLIPS송신(일사천리론)_최종'!$B:$D,2,0)</f>
        <v>S</v>
      </c>
      <c r="G69" s="430" t="str">
        <f>VLOOKUP($D69,'RCLIPS송신(일사천리론)_최종'!$B:$D,3,0)</f>
        <v>2</v>
      </c>
      <c r="H69" s="430" t="str">
        <f t="shared" si="9"/>
        <v xml:space="preserve">               </v>
      </c>
      <c r="I69" s="263" t="str">
        <f t="shared" si="10"/>
        <v>R0058</v>
      </c>
      <c r="J69" s="263" t="str">
        <f>VLOOKUP($I69,'RCLIPS수신(일사천리론)_최종'!$C:$F,2,0)</f>
        <v>사업자대출가능금액</v>
      </c>
      <c r="K69" s="263" t="str">
        <f>VLOOKUP($I69,'RCLIPS수신(일사천리론)_최종'!$C:$F,3,0)</f>
        <v>N</v>
      </c>
      <c r="L69" s="263" t="str">
        <f>VLOOKUP($I69,'RCLIPS수신(일사천리론)_최종'!$C:$F,4,0)</f>
        <v>15</v>
      </c>
      <c r="M69" s="263" t="str">
        <f t="shared" si="11"/>
        <v>000000012800000</v>
      </c>
      <c r="Q69" s="178" t="e">
        <f>VLOOKUP(D69,[3]R클립스송수신결과!$D:$H,5,0)</f>
        <v>#N/A</v>
      </c>
      <c r="R69" s="178" t="str">
        <f t="shared" si="12"/>
        <v>TOBE ONLY</v>
      </c>
      <c r="U69" s="178" t="e">
        <f>VLOOKUP(I69,[3]R클립스송수신결과!$I:$M,5,0)</f>
        <v>#N/A</v>
      </c>
      <c r="V69" s="178" t="str">
        <f t="shared" si="13"/>
        <v>TOBE ONLY</v>
      </c>
    </row>
    <row r="70" spans="1:22">
      <c r="A70" s="263"/>
      <c r="B70" s="429">
        <f t="shared" si="14"/>
        <v>1341</v>
      </c>
      <c r="C70" s="429">
        <f t="shared" si="15"/>
        <v>1346</v>
      </c>
      <c r="D70" s="430" t="str">
        <f t="shared" si="8"/>
        <v>A2072</v>
      </c>
      <c r="E70" s="430" t="str">
        <f>VLOOKUP(D70,'RCLIPS송신(일사천리론)_최종'!$B:$E,4,0)</f>
        <v>이지론플러스한도</v>
      </c>
      <c r="F70" s="430" t="str">
        <f>VLOOKUP(D70,'RCLIPS송신(일사천리론)_최종'!$B:$D,2,0)</f>
        <v>N</v>
      </c>
      <c r="G70" s="430" t="str">
        <f>VLOOKUP($D70,'RCLIPS송신(일사천리론)_최종'!$B:$D,3,0)</f>
        <v>15</v>
      </c>
      <c r="H70" s="430" t="str">
        <f t="shared" si="9"/>
        <v>000000000000000</v>
      </c>
      <c r="I70" s="263" t="str">
        <f t="shared" si="10"/>
        <v>R0059</v>
      </c>
      <c r="J70" s="263" t="str">
        <f>VLOOKUP($I70,'RCLIPS수신(일사천리론)_최종'!$C:$F,2,0)</f>
        <v>파일럿대상구분</v>
      </c>
      <c r="K70" s="263" t="str">
        <f>VLOOKUP($I70,'RCLIPS수신(일사천리론)_최종'!$C:$F,3,0)</f>
        <v>S</v>
      </c>
      <c r="L70" s="263" t="str">
        <f>VLOOKUP($I70,'RCLIPS수신(일사천리론)_최종'!$C:$F,4,0)</f>
        <v>1</v>
      </c>
      <c r="M70" s="263" t="str">
        <f t="shared" si="11"/>
        <v xml:space="preserve">0              </v>
      </c>
      <c r="Q70" s="178" t="e">
        <f>VLOOKUP(D70,[3]R클립스송수신결과!$D:$H,5,0)</f>
        <v>#N/A</v>
      </c>
      <c r="R70" s="178" t="str">
        <f t="shared" si="12"/>
        <v>TOBE ONLY</v>
      </c>
      <c r="U70" s="178" t="e">
        <f>VLOOKUP(I70,[3]R클립스송수신결과!$I:$M,5,0)</f>
        <v>#N/A</v>
      </c>
      <c r="V70" s="178" t="str">
        <f t="shared" si="13"/>
        <v>TOBE ONLY</v>
      </c>
    </row>
    <row r="71" spans="1:22">
      <c r="A71" s="263"/>
      <c r="B71" s="429">
        <f t="shared" si="14"/>
        <v>1361</v>
      </c>
      <c r="C71" s="429">
        <f t="shared" si="15"/>
        <v>1366</v>
      </c>
      <c r="D71" s="430" t="str">
        <f t="shared" si="8"/>
        <v>A2074</v>
      </c>
      <c r="E71" s="430" t="str">
        <f>VLOOKUP(D71,'RCLIPS송신(일사천리론)_최종'!$B:$E,4,0)</f>
        <v>대출상환유예차주여부</v>
      </c>
      <c r="F71" s="430" t="str">
        <f>VLOOKUP(D71,'RCLIPS송신(일사천리론)_최종'!$B:$D,2,0)</f>
        <v>S</v>
      </c>
      <c r="G71" s="430" t="str">
        <f>VLOOKUP($D71,'RCLIPS송신(일사천리론)_최종'!$B:$D,3,0)</f>
        <v>1</v>
      </c>
      <c r="H71" s="430" t="str">
        <f t="shared" si="9"/>
        <v xml:space="preserve">0              </v>
      </c>
      <c r="I71" s="432" t="str">
        <f t="shared" si="10"/>
        <v>R0060</v>
      </c>
      <c r="J71" s="432" t="str">
        <f>VLOOKUP($I71,'RCLIPS수신(일사천리론)_최종'!$C:$F,2,0)</f>
        <v>인정소득금액</v>
      </c>
      <c r="K71" s="432" t="str">
        <f>VLOOKUP($I71,'RCLIPS수신(일사천리론)_최종'!$C:$F,3,0)</f>
        <v>N</v>
      </c>
      <c r="L71" s="432" t="str">
        <f>VLOOKUP($I71,'RCLIPS수신(일사천리론)_최종'!$C:$F,4,0)</f>
        <v>15</v>
      </c>
      <c r="M71" s="432" t="str">
        <f t="shared" si="11"/>
        <v>000000019999996</v>
      </c>
      <c r="Q71" s="178" t="e">
        <f>VLOOKUP(D71,[3]R클립스송수신결과!$D:$H,5,0)</f>
        <v>#N/A</v>
      </c>
      <c r="R71" s="178" t="str">
        <f t="shared" si="12"/>
        <v>TOBE ONLY</v>
      </c>
      <c r="U71" s="178" t="e">
        <f>VLOOKUP(I71,[3]R클립스송수신결과!$I:$M,5,0)</f>
        <v>#N/A</v>
      </c>
      <c r="V71" s="178" t="str">
        <f t="shared" si="13"/>
        <v>TOBE ONLY</v>
      </c>
    </row>
    <row r="72" spans="1:22">
      <c r="A72" s="263"/>
      <c r="B72" s="429">
        <f t="shared" si="14"/>
        <v>1381</v>
      </c>
      <c r="C72" s="429">
        <f t="shared" si="15"/>
        <v>1386</v>
      </c>
      <c r="D72" s="430" t="str">
        <f t="shared" si="8"/>
        <v>A2038</v>
      </c>
      <c r="E72" s="430" t="str">
        <f>VLOOKUP(D72,'RCLIPS송신(일사천리론)_최종'!$B:$E,4,0)</f>
        <v>원리금상환금액_신정원</v>
      </c>
      <c r="F72" s="430" t="str">
        <f>VLOOKUP(D72,'RCLIPS송신(일사천리론)_최종'!$B:$D,2,0)</f>
        <v>Numeric</v>
      </c>
      <c r="G72" s="430">
        <f>VLOOKUP($D72,'RCLIPS송신(일사천리론)_최종'!$B:$D,3,0)</f>
        <v>15</v>
      </c>
      <c r="H72" s="430" t="str">
        <f t="shared" si="9"/>
        <v>000000000031165</v>
      </c>
      <c r="I72" s="263" t="str">
        <f t="shared" si="10"/>
        <v>R0061</v>
      </c>
      <c r="J72" s="263" t="str">
        <f>VLOOKUP($I72,'RCLIPS수신(일사천리론)_최종'!$C:$F,2,0)</f>
        <v>다중채무조정금액</v>
      </c>
      <c r="K72" s="263" t="str">
        <f>VLOOKUP($I72,'RCLIPS수신(일사천리론)_최종'!$C:$F,3,0)</f>
        <v>N</v>
      </c>
      <c r="L72" s="263" t="str">
        <f>VLOOKUP($I72,'RCLIPS수신(일사천리론)_최종'!$C:$F,4,0)</f>
        <v>15</v>
      </c>
      <c r="M72" s="263" t="str">
        <f t="shared" si="11"/>
        <v>000000000000000</v>
      </c>
      <c r="Q72" s="178" t="e">
        <f>VLOOKUP(D72,[3]R클립스송수신결과!$D:$H,5,0)</f>
        <v>#N/A</v>
      </c>
      <c r="R72" s="178" t="str">
        <f t="shared" si="12"/>
        <v>TOBE ONLY</v>
      </c>
      <c r="U72" s="178" t="e">
        <f>VLOOKUP(I72,[3]R클립스송수신결과!$I:$M,5,0)</f>
        <v>#N/A</v>
      </c>
      <c r="V72" s="178" t="str">
        <f t="shared" si="13"/>
        <v>TOBE ONLY</v>
      </c>
    </row>
    <row r="73" spans="1:22">
      <c r="A73" s="263"/>
      <c r="B73" s="429">
        <f t="shared" si="14"/>
        <v>1401</v>
      </c>
      <c r="C73" s="429">
        <f t="shared" si="15"/>
        <v>1406</v>
      </c>
      <c r="D73" s="430" t="str">
        <f t="shared" si="8"/>
        <v>A2039</v>
      </c>
      <c r="E73" s="430" t="str">
        <f>VLOOKUP(D73,'RCLIPS송신(일사천리론)_최종'!$B:$E,4,0)</f>
        <v>DSR규제대상주담대구분</v>
      </c>
      <c r="F73" s="430" t="str">
        <f>VLOOKUP(D73,'RCLIPS송신(일사천리론)_최종'!$B:$D,2,0)</f>
        <v>Numeric</v>
      </c>
      <c r="G73" s="430">
        <f>VLOOKUP($D73,'RCLIPS송신(일사천리론)_최종'!$B:$D,3,0)</f>
        <v>2</v>
      </c>
      <c r="H73" s="430" t="str">
        <f t="shared" si="9"/>
        <v xml:space="preserve">23             </v>
      </c>
      <c r="I73" s="263" t="str">
        <f t="shared" si="10"/>
        <v>R0062</v>
      </c>
      <c r="J73" s="263" t="str">
        <f>VLOOKUP($I73,'RCLIPS수신(일사천리론)_최종'!$C:$F,2,0)</f>
        <v>다중채무자여부</v>
      </c>
      <c r="K73" s="263" t="str">
        <f>VLOOKUP($I73,'RCLIPS수신(일사천리론)_최종'!$C:$F,3,0)</f>
        <v>S</v>
      </c>
      <c r="L73" s="263" t="str">
        <f>VLOOKUP($I73,'RCLIPS수신(일사천리론)_최종'!$C:$F,4,0)</f>
        <v>1</v>
      </c>
      <c r="M73" s="263" t="str">
        <f t="shared" si="11"/>
        <v xml:space="preserve">0              </v>
      </c>
      <c r="Q73" s="178" t="e">
        <f>VLOOKUP(D73,[3]R클립스송수신결과!$D:$H,5,0)</f>
        <v>#N/A</v>
      </c>
      <c r="R73" s="178" t="str">
        <f t="shared" si="12"/>
        <v>TOBE ONLY</v>
      </c>
      <c r="U73" s="178" t="e">
        <f>VLOOKUP(I73,[3]R클립스송수신결과!$I:$M,5,0)</f>
        <v>#N/A</v>
      </c>
      <c r="V73" s="178" t="str">
        <f t="shared" si="13"/>
        <v>TOBE ONLY</v>
      </c>
    </row>
    <row r="74" spans="1:22">
      <c r="A74" s="263"/>
      <c r="B74" s="429">
        <f t="shared" si="14"/>
        <v>1421</v>
      </c>
      <c r="C74" s="429">
        <f t="shared" si="15"/>
        <v>1426</v>
      </c>
      <c r="D74" s="430" t="str">
        <f t="shared" si="8"/>
        <v>A2040</v>
      </c>
      <c r="E74" s="430" t="str">
        <f>VLOOKUP(D74,'RCLIPS송신(일사천리론)_최종'!$B:$E,4,0)</f>
        <v>신용대출잔액_신정원</v>
      </c>
      <c r="F74" s="430" t="str">
        <f>VLOOKUP(D74,'RCLIPS송신(일사천리론)_최종'!$B:$D,2,0)</f>
        <v>Numeric</v>
      </c>
      <c r="G74" s="430">
        <f>VLOOKUP($D74,'RCLIPS송신(일사천리론)_최종'!$B:$D,3,0)</f>
        <v>15</v>
      </c>
      <c r="H74" s="430" t="str">
        <f t="shared" si="9"/>
        <v>000000000053000</v>
      </c>
      <c r="I74" s="263" t="str">
        <f t="shared" si="10"/>
        <v>R0066</v>
      </c>
      <c r="J74" s="263" t="str">
        <f>VLOOKUP($I74,'RCLIPS수신(일사천리론)_최종'!$C:$F,2,0)</f>
        <v>다중채무여부_모범규준_실시간</v>
      </c>
      <c r="K74" s="263" t="str">
        <f>VLOOKUP($I74,'RCLIPS수신(일사천리론)_최종'!$C:$F,3,0)</f>
        <v>S</v>
      </c>
      <c r="L74" s="263" t="str">
        <f>VLOOKUP($I74,'RCLIPS수신(일사천리론)_최종'!$C:$F,4,0)</f>
        <v>1</v>
      </c>
      <c r="M74" s="263" t="str">
        <f t="shared" si="11"/>
        <v xml:space="preserve">0              </v>
      </c>
      <c r="Q74" s="178" t="e">
        <f>VLOOKUP(D74,[3]R클립스송수신결과!$D:$H,5,0)</f>
        <v>#N/A</v>
      </c>
      <c r="R74" s="178" t="str">
        <f t="shared" si="12"/>
        <v>TOBE ONLY</v>
      </c>
      <c r="U74" s="178" t="e">
        <f>VLOOKUP(I74,[3]R클립스송수신결과!$I:$M,5,0)</f>
        <v>#N/A</v>
      </c>
      <c r="V74" s="178" t="str">
        <f t="shared" si="13"/>
        <v>TOBE ONLY</v>
      </c>
    </row>
    <row r="75" spans="1:22">
      <c r="A75" s="263"/>
      <c r="B75" s="429">
        <f t="shared" si="14"/>
        <v>1441</v>
      </c>
      <c r="C75" s="429">
        <f t="shared" si="15"/>
        <v>1446</v>
      </c>
      <c r="D75" s="430" t="str">
        <f t="shared" si="8"/>
        <v>A2041</v>
      </c>
      <c r="E75" s="430" t="str">
        <f>VLOOKUP(D75,'RCLIPS송신(일사천리론)_최종'!$B:$E,4,0)</f>
        <v>국민은행N6M수신평잔</v>
      </c>
      <c r="F75" s="430" t="str">
        <f>VLOOKUP(D75,'RCLIPS송신(일사천리론)_최종'!$B:$D,2,0)</f>
        <v>Numeric</v>
      </c>
      <c r="G75" s="430">
        <f>VLOOKUP($D75,'RCLIPS송신(일사천리론)_최종'!$B:$D,3,0)</f>
        <v>15</v>
      </c>
      <c r="H75" s="430" t="str">
        <f t="shared" si="9"/>
        <v>000000000000000</v>
      </c>
      <c r="I75" s="263" t="str">
        <f t="shared" si="10"/>
        <v>R0067</v>
      </c>
      <c r="J75" s="263" t="str">
        <f>VLOOKUP($I75,'RCLIPS수신(일사천리론)_최종'!$C:$F,2,0)</f>
        <v>상생대출여부</v>
      </c>
      <c r="K75" s="263" t="str">
        <f>VLOOKUP($I75,'RCLIPS수신(일사천리론)_최종'!$C:$F,3,0)</f>
        <v>S</v>
      </c>
      <c r="L75" s="263" t="str">
        <f>VLOOKUP($I75,'RCLIPS수신(일사천리론)_최종'!$C:$F,4,0)</f>
        <v>1</v>
      </c>
      <c r="M75" s="263" t="str">
        <f t="shared" si="11"/>
        <v xml:space="preserve">2              </v>
      </c>
      <c r="Q75" s="178" t="e">
        <f>VLOOKUP(D75,[3]R클립스송수신결과!$D:$H,5,0)</f>
        <v>#N/A</v>
      </c>
      <c r="R75" s="178" t="str">
        <f t="shared" si="12"/>
        <v>TOBE ONLY</v>
      </c>
      <c r="U75" s="178" t="e">
        <f>VLOOKUP(I75,[3]R클립스송수신결과!$I:$M,5,0)</f>
        <v>#N/A</v>
      </c>
      <c r="V75" s="178" t="str">
        <f t="shared" si="13"/>
        <v>TOBE ONLY</v>
      </c>
    </row>
    <row r="76" spans="1:22">
      <c r="A76" s="263"/>
      <c r="B76" s="429">
        <f t="shared" si="14"/>
        <v>1461</v>
      </c>
      <c r="C76" s="429">
        <f t="shared" si="15"/>
        <v>1466</v>
      </c>
      <c r="D76" s="430" t="str">
        <f t="shared" si="8"/>
        <v>A3016</v>
      </c>
      <c r="E76" s="430" t="str">
        <f>VLOOKUP(D76,'RCLIPS송신(일사천리론)_최종'!$B:$E,4,0)</f>
        <v>NICE RK0400_000(CB등급)의 Profile Code 1</v>
      </c>
      <c r="F76" s="430" t="str">
        <f>VLOOKUP(D76,'RCLIPS송신(일사천리론)_최종'!$B:$D,2,0)</f>
        <v>Character</v>
      </c>
      <c r="G76" s="430">
        <f>VLOOKUP($D76,'RCLIPS송신(일사천리론)_최종'!$B:$D,3,0)</f>
        <v>3</v>
      </c>
      <c r="H76" s="430" t="str">
        <f t="shared" si="9"/>
        <v xml:space="preserve">               </v>
      </c>
      <c r="I76" s="263" t="str">
        <f t="shared" si="10"/>
        <v>R0068</v>
      </c>
      <c r="J76" s="263" t="str">
        <f>VLOOKUP($I76,'RCLIPS수신(일사천리론)_최종'!$C:$F,2,0)</f>
        <v>신용카드소지여부</v>
      </c>
      <c r="K76" s="263" t="str">
        <f>VLOOKUP($I76,'RCLIPS수신(일사천리론)_최종'!$C:$F,3,0)</f>
        <v>S</v>
      </c>
      <c r="L76" s="263" t="str">
        <f>VLOOKUP($I76,'RCLIPS수신(일사천리론)_최종'!$C:$F,4,0)</f>
        <v>1</v>
      </c>
      <c r="M76" s="263" t="str">
        <f t="shared" si="11"/>
        <v xml:space="preserve">0              </v>
      </c>
      <c r="Q76" s="178" t="str">
        <f>VLOOKUP(D76,[3]R클립스송수신결과!$D:$H,5,0)</f>
        <v xml:space="preserve">               </v>
      </c>
      <c r="R76" s="178" t="str">
        <f t="shared" si="12"/>
        <v>OK</v>
      </c>
      <c r="U76" s="178" t="e">
        <f>VLOOKUP(I76,[3]R클립스송수신결과!$I:$M,5,0)</f>
        <v>#N/A</v>
      </c>
      <c r="V76" s="178" t="str">
        <f t="shared" si="13"/>
        <v>TOBE ONLY</v>
      </c>
    </row>
    <row r="77" spans="1:22">
      <c r="A77" s="263"/>
      <c r="B77" s="429">
        <f t="shared" si="14"/>
        <v>1481</v>
      </c>
      <c r="C77" s="429">
        <f t="shared" si="15"/>
        <v>1486</v>
      </c>
      <c r="D77" s="430" t="str">
        <f t="shared" si="8"/>
        <v>A3017</v>
      </c>
      <c r="E77" s="430" t="str">
        <f>VLOOKUP(D77,'RCLIPS송신(일사천리론)_최종'!$B:$E,4,0)</f>
        <v>NICE RK0400_000(CB등급)의 Profile Code 2</v>
      </c>
      <c r="F77" s="430" t="str">
        <f>VLOOKUP(D77,'RCLIPS송신(일사천리론)_최종'!$B:$D,2,0)</f>
        <v>Character</v>
      </c>
      <c r="G77" s="430">
        <f>VLOOKUP($D77,'RCLIPS송신(일사천리론)_최종'!$B:$D,3,0)</f>
        <v>3</v>
      </c>
      <c r="H77" s="430" t="str">
        <f t="shared" si="9"/>
        <v xml:space="preserve">               </v>
      </c>
      <c r="I77" s="263" t="str">
        <f t="shared" si="10"/>
        <v>R0069</v>
      </c>
      <c r="J77" s="263" t="str">
        <f>VLOOKUP($I77,'RCLIPS수신(일사천리론)_최종'!$C:$F,2,0)</f>
        <v>중위등급세분화모델스코어</v>
      </c>
      <c r="K77" s="263" t="str">
        <f>VLOOKUP($I77,'RCLIPS수신(일사천리론)_최종'!$C:$F,3,0)</f>
        <v>S</v>
      </c>
      <c r="L77" s="263" t="str">
        <f>VLOOKUP($I77,'RCLIPS수신(일사천리론)_최종'!$C:$F,4,0)</f>
        <v>2</v>
      </c>
      <c r="M77" s="263" t="str">
        <f t="shared" si="11"/>
        <v>000000000000763</v>
      </c>
      <c r="Q77" s="178" t="str">
        <f>VLOOKUP(D77,[3]R클립스송수신결과!$D:$H,5,0)</f>
        <v xml:space="preserve">               </v>
      </c>
      <c r="R77" s="178" t="str">
        <f t="shared" si="12"/>
        <v>OK</v>
      </c>
      <c r="U77" s="178" t="e">
        <f>VLOOKUP(I77,[3]R클립스송수신결과!$I:$M,5,0)</f>
        <v>#N/A</v>
      </c>
      <c r="V77" s="178" t="str">
        <f t="shared" si="13"/>
        <v>TOBE ONLY</v>
      </c>
    </row>
    <row r="78" spans="1:22">
      <c r="A78" s="263"/>
      <c r="B78" s="429">
        <f t="shared" si="14"/>
        <v>1501</v>
      </c>
      <c r="C78" s="429">
        <f t="shared" si="15"/>
        <v>1506</v>
      </c>
      <c r="D78" s="430" t="str">
        <f t="shared" si="8"/>
        <v>A3018</v>
      </c>
      <c r="E78" s="430" t="str">
        <f>VLOOKUP(D78,'RCLIPS송신(일사천리론)_최종'!$B:$E,4,0)</f>
        <v>NICE RK0400_000(CB등급)의 Profile Code 3</v>
      </c>
      <c r="F78" s="430" t="str">
        <f>VLOOKUP(D78,'RCLIPS송신(일사천리론)_최종'!$B:$D,2,0)</f>
        <v>Character</v>
      </c>
      <c r="G78" s="430">
        <f>VLOOKUP($D78,'RCLIPS송신(일사천리론)_최종'!$B:$D,3,0)</f>
        <v>3</v>
      </c>
      <c r="H78" s="430" t="str">
        <f t="shared" si="9"/>
        <v xml:space="preserve">               </v>
      </c>
      <c r="I78" s="263" t="str">
        <f t="shared" si="10"/>
        <v>R0070</v>
      </c>
      <c r="J78" s="263" t="str">
        <f>VLOOKUP($I78,'RCLIPS수신(일사천리론)_최종'!$C:$F,2,0)</f>
        <v>중위등급세분화모델등급_저축</v>
      </c>
      <c r="K78" s="263" t="str">
        <f>VLOOKUP($I78,'RCLIPS수신(일사천리론)_최종'!$C:$F,3,0)</f>
        <v>N</v>
      </c>
      <c r="L78" s="263" t="str">
        <f>VLOOKUP($I78,'RCLIPS수신(일사천리론)_최종'!$C:$F,4,0)</f>
        <v>15</v>
      </c>
      <c r="M78" s="263" t="str">
        <f t="shared" si="11"/>
        <v xml:space="preserve">02             </v>
      </c>
      <c r="Q78" s="178" t="str">
        <f>VLOOKUP(D78,[3]R클립스송수신결과!$D:$H,5,0)</f>
        <v xml:space="preserve">               </v>
      </c>
      <c r="R78" s="178" t="str">
        <f t="shared" si="12"/>
        <v>OK</v>
      </c>
    </row>
    <row r="79" spans="1:22">
      <c r="A79" s="263"/>
      <c r="B79" s="429">
        <f t="shared" si="14"/>
        <v>1521</v>
      </c>
      <c r="C79" s="429">
        <f t="shared" si="15"/>
        <v>1526</v>
      </c>
      <c r="D79" s="430" t="str">
        <f t="shared" si="8"/>
        <v>A3021</v>
      </c>
      <c r="E79" s="430" t="str">
        <f>VLOOKUP(D79,'RCLIPS송신(일사천리론)_최종'!$B:$E,4,0)</f>
        <v>최근12개월 카드 신판사용개월수(체크카드사용포함)(15일기준)</v>
      </c>
      <c r="F79" s="430" t="str">
        <f>VLOOKUP(D79,'RCLIPS송신(일사천리론)_최종'!$B:$D,2,0)</f>
        <v>Numeric</v>
      </c>
      <c r="G79" s="430">
        <f>VLOOKUP($D79,'RCLIPS송신(일사천리론)_최종'!$B:$D,3,0)</f>
        <v>9</v>
      </c>
      <c r="H79" s="430" t="str">
        <f t="shared" si="9"/>
        <v>000000000000000</v>
      </c>
      <c r="I79" s="263" t="str">
        <f t="shared" si="10"/>
        <v>R0071</v>
      </c>
      <c r="J79" s="263" t="str">
        <f>VLOOKUP($I79,'RCLIPS수신(일사천리론)_최종'!$C:$F,2,0)</f>
        <v>실시간카드론결합CB등급</v>
      </c>
      <c r="K79" s="263" t="str">
        <f>VLOOKUP($I79,'RCLIPS수신(일사천리론)_최종'!$C:$F,3,0)</f>
        <v>S</v>
      </c>
      <c r="L79" s="263" t="str">
        <f>VLOOKUP($I79,'RCLIPS수신(일사천리론)_최종'!$C:$F,4,0)</f>
        <v>2</v>
      </c>
      <c r="M79" s="263" t="str">
        <f t="shared" si="11"/>
        <v xml:space="preserve">03             </v>
      </c>
      <c r="Q79" s="178" t="str">
        <f>VLOOKUP(D79,[3]R클립스송수신결과!$D:$H,5,0)</f>
        <v>000000000000005</v>
      </c>
      <c r="R79" s="178" t="str">
        <f t="shared" si="12"/>
        <v>NOT OK</v>
      </c>
    </row>
    <row r="80" spans="1:22">
      <c r="A80" s="263"/>
      <c r="B80" s="429">
        <f t="shared" si="14"/>
        <v>1541</v>
      </c>
      <c r="C80" s="429">
        <f t="shared" si="15"/>
        <v>1546</v>
      </c>
      <c r="D80" s="430" t="str">
        <f t="shared" si="8"/>
        <v>A3022</v>
      </c>
      <c r="E80" s="430" t="str">
        <f>VLOOKUP(D80,'RCLIPS송신(일사천리론)_최종'!$B:$E,4,0)</f>
        <v>현금서비스이용잔액기관수</v>
      </c>
      <c r="F80" s="430" t="str">
        <f>VLOOKUP(D80,'RCLIPS송신(일사천리론)_최종'!$B:$D,2,0)</f>
        <v>Numeric</v>
      </c>
      <c r="G80" s="430">
        <f>VLOOKUP($D80,'RCLIPS송신(일사천리론)_최종'!$B:$D,3,0)</f>
        <v>9</v>
      </c>
      <c r="H80" s="430" t="str">
        <f t="shared" si="9"/>
        <v>000000000000000</v>
      </c>
      <c r="I80" s="263" t="str">
        <f t="shared" si="10"/>
        <v>R0072</v>
      </c>
      <c r="J80" s="263" t="str">
        <f>VLOOKUP($I80,'RCLIPS수신(일사천리론)_최종'!$C:$F,2,0)</f>
        <v>신용대출1억초과여부</v>
      </c>
      <c r="K80" s="263" t="str">
        <f>VLOOKUP($I80,'RCLIPS수신(일사천리론)_최종'!$C:$F,3,0)</f>
        <v>S</v>
      </c>
      <c r="L80" s="263" t="str">
        <f>VLOOKUP($I80,'RCLIPS수신(일사천리론)_최종'!$C:$F,4,0)</f>
        <v>1</v>
      </c>
      <c r="M80" s="263" t="str">
        <f t="shared" si="11"/>
        <v xml:space="preserve">0              </v>
      </c>
      <c r="Q80" s="178" t="str">
        <f>VLOOKUP(D80,[3]R클립스송수신결과!$D:$H,5,0)</f>
        <v>000000000000000</v>
      </c>
      <c r="R80" s="178" t="str">
        <f t="shared" si="12"/>
        <v>OK</v>
      </c>
    </row>
    <row r="81" spans="1:18">
      <c r="A81" s="263"/>
      <c r="B81" s="429">
        <f t="shared" si="14"/>
        <v>1561</v>
      </c>
      <c r="C81" s="429">
        <f t="shared" si="15"/>
        <v>1566</v>
      </c>
      <c r="D81" s="430" t="str">
        <f t="shared" si="8"/>
        <v>A3026</v>
      </c>
      <c r="E81" s="430" t="str">
        <f>VLOOKUP(D81,'RCLIPS송신(일사천리론)_최종'!$B:$E,4,0)</f>
        <v>(신용관리대상/공공정보)등록 총 건수</v>
      </c>
      <c r="F81" s="430" t="str">
        <f>VLOOKUP(D81,'RCLIPS송신(일사천리론)_최종'!$B:$D,2,0)</f>
        <v>Numeric</v>
      </c>
      <c r="G81" s="430">
        <f>VLOOKUP($D81,'RCLIPS송신(일사천리론)_최종'!$B:$D,3,0)</f>
        <v>9</v>
      </c>
      <c r="H81" s="430" t="str">
        <f t="shared" si="9"/>
        <v>000000000000000</v>
      </c>
      <c r="I81" s="263" t="str">
        <f t="shared" si="10"/>
        <v>R8000</v>
      </c>
      <c r="J81" s="263" t="str">
        <f>VLOOKUP($I81,'RCLIPS수신(일사천리론)_최종'!$C:$F,2,0)</f>
        <v>카드론신청서접수번호</v>
      </c>
      <c r="K81" s="263" t="str">
        <f>VLOOKUP($I81,'RCLIPS수신(일사천리론)_최종'!$C:$F,3,0)</f>
        <v>S</v>
      </c>
      <c r="L81" s="263" t="str">
        <f>VLOOKUP($I81,'RCLIPS수신(일사천리론)_최종'!$C:$F,4,0)</f>
        <v>14</v>
      </c>
      <c r="M81" s="263" t="str">
        <f t="shared" si="11"/>
        <v xml:space="preserve">               </v>
      </c>
      <c r="Q81" s="178" t="str">
        <f>VLOOKUP(D81,[3]R클립스송수신결과!$D:$H,5,0)</f>
        <v>000000000000000</v>
      </c>
      <c r="R81" s="178" t="str">
        <f t="shared" si="12"/>
        <v>OK</v>
      </c>
    </row>
    <row r="82" spans="1:18">
      <c r="A82" s="263"/>
      <c r="B82" s="429">
        <f t="shared" si="14"/>
        <v>1581</v>
      </c>
      <c r="C82" s="429">
        <f t="shared" si="15"/>
        <v>1586</v>
      </c>
      <c r="D82" s="430" t="str">
        <f t="shared" si="8"/>
        <v>A3027</v>
      </c>
      <c r="E82" s="430" t="str">
        <f>VLOOKUP(D82,'RCLIPS송신(일사천리론)_최종'!$B:$E,4,0)</f>
        <v>대부업계 30일이상 연체 미해제 총 건수</v>
      </c>
      <c r="F82" s="430" t="str">
        <f>VLOOKUP(D82,'RCLIPS송신(일사천리론)_최종'!$B:$D,2,0)</f>
        <v>Numeric</v>
      </c>
      <c r="G82" s="430">
        <f>VLOOKUP($D82,'RCLIPS송신(일사천리론)_최종'!$B:$D,3,0)</f>
        <v>9</v>
      </c>
      <c r="H82" s="430" t="str">
        <f t="shared" si="9"/>
        <v>000000000000000</v>
      </c>
      <c r="I82" s="263" t="str">
        <f t="shared" si="10"/>
        <v>R8001</v>
      </c>
      <c r="J82" s="263" t="str">
        <f>VLOOKUP($I82,'RCLIPS수신(일사천리론)_최종'!$C:$F,2,0)</f>
        <v>이지신용대출전환대상</v>
      </c>
      <c r="K82" s="263" t="str">
        <f>VLOOKUP($I82,'RCLIPS수신(일사천리론)_최종'!$C:$F,3,0)</f>
        <v>S</v>
      </c>
      <c r="L82" s="263" t="str">
        <f>VLOOKUP($I82,'RCLIPS수신(일사천리론)_최종'!$C:$F,4,0)</f>
        <v>1</v>
      </c>
      <c r="M82" s="263" t="str">
        <f t="shared" si="11"/>
        <v xml:space="preserve">               </v>
      </c>
      <c r="Q82" s="178" t="str">
        <f>VLOOKUP(D82,[3]R클립스송수신결과!$D:$H,5,0)</f>
        <v>000000000000000</v>
      </c>
      <c r="R82" s="178" t="str">
        <f t="shared" si="12"/>
        <v>OK</v>
      </c>
    </row>
    <row r="83" spans="1:18">
      <c r="A83" s="263"/>
      <c r="B83" s="429">
        <f t="shared" si="14"/>
        <v>1601</v>
      </c>
      <c r="C83" s="429">
        <f t="shared" si="15"/>
        <v>1606</v>
      </c>
      <c r="D83" s="430" t="str">
        <f t="shared" si="8"/>
        <v>A3028</v>
      </c>
      <c r="E83" s="430" t="str">
        <f>VLOOKUP(D83,'RCLIPS송신(일사천리론)_최종'!$B:$E,4,0)</f>
        <v>신용회복위원회 조정정보 보유 유무</v>
      </c>
      <c r="F83" s="430" t="str">
        <f>VLOOKUP(D83,'RCLIPS송신(일사천리론)_최종'!$B:$D,2,0)</f>
        <v>Numeric</v>
      </c>
      <c r="G83" s="430">
        <f>VLOOKUP($D83,'RCLIPS송신(일사천리론)_최종'!$B:$D,3,0)</f>
        <v>9</v>
      </c>
      <c r="H83" s="430" t="str">
        <f t="shared" si="9"/>
        <v>000000000000000</v>
      </c>
      <c r="I83" s="263" t="str">
        <f t="shared" si="10"/>
        <v>R8002</v>
      </c>
      <c r="J83" s="263" t="str">
        <f>VLOOKUP($I83,'RCLIPS수신(일사천리론)_최종'!$C:$F,2,0)</f>
        <v>이지신용대출탈락코드</v>
      </c>
      <c r="K83" s="263" t="str">
        <f>VLOOKUP($I83,'RCLIPS수신(일사천리론)_최종'!$C:$F,3,0)</f>
        <v>S</v>
      </c>
      <c r="L83" s="263" t="str">
        <f>VLOOKUP($I83,'RCLIPS수신(일사천리론)_최종'!$C:$F,4,0)</f>
        <v>4</v>
      </c>
      <c r="M83" s="263" t="str">
        <f t="shared" si="11"/>
        <v xml:space="preserve">               </v>
      </c>
      <c r="Q83" s="178" t="str">
        <f>VLOOKUP(D83,[3]R클립스송수신결과!$D:$H,5,0)</f>
        <v>000000000000000</v>
      </c>
      <c r="R83" s="178" t="str">
        <f t="shared" si="12"/>
        <v>OK</v>
      </c>
    </row>
    <row r="84" spans="1:18">
      <c r="A84" s="263"/>
      <c r="B84" s="429">
        <f t="shared" si="14"/>
        <v>1621</v>
      </c>
      <c r="C84" s="429">
        <f t="shared" si="15"/>
        <v>1626</v>
      </c>
      <c r="D84" s="430" t="str">
        <f t="shared" si="8"/>
        <v>A3029</v>
      </c>
      <c r="E84" s="430" t="str">
        <f>VLOOKUP(D84,'RCLIPS송신(일사천리론)_최종'!$B:$E,4,0)</f>
        <v>희망모아 신용회복지원 대상 구분</v>
      </c>
      <c r="F84" s="430" t="str">
        <f>VLOOKUP(D84,'RCLIPS송신(일사천리론)_최종'!$B:$D,2,0)</f>
        <v>Numeric</v>
      </c>
      <c r="G84" s="430">
        <f>VLOOKUP($D84,'RCLIPS송신(일사천리론)_최종'!$B:$D,3,0)</f>
        <v>9</v>
      </c>
      <c r="H84" s="430" t="str">
        <f t="shared" si="9"/>
        <v>000000000000009</v>
      </c>
      <c r="I84" s="263" t="str">
        <f t="shared" si="10"/>
        <v>R8003</v>
      </c>
      <c r="J84" s="263" t="str">
        <f>VLOOKUP($I84,'RCLIPS수신(일사천리론)_최종'!$C:$F,2,0)</f>
        <v>실시간카드론신청등급</v>
      </c>
      <c r="K84" s="263" t="str">
        <f>VLOOKUP($I84,'RCLIPS수신(일사천리론)_최종'!$C:$F,3,0)</f>
        <v>S</v>
      </c>
      <c r="L84" s="263" t="str">
        <f>VLOOKUP($I84,'RCLIPS수신(일사천리론)_최종'!$C:$F,4,0)</f>
        <v>2</v>
      </c>
      <c r="M84" s="263" t="str">
        <f t="shared" si="11"/>
        <v xml:space="preserve">07             </v>
      </c>
      <c r="Q84" s="178" t="str">
        <f>VLOOKUP(D84,[3]R클립스송수신결과!$D:$H,5,0)</f>
        <v>000000000000009</v>
      </c>
      <c r="R84" s="178" t="str">
        <f t="shared" si="12"/>
        <v>OK</v>
      </c>
    </row>
    <row r="85" spans="1:18">
      <c r="A85" s="263"/>
      <c r="B85" s="429">
        <f t="shared" si="14"/>
        <v>1641</v>
      </c>
      <c r="C85" s="429">
        <f t="shared" si="15"/>
        <v>1646</v>
      </c>
      <c r="D85" s="430" t="str">
        <f t="shared" si="8"/>
        <v>A3030</v>
      </c>
      <c r="E85" s="430" t="str">
        <f>VLOOKUP(D85,'RCLIPS송신(일사천리론)_최종'!$B:$E,4,0)</f>
        <v>상록수 신용회복지원 구분</v>
      </c>
      <c r="F85" s="430" t="str">
        <f>VLOOKUP(D85,'RCLIPS송신(일사천리론)_최종'!$B:$D,2,0)</f>
        <v>Numeric</v>
      </c>
      <c r="G85" s="430">
        <f>VLOOKUP($D85,'RCLIPS송신(일사천리론)_최종'!$B:$D,3,0)</f>
        <v>9</v>
      </c>
      <c r="H85" s="430" t="str">
        <f t="shared" si="9"/>
        <v>000000000000009</v>
      </c>
      <c r="I85" s="263" t="str">
        <f t="shared" si="10"/>
        <v>R8004</v>
      </c>
      <c r="J85" s="263" t="str">
        <f>VLOOKUP($I85,'RCLIPS수신(일사천리론)_최종'!$C:$F,2,0)</f>
        <v>고객가치그룹구분</v>
      </c>
      <c r="K85" s="263" t="str">
        <f>VLOOKUP($I85,'RCLIPS수신(일사천리론)_최종'!$C:$F,3,0)</f>
        <v>S</v>
      </c>
      <c r="L85" s="263" t="str">
        <f>VLOOKUP($I85,'RCLIPS수신(일사천리론)_최종'!$C:$F,4,0)</f>
        <v>2</v>
      </c>
      <c r="M85" s="263" t="str">
        <f t="shared" si="11"/>
        <v xml:space="preserve">               </v>
      </c>
      <c r="Q85" s="178" t="str">
        <f>VLOOKUP(D85,[3]R클립스송수신결과!$D:$H,5,0)</f>
        <v>000000000000009</v>
      </c>
      <c r="R85" s="178" t="str">
        <f t="shared" si="12"/>
        <v>OK</v>
      </c>
    </row>
    <row r="86" spans="1:18">
      <c r="A86" s="263"/>
      <c r="B86" s="429">
        <f t="shared" si="14"/>
        <v>1661</v>
      </c>
      <c r="C86" s="429">
        <f t="shared" si="15"/>
        <v>1666</v>
      </c>
      <c r="D86" s="430" t="str">
        <f t="shared" si="8"/>
        <v>A3031</v>
      </c>
      <c r="E86" s="430" t="str">
        <f>VLOOKUP(D86,'RCLIPS송신(일사천리론)_최종'!$B:$E,4,0)</f>
        <v>파산면책 등록 유무</v>
      </c>
      <c r="F86" s="430" t="str">
        <f>VLOOKUP(D86,'RCLIPS송신(일사천리론)_최종'!$B:$D,2,0)</f>
        <v>Numeric</v>
      </c>
      <c r="G86" s="430">
        <f>VLOOKUP($D86,'RCLIPS송신(일사천리론)_최종'!$B:$D,3,0)</f>
        <v>9</v>
      </c>
      <c r="H86" s="430" t="str">
        <f t="shared" si="9"/>
        <v>000000000000000</v>
      </c>
      <c r="I86" s="263" t="str">
        <f t="shared" si="10"/>
        <v>R8005</v>
      </c>
      <c r="J86" s="263" t="str">
        <f>VLOOKUP($I86,'RCLIPS수신(일사천리론)_최종'!$C:$F,2,0)</f>
        <v>여신평균잔액</v>
      </c>
      <c r="K86" s="263" t="str">
        <f>VLOOKUP($I86,'RCLIPS수신(일사천리론)_최종'!$C:$F,3,0)</f>
        <v>N</v>
      </c>
      <c r="L86" s="263" t="str">
        <f>VLOOKUP($I86,'RCLIPS수신(일사천리론)_최종'!$C:$F,4,0)</f>
        <v>15</v>
      </c>
      <c r="M86" s="263" t="str">
        <f t="shared" si="11"/>
        <v>0000000000000.0</v>
      </c>
      <c r="Q86" s="178" t="str">
        <f>VLOOKUP(D86,[3]R클립스송수신결과!$D:$H,5,0)</f>
        <v>000000000000000</v>
      </c>
      <c r="R86" s="178" t="str">
        <f t="shared" si="12"/>
        <v>OK</v>
      </c>
    </row>
    <row r="87" spans="1:18">
      <c r="A87" s="263"/>
      <c r="B87" s="429">
        <f t="shared" si="14"/>
        <v>1681</v>
      </c>
      <c r="C87" s="429">
        <f t="shared" si="15"/>
        <v>1686</v>
      </c>
      <c r="D87" s="430" t="str">
        <f t="shared" si="8"/>
        <v>A3032</v>
      </c>
      <c r="E87" s="430" t="str">
        <f>VLOOKUP(D87,'RCLIPS송신(일사천리론)_최종'!$B:$E,4,0)</f>
        <v>개인회생 등록 유무</v>
      </c>
      <c r="F87" s="430" t="str">
        <f>VLOOKUP(D87,'RCLIPS송신(일사천리론)_최종'!$B:$D,2,0)</f>
        <v>Numeric</v>
      </c>
      <c r="G87" s="430">
        <f>VLOOKUP($D87,'RCLIPS송신(일사천리론)_최종'!$B:$D,3,0)</f>
        <v>9</v>
      </c>
      <c r="H87" s="430" t="str">
        <f t="shared" si="9"/>
        <v>000000000000000</v>
      </c>
      <c r="I87" s="263" t="str">
        <f t="shared" si="10"/>
        <v>R8006</v>
      </c>
      <c r="J87" s="263" t="str">
        <f>VLOOKUP($I87,'RCLIPS수신(일사천리론)_최종'!$C:$F,2,0)</f>
        <v>기여도등급</v>
      </c>
      <c r="K87" s="263" t="str">
        <f>VLOOKUP($I87,'RCLIPS수신(일사천리론)_최종'!$C:$F,3,0)</f>
        <v>S</v>
      </c>
      <c r="L87" s="263">
        <f>VLOOKUP($I87,'RCLIPS수신(일사천리론)_최종'!$C:$F,4,0)</f>
        <v>2</v>
      </c>
      <c r="M87" s="263" t="str">
        <f t="shared" si="11"/>
        <v xml:space="preserve">B04            </v>
      </c>
      <c r="Q87" s="178" t="str">
        <f>VLOOKUP(D87,[3]R클립스송수신결과!$D:$H,5,0)</f>
        <v>000000000000000</v>
      </c>
      <c r="R87" s="178" t="str">
        <f t="shared" si="12"/>
        <v>OK</v>
      </c>
    </row>
    <row r="88" spans="1:18">
      <c r="A88" s="263"/>
      <c r="B88" s="429">
        <f t="shared" si="14"/>
        <v>1701</v>
      </c>
      <c r="C88" s="429">
        <f t="shared" si="15"/>
        <v>1706</v>
      </c>
      <c r="D88" s="430" t="str">
        <f t="shared" si="8"/>
        <v>A3033</v>
      </c>
      <c r="E88" s="430" t="str">
        <f>VLOOKUP(D88,'RCLIPS송신(일사천리론)_최종'!$B:$E,4,0)</f>
        <v>한정치산선고 유무</v>
      </c>
      <c r="F88" s="430" t="str">
        <f>VLOOKUP(D88,'RCLIPS송신(일사천리론)_최종'!$B:$D,2,0)</f>
        <v>Numeric</v>
      </c>
      <c r="G88" s="430">
        <f>VLOOKUP($D88,'RCLIPS송신(일사천리론)_최종'!$B:$D,3,0)</f>
        <v>9</v>
      </c>
      <c r="H88" s="430" t="str">
        <f t="shared" si="9"/>
        <v>000000000000000</v>
      </c>
      <c r="I88" s="263" t="str">
        <f t="shared" si="10"/>
        <v>R8007</v>
      </c>
      <c r="J88" s="263" t="str">
        <f>VLOOKUP($I88,'RCLIPS수신(일사천리론)_최종'!$C:$F,2,0)</f>
        <v>이지신용대출탈락대상_C9</v>
      </c>
      <c r="K88" s="263" t="str">
        <f>VLOOKUP($I88,'RCLIPS수신(일사천리론)_최종'!$C:$F,3,0)</f>
        <v>S</v>
      </c>
      <c r="L88" s="263">
        <f>VLOOKUP($I88,'RCLIPS수신(일사천리론)_최종'!$C:$F,4,0)</f>
        <v>4</v>
      </c>
      <c r="M88" s="263" t="str">
        <f t="shared" si="11"/>
        <v xml:space="preserve">               </v>
      </c>
      <c r="Q88" s="178" t="str">
        <f>VLOOKUP(D88,[3]R클립스송수신결과!$D:$H,5,0)</f>
        <v>000000000000000</v>
      </c>
      <c r="R88" s="178" t="str">
        <f t="shared" si="12"/>
        <v>OK</v>
      </c>
    </row>
    <row r="89" spans="1:18">
      <c r="A89" s="263"/>
      <c r="B89" s="429">
        <f t="shared" si="14"/>
        <v>1721</v>
      </c>
      <c r="C89" s="429">
        <f t="shared" si="15"/>
        <v>1726</v>
      </c>
      <c r="D89" s="430" t="str">
        <f t="shared" si="8"/>
        <v>A3034</v>
      </c>
      <c r="E89" s="430" t="str">
        <f>VLOOKUP(D89,'RCLIPS송신(일사천리론)_최종'!$B:$E,4,0)</f>
        <v>금치산선고 유무</v>
      </c>
      <c r="F89" s="430" t="str">
        <f>VLOOKUP(D89,'RCLIPS송신(일사천리론)_최종'!$B:$D,2,0)</f>
        <v>Numeric</v>
      </c>
      <c r="G89" s="430">
        <f>VLOOKUP($D89,'RCLIPS송신(일사천리론)_최종'!$B:$D,3,0)</f>
        <v>9</v>
      </c>
      <c r="H89" s="430" t="str">
        <f t="shared" si="9"/>
        <v>000000000000000</v>
      </c>
      <c r="I89" s="263" t="str">
        <f t="shared" si="10"/>
        <v>R8008</v>
      </c>
      <c r="J89" s="263" t="str">
        <f>VLOOKUP($I89,'RCLIPS수신(일사천리론)_최종'!$C:$F,2,0)</f>
        <v>이지론한도_C9</v>
      </c>
      <c r="K89" s="263" t="str">
        <f>VLOOKUP($I89,'RCLIPS수신(일사천리론)_최종'!$C:$F,3,0)</f>
        <v>N</v>
      </c>
      <c r="L89" s="263">
        <f>VLOOKUP($I89,'RCLIPS수신(일사천리론)_최종'!$C:$F,4,0)</f>
        <v>15</v>
      </c>
      <c r="M89" s="263" t="str">
        <f t="shared" si="11"/>
        <v>000000000000000</v>
      </c>
      <c r="Q89" s="178" t="str">
        <f>VLOOKUP(D89,[3]R클립스송수신결과!$D:$H,5,0)</f>
        <v>000000000000000</v>
      </c>
      <c r="R89" s="178" t="str">
        <f t="shared" si="12"/>
        <v>OK</v>
      </c>
    </row>
    <row r="90" spans="1:18">
      <c r="A90" s="263"/>
      <c r="B90" s="429">
        <f t="shared" si="14"/>
        <v>1741</v>
      </c>
      <c r="C90" s="429">
        <f t="shared" si="15"/>
        <v>1746</v>
      </c>
      <c r="D90" s="430" t="str">
        <f t="shared" si="8"/>
        <v>A3035</v>
      </c>
      <c r="E90" s="430" t="str">
        <f>VLOOKUP(D90,'RCLIPS송신(일사천리론)_최종'!$B:$E,4,0)</f>
        <v>기준일 현재 행안부 사망자 여부</v>
      </c>
      <c r="F90" s="430" t="str">
        <f>VLOOKUP(D90,'RCLIPS송신(일사천리론)_최종'!$B:$D,2,0)</f>
        <v>Numeric</v>
      </c>
      <c r="G90" s="430">
        <f>VLOOKUP($D90,'RCLIPS송신(일사천리론)_최종'!$B:$D,3,0)</f>
        <v>9</v>
      </c>
      <c r="H90" s="430" t="str">
        <f t="shared" si="9"/>
        <v>000000000000000</v>
      </c>
      <c r="I90" s="263" t="str">
        <f t="shared" si="10"/>
        <v>R8009</v>
      </c>
      <c r="J90" s="263" t="str">
        <f>VLOOKUP($I90,'RCLIPS수신(일사천리론)_최종'!$C:$F,2,0)</f>
        <v>이지론대출이율_C9</v>
      </c>
      <c r="K90" s="263" t="str">
        <f>VLOOKUP($I90,'RCLIPS수신(일사천리론)_최종'!$C:$F,3,0)</f>
        <v>N</v>
      </c>
      <c r="L90" s="263">
        <f>VLOOKUP($I90,'RCLIPS수신(일사천리론)_최종'!$C:$F,4,0)</f>
        <v>5</v>
      </c>
      <c r="M90" s="263" t="str">
        <f t="shared" si="11"/>
        <v>0000000000000.0</v>
      </c>
      <c r="Q90" s="178" t="str">
        <f>VLOOKUP(D90,[3]R클립스송수신결과!$D:$H,5,0)</f>
        <v>000000000000000</v>
      </c>
      <c r="R90" s="178" t="str">
        <f t="shared" si="12"/>
        <v>OK</v>
      </c>
    </row>
    <row r="91" spans="1:18">
      <c r="A91" s="263"/>
      <c r="B91" s="429">
        <f t="shared" si="14"/>
        <v>1761</v>
      </c>
      <c r="C91" s="429">
        <f t="shared" si="15"/>
        <v>1766</v>
      </c>
      <c r="D91" s="430" t="str">
        <f t="shared" si="8"/>
        <v>A3036</v>
      </c>
      <c r="E91" s="430" t="str">
        <f>VLOOKUP(D91,'RCLIPS송신(일사천리론)_최종'!$B:$E,4,0)</f>
        <v>미해제 연체 총 기관수 (일보 기준)</v>
      </c>
      <c r="F91" s="430" t="str">
        <f>VLOOKUP(D91,'RCLIPS송신(일사천리론)_최종'!$B:$D,2,0)</f>
        <v>Numeric</v>
      </c>
      <c r="G91" s="430">
        <f>VLOOKUP($D91,'RCLIPS송신(일사천리론)_최종'!$B:$D,3,0)</f>
        <v>9</v>
      </c>
      <c r="H91" s="430" t="str">
        <f t="shared" si="9"/>
        <v>000000000000000</v>
      </c>
      <c r="I91" s="263" t="str">
        <f t="shared" si="10"/>
        <v>R8010</v>
      </c>
      <c r="J91" s="263" t="str">
        <f>VLOOKUP($I91,'RCLIPS수신(일사천리론)_최종'!$C:$F,2,0)</f>
        <v>이지신용대출한도</v>
      </c>
      <c r="K91" s="263" t="str">
        <f>VLOOKUP($I91,'RCLIPS수신(일사천리론)_최종'!$C:$F,3,0)</f>
        <v>N</v>
      </c>
      <c r="L91" s="263">
        <f>VLOOKUP($I91,'RCLIPS수신(일사천리론)_최종'!$C:$F,4,0)</f>
        <v>15</v>
      </c>
      <c r="M91" s="263" t="str">
        <f t="shared" si="11"/>
        <v>000000000000000</v>
      </c>
      <c r="Q91" s="178" t="str">
        <f>VLOOKUP(D91,[3]R클립스송수신결과!$D:$H,5,0)</f>
        <v>000000000000000</v>
      </c>
      <c r="R91" s="178" t="str">
        <f t="shared" si="12"/>
        <v>OK</v>
      </c>
    </row>
    <row r="92" spans="1:18">
      <c r="A92" s="263"/>
      <c r="B92" s="429">
        <f t="shared" si="14"/>
        <v>1781</v>
      </c>
      <c r="C92" s="429">
        <f t="shared" si="15"/>
        <v>1786</v>
      </c>
      <c r="D92" s="430" t="str">
        <f t="shared" si="8"/>
        <v>A3037</v>
      </c>
      <c r="E92" s="430" t="str">
        <f>VLOOKUP(D92,'RCLIPS송신(일사천리론)_최종'!$B:$E,4,0)</f>
        <v>연체 총 잔액(해제후1년경과건제외)</v>
      </c>
      <c r="F92" s="430" t="str">
        <f>VLOOKUP(D92,'RCLIPS송신(일사천리론)_최종'!$B:$D,2,0)</f>
        <v>Numeric</v>
      </c>
      <c r="G92" s="430">
        <f>VLOOKUP($D92,'RCLIPS송신(일사천리론)_최종'!$B:$D,3,0)</f>
        <v>9</v>
      </c>
      <c r="H92" s="430" t="str">
        <f t="shared" si="9"/>
        <v>000000000000000</v>
      </c>
      <c r="I92" s="263" t="str">
        <f t="shared" si="10"/>
        <v>R8011</v>
      </c>
      <c r="J92" s="263" t="str">
        <f>VLOOKUP($I92,'RCLIPS수신(일사천리론)_최종'!$C:$F,2,0)</f>
        <v>이지신용대출대상구분코드</v>
      </c>
      <c r="K92" s="263" t="str">
        <f>VLOOKUP($I92,'RCLIPS수신(일사천리론)_최종'!$C:$F,3,0)</f>
        <v>S</v>
      </c>
      <c r="L92" s="263">
        <f>VLOOKUP($I92,'RCLIPS수신(일사천리론)_최종'!$C:$F,4,0)</f>
        <v>1</v>
      </c>
      <c r="M92" s="263" t="str">
        <f t="shared" si="11"/>
        <v xml:space="preserve">0              </v>
      </c>
      <c r="Q92" s="178" t="str">
        <f>VLOOKUP(D92,[3]R클립스송수신결과!$D:$H,5,0)</f>
        <v>000000000000000</v>
      </c>
      <c r="R92" s="178" t="str">
        <f t="shared" si="12"/>
        <v>OK</v>
      </c>
    </row>
    <row r="93" spans="1:18">
      <c r="A93" s="263"/>
      <c r="B93" s="429">
        <f t="shared" si="14"/>
        <v>1801</v>
      </c>
      <c r="C93" s="429">
        <f t="shared" si="15"/>
        <v>1806</v>
      </c>
      <c r="D93" s="430" t="str">
        <f t="shared" si="8"/>
        <v>A3038</v>
      </c>
      <c r="E93" s="430" t="str">
        <f>VLOOKUP(D93,'RCLIPS송신(일사천리론)_최종'!$B:$E,4,0)</f>
        <v>최근3개월내 미해지 신용카드 발급 총건수</v>
      </c>
      <c r="F93" s="430" t="str">
        <f>VLOOKUP(D93,'RCLIPS송신(일사천리론)_최종'!$B:$D,2,0)</f>
        <v>Numeric</v>
      </c>
      <c r="G93" s="430">
        <f>VLOOKUP($D93,'RCLIPS송신(일사천리론)_최종'!$B:$D,3,0)</f>
        <v>9</v>
      </c>
      <c r="H93" s="430" t="str">
        <f t="shared" si="9"/>
        <v>000000000000000</v>
      </c>
      <c r="I93" s="263" t="str">
        <f t="shared" si="10"/>
        <v>S0001</v>
      </c>
      <c r="J93" s="263" t="str">
        <f>VLOOKUP($I93,'RCLIPS수신(일사천리론)_최종'!$C:$F,2,0)</f>
        <v>평점표항목1 항목값</v>
      </c>
      <c r="K93" s="263" t="str">
        <f>VLOOKUP($I93,'RCLIPS수신(일사천리론)_최종'!$C:$F,3,0)</f>
        <v>Numeric</v>
      </c>
      <c r="L93" s="263">
        <f>VLOOKUP($I93,'RCLIPS수신(일사천리론)_최종'!$C:$F,4,0)</f>
        <v>20</v>
      </c>
      <c r="M93" s="263" t="str">
        <f t="shared" si="11"/>
        <v>000000000000000</v>
      </c>
      <c r="Q93" s="178" t="str">
        <f>VLOOKUP(D93,[3]R클립스송수신결과!$D:$H,5,0)</f>
        <v>000000000000000</v>
      </c>
      <c r="R93" s="178" t="str">
        <f t="shared" si="12"/>
        <v>OK</v>
      </c>
    </row>
    <row r="94" spans="1:18">
      <c r="A94" s="263"/>
      <c r="B94" s="429">
        <f t="shared" si="14"/>
        <v>1821</v>
      </c>
      <c r="C94" s="429">
        <f t="shared" si="15"/>
        <v>1826</v>
      </c>
      <c r="D94" s="430" t="str">
        <f t="shared" si="8"/>
        <v>A3039</v>
      </c>
      <c r="E94" s="430" t="str">
        <f>VLOOKUP(D94,'RCLIPS송신(일사천리론)_최종'!$B:$E,4,0)</f>
        <v>최근1개월 리볼빙 이용기관수(15일기준)</v>
      </c>
      <c r="F94" s="430" t="str">
        <f>VLOOKUP(D94,'RCLIPS송신(일사천리론)_최종'!$B:$D,2,0)</f>
        <v>Numeric</v>
      </c>
      <c r="G94" s="430">
        <f>VLOOKUP($D94,'RCLIPS송신(일사천리론)_최종'!$B:$D,3,0)</f>
        <v>9</v>
      </c>
      <c r="H94" s="430" t="str">
        <f t="shared" si="9"/>
        <v>000000000000000</v>
      </c>
      <c r="I94" s="263" t="str">
        <f t="shared" si="10"/>
        <v>S0002</v>
      </c>
      <c r="J94" s="263" t="str">
        <f>VLOOKUP($I94,'RCLIPS수신(일사천리론)_최종'!$C:$F,2,0)</f>
        <v>평점표항목2 항목값</v>
      </c>
      <c r="K94" s="263" t="str">
        <f>VLOOKUP($I94,'RCLIPS수신(일사천리론)_최종'!$C:$F,3,0)</f>
        <v>Numeric</v>
      </c>
      <c r="L94" s="263">
        <f>VLOOKUP($I94,'RCLIPS수신(일사천리론)_최종'!$C:$F,4,0)</f>
        <v>20</v>
      </c>
      <c r="M94" s="263" t="str">
        <f t="shared" si="11"/>
        <v>000000000000000</v>
      </c>
      <c r="Q94" s="178" t="str">
        <f>VLOOKUP(D94,[3]R클립스송수신결과!$D:$H,5,0)</f>
        <v>000000000000000</v>
      </c>
      <c r="R94" s="178" t="str">
        <f t="shared" si="12"/>
        <v>OK</v>
      </c>
    </row>
    <row r="95" spans="1:18">
      <c r="A95" s="263"/>
      <c r="B95" s="429">
        <f t="shared" si="14"/>
        <v>1841</v>
      </c>
      <c r="C95" s="429">
        <f t="shared" si="15"/>
        <v>1846</v>
      </c>
      <c r="D95" s="430" t="str">
        <f t="shared" si="8"/>
        <v>A3040</v>
      </c>
      <c r="E95" s="430" t="str">
        <f>VLOOKUP(D95,'RCLIPS송신(일사천리론)_최종'!$B:$E,4,0)</f>
        <v>총대출공여 건수</v>
      </c>
      <c r="F95" s="430" t="str">
        <f>VLOOKUP(D95,'RCLIPS송신(일사천리론)_최종'!$B:$D,2,0)</f>
        <v>Numeric</v>
      </c>
      <c r="G95" s="430">
        <f>VLOOKUP($D95,'RCLIPS송신(일사천리론)_최종'!$B:$D,3,0)</f>
        <v>9</v>
      </c>
      <c r="H95" s="430" t="str">
        <f t="shared" si="9"/>
        <v>000000000000000</v>
      </c>
      <c r="I95" s="263" t="str">
        <f t="shared" si="10"/>
        <v>S0003</v>
      </c>
      <c r="J95" s="263" t="str">
        <f>VLOOKUP($I95,'RCLIPS수신(일사천리론)_최종'!$C:$F,2,0)</f>
        <v>평점표항목3 항목값</v>
      </c>
      <c r="K95" s="263" t="str">
        <f>VLOOKUP($I95,'RCLIPS수신(일사천리론)_최종'!$C:$F,3,0)</f>
        <v>Numeric</v>
      </c>
      <c r="L95" s="263">
        <f>VLOOKUP($I95,'RCLIPS수신(일사천리론)_최종'!$C:$F,4,0)</f>
        <v>20</v>
      </c>
      <c r="M95" s="263" t="str">
        <f t="shared" si="11"/>
        <v>000000000000000</v>
      </c>
      <c r="Q95" s="178" t="str">
        <f>VLOOKUP(D95,[3]R클립스송수신결과!$D:$H,5,0)</f>
        <v>000000000000000</v>
      </c>
      <c r="R95" s="178" t="str">
        <f t="shared" si="12"/>
        <v>OK</v>
      </c>
    </row>
    <row r="96" spans="1:18">
      <c r="A96" s="263"/>
      <c r="B96" s="429">
        <f t="shared" si="14"/>
        <v>1861</v>
      </c>
      <c r="C96" s="429">
        <f t="shared" si="15"/>
        <v>1866</v>
      </c>
      <c r="D96" s="430" t="str">
        <f t="shared" si="8"/>
        <v>A3041</v>
      </c>
      <c r="E96" s="430" t="str">
        <f>VLOOKUP(D96,'RCLIPS송신(일사천리론)_최종'!$B:$E,4,0)</f>
        <v>최근3개월내 저축은행업권 미상환 대출총건수</v>
      </c>
      <c r="F96" s="430" t="str">
        <f>VLOOKUP(D96,'RCLIPS송신(일사천리론)_최종'!$B:$D,2,0)</f>
        <v>Numeric</v>
      </c>
      <c r="G96" s="430">
        <f>VLOOKUP($D96,'RCLIPS송신(일사천리론)_최종'!$B:$D,3,0)</f>
        <v>9</v>
      </c>
      <c r="H96" s="430" t="str">
        <f t="shared" si="9"/>
        <v>000000000000000</v>
      </c>
      <c r="I96" s="263" t="str">
        <f t="shared" si="10"/>
        <v>S0004</v>
      </c>
      <c r="J96" s="263" t="str">
        <f>VLOOKUP($I96,'RCLIPS수신(일사천리론)_최종'!$C:$F,2,0)</f>
        <v>평점표항목4 항목값</v>
      </c>
      <c r="K96" s="263" t="str">
        <f>VLOOKUP($I96,'RCLIPS수신(일사천리론)_최종'!$C:$F,3,0)</f>
        <v>Numeric</v>
      </c>
      <c r="L96" s="263">
        <f>VLOOKUP($I96,'RCLIPS수신(일사천리론)_최종'!$C:$F,4,0)</f>
        <v>20</v>
      </c>
      <c r="M96" s="263" t="str">
        <f t="shared" si="11"/>
        <v>000000000000000</v>
      </c>
      <c r="Q96" s="178" t="str">
        <f>VLOOKUP(D96,[3]R클립스송수신결과!$D:$H,5,0)</f>
        <v>000000000000000</v>
      </c>
      <c r="R96" s="178" t="str">
        <f t="shared" si="12"/>
        <v>OK</v>
      </c>
    </row>
    <row r="97" spans="1:20">
      <c r="A97" s="263"/>
      <c r="B97" s="429">
        <f t="shared" si="14"/>
        <v>1881</v>
      </c>
      <c r="C97" s="429">
        <f t="shared" si="15"/>
        <v>1886</v>
      </c>
      <c r="D97" s="430" t="str">
        <f t="shared" si="8"/>
        <v>A3044</v>
      </c>
      <c r="E97" s="430" t="str">
        <f>VLOOKUP(D97,'RCLIPS송신(일사천리론)_최종'!$B:$E,4,0)</f>
        <v>최근1개월내 미상환 카드론 대출총건수</v>
      </c>
      <c r="F97" s="430" t="str">
        <f>VLOOKUP(D97,'RCLIPS송신(일사천리론)_최종'!$B:$D,2,0)</f>
        <v>Numeric</v>
      </c>
      <c r="G97" s="430">
        <f>VLOOKUP($D97,'RCLIPS송신(일사천리론)_최종'!$B:$D,3,0)</f>
        <v>9</v>
      </c>
      <c r="H97" s="430" t="str">
        <f t="shared" si="9"/>
        <v>000000000000000</v>
      </c>
      <c r="I97" s="263" t="str">
        <f t="shared" si="10"/>
        <v>S0005</v>
      </c>
      <c r="J97" s="263" t="str">
        <f>VLOOKUP($I97,'RCLIPS수신(일사천리론)_최종'!$C:$F,2,0)</f>
        <v>평점표항목5 항목값</v>
      </c>
      <c r="K97" s="263" t="str">
        <f>VLOOKUP($I97,'RCLIPS수신(일사천리론)_최종'!$C:$F,3,0)</f>
        <v>Numeric</v>
      </c>
      <c r="L97" s="263">
        <f>VLOOKUP($I97,'RCLIPS수신(일사천리론)_최종'!$C:$F,4,0)</f>
        <v>20</v>
      </c>
      <c r="M97" s="263" t="str">
        <f t="shared" si="11"/>
        <v>000000000000000</v>
      </c>
      <c r="Q97" s="178" t="str">
        <f>VLOOKUP(D97,[3]R클립스송수신결과!$D:$H,5,0)</f>
        <v>000000000000000</v>
      </c>
      <c r="R97" s="178" t="str">
        <f t="shared" si="12"/>
        <v>OK</v>
      </c>
      <c r="S97" s="178" t="s">
        <v>5769</v>
      </c>
      <c r="T97" s="178" t="s">
        <v>5770</v>
      </c>
    </row>
    <row r="98" spans="1:20">
      <c r="A98" s="263"/>
      <c r="B98" s="429">
        <f t="shared" si="14"/>
        <v>1901</v>
      </c>
      <c r="C98" s="429">
        <f t="shared" si="15"/>
        <v>1906</v>
      </c>
      <c r="D98" s="430" t="str">
        <f t="shared" si="8"/>
        <v>A3045</v>
      </c>
      <c r="E98" s="430" t="str">
        <f>VLOOKUP(D98,'RCLIPS송신(일사천리론)_최종'!$B:$E,4,0)</f>
        <v>전은연 계좌별 대출 최근 1개월 내 상환 건수</v>
      </c>
      <c r="F98" s="430" t="str">
        <f>VLOOKUP(D98,'RCLIPS송신(일사천리론)_최종'!$B:$D,2,0)</f>
        <v>Numeric</v>
      </c>
      <c r="G98" s="430">
        <f>VLOOKUP($D98,'RCLIPS송신(일사천리론)_최종'!$B:$D,3,0)</f>
        <v>9</v>
      </c>
      <c r="H98" s="430" t="str">
        <f t="shared" si="9"/>
        <v>000000000000000</v>
      </c>
      <c r="I98" s="263" t="str">
        <f t="shared" si="10"/>
        <v>S0006</v>
      </c>
      <c r="J98" s="263" t="str">
        <f>VLOOKUP($I98,'RCLIPS수신(일사천리론)_최종'!$C:$F,2,0)</f>
        <v>평점표항목6 항목값</v>
      </c>
      <c r="K98" s="263" t="str">
        <f>VLOOKUP($I98,'RCLIPS수신(일사천리론)_최종'!$C:$F,3,0)</f>
        <v>Numeric</v>
      </c>
      <c r="L98" s="263">
        <f>VLOOKUP($I98,'RCLIPS수신(일사천리론)_최종'!$C:$F,4,0)</f>
        <v>20</v>
      </c>
      <c r="M98" s="263" t="str">
        <f t="shared" si="11"/>
        <v>000000000000000</v>
      </c>
      <c r="Q98" s="178" t="str">
        <f>VLOOKUP(D98,[3]R클립스송수신결과!$D:$H,5,0)</f>
        <v>000000000000000</v>
      </c>
      <c r="R98" s="178" t="str">
        <f t="shared" si="12"/>
        <v>OK</v>
      </c>
    </row>
    <row r="99" spans="1:20">
      <c r="A99" s="263"/>
      <c r="B99" s="429">
        <f t="shared" si="14"/>
        <v>1921</v>
      </c>
      <c r="C99" s="429">
        <f t="shared" si="15"/>
        <v>1926</v>
      </c>
      <c r="D99" s="430" t="str">
        <f t="shared" si="8"/>
        <v>A3046</v>
      </c>
      <c r="E99" s="430" t="str">
        <f>VLOOKUP(D99,'RCLIPS송신(일사천리론)_최종'!$B:$E,4,0)</f>
        <v>(채무불이행-신용정보사)미해제등록 총 건수</v>
      </c>
      <c r="F99" s="430" t="str">
        <f>VLOOKUP(D99,'RCLIPS송신(일사천리론)_최종'!$B:$D,2,0)</f>
        <v>Numeric</v>
      </c>
      <c r="G99" s="430">
        <f>VLOOKUP($D99,'RCLIPS송신(일사천리론)_최종'!$B:$D,3,0)</f>
        <v>9</v>
      </c>
      <c r="H99" s="430" t="str">
        <f t="shared" si="9"/>
        <v>000000000000000</v>
      </c>
      <c r="I99" s="263" t="str">
        <f t="shared" si="10"/>
        <v>S0007</v>
      </c>
      <c r="J99" s="263" t="str">
        <f>VLOOKUP($I99,'RCLIPS수신(일사천리론)_최종'!$C:$F,2,0)</f>
        <v>평점표항목7 항목값</v>
      </c>
      <c r="K99" s="263" t="str">
        <f>VLOOKUP($I99,'RCLIPS수신(일사천리론)_최종'!$C:$F,3,0)</f>
        <v>Numeric</v>
      </c>
      <c r="L99" s="263">
        <f>VLOOKUP($I99,'RCLIPS수신(일사천리론)_최종'!$C:$F,4,0)</f>
        <v>20</v>
      </c>
      <c r="M99" s="263" t="str">
        <f t="shared" si="11"/>
        <v>000000000000000</v>
      </c>
      <c r="Q99" s="178" t="str">
        <f>VLOOKUP(D99,[3]R클립스송수신결과!$D:$H,5,0)</f>
        <v>000000000000000</v>
      </c>
      <c r="R99" s="178" t="str">
        <f t="shared" si="12"/>
        <v>OK</v>
      </c>
      <c r="S99" s="178" t="s">
        <v>5771</v>
      </c>
      <c r="T99" s="178" t="s">
        <v>5772</v>
      </c>
    </row>
    <row r="100" spans="1:20">
      <c r="A100" s="263"/>
      <c r="B100" s="429">
        <f t="shared" si="14"/>
        <v>1941</v>
      </c>
      <c r="C100" s="429">
        <f t="shared" si="15"/>
        <v>1946</v>
      </c>
      <c r="D100" s="430" t="str">
        <f t="shared" si="8"/>
        <v>A3047</v>
      </c>
      <c r="E100" s="430" t="str">
        <f>VLOOKUP(D100,'RCLIPS송신(일사천리론)_최종'!$B:$E,4,0)</f>
        <v>미해제 연체 총 건수</v>
      </c>
      <c r="F100" s="430" t="str">
        <f>VLOOKUP(D100,'RCLIPS송신(일사천리론)_최종'!$B:$D,2,0)</f>
        <v>Numeric</v>
      </c>
      <c r="G100" s="430">
        <f>VLOOKUP($D100,'RCLIPS송신(일사천리론)_최종'!$B:$D,3,0)</f>
        <v>9</v>
      </c>
      <c r="H100" s="430" t="str">
        <f t="shared" si="9"/>
        <v>000000000000000</v>
      </c>
      <c r="I100" s="263" t="str">
        <f t="shared" si="10"/>
        <v>S0008</v>
      </c>
      <c r="J100" s="263" t="str">
        <f>VLOOKUP($I100,'RCLIPS수신(일사천리론)_최종'!$C:$F,2,0)</f>
        <v>평점표항목8 항목값</v>
      </c>
      <c r="K100" s="263" t="str">
        <f>VLOOKUP($I100,'RCLIPS수신(일사천리론)_최종'!$C:$F,3,0)</f>
        <v>Numeric</v>
      </c>
      <c r="L100" s="263">
        <f>VLOOKUP($I100,'RCLIPS수신(일사천리론)_최종'!$C:$F,4,0)</f>
        <v>20</v>
      </c>
      <c r="M100" s="263" t="str">
        <f t="shared" si="11"/>
        <v>000000000000000</v>
      </c>
      <c r="Q100" s="178" t="str">
        <f>VLOOKUP(D100,[3]R클립스송수신결과!$D:$H,5,0)</f>
        <v>000000000000000</v>
      </c>
      <c r="R100" s="178" t="str">
        <f t="shared" si="12"/>
        <v>OK</v>
      </c>
    </row>
    <row r="101" spans="1:20">
      <c r="A101" s="263"/>
      <c r="B101" s="429">
        <f t="shared" si="14"/>
        <v>1961</v>
      </c>
      <c r="C101" s="429">
        <f t="shared" si="15"/>
        <v>1966</v>
      </c>
      <c r="D101" s="430" t="str">
        <f t="shared" si="8"/>
        <v>A3048</v>
      </c>
      <c r="E101" s="430" t="str">
        <f>VLOOKUP(D101,'RCLIPS송신(일사천리론)_최종'!$B:$E,4,0)</f>
        <v>미해제 총 연체 금액</v>
      </c>
      <c r="F101" s="430" t="str">
        <f>VLOOKUP(D101,'RCLIPS송신(일사천리론)_최종'!$B:$D,2,0)</f>
        <v>Numeric</v>
      </c>
      <c r="G101" s="430">
        <f>VLOOKUP($D101,'RCLIPS송신(일사천리론)_최종'!$B:$D,3,0)</f>
        <v>9</v>
      </c>
      <c r="H101" s="430" t="str">
        <f t="shared" si="9"/>
        <v>000000000000000</v>
      </c>
      <c r="I101" s="263" t="str">
        <f t="shared" si="10"/>
        <v>S0009</v>
      </c>
      <c r="J101" s="263" t="str">
        <f>VLOOKUP($I101,'RCLIPS수신(일사천리론)_최종'!$C:$F,2,0)</f>
        <v>평점표항목9 항목값</v>
      </c>
      <c r="K101" s="263" t="str">
        <f>VLOOKUP($I101,'RCLIPS수신(일사천리론)_최종'!$C:$F,3,0)</f>
        <v>Numeric</v>
      </c>
      <c r="L101" s="263">
        <f>VLOOKUP($I101,'RCLIPS수신(일사천리론)_최종'!$C:$F,4,0)</f>
        <v>20</v>
      </c>
      <c r="M101" s="263" t="str">
        <f t="shared" si="11"/>
        <v>000000000000000</v>
      </c>
      <c r="Q101" s="178" t="str">
        <f>VLOOKUP(D101,[3]R클립스송수신결과!$D:$H,5,0)</f>
        <v>000000000000000</v>
      </c>
      <c r="R101" s="178" t="str">
        <f t="shared" si="12"/>
        <v>OK</v>
      </c>
    </row>
    <row r="102" spans="1:20">
      <c r="A102" s="263"/>
      <c r="B102" s="429">
        <f t="shared" si="14"/>
        <v>1981</v>
      </c>
      <c r="C102" s="429">
        <f t="shared" si="15"/>
        <v>1986</v>
      </c>
      <c r="D102" s="430" t="str">
        <f t="shared" si="8"/>
        <v>A3049</v>
      </c>
      <c r="E102" s="430" t="str">
        <f>VLOOKUP(D102,'RCLIPS송신(일사천리론)_최종'!$B:$E,4,0)</f>
        <v>최근1개월내 총 연체금액(최초연체발생일기준)</v>
      </c>
      <c r="F102" s="430" t="str">
        <f>VLOOKUP(D102,'RCLIPS송신(일사천리론)_최종'!$B:$D,2,0)</f>
        <v>Numeric</v>
      </c>
      <c r="G102" s="430">
        <f>VLOOKUP($D102,'RCLIPS송신(일사천리론)_최종'!$B:$D,3,0)</f>
        <v>9</v>
      </c>
      <c r="H102" s="430" t="str">
        <f t="shared" si="9"/>
        <v>000000000000000</v>
      </c>
      <c r="I102" s="263" t="str">
        <f t="shared" si="10"/>
        <v>S0010</v>
      </c>
      <c r="J102" s="263" t="str">
        <f>VLOOKUP($I102,'RCLIPS수신(일사천리론)_최종'!$C:$F,2,0)</f>
        <v>평점표항목10 항목값</v>
      </c>
      <c r="K102" s="263" t="str">
        <f>VLOOKUP($I102,'RCLIPS수신(일사천리론)_최종'!$C:$F,3,0)</f>
        <v>Numeric</v>
      </c>
      <c r="L102" s="263">
        <f>VLOOKUP($I102,'RCLIPS수신(일사천리론)_최종'!$C:$F,4,0)</f>
        <v>20</v>
      </c>
      <c r="M102" s="263" t="str">
        <f t="shared" si="11"/>
        <v>000000000000000</v>
      </c>
      <c r="Q102" s="178" t="str">
        <f>VLOOKUP(D102,[3]R클립스송수신결과!$D:$H,5,0)</f>
        <v>000000000000000</v>
      </c>
      <c r="R102" s="178" t="str">
        <f t="shared" si="12"/>
        <v>OK</v>
      </c>
    </row>
    <row r="103" spans="1:20">
      <c r="A103" s="263"/>
      <c r="B103" s="429">
        <f t="shared" si="14"/>
        <v>2001</v>
      </c>
      <c r="C103" s="429">
        <f t="shared" si="15"/>
        <v>2006</v>
      </c>
      <c r="D103" s="430" t="str">
        <f t="shared" si="8"/>
        <v>A3050</v>
      </c>
      <c r="E103" s="430" t="str">
        <f>VLOOKUP(D103,'RCLIPS송신(일사천리론)_최종'!$B:$E,4,0)</f>
        <v>최근3개월내 총 연체금액(최초연체발생일기준)</v>
      </c>
      <c r="F103" s="430" t="str">
        <f>VLOOKUP(D103,'RCLIPS송신(일사천리론)_최종'!$B:$D,2,0)</f>
        <v>Numeric</v>
      </c>
      <c r="G103" s="430">
        <f>VLOOKUP($D103,'RCLIPS송신(일사천리론)_최종'!$B:$D,3,0)</f>
        <v>9</v>
      </c>
      <c r="H103" s="430" t="str">
        <f t="shared" si="9"/>
        <v>000000000000000</v>
      </c>
      <c r="I103" s="263" t="str">
        <f t="shared" si="10"/>
        <v>S0011</v>
      </c>
      <c r="J103" s="263" t="str">
        <f>VLOOKUP($I103,'RCLIPS수신(일사천리론)_최종'!$C:$F,2,0)</f>
        <v>평점표항목11 항목값</v>
      </c>
      <c r="K103" s="263" t="str">
        <f>VLOOKUP($I103,'RCLIPS수신(일사천리론)_최종'!$C:$F,3,0)</f>
        <v>Numeric</v>
      </c>
      <c r="L103" s="263">
        <f>VLOOKUP($I103,'RCLIPS수신(일사천리론)_최종'!$C:$F,4,0)</f>
        <v>20</v>
      </c>
      <c r="M103" s="263" t="str">
        <f t="shared" si="11"/>
        <v>000000000000000</v>
      </c>
      <c r="Q103" s="178" t="str">
        <f>VLOOKUP(D103,[3]R클립스송수신결과!$D:$H,5,0)</f>
        <v>000000000000000</v>
      </c>
      <c r="R103" s="178" t="str">
        <f t="shared" si="12"/>
        <v>OK</v>
      </c>
    </row>
    <row r="104" spans="1:20">
      <c r="A104" s="263"/>
      <c r="B104" s="429">
        <f t="shared" si="14"/>
        <v>2021</v>
      </c>
      <c r="C104" s="429">
        <f t="shared" si="15"/>
        <v>2026</v>
      </c>
      <c r="D104" s="430" t="str">
        <f t="shared" si="8"/>
        <v>A3051</v>
      </c>
      <c r="E104" s="430" t="str">
        <f>VLOOKUP(D104,'RCLIPS송신(일사천리론)_최종'!$B:$E,4,0)</f>
        <v>NICE CB등급</v>
      </c>
      <c r="F104" s="430" t="str">
        <f>VLOOKUP(D104,'RCLIPS송신(일사천리론)_최종'!$B:$D,2,0)</f>
        <v>Numeric</v>
      </c>
      <c r="G104" s="430">
        <f>VLOOKUP($D104,'RCLIPS송신(일사천리론)_최종'!$B:$D,3,0)</f>
        <v>4</v>
      </c>
      <c r="H104" s="430" t="str">
        <f t="shared" si="9"/>
        <v>000000000000003</v>
      </c>
      <c r="I104" s="263" t="str">
        <f t="shared" si="10"/>
        <v>S0012</v>
      </c>
      <c r="J104" s="263" t="e">
        <f>VLOOKUP($I104,'RCLIPS수신(일사천리론)_최종'!$C:$F,2,0)</f>
        <v>#N/A</v>
      </c>
      <c r="K104" s="263" t="e">
        <f>VLOOKUP($I104,'RCLIPS수신(일사천리론)_최종'!$C:$F,3,0)</f>
        <v>#N/A</v>
      </c>
      <c r="L104" s="263" t="e">
        <f>VLOOKUP($I104,'RCLIPS수신(일사천리론)_최종'!$C:$F,4,0)</f>
        <v>#N/A</v>
      </c>
      <c r="M104" s="263" t="str">
        <f t="shared" si="11"/>
        <v>000000000000000</v>
      </c>
      <c r="Q104" s="178" t="str">
        <f>VLOOKUP(D104,[3]R클립스송수신결과!$D:$H,5,0)</f>
        <v>000000000000006</v>
      </c>
      <c r="R104" s="178" t="str">
        <f t="shared" si="12"/>
        <v>NOT OK</v>
      </c>
    </row>
    <row r="105" spans="1:20">
      <c r="A105" s="263"/>
      <c r="B105" s="429">
        <f t="shared" si="14"/>
        <v>2041</v>
      </c>
      <c r="C105" s="429">
        <f t="shared" si="15"/>
        <v>2046</v>
      </c>
      <c r="D105" s="430" t="str">
        <f t="shared" si="8"/>
        <v>A3052</v>
      </c>
      <c r="E105" s="430" t="str">
        <f>VLOOKUP(D105,'RCLIPS송신(일사천리론)_최종'!$B:$E,4,0)</f>
        <v>Sub-prime부실예측모형 등급</v>
      </c>
      <c r="F105" s="430" t="str">
        <f>VLOOKUP(D105,'RCLIPS송신(일사천리론)_최종'!$B:$D,2,0)</f>
        <v>Numeric</v>
      </c>
      <c r="G105" s="430">
        <f>VLOOKUP($D105,'RCLIPS송신(일사천리론)_최종'!$B:$D,3,0)</f>
        <v>4</v>
      </c>
      <c r="H105" s="430" t="str">
        <f t="shared" si="9"/>
        <v>000000000000002</v>
      </c>
      <c r="I105" s="263" t="str">
        <f t="shared" si="10"/>
        <v>S0013</v>
      </c>
      <c r="J105" s="263" t="e">
        <f>VLOOKUP($I105,'RCLIPS수신(일사천리론)_최종'!$C:$F,2,0)</f>
        <v>#N/A</v>
      </c>
      <c r="K105" s="263" t="e">
        <f>VLOOKUP($I105,'RCLIPS수신(일사천리론)_최종'!$C:$F,3,0)</f>
        <v>#N/A</v>
      </c>
      <c r="L105" s="263" t="e">
        <f>VLOOKUP($I105,'RCLIPS수신(일사천리론)_최종'!$C:$F,4,0)</f>
        <v>#N/A</v>
      </c>
      <c r="M105" s="263" t="str">
        <f t="shared" si="11"/>
        <v>000000000000000</v>
      </c>
      <c r="Q105" s="178" t="str">
        <f>VLOOKUP(D105,[3]R클립스송수신결과!$D:$H,5,0)</f>
        <v>000000000000003</v>
      </c>
      <c r="R105" s="178" t="str">
        <f t="shared" si="12"/>
        <v>NOT OK</v>
      </c>
    </row>
    <row r="106" spans="1:20">
      <c r="A106" s="263"/>
      <c r="B106" s="429">
        <f t="shared" si="14"/>
        <v>2061</v>
      </c>
      <c r="C106" s="429">
        <f t="shared" si="15"/>
        <v>2066</v>
      </c>
      <c r="D106" s="430" t="str">
        <f t="shared" si="8"/>
        <v>A3053</v>
      </c>
      <c r="E106" s="430" t="str">
        <f>VLOOKUP(D106,'RCLIPS송신(일사천리론)_최종'!$B:$E,4,0)</f>
        <v>NICE DeP등급</v>
      </c>
      <c r="F106" s="430" t="str">
        <f>VLOOKUP(D106,'RCLIPS송신(일사천리론)_최종'!$B:$D,2,0)</f>
        <v>Numeric</v>
      </c>
      <c r="G106" s="430">
        <f>VLOOKUP($D106,'RCLIPS송신(일사천리론)_최종'!$B:$D,3,0)</f>
        <v>4</v>
      </c>
      <c r="H106" s="430" t="str">
        <f t="shared" si="9"/>
        <v>000000000000006</v>
      </c>
      <c r="I106" s="263" t="str">
        <f t="shared" si="10"/>
        <v>S0014</v>
      </c>
      <c r="J106" s="263" t="e">
        <f>VLOOKUP($I106,'RCLIPS수신(일사천리론)_최종'!$C:$F,2,0)</f>
        <v>#N/A</v>
      </c>
      <c r="K106" s="263" t="e">
        <f>VLOOKUP($I106,'RCLIPS수신(일사천리론)_최종'!$C:$F,3,0)</f>
        <v>#N/A</v>
      </c>
      <c r="L106" s="263" t="e">
        <f>VLOOKUP($I106,'RCLIPS수신(일사천리론)_최종'!$C:$F,4,0)</f>
        <v>#N/A</v>
      </c>
      <c r="M106" s="263" t="str">
        <f t="shared" si="11"/>
        <v>000000000000000</v>
      </c>
      <c r="Q106" s="178" t="str">
        <f>VLOOKUP(D106,[3]R클립스송수신결과!$D:$H,5,0)</f>
        <v>000000000000007</v>
      </c>
      <c r="R106" s="178" t="str">
        <f t="shared" si="12"/>
        <v>NOT OK</v>
      </c>
    </row>
    <row r="107" spans="1:20">
      <c r="A107" s="263"/>
      <c r="B107" s="429">
        <f t="shared" si="14"/>
        <v>2081</v>
      </c>
      <c r="C107" s="429">
        <f t="shared" si="15"/>
        <v>2086</v>
      </c>
      <c r="D107" s="430" t="str">
        <f t="shared" si="8"/>
        <v>A3054</v>
      </c>
      <c r="E107" s="430" t="str">
        <f>VLOOKUP(D107,'RCLIPS송신(일사천리론)_최종'!$B:$E,4,0)</f>
        <v>PI등급 2.0버젼</v>
      </c>
      <c r="F107" s="430" t="str">
        <f>VLOOKUP(D107,'RCLIPS송신(일사천리론)_최종'!$B:$D,2,0)</f>
        <v>Numeric</v>
      </c>
      <c r="G107" s="430">
        <f>VLOOKUP($D107,'RCLIPS송신(일사천리론)_최종'!$B:$D,3,0)</f>
        <v>4</v>
      </c>
      <c r="H107" s="430" t="str">
        <f t="shared" si="9"/>
        <v>000000000000003</v>
      </c>
      <c r="I107" s="263" t="str">
        <f t="shared" si="10"/>
        <v>S0015</v>
      </c>
      <c r="J107" s="263" t="e">
        <f>VLOOKUP($I107,'RCLIPS수신(일사천리론)_최종'!$C:$F,2,0)</f>
        <v>#N/A</v>
      </c>
      <c r="K107" s="263" t="e">
        <f>VLOOKUP($I107,'RCLIPS수신(일사천리론)_최종'!$C:$F,3,0)</f>
        <v>#N/A</v>
      </c>
      <c r="L107" s="263" t="e">
        <f>VLOOKUP($I107,'RCLIPS수신(일사천리론)_최종'!$C:$F,4,0)</f>
        <v>#N/A</v>
      </c>
      <c r="M107" s="263" t="str">
        <f t="shared" si="11"/>
        <v>000000000003940</v>
      </c>
      <c r="Q107" s="178" t="str">
        <f>VLOOKUP(D107,[3]R클립스송수신결과!$D:$H,5,0)</f>
        <v>000000000000002</v>
      </c>
      <c r="R107" s="178" t="str">
        <f t="shared" si="12"/>
        <v>NOT OK</v>
      </c>
      <c r="S107" s="178" t="s">
        <v>5769</v>
      </c>
      <c r="T107" s="178" t="s">
        <v>5773</v>
      </c>
    </row>
    <row r="108" spans="1:20">
      <c r="A108" s="263"/>
      <c r="B108" s="429">
        <f t="shared" si="14"/>
        <v>2101</v>
      </c>
      <c r="C108" s="429">
        <f t="shared" si="15"/>
        <v>2106</v>
      </c>
      <c r="D108" s="430" t="str">
        <f t="shared" si="8"/>
        <v>A3055</v>
      </c>
      <c r="E108" s="430" t="str">
        <f>VLOOKUP(D108,'RCLIPS송신(일사천리론)_최종'!$B:$E,4,0)</f>
        <v>PI플러스스코어</v>
      </c>
      <c r="F108" s="430" t="str">
        <f>VLOOKUP(D108,'RCLIPS송신(일사천리론)_최종'!$B:$D,2,0)</f>
        <v>Numeric</v>
      </c>
      <c r="G108" s="430">
        <f>VLOOKUP($D108,'RCLIPS송신(일사천리론)_최종'!$B:$D,3,0)</f>
        <v>4</v>
      </c>
      <c r="H108" s="430" t="str">
        <f t="shared" si="9"/>
        <v>000000000000004</v>
      </c>
      <c r="I108" s="263" t="str">
        <f t="shared" si="10"/>
        <v>S0016</v>
      </c>
      <c r="J108" s="263" t="e">
        <f>VLOOKUP($I108,'RCLIPS수신(일사천리론)_최종'!$C:$F,2,0)</f>
        <v>#N/A</v>
      </c>
      <c r="K108" s="263" t="e">
        <f>VLOOKUP($I108,'RCLIPS수신(일사천리론)_최종'!$C:$F,3,0)</f>
        <v>#N/A</v>
      </c>
      <c r="L108" s="263" t="e">
        <f>VLOOKUP($I108,'RCLIPS수신(일사천리론)_최종'!$C:$F,4,0)</f>
        <v>#N/A</v>
      </c>
      <c r="M108" s="263" t="str">
        <f t="shared" si="11"/>
        <v>000000000001887</v>
      </c>
      <c r="Q108" s="178" t="str">
        <f>VLOOKUP(D108,[3]R클립스송수신결과!$D:$H,5,0)</f>
        <v>000000000000002</v>
      </c>
      <c r="R108" s="178" t="str">
        <f t="shared" si="12"/>
        <v>NOT OK</v>
      </c>
    </row>
    <row r="109" spans="1:20">
      <c r="A109" s="263"/>
      <c r="B109" s="429">
        <f t="shared" si="14"/>
        <v>2121</v>
      </c>
      <c r="C109" s="429">
        <f t="shared" si="15"/>
        <v>2126</v>
      </c>
      <c r="D109" s="430" t="str">
        <f t="shared" si="8"/>
        <v>A3056</v>
      </c>
      <c r="E109" s="430" t="str">
        <f>VLOOKUP(D109,'RCLIPS송신(일사천리론)_최종'!$B:$E,4,0)</f>
        <v>실시간 대출 기관수(당사 제외 1영업일 이내 신용대출 기관수)</v>
      </c>
      <c r="F109" s="430" t="str">
        <f>VLOOKUP(D109,'RCLIPS송신(일사천리론)_최종'!$B:$D,2,0)</f>
        <v>Numeric</v>
      </c>
      <c r="G109" s="430">
        <f>VLOOKUP($D109,'RCLIPS송신(일사천리론)_최종'!$B:$D,3,0)</f>
        <v>9</v>
      </c>
      <c r="H109" s="430" t="str">
        <f t="shared" si="9"/>
        <v>000000000000000</v>
      </c>
      <c r="I109" s="263" t="str">
        <f t="shared" si="10"/>
        <v>S0017</v>
      </c>
      <c r="J109" s="263" t="e">
        <f>VLOOKUP($I109,'RCLIPS수신(일사천리론)_최종'!$C:$F,2,0)</f>
        <v>#N/A</v>
      </c>
      <c r="K109" s="263" t="e">
        <f>VLOOKUP($I109,'RCLIPS수신(일사천리론)_최종'!$C:$F,3,0)</f>
        <v>#N/A</v>
      </c>
      <c r="L109" s="263" t="e">
        <f>VLOOKUP($I109,'RCLIPS수신(일사천리론)_최종'!$C:$F,4,0)</f>
        <v>#N/A</v>
      </c>
      <c r="M109" s="263" t="str">
        <f t="shared" si="11"/>
        <v>000000000000000</v>
      </c>
      <c r="Q109" s="178" t="str">
        <f>VLOOKUP(D109,[3]R클립스송수신결과!$D:$H,5,0)</f>
        <v>000000000000000</v>
      </c>
      <c r="R109" s="178" t="str">
        <f t="shared" si="12"/>
        <v>OK</v>
      </c>
    </row>
    <row r="110" spans="1:20">
      <c r="A110" s="263"/>
      <c r="B110" s="429">
        <f t="shared" si="14"/>
        <v>2141</v>
      </c>
      <c r="C110" s="429">
        <f t="shared" si="15"/>
        <v>2146</v>
      </c>
      <c r="D110" s="430" t="str">
        <f t="shared" si="8"/>
        <v>A3057</v>
      </c>
      <c r="E110" s="430" t="str">
        <f>VLOOKUP(D110,'RCLIPS송신(일사천리론)_최종'!$B:$E,4,0)</f>
        <v>전은연대출 연간원리금상환금액(기준2)</v>
      </c>
      <c r="F110" s="430" t="str">
        <f>VLOOKUP(D110,'RCLIPS송신(일사천리론)_최종'!$B:$D,2,0)</f>
        <v>Numeric</v>
      </c>
      <c r="G110" s="430">
        <f>VLOOKUP($D110,'RCLIPS송신(일사천리론)_최종'!$B:$D,3,0)</f>
        <v>9</v>
      </c>
      <c r="H110" s="430" t="str">
        <f t="shared" si="9"/>
        <v>000000000002717</v>
      </c>
      <c r="I110" s="263" t="str">
        <f t="shared" si="10"/>
        <v>S0018</v>
      </c>
      <c r="J110" s="263" t="e">
        <f>VLOOKUP($I110,'RCLIPS수신(일사천리론)_최종'!$C:$F,2,0)</f>
        <v>#N/A</v>
      </c>
      <c r="K110" s="263" t="e">
        <f>VLOOKUP($I110,'RCLIPS수신(일사천리론)_최종'!$C:$F,3,0)</f>
        <v>#N/A</v>
      </c>
      <c r="L110" s="263" t="e">
        <f>VLOOKUP($I110,'RCLIPS수신(일사천리론)_최종'!$C:$F,4,0)</f>
        <v>#N/A</v>
      </c>
      <c r="M110" s="263" t="str">
        <f t="shared" si="11"/>
        <v>000000000000000</v>
      </c>
      <c r="Q110" s="178" t="str">
        <f>VLOOKUP(D110,[3]R클립스송수신결과!$D:$H,5,0)</f>
        <v>000000000000000</v>
      </c>
      <c r="R110" s="178" t="str">
        <f t="shared" si="12"/>
        <v>NOT OK</v>
      </c>
    </row>
    <row r="111" spans="1:20">
      <c r="A111" s="263"/>
      <c r="B111" s="429">
        <f t="shared" si="14"/>
        <v>2161</v>
      </c>
      <c r="C111" s="429">
        <f t="shared" si="15"/>
        <v>2166</v>
      </c>
      <c r="D111" s="430" t="str">
        <f t="shared" si="8"/>
        <v>A3064</v>
      </c>
      <c r="E111" s="430" t="str">
        <f>VLOOKUP(D111,'RCLIPS송신(일사천리론)_최종'!$B:$E,4,0)</f>
        <v>NICE SOHO등급</v>
      </c>
      <c r="F111" s="430" t="str">
        <f>VLOOKUP(D111,'RCLIPS송신(일사천리론)_최종'!$B:$D,2,0)</f>
        <v>Numeric</v>
      </c>
      <c r="G111" s="430">
        <f>VLOOKUP($D111,'RCLIPS송신(일사천리론)_최종'!$B:$D,3,0)</f>
        <v>4</v>
      </c>
      <c r="H111" s="430" t="str">
        <f t="shared" si="9"/>
        <v>000000000000000</v>
      </c>
      <c r="I111" s="263" t="str">
        <f t="shared" si="10"/>
        <v>S0019</v>
      </c>
      <c r="J111" s="263" t="e">
        <f>VLOOKUP($I111,'RCLIPS수신(일사천리론)_최종'!$C:$F,2,0)</f>
        <v>#N/A</v>
      </c>
      <c r="K111" s="263" t="e">
        <f>VLOOKUP($I111,'RCLIPS수신(일사천리론)_최종'!$C:$F,3,0)</f>
        <v>#N/A</v>
      </c>
      <c r="L111" s="263" t="e">
        <f>VLOOKUP($I111,'RCLIPS수신(일사천리론)_최종'!$C:$F,4,0)</f>
        <v>#N/A</v>
      </c>
      <c r="M111" s="263" t="str">
        <f t="shared" si="11"/>
        <v>000000000000000</v>
      </c>
      <c r="Q111" s="178" t="e">
        <f>VLOOKUP(D111,[3]R클립스송수신결과!$D:$H,5,0)</f>
        <v>#N/A</v>
      </c>
      <c r="R111" s="178" t="str">
        <f t="shared" si="12"/>
        <v>TOBE ONLY</v>
      </c>
    </row>
    <row r="112" spans="1:20">
      <c r="A112" s="263"/>
      <c r="B112" s="429">
        <f t="shared" si="14"/>
        <v>2181</v>
      </c>
      <c r="C112" s="429">
        <f t="shared" si="15"/>
        <v>2186</v>
      </c>
      <c r="D112" s="430" t="str">
        <f t="shared" si="8"/>
        <v>A3065</v>
      </c>
      <c r="E112" s="430" t="str">
        <f>VLOOKUP(D112,'RCLIPS송신(일사천리론)_최종'!$B:$E,4,0)</f>
        <v>NICE동시대출건수</v>
      </c>
      <c r="F112" s="430" t="str">
        <f>VLOOKUP(D112,'RCLIPS송신(일사천리론)_최종'!$B:$D,2,0)</f>
        <v>Numeric</v>
      </c>
      <c r="G112" s="430">
        <f>VLOOKUP($D112,'RCLIPS송신(일사천리론)_최종'!$B:$D,3,0)</f>
        <v>9</v>
      </c>
      <c r="H112" s="430" t="str">
        <f t="shared" si="9"/>
        <v>000000000000000</v>
      </c>
      <c r="I112" s="263" t="str">
        <f t="shared" si="10"/>
        <v>S0020</v>
      </c>
      <c r="J112" s="263" t="e">
        <f>VLOOKUP($I112,'RCLIPS수신(일사천리론)_최종'!$C:$F,2,0)</f>
        <v>#N/A</v>
      </c>
      <c r="K112" s="263" t="e">
        <f>VLOOKUP($I112,'RCLIPS수신(일사천리론)_최종'!$C:$F,3,0)</f>
        <v>#N/A</v>
      </c>
      <c r="L112" s="263" t="e">
        <f>VLOOKUP($I112,'RCLIPS수신(일사천리론)_최종'!$C:$F,4,0)</f>
        <v>#N/A</v>
      </c>
      <c r="M112" s="263" t="str">
        <f t="shared" si="11"/>
        <v>000000000000000</v>
      </c>
      <c r="Q112" s="178" t="e">
        <f>VLOOKUP(D112,[3]R클립스송수신결과!$D:$H,5,0)</f>
        <v>#N/A</v>
      </c>
      <c r="R112" s="178" t="str">
        <f t="shared" si="12"/>
        <v>TOBE ONLY</v>
      </c>
    </row>
    <row r="113" spans="1:18">
      <c r="A113" s="263"/>
      <c r="B113" s="429">
        <f t="shared" si="14"/>
        <v>2201</v>
      </c>
      <c r="C113" s="429">
        <f t="shared" si="15"/>
        <v>2206</v>
      </c>
      <c r="D113" s="430" t="str">
        <f t="shared" si="8"/>
        <v>A3066</v>
      </c>
      <c r="E113" s="430" t="str">
        <f>VLOOKUP(D113,'RCLIPS송신(일사천리론)_최종'!$B:$E,4,0)</f>
        <v>최종연소득금액</v>
      </c>
      <c r="F113" s="430" t="str">
        <f>VLOOKUP(D113,'RCLIPS송신(일사천리론)_최종'!$B:$D,2,0)</f>
        <v>Numeric</v>
      </c>
      <c r="G113" s="430">
        <f>VLOOKUP($D113,'RCLIPS송신(일사천리론)_최종'!$B:$D,3,0)</f>
        <v>9</v>
      </c>
      <c r="H113" s="430" t="str">
        <f t="shared" si="9"/>
        <v>000000000000000</v>
      </c>
      <c r="I113" s="263" t="str">
        <f t="shared" si="10"/>
        <v>S0021</v>
      </c>
      <c r="J113" s="263" t="e">
        <f>VLOOKUP($I113,'RCLIPS수신(일사천리론)_최종'!$C:$F,2,0)</f>
        <v>#N/A</v>
      </c>
      <c r="K113" s="263" t="e">
        <f>VLOOKUP($I113,'RCLIPS수신(일사천리론)_최종'!$C:$F,3,0)</f>
        <v>#N/A</v>
      </c>
      <c r="L113" s="263" t="e">
        <f>VLOOKUP($I113,'RCLIPS수신(일사천리론)_최종'!$C:$F,4,0)</f>
        <v>#N/A</v>
      </c>
      <c r="M113" s="263" t="str">
        <f t="shared" si="11"/>
        <v>000000999999999</v>
      </c>
      <c r="Q113" s="178" t="e">
        <f>VLOOKUP(D113,[3]R클립스송수신결과!$D:$H,5,0)</f>
        <v>#N/A</v>
      </c>
      <c r="R113" s="178" t="str">
        <f t="shared" si="12"/>
        <v>TOBE ONLY</v>
      </c>
    </row>
    <row r="114" spans="1:18">
      <c r="A114" s="263"/>
      <c r="B114" s="429">
        <f t="shared" si="14"/>
        <v>2221</v>
      </c>
      <c r="C114" s="429">
        <f t="shared" si="15"/>
        <v>2226</v>
      </c>
      <c r="D114" s="430" t="str">
        <f t="shared" si="8"/>
        <v>A3070</v>
      </c>
      <c r="E114" s="430" t="str">
        <f>VLOOKUP(D114,'RCLIPS송신(일사천리론)_최종'!$B:$E,4,0)</f>
        <v>최근1년내은행업계에서등록한최대실연소득금액</v>
      </c>
      <c r="F114" s="430" t="str">
        <f>VLOOKUP(D114,'RCLIPS송신(일사천리론)_최종'!$B:$D,2,0)</f>
        <v>Numeric</v>
      </c>
      <c r="G114" s="430">
        <f>VLOOKUP($D114,'RCLIPS송신(일사천리론)_최종'!$B:$D,3,0)</f>
        <v>9</v>
      </c>
      <c r="H114" s="430" t="str">
        <f t="shared" si="9"/>
        <v>000000000000000</v>
      </c>
      <c r="I114" s="263" t="str">
        <f t="shared" si="10"/>
        <v>S0022</v>
      </c>
      <c r="J114" s="263" t="e">
        <f>VLOOKUP($I114,'RCLIPS수신(일사천리론)_최종'!$C:$F,2,0)</f>
        <v>#N/A</v>
      </c>
      <c r="K114" s="263" t="e">
        <f>VLOOKUP($I114,'RCLIPS수신(일사천리론)_최종'!$C:$F,3,0)</f>
        <v>#N/A</v>
      </c>
      <c r="L114" s="263" t="e">
        <f>VLOOKUP($I114,'RCLIPS수신(일사천리론)_최종'!$C:$F,4,0)</f>
        <v>#N/A</v>
      </c>
      <c r="M114" s="263" t="str">
        <f t="shared" si="11"/>
        <v>000000999999999</v>
      </c>
      <c r="Q114" s="178" t="e">
        <f>VLOOKUP(D114,[3]R클립스송수신결과!$D:$H,5,0)</f>
        <v>#N/A</v>
      </c>
      <c r="R114" s="178" t="str">
        <f t="shared" si="12"/>
        <v>TOBE ONLY</v>
      </c>
    </row>
    <row r="115" spans="1:18">
      <c r="A115" s="263"/>
      <c r="B115" s="429">
        <f t="shared" si="14"/>
        <v>2241</v>
      </c>
      <c r="C115" s="429">
        <f t="shared" si="15"/>
        <v>2246</v>
      </c>
      <c r="D115" s="430" t="str">
        <f t="shared" si="8"/>
        <v>A4001</v>
      </c>
      <c r="E115" s="430" t="str">
        <f>VLOOKUP(D115,'RCLIPS송신(일사천리론)_최종'!$B:$E,4,0)</f>
        <v>K-Score Score</v>
      </c>
      <c r="F115" s="430" t="str">
        <f>VLOOKUP(D115,'RCLIPS송신(일사천리론)_최종'!$B:$D,2,0)</f>
        <v>Numeric</v>
      </c>
      <c r="G115" s="430">
        <f>VLOOKUP($D115,'RCLIPS송신(일사천리론)_최종'!$B:$D,3,0)</f>
        <v>4</v>
      </c>
      <c r="H115" s="430" t="str">
        <f t="shared" si="9"/>
        <v>000000000000938</v>
      </c>
      <c r="I115" s="263" t="str">
        <f t="shared" si="10"/>
        <v>S0023</v>
      </c>
      <c r="J115" s="263" t="e">
        <f>VLOOKUP($I115,'RCLIPS수신(일사천리론)_최종'!$C:$F,2,0)</f>
        <v>#N/A</v>
      </c>
      <c r="K115" s="263" t="e">
        <f>VLOOKUP($I115,'RCLIPS수신(일사천리론)_최종'!$C:$F,3,0)</f>
        <v>#N/A</v>
      </c>
      <c r="L115" s="263" t="e">
        <f>VLOOKUP($I115,'RCLIPS수신(일사천리론)_최종'!$C:$F,4,0)</f>
        <v>#N/A</v>
      </c>
      <c r="M115" s="263" t="str">
        <f t="shared" si="11"/>
        <v>000000000006796</v>
      </c>
      <c r="Q115" s="178" t="str">
        <f>VLOOKUP(D115,[3]R클립스송수신결과!$D:$H,5,0)</f>
        <v>000000000000883</v>
      </c>
      <c r="R115" s="178" t="str">
        <f t="shared" si="12"/>
        <v>NOT OK</v>
      </c>
    </row>
    <row r="116" spans="1:18">
      <c r="A116" s="263"/>
      <c r="B116" s="429">
        <f t="shared" si="14"/>
        <v>2261</v>
      </c>
      <c r="C116" s="429">
        <f t="shared" si="15"/>
        <v>2266</v>
      </c>
      <c r="D116" s="430" t="str">
        <f t="shared" si="8"/>
        <v>A4002</v>
      </c>
      <c r="E116" s="430" t="str">
        <f>VLOOKUP(D116,'RCLIPS송신(일사천리론)_최종'!$B:$E,4,0)</f>
        <v>K-Score Score등급(적용배제)</v>
      </c>
      <c r="F116" s="430" t="str">
        <f>VLOOKUP(D116,'RCLIPS송신(일사천리론)_최종'!$B:$D,2,0)</f>
        <v>Numeric</v>
      </c>
      <c r="G116" s="430">
        <f>VLOOKUP($D116,'RCLIPS송신(일사천리론)_최종'!$B:$D,3,0)</f>
        <v>2</v>
      </c>
      <c r="H116" s="430" t="str">
        <f t="shared" si="9"/>
        <v>000000000000002</v>
      </c>
      <c r="I116" s="263" t="str">
        <f t="shared" si="10"/>
        <v>S0024</v>
      </c>
      <c r="J116" s="263" t="e">
        <f>VLOOKUP($I116,'RCLIPS수신(일사천리론)_최종'!$C:$F,2,0)</f>
        <v>#N/A</v>
      </c>
      <c r="K116" s="263" t="e">
        <f>VLOOKUP($I116,'RCLIPS수신(일사천리론)_최종'!$C:$F,3,0)</f>
        <v>#N/A</v>
      </c>
      <c r="L116" s="263" t="e">
        <f>VLOOKUP($I116,'RCLIPS수신(일사천리론)_최종'!$C:$F,4,0)</f>
        <v>#N/A</v>
      </c>
      <c r="M116" s="263" t="str">
        <f t="shared" si="11"/>
        <v>000000000006796</v>
      </c>
      <c r="Q116" s="178" t="str">
        <f>VLOOKUP(D116,[3]R클립스송수신결과!$D:$H,5,0)</f>
        <v>000000000000003</v>
      </c>
      <c r="R116" s="178" t="str">
        <f t="shared" si="12"/>
        <v>NOT OK</v>
      </c>
    </row>
    <row r="117" spans="1:18">
      <c r="A117" s="263"/>
      <c r="B117" s="429">
        <f t="shared" si="14"/>
        <v>2281</v>
      </c>
      <c r="C117" s="429">
        <f t="shared" si="15"/>
        <v>2286</v>
      </c>
      <c r="D117" s="430" t="str">
        <f t="shared" si="8"/>
        <v>A4003</v>
      </c>
      <c r="E117" s="430" t="str">
        <f>VLOOKUP(D117,'RCLIPS송신(일사천리론)_최종'!$B:$E,4,0)</f>
        <v>채무불이행(신용정보사)건수(미해제)</v>
      </c>
      <c r="F117" s="430" t="str">
        <f>VLOOKUP(D117,'RCLIPS송신(일사천리론)_최종'!$B:$D,2,0)</f>
        <v>Numeric</v>
      </c>
      <c r="G117" s="430">
        <f>VLOOKUP($D117,'RCLIPS송신(일사천리론)_최종'!$B:$D,3,0)</f>
        <v>3</v>
      </c>
      <c r="H117" s="430" t="str">
        <f t="shared" si="9"/>
        <v>000000000000000</v>
      </c>
      <c r="I117" s="263" t="str">
        <f t="shared" si="10"/>
        <v>S0025</v>
      </c>
      <c r="J117" s="263" t="e">
        <f>VLOOKUP($I117,'RCLIPS수신(일사천리론)_최종'!$C:$F,2,0)</f>
        <v>#N/A</v>
      </c>
      <c r="K117" s="263" t="e">
        <f>VLOOKUP($I117,'RCLIPS수신(일사천리론)_최종'!$C:$F,3,0)</f>
        <v>#N/A</v>
      </c>
      <c r="L117" s="263" t="e">
        <f>VLOOKUP($I117,'RCLIPS수신(일사천리론)_최종'!$C:$F,4,0)</f>
        <v>#N/A</v>
      </c>
      <c r="M117" s="263" t="str">
        <f t="shared" si="11"/>
        <v>000000000000000</v>
      </c>
      <c r="Q117" s="178" t="str">
        <f>VLOOKUP(D117,[3]R클립스송수신결과!$D:$H,5,0)</f>
        <v>000000000000000</v>
      </c>
      <c r="R117" s="178" t="str">
        <f t="shared" si="12"/>
        <v>OK</v>
      </c>
    </row>
    <row r="118" spans="1:18">
      <c r="A118" s="263"/>
      <c r="B118" s="429">
        <f t="shared" si="14"/>
        <v>2301</v>
      </c>
      <c r="C118" s="429">
        <f t="shared" si="15"/>
        <v>2306</v>
      </c>
      <c r="D118" s="430" t="str">
        <f t="shared" si="8"/>
        <v>A4004</v>
      </c>
      <c r="E118" s="430" t="str">
        <f>VLOOKUP(D118,'RCLIPS송신(일사천리론)_최종'!$B:$E,4,0)</f>
        <v>연체건수(미해제)(대지급포함)</v>
      </c>
      <c r="F118" s="430" t="str">
        <f>VLOOKUP(D118,'RCLIPS송신(일사천리론)_최종'!$B:$D,2,0)</f>
        <v>Numeric</v>
      </c>
      <c r="G118" s="430">
        <f>VLOOKUP($D118,'RCLIPS송신(일사천리론)_최종'!$B:$D,3,0)</f>
        <v>3</v>
      </c>
      <c r="H118" s="430" t="str">
        <f t="shared" si="9"/>
        <v>000000000000000</v>
      </c>
      <c r="I118" s="263" t="str">
        <f t="shared" si="10"/>
        <v>S0026</v>
      </c>
      <c r="J118" s="263" t="e">
        <f>VLOOKUP($I118,'RCLIPS수신(일사천리론)_최종'!$C:$F,2,0)</f>
        <v>#N/A</v>
      </c>
      <c r="K118" s="263" t="e">
        <f>VLOOKUP($I118,'RCLIPS수신(일사천리론)_최종'!$C:$F,3,0)</f>
        <v>#N/A</v>
      </c>
      <c r="L118" s="263" t="e">
        <f>VLOOKUP($I118,'RCLIPS수신(일사천리론)_최종'!$C:$F,4,0)</f>
        <v>#N/A</v>
      </c>
      <c r="M118" s="263" t="str">
        <f t="shared" si="11"/>
        <v>000000999999999</v>
      </c>
      <c r="Q118" s="178" t="str">
        <f>VLOOKUP(D118,[3]R클립스송수신결과!$D:$H,5,0)</f>
        <v>000000000000000</v>
      </c>
      <c r="R118" s="178" t="str">
        <f t="shared" si="12"/>
        <v>OK</v>
      </c>
    </row>
    <row r="119" spans="1:18">
      <c r="A119" s="263"/>
      <c r="B119" s="429">
        <f t="shared" si="14"/>
        <v>2321</v>
      </c>
      <c r="C119" s="429">
        <f t="shared" si="15"/>
        <v>2326</v>
      </c>
      <c r="D119" s="430" t="str">
        <f t="shared" si="8"/>
        <v>A4005</v>
      </c>
      <c r="E119" s="430" t="str">
        <f>VLOOKUP(D119,'RCLIPS송신(일사천리론)_최종'!$B:$E,4,0)</f>
        <v>총연체금액(미해제)(대지급포함)</v>
      </c>
      <c r="F119" s="430" t="str">
        <f>VLOOKUP(D119,'RCLIPS송신(일사천리론)_최종'!$B:$D,2,0)</f>
        <v>Numeric</v>
      </c>
      <c r="G119" s="430">
        <f>VLOOKUP($D119,'RCLIPS송신(일사천리론)_최종'!$B:$D,3,0)</f>
        <v>9</v>
      </c>
      <c r="H119" s="430" t="str">
        <f t="shared" si="9"/>
        <v>000000000000000</v>
      </c>
      <c r="I119" s="263" t="str">
        <f t="shared" si="10"/>
        <v>S0027</v>
      </c>
      <c r="J119" s="263" t="e">
        <f>VLOOKUP($I119,'RCLIPS수신(일사천리론)_최종'!$C:$F,2,0)</f>
        <v>#N/A</v>
      </c>
      <c r="K119" s="263" t="e">
        <f>VLOOKUP($I119,'RCLIPS수신(일사천리론)_최종'!$C:$F,3,0)</f>
        <v>#N/A</v>
      </c>
      <c r="L119" s="263" t="e">
        <f>VLOOKUP($I119,'RCLIPS수신(일사천리론)_최종'!$C:$F,4,0)</f>
        <v>#N/A</v>
      </c>
      <c r="M119" s="263" t="str">
        <f t="shared" si="11"/>
        <v>000000999999999</v>
      </c>
      <c r="Q119" s="178" t="str">
        <f>VLOOKUP(D119,[3]R클립스송수신결과!$D:$H,5,0)</f>
        <v>000000000000000</v>
      </c>
      <c r="R119" s="178" t="str">
        <f t="shared" si="12"/>
        <v>OK</v>
      </c>
    </row>
    <row r="120" spans="1:18">
      <c r="A120" s="263"/>
      <c r="B120" s="429">
        <f t="shared" si="14"/>
        <v>2341</v>
      </c>
      <c r="C120" s="429">
        <f t="shared" si="15"/>
        <v>2346</v>
      </c>
      <c r="D120" s="430" t="str">
        <f t="shared" si="8"/>
        <v>A4006</v>
      </c>
      <c r="E120" s="430" t="str">
        <f>VLOOKUP(D120,'RCLIPS송신(일사천리론)_최종'!$B:$E,4,0)</f>
        <v>총최초연체금액(1개월내발생)(해제포함)</v>
      </c>
      <c r="F120" s="430" t="str">
        <f>VLOOKUP(D120,'RCLIPS송신(일사천리론)_최종'!$B:$D,2,0)</f>
        <v>Numeric</v>
      </c>
      <c r="G120" s="430">
        <f>VLOOKUP($D120,'RCLIPS송신(일사천리론)_최종'!$B:$D,3,0)</f>
        <v>9</v>
      </c>
      <c r="H120" s="430" t="str">
        <f t="shared" si="9"/>
        <v>000000000000000</v>
      </c>
      <c r="I120" s="263" t="str">
        <f t="shared" si="10"/>
        <v>S0028</v>
      </c>
      <c r="J120" s="263" t="e">
        <f>VLOOKUP($I120,'RCLIPS수신(일사천리론)_최종'!$C:$F,2,0)</f>
        <v>#N/A</v>
      </c>
      <c r="K120" s="263" t="e">
        <f>VLOOKUP($I120,'RCLIPS수신(일사천리론)_최종'!$C:$F,3,0)</f>
        <v>#N/A</v>
      </c>
      <c r="L120" s="263" t="e">
        <f>VLOOKUP($I120,'RCLIPS수신(일사천리론)_최종'!$C:$F,4,0)</f>
        <v>#N/A</v>
      </c>
      <c r="M120" s="263" t="str">
        <f t="shared" si="11"/>
        <v>000000000000000</v>
      </c>
      <c r="Q120" s="178" t="str">
        <f>VLOOKUP(D120,[3]R클립스송수신결과!$D:$H,5,0)</f>
        <v>000000000000000</v>
      </c>
      <c r="R120" s="178" t="str">
        <f t="shared" si="12"/>
        <v>OK</v>
      </c>
    </row>
    <row r="121" spans="1:18">
      <c r="A121" s="263"/>
      <c r="B121" s="429">
        <f t="shared" si="14"/>
        <v>2361</v>
      </c>
      <c r="C121" s="429">
        <f t="shared" si="15"/>
        <v>2366</v>
      </c>
      <c r="D121" s="430" t="str">
        <f t="shared" si="8"/>
        <v>A4007</v>
      </c>
      <c r="E121" s="430" t="str">
        <f>VLOOKUP(D121,'RCLIPS송신(일사천리론)_최종'!$B:$E,4,0)</f>
        <v>총최초연체금액(3개월내발생)(해제포함)</v>
      </c>
      <c r="F121" s="430" t="str">
        <f>VLOOKUP(D121,'RCLIPS송신(일사천리론)_최종'!$B:$D,2,0)</f>
        <v>Numeric</v>
      </c>
      <c r="G121" s="430">
        <f>VLOOKUP($D121,'RCLIPS송신(일사천리론)_최종'!$B:$D,3,0)</f>
        <v>9</v>
      </c>
      <c r="H121" s="430" t="str">
        <f t="shared" si="9"/>
        <v>000000000000000</v>
      </c>
      <c r="I121" s="263" t="str">
        <f t="shared" si="10"/>
        <v>S0029</v>
      </c>
      <c r="J121" s="263" t="e">
        <f>VLOOKUP($I121,'RCLIPS수신(일사천리론)_최종'!$C:$F,2,0)</f>
        <v>#N/A</v>
      </c>
      <c r="K121" s="263" t="e">
        <f>VLOOKUP($I121,'RCLIPS수신(일사천리론)_최종'!$C:$F,3,0)</f>
        <v>#N/A</v>
      </c>
      <c r="L121" s="263" t="e">
        <f>VLOOKUP($I121,'RCLIPS수신(일사천리론)_최종'!$C:$F,4,0)</f>
        <v>#N/A</v>
      </c>
      <c r="M121" s="263" t="str">
        <f t="shared" si="11"/>
        <v>-00000000000999</v>
      </c>
      <c r="Q121" s="178" t="str">
        <f>VLOOKUP(D121,[3]R클립스송수신결과!$D:$H,5,0)</f>
        <v>000000000000000</v>
      </c>
      <c r="R121" s="178" t="str">
        <f t="shared" si="12"/>
        <v>OK</v>
      </c>
    </row>
    <row r="122" spans="1:18">
      <c r="A122" s="263"/>
      <c r="B122" s="429">
        <f t="shared" si="14"/>
        <v>2381</v>
      </c>
      <c r="C122" s="429">
        <f t="shared" si="15"/>
        <v>2386</v>
      </c>
      <c r="D122" s="430" t="str">
        <f t="shared" si="8"/>
        <v>A4008</v>
      </c>
      <c r="E122" s="430" t="str">
        <f>VLOOKUP(D122,'RCLIPS송신(일사천리론)_최종'!$B:$E,4,0)</f>
        <v>연체대환대출건수(미해지)</v>
      </c>
      <c r="F122" s="430" t="str">
        <f>VLOOKUP(D122,'RCLIPS송신(일사천리론)_최종'!$B:$D,2,0)</f>
        <v>Numeric</v>
      </c>
      <c r="G122" s="430">
        <f>VLOOKUP($D122,'RCLIPS송신(일사천리론)_최종'!$B:$D,3,0)</f>
        <v>3</v>
      </c>
      <c r="H122" s="430" t="str">
        <f t="shared" si="9"/>
        <v>000000000000000</v>
      </c>
      <c r="I122" s="263" t="str">
        <f t="shared" si="10"/>
        <v>S0030</v>
      </c>
      <c r="J122" s="263" t="e">
        <f>VLOOKUP($I122,'RCLIPS수신(일사천리론)_최종'!$C:$F,2,0)</f>
        <v>#N/A</v>
      </c>
      <c r="K122" s="263" t="e">
        <f>VLOOKUP($I122,'RCLIPS수신(일사천리론)_최종'!$C:$F,3,0)</f>
        <v>#N/A</v>
      </c>
      <c r="L122" s="263" t="e">
        <f>VLOOKUP($I122,'RCLIPS수신(일사천리론)_최종'!$C:$F,4,0)</f>
        <v>#N/A</v>
      </c>
      <c r="M122" s="263" t="str">
        <f t="shared" si="11"/>
        <v>000000000000000</v>
      </c>
      <c r="Q122" s="178" t="str">
        <f>VLOOKUP(D122,[3]R클립스송수신결과!$D:$H,5,0)</f>
        <v>000000000000000</v>
      </c>
      <c r="R122" s="178" t="str">
        <f t="shared" si="12"/>
        <v>OK</v>
      </c>
    </row>
    <row r="123" spans="1:18">
      <c r="A123" s="263"/>
      <c r="B123" s="429">
        <f t="shared" si="14"/>
        <v>2401</v>
      </c>
      <c r="C123" s="429">
        <f t="shared" si="15"/>
        <v>2406</v>
      </c>
      <c r="D123" s="430" t="str">
        <f t="shared" si="8"/>
        <v>A4014</v>
      </c>
      <c r="E123" s="430" t="str">
        <f>VLOOKUP(D123,'RCLIPS송신(일사천리론)_최종'!$B:$E,4,0)</f>
        <v>KCB동시대출건수</v>
      </c>
      <c r="F123" s="430" t="str">
        <f>VLOOKUP(D123,'RCLIPS송신(일사천리론)_최종'!$B:$D,2,0)</f>
        <v>Numeric</v>
      </c>
      <c r="G123" s="430">
        <f>VLOOKUP($D123,'RCLIPS송신(일사천리론)_최종'!$B:$D,3,0)</f>
        <v>0</v>
      </c>
      <c r="H123" s="430" t="str">
        <f t="shared" si="9"/>
        <v>000000000000000</v>
      </c>
      <c r="I123" s="263" t="str">
        <f t="shared" si="10"/>
        <v>S0031</v>
      </c>
      <c r="J123" s="263" t="e">
        <f>VLOOKUP($I123,'RCLIPS수신(일사천리론)_최종'!$C:$F,2,0)</f>
        <v>#N/A</v>
      </c>
      <c r="K123" s="263" t="e">
        <f>VLOOKUP($I123,'RCLIPS수신(일사천리론)_최종'!$C:$F,3,0)</f>
        <v>#N/A</v>
      </c>
      <c r="L123" s="263" t="e">
        <f>VLOOKUP($I123,'RCLIPS수신(일사천리론)_최종'!$C:$F,4,0)</f>
        <v>#N/A</v>
      </c>
      <c r="M123" s="263" t="str">
        <f t="shared" si="11"/>
        <v>000000000000000</v>
      </c>
      <c r="Q123" s="178" t="e">
        <f>VLOOKUP(D123,[3]R클립스송수신결과!$D:$H,5,0)</f>
        <v>#N/A</v>
      </c>
      <c r="R123" s="178" t="str">
        <f t="shared" si="12"/>
        <v>TOBE ONLY</v>
      </c>
    </row>
    <row r="124" spans="1:18">
      <c r="A124" s="263"/>
      <c r="B124" s="429">
        <f t="shared" si="14"/>
        <v>2421</v>
      </c>
      <c r="C124" s="429">
        <f t="shared" si="15"/>
        <v>2426</v>
      </c>
      <c r="D124" s="430" t="str">
        <f t="shared" si="8"/>
        <v>A4015</v>
      </c>
      <c r="E124" s="430" t="str">
        <f>VLOOKUP(D124,'RCLIPS송신(일사천리론)_최종'!$B:$E,4,0)</f>
        <v>은행업권주택담보대출건수(미해지)(KFB계좌단위)</v>
      </c>
      <c r="F124" s="430" t="str">
        <f>VLOOKUP(D124,'RCLIPS송신(일사천리론)_최종'!$B:$D,2,0)</f>
        <v>Numeric</v>
      </c>
      <c r="G124" s="430">
        <f>VLOOKUP($D124,'RCLIPS송신(일사천리론)_최종'!$B:$D,3,0)</f>
        <v>0</v>
      </c>
      <c r="H124" s="430" t="str">
        <f t="shared" si="9"/>
        <v>000000000000000</v>
      </c>
      <c r="I124" s="263" t="str">
        <f t="shared" si="10"/>
        <v>S0032</v>
      </c>
      <c r="J124" s="263" t="e">
        <f>VLOOKUP($I124,'RCLIPS수신(일사천리론)_최종'!$C:$F,2,0)</f>
        <v>#N/A</v>
      </c>
      <c r="K124" s="263" t="e">
        <f>VLOOKUP($I124,'RCLIPS수신(일사천리론)_최종'!$C:$F,3,0)</f>
        <v>#N/A</v>
      </c>
      <c r="L124" s="263" t="e">
        <f>VLOOKUP($I124,'RCLIPS수신(일사천리론)_최종'!$C:$F,4,0)</f>
        <v>#N/A</v>
      </c>
      <c r="M124" s="263" t="str">
        <f t="shared" si="11"/>
        <v>000000999999999</v>
      </c>
    </row>
    <row r="125" spans="1:18">
      <c r="A125" s="263"/>
      <c r="B125" s="429">
        <f t="shared" si="14"/>
        <v>2441</v>
      </c>
      <c r="C125" s="429">
        <f t="shared" si="15"/>
        <v>2446</v>
      </c>
      <c r="D125" s="430" t="str">
        <f t="shared" si="8"/>
        <v>A4016</v>
      </c>
      <c r="E125" s="430" t="str">
        <f>VLOOKUP(D125,'RCLIPS송신(일사천리론)_최종'!$B:$E,4,0)</f>
        <v>KCB전월세지수</v>
      </c>
      <c r="F125" s="430" t="str">
        <f>VLOOKUP(D125,'RCLIPS송신(일사천리론)_최종'!$B:$D,2,0)</f>
        <v>Numeric</v>
      </c>
      <c r="G125" s="430">
        <f>VLOOKUP($D125,'RCLIPS송신(일사천리론)_최종'!$B:$D,3,0)</f>
        <v>0</v>
      </c>
      <c r="H125" s="430" t="str">
        <f t="shared" si="9"/>
        <v>000000000000007</v>
      </c>
      <c r="I125" s="263" t="str">
        <f t="shared" si="10"/>
        <v>S0033</v>
      </c>
      <c r="J125" s="263" t="e">
        <f>VLOOKUP($I125,'RCLIPS수신(일사천리론)_최종'!$C:$F,2,0)</f>
        <v>#N/A</v>
      </c>
      <c r="K125" s="263" t="e">
        <f>VLOOKUP($I125,'RCLIPS수신(일사천리론)_최종'!$C:$F,3,0)</f>
        <v>#N/A</v>
      </c>
      <c r="L125" s="263" t="e">
        <f>VLOOKUP($I125,'RCLIPS수신(일사천리론)_최종'!$C:$F,4,0)</f>
        <v>#N/A</v>
      </c>
      <c r="M125" s="263" t="str">
        <f t="shared" si="11"/>
        <v>000000000000002</v>
      </c>
    </row>
    <row r="126" spans="1:18">
      <c r="A126" s="263"/>
      <c r="B126" s="429">
        <f t="shared" si="14"/>
        <v>2461</v>
      </c>
      <c r="C126" s="429">
        <f t="shared" si="15"/>
        <v>2466</v>
      </c>
      <c r="D126" s="430" t="str">
        <f t="shared" si="8"/>
        <v>A4017</v>
      </c>
      <c r="E126" s="430" t="str">
        <f>VLOOKUP(D126,'RCLIPS송신(일사천리론)_최종'!$B:$E,4,0)</f>
        <v>KCB거주지평균월세가</v>
      </c>
      <c r="F126" s="430" t="str">
        <f>VLOOKUP(D126,'RCLIPS송신(일사천리론)_최종'!$B:$D,2,0)</f>
        <v>Numeric</v>
      </c>
      <c r="G126" s="430">
        <f>VLOOKUP($D126,'RCLIPS송신(일사천리론)_최종'!$B:$D,3,0)</f>
        <v>0</v>
      </c>
      <c r="H126" s="430" t="str">
        <f t="shared" si="9"/>
        <v>-00000099999999</v>
      </c>
      <c r="I126" s="263" t="str">
        <f t="shared" si="10"/>
        <v>S0034</v>
      </c>
      <c r="J126" s="263" t="e">
        <f>VLOOKUP($I126,'RCLIPS수신(일사천리론)_최종'!$C:$F,2,0)</f>
        <v>#N/A</v>
      </c>
      <c r="K126" s="263" t="e">
        <f>VLOOKUP($I126,'RCLIPS수신(일사천리론)_최종'!$C:$F,3,0)</f>
        <v>#N/A</v>
      </c>
      <c r="L126" s="263" t="e">
        <f>VLOOKUP($I126,'RCLIPS수신(일사천리론)_최종'!$C:$F,4,0)</f>
        <v>#N/A</v>
      </c>
      <c r="M126" s="263" t="str">
        <f t="shared" si="11"/>
        <v>000000008888888</v>
      </c>
    </row>
    <row r="127" spans="1:18">
      <c r="A127" s="263"/>
      <c r="B127" s="429">
        <f t="shared" si="14"/>
        <v>2481</v>
      </c>
      <c r="C127" s="429">
        <f t="shared" si="15"/>
        <v>2486</v>
      </c>
      <c r="D127" s="430" t="str">
        <f t="shared" si="8"/>
        <v>A4018</v>
      </c>
      <c r="E127" s="430" t="str">
        <f>VLOOKUP(D127,'RCLIPS송신(일사천리론)_최종'!$B:$E,4,0)</f>
        <v>결정연소득중최근1년은행등록연소득</v>
      </c>
      <c r="F127" s="430" t="str">
        <f>VLOOKUP(D127,'RCLIPS송신(일사천리론)_최종'!$B:$D,2,0)</f>
        <v>Numeric</v>
      </c>
      <c r="G127" s="430">
        <f>VLOOKUP($D127,'RCLIPS송신(일사천리론)_최종'!$B:$D,3,0)</f>
        <v>0</v>
      </c>
      <c r="H127" s="430" t="str">
        <f t="shared" si="9"/>
        <v>000000000000000</v>
      </c>
      <c r="I127" s="263" t="str">
        <f t="shared" si="10"/>
        <v>S0035</v>
      </c>
      <c r="J127" s="263" t="e">
        <f>VLOOKUP($I127,'RCLIPS수신(일사천리론)_최종'!$C:$F,2,0)</f>
        <v>#N/A</v>
      </c>
      <c r="K127" s="263" t="e">
        <f>VLOOKUP($I127,'RCLIPS수신(일사천리론)_최종'!$C:$F,3,0)</f>
        <v>#N/A</v>
      </c>
      <c r="L127" s="263" t="e">
        <f>VLOOKUP($I127,'RCLIPS수신(일사천리론)_최종'!$C:$F,4,0)</f>
        <v>#N/A</v>
      </c>
      <c r="M127" s="263" t="str">
        <f t="shared" si="11"/>
        <v>000000000000000</v>
      </c>
    </row>
    <row r="128" spans="1:18">
      <c r="A128" s="263"/>
      <c r="B128" s="429">
        <f t="shared" si="14"/>
        <v>2501</v>
      </c>
      <c r="C128" s="429">
        <f t="shared" si="15"/>
        <v>2506</v>
      </c>
      <c r="D128" s="430" t="str">
        <f t="shared" si="8"/>
        <v>A4019</v>
      </c>
      <c r="E128" s="430" t="str">
        <f>VLOOKUP(D128,'RCLIPS송신(일사천리론)_최종'!$B:$E,4,0)</f>
        <v>소득추정모형(결정연소득금액)</v>
      </c>
      <c r="F128" s="430" t="str">
        <f>VLOOKUP(D128,'RCLIPS송신(일사천리론)_최종'!$B:$D,2,0)</f>
        <v>Numeric</v>
      </c>
      <c r="G128" s="430">
        <f>VLOOKUP($D128,'RCLIPS송신(일사천리론)_최종'!$B:$D,3,0)</f>
        <v>0</v>
      </c>
      <c r="H128" s="430" t="str">
        <f t="shared" si="9"/>
        <v>000000000025000</v>
      </c>
      <c r="I128" s="263" t="str">
        <f t="shared" si="10"/>
        <v>S0036</v>
      </c>
      <c r="J128" s="263" t="e">
        <f>VLOOKUP($I128,'RCLIPS수신(일사천리론)_최종'!$C:$F,2,0)</f>
        <v>#N/A</v>
      </c>
      <c r="K128" s="263" t="e">
        <f>VLOOKUP($I128,'RCLIPS수신(일사천리론)_최종'!$C:$F,3,0)</f>
        <v>#N/A</v>
      </c>
      <c r="L128" s="263" t="e">
        <f>VLOOKUP($I128,'RCLIPS수신(일사천리론)_최종'!$C:$F,4,0)</f>
        <v>#N/A</v>
      </c>
      <c r="M128" s="263" t="str">
        <f t="shared" si="11"/>
        <v>000000000000011</v>
      </c>
    </row>
    <row r="129" spans="1:13">
      <c r="A129" s="263"/>
      <c r="B129" s="429">
        <f t="shared" si="14"/>
        <v>2521</v>
      </c>
      <c r="C129" s="429">
        <f t="shared" si="15"/>
        <v>2526</v>
      </c>
      <c r="D129" s="430" t="str">
        <f t="shared" si="8"/>
        <v>A7001</v>
      </c>
      <c r="E129" s="430" t="str">
        <f>VLOOKUP(D129,'RCLIPS송신(일사천리론)_최종'!$B:$E,4,0)</f>
        <v>그룹실적모형구분</v>
      </c>
      <c r="F129" s="430" t="str">
        <f>VLOOKUP(D129,'RCLIPS송신(일사천리론)_최종'!$B:$D,2,0)</f>
        <v>Character</v>
      </c>
      <c r="G129" s="430">
        <f>VLOOKUP($D129,'RCLIPS송신(일사천리론)_최종'!$B:$D,3,0)</f>
        <v>4</v>
      </c>
      <c r="H129" s="430" t="str">
        <f t="shared" si="9"/>
        <v xml:space="preserve">               </v>
      </c>
      <c r="I129" s="263" t="str">
        <f t="shared" si="10"/>
        <v>S0037</v>
      </c>
      <c r="J129" s="263" t="e">
        <f>VLOOKUP($I129,'RCLIPS수신(일사천리론)_최종'!$C:$F,2,0)</f>
        <v>#N/A</v>
      </c>
      <c r="K129" s="263" t="e">
        <f>VLOOKUP($I129,'RCLIPS수신(일사천리론)_최종'!$C:$F,3,0)</f>
        <v>#N/A</v>
      </c>
      <c r="L129" s="263" t="e">
        <f>VLOOKUP($I129,'RCLIPS수신(일사천리론)_최종'!$C:$F,4,0)</f>
        <v>#N/A</v>
      </c>
      <c r="M129" s="263" t="str">
        <f t="shared" si="11"/>
        <v>000000000000011</v>
      </c>
    </row>
    <row r="130" spans="1:13">
      <c r="A130" s="263"/>
      <c r="B130" s="429">
        <f t="shared" si="14"/>
        <v>2541</v>
      </c>
      <c r="C130" s="429">
        <f t="shared" si="15"/>
        <v>2546</v>
      </c>
      <c r="D130" s="430" t="str">
        <f t="shared" si="8"/>
        <v>A7002</v>
      </c>
      <c r="E130" s="430" t="str">
        <f>VLOOKUP(D130,'RCLIPS송신(일사천리론)_최종'!$B:$E,4,0)</f>
        <v>그룹실적BSS평점</v>
      </c>
      <c r="F130" s="430" t="str">
        <f>VLOOKUP(D130,'RCLIPS송신(일사천리론)_최종'!$B:$D,2,0)</f>
        <v>Numeric</v>
      </c>
      <c r="G130" s="430">
        <f>VLOOKUP($D130,'RCLIPS송신(일사천리론)_최종'!$B:$D,3,0)</f>
        <v>5</v>
      </c>
      <c r="H130" s="430" t="str">
        <f t="shared" si="9"/>
        <v>000000000000000</v>
      </c>
      <c r="I130" s="263" t="str">
        <f t="shared" si="10"/>
        <v>S0038</v>
      </c>
      <c r="J130" s="263" t="e">
        <f>VLOOKUP($I130,'RCLIPS수신(일사천리론)_최종'!$C:$F,2,0)</f>
        <v>#N/A</v>
      </c>
      <c r="K130" s="263" t="e">
        <f>VLOOKUP($I130,'RCLIPS수신(일사천리론)_최종'!$C:$F,3,0)</f>
        <v>#N/A</v>
      </c>
      <c r="L130" s="263" t="e">
        <f>VLOOKUP($I130,'RCLIPS수신(일사천리론)_최종'!$C:$F,4,0)</f>
        <v>#N/A</v>
      </c>
      <c r="M130" s="263" t="str">
        <f t="shared" si="11"/>
        <v>000000008888888</v>
      </c>
    </row>
    <row r="131" spans="1:13">
      <c r="A131" s="263"/>
      <c r="B131" s="429">
        <f t="shared" si="14"/>
        <v>2561</v>
      </c>
      <c r="C131" s="429">
        <f t="shared" si="15"/>
        <v>2566</v>
      </c>
      <c r="D131" s="430" t="str">
        <f t="shared" si="8"/>
        <v>A7003</v>
      </c>
      <c r="E131" s="430" t="str">
        <f>VLOOKUP(D131,'RCLIPS송신(일사천리론)_최종'!$B:$E,4,0)</f>
        <v>그룹실적ASS평점</v>
      </c>
      <c r="F131" s="430" t="str">
        <f>VLOOKUP(D131,'RCLIPS송신(일사천리론)_최종'!$B:$D,2,0)</f>
        <v>Numeric</v>
      </c>
      <c r="G131" s="430">
        <f>VLOOKUP($D131,'RCLIPS송신(일사천리론)_최종'!$B:$D,3,0)</f>
        <v>5</v>
      </c>
      <c r="H131" s="430" t="str">
        <f t="shared" si="9"/>
        <v>000000000000000</v>
      </c>
      <c r="I131" s="263" t="str">
        <f t="shared" si="10"/>
        <v>S0039</v>
      </c>
      <c r="J131" s="263" t="e">
        <f>VLOOKUP($I131,'RCLIPS수신(일사천리론)_최종'!$C:$F,2,0)</f>
        <v>#N/A</v>
      </c>
      <c r="K131" s="263" t="e">
        <f>VLOOKUP($I131,'RCLIPS수신(일사천리론)_최종'!$C:$F,3,0)</f>
        <v>#N/A</v>
      </c>
      <c r="L131" s="263" t="e">
        <f>VLOOKUP($I131,'RCLIPS수신(일사천리론)_최종'!$C:$F,4,0)</f>
        <v>#N/A</v>
      </c>
      <c r="M131" s="263" t="str">
        <f t="shared" si="11"/>
        <v>000000000004081</v>
      </c>
    </row>
    <row r="132" spans="1:13">
      <c r="A132" s="263"/>
      <c r="B132" s="429">
        <f t="shared" si="14"/>
        <v>2581</v>
      </c>
      <c r="C132" s="429">
        <f t="shared" si="15"/>
        <v>2586</v>
      </c>
      <c r="D132" s="430" t="str">
        <f t="shared" ref="D132:D195" si="16">MIDB($A$3, $B132+23, 5)</f>
        <v>A7004</v>
      </c>
      <c r="E132" s="430" t="str">
        <f>VLOOKUP(D132,'RCLIPS송신(일사천리론)_최종'!$B:$E,4,0)</f>
        <v>카드론대출잔액_신정원_당일포함</v>
      </c>
      <c r="F132" s="430">
        <f>VLOOKUP(D132,'RCLIPS송신(일사천리론)_최종'!$B:$D,2,0)</f>
        <v>0</v>
      </c>
      <c r="G132" s="430">
        <f>VLOOKUP($D132,'RCLIPS송신(일사천리론)_최종'!$B:$D,3,0)</f>
        <v>0</v>
      </c>
      <c r="H132" s="430" t="str">
        <f t="shared" ref="H132:H195" si="17">MIDB($A$3, $C132+23, 15)</f>
        <v>000000000000000</v>
      </c>
      <c r="I132" s="263" t="str">
        <f t="shared" si="10"/>
        <v>S0040</v>
      </c>
      <c r="J132" s="263" t="e">
        <f>VLOOKUP($I132,'RCLIPS수신(일사천리론)_최종'!$C:$F,2,0)</f>
        <v>#N/A</v>
      </c>
      <c r="K132" s="263" t="e">
        <f>VLOOKUP($I132,'RCLIPS수신(일사천리론)_최종'!$C:$F,3,0)</f>
        <v>#N/A</v>
      </c>
      <c r="L132" s="263" t="e">
        <f>VLOOKUP($I132,'RCLIPS수신(일사천리론)_최종'!$C:$F,4,0)</f>
        <v>#N/A</v>
      </c>
      <c r="M132" s="263" t="str">
        <f t="shared" si="11"/>
        <v>000000000004081</v>
      </c>
    </row>
    <row r="133" spans="1:13">
      <c r="A133" s="263"/>
      <c r="B133" s="429">
        <f t="shared" ref="B133:B196" si="18">C132+15</f>
        <v>2601</v>
      </c>
      <c r="C133" s="429">
        <f t="shared" ref="C133:C196" si="19">B133+5</f>
        <v>2606</v>
      </c>
      <c r="D133" s="430" t="str">
        <f t="shared" si="16"/>
        <v>A7005</v>
      </c>
      <c r="E133" s="430" t="str">
        <f>VLOOKUP(D133,'RCLIPS송신(일사천리론)_최종'!$B:$E,4,0)</f>
        <v>대출총잔액_신정원</v>
      </c>
      <c r="F133" s="430">
        <f>VLOOKUP(D133,'RCLIPS송신(일사천리론)_최종'!$B:$D,2,0)</f>
        <v>0</v>
      </c>
      <c r="G133" s="430">
        <f>VLOOKUP($D133,'RCLIPS송신(일사천리론)_최종'!$B:$D,3,0)</f>
        <v>0</v>
      </c>
      <c r="H133" s="430" t="str">
        <f t="shared" si="17"/>
        <v>000000000158500</v>
      </c>
      <c r="I133" s="263" t="str">
        <f t="shared" ref="I133:I196" si="20">MIDB($A$8, $B133+10, 5)</f>
        <v>S0041</v>
      </c>
      <c r="J133" s="263" t="e">
        <f>VLOOKUP($I133,'RCLIPS수신(일사천리론)_최종'!$C:$F,2,0)</f>
        <v>#N/A</v>
      </c>
      <c r="K133" s="263" t="e">
        <f>VLOOKUP($I133,'RCLIPS수신(일사천리론)_최종'!$C:$F,3,0)</f>
        <v>#N/A</v>
      </c>
      <c r="L133" s="263" t="e">
        <f>VLOOKUP($I133,'RCLIPS수신(일사천리론)_최종'!$C:$F,4,0)</f>
        <v>#N/A</v>
      </c>
      <c r="M133" s="263" t="str">
        <f t="shared" ref="M133:M196" si="21">MIDB($A$8, $C133+10, 15)</f>
        <v>000000000000000</v>
      </c>
    </row>
    <row r="134" spans="1:13">
      <c r="A134" s="263"/>
      <c r="B134" s="429">
        <f t="shared" si="18"/>
        <v>2621</v>
      </c>
      <c r="C134" s="429">
        <f t="shared" si="19"/>
        <v>2626</v>
      </c>
      <c r="D134" s="430" t="str">
        <f t="shared" si="16"/>
        <v>A7007</v>
      </c>
      <c r="E134" s="430" t="str">
        <f>VLOOKUP(D134,'RCLIPS송신(일사천리론)_최종'!$B:$E,4,0)</f>
        <v>신용대출잔액_신정원</v>
      </c>
      <c r="F134" s="430">
        <f>VLOOKUP(D134,'RCLIPS송신(일사천리론)_최종'!$B:$D,2,0)</f>
        <v>0</v>
      </c>
      <c r="G134" s="430">
        <f>VLOOKUP($D134,'RCLIPS송신(일사천리론)_최종'!$B:$D,3,0)</f>
        <v>0</v>
      </c>
      <c r="H134" s="430" t="str">
        <f t="shared" si="17"/>
        <v>000000000053000</v>
      </c>
      <c r="I134" s="263" t="str">
        <f t="shared" si="20"/>
        <v>S0042</v>
      </c>
      <c r="J134" s="263" t="e">
        <f>VLOOKUP($I134,'RCLIPS수신(일사천리론)_최종'!$C:$F,2,0)</f>
        <v>#N/A</v>
      </c>
      <c r="K134" s="263" t="e">
        <f>VLOOKUP($I134,'RCLIPS수신(일사천리론)_최종'!$C:$F,3,0)</f>
        <v>#N/A</v>
      </c>
      <c r="L134" s="263" t="e">
        <f>VLOOKUP($I134,'RCLIPS수신(일사천리론)_최종'!$C:$F,4,0)</f>
        <v>#N/A</v>
      </c>
      <c r="M134" s="263" t="str">
        <f t="shared" si="21"/>
        <v>000000000000001</v>
      </c>
    </row>
    <row r="135" spans="1:13">
      <c r="A135" s="263"/>
      <c r="B135" s="429">
        <f t="shared" si="18"/>
        <v>2641</v>
      </c>
      <c r="C135" s="429">
        <f t="shared" si="19"/>
        <v>2646</v>
      </c>
      <c r="D135" s="430" t="str">
        <f t="shared" si="16"/>
        <v>A7009</v>
      </c>
      <c r="E135" s="430" t="str">
        <f>VLOOKUP(D135,'RCLIPS송신(일사천리론)_최종'!$B:$E,4,0)</f>
        <v>카드론잔액_신정원</v>
      </c>
      <c r="F135" s="430">
        <f>VLOOKUP(D135,'RCLIPS송신(일사천리론)_최종'!$B:$D,2,0)</f>
        <v>0</v>
      </c>
      <c r="G135" s="430">
        <f>VLOOKUP($D135,'RCLIPS송신(일사천리론)_최종'!$B:$D,3,0)</f>
        <v>0</v>
      </c>
      <c r="H135" s="430" t="str">
        <f t="shared" si="17"/>
        <v>000000000000000</v>
      </c>
      <c r="I135" s="263" t="str">
        <f t="shared" si="20"/>
        <v>S0043</v>
      </c>
      <c r="J135" s="263" t="e">
        <f>VLOOKUP($I135,'RCLIPS수신(일사천리론)_최종'!$C:$F,2,0)</f>
        <v>#N/A</v>
      </c>
      <c r="K135" s="263" t="e">
        <f>VLOOKUP($I135,'RCLIPS수신(일사천리론)_최종'!$C:$F,3,0)</f>
        <v>#N/A</v>
      </c>
      <c r="L135" s="263" t="e">
        <f>VLOOKUP($I135,'RCLIPS수신(일사천리론)_최종'!$C:$F,4,0)</f>
        <v>#N/A</v>
      </c>
      <c r="M135" s="263" t="str">
        <f t="shared" si="21"/>
        <v>000000000000001</v>
      </c>
    </row>
    <row r="136" spans="1:13">
      <c r="A136" s="263"/>
      <c r="B136" s="429">
        <f t="shared" si="18"/>
        <v>2661</v>
      </c>
      <c r="C136" s="429">
        <f t="shared" si="19"/>
        <v>2666</v>
      </c>
      <c r="D136" s="430" t="str">
        <f t="shared" si="16"/>
        <v>A7011</v>
      </c>
      <c r="E136" s="430" t="str">
        <f>VLOOKUP(D136,'RCLIPS송신(일사천리론)_최종'!$B:$E,4,0)</f>
        <v>CA잔액_신정원</v>
      </c>
      <c r="F136" s="430">
        <f>VLOOKUP(D136,'RCLIPS송신(일사천리론)_최종'!$B:$D,2,0)</f>
        <v>0</v>
      </c>
      <c r="G136" s="430">
        <f>VLOOKUP($D136,'RCLIPS송신(일사천리론)_최종'!$B:$D,3,0)</f>
        <v>0</v>
      </c>
      <c r="H136" s="430" t="str">
        <f t="shared" si="17"/>
        <v>000000000000000</v>
      </c>
      <c r="I136" s="263" t="str">
        <f t="shared" si="20"/>
        <v>S0044</v>
      </c>
      <c r="J136" s="263" t="e">
        <f>VLOOKUP($I136,'RCLIPS수신(일사천리론)_최종'!$C:$F,2,0)</f>
        <v>#N/A</v>
      </c>
      <c r="K136" s="263" t="e">
        <f>VLOOKUP($I136,'RCLIPS수신(일사천리론)_최종'!$C:$F,3,0)</f>
        <v>#N/A</v>
      </c>
      <c r="L136" s="263" t="e">
        <f>VLOOKUP($I136,'RCLIPS수신(일사천리론)_최종'!$C:$F,4,0)</f>
        <v>#N/A</v>
      </c>
      <c r="M136" s="263" t="str">
        <f t="shared" si="21"/>
        <v>000000000002827</v>
      </c>
    </row>
    <row r="137" spans="1:13">
      <c r="A137" s="263"/>
      <c r="B137" s="429">
        <f t="shared" si="18"/>
        <v>2681</v>
      </c>
      <c r="C137" s="429">
        <f t="shared" si="19"/>
        <v>2686</v>
      </c>
      <c r="D137" s="430" t="str">
        <f t="shared" si="16"/>
        <v>A7013</v>
      </c>
      <c r="E137" s="430" t="str">
        <f>VLOOKUP(D137,'RCLIPS송신(일사천리론)_최종'!$B:$E,4,0)</f>
        <v>CA이용기관수_신정원</v>
      </c>
      <c r="F137" s="430">
        <f>VLOOKUP(D137,'RCLIPS송신(일사천리론)_최종'!$B:$D,2,0)</f>
        <v>0</v>
      </c>
      <c r="G137" s="430">
        <f>VLOOKUP($D137,'RCLIPS송신(일사천리론)_최종'!$B:$D,3,0)</f>
        <v>0</v>
      </c>
      <c r="H137" s="430" t="str">
        <f t="shared" si="17"/>
        <v>000000000000000</v>
      </c>
      <c r="I137" s="263" t="str">
        <f t="shared" si="20"/>
        <v>S0045</v>
      </c>
      <c r="J137" s="263" t="e">
        <f>VLOOKUP($I137,'RCLIPS수신(일사천리론)_최종'!$C:$F,2,0)</f>
        <v>#N/A</v>
      </c>
      <c r="K137" s="263" t="e">
        <f>VLOOKUP($I137,'RCLIPS수신(일사천리론)_최종'!$C:$F,3,0)</f>
        <v>#N/A</v>
      </c>
      <c r="L137" s="263" t="e">
        <f>VLOOKUP($I137,'RCLIPS수신(일사천리론)_최종'!$C:$F,4,0)</f>
        <v>#N/A</v>
      </c>
      <c r="M137" s="263" t="str">
        <f t="shared" si="21"/>
        <v>000000008888888</v>
      </c>
    </row>
    <row r="138" spans="1:13">
      <c r="A138" s="263"/>
      <c r="B138" s="429">
        <f t="shared" si="18"/>
        <v>2701</v>
      </c>
      <c r="C138" s="429">
        <f t="shared" si="19"/>
        <v>2706</v>
      </c>
      <c r="D138" s="430" t="str">
        <f t="shared" si="16"/>
        <v>A7014</v>
      </c>
      <c r="E138" s="430" t="str">
        <f>VLOOKUP(D138,'RCLIPS송신(일사천리론)_최종'!$B:$E,4,0)</f>
        <v>카드론이용기관수_신정원</v>
      </c>
      <c r="F138" s="430">
        <f>VLOOKUP(D138,'RCLIPS송신(일사천리론)_최종'!$B:$D,2,0)</f>
        <v>0</v>
      </c>
      <c r="G138" s="430">
        <f>VLOOKUP($D138,'RCLIPS송신(일사천리론)_최종'!$B:$D,3,0)</f>
        <v>0</v>
      </c>
      <c r="H138" s="430" t="str">
        <f t="shared" si="17"/>
        <v>000000000000000</v>
      </c>
      <c r="I138" s="263" t="str">
        <f t="shared" si="20"/>
        <v>S0046</v>
      </c>
      <c r="J138" s="263" t="e">
        <f>VLOOKUP($I138,'RCLIPS수신(일사천리론)_최종'!$C:$F,2,0)</f>
        <v>#N/A</v>
      </c>
      <c r="K138" s="263" t="e">
        <f>VLOOKUP($I138,'RCLIPS수신(일사천리론)_최종'!$C:$F,3,0)</f>
        <v>#N/A</v>
      </c>
      <c r="L138" s="263" t="e">
        <f>VLOOKUP($I138,'RCLIPS수신(일사천리론)_최종'!$C:$F,4,0)</f>
        <v>#N/A</v>
      </c>
      <c r="M138" s="263" t="str">
        <f t="shared" si="21"/>
        <v>000000008888888</v>
      </c>
    </row>
    <row r="139" spans="1:13">
      <c r="A139" s="263"/>
      <c r="B139" s="429">
        <f t="shared" si="18"/>
        <v>2721</v>
      </c>
      <c r="C139" s="429">
        <f t="shared" si="19"/>
        <v>2726</v>
      </c>
      <c r="D139" s="430" t="str">
        <f t="shared" si="16"/>
        <v>A7015</v>
      </c>
      <c r="E139" s="430" t="str">
        <f>VLOOKUP(D139,'RCLIPS송신(일사천리론)_최종'!$B:$E,4,0)</f>
        <v>대출총잔액_DSR규제대상_신정원</v>
      </c>
      <c r="F139" s="430">
        <f>VLOOKUP(D139,'RCLIPS송신(일사천리론)_최종'!$B:$D,2,0)</f>
        <v>0</v>
      </c>
      <c r="G139" s="430">
        <f>VLOOKUP($D139,'RCLIPS송신(일사천리론)_최종'!$B:$D,3,0)</f>
        <v>0</v>
      </c>
      <c r="H139" s="430" t="str">
        <f t="shared" si="17"/>
        <v>000000000155500</v>
      </c>
      <c r="I139" s="263" t="str">
        <f t="shared" si="20"/>
        <v>S0047</v>
      </c>
      <c r="J139" s="263" t="e">
        <f>VLOOKUP($I139,'RCLIPS수신(일사천리론)_최종'!$C:$F,2,0)</f>
        <v>#N/A</v>
      </c>
      <c r="K139" s="263" t="e">
        <f>VLOOKUP($I139,'RCLIPS수신(일사천리론)_최종'!$C:$F,3,0)</f>
        <v>#N/A</v>
      </c>
      <c r="L139" s="263" t="e">
        <f>VLOOKUP($I139,'RCLIPS수신(일사천리론)_최종'!$C:$F,4,0)</f>
        <v>#N/A</v>
      </c>
      <c r="M139" s="263" t="str">
        <f t="shared" si="21"/>
        <v>000000000000000</v>
      </c>
    </row>
    <row r="140" spans="1:13">
      <c r="A140" s="263"/>
      <c r="B140" s="429">
        <f t="shared" si="18"/>
        <v>2741</v>
      </c>
      <c r="C140" s="429">
        <f t="shared" si="19"/>
        <v>2746</v>
      </c>
      <c r="D140" s="430" t="str">
        <f t="shared" si="16"/>
        <v>A7016</v>
      </c>
      <c r="E140" s="430" t="str">
        <f>VLOOKUP(D140,'RCLIPS송신(일사천리론)_최종'!$B:$E,4,0)</f>
        <v>다중채무대상대출기관수_신정원</v>
      </c>
      <c r="F140" s="430">
        <f>VLOOKUP(D140,'RCLIPS송신(일사천리론)_최종'!$B:$D,2,0)</f>
        <v>0</v>
      </c>
      <c r="G140" s="430">
        <f>VLOOKUP($D140,'RCLIPS송신(일사천리론)_최종'!$B:$D,3,0)</f>
        <v>0</v>
      </c>
      <c r="H140" s="430" t="str">
        <f t="shared" si="17"/>
        <v>000000000000002</v>
      </c>
      <c r="I140" s="263" t="str">
        <f t="shared" si="20"/>
        <v>S0048</v>
      </c>
      <c r="J140" s="263" t="e">
        <f>VLOOKUP($I140,'RCLIPS수신(일사천리론)_최종'!$C:$F,2,0)</f>
        <v>#N/A</v>
      </c>
      <c r="K140" s="263" t="e">
        <f>VLOOKUP($I140,'RCLIPS수신(일사천리론)_최종'!$C:$F,3,0)</f>
        <v>#N/A</v>
      </c>
      <c r="L140" s="263" t="e">
        <f>VLOOKUP($I140,'RCLIPS수신(일사천리론)_최종'!$C:$F,4,0)</f>
        <v>#N/A</v>
      </c>
      <c r="M140" s="263" t="str">
        <f t="shared" si="21"/>
        <v>000000000000000</v>
      </c>
    </row>
    <row r="141" spans="1:13">
      <c r="A141" s="263"/>
      <c r="B141" s="429">
        <f t="shared" si="18"/>
        <v>2761</v>
      </c>
      <c r="C141" s="429">
        <f t="shared" si="19"/>
        <v>2766</v>
      </c>
      <c r="D141" s="430" t="str">
        <f t="shared" si="16"/>
        <v>A7017</v>
      </c>
      <c r="E141" s="430" t="str">
        <f>VLOOKUP(D141,'RCLIPS송신(일사천리론)_최종'!$B:$E,4,0)</f>
        <v>은행업권대출보유여부_신정원</v>
      </c>
      <c r="F141" s="430">
        <f>VLOOKUP(D141,'RCLIPS송신(일사천리론)_최종'!$B:$D,2,0)</f>
        <v>0</v>
      </c>
      <c r="G141" s="430">
        <f>VLOOKUP($D141,'RCLIPS송신(일사천리론)_최종'!$B:$D,3,0)</f>
        <v>0</v>
      </c>
      <c r="H141" s="430" t="str">
        <f t="shared" si="17"/>
        <v xml:space="preserve">0              </v>
      </c>
      <c r="I141" s="263" t="str">
        <f t="shared" si="20"/>
        <v>S0049</v>
      </c>
      <c r="J141" s="263" t="e">
        <f>VLOOKUP($I141,'RCLIPS수신(일사천리론)_최종'!$C:$F,2,0)</f>
        <v>#N/A</v>
      </c>
      <c r="K141" s="263" t="e">
        <f>VLOOKUP($I141,'RCLIPS수신(일사천리론)_최종'!$C:$F,3,0)</f>
        <v>#N/A</v>
      </c>
      <c r="L141" s="263" t="e">
        <f>VLOOKUP($I141,'RCLIPS수신(일사천리론)_최종'!$C:$F,4,0)</f>
        <v>#N/A</v>
      </c>
      <c r="M141" s="263" t="str">
        <f t="shared" si="21"/>
        <v>000000000000282</v>
      </c>
    </row>
    <row r="142" spans="1:13">
      <c r="A142" s="263"/>
      <c r="B142" s="429">
        <f t="shared" si="18"/>
        <v>2781</v>
      </c>
      <c r="C142" s="429">
        <f t="shared" si="19"/>
        <v>2786</v>
      </c>
      <c r="D142" s="430" t="str">
        <f t="shared" si="16"/>
        <v>A7018</v>
      </c>
      <c r="E142" s="430" t="str">
        <f>VLOOKUP(D142,'RCLIPS송신(일사천리론)_최종'!$B:$E,4,0)</f>
        <v>캐피탈업권신용대출잔액_신정원</v>
      </c>
      <c r="F142" s="430">
        <f>VLOOKUP(D142,'RCLIPS송신(일사천리론)_최종'!$B:$D,2,0)</f>
        <v>0</v>
      </c>
      <c r="G142" s="430">
        <f>VLOOKUP($D142,'RCLIPS송신(일사천리론)_최종'!$B:$D,3,0)</f>
        <v>0</v>
      </c>
      <c r="H142" s="430" t="str">
        <f t="shared" si="17"/>
        <v>000000000000000</v>
      </c>
      <c r="I142" s="263" t="str">
        <f t="shared" si="20"/>
        <v>S0050</v>
      </c>
      <c r="J142" s="263" t="e">
        <f>VLOOKUP($I142,'RCLIPS수신(일사천리론)_최종'!$C:$F,2,0)</f>
        <v>#N/A</v>
      </c>
      <c r="K142" s="263" t="e">
        <f>VLOOKUP($I142,'RCLIPS수신(일사천리론)_최종'!$C:$F,3,0)</f>
        <v>#N/A</v>
      </c>
      <c r="L142" s="263" t="e">
        <f>VLOOKUP($I142,'RCLIPS수신(일사천리론)_최종'!$C:$F,4,0)</f>
        <v>#N/A</v>
      </c>
      <c r="M142" s="263" t="str">
        <f t="shared" si="21"/>
        <v>000000000000000</v>
      </c>
    </row>
    <row r="143" spans="1:13">
      <c r="A143" s="263"/>
      <c r="B143" s="429">
        <f t="shared" si="18"/>
        <v>2801</v>
      </c>
      <c r="C143" s="429">
        <f t="shared" si="19"/>
        <v>2806</v>
      </c>
      <c r="D143" s="430" t="str">
        <f t="shared" si="16"/>
        <v>A7019</v>
      </c>
      <c r="E143" s="430" t="str">
        <f>VLOOKUP(D143,'RCLIPS송신(일사천리론)_최종'!$B:$E,4,0)</f>
        <v>저축은행업권신용대출잔액_신정원</v>
      </c>
      <c r="F143" s="430">
        <f>VLOOKUP(D143,'RCLIPS송신(일사천리론)_최종'!$B:$D,2,0)</f>
        <v>0</v>
      </c>
      <c r="G143" s="430">
        <f>VLOOKUP($D143,'RCLIPS송신(일사천리론)_최종'!$B:$D,3,0)</f>
        <v>0</v>
      </c>
      <c r="H143" s="430" t="str">
        <f t="shared" si="17"/>
        <v>000000000000000</v>
      </c>
      <c r="I143" s="263" t="str">
        <f t="shared" si="20"/>
        <v>S0051</v>
      </c>
      <c r="J143" s="263" t="e">
        <f>VLOOKUP($I143,'RCLIPS수신(일사천리론)_최종'!$C:$F,2,0)</f>
        <v>#N/A</v>
      </c>
      <c r="K143" s="263" t="e">
        <f>VLOOKUP($I143,'RCLIPS수신(일사천리론)_최종'!$C:$F,3,0)</f>
        <v>#N/A</v>
      </c>
      <c r="L143" s="263" t="e">
        <f>VLOOKUP($I143,'RCLIPS수신(일사천리론)_최종'!$C:$F,4,0)</f>
        <v>#N/A</v>
      </c>
      <c r="M143" s="263" t="str">
        <f t="shared" si="21"/>
        <v>000000000002500</v>
      </c>
    </row>
    <row r="144" spans="1:13">
      <c r="A144" s="263"/>
      <c r="B144" s="429">
        <f t="shared" si="18"/>
        <v>2821</v>
      </c>
      <c r="C144" s="429">
        <f t="shared" si="19"/>
        <v>2826</v>
      </c>
      <c r="D144" s="430" t="str">
        <f t="shared" si="16"/>
        <v>A7020</v>
      </c>
      <c r="E144" s="430" t="str">
        <f>VLOOKUP(D144,'RCLIPS송신(일사천리론)_최종'!$B:$E,4,0)</f>
        <v>스트레스DSR반영신정원원리금</v>
      </c>
      <c r="F144" s="430">
        <f>VLOOKUP(D144,'RCLIPS송신(일사천리론)_최종'!$B:$D,2,0)</f>
        <v>0</v>
      </c>
      <c r="G144" s="430">
        <f>VLOOKUP($D144,'RCLIPS송신(일사천리론)_최종'!$B:$D,3,0)</f>
        <v>0</v>
      </c>
      <c r="H144" s="430" t="str">
        <f t="shared" si="17"/>
        <v>000000000031165</v>
      </c>
      <c r="I144" s="263" t="str">
        <f t="shared" si="20"/>
        <v>S0052</v>
      </c>
      <c r="J144" s="263" t="e">
        <f>VLOOKUP($I144,'RCLIPS수신(일사천리론)_최종'!$C:$F,2,0)</f>
        <v>#N/A</v>
      </c>
      <c r="K144" s="263" t="e">
        <f>VLOOKUP($I144,'RCLIPS수신(일사천리론)_최종'!$C:$F,3,0)</f>
        <v>#N/A</v>
      </c>
      <c r="L144" s="263" t="e">
        <f>VLOOKUP($I144,'RCLIPS수신(일사천리론)_최종'!$C:$F,4,0)</f>
        <v>#N/A</v>
      </c>
      <c r="M144" s="263" t="str">
        <f t="shared" si="21"/>
        <v>000000000002500</v>
      </c>
    </row>
    <row r="145" spans="1:13">
      <c r="A145" s="263"/>
      <c r="B145" s="429">
        <f t="shared" si="18"/>
        <v>2841</v>
      </c>
      <c r="C145" s="429">
        <f t="shared" si="19"/>
        <v>2846</v>
      </c>
      <c r="D145" s="430" t="str">
        <f t="shared" si="16"/>
        <v>A7021</v>
      </c>
      <c r="E145" s="430" t="str">
        <f>VLOOKUP(D145,'RCLIPS송신(일사천리론)_최종'!$B:$E,4,0)</f>
        <v>기존 신DTI연간추정금액 합계</v>
      </c>
      <c r="F145" s="430">
        <f>VLOOKUP(D145,'RCLIPS송신(일사천리론)_최종'!$B:$D,2,0)</f>
        <v>0</v>
      </c>
      <c r="G145" s="430">
        <f>VLOOKUP($D145,'RCLIPS송신(일사천리론)_최종'!$B:$D,3,0)</f>
        <v>0</v>
      </c>
      <c r="H145" s="430" t="str">
        <f t="shared" si="17"/>
        <v>000000000031165</v>
      </c>
      <c r="I145" s="263" t="str">
        <f t="shared" si="20"/>
        <v>S0053</v>
      </c>
      <c r="J145" s="263" t="e">
        <f>VLOOKUP($I145,'RCLIPS수신(일사천리론)_최종'!$C:$F,2,0)</f>
        <v>#N/A</v>
      </c>
      <c r="K145" s="263" t="e">
        <f>VLOOKUP($I145,'RCLIPS수신(일사천리론)_최종'!$C:$F,3,0)</f>
        <v>#N/A</v>
      </c>
      <c r="L145" s="263" t="e">
        <f>VLOOKUP($I145,'RCLIPS수신(일사천리론)_최종'!$C:$F,4,0)</f>
        <v>#N/A</v>
      </c>
      <c r="M145" s="263" t="str">
        <f t="shared" si="21"/>
        <v>000000000000000</v>
      </c>
    </row>
    <row r="146" spans="1:13">
      <c r="A146" s="263"/>
      <c r="B146" s="429">
        <f t="shared" si="18"/>
        <v>2861</v>
      </c>
      <c r="C146" s="429">
        <f t="shared" si="19"/>
        <v>2866</v>
      </c>
      <c r="D146" s="430" t="str">
        <f t="shared" si="16"/>
        <v>A3071</v>
      </c>
      <c r="E146" s="430" t="str">
        <f>VLOOKUP(D146,'RCLIPS송신(일사천리론)_최종'!$B:$E,4,0)</f>
        <v>과다채무지수</v>
      </c>
      <c r="F146" s="430" t="str">
        <f>VLOOKUP(D146,'RCLIPS송신(일사천리론)_최종'!$B:$D,2,0)</f>
        <v>Numeric</v>
      </c>
      <c r="G146" s="430">
        <f>VLOOKUP($D146,'RCLIPS송신(일사천리론)_최종'!$B:$D,3,0)</f>
        <v>9</v>
      </c>
      <c r="H146" s="430" t="str">
        <f t="shared" si="17"/>
        <v xml:space="preserve">07             </v>
      </c>
      <c r="I146" s="263" t="str">
        <f t="shared" si="20"/>
        <v>S0054</v>
      </c>
      <c r="J146" s="263" t="e">
        <f>VLOOKUP($I146,'RCLIPS수신(일사천리론)_최종'!$C:$F,2,0)</f>
        <v>#N/A</v>
      </c>
      <c r="K146" s="263" t="e">
        <f>VLOOKUP($I146,'RCLIPS수신(일사천리론)_최종'!$C:$F,3,0)</f>
        <v>#N/A</v>
      </c>
      <c r="L146" s="263" t="e">
        <f>VLOOKUP($I146,'RCLIPS수신(일사천리론)_최종'!$C:$F,4,0)</f>
        <v>#N/A</v>
      </c>
      <c r="M146" s="263" t="str">
        <f t="shared" si="21"/>
        <v>000000000000000</v>
      </c>
    </row>
    <row r="147" spans="1:13">
      <c r="A147" s="263"/>
      <c r="B147" s="429">
        <f t="shared" si="18"/>
        <v>2881</v>
      </c>
      <c r="C147" s="429">
        <f t="shared" si="19"/>
        <v>2886</v>
      </c>
      <c r="D147" s="430" t="str">
        <f t="shared" si="16"/>
        <v>A3072</v>
      </c>
      <c r="E147" s="430" t="str">
        <f>VLOOKUP(D147,'RCLIPS송신(일사천리론)_최종'!$B:$E,4,0)</f>
        <v>tip스코어등급</v>
      </c>
      <c r="F147" s="430" t="str">
        <f>VLOOKUP(D147,'RCLIPS송신(일사천리론)_최종'!$B:$D,2,0)</f>
        <v>Numeric</v>
      </c>
      <c r="G147" s="430">
        <f>VLOOKUP($D147,'RCLIPS송신(일사천리론)_최종'!$B:$D,3,0)</f>
        <v>9</v>
      </c>
      <c r="H147" s="430" t="str">
        <f t="shared" si="17"/>
        <v xml:space="preserve">02             </v>
      </c>
      <c r="I147" s="263" t="str">
        <f t="shared" si="20"/>
        <v>S0055</v>
      </c>
      <c r="J147" s="263" t="e">
        <f>VLOOKUP($I147,'RCLIPS수신(일사천리론)_최종'!$C:$F,2,0)</f>
        <v>#N/A</v>
      </c>
      <c r="K147" s="263" t="e">
        <f>VLOOKUP($I147,'RCLIPS수신(일사천리론)_최종'!$C:$F,3,0)</f>
        <v>#N/A</v>
      </c>
      <c r="L147" s="263" t="e">
        <f>VLOOKUP($I147,'RCLIPS수신(일사천리론)_최종'!$C:$F,4,0)</f>
        <v>#N/A</v>
      </c>
      <c r="M147" s="263" t="str">
        <f t="shared" si="21"/>
        <v>000000000000000</v>
      </c>
    </row>
    <row r="148" spans="1:13">
      <c r="A148" s="263"/>
      <c r="B148" s="429">
        <f t="shared" si="18"/>
        <v>2901</v>
      </c>
      <c r="C148" s="429">
        <f t="shared" si="19"/>
        <v>2906</v>
      </c>
      <c r="D148" s="430" t="str">
        <f t="shared" si="16"/>
        <v>A3073</v>
      </c>
      <c r="E148" s="430" t="str">
        <f>VLOOKUP(D148,'RCLIPS송신(일사천리론)_최종'!$B:$E,4,0)</f>
        <v>NICE스코어_V5</v>
      </c>
      <c r="F148" s="430" t="str">
        <f>VLOOKUP(D148,'RCLIPS송신(일사천리론)_최종'!$B:$D,2,0)</f>
        <v>Numeric</v>
      </c>
      <c r="G148" s="430">
        <f>VLOOKUP($D148,'RCLIPS송신(일사천리론)_최종'!$B:$D,3,0)</f>
        <v>15</v>
      </c>
      <c r="H148" s="430" t="str">
        <f t="shared" si="17"/>
        <v>000000000000871</v>
      </c>
      <c r="I148" s="263" t="str">
        <f t="shared" si="20"/>
        <v>S0056</v>
      </c>
      <c r="J148" s="263" t="e">
        <f>VLOOKUP($I148,'RCLIPS수신(일사천리론)_최종'!$C:$F,2,0)</f>
        <v>#N/A</v>
      </c>
      <c r="K148" s="263" t="e">
        <f>VLOOKUP($I148,'RCLIPS수신(일사천리론)_최종'!$C:$F,3,0)</f>
        <v>#N/A</v>
      </c>
      <c r="L148" s="263" t="e">
        <f>VLOOKUP($I148,'RCLIPS수신(일사천리론)_최종'!$C:$F,4,0)</f>
        <v>#N/A</v>
      </c>
      <c r="M148" s="263" t="str">
        <f t="shared" si="21"/>
        <v>000000000000000</v>
      </c>
    </row>
    <row r="149" spans="1:13">
      <c r="A149" s="263"/>
      <c r="B149" s="429">
        <f t="shared" si="18"/>
        <v>2921</v>
      </c>
      <c r="C149" s="429">
        <f t="shared" si="19"/>
        <v>2926</v>
      </c>
      <c r="D149" s="430" t="str">
        <f t="shared" si="16"/>
        <v>A3074</v>
      </c>
      <c r="E149" s="430" t="str">
        <f>VLOOKUP(D149,'RCLIPS송신(일사천리론)_최종'!$B:$E,4,0)</f>
        <v>CCS신용등급코드</v>
      </c>
      <c r="F149" s="430" t="str">
        <f>VLOOKUP(D149,'RCLIPS송신(일사천리론)_최종'!$B:$D,2,0)</f>
        <v>Character</v>
      </c>
      <c r="G149" s="430">
        <f>VLOOKUP($D149,'RCLIPS송신(일사천리론)_최종'!$B:$D,3,0)</f>
        <v>4</v>
      </c>
      <c r="H149" s="430" t="str">
        <f t="shared" si="17"/>
        <v xml:space="preserve">0008           </v>
      </c>
      <c r="I149" s="263" t="str">
        <f t="shared" si="20"/>
        <v>S0057</v>
      </c>
      <c r="J149" s="263" t="e">
        <f>VLOOKUP($I149,'RCLIPS수신(일사천리론)_최종'!$C:$F,2,0)</f>
        <v>#N/A</v>
      </c>
      <c r="K149" s="263" t="e">
        <f>VLOOKUP($I149,'RCLIPS수신(일사천리론)_최종'!$C:$F,3,0)</f>
        <v>#N/A</v>
      </c>
      <c r="L149" s="263" t="e">
        <f>VLOOKUP($I149,'RCLIPS수신(일사천리론)_최종'!$C:$F,4,0)</f>
        <v>#N/A</v>
      </c>
      <c r="M149" s="263" t="str">
        <f t="shared" si="21"/>
        <v>000000000000000</v>
      </c>
    </row>
    <row r="150" spans="1:13">
      <c r="A150" s="263"/>
      <c r="B150" s="429">
        <f t="shared" si="18"/>
        <v>2941</v>
      </c>
      <c r="C150" s="429">
        <f t="shared" si="19"/>
        <v>2946</v>
      </c>
      <c r="D150" s="430" t="str">
        <f t="shared" si="16"/>
        <v>A3075</v>
      </c>
      <c r="E150" s="430" t="str">
        <f>VLOOKUP(D150,'RCLIPS송신(일사천리론)_최종'!$B:$E,4,0)</f>
        <v>NPML등급</v>
      </c>
      <c r="F150" s="430" t="str">
        <f>VLOOKUP(D150,'RCLIPS송신(일사천리론)_최종'!$B:$D,2,0)</f>
        <v>Character</v>
      </c>
      <c r="G150" s="430">
        <f>VLOOKUP($D150,'RCLIPS송신(일사천리론)_최종'!$B:$D,3,0)</f>
        <v>4</v>
      </c>
      <c r="H150" s="430" t="str">
        <f t="shared" si="17"/>
        <v xml:space="preserve">0005           </v>
      </c>
      <c r="I150" s="263" t="str">
        <f t="shared" si="20"/>
        <v>S0058</v>
      </c>
      <c r="J150" s="263" t="e">
        <f>VLOOKUP($I150,'RCLIPS수신(일사천리론)_최종'!$C:$F,2,0)</f>
        <v>#N/A</v>
      </c>
      <c r="K150" s="263" t="e">
        <f>VLOOKUP($I150,'RCLIPS수신(일사천리론)_최종'!$C:$F,3,0)</f>
        <v>#N/A</v>
      </c>
      <c r="L150" s="263" t="e">
        <f>VLOOKUP($I150,'RCLIPS수신(일사천리론)_최종'!$C:$F,4,0)</f>
        <v>#N/A</v>
      </c>
      <c r="M150" s="263" t="str">
        <f t="shared" si="21"/>
        <v>000000000000000</v>
      </c>
    </row>
    <row r="151" spans="1:13">
      <c r="A151" s="263"/>
      <c r="B151" s="429">
        <f t="shared" si="18"/>
        <v>2961</v>
      </c>
      <c r="C151" s="429">
        <f t="shared" si="19"/>
        <v>2966</v>
      </c>
      <c r="D151" s="430" t="str">
        <f t="shared" si="16"/>
        <v>A3076</v>
      </c>
      <c r="E151" s="430" t="str">
        <f>VLOOKUP(D151,'RCLIPS송신(일사천리론)_최종'!$B:$E,4,0)</f>
        <v>전업권연체등록건수</v>
      </c>
      <c r="F151" s="430">
        <f>VLOOKUP(D151,'RCLIPS송신(일사천리론)_최종'!$B:$D,2,0)</f>
        <v>0</v>
      </c>
      <c r="G151" s="430">
        <f>VLOOKUP($D151,'RCLIPS송신(일사천리론)_최종'!$B:$D,3,0)</f>
        <v>0</v>
      </c>
      <c r="H151" s="430" t="str">
        <f t="shared" si="17"/>
        <v>000000000000000</v>
      </c>
      <c r="I151" s="263" t="str">
        <f t="shared" si="20"/>
        <v>S0059</v>
      </c>
      <c r="J151" s="263" t="e">
        <f>VLOOKUP($I151,'RCLIPS수신(일사천리론)_최종'!$C:$F,2,0)</f>
        <v>#N/A</v>
      </c>
      <c r="K151" s="263" t="e">
        <f>VLOOKUP($I151,'RCLIPS수신(일사천리론)_최종'!$C:$F,3,0)</f>
        <v>#N/A</v>
      </c>
      <c r="L151" s="263" t="e">
        <f>VLOOKUP($I151,'RCLIPS수신(일사천리론)_최종'!$C:$F,4,0)</f>
        <v>#N/A</v>
      </c>
      <c r="M151" s="263" t="str">
        <f t="shared" si="21"/>
        <v>000000000000000</v>
      </c>
    </row>
    <row r="152" spans="1:13">
      <c r="A152" s="263"/>
      <c r="B152" s="429">
        <f t="shared" si="18"/>
        <v>2981</v>
      </c>
      <c r="C152" s="429">
        <f t="shared" si="19"/>
        <v>2986</v>
      </c>
      <c r="D152" s="430" t="str">
        <f t="shared" si="16"/>
        <v>A3077</v>
      </c>
      <c r="E152" s="430" t="str">
        <f>VLOOKUP(D152,'RCLIPS송신(일사천리론)_최종'!$B:$E,4,0)</f>
        <v>서민금융보증부대출건수</v>
      </c>
      <c r="F152" s="430">
        <f>VLOOKUP(D152,'RCLIPS송신(일사천리론)_최종'!$B:$D,2,0)</f>
        <v>0</v>
      </c>
      <c r="G152" s="430">
        <f>VLOOKUP($D152,'RCLIPS송신(일사천리론)_최종'!$B:$D,3,0)</f>
        <v>0</v>
      </c>
      <c r="H152" s="430" t="str">
        <f t="shared" si="17"/>
        <v>000000000000000</v>
      </c>
      <c r="I152" s="263" t="str">
        <f t="shared" si="20"/>
        <v>S0060</v>
      </c>
      <c r="J152" s="263" t="e">
        <f>VLOOKUP($I152,'RCLIPS수신(일사천리론)_최종'!$C:$F,2,0)</f>
        <v>#N/A</v>
      </c>
      <c r="K152" s="263" t="e">
        <f>VLOOKUP($I152,'RCLIPS수신(일사천리론)_최종'!$C:$F,3,0)</f>
        <v>#N/A</v>
      </c>
      <c r="L152" s="263" t="e">
        <f>VLOOKUP($I152,'RCLIPS수신(일사천리론)_최종'!$C:$F,4,0)</f>
        <v>#N/A</v>
      </c>
      <c r="M152" s="263" t="str">
        <f t="shared" si="21"/>
        <v>000000009999999</v>
      </c>
    </row>
    <row r="153" spans="1:13">
      <c r="A153" s="263"/>
      <c r="B153" s="429">
        <f t="shared" si="18"/>
        <v>3001</v>
      </c>
      <c r="C153" s="429">
        <f t="shared" si="19"/>
        <v>3006</v>
      </c>
      <c r="D153" s="430" t="str">
        <f t="shared" si="16"/>
        <v>A3078</v>
      </c>
      <c r="E153" s="430" t="str">
        <f>VLOOKUP(D153,'RCLIPS송신(일사천리론)_최종'!$B:$E,4,0)</f>
        <v>새희망홀씨대출총건수</v>
      </c>
      <c r="F153" s="430">
        <f>VLOOKUP(D153,'RCLIPS송신(일사천리론)_최종'!$B:$D,2,0)</f>
        <v>0</v>
      </c>
      <c r="G153" s="430">
        <f>VLOOKUP($D153,'RCLIPS송신(일사천리론)_최종'!$B:$D,3,0)</f>
        <v>0</v>
      </c>
      <c r="H153" s="430" t="str">
        <f t="shared" si="17"/>
        <v>000000000000000</v>
      </c>
      <c r="I153" s="263" t="str">
        <f t="shared" si="20"/>
        <v>S0061</v>
      </c>
      <c r="J153" s="263" t="e">
        <f>VLOOKUP($I153,'RCLIPS수신(일사천리론)_최종'!$C:$F,2,0)</f>
        <v>#N/A</v>
      </c>
      <c r="K153" s="263" t="e">
        <f>VLOOKUP($I153,'RCLIPS수신(일사천리론)_최종'!$C:$F,3,0)</f>
        <v>#N/A</v>
      </c>
      <c r="L153" s="263" t="e">
        <f>VLOOKUP($I153,'RCLIPS수신(일사천리론)_최종'!$C:$F,4,0)</f>
        <v>#N/A</v>
      </c>
      <c r="M153" s="263" t="str">
        <f t="shared" si="21"/>
        <v>000000009999999</v>
      </c>
    </row>
    <row r="154" spans="1:13">
      <c r="A154" s="263"/>
      <c r="B154" s="429">
        <f t="shared" si="18"/>
        <v>3021</v>
      </c>
      <c r="C154" s="429">
        <f t="shared" si="19"/>
        <v>3026</v>
      </c>
      <c r="D154" s="430" t="str">
        <f t="shared" si="16"/>
        <v>A3079</v>
      </c>
      <c r="E154" s="430" t="str">
        <f>VLOOKUP(D154,'RCLIPS송신(일사천리론)_최종'!$B:$E,4,0)</f>
        <v>캠코전환대출총건수</v>
      </c>
      <c r="F154" s="430">
        <f>VLOOKUP(D154,'RCLIPS송신(일사천리론)_최종'!$B:$D,2,0)</f>
        <v>0</v>
      </c>
      <c r="G154" s="430">
        <f>VLOOKUP($D154,'RCLIPS송신(일사천리론)_최종'!$B:$D,3,0)</f>
        <v>0</v>
      </c>
      <c r="H154" s="430" t="str">
        <f t="shared" si="17"/>
        <v>000000000000000</v>
      </c>
      <c r="I154" s="263" t="str">
        <f t="shared" si="20"/>
        <v>S0062</v>
      </c>
      <c r="J154" s="263" t="e">
        <f>VLOOKUP($I154,'RCLIPS수신(일사천리론)_최종'!$C:$F,2,0)</f>
        <v>#N/A</v>
      </c>
      <c r="K154" s="263" t="e">
        <f>VLOOKUP($I154,'RCLIPS수신(일사천리론)_최종'!$C:$F,3,0)</f>
        <v>#N/A</v>
      </c>
      <c r="L154" s="263" t="e">
        <f>VLOOKUP($I154,'RCLIPS수신(일사천리론)_최종'!$C:$F,4,0)</f>
        <v>#N/A</v>
      </c>
      <c r="M154" s="263" t="str">
        <f t="shared" si="21"/>
        <v>000000009999999</v>
      </c>
    </row>
    <row r="155" spans="1:13">
      <c r="A155" s="263"/>
      <c r="B155" s="429">
        <f t="shared" si="18"/>
        <v>3041</v>
      </c>
      <c r="C155" s="429">
        <f t="shared" si="19"/>
        <v>3046</v>
      </c>
      <c r="D155" s="430" t="str">
        <f t="shared" si="16"/>
        <v>A3080</v>
      </c>
      <c r="E155" s="430" t="str">
        <f>VLOOKUP(D155,'RCLIPS송신(일사천리론)_최종'!$B:$E,4,0)</f>
        <v>N세금체납건수</v>
      </c>
      <c r="F155" s="430">
        <f>VLOOKUP(D155,'RCLIPS송신(일사천리론)_최종'!$B:$D,2,0)</f>
        <v>0</v>
      </c>
      <c r="G155" s="430">
        <f>VLOOKUP($D155,'RCLIPS송신(일사천리론)_최종'!$B:$D,3,0)</f>
        <v>0</v>
      </c>
      <c r="H155" s="430" t="str">
        <f t="shared" si="17"/>
        <v>000000000000000</v>
      </c>
      <c r="I155" s="263" t="str">
        <f t="shared" si="20"/>
        <v>S0063</v>
      </c>
      <c r="J155" s="263" t="e">
        <f>VLOOKUP($I155,'RCLIPS수신(일사천리론)_최종'!$C:$F,2,0)</f>
        <v>#N/A</v>
      </c>
      <c r="K155" s="263" t="e">
        <f>VLOOKUP($I155,'RCLIPS수신(일사천리론)_최종'!$C:$F,3,0)</f>
        <v>#N/A</v>
      </c>
      <c r="L155" s="263" t="e">
        <f>VLOOKUP($I155,'RCLIPS수신(일사천리론)_최종'!$C:$F,4,0)</f>
        <v>#N/A</v>
      </c>
      <c r="M155" s="263" t="str">
        <f t="shared" si="21"/>
        <v>000000009999999</v>
      </c>
    </row>
    <row r="156" spans="1:13">
      <c r="A156" s="263"/>
      <c r="B156" s="429">
        <f t="shared" si="18"/>
        <v>3061</v>
      </c>
      <c r="C156" s="429">
        <f t="shared" si="19"/>
        <v>3066</v>
      </c>
      <c r="D156" s="430" t="str">
        <f t="shared" si="16"/>
        <v>A3081</v>
      </c>
      <c r="E156" s="430" t="str">
        <f>VLOOKUP(D156,'RCLIPS송신(일사천리론)_최종'!$B:$E,4,0)</f>
        <v>N부도정보건수</v>
      </c>
      <c r="F156" s="430">
        <f>VLOOKUP(D156,'RCLIPS송신(일사천리론)_최종'!$B:$D,2,0)</f>
        <v>0</v>
      </c>
      <c r="G156" s="430">
        <f>VLOOKUP($D156,'RCLIPS송신(일사천리론)_최종'!$B:$D,3,0)</f>
        <v>0</v>
      </c>
      <c r="H156" s="430" t="str">
        <f t="shared" si="17"/>
        <v>000000000000000</v>
      </c>
      <c r="I156" s="263" t="str">
        <f t="shared" si="20"/>
        <v>S0064</v>
      </c>
      <c r="J156" s="263" t="e">
        <f>VLOOKUP($I156,'RCLIPS수신(일사천리론)_최종'!$C:$F,2,0)</f>
        <v>#N/A</v>
      </c>
      <c r="K156" s="263" t="e">
        <f>VLOOKUP($I156,'RCLIPS수신(일사천리론)_최종'!$C:$F,3,0)</f>
        <v>#N/A</v>
      </c>
      <c r="L156" s="263" t="e">
        <f>VLOOKUP($I156,'RCLIPS수신(일사천리론)_최종'!$C:$F,4,0)</f>
        <v>#N/A</v>
      </c>
      <c r="M156" s="263" t="str">
        <f t="shared" si="21"/>
        <v>000000000000000</v>
      </c>
    </row>
    <row r="157" spans="1:13">
      <c r="A157" s="263"/>
      <c r="B157" s="429">
        <f t="shared" si="18"/>
        <v>3081</v>
      </c>
      <c r="C157" s="429">
        <f t="shared" si="19"/>
        <v>3086</v>
      </c>
      <c r="D157" s="430" t="str">
        <f t="shared" si="16"/>
        <v>A3082</v>
      </c>
      <c r="E157" s="430" t="str">
        <f>VLOOKUP(D157,'RCLIPS송신(일사천리론)_최종'!$B:$E,4,0)</f>
        <v>N연체대환대출총건수</v>
      </c>
      <c r="F157" s="430">
        <f>VLOOKUP(D157,'RCLIPS송신(일사천리론)_최종'!$B:$D,2,0)</f>
        <v>0</v>
      </c>
      <c r="G157" s="430">
        <f>VLOOKUP($D157,'RCLIPS송신(일사천리론)_최종'!$B:$D,3,0)</f>
        <v>0</v>
      </c>
      <c r="H157" s="430" t="str">
        <f t="shared" si="17"/>
        <v>000000000000000</v>
      </c>
      <c r="I157" s="263" t="str">
        <f t="shared" si="20"/>
        <v>S0065</v>
      </c>
      <c r="J157" s="263" t="e">
        <f>VLOOKUP($I157,'RCLIPS수신(일사천리론)_최종'!$C:$F,2,0)</f>
        <v>#N/A</v>
      </c>
      <c r="K157" s="263" t="e">
        <f>VLOOKUP($I157,'RCLIPS수신(일사천리론)_최종'!$C:$F,3,0)</f>
        <v>#N/A</v>
      </c>
      <c r="L157" s="263" t="e">
        <f>VLOOKUP($I157,'RCLIPS수신(일사천리론)_최종'!$C:$F,4,0)</f>
        <v>#N/A</v>
      </c>
      <c r="M157" s="263" t="str">
        <f t="shared" si="21"/>
        <v>000000000220120</v>
      </c>
    </row>
    <row r="158" spans="1:13">
      <c r="A158" s="263"/>
      <c r="B158" s="429">
        <f t="shared" si="18"/>
        <v>3101</v>
      </c>
      <c r="C158" s="429">
        <f t="shared" si="19"/>
        <v>3106</v>
      </c>
      <c r="D158" s="430" t="str">
        <f t="shared" si="16"/>
        <v>A3083</v>
      </c>
      <c r="E158" s="430" t="str">
        <f>VLOOKUP(D158,'RCLIPS송신(일사천리론)_최종'!$B:$E,4,0)</f>
        <v>N최근1년내최장연체경험기간</v>
      </c>
      <c r="F158" s="430">
        <f>VLOOKUP(D158,'RCLIPS송신(일사천리론)_최종'!$B:$D,2,0)</f>
        <v>0</v>
      </c>
      <c r="G158" s="430">
        <f>VLOOKUP($D158,'RCLIPS송신(일사천리론)_최종'!$B:$D,3,0)</f>
        <v>0</v>
      </c>
      <c r="H158" s="430" t="str">
        <f t="shared" si="17"/>
        <v>000000000000000</v>
      </c>
      <c r="I158" s="263" t="str">
        <f t="shared" si="20"/>
        <v>S0066</v>
      </c>
      <c r="J158" s="263" t="e">
        <f>VLOOKUP($I158,'RCLIPS수신(일사천리론)_최종'!$C:$F,2,0)</f>
        <v>#N/A</v>
      </c>
      <c r="K158" s="263" t="e">
        <f>VLOOKUP($I158,'RCLIPS수신(일사천리론)_최종'!$C:$F,3,0)</f>
        <v>#N/A</v>
      </c>
      <c r="L158" s="263" t="e">
        <f>VLOOKUP($I158,'RCLIPS수신(일사천리론)_최종'!$C:$F,4,0)</f>
        <v>#N/A</v>
      </c>
      <c r="M158" s="263" t="str">
        <f t="shared" si="21"/>
        <v>000000000220120</v>
      </c>
    </row>
    <row r="159" spans="1:13">
      <c r="A159" s="263"/>
      <c r="B159" s="429">
        <f t="shared" si="18"/>
        <v>3121</v>
      </c>
      <c r="C159" s="429">
        <f t="shared" si="19"/>
        <v>3126</v>
      </c>
      <c r="D159" s="430" t="str">
        <f t="shared" si="16"/>
        <v>A3084</v>
      </c>
      <c r="E159" s="430" t="str">
        <f>VLOOKUP(D159,'RCLIPS송신(일사천리론)_최종'!$B:$E,4,0)</f>
        <v>N최근1개월내현금서비스이용기관수</v>
      </c>
      <c r="F159" s="430">
        <f>VLOOKUP(D159,'RCLIPS송신(일사천리론)_최종'!$B:$D,2,0)</f>
        <v>0</v>
      </c>
      <c r="G159" s="430">
        <f>VLOOKUP($D159,'RCLIPS송신(일사천리론)_최종'!$B:$D,3,0)</f>
        <v>0</v>
      </c>
      <c r="H159" s="430" t="str">
        <f t="shared" si="17"/>
        <v>000000000000000</v>
      </c>
      <c r="I159" s="263" t="str">
        <f t="shared" si="20"/>
        <v>S0067</v>
      </c>
      <c r="J159" s="263" t="e">
        <f>VLOOKUP($I159,'RCLIPS수신(일사천리론)_최종'!$C:$F,2,0)</f>
        <v>#N/A</v>
      </c>
      <c r="K159" s="263" t="e">
        <f>VLOOKUP($I159,'RCLIPS수신(일사천리론)_최종'!$C:$F,3,0)</f>
        <v>#N/A</v>
      </c>
      <c r="L159" s="263" t="e">
        <f>VLOOKUP($I159,'RCLIPS수신(일사천리론)_최종'!$C:$F,4,0)</f>
        <v>#N/A</v>
      </c>
      <c r="M159" s="263" t="str">
        <f t="shared" si="21"/>
        <v>000000000000000</v>
      </c>
    </row>
    <row r="160" spans="1:13">
      <c r="A160" s="263"/>
      <c r="B160" s="429">
        <f t="shared" si="18"/>
        <v>3141</v>
      </c>
      <c r="C160" s="429">
        <f t="shared" si="19"/>
        <v>3146</v>
      </c>
      <c r="D160" s="430" t="str">
        <f t="shared" si="16"/>
        <v>A3085</v>
      </c>
      <c r="E160" s="430" t="str">
        <f>VLOOKUP(D160,'RCLIPS송신(일사천리론)_최종'!$B:$E,4,0)</f>
        <v>N카드론CA리볼빙이용기관수</v>
      </c>
      <c r="F160" s="430">
        <f>VLOOKUP(D160,'RCLIPS송신(일사천리론)_최종'!$B:$D,2,0)</f>
        <v>0</v>
      </c>
      <c r="G160" s="430">
        <f>VLOOKUP($D160,'RCLIPS송신(일사천리론)_최종'!$B:$D,3,0)</f>
        <v>0</v>
      </c>
      <c r="H160" s="430" t="str">
        <f t="shared" si="17"/>
        <v>000000000000000</v>
      </c>
      <c r="I160" s="263" t="str">
        <f t="shared" si="20"/>
        <v>S0068</v>
      </c>
      <c r="J160" s="263" t="e">
        <f>VLOOKUP($I160,'RCLIPS수신(일사천리론)_최종'!$C:$F,2,0)</f>
        <v>#N/A</v>
      </c>
      <c r="K160" s="263" t="e">
        <f>VLOOKUP($I160,'RCLIPS수신(일사천리론)_최종'!$C:$F,3,0)</f>
        <v>#N/A</v>
      </c>
      <c r="L160" s="263" t="e">
        <f>VLOOKUP($I160,'RCLIPS수신(일사천리론)_최종'!$C:$F,4,0)</f>
        <v>#N/A</v>
      </c>
      <c r="M160" s="263" t="str">
        <f t="shared" si="21"/>
        <v>000000000000000</v>
      </c>
    </row>
    <row r="161" spans="1:13">
      <c r="A161" s="263"/>
      <c r="B161" s="429">
        <f t="shared" si="18"/>
        <v>3161</v>
      </c>
      <c r="C161" s="429">
        <f t="shared" si="19"/>
        <v>3166</v>
      </c>
      <c r="D161" s="430" t="str">
        <f t="shared" si="16"/>
        <v>A3086</v>
      </c>
      <c r="E161" s="430" t="str">
        <f>VLOOKUP(D161,'RCLIPS송신(일사천리론)_최종'!$B:$E,4,0)</f>
        <v>안전망대출미해제대출총건수</v>
      </c>
      <c r="F161" s="430">
        <f>VLOOKUP(D161,'RCLIPS송신(일사천리론)_최종'!$B:$D,2,0)</f>
        <v>0</v>
      </c>
      <c r="G161" s="430">
        <f>VLOOKUP($D161,'RCLIPS송신(일사천리론)_최종'!$B:$D,3,0)</f>
        <v>0</v>
      </c>
      <c r="H161" s="430" t="str">
        <f t="shared" si="17"/>
        <v>000000000000000</v>
      </c>
      <c r="I161" s="263" t="str">
        <f t="shared" si="20"/>
        <v>S0069</v>
      </c>
      <c r="J161" s="263" t="e">
        <f>VLOOKUP($I161,'RCLIPS수신(일사천리론)_최종'!$C:$F,2,0)</f>
        <v>#N/A</v>
      </c>
      <c r="K161" s="263" t="e">
        <f>VLOOKUP($I161,'RCLIPS수신(일사천리론)_최종'!$C:$F,3,0)</f>
        <v>#N/A</v>
      </c>
      <c r="L161" s="263" t="e">
        <f>VLOOKUP($I161,'RCLIPS수신(일사천리론)_최종'!$C:$F,4,0)</f>
        <v>#N/A</v>
      </c>
      <c r="M161" s="263" t="str">
        <f t="shared" si="21"/>
        <v>000000000000000</v>
      </c>
    </row>
    <row r="162" spans="1:13">
      <c r="A162" s="263"/>
      <c r="B162" s="429">
        <f t="shared" si="18"/>
        <v>3181</v>
      </c>
      <c r="C162" s="429">
        <f t="shared" si="19"/>
        <v>3186</v>
      </c>
      <c r="D162" s="430" t="str">
        <f t="shared" si="16"/>
        <v>A3087</v>
      </c>
      <c r="E162" s="430" t="str">
        <f>VLOOKUP(D162,'RCLIPS송신(일사천리론)_최종'!$B:$E,4,0)</f>
        <v>사잇돌대출미해제대출총건수</v>
      </c>
      <c r="F162" s="430">
        <f>VLOOKUP(D162,'RCLIPS송신(일사천리론)_최종'!$B:$D,2,0)</f>
        <v>0</v>
      </c>
      <c r="G162" s="430">
        <f>VLOOKUP($D162,'RCLIPS송신(일사천리론)_최종'!$B:$D,3,0)</f>
        <v>0</v>
      </c>
      <c r="H162" s="430" t="str">
        <f t="shared" si="17"/>
        <v>000000000000000</v>
      </c>
      <c r="I162" s="263" t="str">
        <f t="shared" si="20"/>
        <v>S0070</v>
      </c>
      <c r="J162" s="263" t="e">
        <f>VLOOKUP($I162,'RCLIPS수신(일사천리론)_최종'!$C:$F,2,0)</f>
        <v>#N/A</v>
      </c>
      <c r="K162" s="263" t="e">
        <f>VLOOKUP($I162,'RCLIPS수신(일사천리론)_최종'!$C:$F,3,0)</f>
        <v>#N/A</v>
      </c>
      <c r="L162" s="263" t="e">
        <f>VLOOKUP($I162,'RCLIPS수신(일사천리론)_최종'!$C:$F,4,0)</f>
        <v>#N/A</v>
      </c>
      <c r="M162" s="263" t="str">
        <f t="shared" si="21"/>
        <v>000000000000002</v>
      </c>
    </row>
    <row r="163" spans="1:13">
      <c r="A163" s="263"/>
      <c r="B163" s="429">
        <f t="shared" si="18"/>
        <v>3201</v>
      </c>
      <c r="C163" s="429">
        <f t="shared" si="19"/>
        <v>3206</v>
      </c>
      <c r="D163" s="430" t="str">
        <f t="shared" si="16"/>
        <v>A3088</v>
      </c>
      <c r="E163" s="430" t="str">
        <f>VLOOKUP(D163,'RCLIPS송신(일사천리론)_최종'!$B:$E,4,0)</f>
        <v>햇살론17미해제대출총건수</v>
      </c>
      <c r="F163" s="430">
        <f>VLOOKUP(D163,'RCLIPS송신(일사천리론)_최종'!$B:$D,2,0)</f>
        <v>0</v>
      </c>
      <c r="G163" s="430">
        <f>VLOOKUP($D163,'RCLIPS송신(일사천리론)_최종'!$B:$D,3,0)</f>
        <v>0</v>
      </c>
      <c r="H163" s="430" t="str">
        <f t="shared" si="17"/>
        <v>000000000000000</v>
      </c>
      <c r="I163" s="263" t="str">
        <f t="shared" si="20"/>
        <v>S0071</v>
      </c>
      <c r="J163" s="263" t="e">
        <f>VLOOKUP($I163,'RCLIPS수신(일사천리론)_최종'!$C:$F,2,0)</f>
        <v>#N/A</v>
      </c>
      <c r="K163" s="263" t="e">
        <f>VLOOKUP($I163,'RCLIPS수신(일사천리론)_최종'!$C:$F,3,0)</f>
        <v>#N/A</v>
      </c>
      <c r="L163" s="263" t="e">
        <f>VLOOKUP($I163,'RCLIPS수신(일사천리론)_최종'!$C:$F,4,0)</f>
        <v>#N/A</v>
      </c>
      <c r="M163" s="263" t="str">
        <f t="shared" si="21"/>
        <v>000000000000001</v>
      </c>
    </row>
    <row r="164" spans="1:13">
      <c r="A164" s="263"/>
      <c r="B164" s="429">
        <f t="shared" si="18"/>
        <v>3221</v>
      </c>
      <c r="C164" s="429">
        <f t="shared" si="19"/>
        <v>3226</v>
      </c>
      <c r="D164" s="430" t="str">
        <f t="shared" si="16"/>
        <v>A3089</v>
      </c>
      <c r="E164" s="430" t="str">
        <f>VLOOKUP(D164,'RCLIPS송신(일사천리론)_최종'!$B:$E,4,0)</f>
        <v>서민금융대출미해제대출총잔액</v>
      </c>
      <c r="F164" s="430">
        <f>VLOOKUP(D164,'RCLIPS송신(일사천리론)_최종'!$B:$D,2,0)</f>
        <v>0</v>
      </c>
      <c r="G164" s="430">
        <f>VLOOKUP($D164,'RCLIPS송신(일사천리론)_최종'!$B:$D,3,0)</f>
        <v>0</v>
      </c>
      <c r="H164" s="430" t="str">
        <f t="shared" si="17"/>
        <v>000000000000000</v>
      </c>
      <c r="I164" s="263" t="str">
        <f t="shared" si="20"/>
        <v>S0072</v>
      </c>
      <c r="J164" s="263" t="e">
        <f>VLOOKUP($I164,'RCLIPS수신(일사천리론)_최종'!$C:$F,2,0)</f>
        <v>#N/A</v>
      </c>
      <c r="K164" s="263" t="e">
        <f>VLOOKUP($I164,'RCLIPS수신(일사천리론)_최종'!$C:$F,3,0)</f>
        <v>#N/A</v>
      </c>
      <c r="L164" s="263" t="e">
        <f>VLOOKUP($I164,'RCLIPS수신(일사천리론)_최종'!$C:$F,4,0)</f>
        <v>#N/A</v>
      </c>
      <c r="M164" s="263" t="str">
        <f t="shared" si="21"/>
        <v>000000000002738</v>
      </c>
    </row>
    <row r="165" spans="1:13">
      <c r="A165" s="263"/>
      <c r="B165" s="429">
        <f t="shared" si="18"/>
        <v>3241</v>
      </c>
      <c r="C165" s="429">
        <f t="shared" si="19"/>
        <v>3246</v>
      </c>
      <c r="D165" s="430" t="str">
        <f t="shared" si="16"/>
        <v>A3090</v>
      </c>
      <c r="E165" s="430" t="str">
        <f>VLOOKUP(D165,'RCLIPS송신(일사천리론)_최종'!$B:$E,4,0)</f>
        <v>특정특수상품대출미해제보유여부</v>
      </c>
      <c r="F165" s="430">
        <f>VLOOKUP(D165,'RCLIPS송신(일사천리론)_최종'!$B:$D,2,0)</f>
        <v>0</v>
      </c>
      <c r="G165" s="430">
        <f>VLOOKUP($D165,'RCLIPS송신(일사천리론)_최종'!$B:$D,3,0)</f>
        <v>0</v>
      </c>
      <c r="H165" s="430" t="str">
        <f t="shared" si="17"/>
        <v>000000000000000</v>
      </c>
      <c r="I165" s="263" t="str">
        <f t="shared" si="20"/>
        <v>S0073</v>
      </c>
      <c r="J165" s="263" t="e">
        <f>VLOOKUP($I165,'RCLIPS수신(일사천리론)_최종'!$C:$F,2,0)</f>
        <v>#N/A</v>
      </c>
      <c r="K165" s="263" t="e">
        <f>VLOOKUP($I165,'RCLIPS수신(일사천리론)_최종'!$C:$F,3,0)</f>
        <v>#N/A</v>
      </c>
      <c r="L165" s="263" t="e">
        <f>VLOOKUP($I165,'RCLIPS수신(일사천리론)_최종'!$C:$F,4,0)</f>
        <v>#N/A</v>
      </c>
      <c r="M165" s="263" t="str">
        <f t="shared" si="21"/>
        <v>000000000000420</v>
      </c>
    </row>
    <row r="166" spans="1:13">
      <c r="A166" s="263"/>
      <c r="B166" s="429">
        <f t="shared" si="18"/>
        <v>3261</v>
      </c>
      <c r="C166" s="429">
        <f t="shared" si="19"/>
        <v>3266</v>
      </c>
      <c r="D166" s="430" t="str">
        <f t="shared" si="16"/>
        <v>A3091</v>
      </c>
      <c r="E166" s="430" t="str">
        <f>VLOOKUP(D166,'RCLIPS송신(일사천리론)_최종'!$B:$E,4,0)</f>
        <v>미해제정책서민금융상품보유여부</v>
      </c>
      <c r="F166" s="430">
        <f>VLOOKUP(D166,'RCLIPS송신(일사천리론)_최종'!$B:$D,2,0)</f>
        <v>0</v>
      </c>
      <c r="G166" s="430">
        <f>VLOOKUP($D166,'RCLIPS송신(일사천리론)_최종'!$B:$D,3,0)</f>
        <v>0</v>
      </c>
      <c r="H166" s="430" t="str">
        <f t="shared" si="17"/>
        <v>000000000000000</v>
      </c>
      <c r="I166" s="263" t="str">
        <f t="shared" si="20"/>
        <v>S0074</v>
      </c>
      <c r="J166" s="263" t="e">
        <f>VLOOKUP($I166,'RCLIPS수신(일사천리론)_최종'!$C:$F,2,0)</f>
        <v>#N/A</v>
      </c>
      <c r="K166" s="263" t="e">
        <f>VLOOKUP($I166,'RCLIPS수신(일사천리론)_최종'!$C:$F,3,0)</f>
        <v>#N/A</v>
      </c>
      <c r="L166" s="263" t="e">
        <f>VLOOKUP($I166,'RCLIPS수신(일사천리론)_최종'!$C:$F,4,0)</f>
        <v>#N/A</v>
      </c>
      <c r="M166" s="263" t="str">
        <f t="shared" si="21"/>
        <v>000000000000000</v>
      </c>
    </row>
    <row r="167" spans="1:13">
      <c r="A167" s="263"/>
      <c r="B167" s="429">
        <f t="shared" si="18"/>
        <v>3281</v>
      </c>
      <c r="C167" s="429">
        <f t="shared" si="19"/>
        <v>3286</v>
      </c>
      <c r="D167" s="430" t="str">
        <f t="shared" si="16"/>
        <v>A3092</v>
      </c>
      <c r="E167" s="430" t="str">
        <f>VLOOKUP(D167,'RCLIPS송신(일사천리론)_최종'!$B:$E,4,0)</f>
        <v>안전망대출미해제연체총건수</v>
      </c>
      <c r="F167" s="430">
        <f>VLOOKUP(D167,'RCLIPS송신(일사천리론)_최종'!$B:$D,2,0)</f>
        <v>0</v>
      </c>
      <c r="G167" s="430">
        <f>VLOOKUP($D167,'RCLIPS송신(일사천리론)_최종'!$B:$D,3,0)</f>
        <v>0</v>
      </c>
      <c r="H167" s="430" t="str">
        <f t="shared" si="17"/>
        <v>000000000000000</v>
      </c>
      <c r="I167" s="263" t="str">
        <f t="shared" si="20"/>
        <v>S0075</v>
      </c>
      <c r="J167" s="263" t="e">
        <f>VLOOKUP($I167,'RCLIPS수신(일사천리론)_최종'!$C:$F,2,0)</f>
        <v>#N/A</v>
      </c>
      <c r="K167" s="263" t="e">
        <f>VLOOKUP($I167,'RCLIPS수신(일사천리론)_최종'!$C:$F,3,0)</f>
        <v>#N/A</v>
      </c>
      <c r="L167" s="263" t="e">
        <f>VLOOKUP($I167,'RCLIPS수신(일사천리론)_최종'!$C:$F,4,0)</f>
        <v>#N/A</v>
      </c>
      <c r="M167" s="263" t="str">
        <f t="shared" si="21"/>
        <v>000000000000000</v>
      </c>
    </row>
    <row r="168" spans="1:13">
      <c r="A168" s="263"/>
      <c r="B168" s="429">
        <f t="shared" si="18"/>
        <v>3301</v>
      </c>
      <c r="C168" s="429">
        <f t="shared" si="19"/>
        <v>3306</v>
      </c>
      <c r="D168" s="430" t="str">
        <f t="shared" si="16"/>
        <v>A3093</v>
      </c>
      <c r="E168" s="430" t="str">
        <f>VLOOKUP(D168,'RCLIPS송신(일사천리론)_최종'!$B:$E,4,0)</f>
        <v>최근3년내안전망대출연체총건수</v>
      </c>
      <c r="F168" s="430">
        <f>VLOOKUP(D168,'RCLIPS송신(일사천리론)_최종'!$B:$D,2,0)</f>
        <v>0</v>
      </c>
      <c r="G168" s="430">
        <f>VLOOKUP($D168,'RCLIPS송신(일사천리론)_최종'!$B:$D,3,0)</f>
        <v>0</v>
      </c>
      <c r="H168" s="430" t="str">
        <f t="shared" si="17"/>
        <v>000000000000000</v>
      </c>
      <c r="I168" s="263" t="str">
        <f t="shared" si="20"/>
        <v>S0076</v>
      </c>
      <c r="J168" s="263" t="e">
        <f>VLOOKUP($I168,'RCLIPS수신(일사천리론)_최종'!$C:$F,2,0)</f>
        <v>#N/A</v>
      </c>
      <c r="K168" s="263" t="e">
        <f>VLOOKUP($I168,'RCLIPS수신(일사천리론)_최종'!$C:$F,3,0)</f>
        <v>#N/A</v>
      </c>
      <c r="L168" s="263" t="e">
        <f>VLOOKUP($I168,'RCLIPS수신(일사천리론)_최종'!$C:$F,4,0)</f>
        <v>#N/A</v>
      </c>
      <c r="M168" s="263" t="str">
        <f t="shared" si="21"/>
        <v>000000000000000</v>
      </c>
    </row>
    <row r="169" spans="1:13">
      <c r="A169" s="263"/>
      <c r="B169" s="429">
        <f t="shared" si="18"/>
        <v>3321</v>
      </c>
      <c r="C169" s="429">
        <f t="shared" si="19"/>
        <v>3326</v>
      </c>
      <c r="D169" s="430" t="str">
        <f t="shared" si="16"/>
        <v>A3094</v>
      </c>
      <c r="E169" s="430" t="str">
        <f>VLOOKUP(D169,'RCLIPS송신(일사천리론)_최종'!$B:$E,4,0)</f>
        <v>N1M햇살론사잇돌발생총건수</v>
      </c>
      <c r="F169" s="430">
        <f>VLOOKUP(D169,'RCLIPS송신(일사천리론)_최종'!$B:$D,2,0)</f>
        <v>0</v>
      </c>
      <c r="G169" s="430">
        <f>VLOOKUP($D169,'RCLIPS송신(일사천리론)_최종'!$B:$D,3,0)</f>
        <v>0</v>
      </c>
      <c r="H169" s="430" t="str">
        <f t="shared" si="17"/>
        <v>000000000000000</v>
      </c>
      <c r="I169" s="263" t="str">
        <f t="shared" si="20"/>
        <v>S0077</v>
      </c>
      <c r="J169" s="263" t="e">
        <f>VLOOKUP($I169,'RCLIPS수신(일사천리론)_최종'!$C:$F,2,0)</f>
        <v>#N/A</v>
      </c>
      <c r="K169" s="263" t="e">
        <f>VLOOKUP($I169,'RCLIPS수신(일사천리론)_최종'!$C:$F,3,0)</f>
        <v>#N/A</v>
      </c>
      <c r="L169" s="263" t="e">
        <f>VLOOKUP($I169,'RCLIPS수신(일사천리론)_최종'!$C:$F,4,0)</f>
        <v>#N/A</v>
      </c>
      <c r="M169" s="263" t="str">
        <f t="shared" si="21"/>
        <v>000000000000000</v>
      </c>
    </row>
    <row r="170" spans="1:13">
      <c r="A170" s="263"/>
      <c r="B170" s="429">
        <f t="shared" si="18"/>
        <v>3341</v>
      </c>
      <c r="C170" s="429">
        <f t="shared" si="19"/>
        <v>3346</v>
      </c>
      <c r="D170" s="430" t="str">
        <f t="shared" si="16"/>
        <v>A3095</v>
      </c>
      <c r="E170" s="430" t="str">
        <f>VLOOKUP(D170,'RCLIPS송신(일사천리론)_최종'!$B:$E,4,0)</f>
        <v>네이버페이스코어등급</v>
      </c>
      <c r="F170" s="430">
        <f>VLOOKUP(D170,'RCLIPS송신(일사천리론)_최종'!$B:$D,2,0)</f>
        <v>0</v>
      </c>
      <c r="G170" s="430">
        <f>VLOOKUP($D170,'RCLIPS송신(일사천리론)_최종'!$B:$D,3,0)</f>
        <v>0</v>
      </c>
      <c r="H170" s="430" t="str">
        <f t="shared" si="17"/>
        <v xml:space="preserve">0000           </v>
      </c>
      <c r="I170" s="263" t="str">
        <f t="shared" si="20"/>
        <v>S0078</v>
      </c>
      <c r="J170" s="263" t="e">
        <f>VLOOKUP($I170,'RCLIPS수신(일사천리론)_최종'!$C:$F,2,0)</f>
        <v>#N/A</v>
      </c>
      <c r="K170" s="263" t="e">
        <f>VLOOKUP($I170,'RCLIPS수신(일사천리론)_최종'!$C:$F,3,0)</f>
        <v>#N/A</v>
      </c>
      <c r="L170" s="263" t="e">
        <f>VLOOKUP($I170,'RCLIPS수신(일사천리론)_최종'!$C:$F,4,0)</f>
        <v>#N/A</v>
      </c>
      <c r="M170" s="263" t="str">
        <f t="shared" si="21"/>
        <v>000000000000000</v>
      </c>
    </row>
    <row r="171" spans="1:13">
      <c r="A171" s="263"/>
      <c r="B171" s="429">
        <f t="shared" si="18"/>
        <v>3361</v>
      </c>
      <c r="C171" s="429">
        <f t="shared" si="19"/>
        <v>3366</v>
      </c>
      <c r="D171" s="430" t="str">
        <f t="shared" si="16"/>
        <v>A3096</v>
      </c>
      <c r="E171" s="430" t="str">
        <f>VLOOKUP(D171,'RCLIPS송신(일사천리론)_최종'!$B:$E,4,0)</f>
        <v>네이버페이스코어등급_Thin</v>
      </c>
      <c r="F171" s="430">
        <f>VLOOKUP(D171,'RCLIPS송신(일사천리론)_최종'!$B:$D,2,0)</f>
        <v>0</v>
      </c>
      <c r="G171" s="430">
        <f>VLOOKUP($D171,'RCLIPS송신(일사천리론)_최종'!$B:$D,3,0)</f>
        <v>0</v>
      </c>
      <c r="H171" s="430" t="str">
        <f t="shared" si="17"/>
        <v xml:space="preserve">0000           </v>
      </c>
      <c r="I171" s="263" t="str">
        <f t="shared" si="20"/>
        <v>S0079</v>
      </c>
      <c r="J171" s="263" t="e">
        <f>VLOOKUP($I171,'RCLIPS수신(일사천리론)_최종'!$C:$F,2,0)</f>
        <v>#N/A</v>
      </c>
      <c r="K171" s="263" t="e">
        <f>VLOOKUP($I171,'RCLIPS수신(일사천리론)_최종'!$C:$F,3,0)</f>
        <v>#N/A</v>
      </c>
      <c r="L171" s="263" t="e">
        <f>VLOOKUP($I171,'RCLIPS수신(일사천리론)_최종'!$C:$F,4,0)</f>
        <v>#N/A</v>
      </c>
      <c r="M171" s="263" t="str">
        <f t="shared" si="21"/>
        <v>000000000000000</v>
      </c>
    </row>
    <row r="172" spans="1:13">
      <c r="A172" s="263"/>
      <c r="B172" s="429">
        <f t="shared" si="18"/>
        <v>3381</v>
      </c>
      <c r="C172" s="429">
        <f t="shared" si="19"/>
        <v>3386</v>
      </c>
      <c r="D172" s="430" t="str">
        <f t="shared" si="16"/>
        <v>B3001</v>
      </c>
      <c r="E172" s="430" t="str">
        <f>VLOOKUP(D172,'RCLIPS송신(일사천리론)_최종'!$B:$E,4,0)</f>
        <v>N1년미해지CB거래건수</v>
      </c>
      <c r="F172" s="430" t="str">
        <f>VLOOKUP(D172,'RCLIPS송신(일사천리론)_최종'!$B:$D,2,0)</f>
        <v>N</v>
      </c>
      <c r="G172" s="430" t="str">
        <f>VLOOKUP($D172,'RCLIPS송신(일사천리론)_최종'!$B:$D,3,0)</f>
        <v>15</v>
      </c>
      <c r="H172" s="430" t="str">
        <f t="shared" si="17"/>
        <v>000000000000000</v>
      </c>
      <c r="I172" s="263" t="str">
        <f t="shared" si="20"/>
        <v>S0080</v>
      </c>
      <c r="J172" s="263" t="e">
        <f>VLOOKUP($I172,'RCLIPS수신(일사천리론)_최종'!$C:$F,2,0)</f>
        <v>#N/A</v>
      </c>
      <c r="K172" s="263" t="e">
        <f>VLOOKUP($I172,'RCLIPS수신(일사천리론)_최종'!$C:$F,3,0)</f>
        <v>#N/A</v>
      </c>
      <c r="L172" s="263" t="e">
        <f>VLOOKUP($I172,'RCLIPS수신(일사천리론)_최종'!$C:$F,4,0)</f>
        <v>#N/A</v>
      </c>
      <c r="M172" s="263" t="str">
        <f t="shared" si="21"/>
        <v>000000000005048</v>
      </c>
    </row>
    <row r="173" spans="1:13">
      <c r="A173" s="263"/>
      <c r="B173" s="429">
        <f t="shared" si="18"/>
        <v>3401</v>
      </c>
      <c r="C173" s="429">
        <f t="shared" si="19"/>
        <v>3406</v>
      </c>
      <c r="D173" s="430" t="str">
        <f t="shared" si="16"/>
        <v>B3002</v>
      </c>
      <c r="E173" s="430" t="str">
        <f>VLOOKUP(D173,'RCLIPS송신(일사천리론)_최종'!$B:$E,4,0)</f>
        <v>동일일신용대출발생2건이상합계</v>
      </c>
      <c r="F173" s="430" t="str">
        <f>VLOOKUP(D173,'RCLIPS송신(일사천리론)_최종'!$B:$D,2,0)</f>
        <v>N</v>
      </c>
      <c r="G173" s="430" t="str">
        <f>VLOOKUP($D173,'RCLIPS송신(일사천리론)_최종'!$B:$D,3,0)</f>
        <v>15</v>
      </c>
      <c r="H173" s="430" t="str">
        <f t="shared" si="17"/>
        <v>000000000000000</v>
      </c>
      <c r="I173" s="263" t="str">
        <f t="shared" si="20"/>
        <v>S0081</v>
      </c>
      <c r="J173" s="263" t="e">
        <f>VLOOKUP($I173,'RCLIPS수신(일사천리론)_최종'!$C:$F,2,0)</f>
        <v>#N/A</v>
      </c>
      <c r="K173" s="263" t="e">
        <f>VLOOKUP($I173,'RCLIPS수신(일사천리론)_최종'!$C:$F,3,0)</f>
        <v>#N/A</v>
      </c>
      <c r="L173" s="263" t="e">
        <f>VLOOKUP($I173,'RCLIPS수신(일사천리론)_최종'!$C:$F,4,0)</f>
        <v>#N/A</v>
      </c>
      <c r="M173" s="263" t="str">
        <f t="shared" si="21"/>
        <v>000000000000000</v>
      </c>
    </row>
    <row r="174" spans="1:13">
      <c r="A174" s="263"/>
      <c r="B174" s="429">
        <f t="shared" si="18"/>
        <v>3421</v>
      </c>
      <c r="C174" s="429">
        <f t="shared" si="19"/>
        <v>3426</v>
      </c>
      <c r="D174" s="430" t="str">
        <f t="shared" si="16"/>
        <v>B3003</v>
      </c>
      <c r="E174" s="430" t="str">
        <f>VLOOKUP(D174,'RCLIPS송신(일사천리론)_최종'!$B:$E,4,0)</f>
        <v>최초대출개설경과일수</v>
      </c>
      <c r="F174" s="430" t="str">
        <f>VLOOKUP(D174,'RCLIPS송신(일사천리론)_최종'!$B:$D,2,0)</f>
        <v>N</v>
      </c>
      <c r="G174" s="430" t="str">
        <f>VLOOKUP($D174,'RCLIPS송신(일사천리론)_최종'!$B:$D,3,0)</f>
        <v>15</v>
      </c>
      <c r="H174" s="430" t="str">
        <f t="shared" si="17"/>
        <v>000000000003940</v>
      </c>
      <c r="I174" s="263" t="str">
        <f t="shared" si="20"/>
        <v>S0082</v>
      </c>
      <c r="J174" s="263" t="e">
        <f>VLOOKUP($I174,'RCLIPS수신(일사천리론)_최종'!$C:$F,2,0)</f>
        <v>#N/A</v>
      </c>
      <c r="K174" s="263" t="e">
        <f>VLOOKUP($I174,'RCLIPS수신(일사천리론)_최종'!$C:$F,3,0)</f>
        <v>#N/A</v>
      </c>
      <c r="L174" s="263" t="e">
        <f>VLOOKUP($I174,'RCLIPS수신(일사천리론)_최종'!$C:$F,4,0)</f>
        <v>#N/A</v>
      </c>
      <c r="M174" s="263" t="str">
        <f t="shared" si="21"/>
        <v>000000000000000</v>
      </c>
    </row>
    <row r="175" spans="1:13">
      <c r="A175" s="263"/>
      <c r="B175" s="429">
        <f t="shared" si="18"/>
        <v>3441</v>
      </c>
      <c r="C175" s="429">
        <f t="shared" si="19"/>
        <v>3446</v>
      </c>
      <c r="D175" s="430" t="str">
        <f t="shared" si="16"/>
        <v>B3004</v>
      </c>
      <c r="E175" s="430" t="str">
        <f>VLOOKUP(D175,'RCLIPS송신(일사천리론)_최종'!$B:$E,4,0)</f>
        <v>최근대출개설경과일수</v>
      </c>
      <c r="F175" s="430" t="str">
        <f>VLOOKUP(D175,'RCLIPS송신(일사천리론)_최종'!$B:$D,2,0)</f>
        <v>N</v>
      </c>
      <c r="G175" s="430" t="str">
        <f>VLOOKUP($D175,'RCLIPS송신(일사천리론)_최종'!$B:$D,3,0)</f>
        <v>15</v>
      </c>
      <c r="H175" s="430" t="str">
        <f t="shared" si="17"/>
        <v>000000000001887</v>
      </c>
      <c r="I175" s="263" t="str">
        <f t="shared" si="20"/>
        <v>S0083</v>
      </c>
      <c r="J175" s="263" t="e">
        <f>VLOOKUP($I175,'RCLIPS수신(일사천리론)_최종'!$C:$F,2,0)</f>
        <v>#N/A</v>
      </c>
      <c r="K175" s="263" t="e">
        <f>VLOOKUP($I175,'RCLIPS수신(일사천리론)_최종'!$C:$F,3,0)</f>
        <v>#N/A</v>
      </c>
      <c r="L175" s="263" t="e">
        <f>VLOOKUP($I175,'RCLIPS수신(일사천리론)_최종'!$C:$F,4,0)</f>
        <v>#N/A</v>
      </c>
      <c r="M175" s="263" t="str">
        <f t="shared" si="21"/>
        <v>000000000000000</v>
      </c>
    </row>
    <row r="176" spans="1:13">
      <c r="A176" s="263"/>
      <c r="B176" s="429">
        <f t="shared" si="18"/>
        <v>3461</v>
      </c>
      <c r="C176" s="429">
        <f t="shared" si="19"/>
        <v>3466</v>
      </c>
      <c r="D176" s="430" t="str">
        <f t="shared" si="16"/>
        <v>B3005</v>
      </c>
      <c r="E176" s="430" t="str">
        <f>VLOOKUP(D176,'RCLIPS송신(일사천리론)_최종'!$B:$E,4,0)</f>
        <v>N6월캐피탈대출건수</v>
      </c>
      <c r="F176" s="430" t="str">
        <f>VLOOKUP(D176,'RCLIPS송신(일사천리론)_최종'!$B:$D,2,0)</f>
        <v>N</v>
      </c>
      <c r="G176" s="430" t="str">
        <f>VLOOKUP($D176,'RCLIPS송신(일사천리론)_최종'!$B:$D,3,0)</f>
        <v>15</v>
      </c>
      <c r="H176" s="430" t="str">
        <f t="shared" si="17"/>
        <v>000000000000000</v>
      </c>
      <c r="I176" s="263" t="str">
        <f t="shared" si="20"/>
        <v>S0084</v>
      </c>
      <c r="J176" s="263" t="e">
        <f>VLOOKUP($I176,'RCLIPS수신(일사천리론)_최종'!$C:$F,2,0)</f>
        <v>#N/A</v>
      </c>
      <c r="K176" s="263" t="e">
        <f>VLOOKUP($I176,'RCLIPS수신(일사천리론)_최종'!$C:$F,3,0)</f>
        <v>#N/A</v>
      </c>
      <c r="L176" s="263" t="e">
        <f>VLOOKUP($I176,'RCLIPS수신(일사천리론)_최종'!$C:$F,4,0)</f>
        <v>#N/A</v>
      </c>
      <c r="M176" s="263" t="str">
        <f t="shared" si="21"/>
        <v>000000000000000</v>
      </c>
    </row>
    <row r="177" spans="1:13" s="415" customFormat="1">
      <c r="A177" s="432"/>
      <c r="B177" s="433">
        <f t="shared" si="18"/>
        <v>3481</v>
      </c>
      <c r="C177" s="433">
        <f t="shared" si="19"/>
        <v>3486</v>
      </c>
      <c r="D177" s="430" t="str">
        <f t="shared" si="16"/>
        <v>B3006</v>
      </c>
      <c r="E177" s="430" t="str">
        <f>VLOOKUP(D177,'RCLIPS송신(일사천리론)_최종'!$B:$E,4,0)</f>
        <v>N6월미해지캐피탈주담외대출건수</v>
      </c>
      <c r="F177" s="430" t="str">
        <f>VLOOKUP(D177,'RCLIPS송신(일사천리론)_최종'!$B:$D,2,0)</f>
        <v>N</v>
      </c>
      <c r="G177" s="430" t="str">
        <f>VLOOKUP($D177,'RCLIPS송신(일사천리론)_최종'!$B:$D,3,0)</f>
        <v>15</v>
      </c>
      <c r="H177" s="430" t="str">
        <f t="shared" si="17"/>
        <v>000000000000000</v>
      </c>
      <c r="I177" s="263" t="str">
        <f t="shared" si="20"/>
        <v>S0085</v>
      </c>
      <c r="J177" s="263" t="e">
        <f>VLOOKUP($I177,'RCLIPS수신(일사천리론)_최종'!$C:$F,2,0)</f>
        <v>#N/A</v>
      </c>
      <c r="K177" s="263" t="e">
        <f>VLOOKUP($I177,'RCLIPS수신(일사천리론)_최종'!$C:$F,3,0)</f>
        <v>#N/A</v>
      </c>
      <c r="L177" s="263" t="e">
        <f>VLOOKUP($I177,'RCLIPS수신(일사천리론)_최종'!$C:$F,4,0)</f>
        <v>#N/A</v>
      </c>
      <c r="M177" s="263" t="str">
        <f t="shared" si="21"/>
        <v>000000000000000</v>
      </c>
    </row>
    <row r="178" spans="1:13">
      <c r="A178" s="263"/>
      <c r="B178" s="429">
        <f t="shared" si="18"/>
        <v>3501</v>
      </c>
      <c r="C178" s="429">
        <f t="shared" si="19"/>
        <v>3506</v>
      </c>
      <c r="D178" s="430" t="str">
        <f t="shared" si="16"/>
        <v>B3007</v>
      </c>
      <c r="E178" s="430" t="str">
        <f>VLOOKUP(D178,'RCLIPS송신(일사천리론)_최종'!$B:$E,4,0)</f>
        <v>N3년최장연체일수</v>
      </c>
      <c r="F178" s="430" t="str">
        <f>VLOOKUP(D178,'RCLIPS송신(일사천리론)_최종'!$B:$D,2,0)</f>
        <v>N</v>
      </c>
      <c r="G178" s="430" t="str">
        <f>VLOOKUP($D178,'RCLIPS송신(일사천리론)_최종'!$B:$D,3,0)</f>
        <v>15</v>
      </c>
      <c r="H178" s="430" t="str">
        <f t="shared" si="17"/>
        <v>000000000000000</v>
      </c>
      <c r="I178" s="263" t="str">
        <f t="shared" si="20"/>
        <v>S0086</v>
      </c>
      <c r="J178" s="263" t="e">
        <f>VLOOKUP($I178,'RCLIPS수신(일사천리론)_최종'!$C:$F,2,0)</f>
        <v>#N/A</v>
      </c>
      <c r="K178" s="263" t="e">
        <f>VLOOKUP($I178,'RCLIPS수신(일사천리론)_최종'!$C:$F,3,0)</f>
        <v>#N/A</v>
      </c>
      <c r="L178" s="263" t="e">
        <f>VLOOKUP($I178,'RCLIPS수신(일사천리론)_최종'!$C:$F,4,0)</f>
        <v>#N/A</v>
      </c>
      <c r="M178" s="263" t="str">
        <f t="shared" si="21"/>
        <v>000000000000000</v>
      </c>
    </row>
    <row r="179" spans="1:13" s="415" customFormat="1">
      <c r="A179" s="432"/>
      <c r="B179" s="433">
        <f t="shared" si="18"/>
        <v>3521</v>
      </c>
      <c r="C179" s="433">
        <f t="shared" si="19"/>
        <v>3526</v>
      </c>
      <c r="D179" s="430" t="str">
        <f t="shared" si="16"/>
        <v>B3008</v>
      </c>
      <c r="E179" s="430" t="str">
        <f>VLOOKUP(D179,'RCLIPS송신(일사천리론)_최종'!$B:$E,4,0)</f>
        <v>미해제한도대출건수</v>
      </c>
      <c r="F179" s="430" t="str">
        <f>VLOOKUP(D179,'RCLIPS송신(일사천리론)_최종'!$B:$D,2,0)</f>
        <v>N</v>
      </c>
      <c r="G179" s="430" t="str">
        <f>VLOOKUP($D179,'RCLIPS송신(일사천리론)_최종'!$B:$D,3,0)</f>
        <v>15</v>
      </c>
      <c r="H179" s="430" t="str">
        <f t="shared" si="17"/>
        <v>000000000000000</v>
      </c>
      <c r="I179" s="263" t="str">
        <f t="shared" si="20"/>
        <v>S0087</v>
      </c>
      <c r="J179" s="263" t="e">
        <f>VLOOKUP($I179,'RCLIPS수신(일사천리론)_최종'!$C:$F,2,0)</f>
        <v>#N/A</v>
      </c>
      <c r="K179" s="263" t="e">
        <f>VLOOKUP($I179,'RCLIPS수신(일사천리론)_최종'!$C:$F,3,0)</f>
        <v>#N/A</v>
      </c>
      <c r="L179" s="263" t="e">
        <f>VLOOKUP($I179,'RCLIPS수신(일사천리론)_최종'!$C:$F,4,0)</f>
        <v>#N/A</v>
      </c>
      <c r="M179" s="263" t="str">
        <f t="shared" si="21"/>
        <v>000000000000000</v>
      </c>
    </row>
    <row r="180" spans="1:13">
      <c r="A180" s="263"/>
      <c r="B180" s="429">
        <f t="shared" si="18"/>
        <v>3541</v>
      </c>
      <c r="C180" s="429">
        <f t="shared" si="19"/>
        <v>3546</v>
      </c>
      <c r="D180" s="430" t="str">
        <f t="shared" si="16"/>
        <v>B3009</v>
      </c>
      <c r="E180" s="430" t="str">
        <f>VLOOKUP(D180,'RCLIPS송신(일사천리론)_최종'!$B:$E,4,0)</f>
        <v>현거주지국토부실거래최근전세가</v>
      </c>
      <c r="F180" s="430" t="str">
        <f>VLOOKUP(D180,'RCLIPS송신(일사천리론)_최종'!$B:$D,2,0)</f>
        <v>N</v>
      </c>
      <c r="G180" s="430" t="str">
        <f>VLOOKUP($D180,'RCLIPS송신(일사천리론)_최종'!$B:$D,3,0)</f>
        <v>15</v>
      </c>
      <c r="H180" s="430" t="str">
        <f t="shared" si="17"/>
        <v>000000999999999</v>
      </c>
      <c r="I180" s="263" t="str">
        <f t="shared" si="20"/>
        <v>S0088</v>
      </c>
      <c r="J180" s="263" t="e">
        <f>VLOOKUP($I180,'RCLIPS수신(일사천리론)_최종'!$C:$F,2,0)</f>
        <v>#N/A</v>
      </c>
      <c r="K180" s="263" t="e">
        <f>VLOOKUP($I180,'RCLIPS수신(일사천리론)_최종'!$C:$F,3,0)</f>
        <v>#N/A</v>
      </c>
      <c r="L180" s="263" t="e">
        <f>VLOOKUP($I180,'RCLIPS수신(일사천리론)_최종'!$C:$F,4,0)</f>
        <v>#N/A</v>
      </c>
      <c r="M180" s="263" t="str">
        <f t="shared" si="21"/>
        <v>000000000000000</v>
      </c>
    </row>
    <row r="181" spans="1:13">
      <c r="A181" s="263"/>
      <c r="B181" s="429">
        <f t="shared" si="18"/>
        <v>3561</v>
      </c>
      <c r="C181" s="429">
        <f t="shared" si="19"/>
        <v>3566</v>
      </c>
      <c r="D181" s="430" t="str">
        <f t="shared" si="16"/>
        <v>B3010</v>
      </c>
      <c r="E181" s="430" t="str">
        <f>VLOOKUP(D181,'RCLIPS송신(일사천리론)_최종'!$B:$E,4,0)</f>
        <v>현직장매출금액</v>
      </c>
      <c r="F181" s="430" t="str">
        <f>VLOOKUP(D181,'RCLIPS송신(일사천리론)_최종'!$B:$D,2,0)</f>
        <v>N</v>
      </c>
      <c r="G181" s="430" t="str">
        <f>VLOOKUP($D181,'RCLIPS송신(일사천리론)_최종'!$B:$D,3,0)</f>
        <v>15</v>
      </c>
      <c r="H181" s="430" t="str">
        <f t="shared" si="17"/>
        <v>000000999999999</v>
      </c>
      <c r="I181" s="263" t="str">
        <f t="shared" si="20"/>
        <v>S0089</v>
      </c>
      <c r="J181" s="263" t="e">
        <f>VLOOKUP($I181,'RCLIPS수신(일사천리론)_최종'!$C:$F,2,0)</f>
        <v>#N/A</v>
      </c>
      <c r="K181" s="263" t="e">
        <f>VLOOKUP($I181,'RCLIPS수신(일사천리론)_최종'!$C:$F,3,0)</f>
        <v>#N/A</v>
      </c>
      <c r="L181" s="263" t="e">
        <f>VLOOKUP($I181,'RCLIPS수신(일사천리론)_최종'!$C:$F,4,0)</f>
        <v>#N/A</v>
      </c>
      <c r="M181" s="263" t="str">
        <f t="shared" si="21"/>
        <v>000000000000000</v>
      </c>
    </row>
    <row r="182" spans="1:13">
      <c r="A182" s="263"/>
      <c r="B182" s="429">
        <f t="shared" si="18"/>
        <v>3581</v>
      </c>
      <c r="C182" s="429">
        <f t="shared" si="19"/>
        <v>3586</v>
      </c>
      <c r="D182" s="430" t="str">
        <f t="shared" si="16"/>
        <v>B3011</v>
      </c>
      <c r="E182" s="430" t="str">
        <f>VLOOKUP(D182,'RCLIPS송신(일사천리론)_최종'!$B:$E,4,0)</f>
        <v>미해지최초카드개설경과일수</v>
      </c>
      <c r="F182" s="430" t="str">
        <f>VLOOKUP(D182,'RCLIPS송신(일사천리론)_최종'!$B:$D,2,0)</f>
        <v>N</v>
      </c>
      <c r="G182" s="430" t="str">
        <f>VLOOKUP($D182,'RCLIPS송신(일사천리론)_최종'!$B:$D,3,0)</f>
        <v>15</v>
      </c>
      <c r="H182" s="430" t="str">
        <f t="shared" si="17"/>
        <v>000000000006796</v>
      </c>
      <c r="I182" s="263" t="str">
        <f t="shared" si="20"/>
        <v>S0090</v>
      </c>
      <c r="J182" s="263" t="e">
        <f>VLOOKUP($I182,'RCLIPS수신(일사천리론)_최종'!$C:$F,2,0)</f>
        <v>#N/A</v>
      </c>
      <c r="K182" s="263" t="e">
        <f>VLOOKUP($I182,'RCLIPS수신(일사천리론)_최종'!$C:$F,3,0)</f>
        <v>#N/A</v>
      </c>
      <c r="L182" s="263" t="e">
        <f>VLOOKUP($I182,'RCLIPS수신(일사천리론)_최종'!$C:$F,4,0)</f>
        <v>#N/A</v>
      </c>
      <c r="M182" s="263" t="str">
        <f t="shared" si="21"/>
        <v>000000000000000</v>
      </c>
    </row>
    <row r="183" spans="1:13">
      <c r="A183" s="263"/>
      <c r="B183" s="429">
        <f t="shared" si="18"/>
        <v>3601</v>
      </c>
      <c r="C183" s="429">
        <f t="shared" si="19"/>
        <v>3606</v>
      </c>
      <c r="D183" s="430" t="str">
        <f t="shared" si="16"/>
        <v>B3012</v>
      </c>
      <c r="E183" s="430" t="str">
        <f>VLOOKUP(D183,'RCLIPS송신(일사천리론)_최종'!$B:$E,4,0)</f>
        <v>N1월미해지신용개설건수</v>
      </c>
      <c r="F183" s="430" t="str">
        <f>VLOOKUP(D183,'RCLIPS송신(일사천리론)_최종'!$B:$D,2,0)</f>
        <v>N</v>
      </c>
      <c r="G183" s="430" t="str">
        <f>VLOOKUP($D183,'RCLIPS송신(일사천리론)_최종'!$B:$D,3,0)</f>
        <v>15</v>
      </c>
      <c r="H183" s="430" t="str">
        <f t="shared" si="17"/>
        <v>000000000000000</v>
      </c>
      <c r="I183" s="263" t="str">
        <f t="shared" si="20"/>
        <v>S0091</v>
      </c>
      <c r="J183" s="263" t="e">
        <f>VLOOKUP($I183,'RCLIPS수신(일사천리론)_최종'!$C:$F,2,0)</f>
        <v>#N/A</v>
      </c>
      <c r="K183" s="263" t="e">
        <f>VLOOKUP($I183,'RCLIPS수신(일사천리론)_최종'!$C:$F,3,0)</f>
        <v>#N/A</v>
      </c>
      <c r="L183" s="263" t="e">
        <f>VLOOKUP($I183,'RCLIPS수신(일사천리론)_최종'!$C:$F,4,0)</f>
        <v>#N/A</v>
      </c>
      <c r="M183" s="263" t="str">
        <f t="shared" si="21"/>
        <v>000000888888888</v>
      </c>
    </row>
    <row r="184" spans="1:13">
      <c r="A184" s="263"/>
      <c r="B184" s="429">
        <f t="shared" si="18"/>
        <v>3621</v>
      </c>
      <c r="C184" s="429">
        <f t="shared" si="19"/>
        <v>3626</v>
      </c>
      <c r="D184" s="430" t="str">
        <f t="shared" si="16"/>
        <v>B3013</v>
      </c>
      <c r="E184" s="430" t="str">
        <f>VLOOKUP(D184,'RCLIPS송신(일사천리론)_최종'!$B:$E,4,0)</f>
        <v>현거주지국토부실거래최근매매가</v>
      </c>
      <c r="F184" s="430" t="str">
        <f>VLOOKUP(D184,'RCLIPS송신(일사천리론)_최종'!$B:$D,2,0)</f>
        <v>N</v>
      </c>
      <c r="G184" s="430" t="str">
        <f>VLOOKUP($D184,'RCLIPS송신(일사천리론)_최종'!$B:$D,3,0)</f>
        <v>15</v>
      </c>
      <c r="H184" s="430" t="str">
        <f t="shared" si="17"/>
        <v>000000999999999</v>
      </c>
      <c r="I184" s="263" t="str">
        <f t="shared" si="20"/>
        <v>S0092</v>
      </c>
      <c r="J184" s="263" t="e">
        <f>VLOOKUP($I184,'RCLIPS수신(일사천리론)_최종'!$C:$F,2,0)</f>
        <v>#N/A</v>
      </c>
      <c r="K184" s="263" t="e">
        <f>VLOOKUP($I184,'RCLIPS수신(일사천리론)_최종'!$C:$F,3,0)</f>
        <v>#N/A</v>
      </c>
      <c r="L184" s="263" t="e">
        <f>VLOOKUP($I184,'RCLIPS수신(일사천리론)_최종'!$C:$F,4,0)</f>
        <v>#N/A</v>
      </c>
      <c r="M184" s="263" t="str">
        <f t="shared" si="21"/>
        <v>000000000000100</v>
      </c>
    </row>
    <row r="185" spans="1:13">
      <c r="A185" s="263"/>
      <c r="B185" s="429">
        <f t="shared" si="18"/>
        <v>3641</v>
      </c>
      <c r="C185" s="429">
        <f t="shared" si="19"/>
        <v>3646</v>
      </c>
      <c r="D185" s="430" t="str">
        <f t="shared" si="16"/>
        <v>B3014</v>
      </c>
      <c r="E185" s="430" t="str">
        <f>VLOOKUP(D185,'RCLIPS송신(일사천리론)_최종'!$B:$E,4,0)</f>
        <v>KB포함최근연체해제경과일수</v>
      </c>
      <c r="F185" s="430" t="str">
        <f>VLOOKUP(D185,'RCLIPS송신(일사천리론)_최종'!$B:$D,2,0)</f>
        <v>N</v>
      </c>
      <c r="G185" s="430" t="str">
        <f>VLOOKUP($D185,'RCLIPS송신(일사천리론)_최종'!$B:$D,3,0)</f>
        <v>15</v>
      </c>
      <c r="H185" s="430" t="str">
        <f t="shared" si="17"/>
        <v>000000000099999</v>
      </c>
      <c r="I185" s="263" t="str">
        <f t="shared" si="20"/>
        <v>S0093</v>
      </c>
      <c r="J185" s="263" t="e">
        <f>VLOOKUP($I185,'RCLIPS수신(일사천리론)_최종'!$C:$F,2,0)</f>
        <v>#N/A</v>
      </c>
      <c r="K185" s="263" t="e">
        <f>VLOOKUP($I185,'RCLIPS수신(일사천리론)_최종'!$C:$F,3,0)</f>
        <v>#N/A</v>
      </c>
      <c r="L185" s="263" t="e">
        <f>VLOOKUP($I185,'RCLIPS수신(일사천리론)_최종'!$C:$F,4,0)</f>
        <v>#N/A</v>
      </c>
      <c r="M185" s="263" t="str">
        <f t="shared" si="21"/>
        <v>000000888888888</v>
      </c>
    </row>
    <row r="186" spans="1:13">
      <c r="A186" s="263"/>
      <c r="B186" s="429">
        <f t="shared" si="18"/>
        <v>3661</v>
      </c>
      <c r="C186" s="429">
        <f t="shared" si="19"/>
        <v>3666</v>
      </c>
      <c r="D186" s="430" t="str">
        <f t="shared" si="16"/>
        <v>B3015</v>
      </c>
      <c r="E186" s="430" t="str">
        <f>VLOOKUP(D186,'RCLIPS송신(일사천리론)_최종'!$B:$E,4,0)</f>
        <v>건축물총실거래가격</v>
      </c>
      <c r="F186" s="430" t="str">
        <f>VLOOKUP(D186,'RCLIPS송신(일사천리론)_최종'!$B:$D,2,0)</f>
        <v>N</v>
      </c>
      <c r="G186" s="430" t="str">
        <f>VLOOKUP($D186,'RCLIPS송신(일사천리론)_최종'!$B:$D,3,0)</f>
        <v>15</v>
      </c>
      <c r="H186" s="430" t="str">
        <f t="shared" si="17"/>
        <v>000000000000000</v>
      </c>
      <c r="I186" s="263" t="str">
        <f t="shared" si="20"/>
        <v>S0094</v>
      </c>
      <c r="J186" s="263" t="e">
        <f>VLOOKUP($I186,'RCLIPS수신(일사천리론)_최종'!$C:$F,2,0)</f>
        <v>#N/A</v>
      </c>
      <c r="K186" s="263" t="e">
        <f>VLOOKUP($I186,'RCLIPS수신(일사천리론)_최종'!$C:$F,3,0)</f>
        <v>#N/A</v>
      </c>
      <c r="L186" s="263" t="e">
        <f>VLOOKUP($I186,'RCLIPS수신(일사천리론)_최종'!$C:$F,4,0)</f>
        <v>#N/A</v>
      </c>
      <c r="M186" s="263" t="str">
        <f t="shared" si="21"/>
        <v>000000888888888</v>
      </c>
    </row>
    <row r="187" spans="1:13">
      <c r="A187" s="263"/>
      <c r="B187" s="429">
        <f t="shared" si="18"/>
        <v>3681</v>
      </c>
      <c r="C187" s="429">
        <f t="shared" si="19"/>
        <v>3686</v>
      </c>
      <c r="D187" s="430" t="str">
        <f t="shared" si="16"/>
        <v>A4021</v>
      </c>
      <c r="E187" s="430" t="str">
        <f>VLOOKUP(D187,'RCLIPS송신(일사천리론)_최종'!$B:$E,4,0)</f>
        <v>다중채무위험스코어_K</v>
      </c>
      <c r="F187" s="430" t="str">
        <f>VLOOKUP(D187,'RCLIPS송신(일사천리론)_최종'!$B:$D,2,0)</f>
        <v>N</v>
      </c>
      <c r="G187" s="430" t="str">
        <f>VLOOKUP($D187,'RCLIPS송신(일사천리론)_최종'!$B:$D,3,0)</f>
        <v>15</v>
      </c>
      <c r="H187" s="430" t="str">
        <f t="shared" si="17"/>
        <v>000000000000000</v>
      </c>
      <c r="I187" s="263" t="str">
        <f t="shared" si="20"/>
        <v>S0095</v>
      </c>
      <c r="J187" s="263" t="e">
        <f>VLOOKUP($I187,'RCLIPS수신(일사천리론)_최종'!$C:$F,2,0)</f>
        <v>#N/A</v>
      </c>
      <c r="K187" s="263" t="e">
        <f>VLOOKUP($I187,'RCLIPS수신(일사천리론)_최종'!$C:$F,3,0)</f>
        <v>#N/A</v>
      </c>
      <c r="L187" s="263" t="e">
        <f>VLOOKUP($I187,'RCLIPS수신(일사천리론)_최종'!$C:$F,4,0)</f>
        <v>#N/A</v>
      </c>
      <c r="M187" s="263" t="str">
        <f t="shared" si="21"/>
        <v>000000888888888</v>
      </c>
    </row>
    <row r="188" spans="1:13">
      <c r="A188" s="263"/>
      <c r="B188" s="429">
        <f t="shared" si="18"/>
        <v>3701</v>
      </c>
      <c r="C188" s="429">
        <f t="shared" si="19"/>
        <v>3706</v>
      </c>
      <c r="D188" s="430" t="str">
        <f t="shared" si="16"/>
        <v>A4022</v>
      </c>
      <c r="E188" s="430" t="str">
        <f>VLOOKUP(D188,'RCLIPS송신(일사천리론)_최종'!$B:$E,4,0)</f>
        <v>다중채무위험등급_K</v>
      </c>
      <c r="F188" s="430" t="str">
        <f>VLOOKUP(D188,'RCLIPS송신(일사천리론)_최종'!$B:$D,2,0)</f>
        <v>N</v>
      </c>
      <c r="G188" s="430" t="str">
        <f>VLOOKUP($D188,'RCLIPS송신(일사천리론)_최종'!$B:$D,3,0)</f>
        <v>15</v>
      </c>
      <c r="H188" s="430" t="str">
        <f t="shared" si="17"/>
        <v xml:space="preserve">00             </v>
      </c>
      <c r="I188" s="263" t="str">
        <f t="shared" si="20"/>
        <v>S0096</v>
      </c>
      <c r="J188" s="263" t="e">
        <f>VLOOKUP($I188,'RCLIPS수신(일사천리론)_최종'!$C:$F,2,0)</f>
        <v>#N/A</v>
      </c>
      <c r="K188" s="263" t="e">
        <f>VLOOKUP($I188,'RCLIPS수신(일사천리론)_최종'!$C:$F,3,0)</f>
        <v>#N/A</v>
      </c>
      <c r="L188" s="263" t="e">
        <f>VLOOKUP($I188,'RCLIPS수신(일사천리론)_최종'!$C:$F,4,0)</f>
        <v>#N/A</v>
      </c>
      <c r="M188" s="263" t="str">
        <f t="shared" si="21"/>
        <v>000000000000000</v>
      </c>
    </row>
    <row r="189" spans="1:13">
      <c r="A189" s="263"/>
      <c r="B189" s="429">
        <f t="shared" si="18"/>
        <v>3721</v>
      </c>
      <c r="C189" s="429">
        <f t="shared" si="19"/>
        <v>3726</v>
      </c>
      <c r="D189" s="430" t="str">
        <f t="shared" si="16"/>
        <v>A4023</v>
      </c>
      <c r="E189" s="430" t="str">
        <f>VLOOKUP(D189,'RCLIPS송신(일사천리론)_최종'!$B:$E,4,0)</f>
        <v>미래상환능력지수 1.0</v>
      </c>
      <c r="F189" s="430" t="str">
        <f>VLOOKUP(D189,'RCLIPS송신(일사천리론)_최종'!$B:$D,2,0)</f>
        <v>N</v>
      </c>
      <c r="G189" s="430" t="str">
        <f>VLOOKUP($D189,'RCLIPS송신(일사천리론)_최종'!$B:$D,3,0)</f>
        <v>15</v>
      </c>
      <c r="H189" s="430" t="str">
        <f t="shared" si="17"/>
        <v xml:space="preserve">00             </v>
      </c>
      <c r="I189" s="263" t="str">
        <f t="shared" si="20"/>
        <v>S0097</v>
      </c>
      <c r="J189" s="263" t="e">
        <f>VLOOKUP($I189,'RCLIPS수신(일사천리론)_최종'!$C:$F,2,0)</f>
        <v>#N/A</v>
      </c>
      <c r="K189" s="263" t="e">
        <f>VLOOKUP($I189,'RCLIPS수신(일사천리론)_최종'!$C:$F,3,0)</f>
        <v>#N/A</v>
      </c>
      <c r="L189" s="263" t="e">
        <f>VLOOKUP($I189,'RCLIPS수신(일사천리론)_최종'!$C:$F,4,0)</f>
        <v>#N/A</v>
      </c>
      <c r="M189" s="263" t="str">
        <f t="shared" si="21"/>
        <v>000000000000000</v>
      </c>
    </row>
    <row r="190" spans="1:13">
      <c r="A190" s="263"/>
      <c r="B190" s="429">
        <f t="shared" si="18"/>
        <v>3741</v>
      </c>
      <c r="C190" s="429">
        <f t="shared" si="19"/>
        <v>3746</v>
      </c>
      <c r="D190" s="430" t="str">
        <f t="shared" si="16"/>
        <v>A4024</v>
      </c>
      <c r="E190" s="430" t="str">
        <f>VLOOKUP(D190,'RCLIPS송신(일사천리론)_최종'!$B:$E,4,0)</f>
        <v>R-SCORE통합스코어</v>
      </c>
      <c r="F190" s="430" t="str">
        <f>VLOOKUP(D190,'RCLIPS송신(일사천리론)_최종'!$B:$D,2,0)</f>
        <v>N</v>
      </c>
      <c r="G190" s="430" t="str">
        <f>VLOOKUP($D190,'RCLIPS송신(일사천리론)_최종'!$B:$D,3,0)</f>
        <v>15</v>
      </c>
      <c r="H190" s="430" t="str">
        <f t="shared" si="17"/>
        <v>000000000000687</v>
      </c>
      <c r="I190" s="263" t="str">
        <f t="shared" si="20"/>
        <v>S0098</v>
      </c>
      <c r="J190" s="263" t="e">
        <f>VLOOKUP($I190,'RCLIPS수신(일사천리론)_최종'!$C:$F,2,0)</f>
        <v>#N/A</v>
      </c>
      <c r="K190" s="263" t="e">
        <f>VLOOKUP($I190,'RCLIPS수신(일사천리론)_최종'!$C:$F,3,0)</f>
        <v>#N/A</v>
      </c>
      <c r="L190" s="263" t="e">
        <f>VLOOKUP($I190,'RCLIPS수신(일사천리론)_최종'!$C:$F,4,0)</f>
        <v>#N/A</v>
      </c>
      <c r="M190" s="263" t="str">
        <f t="shared" si="21"/>
        <v>000000000000000</v>
      </c>
    </row>
    <row r="191" spans="1:13">
      <c r="A191" s="263"/>
      <c r="B191" s="429">
        <f t="shared" si="18"/>
        <v>3761</v>
      </c>
      <c r="C191" s="429">
        <f t="shared" si="19"/>
        <v>3766</v>
      </c>
      <c r="D191" s="430" t="str">
        <f t="shared" si="16"/>
        <v>A4025</v>
      </c>
      <c r="E191" s="430" t="str">
        <f>VLOOKUP(D191,'RCLIPS송신(일사천리론)_최종'!$B:$E,4,0)</f>
        <v>R-SCORE통합스코어 등급</v>
      </c>
      <c r="F191" s="430" t="str">
        <f>VLOOKUP(D191,'RCLIPS송신(일사천리론)_최종'!$B:$D,2,0)</f>
        <v>N</v>
      </c>
      <c r="G191" s="430" t="str">
        <f>VLOOKUP($D191,'RCLIPS송신(일사천리론)_최종'!$B:$D,3,0)</f>
        <v>15</v>
      </c>
      <c r="H191" s="430" t="str">
        <f t="shared" si="17"/>
        <v xml:space="preserve">02             </v>
      </c>
      <c r="I191" s="263" t="str">
        <f t="shared" si="20"/>
        <v>S0099</v>
      </c>
      <c r="J191" s="263" t="e">
        <f>VLOOKUP($I191,'RCLIPS수신(일사천리론)_최종'!$C:$F,2,0)</f>
        <v>#N/A</v>
      </c>
      <c r="K191" s="263" t="e">
        <f>VLOOKUP($I191,'RCLIPS수신(일사천리론)_최종'!$C:$F,3,0)</f>
        <v>#N/A</v>
      </c>
      <c r="L191" s="263" t="e">
        <f>VLOOKUP($I191,'RCLIPS수신(일사천리론)_최종'!$C:$F,4,0)</f>
        <v>#N/A</v>
      </c>
      <c r="M191" s="263" t="str">
        <f t="shared" si="21"/>
        <v>000000000000000</v>
      </c>
    </row>
    <row r="192" spans="1:13">
      <c r="A192" s="263"/>
      <c r="B192" s="429">
        <f t="shared" si="18"/>
        <v>3781</v>
      </c>
      <c r="C192" s="429">
        <f t="shared" si="19"/>
        <v>3786</v>
      </c>
      <c r="D192" s="430" t="str">
        <f t="shared" si="16"/>
        <v>A4026</v>
      </c>
      <c r="E192" s="430" t="str">
        <f>VLOOKUP(D192,'RCLIPS송신(일사천리론)_최종'!$B:$E,4,0)</f>
        <v>I index 스코어</v>
      </c>
      <c r="F192" s="430" t="str">
        <f>VLOOKUP(D192,'RCLIPS송신(일사천리론)_최종'!$B:$D,2,0)</f>
        <v>N</v>
      </c>
      <c r="G192" s="430" t="str">
        <f>VLOOKUP($D192,'RCLIPS송신(일사천리론)_최종'!$B:$D,3,0)</f>
        <v>15</v>
      </c>
      <c r="H192" s="430" t="str">
        <f t="shared" si="17"/>
        <v>000000000000661</v>
      </c>
      <c r="I192" s="263" t="str">
        <f t="shared" si="20"/>
        <v>S0100</v>
      </c>
      <c r="J192" s="263" t="e">
        <f>VLOOKUP($I192,'RCLIPS수신(일사천리론)_최종'!$C:$F,2,0)</f>
        <v>#N/A</v>
      </c>
      <c r="K192" s="263" t="e">
        <f>VLOOKUP($I192,'RCLIPS수신(일사천리론)_최종'!$C:$F,3,0)</f>
        <v>#N/A</v>
      </c>
      <c r="L192" s="263" t="e">
        <f>VLOOKUP($I192,'RCLIPS수신(일사천리론)_최종'!$C:$F,4,0)</f>
        <v>#N/A</v>
      </c>
      <c r="M192" s="263" t="str">
        <f t="shared" si="21"/>
        <v>000000888888888</v>
      </c>
    </row>
    <row r="193" spans="1:13">
      <c r="A193" s="263"/>
      <c r="B193" s="429">
        <f t="shared" si="18"/>
        <v>3801</v>
      </c>
      <c r="C193" s="429">
        <f t="shared" si="19"/>
        <v>3806</v>
      </c>
      <c r="D193" s="430" t="str">
        <f t="shared" si="16"/>
        <v>A4027</v>
      </c>
      <c r="E193" s="430" t="str">
        <f>VLOOKUP(D193,'RCLIPS송신(일사천리론)_최종'!$B:$E,4,0)</f>
        <v>I index 등급</v>
      </c>
      <c r="F193" s="430" t="str">
        <f>VLOOKUP(D193,'RCLIPS송신(일사천리론)_최종'!$B:$D,2,0)</f>
        <v>N</v>
      </c>
      <c r="G193" s="430" t="str">
        <f>VLOOKUP($D193,'RCLIPS송신(일사천리론)_최종'!$B:$D,3,0)</f>
        <v>15</v>
      </c>
      <c r="H193" s="430" t="str">
        <f t="shared" si="17"/>
        <v xml:space="preserve">07             </v>
      </c>
      <c r="I193" s="263" t="str">
        <f t="shared" si="20"/>
        <v>S0101</v>
      </c>
      <c r="J193" s="263" t="e">
        <f>VLOOKUP($I193,'RCLIPS수신(일사천리론)_최종'!$C:$F,2,0)</f>
        <v>#N/A</v>
      </c>
      <c r="K193" s="263" t="e">
        <f>VLOOKUP($I193,'RCLIPS수신(일사천리론)_최종'!$C:$F,3,0)</f>
        <v>#N/A</v>
      </c>
      <c r="L193" s="263" t="e">
        <f>VLOOKUP($I193,'RCLIPS수신(일사천리론)_최종'!$C:$F,4,0)</f>
        <v>#N/A</v>
      </c>
      <c r="M193" s="263" t="str">
        <f t="shared" si="21"/>
        <v>000000000000000</v>
      </c>
    </row>
    <row r="194" spans="1:13">
      <c r="A194" s="263"/>
      <c r="B194" s="429">
        <f t="shared" si="18"/>
        <v>3821</v>
      </c>
      <c r="C194" s="429">
        <f t="shared" si="19"/>
        <v>3826</v>
      </c>
      <c r="D194" s="430" t="str">
        <f t="shared" si="16"/>
        <v>A4028</v>
      </c>
      <c r="E194" s="430" t="str">
        <f>VLOOKUP(D194,'RCLIPS송신(일사천리론)_최종'!$B:$E,4,0)</f>
        <v>미해지LV15제외대출기관수</v>
      </c>
      <c r="F194" s="430" t="str">
        <f>VLOOKUP(D194,'RCLIPS송신(일사천리론)_최종'!$B:$D,2,0)</f>
        <v>N</v>
      </c>
      <c r="G194" s="430" t="str">
        <f>VLOOKUP($D194,'RCLIPS송신(일사천리론)_최종'!$B:$D,3,0)</f>
        <v>15</v>
      </c>
      <c r="H194" s="430" t="str">
        <f t="shared" si="17"/>
        <v>000000000000000</v>
      </c>
      <c r="I194" s="263" t="str">
        <f t="shared" si="20"/>
        <v>S0102</v>
      </c>
      <c r="J194" s="263" t="e">
        <f>VLOOKUP($I194,'RCLIPS수신(일사천리론)_최종'!$C:$F,2,0)</f>
        <v>#N/A</v>
      </c>
      <c r="K194" s="263" t="e">
        <f>VLOOKUP($I194,'RCLIPS수신(일사천리론)_최종'!$C:$F,3,0)</f>
        <v>#N/A</v>
      </c>
      <c r="L194" s="263" t="e">
        <f>VLOOKUP($I194,'RCLIPS수신(일사천리론)_최종'!$C:$F,4,0)</f>
        <v>#N/A</v>
      </c>
      <c r="M194" s="263" t="str">
        <f t="shared" si="21"/>
        <v>000000000000000</v>
      </c>
    </row>
    <row r="195" spans="1:13">
      <c r="A195" s="263"/>
      <c r="B195" s="429">
        <f t="shared" si="18"/>
        <v>3841</v>
      </c>
      <c r="C195" s="429">
        <f t="shared" si="19"/>
        <v>3846</v>
      </c>
      <c r="D195" s="430" t="str">
        <f t="shared" si="16"/>
        <v>A4029</v>
      </c>
      <c r="E195" s="430" t="str">
        <f>VLOOKUP(D195,'RCLIPS송신(일사천리론)_최종'!$B:$E,4,0)</f>
        <v>연간원리금상환추정금액(KCB기준)</v>
      </c>
      <c r="F195" s="430" t="str">
        <f>VLOOKUP(D195,'RCLIPS송신(일사천리론)_최종'!$B:$D,2,0)</f>
        <v>N</v>
      </c>
      <c r="G195" s="430" t="str">
        <f>VLOOKUP($D195,'RCLIPS송신(일사천리론)_최종'!$B:$D,3,0)</f>
        <v>15</v>
      </c>
      <c r="H195" s="430" t="str">
        <f t="shared" si="17"/>
        <v>000000000000000</v>
      </c>
      <c r="I195" s="263" t="str">
        <f t="shared" si="20"/>
        <v>S0103</v>
      </c>
      <c r="J195" s="263" t="e">
        <f>VLOOKUP($I195,'RCLIPS수신(일사천리론)_최종'!$C:$F,2,0)</f>
        <v>#N/A</v>
      </c>
      <c r="K195" s="263" t="e">
        <f>VLOOKUP($I195,'RCLIPS수신(일사천리론)_최종'!$C:$F,3,0)</f>
        <v>#N/A</v>
      </c>
      <c r="L195" s="263" t="e">
        <f>VLOOKUP($I195,'RCLIPS수신(일사천리론)_최종'!$C:$F,4,0)</f>
        <v>#N/A</v>
      </c>
      <c r="M195" s="263" t="str">
        <f t="shared" si="21"/>
        <v>000000888888888</v>
      </c>
    </row>
    <row r="196" spans="1:13">
      <c r="A196" s="263"/>
      <c r="B196" s="429">
        <f t="shared" si="18"/>
        <v>3861</v>
      </c>
      <c r="C196" s="429">
        <f t="shared" si="19"/>
        <v>3866</v>
      </c>
      <c r="D196" s="430" t="str">
        <f t="shared" ref="D196:D259" si="22">MIDB($A$3, $B196+23, 5)</f>
        <v>A4030</v>
      </c>
      <c r="E196" s="430" t="str">
        <f>VLOOKUP(D196,'RCLIPS송신(일사천리론)_최종'!$B:$E,4,0)</f>
        <v>SOHO ML스코어 V1.0 평점</v>
      </c>
      <c r="F196" s="430" t="str">
        <f>VLOOKUP(D196,'RCLIPS송신(일사천리론)_최종'!$B:$D,2,0)</f>
        <v>N</v>
      </c>
      <c r="G196" s="430" t="str">
        <f>VLOOKUP($D196,'RCLIPS송신(일사천리론)_최종'!$B:$D,3,0)</f>
        <v>15</v>
      </c>
      <c r="H196" s="430" t="str">
        <f t="shared" ref="H196:H259" si="23">MIDB($A$3, $C196+23, 15)</f>
        <v>000000000000676</v>
      </c>
      <c r="I196" s="263" t="str">
        <f t="shared" si="20"/>
        <v>S0104</v>
      </c>
      <c r="J196" s="263" t="e">
        <f>VLOOKUP($I196,'RCLIPS수신(일사천리론)_최종'!$C:$F,2,0)</f>
        <v>#N/A</v>
      </c>
      <c r="K196" s="263" t="e">
        <f>VLOOKUP($I196,'RCLIPS수신(일사천리론)_최종'!$C:$F,3,0)</f>
        <v>#N/A</v>
      </c>
      <c r="L196" s="263" t="e">
        <f>VLOOKUP($I196,'RCLIPS수신(일사천리론)_최종'!$C:$F,4,0)</f>
        <v>#N/A</v>
      </c>
      <c r="M196" s="263" t="str">
        <f t="shared" si="21"/>
        <v>-00000099999999</v>
      </c>
    </row>
    <row r="197" spans="1:13">
      <c r="A197" s="263"/>
      <c r="B197" s="429">
        <f t="shared" ref="B197:B260" si="24">C196+15</f>
        <v>3881</v>
      </c>
      <c r="C197" s="429">
        <f t="shared" ref="C197:C260" si="25">B197+5</f>
        <v>3886</v>
      </c>
      <c r="D197" s="430" t="str">
        <f t="shared" si="22"/>
        <v>A4031</v>
      </c>
      <c r="E197" s="430" t="str">
        <f>VLOOKUP(D197,'RCLIPS송신(일사천리론)_최종'!$B:$E,4,0)</f>
        <v>SOHO ML스코어 V1.0 등급</v>
      </c>
      <c r="F197" s="430" t="str">
        <f>VLOOKUP(D197,'RCLIPS송신(일사천리론)_최종'!$B:$D,2,0)</f>
        <v>N</v>
      </c>
      <c r="G197" s="430" t="str">
        <f>VLOOKUP($D197,'RCLIPS송신(일사천리론)_최종'!$B:$D,3,0)</f>
        <v>15</v>
      </c>
      <c r="H197" s="430" t="str">
        <f t="shared" si="23"/>
        <v xml:space="preserve">05             </v>
      </c>
      <c r="I197" s="263" t="str">
        <f t="shared" ref="I197:I260" si="26">MIDB($A$8, $B197+10, 5)</f>
        <v>S0105</v>
      </c>
      <c r="J197" s="263" t="e">
        <f>VLOOKUP($I197,'RCLIPS수신(일사천리론)_최종'!$C:$F,2,0)</f>
        <v>#N/A</v>
      </c>
      <c r="K197" s="263" t="e">
        <f>VLOOKUP($I197,'RCLIPS수신(일사천리론)_최종'!$C:$F,3,0)</f>
        <v>#N/A</v>
      </c>
      <c r="L197" s="263" t="e">
        <f>VLOOKUP($I197,'RCLIPS수신(일사천리론)_최종'!$C:$F,4,0)</f>
        <v>#N/A</v>
      </c>
      <c r="M197" s="263" t="str">
        <f t="shared" ref="M197:M260" si="27">MIDB($A$8, $C197+10, 15)</f>
        <v>000000000000000</v>
      </c>
    </row>
    <row r="198" spans="1:13">
      <c r="A198" s="263"/>
      <c r="B198" s="429">
        <f t="shared" si="24"/>
        <v>3901</v>
      </c>
      <c r="C198" s="429">
        <f t="shared" si="25"/>
        <v>3906</v>
      </c>
      <c r="D198" s="430" t="str">
        <f t="shared" si="22"/>
        <v>A4032</v>
      </c>
      <c r="E198" s="430" t="str">
        <f>VLOOKUP(D198,'RCLIPS송신(일사천리론)_최종'!$B:$E,4,0)</f>
        <v>SOHO ML스코어 V1.0 KCB SOHO 여부</v>
      </c>
      <c r="F198" s="430" t="str">
        <f>VLOOKUP(D198,'RCLIPS송신(일사천리론)_최종'!$B:$D,2,0)</f>
        <v>N</v>
      </c>
      <c r="G198" s="430" t="str">
        <f>VLOOKUP($D198,'RCLIPS송신(일사천리론)_최종'!$B:$D,3,0)</f>
        <v>15</v>
      </c>
      <c r="H198" s="430" t="str">
        <f t="shared" si="23"/>
        <v xml:space="preserve">P              </v>
      </c>
      <c r="I198" s="263" t="str">
        <f t="shared" si="26"/>
        <v>W0001</v>
      </c>
      <c r="J198" s="263" t="str">
        <f>VLOOKUP($I198,'RCLIPS수신(일사천리론)_최종'!$C:$F,2,0)</f>
        <v>평점표항목1 배점</v>
      </c>
      <c r="K198" s="263" t="str">
        <f>VLOOKUP($I198,'RCLIPS수신(일사천리론)_최종'!$C:$F,3,0)</f>
        <v>Numeric</v>
      </c>
      <c r="L198" s="263">
        <f>VLOOKUP($I198,'RCLIPS수신(일사천리론)_최종'!$C:$F,4,0)</f>
        <v>20</v>
      </c>
      <c r="M198" s="263" t="str">
        <f t="shared" si="27"/>
        <v>-00000000000002</v>
      </c>
    </row>
    <row r="199" spans="1:13">
      <c r="A199" s="263"/>
      <c r="B199" s="429">
        <f t="shared" si="24"/>
        <v>3921</v>
      </c>
      <c r="C199" s="429">
        <f t="shared" si="25"/>
        <v>3926</v>
      </c>
      <c r="D199" s="430" t="str">
        <f t="shared" si="22"/>
        <v>A4033</v>
      </c>
      <c r="E199" s="430" t="str">
        <f>VLOOKUP(D199,'RCLIPS송신(일사천리론)_최종'!$B:$E,4,0)</f>
        <v>KCB표준DSR비율</v>
      </c>
      <c r="F199" s="430" t="str">
        <f>VLOOKUP(D199,'RCLIPS송신(일사천리론)_최종'!$B:$D,2,0)</f>
        <v>N</v>
      </c>
      <c r="G199" s="430" t="str">
        <f>VLOOKUP($D199,'RCLIPS송신(일사천리론)_최종'!$B:$D,3,0)</f>
        <v>15</v>
      </c>
      <c r="H199" s="430" t="str">
        <f t="shared" si="23"/>
        <v>0000009999999.9</v>
      </c>
      <c r="I199" s="263" t="str">
        <f t="shared" si="26"/>
        <v>W0002</v>
      </c>
      <c r="J199" s="263" t="str">
        <f>VLOOKUP($I199,'RCLIPS수신(일사천리론)_최종'!$C:$F,2,0)</f>
        <v>평점표항목2 배점</v>
      </c>
      <c r="K199" s="263" t="str">
        <f>VLOOKUP($I199,'RCLIPS수신(일사천리론)_최종'!$C:$F,3,0)</f>
        <v>Numeric</v>
      </c>
      <c r="L199" s="263">
        <f>VLOOKUP($I199,'RCLIPS수신(일사천리론)_최종'!$C:$F,4,0)</f>
        <v>20</v>
      </c>
      <c r="M199" s="263" t="str">
        <f t="shared" si="27"/>
        <v>000000000000003</v>
      </c>
    </row>
    <row r="200" spans="1:13">
      <c r="A200" s="263"/>
      <c r="B200" s="429">
        <f t="shared" si="24"/>
        <v>3941</v>
      </c>
      <c r="C200" s="429">
        <f t="shared" si="25"/>
        <v>3946</v>
      </c>
      <c r="D200" s="430" t="str">
        <f t="shared" si="22"/>
        <v>A4034</v>
      </c>
      <c r="E200" s="430" t="str">
        <f>VLOOKUP(D200,'RCLIPS송신(일사천리론)_최종'!$B:$E,4,0)</f>
        <v>KB일반소호평점</v>
      </c>
      <c r="F200" s="430" t="str">
        <f>VLOOKUP(D200,'RCLIPS송신(일사천리론)_최종'!$B:$D,2,0)</f>
        <v>N</v>
      </c>
      <c r="G200" s="430" t="str">
        <f>VLOOKUP($D200,'RCLIPS송신(일사천리론)_최종'!$B:$D,3,0)</f>
        <v>15</v>
      </c>
      <c r="H200" s="430" t="str">
        <f t="shared" si="23"/>
        <v>000000000000722</v>
      </c>
      <c r="I200" s="263" t="str">
        <f t="shared" si="26"/>
        <v>W0003</v>
      </c>
      <c r="J200" s="263" t="str">
        <f>VLOOKUP($I200,'RCLIPS수신(일사천리론)_최종'!$C:$F,2,0)</f>
        <v>평점표항목3 배점</v>
      </c>
      <c r="K200" s="263" t="str">
        <f>VLOOKUP($I200,'RCLIPS수신(일사천리론)_최종'!$C:$F,3,0)</f>
        <v>Numeric</v>
      </c>
      <c r="L200" s="263">
        <f>VLOOKUP($I200,'RCLIPS수신(일사천리론)_최종'!$C:$F,4,0)</f>
        <v>20</v>
      </c>
      <c r="M200" s="263" t="str">
        <f t="shared" si="27"/>
        <v>000000000000001</v>
      </c>
    </row>
    <row r="201" spans="1:13">
      <c r="A201" s="263"/>
      <c r="B201" s="429">
        <f t="shared" si="24"/>
        <v>3961</v>
      </c>
      <c r="C201" s="429">
        <f t="shared" si="25"/>
        <v>3966</v>
      </c>
      <c r="D201" s="430" t="str">
        <f t="shared" si="22"/>
        <v>A4035</v>
      </c>
      <c r="E201" s="430" t="str">
        <f>VLOOKUP(D201,'RCLIPS송신(일사천리론)_최종'!$B:$E,4,0)</f>
        <v>비대면연계대출등급</v>
      </c>
      <c r="F201" s="430" t="str">
        <f>VLOOKUP(D201,'RCLIPS송신(일사천리론)_최종'!$B:$D,2,0)</f>
        <v>S</v>
      </c>
      <c r="G201" s="430" t="str">
        <f>VLOOKUP($D201,'RCLIPS송신(일사천리론)_최종'!$B:$D,3,0)</f>
        <v>2</v>
      </c>
      <c r="H201" s="430" t="str">
        <f t="shared" si="23"/>
        <v xml:space="preserve">02             </v>
      </c>
      <c r="I201" s="263" t="str">
        <f t="shared" si="26"/>
        <v>W0004</v>
      </c>
      <c r="J201" s="263" t="str">
        <f>VLOOKUP($I201,'RCLIPS수신(일사천리론)_최종'!$C:$F,2,0)</f>
        <v>평점표항목4 배점</v>
      </c>
      <c r="K201" s="263" t="str">
        <f>VLOOKUP($I201,'RCLIPS수신(일사천리론)_최종'!$C:$F,3,0)</f>
        <v>Numeric</v>
      </c>
      <c r="L201" s="263">
        <f>VLOOKUP($I201,'RCLIPS수신(일사천리론)_최종'!$C:$F,4,0)</f>
        <v>20</v>
      </c>
      <c r="M201" s="263" t="str">
        <f t="shared" si="27"/>
        <v>000000000000001</v>
      </c>
    </row>
    <row r="202" spans="1:13">
      <c r="A202" s="263"/>
      <c r="B202" s="429">
        <f t="shared" si="24"/>
        <v>3981</v>
      </c>
      <c r="C202" s="429">
        <f t="shared" si="25"/>
        <v>3986</v>
      </c>
      <c r="D202" s="430" t="str">
        <f t="shared" si="22"/>
        <v>A4036</v>
      </c>
      <c r="E202" s="430" t="str">
        <f>VLOOKUP(D202,'RCLIPS송신(일사천리론)_최종'!$B:$E,4,0)</f>
        <v>비대면연계대출스코어</v>
      </c>
      <c r="F202" s="430" t="str">
        <f>VLOOKUP(D202,'RCLIPS송신(일사천리론)_최종'!$B:$D,2,0)</f>
        <v>S</v>
      </c>
      <c r="G202" s="430" t="str">
        <f>VLOOKUP($D202,'RCLIPS송신(일사천리론)_최종'!$B:$D,3,0)</f>
        <v>2</v>
      </c>
      <c r="H202" s="430" t="str">
        <f t="shared" si="23"/>
        <v>000000000000948</v>
      </c>
      <c r="I202" s="263" t="str">
        <f t="shared" si="26"/>
        <v>W0005</v>
      </c>
      <c r="J202" s="263" t="str">
        <f>VLOOKUP($I202,'RCLIPS수신(일사천리론)_최종'!$C:$F,2,0)</f>
        <v>평점표항목5 배점</v>
      </c>
      <c r="K202" s="263" t="str">
        <f>VLOOKUP($I202,'RCLIPS수신(일사천리론)_최종'!$C:$F,3,0)</f>
        <v>Numeric</v>
      </c>
      <c r="L202" s="263">
        <f>VLOOKUP($I202,'RCLIPS수신(일사천리론)_최종'!$C:$F,4,0)</f>
        <v>20</v>
      </c>
      <c r="M202" s="263" t="str">
        <f t="shared" si="27"/>
        <v>-00000000000003</v>
      </c>
    </row>
    <row r="203" spans="1:13">
      <c r="A203" s="263"/>
      <c r="B203" s="429">
        <f t="shared" si="24"/>
        <v>4001</v>
      </c>
      <c r="C203" s="429">
        <f t="shared" si="25"/>
        <v>4006</v>
      </c>
      <c r="D203" s="430" t="str">
        <f t="shared" si="22"/>
        <v>A4037</v>
      </c>
      <c r="E203" s="430" t="str">
        <f>VLOOKUP(D203,'RCLIPS송신(일사천리론)_최종'!$B:$E,4,0)</f>
        <v>신용패턴지수(신용도 급변동 고객군)</v>
      </c>
      <c r="F203" s="430" t="str">
        <f>VLOOKUP(D203,'RCLIPS송신(일사천리론)_최종'!$B:$D,2,0)</f>
        <v>S</v>
      </c>
      <c r="G203" s="430" t="str">
        <f>VLOOKUP($D203,'RCLIPS송신(일사천리론)_최종'!$B:$D,3,0)</f>
        <v>2</v>
      </c>
      <c r="H203" s="430" t="str">
        <f t="shared" si="23"/>
        <v xml:space="preserve">0              </v>
      </c>
      <c r="I203" s="263" t="str">
        <f t="shared" si="26"/>
        <v>W0006</v>
      </c>
      <c r="J203" s="263" t="str">
        <f>VLOOKUP($I203,'RCLIPS수신(일사천리론)_최종'!$C:$F,2,0)</f>
        <v>평점표항목6 배점</v>
      </c>
      <c r="K203" s="263" t="str">
        <f>VLOOKUP($I203,'RCLIPS수신(일사천리론)_최종'!$C:$F,3,0)</f>
        <v>Numeric</v>
      </c>
      <c r="L203" s="263">
        <f>VLOOKUP($I203,'RCLIPS수신(일사천리론)_최종'!$C:$F,4,0)</f>
        <v>20</v>
      </c>
      <c r="M203" s="263" t="str">
        <f t="shared" si="27"/>
        <v>-00000000000002</v>
      </c>
    </row>
    <row r="204" spans="1:13">
      <c r="A204" s="263"/>
      <c r="B204" s="429">
        <f t="shared" si="24"/>
        <v>4021</v>
      </c>
      <c r="C204" s="429">
        <f t="shared" si="25"/>
        <v>4026</v>
      </c>
      <c r="D204" s="430" t="str">
        <f t="shared" si="22"/>
        <v>A4038</v>
      </c>
      <c r="E204" s="430" t="str">
        <f>VLOOKUP(D204,'RCLIPS송신(일사천리론)_최종'!$B:$E,4,0)</f>
        <v>신용패턴지수(THIN-FILE 탈출 고객군)</v>
      </c>
      <c r="F204" s="430" t="str">
        <f>VLOOKUP(D204,'RCLIPS송신(일사천리론)_최종'!$B:$D,2,0)</f>
        <v>S</v>
      </c>
      <c r="G204" s="430" t="str">
        <f>VLOOKUP($D204,'RCLIPS송신(일사천리론)_최종'!$B:$D,3,0)</f>
        <v>2</v>
      </c>
      <c r="H204" s="430" t="str">
        <f t="shared" si="23"/>
        <v xml:space="preserve">0              </v>
      </c>
      <c r="I204" s="263" t="str">
        <f t="shared" si="26"/>
        <v>W0007</v>
      </c>
      <c r="J204" s="263" t="str">
        <f>VLOOKUP($I204,'RCLIPS수신(일사천리론)_최종'!$C:$F,2,0)</f>
        <v>평점표항목7 배점</v>
      </c>
      <c r="K204" s="263" t="str">
        <f>VLOOKUP($I204,'RCLIPS수신(일사천리론)_최종'!$C:$F,3,0)</f>
        <v>Numeric</v>
      </c>
      <c r="L204" s="263">
        <f>VLOOKUP($I204,'RCLIPS수신(일사천리론)_최종'!$C:$F,4,0)</f>
        <v>20</v>
      </c>
      <c r="M204" s="263" t="str">
        <f t="shared" si="27"/>
        <v>-00000000000002</v>
      </c>
    </row>
    <row r="205" spans="1:13">
      <c r="A205" s="263"/>
      <c r="B205" s="429">
        <f t="shared" si="24"/>
        <v>4041</v>
      </c>
      <c r="C205" s="429">
        <f t="shared" si="25"/>
        <v>4046</v>
      </c>
      <c r="D205" s="430" t="str">
        <f t="shared" si="22"/>
        <v>A4039</v>
      </c>
      <c r="E205" s="430" t="str">
        <f>VLOOKUP(D205,'RCLIPS송신(일사천리론)_최종'!$B:$E,4,0)</f>
        <v>신용패턴지수(스코어패턴 TYPE1)</v>
      </c>
      <c r="F205" s="430" t="str">
        <f>VLOOKUP(D205,'RCLIPS송신(일사천리론)_최종'!$B:$D,2,0)</f>
        <v>S</v>
      </c>
      <c r="G205" s="430" t="str">
        <f>VLOOKUP($D205,'RCLIPS송신(일사천리론)_최종'!$B:$D,3,0)</f>
        <v>2</v>
      </c>
      <c r="H205" s="430" t="str">
        <f t="shared" si="23"/>
        <v xml:space="preserve">SCPTB999       </v>
      </c>
      <c r="I205" s="263" t="str">
        <f t="shared" si="26"/>
        <v>W0008</v>
      </c>
      <c r="J205" s="263" t="str">
        <f>VLOOKUP($I205,'RCLIPS수신(일사천리론)_최종'!$C:$F,2,0)</f>
        <v>평점표항목8 배점</v>
      </c>
      <c r="K205" s="263" t="str">
        <f>VLOOKUP($I205,'RCLIPS수신(일사천리론)_최종'!$C:$F,3,0)</f>
        <v>Numeric</v>
      </c>
      <c r="L205" s="263">
        <f>VLOOKUP($I205,'RCLIPS수신(일사천리론)_최종'!$C:$F,4,0)</f>
        <v>20</v>
      </c>
      <c r="M205" s="263" t="str">
        <f t="shared" si="27"/>
        <v>000000000000002</v>
      </c>
    </row>
    <row r="206" spans="1:13">
      <c r="A206" s="263"/>
      <c r="B206" s="429">
        <f t="shared" si="24"/>
        <v>4061</v>
      </c>
      <c r="C206" s="429">
        <f t="shared" si="25"/>
        <v>4066</v>
      </c>
      <c r="D206" s="430" t="str">
        <f t="shared" si="22"/>
        <v>A4040</v>
      </c>
      <c r="E206" s="430" t="str">
        <f>VLOOKUP(D206,'RCLIPS송신(일사천리론)_최종'!$B:$E,4,0)</f>
        <v>신용패턴지수(스코어패턴 TYPE2)</v>
      </c>
      <c r="F206" s="430" t="str">
        <f>VLOOKUP(D206,'RCLIPS송신(일사천리론)_최종'!$B:$D,2,0)</f>
        <v>S</v>
      </c>
      <c r="G206" s="430" t="str">
        <f>VLOOKUP($D206,'RCLIPS송신(일사천리론)_최종'!$B:$D,3,0)</f>
        <v>2</v>
      </c>
      <c r="H206" s="430" t="str">
        <f t="shared" si="23"/>
        <v xml:space="preserve">SCPTN999       </v>
      </c>
      <c r="I206" s="263" t="str">
        <f t="shared" si="26"/>
        <v>W0009</v>
      </c>
      <c r="J206" s="263" t="str">
        <f>VLOOKUP($I206,'RCLIPS수신(일사천리론)_최종'!$C:$F,2,0)</f>
        <v>평점표항목9 배점</v>
      </c>
      <c r="K206" s="263" t="str">
        <f>VLOOKUP($I206,'RCLIPS수신(일사천리론)_최종'!$C:$F,3,0)</f>
        <v>Numeric</v>
      </c>
      <c r="L206" s="263">
        <f>VLOOKUP($I206,'RCLIPS수신(일사천리론)_최종'!$C:$F,4,0)</f>
        <v>20</v>
      </c>
      <c r="M206" s="263" t="str">
        <f t="shared" si="27"/>
        <v>-00000000000012</v>
      </c>
    </row>
    <row r="207" spans="1:13">
      <c r="A207" s="263"/>
      <c r="B207" s="429">
        <f t="shared" si="24"/>
        <v>4081</v>
      </c>
      <c r="C207" s="429">
        <f t="shared" si="25"/>
        <v>4086</v>
      </c>
      <c r="D207" s="430" t="str">
        <f t="shared" si="22"/>
        <v>A4041</v>
      </c>
      <c r="E207" s="430" t="str">
        <f>VLOOKUP(D207,'RCLIPS송신(일사천리론)_최종'!$B:$E,4,0)</f>
        <v>신용패턴지수(스코어패턴 TYPE3)</v>
      </c>
      <c r="F207" s="430" t="str">
        <f>VLOOKUP(D207,'RCLIPS송신(일사천리론)_최종'!$B:$D,2,0)</f>
        <v>S</v>
      </c>
      <c r="G207" s="430" t="str">
        <f>VLOOKUP($D207,'RCLIPS송신(일사천리론)_최종'!$B:$D,3,0)</f>
        <v>2</v>
      </c>
      <c r="H207" s="430" t="str">
        <f t="shared" si="23"/>
        <v xml:space="preserve">3              </v>
      </c>
      <c r="I207" s="263" t="str">
        <f t="shared" si="26"/>
        <v>W0010</v>
      </c>
      <c r="J207" s="263" t="str">
        <f>VLOOKUP($I207,'RCLIPS수신(일사천리론)_최종'!$C:$F,2,0)</f>
        <v>평점표항목10 배점</v>
      </c>
      <c r="K207" s="263" t="str">
        <f>VLOOKUP($I207,'RCLIPS수신(일사천리론)_최종'!$C:$F,3,0)</f>
        <v>Numeric</v>
      </c>
      <c r="L207" s="263">
        <f>VLOOKUP($I207,'RCLIPS수신(일사천리론)_최종'!$C:$F,4,0)</f>
        <v>20</v>
      </c>
      <c r="M207" s="263" t="str">
        <f t="shared" si="27"/>
        <v>000000000000002</v>
      </c>
    </row>
    <row r="208" spans="1:13">
      <c r="A208" s="263"/>
      <c r="B208" s="429">
        <f t="shared" si="24"/>
        <v>4101</v>
      </c>
      <c r="C208" s="429">
        <f t="shared" si="25"/>
        <v>4106</v>
      </c>
      <c r="D208" s="430" t="str">
        <f t="shared" si="22"/>
        <v>A4042</v>
      </c>
      <c r="E208" s="430" t="str">
        <f>VLOOKUP(D208,'RCLIPS송신(일사천리론)_최종'!$B:$E,4,0)</f>
        <v>신용패턴지수(신용거래패턴)</v>
      </c>
      <c r="F208" s="430" t="str">
        <f>VLOOKUP(D208,'RCLIPS송신(일사천리론)_최종'!$B:$D,2,0)</f>
        <v>S</v>
      </c>
      <c r="G208" s="430" t="str">
        <f>VLOOKUP($D208,'RCLIPS송신(일사천리론)_최종'!$B:$D,3,0)</f>
        <v>2</v>
      </c>
      <c r="H208" s="430" t="str">
        <f t="shared" si="23"/>
        <v xml:space="preserve">0              </v>
      </c>
      <c r="I208" s="263" t="str">
        <f t="shared" si="26"/>
        <v>W0011</v>
      </c>
      <c r="J208" s="263" t="str">
        <f>VLOOKUP($I208,'RCLIPS수신(일사천리론)_최종'!$C:$F,2,0)</f>
        <v>평점표항목11 배점</v>
      </c>
      <c r="K208" s="263" t="str">
        <f>VLOOKUP($I208,'RCLIPS수신(일사천리론)_최종'!$C:$F,3,0)</f>
        <v>Numeric</v>
      </c>
      <c r="L208" s="263">
        <f>VLOOKUP($I208,'RCLIPS수신(일사천리론)_최종'!$C:$F,4,0)</f>
        <v>20</v>
      </c>
      <c r="M208" s="263" t="str">
        <f t="shared" si="27"/>
        <v>000000000000001</v>
      </c>
    </row>
    <row r="209" spans="1:13">
      <c r="A209" s="263"/>
      <c r="B209" s="429">
        <f t="shared" si="24"/>
        <v>4121</v>
      </c>
      <c r="C209" s="429">
        <f t="shared" si="25"/>
        <v>4126</v>
      </c>
      <c r="D209" s="430" t="str">
        <f t="shared" si="22"/>
        <v>A4043</v>
      </c>
      <c r="E209" s="430" t="str">
        <f>VLOOKUP(D209,'RCLIPS송신(일사천리론)_최종'!$B:$E,4,0)</f>
        <v>신용패턴지수(카드이용 충성도)</v>
      </c>
      <c r="F209" s="430" t="str">
        <f>VLOOKUP(D209,'RCLIPS송신(일사천리론)_최종'!$B:$D,2,0)</f>
        <v>S</v>
      </c>
      <c r="G209" s="430" t="str">
        <f>VLOOKUP($D209,'RCLIPS송신(일사천리론)_최종'!$B:$D,3,0)</f>
        <v>2</v>
      </c>
      <c r="H209" s="430" t="str">
        <f t="shared" si="23"/>
        <v xml:space="preserve">1              </v>
      </c>
      <c r="I209" s="263" t="str">
        <f t="shared" si="26"/>
        <v>W0012</v>
      </c>
      <c r="J209" s="263" t="e">
        <f>VLOOKUP($I209,'RCLIPS수신(일사천리론)_최종'!$C:$F,2,0)</f>
        <v>#N/A</v>
      </c>
      <c r="K209" s="263" t="e">
        <f>VLOOKUP($I209,'RCLIPS수신(일사천리론)_최종'!$C:$F,3,0)</f>
        <v>#N/A</v>
      </c>
      <c r="L209" s="263" t="e">
        <f>VLOOKUP($I209,'RCLIPS수신(일사천리론)_최종'!$C:$F,4,0)</f>
        <v>#N/A</v>
      </c>
      <c r="M209" s="263" t="str">
        <f t="shared" si="27"/>
        <v>000000000000002</v>
      </c>
    </row>
    <row r="210" spans="1:13">
      <c r="A210" s="263"/>
      <c r="B210" s="429">
        <f t="shared" si="24"/>
        <v>4141</v>
      </c>
      <c r="C210" s="429">
        <f t="shared" si="25"/>
        <v>4146</v>
      </c>
      <c r="D210" s="430" t="str">
        <f t="shared" si="22"/>
        <v>A4044</v>
      </c>
      <c r="E210" s="430" t="str">
        <f>VLOOKUP(D210,'RCLIPS송신(일사천리론)_최종'!$B:$E,4,0)</f>
        <v>신용패턴지수(대출거래 패턴)</v>
      </c>
      <c r="F210" s="430" t="str">
        <f>VLOOKUP(D210,'RCLIPS송신(일사천리론)_최종'!$B:$D,2,0)</f>
        <v>S</v>
      </c>
      <c r="G210" s="430" t="str">
        <f>VLOOKUP($D210,'RCLIPS송신(일사천리론)_최종'!$B:$D,3,0)</f>
        <v>2</v>
      </c>
      <c r="H210" s="430" t="str">
        <f t="shared" si="23"/>
        <v xml:space="preserve">99             </v>
      </c>
      <c r="I210" s="263" t="str">
        <f t="shared" si="26"/>
        <v>W0013</v>
      </c>
      <c r="J210" s="263" t="e">
        <f>VLOOKUP($I210,'RCLIPS수신(일사천리론)_최종'!$C:$F,2,0)</f>
        <v>#N/A</v>
      </c>
      <c r="K210" s="263" t="e">
        <f>VLOOKUP($I210,'RCLIPS수신(일사천리론)_최종'!$C:$F,3,0)</f>
        <v>#N/A</v>
      </c>
      <c r="L210" s="263" t="e">
        <f>VLOOKUP($I210,'RCLIPS수신(일사천리론)_최종'!$C:$F,4,0)</f>
        <v>#N/A</v>
      </c>
      <c r="M210" s="263" t="str">
        <f t="shared" si="27"/>
        <v>000000000000005</v>
      </c>
    </row>
    <row r="211" spans="1:13">
      <c r="A211" s="263"/>
      <c r="B211" s="429">
        <f t="shared" si="24"/>
        <v>4161</v>
      </c>
      <c r="C211" s="429">
        <f t="shared" si="25"/>
        <v>4166</v>
      </c>
      <c r="D211" s="430" t="str">
        <f t="shared" si="22"/>
        <v>A4045</v>
      </c>
      <c r="E211" s="430" t="str">
        <f>VLOOKUP(D211,'RCLIPS송신(일사천리론)_최종'!$B:$E,4,0)</f>
        <v>비대면 신용개설가능지수 스코어</v>
      </c>
      <c r="F211" s="430" t="str">
        <f>VLOOKUP(D211,'RCLIPS송신(일사천리론)_최종'!$B:$D,2,0)</f>
        <v>S</v>
      </c>
      <c r="G211" s="430" t="str">
        <f>VLOOKUP($D211,'RCLIPS송신(일사천리론)_최종'!$B:$D,3,0)</f>
        <v>2</v>
      </c>
      <c r="H211" s="430" t="str">
        <f t="shared" si="23"/>
        <v>000000000000344</v>
      </c>
      <c r="I211" s="263" t="str">
        <f t="shared" si="26"/>
        <v>W0014</v>
      </c>
      <c r="J211" s="263" t="e">
        <f>VLOOKUP($I211,'RCLIPS수신(일사천리론)_최종'!$C:$F,2,0)</f>
        <v>#N/A</v>
      </c>
      <c r="K211" s="263" t="e">
        <f>VLOOKUP($I211,'RCLIPS수신(일사천리론)_최종'!$C:$F,3,0)</f>
        <v>#N/A</v>
      </c>
      <c r="L211" s="263" t="e">
        <f>VLOOKUP($I211,'RCLIPS수신(일사천리론)_최종'!$C:$F,4,0)</f>
        <v>#N/A</v>
      </c>
      <c r="M211" s="263" t="str">
        <f t="shared" si="27"/>
        <v>000000000000001</v>
      </c>
    </row>
    <row r="212" spans="1:13">
      <c r="A212" s="263"/>
      <c r="B212" s="429">
        <f t="shared" si="24"/>
        <v>4181</v>
      </c>
      <c r="C212" s="429">
        <f t="shared" si="25"/>
        <v>4186</v>
      </c>
      <c r="D212" s="430" t="str">
        <f t="shared" si="22"/>
        <v>A4046</v>
      </c>
      <c r="E212" s="430" t="str">
        <f>VLOOKUP(D212,'RCLIPS송신(일사천리론)_최종'!$B:$E,4,0)</f>
        <v>비대면 신용개설가능지수 등급</v>
      </c>
      <c r="F212" s="430" t="str">
        <f>VLOOKUP(D212,'RCLIPS송신(일사천리론)_최종'!$B:$D,2,0)</f>
        <v>S</v>
      </c>
      <c r="G212" s="430" t="str">
        <f>VLOOKUP($D212,'RCLIPS송신(일사천리론)_최종'!$B:$D,3,0)</f>
        <v>2</v>
      </c>
      <c r="H212" s="430" t="str">
        <f t="shared" si="23"/>
        <v>000000000000012</v>
      </c>
      <c r="I212" s="263" t="str">
        <f t="shared" si="26"/>
        <v>W0015</v>
      </c>
      <c r="J212" s="263" t="e">
        <f>VLOOKUP($I212,'RCLIPS수신(일사천리론)_최종'!$C:$F,2,0)</f>
        <v>#N/A</v>
      </c>
      <c r="K212" s="263" t="e">
        <f>VLOOKUP($I212,'RCLIPS수신(일사천리론)_최종'!$C:$F,3,0)</f>
        <v>#N/A</v>
      </c>
      <c r="L212" s="263" t="e">
        <f>VLOOKUP($I212,'RCLIPS수신(일사천리론)_최종'!$C:$F,4,0)</f>
        <v>#N/A</v>
      </c>
      <c r="M212" s="263" t="str">
        <f t="shared" si="27"/>
        <v>000000000000008</v>
      </c>
    </row>
    <row r="213" spans="1:13">
      <c r="A213" s="263"/>
      <c r="B213" s="429">
        <f t="shared" si="24"/>
        <v>4201</v>
      </c>
      <c r="C213" s="429">
        <f t="shared" si="25"/>
        <v>4206</v>
      </c>
      <c r="D213" s="430" t="str">
        <f t="shared" si="22"/>
        <v>A4047</v>
      </c>
      <c r="E213" s="430" t="str">
        <f>VLOOKUP(D213,'RCLIPS송신(일사천리론)_최종'!$B:$E,4,0)</f>
        <v>비대면 신용개설가능지수 신용변동 예측지표</v>
      </c>
      <c r="F213" s="430" t="str">
        <f>VLOOKUP(D213,'RCLIPS송신(일사천리론)_최종'!$B:$D,2,0)</f>
        <v>S</v>
      </c>
      <c r="G213" s="430" t="str">
        <f>VLOOKUP($D213,'RCLIPS송신(일사천리론)_최종'!$B:$D,3,0)</f>
        <v>2</v>
      </c>
      <c r="H213" s="430" t="str">
        <f t="shared" si="23"/>
        <v xml:space="preserve">D              </v>
      </c>
      <c r="I213" s="263" t="str">
        <f t="shared" si="26"/>
        <v>W0016</v>
      </c>
      <c r="J213" s="263" t="e">
        <f>VLOOKUP($I213,'RCLIPS수신(일사천리론)_최종'!$C:$F,2,0)</f>
        <v>#N/A</v>
      </c>
      <c r="K213" s="263" t="e">
        <f>VLOOKUP($I213,'RCLIPS수신(일사천리론)_최종'!$C:$F,3,0)</f>
        <v>#N/A</v>
      </c>
      <c r="L213" s="263" t="e">
        <f>VLOOKUP($I213,'RCLIPS수신(일사천리론)_최종'!$C:$F,4,0)</f>
        <v>#N/A</v>
      </c>
      <c r="M213" s="263" t="str">
        <f t="shared" si="27"/>
        <v>000000000000003</v>
      </c>
    </row>
    <row r="214" spans="1:13">
      <c r="A214" s="263"/>
      <c r="B214" s="429">
        <f t="shared" si="24"/>
        <v>4221</v>
      </c>
      <c r="C214" s="429">
        <f t="shared" si="25"/>
        <v>4226</v>
      </c>
      <c r="D214" s="430" t="str">
        <f t="shared" si="22"/>
        <v>A4048</v>
      </c>
      <c r="E214" s="430" t="str">
        <f>VLOOKUP(D214,'RCLIPS송신(일사천리론)_최종'!$B:$E,4,0)</f>
        <v>카드론대출기관수_L1K220000</v>
      </c>
      <c r="F214" s="430" t="str">
        <f>VLOOKUP(D214,'RCLIPS송신(일사천리론)_최종'!$B:$D,2,0)</f>
        <v>N</v>
      </c>
      <c r="G214" s="430" t="str">
        <f>VLOOKUP($D214,'RCLIPS송신(일사천리론)_최종'!$B:$D,3,0)</f>
        <v>5</v>
      </c>
      <c r="H214" s="430" t="str">
        <f t="shared" si="23"/>
        <v>000000000000000</v>
      </c>
      <c r="I214" s="263" t="str">
        <f t="shared" si="26"/>
        <v>W0017</v>
      </c>
      <c r="J214" s="263" t="e">
        <f>VLOOKUP($I214,'RCLIPS수신(일사천리론)_최종'!$C:$F,2,0)</f>
        <v>#N/A</v>
      </c>
      <c r="K214" s="263" t="e">
        <f>VLOOKUP($I214,'RCLIPS수신(일사천리론)_최종'!$C:$F,3,0)</f>
        <v>#N/A</v>
      </c>
      <c r="L214" s="263" t="e">
        <f>VLOOKUP($I214,'RCLIPS수신(일사천리론)_최종'!$C:$F,4,0)</f>
        <v>#N/A</v>
      </c>
      <c r="M214" s="263" t="str">
        <f t="shared" si="27"/>
        <v>000000000000001</v>
      </c>
    </row>
    <row r="215" spans="1:13">
      <c r="A215" s="263"/>
      <c r="B215" s="429">
        <f t="shared" si="24"/>
        <v>4241</v>
      </c>
      <c r="C215" s="429">
        <f t="shared" si="25"/>
        <v>4246</v>
      </c>
      <c r="D215" s="430" t="str">
        <f t="shared" si="22"/>
        <v>A4049</v>
      </c>
      <c r="E215" s="430" t="str">
        <f>VLOOKUP(D215,'RCLIPS송신(일사천리론)_최종'!$B:$E,4,0)</f>
        <v>은행업권대출건수_K</v>
      </c>
      <c r="F215" s="430" t="str">
        <f>VLOOKUP(D215,'RCLIPS송신(일사천리론)_최종'!$B:$D,2,0)</f>
        <v>N</v>
      </c>
      <c r="G215" s="430" t="str">
        <f>VLOOKUP($D215,'RCLIPS송신(일사천리론)_최종'!$B:$D,3,0)</f>
        <v>15</v>
      </c>
      <c r="H215" s="430" t="str">
        <f t="shared" si="23"/>
        <v>000000000000000</v>
      </c>
      <c r="I215" s="263" t="str">
        <f t="shared" si="26"/>
        <v>W0018</v>
      </c>
      <c r="J215" s="263" t="e">
        <f>VLOOKUP($I215,'RCLIPS수신(일사천리론)_최종'!$C:$F,2,0)</f>
        <v>#N/A</v>
      </c>
      <c r="K215" s="263" t="e">
        <f>VLOOKUP($I215,'RCLIPS수신(일사천리론)_최종'!$C:$F,3,0)</f>
        <v>#N/A</v>
      </c>
      <c r="L215" s="263" t="e">
        <f>VLOOKUP($I215,'RCLIPS수신(일사천리론)_최종'!$C:$F,4,0)</f>
        <v>#N/A</v>
      </c>
      <c r="M215" s="263" t="str">
        <f t="shared" si="27"/>
        <v>000000000000000</v>
      </c>
    </row>
    <row r="216" spans="1:13">
      <c r="A216" s="263"/>
      <c r="B216" s="429">
        <f t="shared" si="24"/>
        <v>4261</v>
      </c>
      <c r="C216" s="429">
        <f t="shared" si="25"/>
        <v>4266</v>
      </c>
      <c r="D216" s="430" t="str">
        <f t="shared" si="22"/>
        <v>A4050</v>
      </c>
      <c r="E216" s="430" t="str">
        <f>VLOOKUP(D216,'RCLIPS송신(일사천리론)_최종'!$B:$E,4,0)</f>
        <v>다중채무대상대출기관수_K</v>
      </c>
      <c r="F216" s="430" t="str">
        <f>VLOOKUP(D216,'RCLIPS송신(일사천리론)_최종'!$B:$D,2,0)</f>
        <v>N</v>
      </c>
      <c r="G216" s="430" t="str">
        <f>VLOOKUP($D216,'RCLIPS송신(일사천리론)_최종'!$B:$D,3,0)</f>
        <v>15</v>
      </c>
      <c r="H216" s="430" t="str">
        <f t="shared" si="23"/>
        <v>000000000000000</v>
      </c>
      <c r="I216" s="263" t="str">
        <f t="shared" si="26"/>
        <v>W0019</v>
      </c>
      <c r="J216" s="263" t="e">
        <f>VLOOKUP($I216,'RCLIPS수신(일사천리론)_최종'!$C:$F,2,0)</f>
        <v>#N/A</v>
      </c>
      <c r="K216" s="263" t="e">
        <f>VLOOKUP($I216,'RCLIPS수신(일사천리론)_최종'!$C:$F,3,0)</f>
        <v>#N/A</v>
      </c>
      <c r="L216" s="263" t="e">
        <f>VLOOKUP($I216,'RCLIPS수신(일사천리론)_최종'!$C:$F,4,0)</f>
        <v>#N/A</v>
      </c>
      <c r="M216" s="263" t="str">
        <f t="shared" si="27"/>
        <v>000000000000005</v>
      </c>
    </row>
    <row r="217" spans="1:13">
      <c r="A217" s="263"/>
      <c r="B217" s="429">
        <f t="shared" si="24"/>
        <v>4281</v>
      </c>
      <c r="C217" s="429">
        <f t="shared" si="25"/>
        <v>4286</v>
      </c>
      <c r="D217" s="430" t="str">
        <f t="shared" si="22"/>
        <v>A4051</v>
      </c>
      <c r="E217" s="430" t="str">
        <f>VLOOKUP(D217,'RCLIPS송신(일사천리론)_최종'!$B:$E,4,0)</f>
        <v>주택보유자산의제소득금액</v>
      </c>
      <c r="F217" s="430" t="str">
        <f>VLOOKUP(D217,'RCLIPS송신(일사천리론)_최종'!$B:$D,2,0)</f>
        <v>N</v>
      </c>
      <c r="G217" s="430" t="str">
        <f>VLOOKUP($D217,'RCLIPS송신(일사천리론)_최종'!$B:$D,3,0)</f>
        <v>15</v>
      </c>
      <c r="H217" s="430" t="str">
        <f t="shared" si="23"/>
        <v>000000000000000</v>
      </c>
      <c r="I217" s="263" t="str">
        <f t="shared" si="26"/>
        <v>W0020</v>
      </c>
      <c r="J217" s="263" t="e">
        <f>VLOOKUP($I217,'RCLIPS수신(일사천리론)_최종'!$C:$F,2,0)</f>
        <v>#N/A</v>
      </c>
      <c r="K217" s="263" t="e">
        <f>VLOOKUP($I217,'RCLIPS수신(일사천리론)_최종'!$C:$F,3,0)</f>
        <v>#N/A</v>
      </c>
      <c r="L217" s="263" t="e">
        <f>VLOOKUP($I217,'RCLIPS수신(일사천리론)_최종'!$C:$F,4,0)</f>
        <v>#N/A</v>
      </c>
      <c r="M217" s="263" t="str">
        <f t="shared" si="27"/>
        <v>000000000000002</v>
      </c>
    </row>
    <row r="218" spans="1:13">
      <c r="A218" s="263"/>
      <c r="B218" s="429">
        <f t="shared" si="24"/>
        <v>4301</v>
      </c>
      <c r="C218" s="429">
        <f t="shared" si="25"/>
        <v>4306</v>
      </c>
      <c r="D218" s="430" t="str">
        <f t="shared" si="22"/>
        <v>A4052</v>
      </c>
      <c r="E218" s="430" t="str">
        <f>VLOOKUP(D218,'RCLIPS송신(일사천리론)_최종'!$B:$E,4,0)</f>
        <v>주택미보유포함자산의제소득금액</v>
      </c>
      <c r="F218" s="430" t="str">
        <f>VLOOKUP(D218,'RCLIPS송신(일사천리론)_최종'!$B:$D,2,0)</f>
        <v>N</v>
      </c>
      <c r="G218" s="430" t="str">
        <f>VLOOKUP($D218,'RCLIPS송신(일사천리론)_최종'!$B:$D,3,0)</f>
        <v>15</v>
      </c>
      <c r="H218" s="430" t="str">
        <f t="shared" si="23"/>
        <v>000000000000000</v>
      </c>
      <c r="I218" s="263" t="str">
        <f t="shared" si="26"/>
        <v>W0021</v>
      </c>
      <c r="J218" s="263" t="e">
        <f>VLOOKUP($I218,'RCLIPS수신(일사천리론)_최종'!$C:$F,2,0)</f>
        <v>#N/A</v>
      </c>
      <c r="K218" s="263" t="e">
        <f>VLOOKUP($I218,'RCLIPS수신(일사천리론)_최종'!$C:$F,3,0)</f>
        <v>#N/A</v>
      </c>
      <c r="L218" s="263" t="e">
        <f>VLOOKUP($I218,'RCLIPS수신(일사천리론)_최종'!$C:$F,4,0)</f>
        <v>#N/A</v>
      </c>
      <c r="M218" s="263" t="str">
        <f t="shared" si="27"/>
        <v>-00000000000002</v>
      </c>
    </row>
    <row r="219" spans="1:13">
      <c r="A219" s="263"/>
      <c r="B219" s="429">
        <f t="shared" si="24"/>
        <v>4321</v>
      </c>
      <c r="C219" s="429">
        <f t="shared" si="25"/>
        <v>4326</v>
      </c>
      <c r="D219" s="430" t="str">
        <f t="shared" si="22"/>
        <v>A4053</v>
      </c>
      <c r="E219" s="430" t="str">
        <f>VLOOKUP(D219,'RCLIPS송신(일사천리론)_최종'!$B:$E,4,0)</f>
        <v>신용대출건수</v>
      </c>
      <c r="F219" s="430" t="str">
        <f>VLOOKUP(D219,'RCLIPS송신(일사천리론)_최종'!$B:$D,2,0)</f>
        <v>N</v>
      </c>
      <c r="G219" s="430" t="str">
        <f>VLOOKUP($D219,'RCLIPS송신(일사천리론)_최종'!$B:$D,3,0)</f>
        <v>15</v>
      </c>
      <c r="H219" s="430" t="str">
        <f t="shared" si="23"/>
        <v>000000000000000</v>
      </c>
      <c r="I219" s="263" t="str">
        <f t="shared" si="26"/>
        <v>W0022</v>
      </c>
      <c r="J219" s="263" t="e">
        <f>VLOOKUP($I219,'RCLIPS수신(일사천리론)_최종'!$C:$F,2,0)</f>
        <v>#N/A</v>
      </c>
      <c r="K219" s="263" t="e">
        <f>VLOOKUP($I219,'RCLIPS수신(일사천리론)_최종'!$C:$F,3,0)</f>
        <v>#N/A</v>
      </c>
      <c r="L219" s="263" t="e">
        <f>VLOOKUP($I219,'RCLIPS수신(일사천리론)_최종'!$C:$F,4,0)</f>
        <v>#N/A</v>
      </c>
      <c r="M219" s="263" t="str">
        <f t="shared" si="27"/>
        <v>-00000000000001</v>
      </c>
    </row>
    <row r="220" spans="1:13">
      <c r="A220" s="263"/>
      <c r="B220" s="429">
        <f t="shared" si="24"/>
        <v>4341</v>
      </c>
      <c r="C220" s="429">
        <f t="shared" si="25"/>
        <v>4346</v>
      </c>
      <c r="D220" s="430" t="str">
        <f t="shared" si="22"/>
        <v>A4054</v>
      </c>
      <c r="E220" s="430" t="str">
        <f>VLOOKUP(D220,'RCLIPS송신(일사천리론)_최종'!$B:$E,4,0)</f>
        <v>은행업종신용대출건수</v>
      </c>
      <c r="F220" s="430" t="str">
        <f>VLOOKUP(D220,'RCLIPS송신(일사천리론)_최종'!$B:$D,2,0)</f>
        <v>N</v>
      </c>
      <c r="G220" s="430" t="str">
        <f>VLOOKUP($D220,'RCLIPS송신(일사천리론)_최종'!$B:$D,3,0)</f>
        <v>15</v>
      </c>
      <c r="H220" s="430" t="str">
        <f t="shared" si="23"/>
        <v>000000000000000</v>
      </c>
      <c r="I220" s="263" t="str">
        <f t="shared" si="26"/>
        <v>W0023</v>
      </c>
      <c r="J220" s="263" t="e">
        <f>VLOOKUP($I220,'RCLIPS수신(일사천리론)_최종'!$C:$F,2,0)</f>
        <v>#N/A</v>
      </c>
      <c r="K220" s="263" t="e">
        <f>VLOOKUP($I220,'RCLIPS수신(일사천리론)_최종'!$C:$F,3,0)</f>
        <v>#N/A</v>
      </c>
      <c r="L220" s="263" t="e">
        <f>VLOOKUP($I220,'RCLIPS수신(일사천리론)_최종'!$C:$F,4,0)</f>
        <v>#N/A</v>
      </c>
      <c r="M220" s="263" t="str">
        <f t="shared" si="27"/>
        <v>000000000000024</v>
      </c>
    </row>
    <row r="221" spans="1:13">
      <c r="A221" s="263"/>
      <c r="B221" s="429">
        <f t="shared" si="24"/>
        <v>4361</v>
      </c>
      <c r="C221" s="429">
        <f t="shared" si="25"/>
        <v>4366</v>
      </c>
      <c r="D221" s="430" t="str">
        <f t="shared" si="22"/>
        <v>A4055</v>
      </c>
      <c r="E221" s="430" t="str">
        <f>VLOOKUP(D221,'RCLIPS송신(일사천리론)_최종'!$B:$E,4,0)</f>
        <v>R스코어ML신용등급</v>
      </c>
      <c r="F221" s="430" t="str">
        <f>VLOOKUP(D221,'RCLIPS송신(일사천리론)_최종'!$B:$D,2,0)</f>
        <v>S</v>
      </c>
      <c r="G221" s="430" t="str">
        <f>VLOOKUP($D221,'RCLIPS송신(일사천리론)_최종'!$B:$D,3,0)</f>
        <v>2</v>
      </c>
      <c r="H221" s="430" t="str">
        <f t="shared" si="23"/>
        <v xml:space="preserve">05             </v>
      </c>
      <c r="I221" s="263" t="str">
        <f t="shared" si="26"/>
        <v>W0024</v>
      </c>
      <c r="J221" s="263" t="e">
        <f>VLOOKUP($I221,'RCLIPS수신(일사천리론)_최종'!$C:$F,2,0)</f>
        <v>#N/A</v>
      </c>
      <c r="K221" s="263" t="e">
        <f>VLOOKUP($I221,'RCLIPS수신(일사천리론)_최종'!$C:$F,3,0)</f>
        <v>#N/A</v>
      </c>
      <c r="L221" s="263" t="e">
        <f>VLOOKUP($I221,'RCLIPS수신(일사천리론)_최종'!$C:$F,4,0)</f>
        <v>#N/A</v>
      </c>
      <c r="M221" s="263" t="str">
        <f t="shared" si="27"/>
        <v>000000000000024</v>
      </c>
    </row>
    <row r="222" spans="1:13">
      <c r="A222" s="263"/>
      <c r="B222" s="429">
        <f t="shared" si="24"/>
        <v>4381</v>
      </c>
      <c r="C222" s="429">
        <f t="shared" si="25"/>
        <v>4386</v>
      </c>
      <c r="D222" s="430" t="str">
        <f t="shared" si="22"/>
        <v>A4056</v>
      </c>
      <c r="E222" s="430" t="str">
        <f>VLOOKUP(D222,'RCLIPS송신(일사천리론)_최종'!$B:$E,4,0)</f>
        <v>POSITIVESCORE등급</v>
      </c>
      <c r="F222" s="430" t="str">
        <f>VLOOKUP(D222,'RCLIPS송신(일사천리론)_최종'!$B:$D,2,0)</f>
        <v>S</v>
      </c>
      <c r="G222" s="430" t="str">
        <f>VLOOKUP($D222,'RCLIPS송신(일사천리론)_최종'!$B:$D,3,0)</f>
        <v>2</v>
      </c>
      <c r="H222" s="430" t="str">
        <f t="shared" si="23"/>
        <v xml:space="preserve">02             </v>
      </c>
      <c r="I222" s="263" t="str">
        <f t="shared" si="26"/>
        <v>W0025</v>
      </c>
      <c r="J222" s="263" t="e">
        <f>VLOOKUP($I222,'RCLIPS수신(일사천리론)_최종'!$C:$F,2,0)</f>
        <v>#N/A</v>
      </c>
      <c r="K222" s="263" t="e">
        <f>VLOOKUP($I222,'RCLIPS수신(일사천리론)_최종'!$C:$F,3,0)</f>
        <v>#N/A</v>
      </c>
      <c r="L222" s="263" t="e">
        <f>VLOOKUP($I222,'RCLIPS수신(일사천리론)_최종'!$C:$F,4,0)</f>
        <v>#N/A</v>
      </c>
      <c r="M222" s="263" t="str">
        <f t="shared" si="27"/>
        <v>000000000000001</v>
      </c>
    </row>
    <row r="223" spans="1:13">
      <c r="A223" s="263"/>
      <c r="B223" s="429">
        <f t="shared" si="24"/>
        <v>4401</v>
      </c>
      <c r="C223" s="429">
        <f t="shared" si="25"/>
        <v>4406</v>
      </c>
      <c r="D223" s="430" t="str">
        <f t="shared" si="22"/>
        <v>A4057</v>
      </c>
      <c r="E223" s="430" t="str">
        <f>VLOOKUP(D223,'RCLIPS송신(일사천리론)_최종'!$B:$E,4,0)</f>
        <v>소호변동성지수등급</v>
      </c>
      <c r="F223" s="430" t="str">
        <f>VLOOKUP(D223,'RCLIPS송신(일사천리론)_최종'!$B:$D,2,0)</f>
        <v>S</v>
      </c>
      <c r="G223" s="430" t="str">
        <f>VLOOKUP($D223,'RCLIPS송신(일사천리론)_최종'!$B:$D,3,0)</f>
        <v>2</v>
      </c>
      <c r="H223" s="430" t="str">
        <f t="shared" si="23"/>
        <v xml:space="preserve">03             </v>
      </c>
      <c r="I223" s="263" t="str">
        <f t="shared" si="26"/>
        <v>W0026</v>
      </c>
      <c r="J223" s="263" t="e">
        <f>VLOOKUP($I223,'RCLIPS수신(일사천리론)_최종'!$C:$F,2,0)</f>
        <v>#N/A</v>
      </c>
      <c r="K223" s="263" t="e">
        <f>VLOOKUP($I223,'RCLIPS수신(일사천리론)_최종'!$C:$F,3,0)</f>
        <v>#N/A</v>
      </c>
      <c r="L223" s="263" t="e">
        <f>VLOOKUP($I223,'RCLIPS수신(일사천리론)_최종'!$C:$F,4,0)</f>
        <v>#N/A</v>
      </c>
      <c r="M223" s="263" t="str">
        <f t="shared" si="27"/>
        <v>-00000000000001</v>
      </c>
    </row>
    <row r="224" spans="1:13">
      <c r="A224" s="263"/>
      <c r="B224" s="429">
        <f t="shared" si="24"/>
        <v>4421</v>
      </c>
      <c r="C224" s="429">
        <f t="shared" si="25"/>
        <v>4426</v>
      </c>
      <c r="D224" s="430" t="str">
        <f t="shared" si="22"/>
        <v>A4058</v>
      </c>
      <c r="E224" s="430" t="str">
        <f>VLOOKUP(D224,'RCLIPS송신(일사천리론)_최종'!$B:$E,4,0)</f>
        <v>소호변동성지수고변동여부</v>
      </c>
      <c r="F224" s="430" t="str">
        <f>VLOOKUP(D224,'RCLIPS송신(일사천리론)_최종'!$B:$D,2,0)</f>
        <v>S</v>
      </c>
      <c r="G224" s="430" t="str">
        <f>VLOOKUP($D224,'RCLIPS송신(일사천리론)_최종'!$B:$D,3,0)</f>
        <v>2</v>
      </c>
      <c r="H224" s="430" t="str">
        <f t="shared" si="23"/>
        <v xml:space="preserve">N              </v>
      </c>
      <c r="I224" s="263" t="str">
        <f t="shared" si="26"/>
        <v>W0027</v>
      </c>
      <c r="J224" s="263" t="e">
        <f>VLOOKUP($I224,'RCLIPS수신(일사천리론)_최종'!$C:$F,2,0)</f>
        <v>#N/A</v>
      </c>
      <c r="K224" s="263" t="e">
        <f>VLOOKUP($I224,'RCLIPS수신(일사천리론)_최종'!$C:$F,3,0)</f>
        <v>#N/A</v>
      </c>
      <c r="L224" s="263" t="e">
        <f>VLOOKUP($I224,'RCLIPS수신(일사천리론)_최종'!$C:$F,4,0)</f>
        <v>#N/A</v>
      </c>
      <c r="M224" s="263" t="str">
        <f t="shared" si="27"/>
        <v>-00000000000001</v>
      </c>
    </row>
    <row r="225" spans="1:13">
      <c r="A225" s="263"/>
      <c r="B225" s="429">
        <f t="shared" si="24"/>
        <v>4441</v>
      </c>
      <c r="C225" s="429">
        <f t="shared" si="25"/>
        <v>4446</v>
      </c>
      <c r="D225" s="430" t="str">
        <f t="shared" si="22"/>
        <v>A4059</v>
      </c>
      <c r="E225" s="430" t="str">
        <f>VLOOKUP(D225,'RCLIPS송신(일사천리론)_최종'!$B:$E,4,0)</f>
        <v>소호변동성지수ML조정등급</v>
      </c>
      <c r="F225" s="430" t="str">
        <f>VLOOKUP(D225,'RCLIPS송신(일사천리론)_최종'!$B:$D,2,0)</f>
        <v>S</v>
      </c>
      <c r="G225" s="430" t="str">
        <f>VLOOKUP($D225,'RCLIPS송신(일사천리론)_최종'!$B:$D,3,0)</f>
        <v>2</v>
      </c>
      <c r="H225" s="430" t="str">
        <f t="shared" si="23"/>
        <v xml:space="preserve">0              </v>
      </c>
      <c r="I225" s="263" t="str">
        <f t="shared" si="26"/>
        <v>W0028</v>
      </c>
      <c r="J225" s="263" t="e">
        <f>VLOOKUP($I225,'RCLIPS수신(일사천리론)_최종'!$C:$F,2,0)</f>
        <v>#N/A</v>
      </c>
      <c r="K225" s="263" t="e">
        <f>VLOOKUP($I225,'RCLIPS수신(일사천리론)_최종'!$C:$F,3,0)</f>
        <v>#N/A</v>
      </c>
      <c r="L225" s="263" t="e">
        <f>VLOOKUP($I225,'RCLIPS수신(일사천리론)_최종'!$C:$F,4,0)</f>
        <v>#N/A</v>
      </c>
      <c r="M225" s="263" t="str">
        <f t="shared" si="27"/>
        <v>000000000000003</v>
      </c>
    </row>
    <row r="226" spans="1:13">
      <c r="A226" s="263"/>
      <c r="B226" s="429">
        <f t="shared" si="24"/>
        <v>4461</v>
      </c>
      <c r="C226" s="429">
        <f t="shared" si="25"/>
        <v>4466</v>
      </c>
      <c r="D226" s="430" t="str">
        <f t="shared" si="22"/>
        <v>B4001</v>
      </c>
      <c r="E226" s="430" t="str">
        <f>VLOOKUP(D226,'RCLIPS송신(일사천리론)_최종'!$B:$E,4,0)</f>
        <v>미해제신용도판단공공정보건수</v>
      </c>
      <c r="F226" s="430" t="str">
        <f>VLOOKUP(D226,'RCLIPS송신(일사천리론)_최종'!$B:$D,2,0)</f>
        <v>N</v>
      </c>
      <c r="G226" s="430" t="str">
        <f>VLOOKUP($D226,'RCLIPS송신(일사천리론)_최종'!$B:$D,3,0)</f>
        <v>15</v>
      </c>
      <c r="H226" s="430" t="str">
        <f t="shared" si="23"/>
        <v>000000000000000</v>
      </c>
      <c r="I226" s="263" t="str">
        <f t="shared" si="26"/>
        <v>W0029</v>
      </c>
      <c r="J226" s="263" t="e">
        <f>VLOOKUP($I226,'RCLIPS수신(일사천리론)_최종'!$C:$F,2,0)</f>
        <v>#N/A</v>
      </c>
      <c r="K226" s="263" t="e">
        <f>VLOOKUP($I226,'RCLIPS수신(일사천리론)_최종'!$C:$F,3,0)</f>
        <v>#N/A</v>
      </c>
      <c r="L226" s="263" t="e">
        <f>VLOOKUP($I226,'RCLIPS수신(일사천리론)_최종'!$C:$F,4,0)</f>
        <v>#N/A</v>
      </c>
      <c r="M226" s="263" t="str">
        <f t="shared" si="27"/>
        <v>-00000000000032</v>
      </c>
    </row>
    <row r="227" spans="1:13">
      <c r="A227" s="263"/>
      <c r="B227" s="429">
        <f t="shared" si="24"/>
        <v>4481</v>
      </c>
      <c r="C227" s="429">
        <f t="shared" si="25"/>
        <v>4486</v>
      </c>
      <c r="D227" s="430" t="str">
        <f t="shared" si="22"/>
        <v>B4002</v>
      </c>
      <c r="E227" s="430" t="str">
        <f>VLOOKUP(D227,'RCLIPS송신(일사천리론)_최종'!$B:$E,4,0)</f>
        <v>N1년신판이용금액</v>
      </c>
      <c r="F227" s="430" t="str">
        <f>VLOOKUP(D227,'RCLIPS송신(일사천리론)_최종'!$B:$D,2,0)</f>
        <v>N</v>
      </c>
      <c r="G227" s="430" t="str">
        <f>VLOOKUP($D227,'RCLIPS송신(일사천리론)_최종'!$B:$D,3,0)</f>
        <v>15</v>
      </c>
      <c r="H227" s="430" t="str">
        <f t="shared" si="23"/>
        <v>000000000003390</v>
      </c>
      <c r="I227" s="263" t="str">
        <f t="shared" si="26"/>
        <v>W0030</v>
      </c>
      <c r="J227" s="263" t="e">
        <f>VLOOKUP($I227,'RCLIPS수신(일사천리론)_최종'!$C:$F,2,0)</f>
        <v>#N/A</v>
      </c>
      <c r="K227" s="263" t="e">
        <f>VLOOKUP($I227,'RCLIPS수신(일사천리론)_최종'!$C:$F,3,0)</f>
        <v>#N/A</v>
      </c>
      <c r="L227" s="263" t="e">
        <f>VLOOKUP($I227,'RCLIPS수신(일사천리론)_최종'!$C:$F,4,0)</f>
        <v>#N/A</v>
      </c>
      <c r="M227" s="263" t="str">
        <f t="shared" si="27"/>
        <v>-00000000000002</v>
      </c>
    </row>
    <row r="228" spans="1:13">
      <c r="A228" s="263"/>
      <c r="B228" s="429">
        <f t="shared" si="24"/>
        <v>4501</v>
      </c>
      <c r="C228" s="429">
        <f t="shared" si="25"/>
        <v>4506</v>
      </c>
      <c r="D228" s="430" t="str">
        <f t="shared" si="22"/>
        <v>B4003</v>
      </c>
      <c r="E228" s="430" t="str">
        <f>VLOOKUP(D228,'RCLIPS송신(일사천리론)_최종'!$B:$E,4,0)</f>
        <v>N3월신판이용금액</v>
      </c>
      <c r="F228" s="430" t="str">
        <f>VLOOKUP(D228,'RCLIPS송신(일사천리론)_최종'!$B:$D,2,0)</f>
        <v>N</v>
      </c>
      <c r="G228" s="430" t="str">
        <f>VLOOKUP($D228,'RCLIPS송신(일사천리론)_최종'!$B:$D,3,0)</f>
        <v>15</v>
      </c>
      <c r="H228" s="430" t="str">
        <f t="shared" si="23"/>
        <v>000000000000000</v>
      </c>
      <c r="I228" s="263" t="str">
        <f t="shared" si="26"/>
        <v>W0031</v>
      </c>
      <c r="J228" s="263" t="e">
        <f>VLOOKUP($I228,'RCLIPS수신(일사천리론)_최종'!$C:$F,2,0)</f>
        <v>#N/A</v>
      </c>
      <c r="K228" s="263" t="e">
        <f>VLOOKUP($I228,'RCLIPS수신(일사천리론)_최종'!$C:$F,3,0)</f>
        <v>#N/A</v>
      </c>
      <c r="L228" s="263" t="e">
        <f>VLOOKUP($I228,'RCLIPS수신(일사천리론)_최종'!$C:$F,4,0)</f>
        <v>#N/A</v>
      </c>
      <c r="M228" s="263" t="str">
        <f t="shared" si="27"/>
        <v>000000000000001</v>
      </c>
    </row>
    <row r="229" spans="1:13">
      <c r="A229" s="263"/>
      <c r="B229" s="429">
        <f t="shared" si="24"/>
        <v>4521</v>
      </c>
      <c r="C229" s="429">
        <f t="shared" si="25"/>
        <v>4526</v>
      </c>
      <c r="D229" s="430" t="str">
        <f t="shared" si="22"/>
        <v>B4004</v>
      </c>
      <c r="E229" s="430" t="str">
        <f>VLOOKUP(D229,'RCLIPS송신(일사천리론)_최종'!$B:$E,4,0)</f>
        <v>미해지LV1234제외대출금액</v>
      </c>
      <c r="F229" s="430" t="str">
        <f>VLOOKUP(D229,'RCLIPS송신(일사천리론)_최종'!$B:$D,2,0)</f>
        <v>N</v>
      </c>
      <c r="G229" s="430" t="str">
        <f>VLOOKUP($D229,'RCLIPS송신(일사천리론)_최종'!$B:$D,3,0)</f>
        <v>15</v>
      </c>
      <c r="H229" s="430" t="str">
        <f t="shared" si="23"/>
        <v>000000000000000</v>
      </c>
      <c r="I229" s="263" t="str">
        <f t="shared" si="26"/>
        <v>W0032</v>
      </c>
      <c r="J229" s="263" t="e">
        <f>VLOOKUP($I229,'RCLIPS수신(일사천리론)_최종'!$C:$F,2,0)</f>
        <v>#N/A</v>
      </c>
      <c r="K229" s="263" t="e">
        <f>VLOOKUP($I229,'RCLIPS수신(일사천리론)_최종'!$C:$F,3,0)</f>
        <v>#N/A</v>
      </c>
      <c r="L229" s="263" t="e">
        <f>VLOOKUP($I229,'RCLIPS수신(일사천리론)_최종'!$C:$F,4,0)</f>
        <v>#N/A</v>
      </c>
      <c r="M229" s="263" t="str">
        <f t="shared" si="27"/>
        <v>000000000000001</v>
      </c>
    </row>
    <row r="230" spans="1:13">
      <c r="A230" s="263"/>
      <c r="B230" s="429">
        <f t="shared" si="24"/>
        <v>4541</v>
      </c>
      <c r="C230" s="429">
        <f t="shared" si="25"/>
        <v>4546</v>
      </c>
      <c r="D230" s="430" t="str">
        <f t="shared" si="22"/>
        <v>B4005</v>
      </c>
      <c r="E230" s="430" t="str">
        <f>VLOOKUP(D230,'RCLIPS송신(일사천리론)_최종'!$B:$E,4,0)</f>
        <v>신용도판단공공정보해제경과일수</v>
      </c>
      <c r="F230" s="430" t="str">
        <f>VLOOKUP(D230,'RCLIPS송신(일사천리론)_최종'!$B:$D,2,0)</f>
        <v>N</v>
      </c>
      <c r="G230" s="430" t="str">
        <f>VLOOKUP($D230,'RCLIPS송신(일사천리론)_최종'!$B:$D,3,0)</f>
        <v>15</v>
      </c>
      <c r="H230" s="430" t="str">
        <f t="shared" si="23"/>
        <v>000000999999999</v>
      </c>
      <c r="I230" s="263" t="str">
        <f t="shared" si="26"/>
        <v>W0033</v>
      </c>
      <c r="J230" s="263" t="e">
        <f>VLOOKUP($I230,'RCLIPS수신(일사천리론)_최종'!$C:$F,2,0)</f>
        <v>#N/A</v>
      </c>
      <c r="K230" s="263" t="e">
        <f>VLOOKUP($I230,'RCLIPS수신(일사천리론)_최종'!$C:$F,3,0)</f>
        <v>#N/A</v>
      </c>
      <c r="L230" s="263" t="e">
        <f>VLOOKUP($I230,'RCLIPS수신(일사천리론)_최종'!$C:$F,4,0)</f>
        <v>#N/A</v>
      </c>
      <c r="M230" s="263" t="str">
        <f t="shared" si="27"/>
        <v>000000000000005</v>
      </c>
    </row>
    <row r="231" spans="1:13">
      <c r="A231" s="263"/>
      <c r="B231" s="429">
        <f t="shared" si="24"/>
        <v>4561</v>
      </c>
      <c r="C231" s="429">
        <f t="shared" si="25"/>
        <v>4566</v>
      </c>
      <c r="D231" s="430" t="str">
        <f t="shared" si="22"/>
        <v>B4006</v>
      </c>
      <c r="E231" s="430" t="str">
        <f>VLOOKUP(D231,'RCLIPS송신(일사천리론)_최종'!$B:$E,4,0)</f>
        <v>보유부동산실거래가합계금액</v>
      </c>
      <c r="F231" s="430" t="str">
        <f>VLOOKUP(D231,'RCLIPS송신(일사천리론)_최종'!$B:$D,2,0)</f>
        <v>N</v>
      </c>
      <c r="G231" s="430" t="str">
        <f>VLOOKUP($D231,'RCLIPS송신(일사천리론)_최종'!$B:$D,3,0)</f>
        <v>15</v>
      </c>
      <c r="H231" s="430" t="str">
        <f t="shared" si="23"/>
        <v>-00000099999999</v>
      </c>
      <c r="I231" s="263" t="str">
        <f t="shared" si="26"/>
        <v>W0034</v>
      </c>
      <c r="J231" s="263" t="e">
        <f>VLOOKUP($I231,'RCLIPS수신(일사천리론)_최종'!$C:$F,2,0)</f>
        <v>#N/A</v>
      </c>
      <c r="K231" s="263" t="e">
        <f>VLOOKUP($I231,'RCLIPS수신(일사천리론)_최종'!$C:$F,3,0)</f>
        <v>#N/A</v>
      </c>
      <c r="L231" s="263" t="e">
        <f>VLOOKUP($I231,'RCLIPS수신(일사천리론)_최종'!$C:$F,4,0)</f>
        <v>#N/A</v>
      </c>
      <c r="M231" s="263" t="str">
        <f t="shared" si="27"/>
        <v>-00000000000002</v>
      </c>
    </row>
    <row r="232" spans="1:13">
      <c r="A232" s="263"/>
      <c r="B232" s="429">
        <f t="shared" si="24"/>
        <v>4581</v>
      </c>
      <c r="C232" s="429">
        <f t="shared" si="25"/>
        <v>4586</v>
      </c>
      <c r="D232" s="430" t="str">
        <f t="shared" si="22"/>
        <v>B4007</v>
      </c>
      <c r="E232" s="430" t="str">
        <f>VLOOKUP(D232,'RCLIPS송신(일사천리론)_최종'!$B:$E,4,0)</f>
        <v>N6월카드유효한도소진율</v>
      </c>
      <c r="F232" s="430" t="str">
        <f>VLOOKUP(D232,'RCLIPS송신(일사천리론)_최종'!$B:$D,2,0)</f>
        <v>N</v>
      </c>
      <c r="G232" s="430" t="str">
        <f>VLOOKUP($D232,'RCLIPS송신(일사천리론)_최종'!$B:$D,3,0)</f>
        <v>15</v>
      </c>
      <c r="H232" s="430" t="str">
        <f t="shared" si="23"/>
        <v>0000008888888.8</v>
      </c>
      <c r="I232" s="263" t="str">
        <f t="shared" si="26"/>
        <v>W0035</v>
      </c>
      <c r="J232" s="263" t="e">
        <f>VLOOKUP($I232,'RCLIPS수신(일사천리론)_최종'!$C:$F,2,0)</f>
        <v>#N/A</v>
      </c>
      <c r="K232" s="263" t="e">
        <f>VLOOKUP($I232,'RCLIPS수신(일사천리론)_최종'!$C:$F,3,0)</f>
        <v>#N/A</v>
      </c>
      <c r="L232" s="263" t="e">
        <f>VLOOKUP($I232,'RCLIPS수신(일사천리론)_최종'!$C:$F,4,0)</f>
        <v>#N/A</v>
      </c>
      <c r="M232" s="263" t="str">
        <f t="shared" si="27"/>
        <v>-00000000000002</v>
      </c>
    </row>
    <row r="233" spans="1:13">
      <c r="A233" s="263"/>
      <c r="B233" s="429">
        <f t="shared" si="24"/>
        <v>4601</v>
      </c>
      <c r="C233" s="429">
        <f t="shared" si="25"/>
        <v>4606</v>
      </c>
      <c r="D233" s="430" t="str">
        <f t="shared" si="22"/>
        <v>B4008</v>
      </c>
      <c r="E233" s="430" t="str">
        <f>VLOOKUP(D233,'RCLIPS송신(일사천리론)_최종'!$B:$E,4,0)</f>
        <v>N5년휴대폰번호이력건수</v>
      </c>
      <c r="F233" s="430" t="str">
        <f>VLOOKUP(D233,'RCLIPS송신(일사천리론)_최종'!$B:$D,2,0)</f>
        <v>N</v>
      </c>
      <c r="G233" s="430" t="str">
        <f>VLOOKUP($D233,'RCLIPS송신(일사천리론)_최종'!$B:$D,3,0)</f>
        <v>15</v>
      </c>
      <c r="H233" s="430" t="str">
        <f t="shared" si="23"/>
        <v>000000000000002</v>
      </c>
      <c r="I233" s="263" t="str">
        <f t="shared" si="26"/>
        <v>W0036</v>
      </c>
      <c r="J233" s="263" t="e">
        <f>VLOOKUP($I233,'RCLIPS수신(일사천리론)_최종'!$C:$F,2,0)</f>
        <v>#N/A</v>
      </c>
      <c r="K233" s="263" t="e">
        <f>VLOOKUP($I233,'RCLIPS수신(일사천리론)_최종'!$C:$F,3,0)</f>
        <v>#N/A</v>
      </c>
      <c r="L233" s="263" t="e">
        <f>VLOOKUP($I233,'RCLIPS수신(일사천리론)_최종'!$C:$F,4,0)</f>
        <v>#N/A</v>
      </c>
      <c r="M233" s="263" t="str">
        <f t="shared" si="27"/>
        <v>-00000000000002</v>
      </c>
    </row>
    <row r="234" spans="1:13">
      <c r="A234" s="263"/>
      <c r="B234" s="429">
        <f t="shared" si="24"/>
        <v>4621</v>
      </c>
      <c r="C234" s="429">
        <f t="shared" si="25"/>
        <v>4626</v>
      </c>
      <c r="D234" s="430" t="str">
        <f t="shared" si="22"/>
        <v>B4009</v>
      </c>
      <c r="E234" s="430" t="str">
        <f>VLOOKUP(D234,'RCLIPS송신(일사천리론)_최종'!$B:$E,4,0)</f>
        <v>N3월카드유효한도소진율</v>
      </c>
      <c r="F234" s="430" t="str">
        <f>VLOOKUP(D234,'RCLIPS송신(일사천리론)_최종'!$B:$D,2,0)</f>
        <v>N</v>
      </c>
      <c r="G234" s="430" t="str">
        <f>VLOOKUP($D234,'RCLIPS송신(일사천리론)_최종'!$B:$D,3,0)</f>
        <v>15</v>
      </c>
      <c r="H234" s="430" t="str">
        <f t="shared" si="23"/>
        <v>0000008888888.8</v>
      </c>
      <c r="I234" s="263" t="str">
        <f t="shared" si="26"/>
        <v>W0037</v>
      </c>
      <c r="J234" s="263" t="e">
        <f>VLOOKUP($I234,'RCLIPS수신(일사천리론)_최종'!$C:$F,2,0)</f>
        <v>#N/A</v>
      </c>
      <c r="K234" s="263" t="e">
        <f>VLOOKUP($I234,'RCLIPS수신(일사천리론)_최종'!$C:$F,3,0)</f>
        <v>#N/A</v>
      </c>
      <c r="L234" s="263" t="e">
        <f>VLOOKUP($I234,'RCLIPS수신(일사천리론)_최종'!$C:$F,4,0)</f>
        <v>#N/A</v>
      </c>
      <c r="M234" s="263" t="str">
        <f t="shared" si="27"/>
        <v>-00000000000002</v>
      </c>
    </row>
    <row r="235" spans="1:13" s="415" customFormat="1">
      <c r="A235" s="432"/>
      <c r="B235" s="433">
        <f t="shared" si="24"/>
        <v>4641</v>
      </c>
      <c r="C235" s="433">
        <f t="shared" si="25"/>
        <v>4646</v>
      </c>
      <c r="D235" s="430" t="str">
        <f t="shared" si="22"/>
        <v>B4010</v>
      </c>
      <c r="E235" s="430" t="str">
        <f>VLOOKUP(D235,'RCLIPS송신(일사천리론)_최종'!$B:$E,4,0)</f>
        <v>소유부동산주택건수</v>
      </c>
      <c r="F235" s="430" t="str">
        <f>VLOOKUP(D235,'RCLIPS송신(일사천리론)_최종'!$B:$D,2,0)</f>
        <v>N</v>
      </c>
      <c r="G235" s="430" t="str">
        <f>VLOOKUP($D235,'RCLIPS송신(일사천리론)_최종'!$B:$D,3,0)</f>
        <v>15</v>
      </c>
      <c r="H235" s="430" t="str">
        <f t="shared" si="23"/>
        <v>000000000000000</v>
      </c>
      <c r="I235" s="263" t="str">
        <f t="shared" si="26"/>
        <v>W0038</v>
      </c>
      <c r="J235" s="263" t="e">
        <f>VLOOKUP($I235,'RCLIPS수신(일사천리론)_최종'!$C:$F,2,0)</f>
        <v>#N/A</v>
      </c>
      <c r="K235" s="263" t="e">
        <f>VLOOKUP($I235,'RCLIPS수신(일사천리론)_최종'!$C:$F,3,0)</f>
        <v>#N/A</v>
      </c>
      <c r="L235" s="263" t="e">
        <f>VLOOKUP($I235,'RCLIPS수신(일사천리론)_최종'!$C:$F,4,0)</f>
        <v>#N/A</v>
      </c>
      <c r="M235" s="263" t="str">
        <f t="shared" si="27"/>
        <v>-00000000000002</v>
      </c>
    </row>
    <row r="236" spans="1:13">
      <c r="A236" s="263"/>
      <c r="B236" s="429">
        <f t="shared" si="24"/>
        <v>4661</v>
      </c>
      <c r="C236" s="429">
        <f t="shared" si="25"/>
        <v>4666</v>
      </c>
      <c r="D236" s="430" t="str">
        <f t="shared" si="22"/>
        <v>B4011</v>
      </c>
      <c r="E236" s="430" t="str">
        <f>VLOOKUP(D236,'RCLIPS송신(일사천리론)_최종'!$B:$E,4,0)</f>
        <v>최근자택전화번호변경경과일수</v>
      </c>
      <c r="F236" s="430" t="str">
        <f>VLOOKUP(D236,'RCLIPS송신(일사천리론)_최종'!$B:$D,2,0)</f>
        <v>N</v>
      </c>
      <c r="G236" s="430" t="str">
        <f>VLOOKUP($D236,'RCLIPS송신(일사천리론)_최종'!$B:$D,3,0)</f>
        <v>15</v>
      </c>
      <c r="H236" s="430" t="str">
        <f t="shared" si="23"/>
        <v>000000000000011</v>
      </c>
      <c r="I236" s="263" t="str">
        <f t="shared" si="26"/>
        <v>W0039</v>
      </c>
      <c r="J236" s="263" t="e">
        <f>VLOOKUP($I236,'RCLIPS수신(일사천리론)_최종'!$C:$F,2,0)</f>
        <v>#N/A</v>
      </c>
      <c r="K236" s="263" t="e">
        <f>VLOOKUP($I236,'RCLIPS수신(일사천리론)_최종'!$C:$F,3,0)</f>
        <v>#N/A</v>
      </c>
      <c r="L236" s="263" t="e">
        <f>VLOOKUP($I236,'RCLIPS수신(일사천리론)_최종'!$C:$F,4,0)</f>
        <v>#N/A</v>
      </c>
      <c r="M236" s="263" t="str">
        <f t="shared" si="27"/>
        <v>-00000000000002</v>
      </c>
    </row>
    <row r="237" spans="1:13">
      <c r="A237" s="263"/>
      <c r="B237" s="429">
        <f t="shared" si="24"/>
        <v>4681</v>
      </c>
      <c r="C237" s="429">
        <f t="shared" si="25"/>
        <v>4686</v>
      </c>
      <c r="D237" s="430" t="str">
        <f t="shared" si="22"/>
        <v>B4012</v>
      </c>
      <c r="E237" s="430" t="str">
        <f>VLOOKUP(D237,'RCLIPS송신(일사천리론)_최종'!$B:$E,4,0)</f>
        <v>N6월CA활성한도소진율</v>
      </c>
      <c r="F237" s="430" t="str">
        <f>VLOOKUP(D237,'RCLIPS송신(일사천리론)_최종'!$B:$D,2,0)</f>
        <v>N</v>
      </c>
      <c r="G237" s="430" t="str">
        <f>VLOOKUP($D237,'RCLIPS송신(일사천리론)_최종'!$B:$D,3,0)</f>
        <v>15</v>
      </c>
      <c r="H237" s="430" t="str">
        <f t="shared" si="23"/>
        <v>0000008888888.8</v>
      </c>
      <c r="I237" s="263" t="str">
        <f t="shared" si="26"/>
        <v>W0040</v>
      </c>
      <c r="J237" s="263" t="e">
        <f>VLOOKUP($I237,'RCLIPS수신(일사천리론)_최종'!$C:$F,2,0)</f>
        <v>#N/A</v>
      </c>
      <c r="K237" s="263" t="e">
        <f>VLOOKUP($I237,'RCLIPS수신(일사천리론)_최종'!$C:$F,3,0)</f>
        <v>#N/A</v>
      </c>
      <c r="L237" s="263" t="e">
        <f>VLOOKUP($I237,'RCLIPS수신(일사천리론)_최종'!$C:$F,4,0)</f>
        <v>#N/A</v>
      </c>
      <c r="M237" s="263" t="str">
        <f t="shared" si="27"/>
        <v>-00000000000002</v>
      </c>
    </row>
    <row r="238" spans="1:13">
      <c r="A238" s="263"/>
      <c r="B238" s="429">
        <f t="shared" si="24"/>
        <v>4701</v>
      </c>
      <c r="C238" s="429">
        <f t="shared" si="25"/>
        <v>4706</v>
      </c>
      <c r="D238" s="430" t="str">
        <f t="shared" si="22"/>
        <v>B4013</v>
      </c>
      <c r="E238" s="430" t="str">
        <f>VLOOKUP(D238,'RCLIPS송신(일사천리론)_최종'!$B:$E,4,0)</f>
        <v>최초대출신용카드개설경과일수</v>
      </c>
      <c r="F238" s="430" t="str">
        <f>VLOOKUP(D238,'RCLIPS송신(일사천리론)_최종'!$B:$D,2,0)</f>
        <v>N</v>
      </c>
      <c r="G238" s="430" t="str">
        <f>VLOOKUP($D238,'RCLIPS송신(일사천리론)_최종'!$B:$D,3,0)</f>
        <v>15</v>
      </c>
      <c r="H238" s="430" t="str">
        <f t="shared" si="23"/>
        <v>000000000004081</v>
      </c>
      <c r="I238" s="263" t="str">
        <f t="shared" si="26"/>
        <v>W0041</v>
      </c>
      <c r="J238" s="263" t="e">
        <f>VLOOKUP($I238,'RCLIPS수신(일사천리론)_최종'!$C:$F,2,0)</f>
        <v>#N/A</v>
      </c>
      <c r="K238" s="263" t="e">
        <f>VLOOKUP($I238,'RCLIPS수신(일사천리론)_최종'!$C:$F,3,0)</f>
        <v>#N/A</v>
      </c>
      <c r="L238" s="263" t="e">
        <f>VLOOKUP($I238,'RCLIPS수신(일사천리론)_최종'!$C:$F,4,0)</f>
        <v>#N/A</v>
      </c>
      <c r="M238" s="263" t="str">
        <f t="shared" si="27"/>
        <v>000000000000001</v>
      </c>
    </row>
    <row r="239" spans="1:13">
      <c r="A239" s="263"/>
      <c r="B239" s="429">
        <f t="shared" si="24"/>
        <v>4721</v>
      </c>
      <c r="C239" s="429">
        <f t="shared" si="25"/>
        <v>4726</v>
      </c>
      <c r="D239" s="430" t="str">
        <f t="shared" si="22"/>
        <v>B4014</v>
      </c>
      <c r="E239" s="430" t="str">
        <f>VLOOKUP(D239,'RCLIPS송신(일사천리론)_최종'!$B:$E,4,0)</f>
        <v>N3년폐업사업체수</v>
      </c>
      <c r="F239" s="430" t="str">
        <f>VLOOKUP(D239,'RCLIPS송신(일사천리론)_최종'!$B:$D,2,0)</f>
        <v>N</v>
      </c>
      <c r="G239" s="430" t="str">
        <f>VLOOKUP($D239,'RCLIPS송신(일사천리론)_최종'!$B:$D,3,0)</f>
        <v>15</v>
      </c>
      <c r="H239" s="430" t="str">
        <f t="shared" si="23"/>
        <v>000000000000000</v>
      </c>
      <c r="I239" s="263" t="str">
        <f t="shared" si="26"/>
        <v>W0042</v>
      </c>
      <c r="J239" s="263" t="e">
        <f>VLOOKUP($I239,'RCLIPS수신(일사천리론)_최종'!$C:$F,2,0)</f>
        <v>#N/A</v>
      </c>
      <c r="K239" s="263" t="e">
        <f>VLOOKUP($I239,'RCLIPS수신(일사천리론)_최종'!$C:$F,3,0)</f>
        <v>#N/A</v>
      </c>
      <c r="L239" s="263" t="e">
        <f>VLOOKUP($I239,'RCLIPS수신(일사천리론)_최종'!$C:$F,4,0)</f>
        <v>#N/A</v>
      </c>
      <c r="M239" s="263" t="str">
        <f t="shared" si="27"/>
        <v>000000000000001</v>
      </c>
    </row>
    <row r="240" spans="1:13">
      <c r="A240" s="263"/>
      <c r="B240" s="429">
        <f t="shared" si="24"/>
        <v>4741</v>
      </c>
      <c r="C240" s="429">
        <f t="shared" si="25"/>
        <v>4746</v>
      </c>
      <c r="D240" s="430" t="str">
        <f t="shared" si="22"/>
        <v>B4015</v>
      </c>
      <c r="E240" s="430" t="str">
        <f>VLOOKUP(D240,'RCLIPS송신(일사천리론)_최종'!$B:$E,4,0)</f>
        <v>N2년휴대폰번호이력건수</v>
      </c>
      <c r="F240" s="430" t="str">
        <f>VLOOKUP(D240,'RCLIPS송신(일사천리론)_최종'!$B:$D,2,0)</f>
        <v>N</v>
      </c>
      <c r="G240" s="430" t="str">
        <f>VLOOKUP($D240,'RCLIPS송신(일사천리론)_최종'!$B:$D,3,0)</f>
        <v>15</v>
      </c>
      <c r="H240" s="430" t="str">
        <f t="shared" si="23"/>
        <v>000000000000001</v>
      </c>
      <c r="I240" s="263" t="str">
        <f t="shared" si="26"/>
        <v>W0043</v>
      </c>
      <c r="J240" s="263" t="e">
        <f>VLOOKUP($I240,'RCLIPS수신(일사천리론)_최종'!$C:$F,2,0)</f>
        <v>#N/A</v>
      </c>
      <c r="K240" s="263" t="e">
        <f>VLOOKUP($I240,'RCLIPS수신(일사천리론)_최종'!$C:$F,3,0)</f>
        <v>#N/A</v>
      </c>
      <c r="L240" s="263" t="e">
        <f>VLOOKUP($I240,'RCLIPS수신(일사천리론)_최종'!$C:$F,4,0)</f>
        <v>#N/A</v>
      </c>
      <c r="M240" s="263" t="str">
        <f t="shared" si="27"/>
        <v>-00000000000011</v>
      </c>
    </row>
    <row r="241" spans="1:13">
      <c r="A241" s="263"/>
      <c r="B241" s="429">
        <f t="shared" si="24"/>
        <v>4761</v>
      </c>
      <c r="C241" s="429">
        <f t="shared" si="25"/>
        <v>4766</v>
      </c>
      <c r="D241" s="430" t="str">
        <f t="shared" si="22"/>
        <v>B4016</v>
      </c>
      <c r="E241" s="430" t="str">
        <f>VLOOKUP(D241,'RCLIPS송신(일사천리론)_최종'!$B:$E,4,0)</f>
        <v>최근자택주소변경경과일수</v>
      </c>
      <c r="F241" s="430" t="str">
        <f>VLOOKUP(D241,'RCLIPS송신(일사천리론)_최종'!$B:$D,2,0)</f>
        <v>N</v>
      </c>
      <c r="G241" s="430" t="str">
        <f>VLOOKUP($D241,'RCLIPS송신(일사천리론)_최종'!$B:$D,3,0)</f>
        <v>15</v>
      </c>
      <c r="H241" s="430" t="str">
        <f t="shared" si="23"/>
        <v>000000000000001</v>
      </c>
      <c r="I241" s="263" t="str">
        <f t="shared" si="26"/>
        <v>W0044</v>
      </c>
      <c r="J241" s="263" t="e">
        <f>VLOOKUP($I241,'RCLIPS수신(일사천리론)_최종'!$C:$F,2,0)</f>
        <v>#N/A</v>
      </c>
      <c r="K241" s="263" t="e">
        <f>VLOOKUP($I241,'RCLIPS수신(일사천리론)_최종'!$C:$F,3,0)</f>
        <v>#N/A</v>
      </c>
      <c r="L241" s="263" t="e">
        <f>VLOOKUP($I241,'RCLIPS수신(일사천리론)_최종'!$C:$F,4,0)</f>
        <v>#N/A</v>
      </c>
      <c r="M241" s="263" t="str">
        <f t="shared" si="27"/>
        <v>000000000000016</v>
      </c>
    </row>
    <row r="242" spans="1:13">
      <c r="A242" s="263"/>
      <c r="B242" s="429">
        <f t="shared" si="24"/>
        <v>4781</v>
      </c>
      <c r="C242" s="429">
        <f t="shared" si="25"/>
        <v>4786</v>
      </c>
      <c r="D242" s="430" t="str">
        <f t="shared" si="22"/>
        <v>B4017</v>
      </c>
      <c r="E242" s="430" t="str">
        <f>VLOOKUP(D242,'RCLIPS송신(일사천리론)_최종'!$B:$E,4,0)</f>
        <v>N1월현거주지동연령카드이용금액</v>
      </c>
      <c r="F242" s="430" t="str">
        <f>VLOOKUP(D242,'RCLIPS송신(일사천리론)_최종'!$B:$D,2,0)</f>
        <v>N</v>
      </c>
      <c r="G242" s="430" t="str">
        <f>VLOOKUP($D242,'RCLIPS송신(일사천리론)_최종'!$B:$D,3,0)</f>
        <v>15</v>
      </c>
      <c r="H242" s="430" t="str">
        <f t="shared" si="23"/>
        <v>000000000002827</v>
      </c>
      <c r="I242" s="263" t="str">
        <f t="shared" si="26"/>
        <v>W0045</v>
      </c>
      <c r="J242" s="263" t="e">
        <f>VLOOKUP($I242,'RCLIPS수신(일사천리론)_최종'!$C:$F,2,0)</f>
        <v>#N/A</v>
      </c>
      <c r="K242" s="263" t="e">
        <f>VLOOKUP($I242,'RCLIPS수신(일사천리론)_최종'!$C:$F,3,0)</f>
        <v>#N/A</v>
      </c>
      <c r="L242" s="263" t="e">
        <f>VLOOKUP($I242,'RCLIPS수신(일사천리론)_최종'!$C:$F,4,0)</f>
        <v>#N/A</v>
      </c>
      <c r="M242" s="263" t="str">
        <f t="shared" si="27"/>
        <v>-00000000000001</v>
      </c>
    </row>
    <row r="243" spans="1:13">
      <c r="A243" s="263"/>
      <c r="B243" s="429">
        <f t="shared" si="24"/>
        <v>4801</v>
      </c>
      <c r="C243" s="429">
        <f t="shared" si="25"/>
        <v>4806</v>
      </c>
      <c r="D243" s="430" t="str">
        <f t="shared" si="22"/>
        <v>B4018</v>
      </c>
      <c r="E243" s="430" t="str">
        <f>VLOOKUP(D243,'RCLIPS송신(일사천리론)_최종'!$B:$E,4,0)</f>
        <v>N1년월평균신판이용기관수</v>
      </c>
      <c r="F243" s="430" t="str">
        <f>VLOOKUP(D243,'RCLIPS송신(일사천리론)_최종'!$B:$D,2,0)</f>
        <v>N</v>
      </c>
      <c r="G243" s="430" t="str">
        <f>VLOOKUP($D243,'RCLIPS송신(일사천리론)_최종'!$B:$D,3,0)</f>
        <v>15</v>
      </c>
      <c r="H243" s="430" t="str">
        <f t="shared" si="23"/>
        <v>0000000000000.6</v>
      </c>
      <c r="I243" s="263" t="str">
        <f t="shared" si="26"/>
        <v>W0046</v>
      </c>
      <c r="J243" s="263" t="e">
        <f>VLOOKUP($I243,'RCLIPS수신(일사천리론)_최종'!$C:$F,2,0)</f>
        <v>#N/A</v>
      </c>
      <c r="K243" s="263" t="e">
        <f>VLOOKUP($I243,'RCLIPS수신(일사천리론)_최종'!$C:$F,3,0)</f>
        <v>#N/A</v>
      </c>
      <c r="L243" s="263" t="e">
        <f>VLOOKUP($I243,'RCLIPS수신(일사천리론)_최종'!$C:$F,4,0)</f>
        <v>#N/A</v>
      </c>
      <c r="M243" s="263" t="str">
        <f t="shared" si="27"/>
        <v>-00000000000001</v>
      </c>
    </row>
    <row r="244" spans="1:13">
      <c r="A244" s="263"/>
      <c r="B244" s="429">
        <f t="shared" si="24"/>
        <v>4821</v>
      </c>
      <c r="C244" s="429">
        <f t="shared" si="25"/>
        <v>4826</v>
      </c>
      <c r="D244" s="430" t="str">
        <f t="shared" si="22"/>
        <v>B4019</v>
      </c>
      <c r="E244" s="430" t="str">
        <f>VLOOKUP(D244,'RCLIPS송신(일사천리론)_최종'!$B:$E,4,0)</f>
        <v>N6월카드활성한도소진율</v>
      </c>
      <c r="F244" s="430" t="str">
        <f>VLOOKUP(D244,'RCLIPS송신(일사천리론)_최종'!$B:$D,2,0)</f>
        <v>N</v>
      </c>
      <c r="G244" s="430" t="str">
        <f>VLOOKUP($D244,'RCLIPS송신(일사천리론)_최종'!$B:$D,3,0)</f>
        <v>15</v>
      </c>
      <c r="H244" s="430" t="str">
        <f t="shared" si="23"/>
        <v>0000008888888.8</v>
      </c>
      <c r="I244" s="263" t="str">
        <f t="shared" si="26"/>
        <v>W0047</v>
      </c>
      <c r="J244" s="263" t="e">
        <f>VLOOKUP($I244,'RCLIPS수신(일사천리론)_최종'!$C:$F,2,0)</f>
        <v>#N/A</v>
      </c>
      <c r="K244" s="263" t="e">
        <f>VLOOKUP($I244,'RCLIPS수신(일사천리론)_최종'!$C:$F,3,0)</f>
        <v>#N/A</v>
      </c>
      <c r="L244" s="263" t="e">
        <f>VLOOKUP($I244,'RCLIPS수신(일사천리론)_최종'!$C:$F,4,0)</f>
        <v>#N/A</v>
      </c>
      <c r="M244" s="263" t="str">
        <f t="shared" si="27"/>
        <v>000000000000007</v>
      </c>
    </row>
    <row r="245" spans="1:13">
      <c r="A245" s="263"/>
      <c r="B245" s="429">
        <f t="shared" si="24"/>
        <v>4841</v>
      </c>
      <c r="C245" s="429">
        <f t="shared" si="25"/>
        <v>4846</v>
      </c>
      <c r="D245" s="430" t="str">
        <f t="shared" si="22"/>
        <v>B4020</v>
      </c>
      <c r="E245" s="430" t="str">
        <f>VLOOKUP(D245,'RCLIPS송신(일사천리론)_최종'!$B:$E,4,0)</f>
        <v>N3월CA유효활성한도소진율</v>
      </c>
      <c r="F245" s="430" t="str">
        <f>VLOOKUP(D245,'RCLIPS송신(일사천리론)_최종'!$B:$D,2,0)</f>
        <v>N</v>
      </c>
      <c r="G245" s="430" t="str">
        <f>VLOOKUP($D245,'RCLIPS송신(일사천리론)_최종'!$B:$D,3,0)</f>
        <v>15</v>
      </c>
      <c r="H245" s="430" t="str">
        <f t="shared" si="23"/>
        <v>0000008888888.8</v>
      </c>
      <c r="I245" s="263" t="str">
        <f t="shared" si="26"/>
        <v>W0048</v>
      </c>
      <c r="J245" s="263" t="e">
        <f>VLOOKUP($I245,'RCLIPS수신(일사천리론)_최종'!$C:$F,2,0)</f>
        <v>#N/A</v>
      </c>
      <c r="K245" s="263" t="e">
        <f>VLOOKUP($I245,'RCLIPS수신(일사천리론)_최종'!$C:$F,3,0)</f>
        <v>#N/A</v>
      </c>
      <c r="L245" s="263" t="e">
        <f>VLOOKUP($I245,'RCLIPS수신(일사천리론)_최종'!$C:$F,4,0)</f>
        <v>#N/A</v>
      </c>
      <c r="M245" s="263" t="str">
        <f t="shared" si="27"/>
        <v>-00000000000006</v>
      </c>
    </row>
    <row r="246" spans="1:13">
      <c r="A246" s="263"/>
      <c r="B246" s="429">
        <f t="shared" si="24"/>
        <v>4861</v>
      </c>
      <c r="C246" s="429">
        <f t="shared" si="25"/>
        <v>4866</v>
      </c>
      <c r="D246" s="430" t="str">
        <f t="shared" si="22"/>
        <v>B4021</v>
      </c>
      <c r="E246" s="430" t="str">
        <f>VLOOKUP(D246,'RCLIPS송신(일사천리론)_최종'!$B:$E,4,0)</f>
        <v>미해지CA이용잔액보유카드건수</v>
      </c>
      <c r="F246" s="430" t="str">
        <f>VLOOKUP(D246,'RCLIPS송신(일사천리론)_최종'!$B:$D,2,0)</f>
        <v>N</v>
      </c>
      <c r="G246" s="430" t="str">
        <f>VLOOKUP($D246,'RCLIPS송신(일사천리론)_최종'!$B:$D,3,0)</f>
        <v>15</v>
      </c>
      <c r="H246" s="430" t="str">
        <f t="shared" si="23"/>
        <v>000000000000000</v>
      </c>
      <c r="I246" s="263" t="str">
        <f t="shared" si="26"/>
        <v>W0049</v>
      </c>
      <c r="J246" s="263" t="e">
        <f>VLOOKUP($I246,'RCLIPS수신(일사천리론)_최종'!$C:$F,2,0)</f>
        <v>#N/A</v>
      </c>
      <c r="K246" s="263" t="e">
        <f>VLOOKUP($I246,'RCLIPS수신(일사천리론)_최종'!$C:$F,3,0)</f>
        <v>#N/A</v>
      </c>
      <c r="L246" s="263" t="e">
        <f>VLOOKUP($I246,'RCLIPS수신(일사천리론)_최종'!$C:$F,4,0)</f>
        <v>#N/A</v>
      </c>
      <c r="M246" s="263" t="str">
        <f t="shared" si="27"/>
        <v>-00000000000005</v>
      </c>
    </row>
    <row r="247" spans="1:13">
      <c r="A247" s="263"/>
      <c r="B247" s="429">
        <f t="shared" si="24"/>
        <v>4881</v>
      </c>
      <c r="C247" s="429">
        <f t="shared" si="25"/>
        <v>4886</v>
      </c>
      <c r="D247" s="430" t="str">
        <f t="shared" si="22"/>
        <v>B4022</v>
      </c>
      <c r="E247" s="430" t="str">
        <f>VLOOKUP(D247,'RCLIPS송신(일사천리론)_최종'!$B:$E,4,0)</f>
        <v>N1년월평균일시불이용기관수</v>
      </c>
      <c r="F247" s="430" t="str">
        <f>VLOOKUP(D247,'RCLIPS송신(일사천리론)_최종'!$B:$D,2,0)</f>
        <v>N</v>
      </c>
      <c r="G247" s="430" t="str">
        <f>VLOOKUP($D247,'RCLIPS송신(일사천리론)_최종'!$B:$D,3,0)</f>
        <v>15</v>
      </c>
      <c r="H247" s="430" t="str">
        <f t="shared" si="23"/>
        <v>0000000000000.6</v>
      </c>
      <c r="I247" s="263" t="str">
        <f t="shared" si="26"/>
        <v>W0050</v>
      </c>
      <c r="J247" s="263" t="e">
        <f>VLOOKUP($I247,'RCLIPS수신(일사천리론)_최종'!$C:$F,2,0)</f>
        <v>#N/A</v>
      </c>
      <c r="K247" s="263" t="e">
        <f>VLOOKUP($I247,'RCLIPS수신(일사천리론)_최종'!$C:$F,3,0)</f>
        <v>#N/A</v>
      </c>
      <c r="L247" s="263" t="e">
        <f>VLOOKUP($I247,'RCLIPS수신(일사천리론)_최종'!$C:$F,4,0)</f>
        <v>#N/A</v>
      </c>
      <c r="M247" s="263" t="str">
        <f t="shared" si="27"/>
        <v>-00000000000005</v>
      </c>
    </row>
    <row r="248" spans="1:13">
      <c r="A248" s="263"/>
      <c r="B248" s="429">
        <f t="shared" si="24"/>
        <v>4901</v>
      </c>
      <c r="C248" s="429">
        <f t="shared" si="25"/>
        <v>4906</v>
      </c>
      <c r="D248" s="430" t="str">
        <f t="shared" si="22"/>
        <v>B4023</v>
      </c>
      <c r="E248" s="430" t="str">
        <f>VLOOKUP(D248,'RCLIPS송신(일사천리론)_최종'!$B:$E,4,0)</f>
        <v>N1년월평균신판총이용금액</v>
      </c>
      <c r="F248" s="430" t="str">
        <f>VLOOKUP(D248,'RCLIPS송신(일사천리론)_최종'!$B:$D,2,0)</f>
        <v>N</v>
      </c>
      <c r="G248" s="430" t="str">
        <f>VLOOKUP($D248,'RCLIPS송신(일사천리론)_최종'!$B:$D,3,0)</f>
        <v>15</v>
      </c>
      <c r="H248" s="430" t="str">
        <f t="shared" si="23"/>
        <v>000000000000282</v>
      </c>
      <c r="I248" s="263" t="str">
        <f t="shared" si="26"/>
        <v>W0051</v>
      </c>
      <c r="J248" s="263" t="e">
        <f>VLOOKUP($I248,'RCLIPS수신(일사천리론)_최종'!$C:$F,2,0)</f>
        <v>#N/A</v>
      </c>
      <c r="K248" s="263" t="e">
        <f>VLOOKUP($I248,'RCLIPS수신(일사천리론)_최종'!$C:$F,3,0)</f>
        <v>#N/A</v>
      </c>
      <c r="L248" s="263" t="e">
        <f>VLOOKUP($I248,'RCLIPS수신(일사천리론)_최종'!$C:$F,4,0)</f>
        <v>#N/A</v>
      </c>
      <c r="M248" s="263" t="str">
        <f t="shared" si="27"/>
        <v>000000000000005</v>
      </c>
    </row>
    <row r="249" spans="1:13">
      <c r="A249" s="263"/>
      <c r="B249" s="429">
        <f t="shared" si="24"/>
        <v>4921</v>
      </c>
      <c r="C249" s="429">
        <f t="shared" si="25"/>
        <v>4926</v>
      </c>
      <c r="D249" s="430" t="str">
        <f t="shared" si="22"/>
        <v>B4024</v>
      </c>
      <c r="E249" s="430" t="str">
        <f>VLOOKUP(D249,'RCLIPS송신(일사천리론)_최종'!$B:$E,4,0)</f>
        <v>N6월평균이용기관수</v>
      </c>
      <c r="F249" s="430" t="str">
        <f>VLOOKUP(D249,'RCLIPS송신(일사천리론)_최종'!$B:$D,2,0)</f>
        <v>N</v>
      </c>
      <c r="G249" s="430" t="str">
        <f>VLOOKUP($D249,'RCLIPS송신(일사천리론)_최종'!$B:$D,3,0)</f>
        <v>15</v>
      </c>
      <c r="H249" s="430" t="str">
        <f t="shared" si="23"/>
        <v>0000000000000.0</v>
      </c>
      <c r="I249" s="263" t="str">
        <f t="shared" si="26"/>
        <v>W0052</v>
      </c>
      <c r="J249" s="263" t="e">
        <f>VLOOKUP($I249,'RCLIPS수신(일사천리론)_최종'!$C:$F,2,0)</f>
        <v>#N/A</v>
      </c>
      <c r="K249" s="263" t="e">
        <f>VLOOKUP($I249,'RCLIPS수신(일사천리론)_최종'!$C:$F,3,0)</f>
        <v>#N/A</v>
      </c>
      <c r="L249" s="263" t="e">
        <f>VLOOKUP($I249,'RCLIPS수신(일사천리론)_최종'!$C:$F,4,0)</f>
        <v>#N/A</v>
      </c>
      <c r="M249" s="263" t="str">
        <f t="shared" si="27"/>
        <v>000000000000005</v>
      </c>
    </row>
    <row r="250" spans="1:13">
      <c r="A250" s="263"/>
      <c r="B250" s="429">
        <f t="shared" si="24"/>
        <v>4941</v>
      </c>
      <c r="C250" s="429">
        <f t="shared" si="25"/>
        <v>4946</v>
      </c>
      <c r="D250" s="430" t="str">
        <f t="shared" si="22"/>
        <v>B4025</v>
      </c>
      <c r="E250" s="430" t="str">
        <f>VLOOKUP(D250,'RCLIPS송신(일사천리론)_최종'!$B:$E,4,0)</f>
        <v>최초신용거래개설경과일수</v>
      </c>
      <c r="F250" s="430" t="str">
        <f>VLOOKUP(D250,'RCLIPS송신(일사천리론)_최종'!$B:$D,2,0)</f>
        <v>N</v>
      </c>
      <c r="G250" s="430" t="str">
        <f>VLOOKUP($D250,'RCLIPS송신(일사천리론)_최종'!$B:$D,3,0)</f>
        <v>15</v>
      </c>
      <c r="H250" s="430" t="str">
        <f t="shared" si="23"/>
        <v>000000000002500</v>
      </c>
      <c r="I250" s="263" t="str">
        <f t="shared" si="26"/>
        <v>W0053</v>
      </c>
      <c r="J250" s="263" t="e">
        <f>VLOOKUP($I250,'RCLIPS수신(일사천리론)_최종'!$C:$F,2,0)</f>
        <v>#N/A</v>
      </c>
      <c r="K250" s="263" t="e">
        <f>VLOOKUP($I250,'RCLIPS수신(일사천리론)_최종'!$C:$F,3,0)</f>
        <v>#N/A</v>
      </c>
      <c r="L250" s="263" t="e">
        <f>VLOOKUP($I250,'RCLIPS수신(일사천리론)_최종'!$C:$F,4,0)</f>
        <v>#N/A</v>
      </c>
      <c r="M250" s="263" t="str">
        <f t="shared" si="27"/>
        <v>-00000000000014</v>
      </c>
    </row>
    <row r="251" spans="1:13">
      <c r="A251" s="263"/>
      <c r="B251" s="429">
        <f t="shared" si="24"/>
        <v>4961</v>
      </c>
      <c r="C251" s="429">
        <f t="shared" si="25"/>
        <v>4966</v>
      </c>
      <c r="D251" s="430" t="str">
        <f t="shared" si="22"/>
        <v>B4026</v>
      </c>
      <c r="E251" s="430" t="str">
        <f>VLOOKUP(D251,'RCLIPS송신(일사천리론)_최종'!$B:$E,4,0)</f>
        <v>최근신용거래개설경과일수</v>
      </c>
      <c r="F251" s="430" t="str">
        <f>VLOOKUP(D251,'RCLIPS송신(일사천리론)_최종'!$B:$D,2,0)</f>
        <v>N</v>
      </c>
      <c r="G251" s="430" t="str">
        <f>VLOOKUP($D251,'RCLIPS송신(일사천리론)_최종'!$B:$D,3,0)</f>
        <v>15</v>
      </c>
      <c r="H251" s="430" t="str">
        <f t="shared" si="23"/>
        <v>000000000002500</v>
      </c>
      <c r="I251" s="263" t="str">
        <f t="shared" si="26"/>
        <v>W0054</v>
      </c>
      <c r="J251" s="263" t="e">
        <f>VLOOKUP($I251,'RCLIPS수신(일사천리론)_최종'!$C:$F,2,0)</f>
        <v>#N/A</v>
      </c>
      <c r="K251" s="263" t="e">
        <f>VLOOKUP($I251,'RCLIPS수신(일사천리론)_최종'!$C:$F,3,0)</f>
        <v>#N/A</v>
      </c>
      <c r="L251" s="263" t="e">
        <f>VLOOKUP($I251,'RCLIPS수신(일사천리론)_최종'!$C:$F,4,0)</f>
        <v>#N/A</v>
      </c>
      <c r="M251" s="263" t="str">
        <f t="shared" si="27"/>
        <v>000000000000005</v>
      </c>
    </row>
    <row r="252" spans="1:13">
      <c r="A252" s="263"/>
      <c r="B252" s="429">
        <f t="shared" si="24"/>
        <v>4981</v>
      </c>
      <c r="C252" s="429">
        <f t="shared" si="25"/>
        <v>4986</v>
      </c>
      <c r="D252" s="430" t="str">
        <f t="shared" si="22"/>
        <v>B4027</v>
      </c>
      <c r="E252" s="430" t="str">
        <f>VLOOKUP(D252,'RCLIPS송신(일사천리론)_최종'!$B:$E,4,0)</f>
        <v>N1년해지포함총상환원금</v>
      </c>
      <c r="F252" s="430" t="str">
        <f>VLOOKUP(D252,'RCLIPS송신(일사천리론)_최종'!$B:$D,2,0)</f>
        <v>N</v>
      </c>
      <c r="G252" s="430" t="str">
        <f>VLOOKUP($D252,'RCLIPS송신(일사천리론)_최종'!$B:$D,3,0)</f>
        <v>15</v>
      </c>
      <c r="H252" s="430" t="str">
        <f t="shared" si="23"/>
        <v>000000000000000</v>
      </c>
      <c r="I252" s="263" t="str">
        <f t="shared" si="26"/>
        <v>W0055</v>
      </c>
      <c r="J252" s="263" t="e">
        <f>VLOOKUP($I252,'RCLIPS수신(일사천리론)_최종'!$C:$F,2,0)</f>
        <v>#N/A</v>
      </c>
      <c r="K252" s="263" t="e">
        <f>VLOOKUP($I252,'RCLIPS수신(일사천리론)_최종'!$C:$F,3,0)</f>
        <v>#N/A</v>
      </c>
      <c r="L252" s="263" t="e">
        <f>VLOOKUP($I252,'RCLIPS수신(일사천리론)_최종'!$C:$F,4,0)</f>
        <v>#N/A</v>
      </c>
      <c r="M252" s="263" t="str">
        <f t="shared" si="27"/>
        <v>-00000000000001</v>
      </c>
    </row>
    <row r="253" spans="1:13">
      <c r="A253" s="263"/>
      <c r="B253" s="429">
        <f t="shared" si="24"/>
        <v>5001</v>
      </c>
      <c r="C253" s="429">
        <f t="shared" si="25"/>
        <v>5006</v>
      </c>
      <c r="D253" s="430" t="str">
        <f t="shared" si="22"/>
        <v>B4028</v>
      </c>
      <c r="E253" s="430" t="str">
        <f>VLOOKUP(D253,'RCLIPS송신(일사천리론)_최종'!$B:$E,4,0)</f>
        <v>당사제외신용대출건수</v>
      </c>
      <c r="F253" s="430" t="str">
        <f>VLOOKUP(D253,'RCLIPS송신(일사천리론)_최종'!$B:$D,2,0)</f>
        <v>N</v>
      </c>
      <c r="G253" s="430" t="str">
        <f>VLOOKUP($D253,'RCLIPS송신(일사천리론)_최종'!$B:$D,3,0)</f>
        <v>15</v>
      </c>
      <c r="H253" s="430" t="str">
        <f t="shared" si="23"/>
        <v>000000000000000</v>
      </c>
      <c r="I253" s="263" t="str">
        <f t="shared" si="26"/>
        <v>W0056</v>
      </c>
      <c r="J253" s="263" t="e">
        <f>VLOOKUP($I253,'RCLIPS수신(일사천리론)_최종'!$C:$F,2,0)</f>
        <v>#N/A</v>
      </c>
      <c r="K253" s="263" t="e">
        <f>VLOOKUP($I253,'RCLIPS수신(일사천리론)_최종'!$C:$F,3,0)</f>
        <v>#N/A</v>
      </c>
      <c r="L253" s="263" t="e">
        <f>VLOOKUP($I253,'RCLIPS수신(일사천리론)_최종'!$C:$F,4,0)</f>
        <v>#N/A</v>
      </c>
      <c r="M253" s="263" t="str">
        <f t="shared" si="27"/>
        <v>000000000000001</v>
      </c>
    </row>
    <row r="254" spans="1:13">
      <c r="A254" s="263"/>
      <c r="B254" s="429">
        <f t="shared" si="24"/>
        <v>5021</v>
      </c>
      <c r="C254" s="429">
        <f t="shared" si="25"/>
        <v>5026</v>
      </c>
      <c r="D254" s="430" t="str">
        <f t="shared" si="22"/>
        <v>B4029</v>
      </c>
      <c r="E254" s="430" t="str">
        <f>VLOOKUP(D254,'RCLIPS송신(일사천리론)_최종'!$B:$E,4,0)</f>
        <v>미해지LV123제외대출기관수</v>
      </c>
      <c r="F254" s="430" t="str">
        <f>VLOOKUP(D254,'RCLIPS송신(일사천리론)_최종'!$B:$D,2,0)</f>
        <v>N</v>
      </c>
      <c r="G254" s="430" t="str">
        <f>VLOOKUP($D254,'RCLIPS송신(일사천리론)_최종'!$B:$D,3,0)</f>
        <v>15</v>
      </c>
      <c r="H254" s="430" t="str">
        <f t="shared" si="23"/>
        <v>000000000000000</v>
      </c>
      <c r="I254" s="263" t="str">
        <f t="shared" si="26"/>
        <v>W0057</v>
      </c>
      <c r="J254" s="263" t="e">
        <f>VLOOKUP($I254,'RCLIPS수신(일사천리론)_최종'!$C:$F,2,0)</f>
        <v>#N/A</v>
      </c>
      <c r="K254" s="263" t="e">
        <f>VLOOKUP($I254,'RCLIPS수신(일사천리론)_최종'!$C:$F,3,0)</f>
        <v>#N/A</v>
      </c>
      <c r="L254" s="263" t="e">
        <f>VLOOKUP($I254,'RCLIPS수신(일사천리론)_최종'!$C:$F,4,0)</f>
        <v>#N/A</v>
      </c>
      <c r="M254" s="263" t="str">
        <f t="shared" si="27"/>
        <v>-00000000000001</v>
      </c>
    </row>
    <row r="255" spans="1:13">
      <c r="A255" s="263"/>
      <c r="B255" s="429">
        <f t="shared" si="24"/>
        <v>5041</v>
      </c>
      <c r="C255" s="429">
        <f t="shared" si="25"/>
        <v>5046</v>
      </c>
      <c r="D255" s="430" t="str">
        <f t="shared" si="22"/>
        <v>B4030</v>
      </c>
      <c r="E255" s="430" t="str">
        <f>VLOOKUP(D255,'RCLIPS송신(일사천리론)_최종'!$B:$E,4,0)</f>
        <v>미해지LV123456제외대출기관수</v>
      </c>
      <c r="F255" s="430" t="str">
        <f>VLOOKUP(D255,'RCLIPS송신(일사천리론)_최종'!$B:$D,2,0)</f>
        <v>N</v>
      </c>
      <c r="G255" s="430" t="str">
        <f>VLOOKUP($D255,'RCLIPS송신(일사천리론)_최종'!$B:$D,3,0)</f>
        <v>15</v>
      </c>
      <c r="H255" s="430" t="str">
        <f t="shared" si="23"/>
        <v>000000000000000</v>
      </c>
      <c r="I255" s="263" t="str">
        <f t="shared" si="26"/>
        <v>W0058</v>
      </c>
      <c r="J255" s="263" t="e">
        <f>VLOOKUP($I255,'RCLIPS수신(일사천리론)_최종'!$C:$F,2,0)</f>
        <v>#N/A</v>
      </c>
      <c r="K255" s="263" t="e">
        <f>VLOOKUP($I255,'RCLIPS수신(일사천리론)_최종'!$C:$F,3,0)</f>
        <v>#N/A</v>
      </c>
      <c r="L255" s="263" t="e">
        <f>VLOOKUP($I255,'RCLIPS수신(일사천리론)_최종'!$C:$F,4,0)</f>
        <v>#N/A</v>
      </c>
      <c r="M255" s="263" t="str">
        <f t="shared" si="27"/>
        <v>000000000000002</v>
      </c>
    </row>
    <row r="256" spans="1:13">
      <c r="A256" s="263"/>
      <c r="B256" s="429">
        <f t="shared" si="24"/>
        <v>5061</v>
      </c>
      <c r="C256" s="429">
        <f t="shared" si="25"/>
        <v>5066</v>
      </c>
      <c r="D256" s="430" t="str">
        <f t="shared" si="22"/>
        <v>B4031</v>
      </c>
      <c r="E256" s="430" t="str">
        <f>VLOOKUP(D256,'RCLIPS송신(일사천리론)_최종'!$B:$E,4,0)</f>
        <v>미해지LV123456제외대출금액</v>
      </c>
      <c r="F256" s="430" t="str">
        <f>VLOOKUP(D256,'RCLIPS송신(일사천리론)_최종'!$B:$D,2,0)</f>
        <v>N</v>
      </c>
      <c r="G256" s="430" t="str">
        <f>VLOOKUP($D256,'RCLIPS송신(일사천리론)_최종'!$B:$D,3,0)</f>
        <v>15</v>
      </c>
      <c r="H256" s="430" t="str">
        <f t="shared" si="23"/>
        <v>000000000000000</v>
      </c>
      <c r="I256" s="263" t="str">
        <f t="shared" si="26"/>
        <v>W0059</v>
      </c>
      <c r="J256" s="263" t="e">
        <f>VLOOKUP($I256,'RCLIPS수신(일사천리론)_최종'!$C:$F,2,0)</f>
        <v>#N/A</v>
      </c>
      <c r="K256" s="263" t="e">
        <f>VLOOKUP($I256,'RCLIPS수신(일사천리론)_최종'!$C:$F,3,0)</f>
        <v>#N/A</v>
      </c>
      <c r="L256" s="263" t="e">
        <f>VLOOKUP($I256,'RCLIPS수신(일사천리론)_최종'!$C:$F,4,0)</f>
        <v>#N/A</v>
      </c>
      <c r="M256" s="263" t="str">
        <f t="shared" si="27"/>
        <v>000000000000002</v>
      </c>
    </row>
    <row r="257" spans="1:13">
      <c r="A257" s="263"/>
      <c r="B257" s="429">
        <f t="shared" si="24"/>
        <v>5081</v>
      </c>
      <c r="C257" s="429">
        <f t="shared" si="25"/>
        <v>5086</v>
      </c>
      <c r="D257" s="430" t="str">
        <f t="shared" si="22"/>
        <v>B4032</v>
      </c>
      <c r="E257" s="430" t="str">
        <f>VLOOKUP(D257,'RCLIPS송신(일사천리론)_최종'!$B:$E,4,0)</f>
        <v>N6월LV1신규대출기관수</v>
      </c>
      <c r="F257" s="430" t="str">
        <f>VLOOKUP(D257,'RCLIPS송신(일사천리론)_최종'!$B:$D,2,0)</f>
        <v>N</v>
      </c>
      <c r="G257" s="430" t="str">
        <f>VLOOKUP($D257,'RCLIPS송신(일사천리론)_최종'!$B:$D,3,0)</f>
        <v>15</v>
      </c>
      <c r="H257" s="430" t="str">
        <f t="shared" si="23"/>
        <v>000000000000000</v>
      </c>
      <c r="I257" s="263" t="str">
        <f t="shared" si="26"/>
        <v>W0060</v>
      </c>
      <c r="J257" s="263" t="e">
        <f>VLOOKUP($I257,'RCLIPS수신(일사천리론)_최종'!$C:$F,2,0)</f>
        <v>#N/A</v>
      </c>
      <c r="K257" s="263" t="e">
        <f>VLOOKUP($I257,'RCLIPS수신(일사천리론)_최종'!$C:$F,3,0)</f>
        <v>#N/A</v>
      </c>
      <c r="L257" s="263" t="e">
        <f>VLOOKUP($I257,'RCLIPS수신(일사천리론)_최종'!$C:$F,4,0)</f>
        <v>#N/A</v>
      </c>
      <c r="M257" s="263" t="str">
        <f t="shared" si="27"/>
        <v>-00000000000014</v>
      </c>
    </row>
    <row r="258" spans="1:13">
      <c r="A258" s="263"/>
      <c r="B258" s="429">
        <f t="shared" si="24"/>
        <v>5101</v>
      </c>
      <c r="C258" s="429">
        <f t="shared" si="25"/>
        <v>5106</v>
      </c>
      <c r="D258" s="430" t="str">
        <f t="shared" si="22"/>
        <v>B4033</v>
      </c>
      <c r="E258" s="430" t="str">
        <f>VLOOKUP(D258,'RCLIPS송신(일사천리론)_최종'!$B:$E,4,0)</f>
        <v>N6월LV1제외신규대출기관수</v>
      </c>
      <c r="F258" s="430" t="str">
        <f>VLOOKUP(D258,'RCLIPS송신(일사천리론)_최종'!$B:$D,2,0)</f>
        <v>N</v>
      </c>
      <c r="G258" s="430" t="str">
        <f>VLOOKUP($D258,'RCLIPS송신(일사천리론)_최종'!$B:$D,3,0)</f>
        <v>15</v>
      </c>
      <c r="H258" s="430" t="str">
        <f t="shared" si="23"/>
        <v>000000000000000</v>
      </c>
      <c r="I258" s="263" t="str">
        <f t="shared" si="26"/>
        <v>W0061</v>
      </c>
      <c r="J258" s="263" t="e">
        <f>VLOOKUP($I258,'RCLIPS수신(일사천리론)_최종'!$C:$F,2,0)</f>
        <v>#N/A</v>
      </c>
      <c r="K258" s="263" t="e">
        <f>VLOOKUP($I258,'RCLIPS수신(일사천리론)_최종'!$C:$F,3,0)</f>
        <v>#N/A</v>
      </c>
      <c r="L258" s="263" t="e">
        <f>VLOOKUP($I258,'RCLIPS수신(일사천리론)_최종'!$C:$F,4,0)</f>
        <v>#N/A</v>
      </c>
      <c r="M258" s="263" t="str">
        <f t="shared" si="27"/>
        <v>-00000000000014</v>
      </c>
    </row>
    <row r="259" spans="1:13">
      <c r="A259" s="263"/>
      <c r="B259" s="429">
        <f t="shared" si="24"/>
        <v>5121</v>
      </c>
      <c r="C259" s="429">
        <f t="shared" si="25"/>
        <v>5126</v>
      </c>
      <c r="D259" s="430" t="str">
        <f t="shared" si="22"/>
        <v>B4034</v>
      </c>
      <c r="E259" s="430" t="str">
        <f>VLOOKUP(D259,'RCLIPS송신(일사천리론)_최종'!$B:$E,4,0)</f>
        <v>미해지담보대출총금액</v>
      </c>
      <c r="F259" s="430" t="str">
        <f>VLOOKUP(D259,'RCLIPS송신(일사천리론)_최종'!$B:$D,2,0)</f>
        <v>N</v>
      </c>
      <c r="G259" s="430" t="str">
        <f>VLOOKUP($D259,'RCLIPS송신(일사천리론)_최종'!$B:$D,3,0)</f>
        <v>15</v>
      </c>
      <c r="H259" s="430" t="str">
        <f t="shared" si="23"/>
        <v>000000000000000</v>
      </c>
      <c r="I259" s="263" t="str">
        <f t="shared" si="26"/>
        <v>W0062</v>
      </c>
      <c r="J259" s="263" t="e">
        <f>VLOOKUP($I259,'RCLIPS수신(일사천리론)_최종'!$C:$F,2,0)</f>
        <v>#N/A</v>
      </c>
      <c r="K259" s="263" t="e">
        <f>VLOOKUP($I259,'RCLIPS수신(일사천리론)_최종'!$C:$F,3,0)</f>
        <v>#N/A</v>
      </c>
      <c r="L259" s="263" t="e">
        <f>VLOOKUP($I259,'RCLIPS수신(일사천리론)_최종'!$C:$F,4,0)</f>
        <v>#N/A</v>
      </c>
      <c r="M259" s="263" t="str">
        <f t="shared" si="27"/>
        <v>-00000000000008</v>
      </c>
    </row>
    <row r="260" spans="1:13">
      <c r="A260" s="263"/>
      <c r="B260" s="429">
        <f t="shared" si="24"/>
        <v>5141</v>
      </c>
      <c r="C260" s="429">
        <f t="shared" si="25"/>
        <v>5146</v>
      </c>
      <c r="D260" s="430" t="str">
        <f t="shared" ref="D260:D323" si="28">MIDB($A$3, $B260+23, 5)</f>
        <v>B4035</v>
      </c>
      <c r="E260" s="430" t="str">
        <f>VLOOKUP(D260,'RCLIPS송신(일사천리론)_최종'!$B:$E,4,0)</f>
        <v>미해지할부금융신용대출총금액</v>
      </c>
      <c r="F260" s="430" t="str">
        <f>VLOOKUP(D260,'RCLIPS송신(일사천리론)_최종'!$B:$D,2,0)</f>
        <v>N</v>
      </c>
      <c r="G260" s="430" t="str">
        <f>VLOOKUP($D260,'RCLIPS송신(일사천리론)_최종'!$B:$D,3,0)</f>
        <v>15</v>
      </c>
      <c r="H260" s="430" t="str">
        <f t="shared" ref="H260:H323" si="29">MIDB($A$3, $C260+23, 15)</f>
        <v>000000000000000</v>
      </c>
      <c r="I260" s="263" t="str">
        <f t="shared" si="26"/>
        <v>W0063</v>
      </c>
      <c r="J260" s="263" t="e">
        <f>VLOOKUP($I260,'RCLIPS수신(일사천리론)_최종'!$C:$F,2,0)</f>
        <v>#N/A</v>
      </c>
      <c r="K260" s="263" t="e">
        <f>VLOOKUP($I260,'RCLIPS수신(일사천리론)_최종'!$C:$F,3,0)</f>
        <v>#N/A</v>
      </c>
      <c r="L260" s="263" t="e">
        <f>VLOOKUP($I260,'RCLIPS수신(일사천리론)_최종'!$C:$F,4,0)</f>
        <v>#N/A</v>
      </c>
      <c r="M260" s="263" t="str">
        <f t="shared" si="27"/>
        <v>-00000000000008</v>
      </c>
    </row>
    <row r="261" spans="1:13">
      <c r="A261" s="263"/>
      <c r="B261" s="429">
        <f t="shared" ref="B261:B324" si="30">C260+15</f>
        <v>5161</v>
      </c>
      <c r="C261" s="429">
        <f t="shared" ref="C261:C324" si="31">B261+5</f>
        <v>5166</v>
      </c>
      <c r="D261" s="430" t="str">
        <f t="shared" si="28"/>
        <v>B4036</v>
      </c>
      <c r="E261" s="430" t="str">
        <f>VLOOKUP(D261,'RCLIPS송신(일사천리론)_최종'!$B:$E,4,0)</f>
        <v>미해지신용대출총대출금액</v>
      </c>
      <c r="F261" s="430" t="str">
        <f>VLOOKUP(D261,'RCLIPS송신(일사천리론)_최종'!$B:$D,2,0)</f>
        <v>N</v>
      </c>
      <c r="G261" s="430" t="str">
        <f>VLOOKUP($D261,'RCLIPS송신(일사천리론)_최종'!$B:$D,3,0)</f>
        <v>15</v>
      </c>
      <c r="H261" s="430" t="str">
        <f t="shared" si="29"/>
        <v>000000000000000</v>
      </c>
      <c r="I261" s="263" t="str">
        <f t="shared" ref="I261:I324" si="32">MIDB($A$8, $B261+10, 5)</f>
        <v>W0064</v>
      </c>
      <c r="J261" s="263" t="e">
        <f>VLOOKUP($I261,'RCLIPS수신(일사천리론)_최종'!$C:$F,2,0)</f>
        <v>#N/A</v>
      </c>
      <c r="K261" s="263" t="e">
        <f>VLOOKUP($I261,'RCLIPS수신(일사천리론)_최종'!$C:$F,3,0)</f>
        <v>#N/A</v>
      </c>
      <c r="L261" s="263" t="e">
        <f>VLOOKUP($I261,'RCLIPS수신(일사천리론)_최종'!$C:$F,4,0)</f>
        <v>#N/A</v>
      </c>
      <c r="M261" s="263" t="str">
        <f t="shared" ref="M261:M324" si="33">MIDB($A$8, $C261+10, 15)</f>
        <v>000000000000000</v>
      </c>
    </row>
    <row r="262" spans="1:13">
      <c r="A262" s="263"/>
      <c r="B262" s="429">
        <f t="shared" si="30"/>
        <v>5181</v>
      </c>
      <c r="C262" s="429">
        <f t="shared" si="31"/>
        <v>5186</v>
      </c>
      <c r="D262" s="430" t="str">
        <f t="shared" si="28"/>
        <v>B4037</v>
      </c>
      <c r="E262" s="430" t="str">
        <f>VLOOKUP(D262,'RCLIPS송신(일사천리론)_최종'!$B:$E,4,0)</f>
        <v>N3월은행제외신규대출기관수</v>
      </c>
      <c r="F262" s="430" t="str">
        <f>VLOOKUP(D262,'RCLIPS송신(일사천리론)_최종'!$B:$D,2,0)</f>
        <v>N</v>
      </c>
      <c r="G262" s="430" t="str">
        <f>VLOOKUP($D262,'RCLIPS송신(일사천리론)_최종'!$B:$D,3,0)</f>
        <v>15</v>
      </c>
      <c r="H262" s="430" t="str">
        <f t="shared" si="29"/>
        <v>000000000000000</v>
      </c>
      <c r="I262" s="263" t="str">
        <f t="shared" si="32"/>
        <v>W0065</v>
      </c>
      <c r="J262" s="263" t="e">
        <f>VLOOKUP($I262,'RCLIPS수신(일사천리론)_최종'!$C:$F,2,0)</f>
        <v>#N/A</v>
      </c>
      <c r="K262" s="263" t="e">
        <f>VLOOKUP($I262,'RCLIPS수신(일사천리론)_최종'!$C:$F,3,0)</f>
        <v>#N/A</v>
      </c>
      <c r="L262" s="263" t="e">
        <f>VLOOKUP($I262,'RCLIPS수신(일사천리론)_최종'!$C:$F,4,0)</f>
        <v>#N/A</v>
      </c>
      <c r="M262" s="263" t="str">
        <f t="shared" si="33"/>
        <v>000000000000007</v>
      </c>
    </row>
    <row r="263" spans="1:13">
      <c r="A263" s="263"/>
      <c r="B263" s="429">
        <f t="shared" si="30"/>
        <v>5201</v>
      </c>
      <c r="C263" s="429">
        <f t="shared" si="31"/>
        <v>5206</v>
      </c>
      <c r="D263" s="430" t="str">
        <f t="shared" si="28"/>
        <v>B4038</v>
      </c>
      <c r="E263" s="430" t="str">
        <f>VLOOKUP(D263,'RCLIPS송신(일사천리론)_최종'!$B:$E,4,0)</f>
        <v>N1년해지포함대출금액증가율</v>
      </c>
      <c r="F263" s="430" t="str">
        <f>VLOOKUP(D263,'RCLIPS송신(일사천리론)_최종'!$B:$D,2,0)</f>
        <v>N</v>
      </c>
      <c r="G263" s="430" t="str">
        <f>VLOOKUP($D263,'RCLIPS송신(일사천리론)_최종'!$B:$D,3,0)</f>
        <v>15</v>
      </c>
      <c r="H263" s="430" t="str">
        <f t="shared" si="29"/>
        <v>0000009999999.9</v>
      </c>
      <c r="I263" s="263" t="str">
        <f t="shared" si="32"/>
        <v>W0066</v>
      </c>
      <c r="J263" s="263" t="e">
        <f>VLOOKUP($I263,'RCLIPS수신(일사천리론)_최종'!$C:$F,2,0)</f>
        <v>#N/A</v>
      </c>
      <c r="K263" s="263" t="e">
        <f>VLOOKUP($I263,'RCLIPS수신(일사천리론)_최종'!$C:$F,3,0)</f>
        <v>#N/A</v>
      </c>
      <c r="L263" s="263" t="e">
        <f>VLOOKUP($I263,'RCLIPS수신(일사천리론)_최종'!$C:$F,4,0)</f>
        <v>#N/A</v>
      </c>
      <c r="M263" s="263" t="str">
        <f t="shared" si="33"/>
        <v>000000000000007</v>
      </c>
    </row>
    <row r="264" spans="1:13">
      <c r="A264" s="263"/>
      <c r="B264" s="429">
        <f t="shared" si="30"/>
        <v>5221</v>
      </c>
      <c r="C264" s="429">
        <f t="shared" si="31"/>
        <v>5226</v>
      </c>
      <c r="D264" s="430" t="str">
        <f t="shared" si="28"/>
        <v>B4039</v>
      </c>
      <c r="E264" s="430" t="str">
        <f>VLOOKUP(D264,'RCLIPS송신(일사천리론)_최종'!$B:$E,4,0)</f>
        <v>N1년해지포함담보제외대출증가율</v>
      </c>
      <c r="F264" s="430" t="str">
        <f>VLOOKUP(D264,'RCLIPS송신(일사천리론)_최종'!$B:$D,2,0)</f>
        <v>N</v>
      </c>
      <c r="G264" s="430" t="str">
        <f>VLOOKUP($D264,'RCLIPS송신(일사천리론)_최종'!$B:$D,3,0)</f>
        <v>15</v>
      </c>
      <c r="H264" s="430" t="str">
        <f t="shared" si="29"/>
        <v>0000009999999.9</v>
      </c>
      <c r="I264" s="263" t="str">
        <f t="shared" si="32"/>
        <v>W0067</v>
      </c>
      <c r="J264" s="263" t="e">
        <f>VLOOKUP($I264,'RCLIPS수신(일사천리론)_최종'!$C:$F,2,0)</f>
        <v>#N/A</v>
      </c>
      <c r="K264" s="263" t="e">
        <f>VLOOKUP($I264,'RCLIPS수신(일사천리론)_최종'!$C:$F,3,0)</f>
        <v>#N/A</v>
      </c>
      <c r="L264" s="263" t="e">
        <f>VLOOKUP($I264,'RCLIPS수신(일사천리론)_최종'!$C:$F,4,0)</f>
        <v>#N/A</v>
      </c>
      <c r="M264" s="263" t="str">
        <f t="shared" si="33"/>
        <v>000000000000003</v>
      </c>
    </row>
    <row r="265" spans="1:13">
      <c r="A265" s="263"/>
      <c r="B265" s="429">
        <f t="shared" si="30"/>
        <v>5241</v>
      </c>
      <c r="C265" s="429">
        <f t="shared" si="31"/>
        <v>5246</v>
      </c>
      <c r="D265" s="430" t="str">
        <f t="shared" si="28"/>
        <v>B4040</v>
      </c>
      <c r="E265" s="430" t="str">
        <f>VLOOKUP(D265,'RCLIPS송신(일사천리론)_최종'!$B:$E,4,0)</f>
        <v>N1년당사제외월평균카드이용잔액</v>
      </c>
      <c r="F265" s="430" t="str">
        <f>VLOOKUP(D265,'RCLIPS송신(일사천리론)_최종'!$B:$D,2,0)</f>
        <v>N</v>
      </c>
      <c r="G265" s="430" t="str">
        <f>VLOOKUP($D265,'RCLIPS송신(일사천리론)_최종'!$B:$D,3,0)</f>
        <v>15</v>
      </c>
      <c r="H265" s="430" t="str">
        <f t="shared" si="29"/>
        <v>000000000000000</v>
      </c>
      <c r="I265" s="263" t="str">
        <f t="shared" si="32"/>
        <v>W0068</v>
      </c>
      <c r="J265" s="263" t="e">
        <f>VLOOKUP($I265,'RCLIPS수신(일사천리론)_최종'!$C:$F,2,0)</f>
        <v>#N/A</v>
      </c>
      <c r="K265" s="263" t="e">
        <f>VLOOKUP($I265,'RCLIPS수신(일사천리론)_최종'!$C:$F,3,0)</f>
        <v>#N/A</v>
      </c>
      <c r="L265" s="263" t="e">
        <f>VLOOKUP($I265,'RCLIPS수신(일사천리론)_최종'!$C:$F,4,0)</f>
        <v>#N/A</v>
      </c>
      <c r="M265" s="263" t="str">
        <f t="shared" si="33"/>
        <v>000000000000003</v>
      </c>
    </row>
    <row r="266" spans="1:13">
      <c r="A266" s="263"/>
      <c r="B266" s="429">
        <f t="shared" si="30"/>
        <v>5261</v>
      </c>
      <c r="C266" s="429">
        <f t="shared" si="31"/>
        <v>5266</v>
      </c>
      <c r="D266" s="430" t="str">
        <f t="shared" si="28"/>
        <v>B4041</v>
      </c>
      <c r="E266" s="430" t="str">
        <f>VLOOKUP(D266,'RCLIPS송신(일사천리론)_최종'!$B:$E,4,0)</f>
        <v>N1월전비은행기업신용공여기관수</v>
      </c>
      <c r="F266" s="430" t="str">
        <f>VLOOKUP(D266,'RCLIPS송신(일사천리론)_최종'!$B:$D,2,0)</f>
        <v>N</v>
      </c>
      <c r="G266" s="430" t="str">
        <f>VLOOKUP($D266,'RCLIPS송신(일사천리론)_최종'!$B:$D,3,0)</f>
        <v>15</v>
      </c>
      <c r="H266" s="430" t="str">
        <f t="shared" si="29"/>
        <v>000000000000000</v>
      </c>
      <c r="I266" s="263" t="str">
        <f t="shared" si="32"/>
        <v>W0069</v>
      </c>
      <c r="J266" s="263" t="e">
        <f>VLOOKUP($I266,'RCLIPS수신(일사천리론)_최종'!$C:$F,2,0)</f>
        <v>#N/A</v>
      </c>
      <c r="K266" s="263" t="e">
        <f>VLOOKUP($I266,'RCLIPS수신(일사천리론)_최종'!$C:$F,3,0)</f>
        <v>#N/A</v>
      </c>
      <c r="L266" s="263" t="e">
        <f>VLOOKUP($I266,'RCLIPS수신(일사천리론)_최종'!$C:$F,4,0)</f>
        <v>#N/A</v>
      </c>
      <c r="M266" s="263" t="str">
        <f t="shared" si="33"/>
        <v>000000000000001</v>
      </c>
    </row>
    <row r="267" spans="1:13">
      <c r="A267" s="263"/>
      <c r="B267" s="429">
        <f t="shared" si="30"/>
        <v>5281</v>
      </c>
      <c r="C267" s="429">
        <f t="shared" si="31"/>
        <v>5286</v>
      </c>
      <c r="D267" s="430" t="str">
        <f t="shared" si="28"/>
        <v>B4042</v>
      </c>
      <c r="E267" s="430" t="str">
        <f>VLOOKUP(D267,'RCLIPS송신(일사천리론)_최종'!$B:$E,4,0)</f>
        <v>KCBDSR연간상환원리금5</v>
      </c>
      <c r="F267" s="430" t="str">
        <f>VLOOKUP(D267,'RCLIPS송신(일사천리론)_최종'!$B:$D,2,0)</f>
        <v>N</v>
      </c>
      <c r="G267" s="430" t="str">
        <f>VLOOKUP($D267,'RCLIPS송신(일사천리론)_최종'!$B:$D,3,0)</f>
        <v>15</v>
      </c>
      <c r="H267" s="430" t="str">
        <f t="shared" si="29"/>
        <v>000000000000000</v>
      </c>
      <c r="I267" s="263" t="str">
        <f t="shared" si="32"/>
        <v>W0070</v>
      </c>
      <c r="J267" s="263" t="e">
        <f>VLOOKUP($I267,'RCLIPS수신(일사천리론)_최종'!$C:$F,2,0)</f>
        <v>#N/A</v>
      </c>
      <c r="K267" s="263" t="e">
        <f>VLOOKUP($I267,'RCLIPS수신(일사천리론)_최종'!$C:$F,3,0)</f>
        <v>#N/A</v>
      </c>
      <c r="L267" s="263" t="e">
        <f>VLOOKUP($I267,'RCLIPS수신(일사천리론)_최종'!$C:$F,4,0)</f>
        <v>#N/A</v>
      </c>
      <c r="M267" s="263" t="str">
        <f t="shared" si="33"/>
        <v>000000000000004</v>
      </c>
    </row>
    <row r="268" spans="1:13">
      <c r="A268" s="263"/>
      <c r="B268" s="429">
        <f t="shared" si="30"/>
        <v>5301</v>
      </c>
      <c r="C268" s="429">
        <f t="shared" si="31"/>
        <v>5306</v>
      </c>
      <c r="D268" s="430" t="str">
        <f t="shared" si="28"/>
        <v>B4043</v>
      </c>
      <c r="E268" s="430" t="str">
        <f>VLOOKUP(D268,'RCLIPS송신(일사천리론)_최종'!$B:$E,4,0)</f>
        <v>주부특화자산평가지수구분코드</v>
      </c>
      <c r="F268" s="430" t="str">
        <f>VLOOKUP(D268,'RCLIPS송신(일사천리론)_최종'!$B:$D,2,0)</f>
        <v>N</v>
      </c>
      <c r="G268" s="430" t="str">
        <f>VLOOKUP($D268,'RCLIPS송신(일사천리론)_최종'!$B:$D,3,0)</f>
        <v>15</v>
      </c>
      <c r="H268" s="430" t="str">
        <f t="shared" si="29"/>
        <v>000000000220120</v>
      </c>
      <c r="I268" s="263" t="str">
        <f t="shared" si="32"/>
        <v>W0071</v>
      </c>
      <c r="J268" s="263" t="e">
        <f>VLOOKUP($I268,'RCLIPS수신(일사천리론)_최종'!$C:$F,2,0)</f>
        <v>#N/A</v>
      </c>
      <c r="K268" s="263" t="e">
        <f>VLOOKUP($I268,'RCLIPS수신(일사천리론)_최종'!$C:$F,3,0)</f>
        <v>#N/A</v>
      </c>
      <c r="L268" s="263" t="e">
        <f>VLOOKUP($I268,'RCLIPS수신(일사천리론)_최종'!$C:$F,4,0)</f>
        <v>#N/A</v>
      </c>
      <c r="M268" s="263" t="str">
        <f t="shared" si="33"/>
        <v>-00000000000002</v>
      </c>
    </row>
    <row r="269" spans="1:13">
      <c r="A269" s="263"/>
      <c r="B269" s="429">
        <f t="shared" si="30"/>
        <v>5321</v>
      </c>
      <c r="C269" s="429">
        <f t="shared" si="31"/>
        <v>5326</v>
      </c>
      <c r="D269" s="430" t="str">
        <f t="shared" si="28"/>
        <v>B4044</v>
      </c>
      <c r="E269" s="430" t="str">
        <f>VLOOKUP(D269,'RCLIPS송신(일사천리론)_최종'!$B:$E,4,0)</f>
        <v>대부업권대출금액</v>
      </c>
      <c r="F269" s="430" t="str">
        <f>VLOOKUP(D269,'RCLIPS송신(일사천리론)_최종'!$B:$D,2,0)</f>
        <v>N</v>
      </c>
      <c r="G269" s="430" t="str">
        <f>VLOOKUP($D269,'RCLIPS송신(일사천리론)_최종'!$B:$D,3,0)</f>
        <v>15</v>
      </c>
      <c r="H269" s="430" t="str">
        <f t="shared" si="29"/>
        <v>000000000000000</v>
      </c>
      <c r="I269" s="263" t="str">
        <f t="shared" si="32"/>
        <v>W0072</v>
      </c>
      <c r="J269" s="263" t="e">
        <f>VLOOKUP($I269,'RCLIPS수신(일사천리론)_최종'!$C:$F,2,0)</f>
        <v>#N/A</v>
      </c>
      <c r="K269" s="263" t="e">
        <f>VLOOKUP($I269,'RCLIPS수신(일사천리론)_최종'!$C:$F,3,0)</f>
        <v>#N/A</v>
      </c>
      <c r="L269" s="263" t="e">
        <f>VLOOKUP($I269,'RCLIPS수신(일사천리론)_최종'!$C:$F,4,0)</f>
        <v>#N/A</v>
      </c>
      <c r="M269" s="263" t="str">
        <f t="shared" si="33"/>
        <v>000000000000010</v>
      </c>
    </row>
    <row r="270" spans="1:13">
      <c r="A270" s="263"/>
      <c r="B270" s="429">
        <f t="shared" si="30"/>
        <v>5341</v>
      </c>
      <c r="C270" s="429">
        <f t="shared" si="31"/>
        <v>5346</v>
      </c>
      <c r="D270" s="430" t="str">
        <f t="shared" si="28"/>
        <v>B4045</v>
      </c>
      <c r="E270" s="430" t="str">
        <f>VLOOKUP(D270,'RCLIPS송신(일사천리론)_최종'!$B:$E,4,0)</f>
        <v>CA이용합계잔액</v>
      </c>
      <c r="F270" s="430" t="str">
        <f>VLOOKUP(D270,'RCLIPS송신(일사천리론)_최종'!$B:$D,2,0)</f>
        <v>N</v>
      </c>
      <c r="G270" s="430" t="str">
        <f>VLOOKUP($D270,'RCLIPS송신(일사천리론)_최종'!$B:$D,3,0)</f>
        <v>15</v>
      </c>
      <c r="H270" s="430" t="str">
        <f t="shared" si="29"/>
        <v>000000000000000</v>
      </c>
      <c r="I270" s="263" t="str">
        <f t="shared" si="32"/>
        <v>W0073</v>
      </c>
      <c r="J270" s="263" t="e">
        <f>VLOOKUP($I270,'RCLIPS수신(일사천리론)_최종'!$C:$F,2,0)</f>
        <v>#N/A</v>
      </c>
      <c r="K270" s="263" t="e">
        <f>VLOOKUP($I270,'RCLIPS수신(일사천리론)_최종'!$C:$F,3,0)</f>
        <v>#N/A</v>
      </c>
      <c r="L270" s="263" t="e">
        <f>VLOOKUP($I270,'RCLIPS수신(일사천리론)_최종'!$C:$F,4,0)</f>
        <v>#N/A</v>
      </c>
      <c r="M270" s="263" t="str">
        <f t="shared" si="33"/>
        <v>000000000000004</v>
      </c>
    </row>
    <row r="271" spans="1:13">
      <c r="A271" s="263"/>
      <c r="B271" s="429">
        <f t="shared" si="30"/>
        <v>5361</v>
      </c>
      <c r="C271" s="429">
        <f t="shared" si="31"/>
        <v>5366</v>
      </c>
      <c r="D271" s="430" t="str">
        <f t="shared" si="28"/>
        <v>B4046</v>
      </c>
      <c r="E271" s="430" t="str">
        <f>VLOOKUP(D271,'RCLIPS송신(일사천리론)_최종'!$B:$E,4,0)</f>
        <v>N1년월평균CA총이용금액</v>
      </c>
      <c r="F271" s="430" t="str">
        <f>VLOOKUP(D271,'RCLIPS송신(일사천리론)_최종'!$B:$D,2,0)</f>
        <v>N</v>
      </c>
      <c r="G271" s="430" t="str">
        <f>VLOOKUP($D271,'RCLIPS송신(일사천리론)_최종'!$B:$D,3,0)</f>
        <v>15</v>
      </c>
      <c r="H271" s="430" t="str">
        <f t="shared" si="29"/>
        <v>000000000000000</v>
      </c>
      <c r="I271" s="263" t="str">
        <f t="shared" si="32"/>
        <v>W0074</v>
      </c>
      <c r="J271" s="263" t="e">
        <f>VLOOKUP($I271,'RCLIPS수신(일사천리론)_최종'!$C:$F,2,0)</f>
        <v>#N/A</v>
      </c>
      <c r="K271" s="263" t="e">
        <f>VLOOKUP($I271,'RCLIPS수신(일사천리론)_최종'!$C:$F,3,0)</f>
        <v>#N/A</v>
      </c>
      <c r="L271" s="263" t="e">
        <f>VLOOKUP($I271,'RCLIPS수신(일사천리론)_최종'!$C:$F,4,0)</f>
        <v>#N/A</v>
      </c>
      <c r="M271" s="263" t="str">
        <f t="shared" si="33"/>
        <v>000000000000001</v>
      </c>
    </row>
    <row r="272" spans="1:13">
      <c r="A272" s="263"/>
      <c r="B272" s="429">
        <f t="shared" si="30"/>
        <v>5381</v>
      </c>
      <c r="C272" s="429">
        <f t="shared" si="31"/>
        <v>5386</v>
      </c>
      <c r="D272" s="430" t="str">
        <f t="shared" si="28"/>
        <v>B4047</v>
      </c>
      <c r="E272" s="430" t="str">
        <f>VLOOKUP(D272,'RCLIPS송신(일사천리론)_최종'!$B:$E,4,0)</f>
        <v>미해지당사제외CA이용잔액</v>
      </c>
      <c r="F272" s="430" t="str">
        <f>VLOOKUP(D272,'RCLIPS송신(일사천리론)_최종'!$B:$D,2,0)</f>
        <v>N</v>
      </c>
      <c r="G272" s="430" t="str">
        <f>VLOOKUP($D272,'RCLIPS송신(일사천리론)_최종'!$B:$D,3,0)</f>
        <v>15</v>
      </c>
      <c r="H272" s="430" t="str">
        <f t="shared" si="29"/>
        <v>000000000000000</v>
      </c>
      <c r="I272" s="263" t="str">
        <f t="shared" si="32"/>
        <v>W0075</v>
      </c>
      <c r="J272" s="263" t="e">
        <f>VLOOKUP($I272,'RCLIPS수신(일사천리론)_최종'!$C:$F,2,0)</f>
        <v>#N/A</v>
      </c>
      <c r="K272" s="263" t="e">
        <f>VLOOKUP($I272,'RCLIPS수신(일사천리론)_최종'!$C:$F,3,0)</f>
        <v>#N/A</v>
      </c>
      <c r="L272" s="263" t="e">
        <f>VLOOKUP($I272,'RCLIPS수신(일사천리론)_최종'!$C:$F,4,0)</f>
        <v>#N/A</v>
      </c>
      <c r="M272" s="263" t="str">
        <f t="shared" si="33"/>
        <v>000000000000002</v>
      </c>
    </row>
    <row r="273" spans="1:13">
      <c r="A273" s="263"/>
      <c r="B273" s="429">
        <f t="shared" si="30"/>
        <v>5401</v>
      </c>
      <c r="C273" s="429">
        <f t="shared" si="31"/>
        <v>5406</v>
      </c>
      <c r="D273" s="430" t="str">
        <f t="shared" si="28"/>
        <v>B4048</v>
      </c>
      <c r="E273" s="430" t="str">
        <f>VLOOKUP(D273,'RCLIPS송신(일사천리론)_최종'!$B:$E,4,0)</f>
        <v>N1년당사제외월평균CA총이용금액</v>
      </c>
      <c r="F273" s="430" t="str">
        <f>VLOOKUP(D273,'RCLIPS송신(일사천리론)_최종'!$B:$D,2,0)</f>
        <v>N</v>
      </c>
      <c r="G273" s="430" t="str">
        <f>VLOOKUP($D273,'RCLIPS송신(일사천리론)_최종'!$B:$D,3,0)</f>
        <v>15</v>
      </c>
      <c r="H273" s="430" t="str">
        <f t="shared" si="29"/>
        <v>000000000000000</v>
      </c>
      <c r="I273" s="263" t="str">
        <f t="shared" si="32"/>
        <v>W0076</v>
      </c>
      <c r="J273" s="263" t="e">
        <f>VLOOKUP($I273,'RCLIPS수신(일사천리론)_최종'!$C:$F,2,0)</f>
        <v>#N/A</v>
      </c>
      <c r="K273" s="263" t="e">
        <f>VLOOKUP($I273,'RCLIPS수신(일사천리론)_최종'!$C:$F,3,0)</f>
        <v>#N/A</v>
      </c>
      <c r="L273" s="263" t="e">
        <f>VLOOKUP($I273,'RCLIPS수신(일사천리론)_최종'!$C:$F,4,0)</f>
        <v>#N/A</v>
      </c>
      <c r="M273" s="263" t="str">
        <f t="shared" si="33"/>
        <v>000000000000001</v>
      </c>
    </row>
    <row r="274" spans="1:13">
      <c r="A274" s="263"/>
      <c r="B274" s="429">
        <f t="shared" si="30"/>
        <v>5421</v>
      </c>
      <c r="C274" s="429">
        <f t="shared" si="31"/>
        <v>5426</v>
      </c>
      <c r="D274" s="430" t="str">
        <f t="shared" si="28"/>
        <v>B4049</v>
      </c>
      <c r="E274" s="430" t="str">
        <f>VLOOKUP(D274,'RCLIPS송신(일사천리론)_최종'!$B:$E,4,0)</f>
        <v>N1월전당사제외카드이용잔액</v>
      </c>
      <c r="F274" s="430" t="str">
        <f>VLOOKUP(D274,'RCLIPS송신(일사천리론)_최종'!$B:$D,2,0)</f>
        <v>N</v>
      </c>
      <c r="G274" s="430" t="str">
        <f>VLOOKUP($D274,'RCLIPS송신(일사천리론)_최종'!$B:$D,3,0)</f>
        <v>15</v>
      </c>
      <c r="H274" s="430" t="str">
        <f t="shared" si="29"/>
        <v>000000000000000</v>
      </c>
      <c r="I274" s="263" t="str">
        <f t="shared" si="32"/>
        <v>W0077</v>
      </c>
      <c r="J274" s="263" t="e">
        <f>VLOOKUP($I274,'RCLIPS수신(일사천리론)_최종'!$C:$F,2,0)</f>
        <v>#N/A</v>
      </c>
      <c r="K274" s="263" t="e">
        <f>VLOOKUP($I274,'RCLIPS수신(일사천리론)_최종'!$C:$F,3,0)</f>
        <v>#N/A</v>
      </c>
      <c r="L274" s="263" t="e">
        <f>VLOOKUP($I274,'RCLIPS수신(일사천리론)_최종'!$C:$F,4,0)</f>
        <v>#N/A</v>
      </c>
      <c r="M274" s="263" t="str">
        <f t="shared" si="33"/>
        <v>000000000000001</v>
      </c>
    </row>
    <row r="275" spans="1:13">
      <c r="A275" s="263"/>
      <c r="B275" s="429">
        <f t="shared" si="30"/>
        <v>5441</v>
      </c>
      <c r="C275" s="429">
        <f t="shared" si="31"/>
        <v>5446</v>
      </c>
      <c r="D275" s="430" t="str">
        <f t="shared" si="28"/>
        <v>B4050</v>
      </c>
      <c r="E275" s="430" t="str">
        <f>VLOOKUP(D275,'RCLIPS송신(일사천리론)_최종'!$B:$E,4,0)</f>
        <v>N1년당사제외월평균카드이용잔액</v>
      </c>
      <c r="F275" s="430" t="str">
        <f>VLOOKUP(D275,'RCLIPS송신(일사천리론)_최종'!$B:$D,2,0)</f>
        <v>N</v>
      </c>
      <c r="G275" s="430" t="str">
        <f>VLOOKUP($D275,'RCLIPS송신(일사천리론)_최종'!$B:$D,3,0)</f>
        <v>15</v>
      </c>
      <c r="H275" s="430" t="str">
        <f t="shared" si="29"/>
        <v>000000000000133</v>
      </c>
      <c r="I275" s="263" t="str">
        <f t="shared" si="32"/>
        <v>W0078</v>
      </c>
      <c r="J275" s="263" t="e">
        <f>VLOOKUP($I275,'RCLIPS수신(일사천리론)_최종'!$C:$F,2,0)</f>
        <v>#N/A</v>
      </c>
      <c r="K275" s="263" t="e">
        <f>VLOOKUP($I275,'RCLIPS수신(일사천리론)_최종'!$C:$F,3,0)</f>
        <v>#N/A</v>
      </c>
      <c r="L275" s="263" t="e">
        <f>VLOOKUP($I275,'RCLIPS수신(일사천리론)_최종'!$C:$F,4,0)</f>
        <v>#N/A</v>
      </c>
      <c r="M275" s="263" t="str">
        <f t="shared" si="33"/>
        <v>000000000000001</v>
      </c>
    </row>
    <row r="276" spans="1:13">
      <c r="A276" s="263"/>
      <c r="B276" s="429">
        <f t="shared" si="30"/>
        <v>5461</v>
      </c>
      <c r="C276" s="429">
        <f t="shared" si="31"/>
        <v>5466</v>
      </c>
      <c r="D276" s="430" t="str">
        <f t="shared" si="28"/>
        <v>B4051</v>
      </c>
      <c r="E276" s="430" t="str">
        <f>VLOOKUP(D276,'RCLIPS송신(일사천리론)_최종'!$B:$E,4,0)</f>
        <v>N6월신판이용금액</v>
      </c>
      <c r="F276" s="430" t="str">
        <f>VLOOKUP(D276,'RCLIPS송신(일사천리론)_최종'!$B:$D,2,0)</f>
        <v>N</v>
      </c>
      <c r="G276" s="430" t="str">
        <f>VLOOKUP($D276,'RCLIPS송신(일사천리론)_최종'!$B:$D,3,0)</f>
        <v>15</v>
      </c>
      <c r="H276" s="430" t="str">
        <f t="shared" si="29"/>
        <v>000000000000000</v>
      </c>
      <c r="I276" s="263" t="str">
        <f t="shared" si="32"/>
        <v>W0079</v>
      </c>
      <c r="J276" s="263" t="e">
        <f>VLOOKUP($I276,'RCLIPS수신(일사천리론)_최종'!$C:$F,2,0)</f>
        <v>#N/A</v>
      </c>
      <c r="K276" s="263" t="e">
        <f>VLOOKUP($I276,'RCLIPS수신(일사천리론)_최종'!$C:$F,3,0)</f>
        <v>#N/A</v>
      </c>
      <c r="L276" s="263" t="e">
        <f>VLOOKUP($I276,'RCLIPS수신(일사천리론)_최종'!$C:$F,4,0)</f>
        <v>#N/A</v>
      </c>
      <c r="M276" s="263" t="str">
        <f t="shared" si="33"/>
        <v>-00000000000001</v>
      </c>
    </row>
    <row r="277" spans="1:13">
      <c r="A277" s="263"/>
      <c r="B277" s="429">
        <f t="shared" si="30"/>
        <v>5481</v>
      </c>
      <c r="C277" s="429">
        <f t="shared" si="31"/>
        <v>5486</v>
      </c>
      <c r="D277" s="430" t="str">
        <f t="shared" si="28"/>
        <v>B4052</v>
      </c>
      <c r="E277" s="430" t="str">
        <f>VLOOKUP(D277,'RCLIPS송신(일사천리론)_최종'!$B:$E,4,0)</f>
        <v>N6월CA월평균총이용금액</v>
      </c>
      <c r="F277" s="430" t="str">
        <f>VLOOKUP(D277,'RCLIPS송신(일사천리론)_최종'!$B:$D,2,0)</f>
        <v>N</v>
      </c>
      <c r="G277" s="430" t="str">
        <f>VLOOKUP($D277,'RCLIPS송신(일사천리론)_최종'!$B:$D,3,0)</f>
        <v>15</v>
      </c>
      <c r="H277" s="430" t="str">
        <f t="shared" si="29"/>
        <v>000000000000000</v>
      </c>
      <c r="I277" s="263" t="str">
        <f t="shared" si="32"/>
        <v>W0080</v>
      </c>
      <c r="J277" s="263" t="e">
        <f>VLOOKUP($I277,'RCLIPS수신(일사천리론)_최종'!$C:$F,2,0)</f>
        <v>#N/A</v>
      </c>
      <c r="K277" s="263" t="e">
        <f>VLOOKUP($I277,'RCLIPS수신(일사천리론)_최종'!$C:$F,3,0)</f>
        <v>#N/A</v>
      </c>
      <c r="L277" s="263" t="e">
        <f>VLOOKUP($I277,'RCLIPS수신(일사천리론)_최종'!$C:$F,4,0)</f>
        <v>#N/A</v>
      </c>
      <c r="M277" s="263" t="str">
        <f t="shared" si="33"/>
        <v>-00000000000001</v>
      </c>
    </row>
    <row r="278" spans="1:13">
      <c r="A278" s="263"/>
      <c r="B278" s="429">
        <f t="shared" si="30"/>
        <v>5501</v>
      </c>
      <c r="C278" s="429">
        <f t="shared" si="31"/>
        <v>5506</v>
      </c>
      <c r="D278" s="430" t="str">
        <f t="shared" si="28"/>
        <v>B4053</v>
      </c>
      <c r="E278" s="430" t="str">
        <f>VLOOKUP(D278,'RCLIPS송신(일사천리론)_최종'!$B:$E,4,0)</f>
        <v>N6월당사제외CA월평균총이용금액</v>
      </c>
      <c r="F278" s="430" t="str">
        <f>VLOOKUP(D278,'RCLIPS송신(일사천리론)_최종'!$B:$D,2,0)</f>
        <v>N</v>
      </c>
      <c r="G278" s="430" t="str">
        <f>VLOOKUP($D278,'RCLIPS송신(일사천리론)_최종'!$B:$D,3,0)</f>
        <v>15</v>
      </c>
      <c r="H278" s="430" t="str">
        <f t="shared" si="29"/>
        <v>000000000000000</v>
      </c>
      <c r="I278" s="263" t="str">
        <f t="shared" si="32"/>
        <v>W0081</v>
      </c>
      <c r="J278" s="263" t="e">
        <f>VLOOKUP($I278,'RCLIPS수신(일사천리론)_최종'!$C:$F,2,0)</f>
        <v>#N/A</v>
      </c>
      <c r="K278" s="263" t="e">
        <f>VLOOKUP($I278,'RCLIPS수신(일사천리론)_최종'!$C:$F,3,0)</f>
        <v>#N/A</v>
      </c>
      <c r="L278" s="263" t="e">
        <f>VLOOKUP($I278,'RCLIPS수신(일사천리론)_최종'!$C:$F,4,0)</f>
        <v>#N/A</v>
      </c>
      <c r="M278" s="263" t="str">
        <f t="shared" si="33"/>
        <v>000000000000002</v>
      </c>
    </row>
    <row r="279" spans="1:13">
      <c r="A279" s="263"/>
      <c r="B279" s="429">
        <f t="shared" si="30"/>
        <v>5521</v>
      </c>
      <c r="C279" s="429">
        <f t="shared" si="31"/>
        <v>5526</v>
      </c>
      <c r="D279" s="430" t="str">
        <f t="shared" si="28"/>
        <v>B4054</v>
      </c>
      <c r="E279" s="430" t="str">
        <f>VLOOKUP(D279,'RCLIPS송신(일사천리론)_최종'!$B:$E,4,0)</f>
        <v>KB포함최근연체해제경과일수</v>
      </c>
      <c r="F279" s="430" t="str">
        <f>VLOOKUP(D279,'RCLIPS송신(일사천리론)_최종'!$B:$D,2,0)</f>
        <v>N</v>
      </c>
      <c r="G279" s="430" t="str">
        <f>VLOOKUP($D279,'RCLIPS송신(일사천리론)_최종'!$B:$D,3,0)</f>
        <v>15</v>
      </c>
      <c r="H279" s="430" t="str">
        <f t="shared" si="29"/>
        <v>000000999999999</v>
      </c>
      <c r="I279" s="263" t="str">
        <f t="shared" si="32"/>
        <v>W0082</v>
      </c>
      <c r="J279" s="263" t="e">
        <f>VLOOKUP($I279,'RCLIPS수신(일사천리론)_최종'!$C:$F,2,0)</f>
        <v>#N/A</v>
      </c>
      <c r="K279" s="263" t="e">
        <f>VLOOKUP($I279,'RCLIPS수신(일사천리론)_최종'!$C:$F,3,0)</f>
        <v>#N/A</v>
      </c>
      <c r="L279" s="263" t="e">
        <f>VLOOKUP($I279,'RCLIPS수신(일사천리론)_최종'!$C:$F,4,0)</f>
        <v>#N/A</v>
      </c>
      <c r="M279" s="263" t="str">
        <f t="shared" si="33"/>
        <v>000000000000001</v>
      </c>
    </row>
    <row r="280" spans="1:13">
      <c r="A280" s="263"/>
      <c r="B280" s="429">
        <f t="shared" si="30"/>
        <v>5541</v>
      </c>
      <c r="C280" s="429">
        <f t="shared" si="31"/>
        <v>5546</v>
      </c>
      <c r="D280" s="430" t="str">
        <f t="shared" si="28"/>
        <v>B4055</v>
      </c>
      <c r="E280" s="430" t="str">
        <f>VLOOKUP(D280,'RCLIPS송신(일사천리론)_최종'!$B:$E,4,0)</f>
        <v>해지포함최장연체일수</v>
      </c>
      <c r="F280" s="430" t="str">
        <f>VLOOKUP(D280,'RCLIPS송신(일사천리론)_최종'!$B:$D,2,0)</f>
        <v>N</v>
      </c>
      <c r="G280" s="430" t="str">
        <f>VLOOKUP($D280,'RCLIPS송신(일사천리론)_최종'!$B:$D,3,0)</f>
        <v>15</v>
      </c>
      <c r="H280" s="430" t="str">
        <f t="shared" si="29"/>
        <v>000000000000000</v>
      </c>
      <c r="I280" s="263" t="str">
        <f t="shared" si="32"/>
        <v>W0083</v>
      </c>
      <c r="J280" s="263" t="e">
        <f>VLOOKUP($I280,'RCLIPS수신(일사천리론)_최종'!$C:$F,2,0)</f>
        <v>#N/A</v>
      </c>
      <c r="K280" s="263" t="e">
        <f>VLOOKUP($I280,'RCLIPS수신(일사천리론)_최종'!$C:$F,3,0)</f>
        <v>#N/A</v>
      </c>
      <c r="L280" s="263" t="e">
        <f>VLOOKUP($I280,'RCLIPS수신(일사천리론)_최종'!$C:$F,4,0)</f>
        <v>#N/A</v>
      </c>
      <c r="M280" s="263" t="str">
        <f t="shared" si="33"/>
        <v>000000000000001</v>
      </c>
    </row>
    <row r="281" spans="1:13">
      <c r="A281" s="263"/>
      <c r="B281" s="429">
        <f t="shared" si="30"/>
        <v>5561</v>
      </c>
      <c r="C281" s="429">
        <f t="shared" si="31"/>
        <v>5566</v>
      </c>
      <c r="D281" s="430" t="str">
        <f t="shared" si="28"/>
        <v>B4056</v>
      </c>
      <c r="E281" s="430" t="str">
        <f>VLOOKUP(D281,'RCLIPS송신(일사천리론)_최종'!$B:$E,4,0)</f>
        <v>최근1년합계연체일수_N5</v>
      </c>
      <c r="F281" s="430" t="str">
        <f>VLOOKUP(D281,'RCLIPS송신(일사천리론)_최종'!$B:$D,2,0)</f>
        <v>N</v>
      </c>
      <c r="G281" s="430" t="str">
        <f>VLOOKUP($D281,'RCLIPS송신(일사천리론)_최종'!$B:$D,3,0)</f>
        <v>15</v>
      </c>
      <c r="H281" s="430" t="str">
        <f t="shared" si="29"/>
        <v>000000000000000</v>
      </c>
      <c r="I281" s="263" t="str">
        <f t="shared" si="32"/>
        <v>W0084</v>
      </c>
      <c r="J281" s="263" t="e">
        <f>VLOOKUP($I281,'RCLIPS수신(일사천리론)_최종'!$C:$F,2,0)</f>
        <v>#N/A</v>
      </c>
      <c r="K281" s="263" t="e">
        <f>VLOOKUP($I281,'RCLIPS수신(일사천리론)_최종'!$C:$F,3,0)</f>
        <v>#N/A</v>
      </c>
      <c r="L281" s="263" t="e">
        <f>VLOOKUP($I281,'RCLIPS수신(일사천리론)_최종'!$C:$F,4,0)</f>
        <v>#N/A</v>
      </c>
      <c r="M281" s="263" t="str">
        <f t="shared" si="33"/>
        <v>000000000000001</v>
      </c>
    </row>
    <row r="282" spans="1:13">
      <c r="A282" s="263"/>
      <c r="B282" s="429">
        <f t="shared" si="30"/>
        <v>5581</v>
      </c>
      <c r="C282" s="429">
        <f t="shared" si="31"/>
        <v>5586</v>
      </c>
      <c r="D282" s="430" t="str">
        <f t="shared" si="28"/>
        <v>B4057</v>
      </c>
      <c r="E282" s="430" t="str">
        <f>VLOOKUP(D282,'RCLIPS송신(일사천리론)_최종'!$B:$E,4,0)</f>
        <v>N3년자택주소이력건수_N9</v>
      </c>
      <c r="F282" s="430" t="str">
        <f>VLOOKUP(D282,'RCLIPS송신(일사천리론)_최종'!$B:$D,2,0)</f>
        <v>N</v>
      </c>
      <c r="G282" s="430" t="str">
        <f>VLOOKUP($D282,'RCLIPS송신(일사천리론)_최종'!$B:$D,3,0)</f>
        <v>15</v>
      </c>
      <c r="H282" s="430" t="str">
        <f t="shared" si="29"/>
        <v>000000000000002</v>
      </c>
      <c r="I282" s="263" t="str">
        <f t="shared" si="32"/>
        <v>W0085</v>
      </c>
      <c r="J282" s="263" t="e">
        <f>VLOOKUP($I282,'RCLIPS수신(일사천리론)_최종'!$C:$F,2,0)</f>
        <v>#N/A</v>
      </c>
      <c r="K282" s="263" t="e">
        <f>VLOOKUP($I282,'RCLIPS수신(일사천리론)_최종'!$C:$F,3,0)</f>
        <v>#N/A</v>
      </c>
      <c r="L282" s="263" t="e">
        <f>VLOOKUP($I282,'RCLIPS수신(일사천리론)_최종'!$C:$F,4,0)</f>
        <v>#N/A</v>
      </c>
      <c r="M282" s="263" t="str">
        <f t="shared" si="33"/>
        <v>000000000000001</v>
      </c>
    </row>
    <row r="283" spans="1:13">
      <c r="A283" s="263"/>
      <c r="B283" s="429">
        <f t="shared" si="30"/>
        <v>5601</v>
      </c>
      <c r="C283" s="429">
        <f t="shared" si="31"/>
        <v>5606</v>
      </c>
      <c r="D283" s="430" t="str">
        <f t="shared" si="28"/>
        <v>B4058</v>
      </c>
      <c r="E283" s="430" t="str">
        <f>VLOOKUP(D283,'RCLIPS송신(일사천리론)_최종'!$B:$E,4,0)</f>
        <v>현거주지평형_V9</v>
      </c>
      <c r="F283" s="430" t="str">
        <f>VLOOKUP(D283,'RCLIPS송신(일사천리론)_최종'!$B:$D,2,0)</f>
        <v>N</v>
      </c>
      <c r="G283" s="430" t="str">
        <f>VLOOKUP($D283,'RCLIPS송신(일사천리론)_최종'!$B:$D,3,0)</f>
        <v>15</v>
      </c>
      <c r="H283" s="430" t="str">
        <f t="shared" si="29"/>
        <v>000000000000001</v>
      </c>
      <c r="I283" s="263" t="str">
        <f t="shared" si="32"/>
        <v>W0086</v>
      </c>
      <c r="J283" s="263" t="e">
        <f>VLOOKUP($I283,'RCLIPS수신(일사천리론)_최종'!$C:$F,2,0)</f>
        <v>#N/A</v>
      </c>
      <c r="K283" s="263" t="e">
        <f>VLOOKUP($I283,'RCLIPS수신(일사천리론)_최종'!$C:$F,3,0)</f>
        <v>#N/A</v>
      </c>
      <c r="L283" s="263" t="e">
        <f>VLOOKUP($I283,'RCLIPS수신(일사천리론)_최종'!$C:$F,4,0)</f>
        <v>#N/A</v>
      </c>
      <c r="M283" s="263" t="str">
        <f t="shared" si="33"/>
        <v>000000000000025</v>
      </c>
    </row>
    <row r="284" spans="1:13">
      <c r="A284" s="263"/>
      <c r="B284" s="429">
        <f t="shared" si="30"/>
        <v>5621</v>
      </c>
      <c r="C284" s="429">
        <f t="shared" si="31"/>
        <v>5626</v>
      </c>
      <c r="D284" s="430" t="str">
        <f t="shared" si="28"/>
        <v>B4059</v>
      </c>
      <c r="E284" s="430" t="str">
        <f>VLOOKUP(D284,'RCLIPS송신(일사천리론)_최종'!$B:$E,4,0)</f>
        <v>N1월현거주지동연령신판이용금액_N15</v>
      </c>
      <c r="F284" s="430" t="str">
        <f>VLOOKUP(D284,'RCLIPS송신(일사천리론)_최종'!$B:$D,2,0)</f>
        <v>N</v>
      </c>
      <c r="G284" s="430" t="str">
        <f>VLOOKUP($D284,'RCLIPS송신(일사천리론)_최종'!$B:$D,3,0)</f>
        <v>15</v>
      </c>
      <c r="H284" s="430" t="str">
        <f t="shared" si="29"/>
        <v>000000000002738</v>
      </c>
      <c r="I284" s="263" t="str">
        <f t="shared" si="32"/>
        <v>W0087</v>
      </c>
      <c r="J284" s="263" t="e">
        <f>VLOOKUP($I284,'RCLIPS수신(일사천리론)_최종'!$C:$F,2,0)</f>
        <v>#N/A</v>
      </c>
      <c r="K284" s="263" t="e">
        <f>VLOOKUP($I284,'RCLIPS수신(일사천리론)_최종'!$C:$F,3,0)</f>
        <v>#N/A</v>
      </c>
      <c r="L284" s="263" t="e">
        <f>VLOOKUP($I284,'RCLIPS수신(일사천리론)_최종'!$C:$F,4,0)</f>
        <v>#N/A</v>
      </c>
      <c r="M284" s="263" t="str">
        <f t="shared" si="33"/>
        <v>000000000000025</v>
      </c>
    </row>
    <row r="285" spans="1:13">
      <c r="A285" s="263"/>
      <c r="B285" s="429">
        <f t="shared" si="30"/>
        <v>5641</v>
      </c>
      <c r="C285" s="429">
        <f t="shared" si="31"/>
        <v>5646</v>
      </c>
      <c r="D285" s="430" t="str">
        <f t="shared" si="28"/>
        <v>B4060</v>
      </c>
      <c r="E285" s="430" t="str">
        <f>VLOOKUP(D285,'RCLIPS송신(일사천리론)_최종'!$B:$E,4,0)</f>
        <v>카드이용합계잔액</v>
      </c>
      <c r="F285" s="430" t="str">
        <f>VLOOKUP(D285,'RCLIPS송신(일사천리론)_최종'!$B:$D,2,0)</f>
        <v>N</v>
      </c>
      <c r="G285" s="430" t="str">
        <f>VLOOKUP($D285,'RCLIPS송신(일사천리론)_최종'!$B:$D,3,0)</f>
        <v>15</v>
      </c>
      <c r="H285" s="430" t="str">
        <f t="shared" si="29"/>
        <v>000000000000420</v>
      </c>
      <c r="I285" s="263" t="str">
        <f t="shared" si="32"/>
        <v>W0088</v>
      </c>
      <c r="J285" s="263" t="e">
        <f>VLOOKUP($I285,'RCLIPS수신(일사천리론)_최종'!$C:$F,2,0)</f>
        <v>#N/A</v>
      </c>
      <c r="K285" s="263" t="e">
        <f>VLOOKUP($I285,'RCLIPS수신(일사천리론)_최종'!$C:$F,3,0)</f>
        <v>#N/A</v>
      </c>
      <c r="L285" s="263" t="e">
        <f>VLOOKUP($I285,'RCLIPS수신(일사천리론)_최종'!$C:$F,4,0)</f>
        <v>#N/A</v>
      </c>
      <c r="M285" s="263" t="str">
        <f t="shared" si="33"/>
        <v>000000000000004</v>
      </c>
    </row>
    <row r="286" spans="1:13">
      <c r="A286" s="263"/>
      <c r="B286" s="429">
        <f t="shared" si="30"/>
        <v>5661</v>
      </c>
      <c r="C286" s="429">
        <f t="shared" si="31"/>
        <v>5666</v>
      </c>
      <c r="D286" s="430" t="str">
        <f t="shared" si="28"/>
        <v>B4061</v>
      </c>
      <c r="E286" s="430" t="str">
        <f>VLOOKUP(D286,'RCLIPS송신(일사천리론)_최종'!$B:$E,4,0)</f>
        <v>최근1년대지급포함최장연체일수</v>
      </c>
      <c r="F286" s="430" t="str">
        <f>VLOOKUP(D286,'RCLIPS송신(일사천리론)_최종'!$B:$D,2,0)</f>
        <v>N</v>
      </c>
      <c r="G286" s="430" t="str">
        <f>VLOOKUP($D286,'RCLIPS송신(일사천리론)_최종'!$B:$D,3,0)</f>
        <v>15</v>
      </c>
      <c r="H286" s="430" t="str">
        <f t="shared" si="29"/>
        <v>000000000000000</v>
      </c>
      <c r="I286" s="263" t="str">
        <f t="shared" si="32"/>
        <v>W0089</v>
      </c>
      <c r="J286" s="263" t="e">
        <f>VLOOKUP($I286,'RCLIPS수신(일사천리론)_최종'!$C:$F,2,0)</f>
        <v>#N/A</v>
      </c>
      <c r="K286" s="263" t="e">
        <f>VLOOKUP($I286,'RCLIPS수신(일사천리론)_최종'!$C:$F,3,0)</f>
        <v>#N/A</v>
      </c>
      <c r="L286" s="263" t="e">
        <f>VLOOKUP($I286,'RCLIPS수신(일사천리론)_최종'!$C:$F,4,0)</f>
        <v>#N/A</v>
      </c>
      <c r="M286" s="263" t="str">
        <f t="shared" si="33"/>
        <v>000000000000017</v>
      </c>
    </row>
    <row r="287" spans="1:13">
      <c r="A287" s="263"/>
      <c r="B287" s="429">
        <f t="shared" si="30"/>
        <v>5681</v>
      </c>
      <c r="C287" s="429">
        <f t="shared" si="31"/>
        <v>5686</v>
      </c>
      <c r="D287" s="430" t="str">
        <f t="shared" si="28"/>
        <v>B4062</v>
      </c>
      <c r="E287" s="430" t="str">
        <f>VLOOKUP(D287,'RCLIPS송신(일사천리론)_최종'!$B:$E,4,0)</f>
        <v>미해지보증총금액_N15</v>
      </c>
      <c r="F287" s="430" t="str">
        <f>VLOOKUP(D287,'RCLIPS송신(일사천리론)_최종'!$B:$D,2,0)</f>
        <v>N</v>
      </c>
      <c r="G287" s="430" t="str">
        <f>VLOOKUP($D287,'RCLIPS송신(일사천리론)_최종'!$B:$D,3,0)</f>
        <v>15</v>
      </c>
      <c r="H287" s="430" t="str">
        <f t="shared" si="29"/>
        <v>000000000000000</v>
      </c>
      <c r="I287" s="263" t="str">
        <f t="shared" si="32"/>
        <v>W0090</v>
      </c>
      <c r="J287" s="263" t="e">
        <f>VLOOKUP($I287,'RCLIPS수신(일사천리론)_최종'!$C:$F,2,0)</f>
        <v>#N/A</v>
      </c>
      <c r="K287" s="263" t="e">
        <f>VLOOKUP($I287,'RCLIPS수신(일사천리론)_최종'!$C:$F,3,0)</f>
        <v>#N/A</v>
      </c>
      <c r="L287" s="263" t="e">
        <f>VLOOKUP($I287,'RCLIPS수신(일사천리론)_최종'!$C:$F,4,0)</f>
        <v>#N/A</v>
      </c>
      <c r="M287" s="263" t="str">
        <f t="shared" si="33"/>
        <v>000000000000007</v>
      </c>
    </row>
    <row r="288" spans="1:13">
      <c r="A288" s="263"/>
      <c r="B288" s="429">
        <f t="shared" si="30"/>
        <v>5701</v>
      </c>
      <c r="C288" s="429">
        <f t="shared" si="31"/>
        <v>5706</v>
      </c>
      <c r="D288" s="430" t="str">
        <f t="shared" si="28"/>
        <v>B4063</v>
      </c>
      <c r="E288" s="430" t="str">
        <f>VLOOKUP(D288,'RCLIPS송신(일사천리론)_최종'!$B:$E,4,0)</f>
        <v>최근1월비은행기업신용과목수_N9_2</v>
      </c>
      <c r="F288" s="430" t="str">
        <f>VLOOKUP(D288,'RCLIPS송신(일사천리론)_최종'!$B:$D,2,0)</f>
        <v>N</v>
      </c>
      <c r="G288" s="430" t="str">
        <f>VLOOKUP($D288,'RCLIPS송신(일사천리론)_최종'!$B:$D,3,0)</f>
        <v>15</v>
      </c>
      <c r="H288" s="430" t="str">
        <f t="shared" si="29"/>
        <v>000000000000000</v>
      </c>
      <c r="I288" s="263" t="str">
        <f t="shared" si="32"/>
        <v>W0091</v>
      </c>
      <c r="J288" s="263" t="e">
        <f>VLOOKUP($I288,'RCLIPS수신(일사천리론)_최종'!$C:$F,2,0)</f>
        <v>#N/A</v>
      </c>
      <c r="K288" s="263" t="e">
        <f>VLOOKUP($I288,'RCLIPS수신(일사천리론)_최종'!$C:$F,3,0)</f>
        <v>#N/A</v>
      </c>
      <c r="L288" s="263" t="e">
        <f>VLOOKUP($I288,'RCLIPS수신(일사천리론)_최종'!$C:$F,4,0)</f>
        <v>#N/A</v>
      </c>
      <c r="M288" s="263" t="str">
        <f t="shared" si="33"/>
        <v>-00000000000016</v>
      </c>
    </row>
    <row r="289" spans="1:13">
      <c r="A289" s="263"/>
      <c r="B289" s="429">
        <f t="shared" si="30"/>
        <v>5721</v>
      </c>
      <c r="C289" s="429">
        <f t="shared" si="31"/>
        <v>5726</v>
      </c>
      <c r="D289" s="430" t="str">
        <f t="shared" si="28"/>
        <v>B4064</v>
      </c>
      <c r="E289" s="430" t="str">
        <f>VLOOKUP(D289,'RCLIPS송신(일사천리론)_최종'!$B:$E,4,0)</f>
        <v>최근1월비은행기업신용평잔합계_N15</v>
      </c>
      <c r="F289" s="430" t="str">
        <f>VLOOKUP(D289,'RCLIPS송신(일사천리론)_최종'!$B:$D,2,0)</f>
        <v>N</v>
      </c>
      <c r="G289" s="430" t="str">
        <f>VLOOKUP($D289,'RCLIPS송신(일사천리론)_최종'!$B:$D,3,0)</f>
        <v>15</v>
      </c>
      <c r="H289" s="430" t="str">
        <f t="shared" si="29"/>
        <v>000000000000000</v>
      </c>
      <c r="I289" s="263" t="str">
        <f t="shared" si="32"/>
        <v>W0092</v>
      </c>
      <c r="J289" s="263" t="e">
        <f>VLOOKUP($I289,'RCLIPS수신(일사천리론)_최종'!$C:$F,2,0)</f>
        <v>#N/A</v>
      </c>
      <c r="K289" s="263" t="e">
        <f>VLOOKUP($I289,'RCLIPS수신(일사천리론)_최종'!$C:$F,3,0)</f>
        <v>#N/A</v>
      </c>
      <c r="L289" s="263" t="e">
        <f>VLOOKUP($I289,'RCLIPS수신(일사천리론)_최종'!$C:$F,4,0)</f>
        <v>#N/A</v>
      </c>
      <c r="M289" s="263" t="str">
        <f t="shared" si="33"/>
        <v>-00000000000012</v>
      </c>
    </row>
    <row r="290" spans="1:13">
      <c r="A290" s="263"/>
      <c r="B290" s="429">
        <f t="shared" si="30"/>
        <v>5741</v>
      </c>
      <c r="C290" s="429">
        <f t="shared" si="31"/>
        <v>5746</v>
      </c>
      <c r="D290" s="430" t="str">
        <f t="shared" si="28"/>
        <v>B4065</v>
      </c>
      <c r="E290" s="430" t="str">
        <f>VLOOKUP(D290,'RCLIPS송신(일사천리론)_최종'!$B:$E,4,0)</f>
        <v>최근3월비은행기업신용평잔합계_N15</v>
      </c>
      <c r="F290" s="430" t="str">
        <f>VLOOKUP(D290,'RCLIPS송신(일사천리론)_최종'!$B:$D,2,0)</f>
        <v>N</v>
      </c>
      <c r="G290" s="430" t="str">
        <f>VLOOKUP($D290,'RCLIPS송신(일사천리론)_최종'!$B:$D,3,0)</f>
        <v>15</v>
      </c>
      <c r="H290" s="430" t="str">
        <f t="shared" si="29"/>
        <v>000000000000000</v>
      </c>
      <c r="I290" s="263" t="str">
        <f t="shared" si="32"/>
        <v>W0093</v>
      </c>
      <c r="J290" s="263" t="e">
        <f>VLOOKUP($I290,'RCLIPS수신(일사천리론)_최종'!$C:$F,2,0)</f>
        <v>#N/A</v>
      </c>
      <c r="K290" s="263" t="e">
        <f>VLOOKUP($I290,'RCLIPS수신(일사천리론)_최종'!$C:$F,3,0)</f>
        <v>#N/A</v>
      </c>
      <c r="L290" s="263" t="e">
        <f>VLOOKUP($I290,'RCLIPS수신(일사천리론)_최종'!$C:$F,4,0)</f>
        <v>#N/A</v>
      </c>
      <c r="M290" s="263" t="str">
        <f t="shared" si="33"/>
        <v>-00000000000001</v>
      </c>
    </row>
    <row r="291" spans="1:13">
      <c r="A291" s="263"/>
      <c r="B291" s="429">
        <f t="shared" si="30"/>
        <v>5761</v>
      </c>
      <c r="C291" s="429">
        <f t="shared" si="31"/>
        <v>5766</v>
      </c>
      <c r="D291" s="430" t="str">
        <f t="shared" si="28"/>
        <v>B4066</v>
      </c>
      <c r="E291" s="430" t="str">
        <f>VLOOKUP(D291,'RCLIPS송신(일사천리론)_최종'!$B:$E,4,0)</f>
        <v>보유주택매매총합계금액_N15</v>
      </c>
      <c r="F291" s="430" t="str">
        <f>VLOOKUP(D291,'RCLIPS송신(일사천리론)_최종'!$B:$D,2,0)</f>
        <v>N</v>
      </c>
      <c r="G291" s="430" t="str">
        <f>VLOOKUP($D291,'RCLIPS송신(일사천리론)_최종'!$B:$D,3,0)</f>
        <v>15</v>
      </c>
      <c r="H291" s="430" t="str">
        <f t="shared" si="29"/>
        <v>000000000000000</v>
      </c>
      <c r="I291" s="263" t="str">
        <f t="shared" si="32"/>
        <v>W0094</v>
      </c>
      <c r="J291" s="263" t="e">
        <f>VLOOKUP($I291,'RCLIPS수신(일사천리론)_최종'!$C:$F,2,0)</f>
        <v>#N/A</v>
      </c>
      <c r="K291" s="263" t="e">
        <f>VLOOKUP($I291,'RCLIPS수신(일사천리론)_최종'!$C:$F,3,0)</f>
        <v>#N/A</v>
      </c>
      <c r="L291" s="263" t="e">
        <f>VLOOKUP($I291,'RCLIPS수신(일사천리론)_최종'!$C:$F,4,0)</f>
        <v>#N/A</v>
      </c>
      <c r="M291" s="263" t="str">
        <f t="shared" si="33"/>
        <v>000000000000001</v>
      </c>
    </row>
    <row r="292" spans="1:13">
      <c r="A292" s="263"/>
      <c r="B292" s="429">
        <f t="shared" si="30"/>
        <v>5781</v>
      </c>
      <c r="C292" s="429">
        <f t="shared" si="31"/>
        <v>5786</v>
      </c>
      <c r="D292" s="430" t="str">
        <f t="shared" si="28"/>
        <v>B4067</v>
      </c>
      <c r="E292" s="430" t="str">
        <f>VLOOKUP(D292,'RCLIPS송신(일사천리론)_최종'!$B:$E,4,0)</f>
        <v>사업자최초등록일경과일수_N5</v>
      </c>
      <c r="F292" s="430" t="str">
        <f>VLOOKUP(D292,'RCLIPS송신(일사천리론)_최종'!$B:$D,2,0)</f>
        <v>N</v>
      </c>
      <c r="G292" s="430" t="str">
        <f>VLOOKUP($D292,'RCLIPS송신(일사천리론)_최종'!$B:$D,3,0)</f>
        <v>15</v>
      </c>
      <c r="H292" s="430" t="str">
        <f t="shared" si="29"/>
        <v>000000000005048</v>
      </c>
      <c r="I292" s="263" t="str">
        <f t="shared" si="32"/>
        <v>W0095</v>
      </c>
      <c r="J292" s="263" t="e">
        <f>VLOOKUP($I292,'RCLIPS수신(일사천리론)_최종'!$C:$F,2,0)</f>
        <v>#N/A</v>
      </c>
      <c r="K292" s="263" t="e">
        <f>VLOOKUP($I292,'RCLIPS수신(일사천리론)_최종'!$C:$F,3,0)</f>
        <v>#N/A</v>
      </c>
      <c r="L292" s="263" t="e">
        <f>VLOOKUP($I292,'RCLIPS수신(일사천리론)_최종'!$C:$F,4,0)</f>
        <v>#N/A</v>
      </c>
      <c r="M292" s="263" t="str">
        <f t="shared" si="33"/>
        <v>000000000000001</v>
      </c>
    </row>
    <row r="293" spans="1:13">
      <c r="A293" s="263"/>
      <c r="B293" s="429">
        <f t="shared" si="30"/>
        <v>5801</v>
      </c>
      <c r="C293" s="429">
        <f t="shared" si="31"/>
        <v>5806</v>
      </c>
      <c r="D293" s="430" t="str">
        <f t="shared" si="28"/>
        <v>B3016</v>
      </c>
      <c r="E293" s="430" t="str">
        <f>VLOOKUP(D293,'RCLIPS송신(일사천리론)_최종'!$B:$E,4,0)</f>
        <v>최근6월현금서비스이용률_N9_2</v>
      </c>
      <c r="F293" s="430" t="str">
        <f>VLOOKUP(D293,'RCLIPS송신(일사천리론)_최종'!$B:$D,2,0)</f>
        <v>N</v>
      </c>
      <c r="G293" s="430" t="str">
        <f>VLOOKUP($D293,'RCLIPS송신(일사천리론)_최종'!$B:$D,3,0)</f>
        <v>15</v>
      </c>
      <c r="H293" s="430" t="str">
        <f t="shared" si="29"/>
        <v>000000000000000</v>
      </c>
      <c r="I293" s="263" t="str">
        <f t="shared" si="32"/>
        <v>W0096</v>
      </c>
      <c r="J293" s="263" t="e">
        <f>VLOOKUP($I293,'RCLIPS수신(일사천리론)_최종'!$C:$F,2,0)</f>
        <v>#N/A</v>
      </c>
      <c r="K293" s="263" t="e">
        <f>VLOOKUP($I293,'RCLIPS수신(일사천리론)_최종'!$C:$F,3,0)</f>
        <v>#N/A</v>
      </c>
      <c r="L293" s="263" t="e">
        <f>VLOOKUP($I293,'RCLIPS수신(일사천리론)_최종'!$C:$F,4,0)</f>
        <v>#N/A</v>
      </c>
      <c r="M293" s="263" t="str">
        <f t="shared" si="33"/>
        <v>000000000000001</v>
      </c>
    </row>
    <row r="294" spans="1:13">
      <c r="A294" s="263"/>
      <c r="B294" s="429">
        <f t="shared" si="30"/>
        <v>5821</v>
      </c>
      <c r="C294" s="429">
        <f t="shared" si="31"/>
        <v>5826</v>
      </c>
      <c r="D294" s="430" t="str">
        <f t="shared" si="28"/>
        <v>B3017</v>
      </c>
      <c r="E294" s="430" t="str">
        <f>VLOOKUP(D294,'RCLIPS송신(일사천리론)_최종'!$B:$E,4,0)</f>
        <v>최근6월신용카드이용금액증감율_N9_2</v>
      </c>
      <c r="F294" s="430" t="str">
        <f>VLOOKUP(D294,'RCLIPS송신(일사천리론)_최종'!$B:$D,2,0)</f>
        <v>N</v>
      </c>
      <c r="G294" s="430" t="str">
        <f>VLOOKUP($D294,'RCLIPS송신(일사천리론)_최종'!$B:$D,3,0)</f>
        <v>15</v>
      </c>
      <c r="H294" s="430" t="str">
        <f t="shared" si="29"/>
        <v>-00000000000999</v>
      </c>
      <c r="I294" s="263" t="str">
        <f t="shared" si="32"/>
        <v>W0097</v>
      </c>
      <c r="J294" s="263" t="e">
        <f>VLOOKUP($I294,'RCLIPS수신(일사천리론)_최종'!$C:$F,2,0)</f>
        <v>#N/A</v>
      </c>
      <c r="K294" s="263" t="e">
        <f>VLOOKUP($I294,'RCLIPS수신(일사천리론)_최종'!$C:$F,3,0)</f>
        <v>#N/A</v>
      </c>
      <c r="L294" s="263" t="e">
        <f>VLOOKUP($I294,'RCLIPS수신(일사천리론)_최종'!$C:$F,4,0)</f>
        <v>#N/A</v>
      </c>
      <c r="M294" s="263" t="str">
        <f t="shared" si="33"/>
        <v>000000000000006</v>
      </c>
    </row>
    <row r="295" spans="1:13">
      <c r="A295" s="263"/>
      <c r="B295" s="429">
        <f t="shared" si="30"/>
        <v>5841</v>
      </c>
      <c r="C295" s="429">
        <f t="shared" si="31"/>
        <v>5846</v>
      </c>
      <c r="D295" s="430" t="str">
        <f t="shared" si="28"/>
        <v>B3018</v>
      </c>
      <c r="E295" s="430" t="str">
        <f>VLOOKUP(D295,'RCLIPS송신(일사천리론)_최종'!$B:$E,4,0)</f>
        <v>소유건축물면적합계_N15</v>
      </c>
      <c r="F295" s="430" t="str">
        <f>VLOOKUP(D295,'RCLIPS송신(일사천리론)_최종'!$B:$D,2,0)</f>
        <v>N</v>
      </c>
      <c r="G295" s="430" t="str">
        <f>VLOOKUP($D295,'RCLIPS송신(일사천리론)_최종'!$B:$D,3,0)</f>
        <v>15</v>
      </c>
      <c r="H295" s="430" t="str">
        <f t="shared" si="29"/>
        <v>000000000000000</v>
      </c>
      <c r="I295" s="263" t="str">
        <f t="shared" si="32"/>
        <v>W0098</v>
      </c>
      <c r="J295" s="263" t="e">
        <f>VLOOKUP($I295,'RCLIPS수신(일사천리론)_최종'!$C:$F,2,0)</f>
        <v>#N/A</v>
      </c>
      <c r="K295" s="263" t="e">
        <f>VLOOKUP($I295,'RCLIPS수신(일사천리론)_최종'!$C:$F,3,0)</f>
        <v>#N/A</v>
      </c>
      <c r="L295" s="263" t="e">
        <f>VLOOKUP($I295,'RCLIPS수신(일사천리론)_최종'!$C:$F,4,0)</f>
        <v>#N/A</v>
      </c>
      <c r="M295" s="263" t="str">
        <f t="shared" si="33"/>
        <v>000000000000020</v>
      </c>
    </row>
    <row r="296" spans="1:13">
      <c r="A296" s="263"/>
      <c r="B296" s="429">
        <f t="shared" si="30"/>
        <v>5861</v>
      </c>
      <c r="C296" s="429">
        <f t="shared" si="31"/>
        <v>5866</v>
      </c>
      <c r="D296" s="430" t="str">
        <f t="shared" si="28"/>
        <v>B3019</v>
      </c>
      <c r="E296" s="430" t="str">
        <f>VLOOKUP(D296,'RCLIPS송신(일사천리론)_최종'!$B:$E,4,0)</f>
        <v>최근1년내처분건축물수_N5</v>
      </c>
      <c r="F296" s="430" t="str">
        <f>VLOOKUP(D296,'RCLIPS송신(일사천리론)_최종'!$B:$D,2,0)</f>
        <v>N</v>
      </c>
      <c r="G296" s="430" t="str">
        <f>VLOOKUP($D296,'RCLIPS송신(일사천리론)_최종'!$B:$D,3,0)</f>
        <v>15</v>
      </c>
      <c r="H296" s="430" t="str">
        <f t="shared" si="29"/>
        <v>000000000000000</v>
      </c>
      <c r="I296" s="263" t="str">
        <f t="shared" si="32"/>
        <v>W0099</v>
      </c>
      <c r="J296" s="263" t="e">
        <f>VLOOKUP($I296,'RCLIPS수신(일사천리론)_최종'!$C:$F,2,0)</f>
        <v>#N/A</v>
      </c>
      <c r="K296" s="263" t="e">
        <f>VLOOKUP($I296,'RCLIPS수신(일사천리론)_최종'!$C:$F,3,0)</f>
        <v>#N/A</v>
      </c>
      <c r="L296" s="263" t="e">
        <f>VLOOKUP($I296,'RCLIPS수신(일사천리론)_최종'!$C:$F,4,0)</f>
        <v>#N/A</v>
      </c>
      <c r="M296" s="263" t="str">
        <f t="shared" si="33"/>
        <v>000000000000001</v>
      </c>
    </row>
    <row r="297" spans="1:13">
      <c r="A297" s="263"/>
      <c r="B297" s="429">
        <f t="shared" si="30"/>
        <v>5881</v>
      </c>
      <c r="C297" s="429">
        <f t="shared" si="31"/>
        <v>5886</v>
      </c>
      <c r="D297" s="430" t="str">
        <f t="shared" si="28"/>
        <v>B3020</v>
      </c>
      <c r="E297" s="430" t="str">
        <f>VLOOKUP(D297,'RCLIPS송신(일사천리론)_최종'!$B:$E,4,0)</f>
        <v>연체해제후경과일수_N5</v>
      </c>
      <c r="F297" s="430" t="str">
        <f>VLOOKUP(D297,'RCLIPS송신(일사천리론)_최종'!$B:$D,2,0)</f>
        <v>N</v>
      </c>
      <c r="G297" s="430" t="str">
        <f>VLOOKUP($D297,'RCLIPS송신(일사천리론)_최종'!$B:$D,3,0)</f>
        <v>15</v>
      </c>
      <c r="H297" s="430" t="str">
        <f t="shared" si="29"/>
        <v>000000000000000</v>
      </c>
      <c r="I297" s="263" t="str">
        <f t="shared" si="32"/>
        <v>W0100</v>
      </c>
      <c r="J297" s="263" t="e">
        <f>VLOOKUP($I297,'RCLIPS수신(일사천리론)_최종'!$C:$F,2,0)</f>
        <v>#N/A</v>
      </c>
      <c r="K297" s="263" t="e">
        <f>VLOOKUP($I297,'RCLIPS수신(일사천리론)_최종'!$C:$F,3,0)</f>
        <v>#N/A</v>
      </c>
      <c r="L297" s="263" t="e">
        <f>VLOOKUP($I297,'RCLIPS수신(일사천리론)_최종'!$C:$F,4,0)</f>
        <v>#N/A</v>
      </c>
      <c r="M297" s="263" t="str">
        <f t="shared" si="33"/>
        <v>000000000000004</v>
      </c>
    </row>
    <row r="298" spans="1:13">
      <c r="A298" s="263"/>
      <c r="B298" s="429">
        <f t="shared" si="30"/>
        <v>5901</v>
      </c>
      <c r="C298" s="429">
        <f t="shared" si="31"/>
        <v>5906</v>
      </c>
      <c r="D298" s="430" t="str">
        <f t="shared" si="28"/>
        <v>B3021</v>
      </c>
      <c r="E298" s="430" t="str">
        <f>VLOOKUP(D298,'RCLIPS송신(일사천리론)_최종'!$B:$E,4,0)</f>
        <v>최장연체경험기간수_V9</v>
      </c>
      <c r="F298" s="430" t="str">
        <f>VLOOKUP(D298,'RCLIPS송신(일사천리론)_최종'!$B:$D,2,0)</f>
        <v>N</v>
      </c>
      <c r="G298" s="430" t="str">
        <f>VLOOKUP($D298,'RCLIPS송신(일사천리론)_최종'!$B:$D,3,0)</f>
        <v>15</v>
      </c>
      <c r="H298" s="430" t="str">
        <f t="shared" si="29"/>
        <v>000000000000000</v>
      </c>
      <c r="I298" s="263" t="str">
        <f t="shared" si="32"/>
        <v>W0101</v>
      </c>
      <c r="J298" s="263" t="e">
        <f>VLOOKUP($I298,'RCLIPS수신(일사천리론)_최종'!$C:$F,2,0)</f>
        <v>#N/A</v>
      </c>
      <c r="K298" s="263" t="e">
        <f>VLOOKUP($I298,'RCLIPS수신(일사천리론)_최종'!$C:$F,3,0)</f>
        <v>#N/A</v>
      </c>
      <c r="L298" s="263" t="e">
        <f>VLOOKUP($I298,'RCLIPS수신(일사천리론)_최종'!$C:$F,4,0)</f>
        <v>#N/A</v>
      </c>
      <c r="M298" s="263" t="str">
        <f t="shared" si="33"/>
        <v>000000000000002</v>
      </c>
    </row>
    <row r="299" spans="1:13">
      <c r="A299" s="263"/>
      <c r="B299" s="429">
        <f t="shared" si="30"/>
        <v>5921</v>
      </c>
      <c r="C299" s="429">
        <f t="shared" si="31"/>
        <v>5926</v>
      </c>
      <c r="D299" s="430" t="str">
        <f t="shared" si="28"/>
        <v>B3022</v>
      </c>
      <c r="E299" s="430" t="str">
        <f>VLOOKUP(D299,'RCLIPS송신(일사천리론)_최종'!$B:$E,4,0)</f>
        <v>최근1년연체금액</v>
      </c>
      <c r="F299" s="430" t="str">
        <f>VLOOKUP(D299,'RCLIPS송신(일사천리론)_최종'!$B:$D,2,0)</f>
        <v>N</v>
      </c>
      <c r="G299" s="430" t="str">
        <f>VLOOKUP($D299,'RCLIPS송신(일사천리론)_최종'!$B:$D,3,0)</f>
        <v>15</v>
      </c>
      <c r="H299" s="430" t="str">
        <f t="shared" si="29"/>
        <v>000000000000000</v>
      </c>
      <c r="I299" s="263" t="str">
        <f t="shared" si="32"/>
        <v>W0102</v>
      </c>
      <c r="J299" s="263" t="e">
        <f>VLOOKUP($I299,'RCLIPS수신(일사천리론)_최종'!$C:$F,2,0)</f>
        <v>#N/A</v>
      </c>
      <c r="K299" s="263" t="e">
        <f>VLOOKUP($I299,'RCLIPS수신(일사천리론)_최종'!$C:$F,3,0)</f>
        <v>#N/A</v>
      </c>
      <c r="L299" s="263" t="e">
        <f>VLOOKUP($I299,'RCLIPS수신(일사천리론)_최종'!$C:$F,4,0)</f>
        <v>#N/A</v>
      </c>
      <c r="M299" s="263" t="str">
        <f t="shared" si="33"/>
        <v>000000000000001</v>
      </c>
    </row>
    <row r="300" spans="1:13">
      <c r="A300" s="263"/>
      <c r="B300" s="429">
        <f t="shared" si="30"/>
        <v>5941</v>
      </c>
      <c r="C300" s="429">
        <f t="shared" si="31"/>
        <v>5946</v>
      </c>
      <c r="D300" s="430" t="str">
        <f t="shared" si="28"/>
        <v>B3023</v>
      </c>
      <c r="E300" s="430" t="str">
        <f>VLOOKUP(D300,'RCLIPS송신(일사천리론)_최종'!$B:$E,4,0)</f>
        <v>소유주택수_N5</v>
      </c>
      <c r="F300" s="430" t="str">
        <f>VLOOKUP(D300,'RCLIPS송신(일사천리론)_최종'!$B:$D,2,0)</f>
        <v>N</v>
      </c>
      <c r="G300" s="430" t="str">
        <f>VLOOKUP($D300,'RCLIPS송신(일사천리론)_최종'!$B:$D,3,0)</f>
        <v>15</v>
      </c>
      <c r="H300" s="430" t="str">
        <f t="shared" si="29"/>
        <v>000000000000000</v>
      </c>
      <c r="I300" s="263" t="str">
        <f t="shared" si="32"/>
        <v>W0103</v>
      </c>
      <c r="J300" s="263" t="e">
        <f>VLOOKUP($I300,'RCLIPS수신(일사천리론)_최종'!$C:$F,2,0)</f>
        <v>#N/A</v>
      </c>
      <c r="K300" s="263" t="e">
        <f>VLOOKUP($I300,'RCLIPS수신(일사천리론)_최종'!$C:$F,3,0)</f>
        <v>#N/A</v>
      </c>
      <c r="L300" s="263" t="e">
        <f>VLOOKUP($I300,'RCLIPS수신(일사천리론)_최종'!$C:$F,4,0)</f>
        <v>#N/A</v>
      </c>
      <c r="M300" s="263" t="str">
        <f t="shared" si="33"/>
        <v>000000000000001</v>
      </c>
    </row>
    <row r="301" spans="1:13">
      <c r="A301" s="263"/>
      <c r="B301" s="429">
        <f t="shared" si="30"/>
        <v>5961</v>
      </c>
      <c r="C301" s="429">
        <f t="shared" si="31"/>
        <v>5966</v>
      </c>
      <c r="D301" s="430" t="str">
        <f t="shared" si="28"/>
        <v>B4068</v>
      </c>
      <c r="E301" s="430" t="str">
        <f>VLOOKUP(D301,'RCLIPS송신(일사천리론)_최종'!$B:$E,4,0)</f>
        <v>미해지LV123제외대출금액_N15</v>
      </c>
      <c r="F301" s="430" t="str">
        <f>VLOOKUP(D301,'RCLIPS송신(일사천리론)_최종'!$B:$D,2,0)</f>
        <v>N</v>
      </c>
      <c r="G301" s="430" t="str">
        <f>VLOOKUP($D301,'RCLIPS송신(일사천리론)_최종'!$B:$D,3,0)</f>
        <v>15</v>
      </c>
      <c r="H301" s="430" t="str">
        <f t="shared" si="29"/>
        <v>000000000000000</v>
      </c>
      <c r="I301" s="263" t="str">
        <f t="shared" si="32"/>
        <v>W0104</v>
      </c>
      <c r="J301" s="263" t="e">
        <f>VLOOKUP($I301,'RCLIPS수신(일사천리론)_최종'!$C:$F,2,0)</f>
        <v>#N/A</v>
      </c>
      <c r="K301" s="263" t="e">
        <f>VLOOKUP($I301,'RCLIPS수신(일사천리론)_최종'!$C:$F,3,0)</f>
        <v>#N/A</v>
      </c>
      <c r="L301" s="263" t="e">
        <f>VLOOKUP($I301,'RCLIPS수신(일사천리론)_최종'!$C:$F,4,0)</f>
        <v>#N/A</v>
      </c>
      <c r="M301" s="263" t="str">
        <f t="shared" si="33"/>
        <v>-00000000000002</v>
      </c>
    </row>
    <row r="302" spans="1:13">
      <c r="A302" s="263"/>
      <c r="B302" s="429">
        <f t="shared" si="30"/>
        <v>5981</v>
      </c>
      <c r="C302" s="429">
        <f t="shared" si="31"/>
        <v>5986</v>
      </c>
      <c r="D302" s="430" t="str">
        <f t="shared" si="28"/>
        <v>B4069</v>
      </c>
      <c r="E302" s="430" t="str">
        <f>VLOOKUP(D302,'RCLIPS송신(일사천리론)_최종'!$B:$E,4,0)</f>
        <v>은행업권제외신용대출기관수_N5</v>
      </c>
      <c r="F302" s="430" t="str">
        <f>VLOOKUP(D302,'RCLIPS송신(일사천리론)_최종'!$B:$D,2,0)</f>
        <v>N</v>
      </c>
      <c r="G302" s="430" t="str">
        <f>VLOOKUP($D302,'RCLIPS송신(일사천리론)_최종'!$B:$D,3,0)</f>
        <v>15</v>
      </c>
      <c r="H302" s="430" t="str">
        <f t="shared" si="29"/>
        <v>000000000000000</v>
      </c>
      <c r="I302" s="263" t="str">
        <f t="shared" si="32"/>
        <v>W0105</v>
      </c>
      <c r="J302" s="263" t="e">
        <f>VLOOKUP($I302,'RCLIPS수신(일사천리론)_최종'!$C:$F,2,0)</f>
        <v>#N/A</v>
      </c>
      <c r="K302" s="263" t="e">
        <f>VLOOKUP($I302,'RCLIPS수신(일사천리론)_최종'!$C:$F,3,0)</f>
        <v>#N/A</v>
      </c>
      <c r="L302" s="263" t="e">
        <f>VLOOKUP($I302,'RCLIPS수신(일사천리론)_최종'!$C:$F,4,0)</f>
        <v>#N/A</v>
      </c>
      <c r="M302" s="263" t="str">
        <f t="shared" si="33"/>
        <v>-00000000000002</v>
      </c>
    </row>
    <row r="303" spans="1:13">
      <c r="A303" s="263"/>
      <c r="B303" s="429">
        <f t="shared" si="30"/>
        <v>6001</v>
      </c>
      <c r="C303" s="429">
        <f t="shared" si="31"/>
        <v>6006</v>
      </c>
      <c r="D303" s="430" t="str">
        <f t="shared" si="28"/>
        <v>B4070</v>
      </c>
      <c r="E303" s="430" t="str">
        <f>VLOOKUP(D303,'RCLIPS송신(일사천리론)_최종'!$B:$E,4,0)</f>
        <v>KCB최근연체대지급포함해제일수_V9</v>
      </c>
      <c r="F303" s="430" t="str">
        <f>VLOOKUP(D303,'RCLIPS송신(일사천리론)_최종'!$B:$D,2,0)</f>
        <v>N</v>
      </c>
      <c r="G303" s="430" t="str">
        <f>VLOOKUP($D303,'RCLIPS송신(일사천리론)_최종'!$B:$D,3,0)</f>
        <v>15</v>
      </c>
      <c r="H303" s="430" t="str">
        <f t="shared" si="29"/>
        <v>000000999999999</v>
      </c>
      <c r="I303" s="432" t="str">
        <f t="shared" si="32"/>
        <v>KORLT</v>
      </c>
      <c r="J303" s="432" t="e">
        <f>VLOOKUP($I303,'RCLIPS수신(일사천리론)_최종'!$C:$F,2,0)</f>
        <v>#N/A</v>
      </c>
      <c r="K303" s="432" t="e">
        <f>VLOOKUP($I303,'RCLIPS수신(일사천리론)_최종'!$C:$F,3,0)</f>
        <v>#N/A</v>
      </c>
      <c r="L303" s="432" t="e">
        <f>VLOOKUP($I303,'RCLIPS수신(일사천리론)_최종'!$C:$F,4,0)</f>
        <v>#N/A</v>
      </c>
      <c r="M303" s="432" t="str">
        <f t="shared" si="33"/>
        <v>K373KORLTK362</v>
      </c>
    </row>
    <row r="304" spans="1:13">
      <c r="A304" s="263"/>
      <c r="B304" s="429">
        <f t="shared" si="30"/>
        <v>6021</v>
      </c>
      <c r="C304" s="429">
        <f t="shared" si="31"/>
        <v>6026</v>
      </c>
      <c r="D304" s="430" t="str">
        <f t="shared" si="28"/>
        <v>B4071</v>
      </c>
      <c r="E304" s="430" t="str">
        <f>VLOOKUP(D304,'RCLIPS송신(일사천리론)_최종'!$B:$E,4,0)</f>
        <v>최근1년총최고경험연체금액_N15</v>
      </c>
      <c r="F304" s="430" t="str">
        <f>VLOOKUP(D304,'RCLIPS송신(일사천리론)_최종'!$B:$D,2,0)</f>
        <v>N</v>
      </c>
      <c r="G304" s="430" t="str">
        <f>VLOOKUP($D304,'RCLIPS송신(일사천리론)_최종'!$B:$D,3,0)</f>
        <v>15</v>
      </c>
      <c r="H304" s="430" t="str">
        <f t="shared" si="29"/>
        <v>000000000000000</v>
      </c>
      <c r="I304" s="432" t="str">
        <f t="shared" si="32"/>
        <v/>
      </c>
      <c r="J304" s="432" t="e">
        <f>VLOOKUP($I304,'RCLIPS수신(일사천리론)_최종'!$C:$F,2,0)</f>
        <v>#N/A</v>
      </c>
      <c r="K304" s="432" t="e">
        <f>VLOOKUP($I304,'RCLIPS수신(일사천리론)_최종'!$C:$F,3,0)</f>
        <v>#N/A</v>
      </c>
      <c r="L304" s="432" t="e">
        <f>VLOOKUP($I304,'RCLIPS수신(일사천리론)_최종'!$C:$F,4,0)</f>
        <v>#N/A</v>
      </c>
      <c r="M304" s="432" t="str">
        <f t="shared" si="33"/>
        <v/>
      </c>
    </row>
    <row r="305" spans="1:13">
      <c r="A305" s="263"/>
      <c r="B305" s="429">
        <f t="shared" si="30"/>
        <v>6041</v>
      </c>
      <c r="C305" s="429">
        <f t="shared" si="31"/>
        <v>6046</v>
      </c>
      <c r="D305" s="430" t="str">
        <f t="shared" si="28"/>
        <v>A4110</v>
      </c>
      <c r="E305" s="430" t="str">
        <f>VLOOKUP(D305,'RCLIPS송신(일사천리론)_최종'!$B:$E,4,0)</f>
        <v>K2개인모델 스코어(Ver2)</v>
      </c>
      <c r="F305" s="430" t="str">
        <f>VLOOKUP(D305,'RCLIPS송신(일사천리론)_최종'!$B:$D,2,0)</f>
        <v>N</v>
      </c>
      <c r="G305" s="430" t="str">
        <f>VLOOKUP($D305,'RCLIPS송신(일사천리론)_최종'!$B:$D,3,0)</f>
        <v>5</v>
      </c>
      <c r="H305" s="430" t="str">
        <f t="shared" si="29"/>
        <v>000000000000741</v>
      </c>
      <c r="I305" s="263" t="str">
        <f t="shared" si="32"/>
        <v/>
      </c>
      <c r="J305" s="263" t="e">
        <f>VLOOKUP($I305,'RCLIPS수신(일사천리론)_최종'!$C:$F,2,0)</f>
        <v>#N/A</v>
      </c>
      <c r="K305" s="263" t="e">
        <f>VLOOKUP($I305,'RCLIPS수신(일사천리론)_최종'!$C:$F,3,0)</f>
        <v>#N/A</v>
      </c>
      <c r="L305" s="263" t="e">
        <f>VLOOKUP($I305,'RCLIPS수신(일사천리론)_최종'!$C:$F,4,0)</f>
        <v>#N/A</v>
      </c>
      <c r="M305" s="263" t="str">
        <f t="shared" si="33"/>
        <v/>
      </c>
    </row>
    <row r="306" spans="1:13">
      <c r="A306" s="263"/>
      <c r="B306" s="429">
        <f t="shared" si="30"/>
        <v>6061</v>
      </c>
      <c r="C306" s="429">
        <f t="shared" si="31"/>
        <v>6066</v>
      </c>
      <c r="D306" s="430" t="str">
        <f t="shared" si="28"/>
        <v>A4111</v>
      </c>
      <c r="E306" s="430" t="str">
        <f>VLOOKUP(D306,'RCLIPS송신(일사천리론)_최종'!$B:$E,4,0)</f>
        <v>K2개인모델 스코어(적용배제)(Ver2)</v>
      </c>
      <c r="F306" s="430" t="str">
        <f>VLOOKUP(D306,'RCLIPS송신(일사천리론)_최종'!$B:$D,2,0)</f>
        <v>S</v>
      </c>
      <c r="G306" s="430" t="str">
        <f>VLOOKUP($D306,'RCLIPS송신(일사천리론)_최종'!$B:$D,3,0)</f>
        <v>9</v>
      </c>
      <c r="H306" s="430" t="str">
        <f t="shared" si="29"/>
        <v xml:space="preserve">741            </v>
      </c>
      <c r="I306" s="263" t="str">
        <f t="shared" si="32"/>
        <v/>
      </c>
      <c r="J306" s="263" t="e">
        <f>VLOOKUP($I306,'RCLIPS수신(일사천리론)_최종'!$C:$F,2,0)</f>
        <v>#N/A</v>
      </c>
      <c r="K306" s="263" t="e">
        <f>VLOOKUP($I306,'RCLIPS수신(일사천리론)_최종'!$C:$F,3,0)</f>
        <v>#N/A</v>
      </c>
      <c r="L306" s="263" t="e">
        <f>VLOOKUP($I306,'RCLIPS수신(일사천리론)_최종'!$C:$F,4,0)</f>
        <v>#N/A</v>
      </c>
      <c r="M306" s="263" t="str">
        <f t="shared" si="33"/>
        <v/>
      </c>
    </row>
    <row r="307" spans="1:13">
      <c r="A307" s="263"/>
      <c r="B307" s="429">
        <f t="shared" si="30"/>
        <v>6081</v>
      </c>
      <c r="C307" s="429">
        <f t="shared" si="31"/>
        <v>6086</v>
      </c>
      <c r="D307" s="430" t="str">
        <f t="shared" si="28"/>
        <v>A4112</v>
      </c>
      <c r="E307" s="430" t="str">
        <f>VLOOKUP(D307,'RCLIPS송신(일사천리론)_최종'!$B:$E,4,0)</f>
        <v>K2개인모델 스코어 가점사유코드(Ver2)</v>
      </c>
      <c r="F307" s="430" t="str">
        <f>VLOOKUP(D307,'RCLIPS송신(일사천리론)_최종'!$B:$D,2,0)</f>
        <v>S</v>
      </c>
      <c r="G307" s="430" t="str">
        <f>VLOOKUP($D307,'RCLIPS송신(일사천리론)_최종'!$B:$D,3,0)</f>
        <v>9</v>
      </c>
      <c r="H307" s="430" t="str">
        <f t="shared" si="29"/>
        <v xml:space="preserve">P28P78P36      </v>
      </c>
      <c r="I307" s="263" t="str">
        <f t="shared" si="32"/>
        <v/>
      </c>
      <c r="J307" s="263" t="e">
        <f>VLOOKUP($I307,'RCLIPS수신(일사천리론)_최종'!$C:$F,2,0)</f>
        <v>#N/A</v>
      </c>
      <c r="K307" s="263" t="e">
        <f>VLOOKUP($I307,'RCLIPS수신(일사천리론)_최종'!$C:$F,3,0)</f>
        <v>#N/A</v>
      </c>
      <c r="L307" s="263" t="e">
        <f>VLOOKUP($I307,'RCLIPS수신(일사천리론)_최종'!$C:$F,4,0)</f>
        <v>#N/A</v>
      </c>
      <c r="M307" s="263" t="str">
        <f t="shared" si="33"/>
        <v/>
      </c>
    </row>
    <row r="308" spans="1:13">
      <c r="A308" s="263"/>
      <c r="B308" s="429">
        <f t="shared" si="30"/>
        <v>6101</v>
      </c>
      <c r="C308" s="429">
        <f t="shared" si="31"/>
        <v>6106</v>
      </c>
      <c r="D308" s="430" t="str">
        <f t="shared" si="28"/>
        <v>A4113</v>
      </c>
      <c r="E308" s="430" t="str">
        <f>VLOOKUP(D308,'RCLIPS송신(일사천리론)_최종'!$B:$E,4,0)</f>
        <v>K2개인모델 스코어 감점사유코드(Ver2)</v>
      </c>
      <c r="F308" s="430" t="str">
        <f>VLOOKUP(D308,'RCLIPS송신(일사천리론)_최종'!$B:$D,2,0)</f>
        <v>S</v>
      </c>
      <c r="G308" s="430" t="str">
        <f>VLOOKUP($D308,'RCLIPS송신(일사천리론)_최종'!$B:$D,3,0)</f>
        <v>9</v>
      </c>
      <c r="H308" s="430" t="str">
        <f t="shared" si="29"/>
        <v xml:space="preserve">N74            </v>
      </c>
      <c r="I308" s="263" t="str">
        <f t="shared" si="32"/>
        <v/>
      </c>
      <c r="J308" s="263" t="e">
        <f>VLOOKUP($I308,'RCLIPS수신(일사천리론)_최종'!$C:$F,2,0)</f>
        <v>#N/A</v>
      </c>
      <c r="K308" s="263" t="e">
        <f>VLOOKUP($I308,'RCLIPS수신(일사천리론)_최종'!$C:$F,3,0)</f>
        <v>#N/A</v>
      </c>
      <c r="L308" s="263" t="e">
        <f>VLOOKUP($I308,'RCLIPS수신(일사천리론)_최종'!$C:$F,4,0)</f>
        <v>#N/A</v>
      </c>
      <c r="M308" s="263" t="str">
        <f t="shared" si="33"/>
        <v/>
      </c>
    </row>
    <row r="309" spans="1:13">
      <c r="A309" s="263"/>
      <c r="B309" s="429">
        <f t="shared" si="30"/>
        <v>6121</v>
      </c>
      <c r="C309" s="429">
        <f t="shared" si="31"/>
        <v>6126</v>
      </c>
      <c r="D309" s="430" t="str">
        <f t="shared" si="28"/>
        <v>A4114</v>
      </c>
      <c r="E309" s="430" t="str">
        <f>VLOOKUP(D309,'RCLIPS송신(일사천리론)_최종'!$B:$E,4,0)</f>
        <v>K2개인모델 세그먼트(Ver2)</v>
      </c>
      <c r="F309" s="430" t="str">
        <f>VLOOKUP(D309,'RCLIPS송신(일사천리론)_최종'!$B:$D,2,0)</f>
        <v>S</v>
      </c>
      <c r="G309" s="430" t="str">
        <f>VLOOKUP($D309,'RCLIPS송신(일사천리론)_최종'!$B:$D,3,0)</f>
        <v>9</v>
      </c>
      <c r="H309" s="430" t="str">
        <f t="shared" si="29"/>
        <v xml:space="preserve">4              </v>
      </c>
      <c r="I309" s="263" t="str">
        <f t="shared" si="32"/>
        <v/>
      </c>
      <c r="J309" s="263" t="e">
        <f>VLOOKUP($I309,'RCLIPS수신(일사천리론)_최종'!$C:$F,2,0)</f>
        <v>#N/A</v>
      </c>
      <c r="K309" s="263" t="e">
        <f>VLOOKUP($I309,'RCLIPS수신(일사천리론)_최종'!$C:$F,3,0)</f>
        <v>#N/A</v>
      </c>
      <c r="L309" s="263" t="e">
        <f>VLOOKUP($I309,'RCLIPS수신(일사천리론)_최종'!$C:$F,4,0)</f>
        <v>#N/A</v>
      </c>
      <c r="M309" s="263" t="str">
        <f t="shared" si="33"/>
        <v/>
      </c>
    </row>
    <row r="310" spans="1:13">
      <c r="B310" s="429">
        <f t="shared" si="30"/>
        <v>6141</v>
      </c>
      <c r="C310" s="429">
        <f t="shared" si="31"/>
        <v>6146</v>
      </c>
      <c r="D310" s="430" t="str">
        <f t="shared" si="28"/>
        <v>A4115</v>
      </c>
      <c r="E310" s="430" t="str">
        <f>VLOOKUP(D310,'RCLIPS송신(일사천리론)_최종'!$B:$E,4,0)</f>
        <v>중위등급세분화CBOnly모델스코어</v>
      </c>
      <c r="F310" s="430" t="str">
        <f>VLOOKUP(D310,'RCLIPS송신(일사천리론)_최종'!$B:$D,2,0)</f>
        <v>N</v>
      </c>
      <c r="G310" s="430" t="str">
        <f>VLOOKUP($D310,'RCLIPS송신(일사천리론)_최종'!$B:$D,3,0)</f>
        <v>5</v>
      </c>
      <c r="H310" s="430" t="str">
        <f t="shared" si="29"/>
        <v>000000000000763</v>
      </c>
      <c r="I310" s="263" t="str">
        <f t="shared" si="32"/>
        <v/>
      </c>
      <c r="J310" s="263" t="e">
        <f>VLOOKUP($I310,'RCLIPS수신(일사천리론)_최종'!$C:$F,2,0)</f>
        <v>#N/A</v>
      </c>
      <c r="K310" s="263" t="e">
        <f>VLOOKUP($I310,'RCLIPS수신(일사천리론)_최종'!$C:$F,3,0)</f>
        <v>#N/A</v>
      </c>
      <c r="L310" s="263" t="e">
        <f>VLOOKUP($I310,'RCLIPS수신(일사천리론)_최종'!$C:$F,4,0)</f>
        <v>#N/A</v>
      </c>
      <c r="M310" s="263" t="str">
        <f t="shared" si="33"/>
        <v/>
      </c>
    </row>
    <row r="311" spans="1:13">
      <c r="B311" s="429">
        <f t="shared" si="30"/>
        <v>6161</v>
      </c>
      <c r="C311" s="429">
        <f t="shared" si="31"/>
        <v>6166</v>
      </c>
      <c r="D311" s="430" t="str">
        <f t="shared" si="28"/>
        <v>A4116</v>
      </c>
      <c r="E311" s="430" t="str">
        <f>VLOOKUP(D311,'RCLIPS송신(일사천리론)_최종'!$B:$E,4,0)</f>
        <v>중위등급세분화CBOnly모델스코어_적용배제</v>
      </c>
      <c r="F311" s="430" t="str">
        <f>VLOOKUP(D311,'RCLIPS송신(일사천리론)_최종'!$B:$D,2,0)</f>
        <v>S</v>
      </c>
      <c r="G311" s="430" t="str">
        <f>VLOOKUP($D311,'RCLIPS송신(일사천리론)_최종'!$B:$D,3,0)</f>
        <v>9</v>
      </c>
      <c r="H311" s="430" t="str">
        <f t="shared" si="29"/>
        <v xml:space="preserve">763            </v>
      </c>
      <c r="I311" s="263" t="str">
        <f t="shared" si="32"/>
        <v/>
      </c>
      <c r="J311" s="263" t="e">
        <f>VLOOKUP($I311,'RCLIPS수신(일사천리론)_최종'!$C:$F,2,0)</f>
        <v>#N/A</v>
      </c>
      <c r="K311" s="263" t="e">
        <f>VLOOKUP($I311,'RCLIPS수신(일사천리론)_최종'!$C:$F,3,0)</f>
        <v>#N/A</v>
      </c>
      <c r="L311" s="263" t="e">
        <f>VLOOKUP($I311,'RCLIPS수신(일사천리론)_최종'!$C:$F,4,0)</f>
        <v>#N/A</v>
      </c>
      <c r="M311" s="263" t="str">
        <f t="shared" si="33"/>
        <v/>
      </c>
    </row>
    <row r="312" spans="1:13">
      <c r="B312" s="429">
        <f t="shared" si="30"/>
        <v>6181</v>
      </c>
      <c r="C312" s="429">
        <f t="shared" si="31"/>
        <v>6186</v>
      </c>
      <c r="D312" s="430" t="str">
        <f t="shared" si="28"/>
        <v>A4117</v>
      </c>
      <c r="E312" s="430" t="str">
        <f>VLOOKUP(D312,'RCLIPS송신(일사천리론)_최종'!$B:$E,4,0)</f>
        <v>중위등급세분화CBOnly모델스코어_가점사유코드</v>
      </c>
      <c r="F312" s="430" t="str">
        <f>VLOOKUP(D312,'RCLIPS송신(일사천리론)_최종'!$B:$D,2,0)</f>
        <v>S</v>
      </c>
      <c r="G312" s="430" t="str">
        <f>VLOOKUP($D312,'RCLIPS송신(일사천리론)_최종'!$B:$D,3,0)</f>
        <v>9</v>
      </c>
      <c r="H312" s="430" t="str">
        <f t="shared" si="29"/>
        <v xml:space="preserve">P15P12P10      </v>
      </c>
      <c r="I312" s="263" t="str">
        <f t="shared" si="32"/>
        <v/>
      </c>
      <c r="J312" s="263" t="e">
        <f>VLOOKUP($I312,'RCLIPS수신(일사천리론)_최종'!$C:$F,2,0)</f>
        <v>#N/A</v>
      </c>
      <c r="K312" s="263" t="e">
        <f>VLOOKUP($I312,'RCLIPS수신(일사천리론)_최종'!$C:$F,3,0)</f>
        <v>#N/A</v>
      </c>
      <c r="L312" s="263" t="e">
        <f>VLOOKUP($I312,'RCLIPS수신(일사천리론)_최종'!$C:$F,4,0)</f>
        <v>#N/A</v>
      </c>
      <c r="M312" s="263" t="str">
        <f t="shared" si="33"/>
        <v/>
      </c>
    </row>
    <row r="313" spans="1:13">
      <c r="B313" s="429">
        <f t="shared" si="30"/>
        <v>6201</v>
      </c>
      <c r="C313" s="429">
        <f t="shared" si="31"/>
        <v>6206</v>
      </c>
      <c r="D313" s="430" t="str">
        <f t="shared" si="28"/>
        <v>A4118</v>
      </c>
      <c r="E313" s="430" t="str">
        <f>VLOOKUP(D313,'RCLIPS송신(일사천리론)_최종'!$B:$E,4,0)</f>
        <v>중위등급세분화CBOnly모델스코어_감점사유코드</v>
      </c>
      <c r="F313" s="430" t="str">
        <f>VLOOKUP(D313,'RCLIPS송신(일사천리론)_최종'!$B:$D,2,0)</f>
        <v>S</v>
      </c>
      <c r="G313" s="430" t="str">
        <f>VLOOKUP($D313,'RCLIPS송신(일사천리론)_최종'!$B:$D,3,0)</f>
        <v>9</v>
      </c>
      <c r="H313" s="430" t="str">
        <f t="shared" si="29"/>
        <v xml:space="preserve">N39N24         </v>
      </c>
      <c r="I313" s="263" t="str">
        <f t="shared" si="32"/>
        <v/>
      </c>
      <c r="J313" s="263" t="e">
        <f>VLOOKUP($I313,'RCLIPS수신(일사천리론)_최종'!$C:$F,2,0)</f>
        <v>#N/A</v>
      </c>
      <c r="K313" s="263" t="e">
        <f>VLOOKUP($I313,'RCLIPS수신(일사천리론)_최종'!$C:$F,3,0)</f>
        <v>#N/A</v>
      </c>
      <c r="L313" s="263" t="e">
        <f>VLOOKUP($I313,'RCLIPS수신(일사천리론)_최종'!$C:$F,4,0)</f>
        <v>#N/A</v>
      </c>
      <c r="M313" s="263" t="str">
        <f t="shared" si="33"/>
        <v/>
      </c>
    </row>
    <row r="314" spans="1:13">
      <c r="B314" s="429">
        <f t="shared" si="30"/>
        <v>6221</v>
      </c>
      <c r="C314" s="429">
        <f t="shared" si="31"/>
        <v>6226</v>
      </c>
      <c r="D314" s="430" t="str">
        <f t="shared" si="28"/>
        <v>A4119</v>
      </c>
      <c r="E314" s="430" t="str">
        <f>VLOOKUP(D314,'RCLIPS송신(일사천리론)_최종'!$B:$E,4,0)</f>
        <v>중위등급세분화CBOnly모델스코어_세그먼트</v>
      </c>
      <c r="F314" s="430" t="str">
        <f>VLOOKUP(D314,'RCLIPS송신(일사천리론)_최종'!$B:$D,2,0)</f>
        <v>S</v>
      </c>
      <c r="G314" s="430" t="str">
        <f>VLOOKUP($D314,'RCLIPS송신(일사천리론)_최종'!$B:$D,3,0)</f>
        <v>9</v>
      </c>
      <c r="H314" s="430" t="str">
        <f t="shared" si="29"/>
        <v xml:space="preserve">2              </v>
      </c>
      <c r="I314" s="263" t="str">
        <f t="shared" si="32"/>
        <v/>
      </c>
      <c r="J314" s="263" t="e">
        <f>VLOOKUP($I314,'RCLIPS수신(일사천리론)_최종'!$C:$F,2,0)</f>
        <v>#N/A</v>
      </c>
      <c r="K314" s="263" t="e">
        <f>VLOOKUP($I314,'RCLIPS수신(일사천리론)_최종'!$C:$F,3,0)</f>
        <v>#N/A</v>
      </c>
      <c r="L314" s="263" t="e">
        <f>VLOOKUP($I314,'RCLIPS수신(일사천리론)_최종'!$C:$F,4,0)</f>
        <v>#N/A</v>
      </c>
      <c r="M314" s="263" t="str">
        <f t="shared" si="33"/>
        <v/>
      </c>
    </row>
    <row r="315" spans="1:13">
      <c r="B315" s="429">
        <f t="shared" si="30"/>
        <v>6241</v>
      </c>
      <c r="C315" s="429">
        <f t="shared" si="31"/>
        <v>6246</v>
      </c>
      <c r="D315" s="430" t="str">
        <f t="shared" si="28"/>
        <v>A8000</v>
      </c>
      <c r="E315" s="430" t="str">
        <f>VLOOKUP(D315,'RCLIPS송신(일사천리론)_최종'!$B:$E,4,0)</f>
        <v>카드론신청서접수번호</v>
      </c>
      <c r="F315" s="430">
        <f>VLOOKUP(D315,'RCLIPS송신(일사천리론)_최종'!$B:$D,2,0)</f>
        <v>0</v>
      </c>
      <c r="G315" s="430">
        <f>VLOOKUP($D315,'RCLIPS송신(일사천리론)_최종'!$B:$D,3,0)</f>
        <v>0</v>
      </c>
      <c r="H315" s="430" t="str">
        <f t="shared" si="29"/>
        <v xml:space="preserve">               </v>
      </c>
      <c r="I315" s="263" t="str">
        <f t="shared" si="32"/>
        <v/>
      </c>
      <c r="J315" s="263" t="e">
        <f>VLOOKUP($I315,'RCLIPS수신(일사천리론)_최종'!$C:$F,2,0)</f>
        <v>#N/A</v>
      </c>
      <c r="K315" s="263" t="e">
        <f>VLOOKUP($I315,'RCLIPS수신(일사천리론)_최종'!$C:$F,3,0)</f>
        <v>#N/A</v>
      </c>
      <c r="L315" s="263" t="e">
        <f>VLOOKUP($I315,'RCLIPS수신(일사천리론)_최종'!$C:$F,4,0)</f>
        <v>#N/A</v>
      </c>
      <c r="M315" s="263" t="str">
        <f t="shared" si="33"/>
        <v/>
      </c>
    </row>
    <row r="316" spans="1:13">
      <c r="B316" s="429">
        <f t="shared" si="30"/>
        <v>6261</v>
      </c>
      <c r="C316" s="429">
        <f t="shared" si="31"/>
        <v>6266</v>
      </c>
      <c r="D316" s="430" t="str">
        <f t="shared" si="28"/>
        <v>A8001</v>
      </c>
      <c r="E316" s="430" t="str">
        <f>VLOOKUP(D316,'RCLIPS송신(일사천리론)_최종'!$B:$E,4,0)</f>
        <v>신용대출평가사유구분코드</v>
      </c>
      <c r="F316" s="430">
        <f>VLOOKUP(D316,'RCLIPS송신(일사천리론)_최종'!$B:$D,2,0)</f>
        <v>0</v>
      </c>
      <c r="G316" s="430">
        <f>VLOOKUP($D316,'RCLIPS송신(일사천리론)_최종'!$B:$D,3,0)</f>
        <v>0</v>
      </c>
      <c r="H316" s="430" t="str">
        <f t="shared" si="29"/>
        <v xml:space="preserve">               </v>
      </c>
      <c r="I316" s="263" t="str">
        <f t="shared" si="32"/>
        <v/>
      </c>
      <c r="J316" s="263" t="e">
        <f>VLOOKUP($I316,'RCLIPS수신(일사천리론)_최종'!$C:$F,2,0)</f>
        <v>#N/A</v>
      </c>
      <c r="K316" s="263" t="e">
        <f>VLOOKUP($I316,'RCLIPS수신(일사천리론)_최종'!$C:$F,3,0)</f>
        <v>#N/A</v>
      </c>
      <c r="L316" s="263" t="e">
        <f>VLOOKUP($I316,'RCLIPS수신(일사천리론)_최종'!$C:$F,4,0)</f>
        <v>#N/A</v>
      </c>
      <c r="M316" s="263" t="str">
        <f t="shared" si="33"/>
        <v/>
      </c>
    </row>
    <row r="317" spans="1:13">
      <c r="B317" s="429">
        <f t="shared" si="30"/>
        <v>6281</v>
      </c>
      <c r="C317" s="429">
        <f t="shared" si="31"/>
        <v>6286</v>
      </c>
      <c r="D317" s="430" t="str">
        <f t="shared" si="28"/>
        <v>A8002</v>
      </c>
      <c r="E317" s="430" t="str">
        <f>VLOOKUP(D317,'RCLIPS송신(일사천리론)_최종'!$B:$E,4,0)</f>
        <v>이지신용대출탈락코드</v>
      </c>
      <c r="F317" s="430">
        <f>VLOOKUP(D317,'RCLIPS송신(일사천리론)_최종'!$B:$D,2,0)</f>
        <v>0</v>
      </c>
      <c r="G317" s="430">
        <f>VLOOKUP($D317,'RCLIPS송신(일사천리론)_최종'!$B:$D,3,0)</f>
        <v>0</v>
      </c>
      <c r="H317" s="430" t="str">
        <f t="shared" si="29"/>
        <v xml:space="preserve">               </v>
      </c>
      <c r="I317" s="263" t="str">
        <f t="shared" si="32"/>
        <v/>
      </c>
      <c r="J317" s="263" t="e">
        <f>VLOOKUP($I317,'RCLIPS수신(일사천리론)_최종'!$C:$F,2,0)</f>
        <v>#N/A</v>
      </c>
      <c r="K317" s="263" t="e">
        <f>VLOOKUP($I317,'RCLIPS수신(일사천리론)_최종'!$C:$F,3,0)</f>
        <v>#N/A</v>
      </c>
      <c r="L317" s="263" t="e">
        <f>VLOOKUP($I317,'RCLIPS수신(일사천리론)_최종'!$C:$F,4,0)</f>
        <v>#N/A</v>
      </c>
      <c r="M317" s="263" t="str">
        <f t="shared" si="33"/>
        <v/>
      </c>
    </row>
    <row r="318" spans="1:13">
      <c r="B318" s="429">
        <f t="shared" si="30"/>
        <v>6301</v>
      </c>
      <c r="C318" s="429">
        <f t="shared" si="31"/>
        <v>6306</v>
      </c>
      <c r="D318" s="430" t="str">
        <f t="shared" si="28"/>
        <v>A8003</v>
      </c>
      <c r="E318" s="430" t="str">
        <f>VLOOKUP(D318,'RCLIPS송신(일사천리론)_최종'!$B:$E,4,0)</f>
        <v>실시간카드론신규등급구분코드</v>
      </c>
      <c r="F318" s="430">
        <f>VLOOKUP(D318,'RCLIPS송신(일사천리론)_최종'!$B:$D,2,0)</f>
        <v>0</v>
      </c>
      <c r="G318" s="430">
        <f>VLOOKUP($D318,'RCLIPS송신(일사천리론)_최종'!$B:$D,3,0)</f>
        <v>0</v>
      </c>
      <c r="H318" s="430" t="str">
        <f t="shared" si="29"/>
        <v xml:space="preserve">               </v>
      </c>
      <c r="I318" s="263" t="str">
        <f t="shared" si="32"/>
        <v/>
      </c>
      <c r="J318" s="263" t="e">
        <f>VLOOKUP($I318,'RCLIPS수신(일사천리론)_최종'!$C:$F,2,0)</f>
        <v>#N/A</v>
      </c>
      <c r="K318" s="263" t="e">
        <f>VLOOKUP($I318,'RCLIPS수신(일사천리론)_최종'!$C:$F,3,0)</f>
        <v>#N/A</v>
      </c>
      <c r="L318" s="263" t="e">
        <f>VLOOKUP($I318,'RCLIPS수신(일사천리론)_최종'!$C:$F,4,0)</f>
        <v>#N/A</v>
      </c>
      <c r="M318" s="263" t="str">
        <f t="shared" si="33"/>
        <v/>
      </c>
    </row>
    <row r="319" spans="1:13">
      <c r="B319" s="429">
        <f t="shared" si="30"/>
        <v>6321</v>
      </c>
      <c r="C319" s="429">
        <f t="shared" si="31"/>
        <v>6326</v>
      </c>
      <c r="D319" s="430" t="str">
        <f t="shared" si="28"/>
        <v>A8004</v>
      </c>
      <c r="E319" s="430" t="str">
        <f>VLOOKUP(D319,'RCLIPS송신(일사천리론)_최종'!$B:$E,4,0)</f>
        <v>고객가치그룹구분</v>
      </c>
      <c r="F319" s="430">
        <f>VLOOKUP(D319,'RCLIPS송신(일사천리론)_최종'!$B:$D,2,0)</f>
        <v>0</v>
      </c>
      <c r="G319" s="430">
        <f>VLOOKUP($D319,'RCLIPS송신(일사천리론)_최종'!$B:$D,3,0)</f>
        <v>0</v>
      </c>
      <c r="H319" s="430" t="str">
        <f t="shared" si="29"/>
        <v xml:space="preserve">               </v>
      </c>
      <c r="I319" s="263" t="str">
        <f t="shared" si="32"/>
        <v/>
      </c>
      <c r="J319" s="263" t="e">
        <f>VLOOKUP($I319,'RCLIPS수신(일사천리론)_최종'!$C:$F,2,0)</f>
        <v>#N/A</v>
      </c>
      <c r="K319" s="263" t="e">
        <f>VLOOKUP($I319,'RCLIPS수신(일사천리론)_최종'!$C:$F,3,0)</f>
        <v>#N/A</v>
      </c>
      <c r="L319" s="263" t="e">
        <f>VLOOKUP($I319,'RCLIPS수신(일사천리론)_최종'!$C:$F,4,0)</f>
        <v>#N/A</v>
      </c>
      <c r="M319" s="263" t="str">
        <f t="shared" si="33"/>
        <v/>
      </c>
    </row>
    <row r="320" spans="1:13">
      <c r="B320" s="429">
        <f t="shared" si="30"/>
        <v>6341</v>
      </c>
      <c r="C320" s="429">
        <f t="shared" si="31"/>
        <v>6346</v>
      </c>
      <c r="D320" s="430" t="str">
        <f t="shared" si="28"/>
        <v>A8005</v>
      </c>
      <c r="E320" s="430" t="str">
        <f>VLOOKUP(D320,'RCLIPS송신(일사천리론)_최종'!$B:$E,4,0)</f>
        <v>여신평균잔액</v>
      </c>
      <c r="F320" s="430">
        <f>VLOOKUP(D320,'RCLIPS송신(일사천리론)_최종'!$B:$D,2,0)</f>
        <v>0</v>
      </c>
      <c r="G320" s="430">
        <f>VLOOKUP($D320,'RCLIPS송신(일사천리론)_최종'!$B:$D,3,0)</f>
        <v>0</v>
      </c>
      <c r="H320" s="430" t="str">
        <f t="shared" si="29"/>
        <v>000000000000000</v>
      </c>
      <c r="I320" s="263" t="str">
        <f t="shared" si="32"/>
        <v/>
      </c>
      <c r="J320" s="263" t="e">
        <f>VLOOKUP($I320,'RCLIPS수신(일사천리론)_최종'!$C:$F,2,0)</f>
        <v>#N/A</v>
      </c>
      <c r="K320" s="263" t="e">
        <f>VLOOKUP($I320,'RCLIPS수신(일사천리론)_최종'!$C:$F,3,0)</f>
        <v>#N/A</v>
      </c>
      <c r="L320" s="263" t="e">
        <f>VLOOKUP($I320,'RCLIPS수신(일사천리론)_최종'!$C:$F,4,0)</f>
        <v>#N/A</v>
      </c>
      <c r="M320" s="263" t="str">
        <f t="shared" si="33"/>
        <v/>
      </c>
    </row>
    <row r="321" spans="2:13">
      <c r="B321" s="429">
        <f t="shared" si="30"/>
        <v>6361</v>
      </c>
      <c r="C321" s="429">
        <f t="shared" si="31"/>
        <v>6366</v>
      </c>
      <c r="D321" s="430" t="str">
        <f t="shared" si="28"/>
        <v>A8006</v>
      </c>
      <c r="E321" s="430" t="str">
        <f>VLOOKUP(D321,'RCLIPS송신(일사천리론)_최종'!$B:$E,4,0)</f>
        <v>이지신용대출DSR제한한도일반</v>
      </c>
      <c r="F321" s="430">
        <f>VLOOKUP(D321,'RCLIPS송신(일사천리론)_최종'!$B:$D,2,0)</f>
        <v>0</v>
      </c>
      <c r="G321" s="430">
        <f>VLOOKUP($D321,'RCLIPS송신(일사천리론)_최종'!$B:$D,3,0)</f>
        <v>0</v>
      </c>
      <c r="H321" s="430" t="str">
        <f t="shared" si="29"/>
        <v>000000000000000</v>
      </c>
      <c r="I321" s="263" t="str">
        <f t="shared" si="32"/>
        <v/>
      </c>
      <c r="J321" s="263" t="e">
        <f>VLOOKUP($I321,'RCLIPS수신(일사천리론)_최종'!$C:$F,2,0)</f>
        <v>#N/A</v>
      </c>
      <c r="K321" s="263" t="e">
        <f>VLOOKUP($I321,'RCLIPS수신(일사천리론)_최종'!$C:$F,3,0)</f>
        <v>#N/A</v>
      </c>
      <c r="L321" s="263" t="e">
        <f>VLOOKUP($I321,'RCLIPS수신(일사천리론)_최종'!$C:$F,4,0)</f>
        <v>#N/A</v>
      </c>
      <c r="M321" s="263" t="str">
        <f t="shared" si="33"/>
        <v/>
      </c>
    </row>
    <row r="322" spans="2:13">
      <c r="B322" s="429">
        <f t="shared" si="30"/>
        <v>6381</v>
      </c>
      <c r="C322" s="429">
        <f t="shared" si="31"/>
        <v>6386</v>
      </c>
      <c r="D322" s="430" t="str">
        <f t="shared" si="28"/>
        <v>A8007</v>
      </c>
      <c r="E322" s="430" t="str">
        <f>VLOOKUP(D322,'RCLIPS송신(일사천리론)_최종'!$B:$E,4,0)</f>
        <v>이지신용대출DSR제한한도관리대상</v>
      </c>
      <c r="F322" s="430">
        <f>VLOOKUP(D322,'RCLIPS송신(일사천리론)_최종'!$B:$D,2,0)</f>
        <v>0</v>
      </c>
      <c r="G322" s="430">
        <f>VLOOKUP($D322,'RCLIPS송신(일사천리론)_최종'!$B:$D,3,0)</f>
        <v>0</v>
      </c>
      <c r="H322" s="430" t="str">
        <f t="shared" si="29"/>
        <v>000000000000000</v>
      </c>
      <c r="I322" s="263" t="str">
        <f t="shared" si="32"/>
        <v/>
      </c>
      <c r="J322" s="263" t="e">
        <f>VLOOKUP($I322,'RCLIPS수신(일사천리론)_최종'!$C:$F,2,0)</f>
        <v>#N/A</v>
      </c>
      <c r="K322" s="263" t="e">
        <f>VLOOKUP($I322,'RCLIPS수신(일사천리론)_최종'!$C:$F,3,0)</f>
        <v>#N/A</v>
      </c>
      <c r="L322" s="263" t="e">
        <f>VLOOKUP($I322,'RCLIPS수신(일사천리론)_최종'!$C:$F,4,0)</f>
        <v>#N/A</v>
      </c>
      <c r="M322" s="263" t="str">
        <f t="shared" si="33"/>
        <v/>
      </c>
    </row>
    <row r="323" spans="2:13">
      <c r="B323" s="429">
        <f t="shared" si="30"/>
        <v>6401</v>
      </c>
      <c r="C323" s="429">
        <f t="shared" si="31"/>
        <v>6406</v>
      </c>
      <c r="D323" s="430" t="str">
        <f t="shared" si="28"/>
        <v>A8008</v>
      </c>
      <c r="E323" s="430" t="str">
        <f>VLOOKUP(D323,'RCLIPS송신(일사천리론)_최종'!$B:$E,4,0)</f>
        <v>이지론한도_C9산출</v>
      </c>
      <c r="F323" s="430">
        <f>VLOOKUP(D323,'RCLIPS송신(일사천리론)_최종'!$B:$D,2,0)</f>
        <v>0</v>
      </c>
      <c r="G323" s="430">
        <f>VLOOKUP($D323,'RCLIPS송신(일사천리론)_최종'!$B:$D,3,0)</f>
        <v>0</v>
      </c>
      <c r="H323" s="430" t="str">
        <f t="shared" si="29"/>
        <v>000000000000000</v>
      </c>
      <c r="I323" s="263" t="str">
        <f t="shared" si="32"/>
        <v/>
      </c>
      <c r="J323" s="263" t="e">
        <f>VLOOKUP($I323,'RCLIPS수신(일사천리론)_최종'!$C:$F,2,0)</f>
        <v>#N/A</v>
      </c>
      <c r="K323" s="263" t="e">
        <f>VLOOKUP($I323,'RCLIPS수신(일사천리론)_최종'!$C:$F,3,0)</f>
        <v>#N/A</v>
      </c>
      <c r="L323" s="263" t="e">
        <f>VLOOKUP($I323,'RCLIPS수신(일사천리론)_최종'!$C:$F,4,0)</f>
        <v>#N/A</v>
      </c>
      <c r="M323" s="263" t="str">
        <f t="shared" si="33"/>
        <v/>
      </c>
    </row>
    <row r="324" spans="2:13">
      <c r="B324" s="429">
        <f t="shared" si="30"/>
        <v>6421</v>
      </c>
      <c r="C324" s="429">
        <f t="shared" si="31"/>
        <v>6426</v>
      </c>
      <c r="D324" s="430" t="str">
        <f t="shared" ref="D324:D346" si="34">MIDB($A$3, $B324+23, 5)</f>
        <v>A8009</v>
      </c>
      <c r="E324" s="430" t="str">
        <f>VLOOKUP(D324,'RCLIPS송신(일사천리론)_최종'!$B:$E,4,0)</f>
        <v>이지론대출이율_C9산출</v>
      </c>
      <c r="F324" s="430">
        <f>VLOOKUP(D324,'RCLIPS송신(일사천리론)_최종'!$B:$D,2,0)</f>
        <v>0</v>
      </c>
      <c r="G324" s="430">
        <f>VLOOKUP($D324,'RCLIPS송신(일사천리론)_최종'!$B:$D,3,0)</f>
        <v>0</v>
      </c>
      <c r="H324" s="430" t="str">
        <f t="shared" ref="H324:H346" si="35">MIDB($A$3, $C324+23, 15)</f>
        <v>000000000000000</v>
      </c>
      <c r="I324" s="263" t="str">
        <f t="shared" si="32"/>
        <v/>
      </c>
      <c r="J324" s="263" t="e">
        <f>VLOOKUP($I324,'RCLIPS수신(일사천리론)_최종'!$C:$F,2,0)</f>
        <v>#N/A</v>
      </c>
      <c r="K324" s="263" t="e">
        <f>VLOOKUP($I324,'RCLIPS수신(일사천리론)_최종'!$C:$F,3,0)</f>
        <v>#N/A</v>
      </c>
      <c r="L324" s="263" t="e">
        <f>VLOOKUP($I324,'RCLIPS수신(일사천리론)_최종'!$C:$F,4,0)</f>
        <v>#N/A</v>
      </c>
      <c r="M324" s="263" t="str">
        <f t="shared" si="33"/>
        <v/>
      </c>
    </row>
    <row r="325" spans="2:13">
      <c r="B325" s="429">
        <f t="shared" ref="B325:B360" si="36">C324+15</f>
        <v>6441</v>
      </c>
      <c r="C325" s="429">
        <f t="shared" ref="C325:C360" si="37">B325+5</f>
        <v>6446</v>
      </c>
      <c r="D325" s="430" t="str">
        <f t="shared" si="34"/>
        <v>A8010</v>
      </c>
      <c r="E325" s="430" t="str">
        <f>VLOOKUP(D325,'RCLIPS송신(일사천리론)_최종'!$B:$E,4,0)</f>
        <v>이지신용대출한도_C9산출</v>
      </c>
      <c r="F325" s="430">
        <f>VLOOKUP(D325,'RCLIPS송신(일사천리론)_최종'!$B:$D,2,0)</f>
        <v>0</v>
      </c>
      <c r="G325" s="430">
        <f>VLOOKUP($D325,'RCLIPS송신(일사천리론)_최종'!$B:$D,3,0)</f>
        <v>0</v>
      </c>
      <c r="H325" s="430" t="str">
        <f t="shared" si="35"/>
        <v>000000000000000</v>
      </c>
      <c r="I325" s="263" t="str">
        <f t="shared" ref="I325:I360" si="38">MIDB($A$8, $B325+10, 5)</f>
        <v/>
      </c>
      <c r="J325" s="263" t="e">
        <f>VLOOKUP($I325,'RCLIPS수신(일사천리론)_최종'!$C:$F,2,0)</f>
        <v>#N/A</v>
      </c>
      <c r="K325" s="263" t="e">
        <f>VLOOKUP($I325,'RCLIPS수신(일사천리론)_최종'!$C:$F,3,0)</f>
        <v>#N/A</v>
      </c>
      <c r="L325" s="263" t="e">
        <f>VLOOKUP($I325,'RCLIPS수신(일사천리론)_최종'!$C:$F,4,0)</f>
        <v>#N/A</v>
      </c>
      <c r="M325" s="263" t="str">
        <f t="shared" ref="M325:M360" si="39">MIDB($A$8, $C325+10, 15)</f>
        <v/>
      </c>
    </row>
    <row r="326" spans="2:13">
      <c r="B326" s="429">
        <f t="shared" si="36"/>
        <v>6461</v>
      </c>
      <c r="C326" s="429">
        <f t="shared" si="37"/>
        <v>6466</v>
      </c>
      <c r="D326" s="430" t="str">
        <f t="shared" si="34"/>
        <v>A8011</v>
      </c>
      <c r="E326" s="430" t="str">
        <f>VLOOKUP(D326,'RCLIPS송신(일사천리론)_최종'!$B:$E,4,0)</f>
        <v>이지신용대출출기간_C9산출</v>
      </c>
      <c r="F326" s="430">
        <f>VLOOKUP(D326,'RCLIPS송신(일사천리론)_최종'!$B:$D,2,0)</f>
        <v>0</v>
      </c>
      <c r="G326" s="430">
        <f>VLOOKUP($D326,'RCLIPS송신(일사천리론)_최종'!$B:$D,3,0)</f>
        <v>0</v>
      </c>
      <c r="H326" s="430" t="str">
        <f t="shared" si="35"/>
        <v>000000000000000</v>
      </c>
      <c r="I326" s="263" t="str">
        <f t="shared" si="38"/>
        <v/>
      </c>
      <c r="J326" s="263" t="e">
        <f>VLOOKUP($I326,'RCLIPS수신(일사천리론)_최종'!$C:$F,2,0)</f>
        <v>#N/A</v>
      </c>
      <c r="K326" s="263" t="e">
        <f>VLOOKUP($I326,'RCLIPS수신(일사천리론)_최종'!$C:$F,3,0)</f>
        <v>#N/A</v>
      </c>
      <c r="L326" s="263" t="e">
        <f>VLOOKUP($I326,'RCLIPS수신(일사천리론)_최종'!$C:$F,4,0)</f>
        <v>#N/A</v>
      </c>
      <c r="M326" s="263" t="str">
        <f t="shared" si="39"/>
        <v/>
      </c>
    </row>
    <row r="327" spans="2:13">
      <c r="B327" s="429">
        <f t="shared" si="36"/>
        <v>6481</v>
      </c>
      <c r="C327" s="429">
        <f t="shared" si="37"/>
        <v>6486</v>
      </c>
      <c r="D327" s="430" t="str">
        <f t="shared" si="34"/>
        <v>A8012</v>
      </c>
      <c r="E327" s="430" t="str">
        <f>VLOOKUP(D327,'RCLIPS송신(일사천리론)_최종'!$B:$E,4,0)</f>
        <v>이지신용대출거치기간_C9산출</v>
      </c>
      <c r="F327" s="430">
        <f>VLOOKUP(D327,'RCLIPS송신(일사천리론)_최종'!$B:$D,2,0)</f>
        <v>0</v>
      </c>
      <c r="G327" s="430">
        <f>VLOOKUP($D327,'RCLIPS송신(일사천리론)_최종'!$B:$D,3,0)</f>
        <v>0</v>
      </c>
      <c r="H327" s="430" t="str">
        <f t="shared" si="35"/>
        <v>000000000000000</v>
      </c>
      <c r="I327" s="263" t="str">
        <f t="shared" si="38"/>
        <v/>
      </c>
      <c r="J327" s="263" t="e">
        <f>VLOOKUP($I327,'RCLIPS수신(일사천리론)_최종'!$C:$F,2,0)</f>
        <v>#N/A</v>
      </c>
      <c r="K327" s="263" t="e">
        <f>VLOOKUP($I327,'RCLIPS수신(일사천리론)_최종'!$C:$F,3,0)</f>
        <v>#N/A</v>
      </c>
      <c r="L327" s="263" t="e">
        <f>VLOOKUP($I327,'RCLIPS수신(일사천리론)_최종'!$C:$F,4,0)</f>
        <v>#N/A</v>
      </c>
      <c r="M327" s="263" t="str">
        <f t="shared" si="39"/>
        <v/>
      </c>
    </row>
    <row r="328" spans="2:13">
      <c r="B328" s="429">
        <f t="shared" si="36"/>
        <v>6501</v>
      </c>
      <c r="C328" s="429">
        <f t="shared" si="37"/>
        <v>6506</v>
      </c>
      <c r="D328" s="430" t="str">
        <f t="shared" si="34"/>
        <v>A8013</v>
      </c>
      <c r="E328" s="430" t="str">
        <f>VLOOKUP(D328,'RCLIPS송신(일사천리론)_최종'!$B:$E,4,0)</f>
        <v>이지신용대출금리코드_C9산출</v>
      </c>
      <c r="F328" s="430">
        <f>VLOOKUP(D328,'RCLIPS송신(일사천리론)_최종'!$B:$D,2,0)</f>
        <v>0</v>
      </c>
      <c r="G328" s="430">
        <f>VLOOKUP($D328,'RCLIPS송신(일사천리론)_최종'!$B:$D,3,0)</f>
        <v>0</v>
      </c>
      <c r="H328" s="430" t="str">
        <f t="shared" si="35"/>
        <v xml:space="preserve">               </v>
      </c>
      <c r="I328" s="263" t="str">
        <f t="shared" si="38"/>
        <v/>
      </c>
      <c r="J328" s="263" t="e">
        <f>VLOOKUP($I328,'RCLIPS수신(일사천리론)_최종'!$C:$F,2,0)</f>
        <v>#N/A</v>
      </c>
      <c r="K328" s="263" t="e">
        <f>VLOOKUP($I328,'RCLIPS수신(일사천리론)_최종'!$C:$F,3,0)</f>
        <v>#N/A</v>
      </c>
      <c r="L328" s="263" t="e">
        <f>VLOOKUP($I328,'RCLIPS수신(일사천리론)_최종'!$C:$F,4,0)</f>
        <v>#N/A</v>
      </c>
      <c r="M328" s="263" t="str">
        <f t="shared" si="39"/>
        <v/>
      </c>
    </row>
    <row r="329" spans="2:13">
      <c r="B329" s="429">
        <f t="shared" si="36"/>
        <v>6521</v>
      </c>
      <c r="C329" s="429">
        <f t="shared" si="37"/>
        <v>6526</v>
      </c>
      <c r="D329" s="430" t="str">
        <f t="shared" si="34"/>
        <v>A8014</v>
      </c>
      <c r="E329" s="430" t="str">
        <f>VLOOKUP(D329,'RCLIPS송신(일사천리론)_최종'!$B:$E,4,0)</f>
        <v>이지신용대출이율_C9산출</v>
      </c>
      <c r="F329" s="430">
        <f>VLOOKUP(D329,'RCLIPS송신(일사천리론)_최종'!$B:$D,2,0)</f>
        <v>0</v>
      </c>
      <c r="G329" s="430">
        <f>VLOOKUP($D329,'RCLIPS송신(일사천리론)_최종'!$B:$D,3,0)</f>
        <v>0</v>
      </c>
      <c r="H329" s="430" t="str">
        <f t="shared" si="35"/>
        <v>000000000000000</v>
      </c>
      <c r="I329" s="263" t="str">
        <f t="shared" si="38"/>
        <v/>
      </c>
      <c r="J329" s="263" t="e">
        <f>VLOOKUP($I329,'RCLIPS수신(일사천리론)_최종'!$C:$F,2,0)</f>
        <v>#N/A</v>
      </c>
      <c r="K329" s="263" t="e">
        <f>VLOOKUP($I329,'RCLIPS수신(일사천리론)_최종'!$C:$F,3,0)</f>
        <v>#N/A</v>
      </c>
      <c r="L329" s="263" t="e">
        <f>VLOOKUP($I329,'RCLIPS수신(일사천리론)_최종'!$C:$F,4,0)</f>
        <v>#N/A</v>
      </c>
      <c r="M329" s="263" t="str">
        <f t="shared" si="39"/>
        <v/>
      </c>
    </row>
    <row r="330" spans="2:13">
      <c r="B330" s="429">
        <f t="shared" si="36"/>
        <v>6541</v>
      </c>
      <c r="C330" s="429">
        <f t="shared" si="37"/>
        <v>6546</v>
      </c>
      <c r="D330" s="430" t="str">
        <f t="shared" si="34"/>
        <v>A8015</v>
      </c>
      <c r="E330" s="430" t="str">
        <f>VLOOKUP(D330,'RCLIPS송신(일사천리론)_최종'!$B:$E,4,0)</f>
        <v>이지신용대출탈락대상_C9산출</v>
      </c>
      <c r="F330" s="430">
        <f>VLOOKUP(D330,'RCLIPS송신(일사천리론)_최종'!$B:$D,2,0)</f>
        <v>0</v>
      </c>
      <c r="G330" s="430">
        <f>VLOOKUP($D330,'RCLIPS송신(일사천리론)_최종'!$B:$D,3,0)</f>
        <v>0</v>
      </c>
      <c r="H330" s="430" t="str">
        <f t="shared" si="35"/>
        <v xml:space="preserve">               </v>
      </c>
      <c r="I330" s="263" t="str">
        <f t="shared" si="38"/>
        <v/>
      </c>
      <c r="J330" s="263" t="e">
        <f>VLOOKUP($I330,'RCLIPS수신(일사천리론)_최종'!$C:$F,2,0)</f>
        <v>#N/A</v>
      </c>
      <c r="K330" s="263" t="e">
        <f>VLOOKUP($I330,'RCLIPS수신(일사천리론)_최종'!$C:$F,3,0)</f>
        <v>#N/A</v>
      </c>
      <c r="L330" s="263" t="e">
        <f>VLOOKUP($I330,'RCLIPS수신(일사천리론)_최종'!$C:$F,4,0)</f>
        <v>#N/A</v>
      </c>
      <c r="M330" s="263" t="str">
        <f t="shared" si="39"/>
        <v/>
      </c>
    </row>
    <row r="331" spans="2:13">
      <c r="B331" s="429">
        <f t="shared" si="36"/>
        <v>6561</v>
      </c>
      <c r="C331" s="429">
        <f t="shared" si="37"/>
        <v>6566</v>
      </c>
      <c r="D331" s="430" t="str">
        <f t="shared" si="34"/>
        <v>A8016</v>
      </c>
      <c r="E331" s="430" t="str">
        <f>VLOOKUP(D331,'RCLIPS송신(일사천리론)_최종'!$B:$E,4,0)</f>
        <v>이지신용DSR추정최대소득금액_C9산출</v>
      </c>
      <c r="F331" s="430">
        <f>VLOOKUP(D331,'RCLIPS송신(일사천리론)_최종'!$B:$D,2,0)</f>
        <v>0</v>
      </c>
      <c r="G331" s="430">
        <f>VLOOKUP($D331,'RCLIPS송신(일사천리론)_최종'!$B:$D,3,0)</f>
        <v>0</v>
      </c>
      <c r="H331" s="430" t="str">
        <f t="shared" si="35"/>
        <v>000000000000000</v>
      </c>
      <c r="I331" s="263" t="str">
        <f t="shared" si="38"/>
        <v/>
      </c>
      <c r="J331" s="263" t="e">
        <f>VLOOKUP($I331,'RCLIPS수신(일사천리론)_최종'!$C:$F,2,0)</f>
        <v>#N/A</v>
      </c>
      <c r="K331" s="263" t="e">
        <f>VLOOKUP($I331,'RCLIPS수신(일사천리론)_최종'!$C:$F,3,0)</f>
        <v>#N/A</v>
      </c>
      <c r="L331" s="263" t="e">
        <f>VLOOKUP($I331,'RCLIPS수신(일사천리론)_최종'!$C:$F,4,0)</f>
        <v>#N/A</v>
      </c>
      <c r="M331" s="263" t="str">
        <f t="shared" si="39"/>
        <v/>
      </c>
    </row>
    <row r="332" spans="2:13">
      <c r="B332" s="429">
        <f t="shared" si="36"/>
        <v>6581</v>
      </c>
      <c r="C332" s="429">
        <f t="shared" si="37"/>
        <v>6586</v>
      </c>
      <c r="D332" s="430" t="str">
        <f t="shared" si="34"/>
        <v>A8017</v>
      </c>
      <c r="E332" s="430" t="str">
        <f>VLOOKUP(D332,'RCLIPS송신(일사천리론)_최종'!$B:$E,4,0)</f>
        <v>이지신용스트레스DSR사용구분_C9산출</v>
      </c>
      <c r="F332" s="430">
        <f>VLOOKUP(D332,'RCLIPS송신(일사천리론)_최종'!$B:$D,2,0)</f>
        <v>0</v>
      </c>
      <c r="G332" s="430">
        <f>VLOOKUP($D332,'RCLIPS송신(일사천리론)_최종'!$B:$D,3,0)</f>
        <v>0</v>
      </c>
      <c r="H332" s="430" t="str">
        <f t="shared" si="35"/>
        <v xml:space="preserve">               </v>
      </c>
      <c r="I332" s="263" t="str">
        <f t="shared" si="38"/>
        <v/>
      </c>
      <c r="J332" s="263" t="e">
        <f>VLOOKUP($I332,'RCLIPS수신(일사천리론)_최종'!$C:$F,2,0)</f>
        <v>#N/A</v>
      </c>
      <c r="K332" s="263" t="e">
        <f>VLOOKUP($I332,'RCLIPS수신(일사천리론)_최종'!$C:$F,3,0)</f>
        <v>#N/A</v>
      </c>
      <c r="L332" s="263" t="e">
        <f>VLOOKUP($I332,'RCLIPS수신(일사천리론)_최종'!$C:$F,4,0)</f>
        <v>#N/A</v>
      </c>
      <c r="M332" s="263" t="str">
        <f t="shared" si="39"/>
        <v/>
      </c>
    </row>
    <row r="333" spans="2:13">
      <c r="B333" s="429">
        <f t="shared" si="36"/>
        <v>6601</v>
      </c>
      <c r="C333" s="429">
        <f t="shared" si="37"/>
        <v>6606</v>
      </c>
      <c r="D333" s="430" t="str">
        <f t="shared" si="34"/>
        <v>B2001</v>
      </c>
      <c r="E333" s="430" t="str">
        <f>VLOOKUP(D333,'RCLIPS송신(일사천리론)_최종'!$B:$E,4,0)</f>
        <v>카드최장연체일수1년</v>
      </c>
      <c r="F333" s="430">
        <f>VLOOKUP(D333,'RCLIPS송신(일사천리론)_최종'!$B:$D,2,0)</f>
        <v>0</v>
      </c>
      <c r="G333" s="430">
        <f>VLOOKUP($D333,'RCLIPS송신(일사천리론)_최종'!$B:$D,3,0)</f>
        <v>0</v>
      </c>
      <c r="H333" s="430" t="str">
        <f t="shared" si="35"/>
        <v>000000000000000</v>
      </c>
      <c r="I333" s="263" t="str">
        <f t="shared" si="38"/>
        <v/>
      </c>
      <c r="J333" s="263" t="e">
        <f>VLOOKUP($I333,'RCLIPS수신(일사천리론)_최종'!$C:$F,2,0)</f>
        <v>#N/A</v>
      </c>
      <c r="K333" s="263" t="e">
        <f>VLOOKUP($I333,'RCLIPS수신(일사천리론)_최종'!$C:$F,3,0)</f>
        <v>#N/A</v>
      </c>
      <c r="L333" s="263" t="e">
        <f>VLOOKUP($I333,'RCLIPS수신(일사천리론)_최종'!$C:$F,4,0)</f>
        <v>#N/A</v>
      </c>
      <c r="M333" s="263" t="str">
        <f t="shared" si="39"/>
        <v/>
      </c>
    </row>
    <row r="334" spans="2:13">
      <c r="B334" s="429">
        <f t="shared" si="36"/>
        <v>6621</v>
      </c>
      <c r="C334" s="429">
        <f t="shared" si="37"/>
        <v>6626</v>
      </c>
      <c r="D334" s="430" t="str">
        <f t="shared" si="34"/>
        <v>B2002</v>
      </c>
      <c r="E334" s="430" t="str">
        <f>VLOOKUP(D334,'RCLIPS송신(일사천리론)_최종'!$B:$E,4,0)</f>
        <v>카드론연체해제후경과월수3년</v>
      </c>
      <c r="F334" s="430">
        <f>VLOOKUP(D334,'RCLIPS송신(일사천리론)_최종'!$B:$D,2,0)</f>
        <v>0</v>
      </c>
      <c r="G334" s="430">
        <f>VLOOKUP($D334,'RCLIPS송신(일사천리론)_최종'!$B:$D,3,0)</f>
        <v>0</v>
      </c>
      <c r="H334" s="430" t="str">
        <f t="shared" si="35"/>
        <v>000000000000000</v>
      </c>
      <c r="I334" s="263" t="str">
        <f t="shared" si="38"/>
        <v/>
      </c>
      <c r="J334" s="263" t="e">
        <f>VLOOKUP($I334,'RCLIPS수신(일사천리론)_최종'!$C:$F,2,0)</f>
        <v>#N/A</v>
      </c>
      <c r="K334" s="263" t="e">
        <f>VLOOKUP($I334,'RCLIPS수신(일사천리론)_최종'!$C:$F,3,0)</f>
        <v>#N/A</v>
      </c>
      <c r="L334" s="263" t="e">
        <f>VLOOKUP($I334,'RCLIPS수신(일사천리론)_최종'!$C:$F,4,0)</f>
        <v>#N/A</v>
      </c>
      <c r="M334" s="263" t="str">
        <f t="shared" si="39"/>
        <v/>
      </c>
    </row>
    <row r="335" spans="2:13">
      <c r="B335" s="429">
        <f t="shared" si="36"/>
        <v>6641</v>
      </c>
      <c r="C335" s="429">
        <f t="shared" si="37"/>
        <v>6646</v>
      </c>
      <c r="D335" s="430" t="str">
        <f t="shared" si="34"/>
        <v>B2003</v>
      </c>
      <c r="E335" s="430" t="str">
        <f>VLOOKUP(D335,'RCLIPS송신(일사천리론)_최종'!$B:$E,4,0)</f>
        <v>카드론합계연체일수1월</v>
      </c>
      <c r="F335" s="430">
        <f>VLOOKUP(D335,'RCLIPS송신(일사천리론)_최종'!$B:$D,2,0)</f>
        <v>0</v>
      </c>
      <c r="G335" s="430">
        <f>VLOOKUP($D335,'RCLIPS송신(일사천리론)_최종'!$B:$D,3,0)</f>
        <v>0</v>
      </c>
      <c r="H335" s="430" t="str">
        <f t="shared" si="35"/>
        <v>000000000000000</v>
      </c>
      <c r="I335" s="263" t="str">
        <f t="shared" si="38"/>
        <v/>
      </c>
      <c r="J335" s="263" t="e">
        <f>VLOOKUP($I335,'RCLIPS수신(일사천리론)_최종'!$C:$F,2,0)</f>
        <v>#N/A</v>
      </c>
      <c r="K335" s="263" t="e">
        <f>VLOOKUP($I335,'RCLIPS수신(일사천리론)_최종'!$C:$F,3,0)</f>
        <v>#N/A</v>
      </c>
      <c r="L335" s="263" t="e">
        <f>VLOOKUP($I335,'RCLIPS수신(일사천리론)_최종'!$C:$F,4,0)</f>
        <v>#N/A</v>
      </c>
      <c r="M335" s="263" t="str">
        <f t="shared" si="39"/>
        <v/>
      </c>
    </row>
    <row r="336" spans="2:13">
      <c r="B336" s="429">
        <f t="shared" si="36"/>
        <v>6661</v>
      </c>
      <c r="C336" s="429">
        <f t="shared" si="37"/>
        <v>6666</v>
      </c>
      <c r="D336" s="430" t="str">
        <f t="shared" si="34"/>
        <v>B2004</v>
      </c>
      <c r="E336" s="430" t="str">
        <f>VLOOKUP(D336,'RCLIPS송신(일사천리론)_최종'!$B:$E,4,0)</f>
        <v>신용카드최근1개월한도소진율</v>
      </c>
      <c r="F336" s="430">
        <f>VLOOKUP(D336,'RCLIPS송신(일사천리론)_최종'!$B:$D,2,0)</f>
        <v>0</v>
      </c>
      <c r="G336" s="430">
        <f>VLOOKUP($D336,'RCLIPS송신(일사천리론)_최종'!$B:$D,3,0)</f>
        <v>0</v>
      </c>
      <c r="H336" s="430" t="str">
        <f t="shared" si="35"/>
        <v>000000000000000</v>
      </c>
      <c r="I336" s="263" t="str">
        <f t="shared" si="38"/>
        <v/>
      </c>
      <c r="J336" s="263" t="e">
        <f>VLOOKUP($I336,'RCLIPS수신(일사천리론)_최종'!$C:$F,2,0)</f>
        <v>#N/A</v>
      </c>
      <c r="K336" s="263" t="e">
        <f>VLOOKUP($I336,'RCLIPS수신(일사천리론)_최종'!$C:$F,3,0)</f>
        <v>#N/A</v>
      </c>
      <c r="L336" s="263" t="e">
        <f>VLOOKUP($I336,'RCLIPS수신(일사천리론)_최종'!$C:$F,4,0)</f>
        <v>#N/A</v>
      </c>
      <c r="M336" s="263" t="str">
        <f t="shared" si="39"/>
        <v/>
      </c>
    </row>
    <row r="337" spans="2:13">
      <c r="B337" s="429">
        <f t="shared" si="36"/>
        <v>6681</v>
      </c>
      <c r="C337" s="429">
        <f t="shared" si="37"/>
        <v>6686</v>
      </c>
      <c r="D337" s="430" t="str">
        <f t="shared" si="34"/>
        <v>B2005</v>
      </c>
      <c r="E337" s="430" t="str">
        <f>VLOOKUP(D337,'RCLIPS송신(일사천리론)_최종'!$B:$E,4,0)</f>
        <v>은행급여이체금액3개월합계</v>
      </c>
      <c r="F337" s="430">
        <f>VLOOKUP(D337,'RCLIPS송신(일사천리론)_최종'!$B:$D,2,0)</f>
        <v>0</v>
      </c>
      <c r="G337" s="430">
        <f>VLOOKUP($D337,'RCLIPS송신(일사천리론)_최종'!$B:$D,3,0)</f>
        <v>0</v>
      </c>
      <c r="H337" s="430" t="str">
        <f t="shared" si="35"/>
        <v>000000000000000</v>
      </c>
      <c r="I337" s="263" t="str">
        <f t="shared" si="38"/>
        <v/>
      </c>
      <c r="J337" s="263" t="e">
        <f>VLOOKUP($I337,'RCLIPS수신(일사천리론)_최종'!$C:$F,2,0)</f>
        <v>#N/A</v>
      </c>
      <c r="K337" s="263" t="e">
        <f>VLOOKUP($I337,'RCLIPS수신(일사천리론)_최종'!$C:$F,3,0)</f>
        <v>#N/A</v>
      </c>
      <c r="L337" s="263" t="e">
        <f>VLOOKUP($I337,'RCLIPS수신(일사천리론)_최종'!$C:$F,4,0)</f>
        <v>#N/A</v>
      </c>
      <c r="M337" s="263" t="str">
        <f t="shared" si="39"/>
        <v/>
      </c>
    </row>
    <row r="338" spans="2:13">
      <c r="B338" s="429">
        <f t="shared" si="36"/>
        <v>6701</v>
      </c>
      <c r="C338" s="429">
        <f t="shared" si="37"/>
        <v>6706</v>
      </c>
      <c r="D338" s="430" t="str">
        <f t="shared" si="34"/>
        <v>B2006</v>
      </c>
      <c r="E338" s="430" t="str">
        <f>VLOOKUP(D338,'RCLIPS송신(일사천리론)_최종'!$B:$E,4,0)</f>
        <v>은행저축성평잔1개월신탁등포함</v>
      </c>
      <c r="F338" s="430">
        <f>VLOOKUP(D338,'RCLIPS송신(일사천리론)_최종'!$B:$D,2,0)</f>
        <v>0</v>
      </c>
      <c r="G338" s="430">
        <f>VLOOKUP($D338,'RCLIPS송신(일사천리론)_최종'!$B:$D,3,0)</f>
        <v>0</v>
      </c>
      <c r="H338" s="430" t="str">
        <f t="shared" si="35"/>
        <v>000000000000000</v>
      </c>
      <c r="I338" s="263" t="str">
        <f t="shared" si="38"/>
        <v/>
      </c>
      <c r="J338" s="263" t="e">
        <f>VLOOKUP($I338,'RCLIPS수신(일사천리론)_최종'!$C:$F,2,0)</f>
        <v>#N/A</v>
      </c>
      <c r="K338" s="263" t="e">
        <f>VLOOKUP($I338,'RCLIPS수신(일사천리론)_최종'!$C:$F,3,0)</f>
        <v>#N/A</v>
      </c>
      <c r="L338" s="263" t="e">
        <f>VLOOKUP($I338,'RCLIPS수신(일사천리론)_최종'!$C:$F,4,0)</f>
        <v>#N/A</v>
      </c>
      <c r="M338" s="263" t="str">
        <f t="shared" si="39"/>
        <v/>
      </c>
    </row>
    <row r="339" spans="2:13">
      <c r="B339" s="429">
        <f t="shared" si="36"/>
        <v>6721</v>
      </c>
      <c r="C339" s="429">
        <f t="shared" si="37"/>
        <v>6726</v>
      </c>
      <c r="D339" s="430" t="str">
        <f t="shared" si="34"/>
        <v>B2007</v>
      </c>
      <c r="E339" s="430" t="str">
        <f>VLOOKUP(D339,'RCLIPS송신(일사천리론)_최종'!$B:$E,4,0)</f>
        <v>비은행총수신평잔1개월신탁등포함</v>
      </c>
      <c r="F339" s="430">
        <f>VLOOKUP(D339,'RCLIPS송신(일사천리론)_최종'!$B:$D,2,0)</f>
        <v>0</v>
      </c>
      <c r="G339" s="430">
        <f>VLOOKUP($D339,'RCLIPS송신(일사천리론)_최종'!$B:$D,3,0)</f>
        <v>0</v>
      </c>
      <c r="H339" s="430" t="str">
        <f t="shared" si="35"/>
        <v>000000000000000</v>
      </c>
      <c r="I339" s="263" t="str">
        <f t="shared" si="38"/>
        <v/>
      </c>
      <c r="J339" s="263" t="e">
        <f>VLOOKUP($I339,'RCLIPS수신(일사천리론)_최종'!$C:$F,2,0)</f>
        <v>#N/A</v>
      </c>
      <c r="K339" s="263" t="e">
        <f>VLOOKUP($I339,'RCLIPS수신(일사천리론)_최종'!$C:$F,3,0)</f>
        <v>#N/A</v>
      </c>
      <c r="L339" s="263" t="e">
        <f>VLOOKUP($I339,'RCLIPS수신(일사천리론)_최종'!$C:$F,4,0)</f>
        <v>#N/A</v>
      </c>
      <c r="M339" s="263" t="str">
        <f t="shared" si="39"/>
        <v/>
      </c>
    </row>
    <row r="340" spans="2:13">
      <c r="B340" s="429">
        <f t="shared" si="36"/>
        <v>6741</v>
      </c>
      <c r="C340" s="429">
        <f t="shared" si="37"/>
        <v>6746</v>
      </c>
      <c r="D340" s="430" t="str">
        <f t="shared" si="34"/>
        <v>B2008</v>
      </c>
      <c r="E340" s="430" t="str">
        <f>VLOOKUP(D340,'RCLIPS송신(일사천리론)_최종'!$B:$E,4,0)</f>
        <v>최근6개월평균할부금액</v>
      </c>
      <c r="F340" s="430">
        <f>VLOOKUP(D340,'RCLIPS송신(일사천리론)_최종'!$B:$D,2,0)</f>
        <v>0</v>
      </c>
      <c r="G340" s="430">
        <f>VLOOKUP($D340,'RCLIPS송신(일사천리론)_최종'!$B:$D,3,0)</f>
        <v>0</v>
      </c>
      <c r="H340" s="430" t="str">
        <f t="shared" si="35"/>
        <v>000000000000000</v>
      </c>
      <c r="I340" s="263" t="str">
        <f t="shared" si="38"/>
        <v/>
      </c>
      <c r="J340" s="263" t="e">
        <f>VLOOKUP($I340,'RCLIPS수신(일사천리론)_최종'!$C:$F,2,0)</f>
        <v>#N/A</v>
      </c>
      <c r="K340" s="263" t="e">
        <f>VLOOKUP($I340,'RCLIPS수신(일사천리론)_최종'!$C:$F,3,0)</f>
        <v>#N/A</v>
      </c>
      <c r="L340" s="263" t="e">
        <f>VLOOKUP($I340,'RCLIPS수신(일사천리론)_최종'!$C:$F,4,0)</f>
        <v>#N/A</v>
      </c>
      <c r="M340" s="263" t="str">
        <f t="shared" si="39"/>
        <v/>
      </c>
    </row>
    <row r="341" spans="2:13">
      <c r="B341" s="429">
        <f t="shared" si="36"/>
        <v>6761</v>
      </c>
      <c r="C341" s="429">
        <f t="shared" si="37"/>
        <v>6766</v>
      </c>
      <c r="D341" s="430" t="str">
        <f t="shared" si="34"/>
        <v>B2009</v>
      </c>
      <c r="E341" s="430" t="str">
        <f>VLOOKUP(D341,'RCLIPS송신(일사천리론)_최종'!$B:$E,4,0)</f>
        <v>업종3최근6개월카드총이용건수비율체크포함CA제외</v>
      </c>
      <c r="F341" s="430">
        <f>VLOOKUP(D341,'RCLIPS송신(일사천리론)_최종'!$B:$D,2,0)</f>
        <v>0</v>
      </c>
      <c r="G341" s="430">
        <f>VLOOKUP($D341,'RCLIPS송신(일사천리론)_최종'!$B:$D,3,0)</f>
        <v>0</v>
      </c>
      <c r="H341" s="430" t="str">
        <f t="shared" si="35"/>
        <v>000000000000000</v>
      </c>
      <c r="I341" s="263" t="str">
        <f t="shared" si="38"/>
        <v/>
      </c>
      <c r="J341" s="263" t="e">
        <f>VLOOKUP($I341,'RCLIPS수신(일사천리론)_최종'!$C:$F,2,0)</f>
        <v>#N/A</v>
      </c>
      <c r="K341" s="263" t="e">
        <f>VLOOKUP($I341,'RCLIPS수신(일사천리론)_최종'!$C:$F,3,0)</f>
        <v>#N/A</v>
      </c>
      <c r="L341" s="263" t="e">
        <f>VLOOKUP($I341,'RCLIPS수신(일사천리론)_최종'!$C:$F,4,0)</f>
        <v>#N/A</v>
      </c>
      <c r="M341" s="263" t="str">
        <f t="shared" si="39"/>
        <v/>
      </c>
    </row>
    <row r="342" spans="2:13">
      <c r="B342" s="429">
        <f t="shared" si="36"/>
        <v>6781</v>
      </c>
      <c r="C342" s="429">
        <f t="shared" si="37"/>
        <v>6786</v>
      </c>
      <c r="D342" s="430" t="str">
        <f t="shared" si="34"/>
        <v>B2010</v>
      </c>
      <c r="E342" s="430" t="str">
        <f>VLOOKUP(D342,'RCLIPS송신(일사천리론)_최종'!$B:$E,4,0)</f>
        <v>최근1개월현금서비스이용금액</v>
      </c>
      <c r="F342" s="430">
        <f>VLOOKUP(D342,'RCLIPS송신(일사천리론)_최종'!$B:$D,2,0)</f>
        <v>0</v>
      </c>
      <c r="G342" s="430">
        <f>VLOOKUP($D342,'RCLIPS송신(일사천리론)_최종'!$B:$D,3,0)</f>
        <v>0</v>
      </c>
      <c r="H342" s="430" t="str">
        <f t="shared" si="35"/>
        <v>000000000000000</v>
      </c>
      <c r="I342" s="263" t="str">
        <f t="shared" si="38"/>
        <v/>
      </c>
      <c r="J342" s="263" t="e">
        <f>VLOOKUP($I342,'RCLIPS수신(일사천리론)_최종'!$C:$F,2,0)</f>
        <v>#N/A</v>
      </c>
      <c r="K342" s="263" t="e">
        <f>VLOOKUP($I342,'RCLIPS수신(일사천리론)_최종'!$C:$F,3,0)</f>
        <v>#N/A</v>
      </c>
      <c r="L342" s="263" t="e">
        <f>VLOOKUP($I342,'RCLIPS수신(일사천리론)_최종'!$C:$F,4,0)</f>
        <v>#N/A</v>
      </c>
      <c r="M342" s="263" t="str">
        <f t="shared" si="39"/>
        <v/>
      </c>
    </row>
    <row r="343" spans="2:13">
      <c r="B343" s="429">
        <f t="shared" si="36"/>
        <v>6801</v>
      </c>
      <c r="C343" s="429">
        <f t="shared" si="37"/>
        <v>6806</v>
      </c>
      <c r="D343" s="430" t="str">
        <f t="shared" si="34"/>
        <v>B2011</v>
      </c>
      <c r="E343" s="430" t="str">
        <f>VLOOKUP(D343,'RCLIPS송신(일사천리론)_최종'!$B:$E,4,0)</f>
        <v>최근3개월평균할부금액</v>
      </c>
      <c r="F343" s="430">
        <f>VLOOKUP(D343,'RCLIPS송신(일사천리론)_최종'!$B:$D,2,0)</f>
        <v>0</v>
      </c>
      <c r="G343" s="430">
        <f>VLOOKUP($D343,'RCLIPS송신(일사천리론)_최종'!$B:$D,3,0)</f>
        <v>0</v>
      </c>
      <c r="H343" s="430" t="str">
        <f t="shared" si="35"/>
        <v>000000000000000</v>
      </c>
      <c r="I343" s="263" t="str">
        <f t="shared" si="38"/>
        <v/>
      </c>
      <c r="J343" s="263" t="e">
        <f>VLOOKUP($I343,'RCLIPS수신(일사천리론)_최종'!$C:$F,2,0)</f>
        <v>#N/A</v>
      </c>
      <c r="K343" s="263" t="e">
        <f>VLOOKUP($I343,'RCLIPS수신(일사천리론)_최종'!$C:$F,3,0)</f>
        <v>#N/A</v>
      </c>
      <c r="L343" s="263" t="e">
        <f>VLOOKUP($I343,'RCLIPS수신(일사천리론)_최종'!$C:$F,4,0)</f>
        <v>#N/A</v>
      </c>
      <c r="M343" s="263" t="str">
        <f t="shared" si="39"/>
        <v/>
      </c>
    </row>
    <row r="344" spans="2:13">
      <c r="B344" s="429">
        <f t="shared" si="36"/>
        <v>6821</v>
      </c>
      <c r="C344" s="429">
        <f t="shared" si="37"/>
        <v>6826</v>
      </c>
      <c r="D344" s="430" t="str">
        <f t="shared" si="34"/>
        <v>B2012</v>
      </c>
      <c r="E344" s="430" t="str">
        <f>VLOOKUP(D344,'RCLIPS송신(일사천리론)_최종'!$B:$E,4,0)</f>
        <v>최근1개월현금서비스이용건수</v>
      </c>
      <c r="F344" s="430">
        <f>VLOOKUP(D344,'RCLIPS송신(일사천리론)_최종'!$B:$D,2,0)</f>
        <v>0</v>
      </c>
      <c r="G344" s="430">
        <f>VLOOKUP($D344,'RCLIPS송신(일사천리론)_최종'!$B:$D,3,0)</f>
        <v>0</v>
      </c>
      <c r="H344" s="430" t="str">
        <f t="shared" si="35"/>
        <v>000000000000000</v>
      </c>
      <c r="I344" s="263" t="str">
        <f t="shared" si="38"/>
        <v/>
      </c>
      <c r="J344" s="263" t="e">
        <f>VLOOKUP($I344,'RCLIPS수신(일사천리론)_최종'!$C:$F,2,0)</f>
        <v>#N/A</v>
      </c>
      <c r="K344" s="263" t="e">
        <f>VLOOKUP($I344,'RCLIPS수신(일사천리론)_최종'!$C:$F,3,0)</f>
        <v>#N/A</v>
      </c>
      <c r="L344" s="263" t="e">
        <f>VLOOKUP($I344,'RCLIPS수신(일사천리론)_최종'!$C:$F,4,0)</f>
        <v>#N/A</v>
      </c>
      <c r="M344" s="263" t="str">
        <f t="shared" si="39"/>
        <v/>
      </c>
    </row>
    <row r="345" spans="2:13">
      <c r="B345" s="429">
        <f t="shared" si="36"/>
        <v>6841</v>
      </c>
      <c r="C345" s="429">
        <f t="shared" si="37"/>
        <v>6846</v>
      </c>
      <c r="D345" s="430" t="str">
        <f t="shared" si="34"/>
        <v>A2068</v>
      </c>
      <c r="E345" s="430" t="str">
        <f>VLOOKUP(D345,'RCLIPS송신(일사천리론)_최종'!$B:$E,4,0)</f>
        <v>이지론탈락사유내용</v>
      </c>
      <c r="F345" s="430" t="str">
        <f>VLOOKUP(D345,'RCLIPS송신(일사천리론)_최종'!$B:$D,2,0)</f>
        <v>S</v>
      </c>
      <c r="G345" s="430" t="str">
        <f>VLOOKUP($D345,'RCLIPS송신(일사천리론)_최종'!$B:$D,3,0)</f>
        <v>15</v>
      </c>
      <c r="H345" s="430" t="str">
        <f t="shared" si="35"/>
        <v xml:space="preserve">               </v>
      </c>
      <c r="I345" s="263" t="str">
        <f t="shared" si="38"/>
        <v/>
      </c>
      <c r="J345" s="263" t="e">
        <f>VLOOKUP($I345,'RCLIPS수신(일사천리론)_최종'!$C:$F,2,0)</f>
        <v>#N/A</v>
      </c>
      <c r="K345" s="263" t="e">
        <f>VLOOKUP($I345,'RCLIPS수신(일사천리론)_최종'!$C:$F,3,0)</f>
        <v>#N/A</v>
      </c>
      <c r="L345" s="263" t="e">
        <f>VLOOKUP($I345,'RCLIPS수신(일사천리론)_최종'!$C:$F,4,0)</f>
        <v>#N/A</v>
      </c>
      <c r="M345" s="263" t="str">
        <f t="shared" si="39"/>
        <v/>
      </c>
    </row>
    <row r="346" spans="2:13">
      <c r="B346" s="429">
        <f t="shared" si="36"/>
        <v>6861</v>
      </c>
      <c r="C346" s="429">
        <f t="shared" si="37"/>
        <v>6866</v>
      </c>
      <c r="D346" s="430" t="str">
        <f t="shared" si="34"/>
        <v>A2073</v>
      </c>
      <c r="E346" s="430" t="str">
        <f>VLOOKUP(D346,'RCLIPS송신(일사천리론)_최종'!$B:$E,4,0)</f>
        <v>이지론플러스탈락사유</v>
      </c>
      <c r="F346" s="430" t="str">
        <f>VLOOKUP(D346,'RCLIPS송신(일사천리론)_최종'!$B:$D,2,0)</f>
        <v>S</v>
      </c>
      <c r="G346" s="430" t="str">
        <f>VLOOKUP($D346,'RCLIPS송신(일사천리론)_최종'!$B:$D,3,0)</f>
        <v>60</v>
      </c>
      <c r="H346" s="430" t="str">
        <f t="shared" si="35"/>
        <v xml:space="preserve">               </v>
      </c>
      <c r="I346" s="263" t="str">
        <f t="shared" si="38"/>
        <v/>
      </c>
      <c r="J346" s="263" t="e">
        <f>VLOOKUP($I346,'RCLIPS수신(일사천리론)_최종'!$C:$F,2,0)</f>
        <v>#N/A</v>
      </c>
      <c r="K346" s="263" t="e">
        <f>VLOOKUP($I346,'RCLIPS수신(일사천리론)_최종'!$C:$F,3,0)</f>
        <v>#N/A</v>
      </c>
      <c r="L346" s="263" t="e">
        <f>VLOOKUP($I346,'RCLIPS수신(일사천리론)_최종'!$C:$F,4,0)</f>
        <v>#N/A</v>
      </c>
      <c r="M346" s="263" t="str">
        <f t="shared" si="39"/>
        <v/>
      </c>
    </row>
    <row r="347" spans="2:13">
      <c r="B347" s="429">
        <f t="shared" si="36"/>
        <v>6881</v>
      </c>
      <c r="C347" s="429">
        <f t="shared" si="37"/>
        <v>6886</v>
      </c>
      <c r="D347" s="430"/>
      <c r="E347" s="430"/>
      <c r="F347" s="430"/>
      <c r="G347" s="430"/>
      <c r="H347" s="430"/>
      <c r="I347" s="263" t="str">
        <f t="shared" si="38"/>
        <v/>
      </c>
      <c r="J347" s="263" t="e">
        <f>VLOOKUP($I347,'RCLIPS수신(일사천리론)_최종'!$C:$F,2,0)</f>
        <v>#N/A</v>
      </c>
      <c r="K347" s="263" t="e">
        <f>VLOOKUP($I347,'RCLIPS수신(일사천리론)_최종'!$C:$F,3,0)</f>
        <v>#N/A</v>
      </c>
      <c r="L347" s="263" t="e">
        <f>VLOOKUP($I347,'RCLIPS수신(일사천리론)_최종'!$C:$F,4,0)</f>
        <v>#N/A</v>
      </c>
      <c r="M347" s="263" t="str">
        <f t="shared" si="39"/>
        <v/>
      </c>
    </row>
    <row r="348" spans="2:13">
      <c r="B348" s="429">
        <f t="shared" si="36"/>
        <v>6901</v>
      </c>
      <c r="C348" s="429">
        <f t="shared" si="37"/>
        <v>6906</v>
      </c>
      <c r="D348" s="430"/>
      <c r="E348" s="430"/>
      <c r="F348" s="430"/>
      <c r="G348" s="430"/>
      <c r="H348" s="430"/>
      <c r="I348" s="263" t="str">
        <f t="shared" si="38"/>
        <v/>
      </c>
      <c r="J348" s="263" t="e">
        <f>VLOOKUP($I348,'RCLIPS수신(일사천리론)_최종'!$C:$F,2,0)</f>
        <v>#N/A</v>
      </c>
      <c r="K348" s="263" t="e">
        <f>VLOOKUP($I348,'RCLIPS수신(일사천리론)_최종'!$C:$F,3,0)</f>
        <v>#N/A</v>
      </c>
      <c r="L348" s="263" t="e">
        <f>VLOOKUP($I348,'RCLIPS수신(일사천리론)_최종'!$C:$F,4,0)</f>
        <v>#N/A</v>
      </c>
      <c r="M348" s="263" t="str">
        <f t="shared" si="39"/>
        <v/>
      </c>
    </row>
    <row r="349" spans="2:13">
      <c r="B349" s="429">
        <f t="shared" si="36"/>
        <v>6921</v>
      </c>
      <c r="C349" s="429">
        <f t="shared" si="37"/>
        <v>6926</v>
      </c>
      <c r="D349" s="430"/>
      <c r="E349" s="430"/>
      <c r="F349" s="430"/>
      <c r="G349" s="430"/>
      <c r="H349" s="430"/>
      <c r="I349" s="263" t="str">
        <f t="shared" si="38"/>
        <v/>
      </c>
      <c r="J349" s="263" t="e">
        <f>VLOOKUP($I349,'RCLIPS수신(일사천리론)_최종'!$C:$F,2,0)</f>
        <v>#N/A</v>
      </c>
      <c r="K349" s="263" t="e">
        <f>VLOOKUP($I349,'RCLIPS수신(일사천리론)_최종'!$C:$F,3,0)</f>
        <v>#N/A</v>
      </c>
      <c r="L349" s="263" t="e">
        <f>VLOOKUP($I349,'RCLIPS수신(일사천리론)_최종'!$C:$F,4,0)</f>
        <v>#N/A</v>
      </c>
      <c r="M349" s="263" t="str">
        <f t="shared" si="39"/>
        <v/>
      </c>
    </row>
    <row r="350" spans="2:13">
      <c r="B350" s="429">
        <f t="shared" si="36"/>
        <v>6941</v>
      </c>
      <c r="C350" s="429">
        <f t="shared" si="37"/>
        <v>6946</v>
      </c>
      <c r="D350" s="430"/>
      <c r="E350" s="430"/>
      <c r="F350" s="430"/>
      <c r="G350" s="430"/>
      <c r="H350" s="430"/>
      <c r="I350" s="263" t="str">
        <f t="shared" si="38"/>
        <v/>
      </c>
      <c r="J350" s="263" t="e">
        <f>VLOOKUP($I350,'RCLIPS수신(일사천리론)_최종'!$C:$F,2,0)</f>
        <v>#N/A</v>
      </c>
      <c r="K350" s="263" t="e">
        <f>VLOOKUP($I350,'RCLIPS수신(일사천리론)_최종'!$C:$F,3,0)</f>
        <v>#N/A</v>
      </c>
      <c r="L350" s="263" t="e">
        <f>VLOOKUP($I350,'RCLIPS수신(일사천리론)_최종'!$C:$F,4,0)</f>
        <v>#N/A</v>
      </c>
      <c r="M350" s="263" t="str">
        <f t="shared" si="39"/>
        <v/>
      </c>
    </row>
    <row r="351" spans="2:13">
      <c r="B351" s="429">
        <f t="shared" si="36"/>
        <v>6961</v>
      </c>
      <c r="C351" s="429">
        <f t="shared" si="37"/>
        <v>6966</v>
      </c>
      <c r="D351" s="430"/>
      <c r="E351" s="430"/>
      <c r="F351" s="430"/>
      <c r="G351" s="430"/>
      <c r="H351" s="430"/>
      <c r="I351" s="263" t="str">
        <f t="shared" si="38"/>
        <v/>
      </c>
      <c r="J351" s="263" t="e">
        <f>VLOOKUP($I351,'RCLIPS수신(일사천리론)_최종'!$C:$F,2,0)</f>
        <v>#N/A</v>
      </c>
      <c r="K351" s="263" t="e">
        <f>VLOOKUP($I351,'RCLIPS수신(일사천리론)_최종'!$C:$F,3,0)</f>
        <v>#N/A</v>
      </c>
      <c r="L351" s="263" t="e">
        <f>VLOOKUP($I351,'RCLIPS수신(일사천리론)_최종'!$C:$F,4,0)</f>
        <v>#N/A</v>
      </c>
      <c r="M351" s="263" t="str">
        <f t="shared" si="39"/>
        <v/>
      </c>
    </row>
    <row r="352" spans="2:13">
      <c r="B352" s="429">
        <f t="shared" si="36"/>
        <v>6981</v>
      </c>
      <c r="C352" s="429">
        <f t="shared" si="37"/>
        <v>6986</v>
      </c>
      <c r="D352" s="430"/>
      <c r="E352" s="430"/>
      <c r="F352" s="430"/>
      <c r="G352" s="430"/>
      <c r="H352" s="430"/>
      <c r="I352" s="263" t="str">
        <f t="shared" si="38"/>
        <v/>
      </c>
      <c r="J352" s="263" t="e">
        <f>VLOOKUP($I352,'RCLIPS수신(일사천리론)_최종'!$C:$F,2,0)</f>
        <v>#N/A</v>
      </c>
      <c r="K352" s="263" t="e">
        <f>VLOOKUP($I352,'RCLIPS수신(일사천리론)_최종'!$C:$F,3,0)</f>
        <v>#N/A</v>
      </c>
      <c r="L352" s="263" t="e">
        <f>VLOOKUP($I352,'RCLIPS수신(일사천리론)_최종'!$C:$F,4,0)</f>
        <v>#N/A</v>
      </c>
      <c r="M352" s="263" t="str">
        <f t="shared" si="39"/>
        <v/>
      </c>
    </row>
    <row r="353" spans="2:13">
      <c r="B353" s="429">
        <f t="shared" si="36"/>
        <v>7001</v>
      </c>
      <c r="C353" s="429">
        <f t="shared" si="37"/>
        <v>7006</v>
      </c>
      <c r="D353" s="430"/>
      <c r="E353" s="430"/>
      <c r="F353" s="430"/>
      <c r="G353" s="430"/>
      <c r="H353" s="430"/>
      <c r="I353" s="263" t="str">
        <f t="shared" si="38"/>
        <v/>
      </c>
      <c r="J353" s="263" t="e">
        <f>VLOOKUP($I353,'RCLIPS수신(일사천리론)_최종'!$C:$F,2,0)</f>
        <v>#N/A</v>
      </c>
      <c r="K353" s="263" t="e">
        <f>VLOOKUP($I353,'RCLIPS수신(일사천리론)_최종'!$C:$F,3,0)</f>
        <v>#N/A</v>
      </c>
      <c r="L353" s="263" t="e">
        <f>VLOOKUP($I353,'RCLIPS수신(일사천리론)_최종'!$C:$F,4,0)</f>
        <v>#N/A</v>
      </c>
      <c r="M353" s="263" t="str">
        <f t="shared" si="39"/>
        <v/>
      </c>
    </row>
    <row r="354" spans="2:13">
      <c r="B354" s="429">
        <f t="shared" si="36"/>
        <v>7021</v>
      </c>
      <c r="C354" s="429">
        <f t="shared" si="37"/>
        <v>7026</v>
      </c>
      <c r="D354" s="430"/>
      <c r="E354" s="430"/>
      <c r="F354" s="430"/>
      <c r="G354" s="430"/>
      <c r="H354" s="430"/>
      <c r="I354" s="263" t="str">
        <f t="shared" si="38"/>
        <v/>
      </c>
      <c r="J354" s="263" t="e">
        <f>VLOOKUP($I354,'RCLIPS수신(일사천리론)_최종'!$C:$F,2,0)</f>
        <v>#N/A</v>
      </c>
      <c r="K354" s="263" t="e">
        <f>VLOOKUP($I354,'RCLIPS수신(일사천리론)_최종'!$C:$F,3,0)</f>
        <v>#N/A</v>
      </c>
      <c r="L354" s="263" t="e">
        <f>VLOOKUP($I354,'RCLIPS수신(일사천리론)_최종'!$C:$F,4,0)</f>
        <v>#N/A</v>
      </c>
      <c r="M354" s="263" t="str">
        <f t="shared" si="39"/>
        <v/>
      </c>
    </row>
    <row r="355" spans="2:13">
      <c r="B355" s="429">
        <f t="shared" si="36"/>
        <v>7041</v>
      </c>
      <c r="C355" s="429">
        <f t="shared" si="37"/>
        <v>7046</v>
      </c>
      <c r="D355" s="430"/>
      <c r="E355" s="430"/>
      <c r="F355" s="430"/>
      <c r="G355" s="430"/>
      <c r="H355" s="430"/>
      <c r="I355" s="263" t="str">
        <f t="shared" si="38"/>
        <v/>
      </c>
      <c r="J355" s="263" t="e">
        <f>VLOOKUP($I355,'RCLIPS수신(일사천리론)_최종'!$C:$F,2,0)</f>
        <v>#N/A</v>
      </c>
      <c r="K355" s="263" t="e">
        <f>VLOOKUP($I355,'RCLIPS수신(일사천리론)_최종'!$C:$F,3,0)</f>
        <v>#N/A</v>
      </c>
      <c r="L355" s="263" t="e">
        <f>VLOOKUP($I355,'RCLIPS수신(일사천리론)_최종'!$C:$F,4,0)</f>
        <v>#N/A</v>
      </c>
      <c r="M355" s="263" t="str">
        <f t="shared" si="39"/>
        <v/>
      </c>
    </row>
    <row r="356" spans="2:13">
      <c r="B356" s="429">
        <f t="shared" si="36"/>
        <v>7061</v>
      </c>
      <c r="C356" s="429">
        <f t="shared" si="37"/>
        <v>7066</v>
      </c>
      <c r="D356" s="430"/>
      <c r="E356" s="430"/>
      <c r="F356" s="430"/>
      <c r="G356" s="430"/>
      <c r="H356" s="430"/>
      <c r="I356" s="263" t="str">
        <f t="shared" si="38"/>
        <v/>
      </c>
      <c r="J356" s="263" t="e">
        <f>VLOOKUP($I356,'RCLIPS수신(일사천리론)_최종'!$C:$F,2,0)</f>
        <v>#N/A</v>
      </c>
      <c r="K356" s="263" t="e">
        <f>VLOOKUP($I356,'RCLIPS수신(일사천리론)_최종'!$C:$F,3,0)</f>
        <v>#N/A</v>
      </c>
      <c r="L356" s="263" t="e">
        <f>VLOOKUP($I356,'RCLIPS수신(일사천리론)_최종'!$C:$F,4,0)</f>
        <v>#N/A</v>
      </c>
      <c r="M356" s="263" t="str">
        <f t="shared" si="39"/>
        <v/>
      </c>
    </row>
    <row r="357" spans="2:13">
      <c r="B357" s="429">
        <f t="shared" si="36"/>
        <v>7081</v>
      </c>
      <c r="C357" s="429">
        <f t="shared" si="37"/>
        <v>7086</v>
      </c>
      <c r="D357" s="430"/>
      <c r="E357" s="430"/>
      <c r="F357" s="430"/>
      <c r="G357" s="430"/>
      <c r="H357" s="430"/>
      <c r="I357" s="263" t="str">
        <f t="shared" si="38"/>
        <v/>
      </c>
      <c r="J357" s="263" t="e">
        <f>VLOOKUP($I357,'RCLIPS수신(일사천리론)_최종'!$C:$F,2,0)</f>
        <v>#N/A</v>
      </c>
      <c r="K357" s="263" t="e">
        <f>VLOOKUP($I357,'RCLIPS수신(일사천리론)_최종'!$C:$F,3,0)</f>
        <v>#N/A</v>
      </c>
      <c r="L357" s="263" t="e">
        <f>VLOOKUP($I357,'RCLIPS수신(일사천리론)_최종'!$C:$F,4,0)</f>
        <v>#N/A</v>
      </c>
      <c r="M357" s="263" t="str">
        <f t="shared" si="39"/>
        <v/>
      </c>
    </row>
    <row r="358" spans="2:13">
      <c r="B358" s="429">
        <f t="shared" si="36"/>
        <v>7101</v>
      </c>
      <c r="C358" s="429">
        <f t="shared" si="37"/>
        <v>7106</v>
      </c>
      <c r="D358" s="430"/>
      <c r="E358" s="430"/>
      <c r="F358" s="430"/>
      <c r="G358" s="430"/>
      <c r="H358" s="430"/>
      <c r="I358" s="263" t="str">
        <f t="shared" si="38"/>
        <v/>
      </c>
      <c r="J358" s="263" t="e">
        <f>VLOOKUP($I358,'RCLIPS수신(일사천리론)_최종'!$C:$F,2,0)</f>
        <v>#N/A</v>
      </c>
      <c r="K358" s="263" t="e">
        <f>VLOOKUP($I358,'RCLIPS수신(일사천리론)_최종'!$C:$F,3,0)</f>
        <v>#N/A</v>
      </c>
      <c r="L358" s="263" t="e">
        <f>VLOOKUP($I358,'RCLIPS수신(일사천리론)_최종'!$C:$F,4,0)</f>
        <v>#N/A</v>
      </c>
      <c r="M358" s="263" t="str">
        <f t="shared" si="39"/>
        <v/>
      </c>
    </row>
    <row r="359" spans="2:13">
      <c r="B359" s="429">
        <f t="shared" si="36"/>
        <v>7121</v>
      </c>
      <c r="C359" s="429">
        <f t="shared" si="37"/>
        <v>7126</v>
      </c>
      <c r="D359" s="430"/>
      <c r="E359" s="430"/>
      <c r="F359" s="430"/>
      <c r="G359" s="430"/>
      <c r="H359" s="430"/>
      <c r="I359" s="263" t="str">
        <f t="shared" si="38"/>
        <v/>
      </c>
      <c r="J359" s="263" t="e">
        <f>VLOOKUP($I359,'RCLIPS수신(일사천리론)_최종'!$C:$F,2,0)</f>
        <v>#N/A</v>
      </c>
      <c r="K359" s="263" t="e">
        <f>VLOOKUP($I359,'RCLIPS수신(일사천리론)_최종'!$C:$F,3,0)</f>
        <v>#N/A</v>
      </c>
      <c r="L359" s="263" t="e">
        <f>VLOOKUP($I359,'RCLIPS수신(일사천리론)_최종'!$C:$F,4,0)</f>
        <v>#N/A</v>
      </c>
      <c r="M359" s="263" t="str">
        <f t="shared" si="39"/>
        <v/>
      </c>
    </row>
    <row r="360" spans="2:13">
      <c r="B360" s="429">
        <f t="shared" si="36"/>
        <v>7141</v>
      </c>
      <c r="C360" s="429">
        <f t="shared" si="37"/>
        <v>7146</v>
      </c>
      <c r="D360" s="430"/>
      <c r="E360" s="430"/>
      <c r="F360" s="430"/>
      <c r="G360" s="430"/>
      <c r="H360" s="430"/>
      <c r="I360" s="263" t="str">
        <f t="shared" si="38"/>
        <v/>
      </c>
      <c r="J360" s="263" t="e">
        <f>VLOOKUP($I360,'RCLIPS수신(일사천리론)_최종'!$C:$F,2,0)</f>
        <v>#N/A</v>
      </c>
      <c r="K360" s="263" t="e">
        <f>VLOOKUP($I360,'RCLIPS수신(일사천리론)_최종'!$C:$F,3,0)</f>
        <v>#N/A</v>
      </c>
      <c r="L360" s="263" t="e">
        <f>VLOOKUP($I360,'RCLIPS수신(일사천리론)_최종'!$C:$F,4,0)</f>
        <v>#N/A</v>
      </c>
      <c r="M360" s="263" t="str">
        <f t="shared" si="39"/>
        <v/>
      </c>
    </row>
  </sheetData>
  <mergeCells count="2">
    <mergeCell ref="D1:H1"/>
    <mergeCell ref="I1:M1"/>
  </mergeCells>
  <phoneticPr fontId="2" type="noConversion"/>
  <hyperlinks>
    <hyperlink ref="A1" location="목록!A1" display="목록으로" xr:uid="{E69C5279-DA39-45B1-A11B-5D86E4FF614C}"/>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95F2-28AF-405E-87FB-FD94C71F78DF}">
  <sheetPr>
    <tabColor rgb="FF00B0F0"/>
  </sheetPr>
  <dimension ref="A1:P415"/>
  <sheetViews>
    <sheetView workbookViewId="0">
      <selection activeCell="Q8" sqref="Q8"/>
    </sheetView>
  </sheetViews>
  <sheetFormatPr defaultRowHeight="11.25"/>
  <cols>
    <col min="1" max="1" width="4.5" style="178" customWidth="1"/>
    <col min="2" max="3" width="5.25" style="434" customWidth="1"/>
    <col min="4" max="4" width="9" style="178"/>
    <col min="5" max="5" width="39.875" style="178" customWidth="1"/>
    <col min="6" max="6" width="10.5" style="178" customWidth="1"/>
    <col min="7" max="7" width="7.75" style="178" customWidth="1"/>
    <col min="8" max="8" width="18.375" style="178" customWidth="1"/>
    <col min="9" max="9" width="12.375" style="178" customWidth="1"/>
    <col min="10" max="10" width="28.875" style="178" customWidth="1"/>
    <col min="11" max="11" width="12.5" style="178" customWidth="1"/>
    <col min="12" max="12" width="7" style="178" customWidth="1"/>
    <col min="13" max="13" width="26.375" style="178" customWidth="1"/>
    <col min="14" max="14" width="15.25" style="178" customWidth="1"/>
    <col min="15" max="16384" width="9" style="178"/>
  </cols>
  <sheetData>
    <row r="1" spans="1:16" ht="16.5">
      <c r="A1" s="422" t="s">
        <v>5744</v>
      </c>
      <c r="B1" s="277"/>
      <c r="C1" s="277"/>
      <c r="D1" s="770" t="s">
        <v>5745</v>
      </c>
      <c r="E1" s="771"/>
      <c r="F1" s="771"/>
      <c r="G1" s="771"/>
      <c r="H1" s="771"/>
      <c r="I1" s="773" t="s">
        <v>5746</v>
      </c>
      <c r="J1" s="774"/>
      <c r="K1" s="774"/>
      <c r="L1" s="774"/>
      <c r="M1" s="775"/>
    </row>
    <row r="2" spans="1:16">
      <c r="A2" s="277" t="s">
        <v>5747</v>
      </c>
      <c r="B2" s="277"/>
      <c r="C2" s="277"/>
      <c r="D2" s="424" t="s">
        <v>5748</v>
      </c>
      <c r="E2" s="424" t="s">
        <v>5749</v>
      </c>
      <c r="F2" s="424" t="s">
        <v>5750</v>
      </c>
      <c r="G2" s="424" t="s">
        <v>5751</v>
      </c>
      <c r="H2" s="424" t="s">
        <v>5752</v>
      </c>
      <c r="I2" s="425" t="s">
        <v>5748</v>
      </c>
      <c r="J2" s="425" t="s">
        <v>5749</v>
      </c>
      <c r="K2" s="425" t="s">
        <v>5750</v>
      </c>
      <c r="L2" s="425" t="s">
        <v>5751</v>
      </c>
      <c r="M2" s="425" t="s">
        <v>5752</v>
      </c>
    </row>
    <row r="3" spans="1:16">
      <c r="A3" s="428" t="str">
        <f>A4&amp;A5&amp;A6&amp;A7</f>
        <v>Online_C8_ASS       319A000112000138934969 A000212             A0003000000000000027A00040              A0005               A10020              A10030              A10040              A10050              A10060              A10070              A10080              A10090              A10100              A10110              A10121              A10131              A10140              A10151              A10160              A1017               A1018000000000000000A1019000000000000000A1020000000000000000A1021000000000000000A1022000000000000000A1023000000000000000A1024000000000000000A1025000000000000000A1026000000000000000A1027000000000000000A1028000000000000000A1029000000000000000A1030000000000000000A1031000000000000000A1032000000000000000A10330              A103415             A10350              A1036PB             A1037D1             A1038000000007000000A1039000000000000000A1040000000000000018A1041000000000000003A10500              A2000000000000000000A2001               A20021              A20031              A20041              A20051              A2008000000003000000A2009000000010280000A2010000000020000000A2011000000020000000A2012000000001032000A2013000000000975000A2014000000001585416A2015000000001109791A2016000000000004.88A2017000000000001960A2018D1             A2019000000000000027A2028000000000000000A203206             A20340004           A2029000000000000000A2046000000000000748A204705             A2048000000000000848A204903             A2052YA             A2053000000000000018A2054000000000000003A2056               A20570              A2060000000000000000A2061000000030000000A2062000000009937637A2063000000000000000A2064000000005000000A2065000000005000000A20670              A20700              A20723              A20730              A2076000000005000000A2077000000000000000A207807             A207907             A208004             A2081               A2082               A2083               A20840002           A2085               A20860002           A20970003           A21000              A2101U4             A210248091          A21040              A2107000000000000000A21090              A21100              A2117000000000000000A2120000000005000000A21360              A21373              A21380              A213903             A214001             A214107             A2142000000000000000A214305             A214405             A2145000000000000703A21460              A2147000000000003.33A2148000000000000000A2149000000000533100A2150000000000000000A2151000000000975000A2152000000000000000A2153000000000000000A2154000000010280000A2155000000020000000A215600             A2157000            A2158000000000000000A215902             A2160000000000000000A216104             A2162000000000000000A216303             A3011000000000000012A3016000000000000506A30171              A3018000000000900000A3019000000999999999A30209              A302199             A30229              A302399             A302499             A3025000000999999999A3026000000000000000A3027000000000002000A3028000000000002000A3029000000000000000A3030000000000001400A3031000000000002000A3032000000000000000A30330              A3034000000000000706A3035000000000000706A3039000000000000000A30500005           A30510003           A30520003           A30530002           A30540002           A30550003           A30560004           A30570003           A30590006           A30610006           A30620              A30630              A3064000000000002000A3065000000000      A3066000000000000000A3067000000000      A3068000000000      A3069000000000002000A3070000001114      A3071000000013      A3072000000000      A3073000000000000000A3074000000000000828A30750007           A4004000000000000000A4016000000000000000A4030000000000000000A4017000000999999999A4018000000000000000A4019000000000000000A4033000000000000748A403405             A4035000000000000693A403602             A4037000000000000894A403801             A4039000000000000747A404004             A4041               A4042000000000010280A4043000000000000820A40440000000000002.6A404503             A4046000000000000792A404703             A40480              A4049000000000000703A405007             A4051N              A4052000000000000000A4053000000000010280A4054000000000000000A4055000000000000012A4056000000000001030A4057000000000000000A4060000000000000000A4061000000000000001A4062000000000000000A406302             A4064000000000000000A4065000000000000000A4066000000000000006A4067S              A406804             A4069N              A40700              A407105             A7001000000000000777A700223             A7003000000000003000A7004000000000000000A7005000000000003000A7007000000000003000A7009000000000000000A7011000000000000000A7013000000000000000A7014000000000000000A7015000000000000000A7016000000000000000A70171              A7018000000000000000A7019000000000000000A7020000000000000777A7021000000000000777B3001000000000000001B3002000000000000000B3003000000000000849B3004000000000000094B3005000000000000000B3006000000000000000B3007000000000000000B3008000000000000001B3009000000000260000B3010000000999999999B3011000000000000000B3012000000000000000B3013000000000900000B3014000000000099999B3015000000000000000B4001000000000000000B4002000000000010803B4003000000000001540B4004000000000000000B4005000000999999999B4006-00000099999999B40070000008888888.8B4008000000000000002B40090000008888888.8B4010000000000000000B4011000000000000004B40120000008888888.8B4013000000000000000B4014000000000000000B4015000000000000002B4016000000000000016B4017000000000001212B40180000000000001.2B40190000008888888.8B40200000008888888.8B4021000000000000000B40220000000000001.2B4023000000000000900B40240000000000001.2B4025000000000000000B4026000000000000000B4027000000000000000B4028000000000000001B4029000000000000000B4030000000000000000B4031000000000000000B4032000000000000000B4033000000000000001B4034000000000000000B4035000000000000000B4036000000000003000B4037000000000000000B40380000009999999.9B40390000009999999.9B4040000000000000549B4041000000000000000B4042000000000000000B4043000000000263530B4044000000000000000B4045000000000000000B4046000000000000000B4047000000000000000B4048000000000000000B4049000000000000000B4050000000000000000B4051000000000004883B4052000000000000000B4053000000000000000A4058000000000000000A4059000000000000005A1044000000000000000A1043000000000857483A104503             A1046000000000000000A1047000000000000000A1048000000000000000A1049000000000000000</v>
      </c>
      <c r="B3" s="429">
        <v>1</v>
      </c>
      <c r="C3" s="429">
        <v>6</v>
      </c>
      <c r="D3" s="430" t="str">
        <f>MIDB($A$3, $B3+23, 5)</f>
        <v>A0001</v>
      </c>
      <c r="E3" s="430" t="str">
        <f>VLOOKUP(D3,'RCLIPS송신(이지론플러스)_최종'!$B:$E,4,0)</f>
        <v>접수번호</v>
      </c>
      <c r="F3" s="430" t="str">
        <f>VLOOKUP($D3,'RCLIPS송신(이지론플러스)_최종'!$B:$D,2,0)</f>
        <v>String</v>
      </c>
      <c r="G3" s="430">
        <f>VLOOKUP($D3,'RCLIPS송신(이지론플러스)_최종'!$B:$D,3,0)</f>
        <v>14</v>
      </c>
      <c r="H3" s="430" t="str">
        <f>MIDB($A$3, $C3+23, 15)</f>
        <v xml:space="preserve">12000138934969 </v>
      </c>
      <c r="I3" s="263" t="str">
        <f>MIDB($A$8, $B3+10, 5)</f>
        <v>A1002</v>
      </c>
      <c r="J3" s="430" t="str">
        <f>VLOOKUP($I3,'[4]RCLIPS송신(이지론플러스)_최종'!$B:$E,4,0)&amp;" : "&amp;VLOOKUP($D4,'[4]RCLIPS송신(이지론플러스)_최종'!$B:$Q,16,0)</f>
        <v xml:space="preserve">신용카드 거래정지 등록고객 : </v>
      </c>
      <c r="K3" s="263" t="e">
        <f>VLOOKUP($I3,'[5]RCLIPS수신(이지론플러스)_최종'!$C:$F,3,0)</f>
        <v>#N/A</v>
      </c>
      <c r="L3" s="263" t="e">
        <f>VLOOKUP($I3,'[5]RCLIPS수신(이지론플러스)_최종'!$C:$F,4,0)</f>
        <v>#N/A</v>
      </c>
      <c r="M3" s="263" t="str">
        <f>MIDB($A$8, $C3+10, 15)</f>
        <v xml:space="preserve">0              </v>
      </c>
      <c r="N3" s="180" t="s">
        <v>5757</v>
      </c>
      <c r="O3" s="180" t="str">
        <f>MIDB($A$8, 1, 4)</f>
        <v>0000</v>
      </c>
      <c r="P3" s="180" t="str">
        <f>VLOOKUP(O3,[2]응답메시지!$A:$B,2,0)</f>
        <v>정상</v>
      </c>
    </row>
    <row r="4" spans="1:16">
      <c r="A4" s="431" t="s">
        <v>5774</v>
      </c>
      <c r="B4" s="429">
        <f>C3+15</f>
        <v>21</v>
      </c>
      <c r="C4" s="429">
        <f>B4+5</f>
        <v>26</v>
      </c>
      <c r="D4" s="430" t="str">
        <f t="shared" ref="D4:D67" si="0">MIDB($A$3, $B4+23, 5)</f>
        <v>A0002</v>
      </c>
      <c r="E4" s="430" t="str">
        <f>VLOOKUP(D4,'RCLIPS송신(이지론플러스)_최종'!$B:$E,4,0)</f>
        <v>상품코드</v>
      </c>
      <c r="F4" s="430" t="str">
        <f>VLOOKUP($D4,'RCLIPS송신(이지론플러스)_최종'!$B:$D,2,0)</f>
        <v>String</v>
      </c>
      <c r="G4" s="430">
        <f>VLOOKUP($D4,'RCLIPS송신(이지론플러스)_최종'!$B:$D,3,0)</f>
        <v>2</v>
      </c>
      <c r="H4" s="430" t="str">
        <f t="shared" ref="H4:H67" si="1">MIDB($A$3, $C4+23, 15)</f>
        <v xml:space="preserve">12             </v>
      </c>
      <c r="I4" s="263" t="str">
        <f t="shared" ref="I4:I67" si="2">MIDB($A$8, $B4+10, 5)</f>
        <v>A1033</v>
      </c>
      <c r="J4" s="430" t="str">
        <f>VLOOKUP($I4,'[4]RCLIPS송신(이지론플러스)_최종'!$B:$E,4,0)&amp;" : "&amp;VLOOKUP($D5,'[4]RCLIPS송신(이지론플러스)_최종'!$B:$Q,16,0)</f>
        <v xml:space="preserve">예외승인여부 : </v>
      </c>
      <c r="K4" s="263" t="e">
        <f>VLOOKUP($I4,'[5]RCLIPS수신(이지론플러스)_최종'!$C:$F,3,0)</f>
        <v>#N/A</v>
      </c>
      <c r="L4" s="263" t="e">
        <f>VLOOKUP($I4,'[5]RCLIPS수신(이지론플러스)_최종'!$C:$F,4,0)</f>
        <v>#N/A</v>
      </c>
      <c r="M4" s="263" t="str">
        <f t="shared" ref="M4:M67" si="3">MIDB($A$8, $C4+10, 15)</f>
        <v xml:space="preserve">0              </v>
      </c>
    </row>
    <row r="5" spans="1:16">
      <c r="A5" s="431" t="s">
        <v>5775</v>
      </c>
      <c r="B5" s="429">
        <f t="shared" ref="B5:B68" si="4">C4+15</f>
        <v>41</v>
      </c>
      <c r="C5" s="429">
        <f t="shared" ref="C5:C68" si="5">B5+5</f>
        <v>46</v>
      </c>
      <c r="D5" s="430" t="str">
        <f t="shared" si="0"/>
        <v>A0003</v>
      </c>
      <c r="E5" s="430" t="str">
        <f>VLOOKUP(D5,'RCLIPS송신(이지론플러스)_최종'!$B:$E,4,0)</f>
        <v>연령</v>
      </c>
      <c r="F5" s="430" t="str">
        <f>VLOOKUP($D5,'RCLIPS송신(이지론플러스)_최종'!$B:$D,2,0)</f>
        <v>Numeric</v>
      </c>
      <c r="G5" s="430">
        <f>VLOOKUP($D5,'RCLIPS송신(이지론플러스)_최종'!$B:$D,3,0)</f>
        <v>5</v>
      </c>
      <c r="H5" s="430" t="str">
        <f t="shared" si="1"/>
        <v>000000000000027</v>
      </c>
      <c r="I5" s="263" t="str">
        <f t="shared" si="2"/>
        <v>A2117</v>
      </c>
      <c r="J5" s="430" t="str">
        <f>VLOOKUP($I5,'[4]RCLIPS송신(이지론플러스)_최종'!$B:$E,4,0)&amp;" : "&amp;VLOOKUP($D6,'[4]RCLIPS송신(이지론플러스)_최종'!$B:$Q,16,0)</f>
        <v xml:space="preserve">파일롯대상대출가능금액 : </v>
      </c>
      <c r="K5" s="263" t="e">
        <f>VLOOKUP($I5,'[5]RCLIPS수신(이지론플러스)_최종'!$C:$F,3,0)</f>
        <v>#N/A</v>
      </c>
      <c r="L5" s="263" t="e">
        <f>VLOOKUP($I5,'[5]RCLIPS수신(이지론플러스)_최종'!$C:$F,4,0)</f>
        <v>#N/A</v>
      </c>
      <c r="M5" s="263" t="str">
        <f t="shared" si="3"/>
        <v>0000000000000.0</v>
      </c>
    </row>
    <row r="6" spans="1:16">
      <c r="A6" s="431"/>
      <c r="B6" s="429">
        <f t="shared" si="4"/>
        <v>61</v>
      </c>
      <c r="C6" s="429">
        <f t="shared" si="5"/>
        <v>66</v>
      </c>
      <c r="D6" s="430" t="str">
        <f t="shared" si="0"/>
        <v>A0004</v>
      </c>
      <c r="E6" s="430" t="str">
        <f>VLOOKUP(D6,'RCLIPS송신(이지론플러스)_최종'!$B:$E,4,0)</f>
        <v>외국인여부</v>
      </c>
      <c r="F6" s="430" t="str">
        <f>VLOOKUP($D6,'RCLIPS송신(이지론플러스)_최종'!$B:$D,2,0)</f>
        <v>String</v>
      </c>
      <c r="G6" s="430">
        <f>VLOOKUP($D6,'RCLIPS송신(이지론플러스)_최종'!$B:$D,3,0)</f>
        <v>1</v>
      </c>
      <c r="H6" s="430" t="str">
        <f t="shared" si="1"/>
        <v xml:space="preserve">0              </v>
      </c>
      <c r="I6" s="263" t="str">
        <f t="shared" si="2"/>
        <v>K0001</v>
      </c>
      <c r="J6" s="430" t="e">
        <f>VLOOKUP($I6,'[4]RCLIPS송신(이지론플러스)_최종'!$B:$E,4,0)&amp;" : "&amp;VLOOKUP($D7,'[4]RCLIPS송신(이지론플러스)_최종'!$B:$Q,16,0)</f>
        <v>#N/A</v>
      </c>
      <c r="K6" s="263" t="e">
        <f>VLOOKUP($I6,'[5]RCLIPS수신(이지론플러스)_최종'!$C:$F,3,0)</f>
        <v>#N/A</v>
      </c>
      <c r="L6" s="263" t="e">
        <f>VLOOKUP($I6,'[5]RCLIPS수신(이지론플러스)_최종'!$C:$F,4,0)</f>
        <v>#N/A</v>
      </c>
      <c r="M6" s="263" t="str">
        <f t="shared" si="3"/>
        <v xml:space="preserve">0              </v>
      </c>
    </row>
    <row r="7" spans="1:16">
      <c r="A7" s="431"/>
      <c r="B7" s="429">
        <f t="shared" si="4"/>
        <v>81</v>
      </c>
      <c r="C7" s="429">
        <f t="shared" si="5"/>
        <v>86</v>
      </c>
      <c r="D7" s="430" t="str">
        <f t="shared" si="0"/>
        <v>A0005</v>
      </c>
      <c r="E7" s="430" t="str">
        <f>VLOOKUP(D7,'RCLIPS송신(이지론플러스)_최종'!$B:$E,4,0)</f>
        <v>신용대출심사결과</v>
      </c>
      <c r="F7" s="430" t="str">
        <f>VLOOKUP($D7,'RCLIPS송신(이지론플러스)_최종'!$B:$D,2,0)</f>
        <v>String</v>
      </c>
      <c r="G7" s="430">
        <f>VLOOKUP($D7,'RCLIPS송신(이지론플러스)_최종'!$B:$D,3,0)</f>
        <v>2</v>
      </c>
      <c r="H7" s="430" t="str">
        <f t="shared" si="1"/>
        <v xml:space="preserve">               </v>
      </c>
      <c r="I7" s="263" t="str">
        <f t="shared" si="2"/>
        <v>K0002</v>
      </c>
      <c r="J7" s="430" t="e">
        <f>VLOOKUP($I7,'[4]RCLIPS송신(이지론플러스)_최종'!$B:$E,4,0)&amp;" : "&amp;VLOOKUP($D8,'[4]RCLIPS송신(이지론플러스)_최종'!$B:$Q,16,0)</f>
        <v>#N/A</v>
      </c>
      <c r="K7" s="263" t="e">
        <f>VLOOKUP($I7,'[5]RCLIPS수신(이지론플러스)_최종'!$C:$F,3,0)</f>
        <v>#N/A</v>
      </c>
      <c r="L7" s="263" t="e">
        <f>VLOOKUP($I7,'[5]RCLIPS수신(이지론플러스)_최종'!$C:$F,4,0)</f>
        <v>#N/A</v>
      </c>
      <c r="M7" s="263" t="str">
        <f t="shared" si="3"/>
        <v xml:space="preserve">1              </v>
      </c>
    </row>
    <row r="8" spans="1:16">
      <c r="A8" s="428" t="str">
        <f>A9&amp;A10&amp;A11&amp;A12</f>
        <v>0000227001A10020              A10330              A21170000000000000.0K00010              K00021              K00030              R0002000000000000000R00030000000000019.6R0004D1             R0005000000000000012R0006000000000000000R00071              R0008               R0009               R0010000000010280000R0011000000020000000R0012000000020000000R0013000000000820000R0014000000000706000R0015000000001607833R0016000000001125483R0017000000000003.53R0018000000010181029R0019000000030000000R002005             R00210004           R002208             R002305             R00240003           R0025000000000000000R0026               R0027               R0028               R002903             R0030000000004000000R0031000000000000000R00320              R0033YA             R0034               R0035               R0036000000000000000R0037000000000000000R0038000000004000000R0039000000000000000R00400              R0041000000000000000R00427              R0048000000000000000R0049000000000000000R0050000000016000000R0051000000000777000R005200000000009.7E7R005301             R0054000000000000000R00550000000000000.0R00560000000000000.0R00570001           R00580              R0059000000000000748R0060000000000000828R006100000000001.6E7R00620000003000000.0R00630000003000000.0R00640              R00660              R00670              R10020000005000000.0R10030000000000019.6R1004D1             R1005000000000000018R1006000000000000003R1007               R1010000000001.028E7R101100000000002.0E7R101200000000002.0E7R10130000001032000.0R10140000000975000.0R10150000001585416.0R10160000001109791.0R1017000000000004.88R10180000009937637.0R101900000000003.0E7R102005             R102103             R102207             R102304             R10240004           R1025000000000000000R102705             R102903             R10300000005000000.0R10310000000000000.0R10320              R1033YA             R103407             R1035U4             R10360000000000000.0R10370000000000000.0R10380000005000000.0R10390000005000000.0R10400              R10410000000000000.0R10420              R1043000000000000667R104407             R104507             R10480000003000000.0R10490000000000000.0R1059000000000000748R1060000000000000848R1066               T000105             T0002000000007.97665T00030000000001.2146T0004000000000056.47S0001000000000000012S0002000000000000000S0003000000000000001S0004000000000000000S0005000000000000849S0006000000000000094S0007000000000000000S0008000000000000000S0009000000000000000S0010000000000000001S0011000000000260000S0012000000999999999S0013000000000000000S0014000000000000000S0015000000000900000S0016000000999999999S0017000000000000002S0018000000008888888S0019000000000000000S0020000000000000004S0021000000008888888S0022000000000000000S0023000000000000000S0024000000000000002S0025000000000000016S0026000000000001212S0027000000008888888S0028000000008888888S0029000000000000000S0030000000000000001S0031000000000000900S0032000000000000001S0033000000000000000S0034000000000000000S0035000000000000000S0036000000000000001S0037000000000000000S0038000000000000001S0039000000000000000S0040000000000000000S0041000000009999999S0042000000009999999S0043000000000000000S0044000000000263530S0045000000000000000S0046000000000000000S0047000000000000000S0048000000000003000S0049000000000000000S0050000000000000000S0051000000888888888S0052000000000000036S0053000000000000009S0054000000888888888S0055000000888888888S0056000000888888888W0001000000000000000W0002000000000000003W0003000000000000001W0004000000000000001W0005-00000000000006W0006000000000000001W0007000000000000001W0008000000000000000W0009000000000000005W0010-00000000000017W0011000000000000011W0012-00000000000001W0013-00000000000007W0014000000000000001W0015000000000000009W0016000000000000001W0017000000000000005W0018-00000000000002W0019-00000000000002W0020-00000000000002W0021-00000000000002W0022-00000000000019W0023000000000000001W0024000000000000001W0025000000000000004W0026-00000000000001W0027-00000000000001W0028-00000000000001W0029000000000000007W0030000000000000001W0031000000000000003W0032-00000000000005W0033-00000000000006W0034-00000000000005W0035-00000000000014W0036000000000000005W0037-00000000000001W0038000000000000001W0039-00000000000001W0040000000000000002W0041-00000000000008W0042-00000000000002W0043000000000000000W0044000000000000008W0045000000000000002W0046000000000000001W0047000000000000001W0048000000000000007W0049000000000000004W0050000000000000017W0051-00000000000005W0052-00000000000001W0053000000000000006W0054-00000000000001W0055000000000000001W0056000000000000001KORLTK109</v>
      </c>
      <c r="B8" s="429">
        <f t="shared" si="4"/>
        <v>101</v>
      </c>
      <c r="C8" s="429">
        <f t="shared" si="5"/>
        <v>106</v>
      </c>
      <c r="D8" s="430" t="str">
        <f t="shared" si="0"/>
        <v>A1002</v>
      </c>
      <c r="E8" s="430" t="str">
        <f>VLOOKUP(D8,'RCLIPS송신(이지론플러스)_최종'!$B:$E,4,0)</f>
        <v>신용카드 거래정지 등록고객</v>
      </c>
      <c r="F8" s="430" t="str">
        <f>VLOOKUP($D8,'RCLIPS송신(이지론플러스)_최종'!$B:$D,2,0)</f>
        <v>String</v>
      </c>
      <c r="G8" s="430">
        <f>VLOOKUP($D8,'RCLIPS송신(이지론플러스)_최종'!$B:$D,3,0)</f>
        <v>1</v>
      </c>
      <c r="H8" s="430" t="str">
        <f t="shared" si="1"/>
        <v xml:space="preserve">0              </v>
      </c>
      <c r="I8" s="263" t="str">
        <f t="shared" si="2"/>
        <v>K0003</v>
      </c>
      <c r="J8" s="430" t="e">
        <f>VLOOKUP($I8,'[4]RCLIPS송신(이지론플러스)_최종'!$B:$E,4,0)&amp;" : "&amp;VLOOKUP($D9,'[4]RCLIPS송신(이지론플러스)_최종'!$B:$Q,16,0)</f>
        <v>#N/A</v>
      </c>
      <c r="K8" s="263" t="e">
        <f>VLOOKUP($I8,'[5]RCLIPS수신(이지론플러스)_최종'!$C:$F,3,0)</f>
        <v>#N/A</v>
      </c>
      <c r="L8" s="263" t="e">
        <f>VLOOKUP($I8,'[5]RCLIPS수신(이지론플러스)_최종'!$C:$F,4,0)</f>
        <v>#N/A</v>
      </c>
      <c r="M8" s="263" t="str">
        <f t="shared" si="3"/>
        <v xml:space="preserve">0              </v>
      </c>
    </row>
    <row r="9" spans="1:16">
      <c r="A9" s="431" t="s">
        <v>5776</v>
      </c>
      <c r="B9" s="429">
        <f t="shared" si="4"/>
        <v>121</v>
      </c>
      <c r="C9" s="429">
        <f t="shared" si="5"/>
        <v>126</v>
      </c>
      <c r="D9" s="430" t="str">
        <f t="shared" si="0"/>
        <v>A1003</v>
      </c>
      <c r="E9" s="430" t="str">
        <f>VLOOKUP(D9,'RCLIPS송신(이지론플러스)_최종'!$B:$E,4,0)</f>
        <v>신용관리대상 및 당행정보관리 등재고객(KB 국민은행 정보)</v>
      </c>
      <c r="F9" s="430" t="str">
        <f>VLOOKUP($D9,'RCLIPS송신(이지론플러스)_최종'!$B:$D,2,0)</f>
        <v>String</v>
      </c>
      <c r="G9" s="430">
        <f>VLOOKUP($D9,'RCLIPS송신(이지론플러스)_최종'!$B:$D,3,0)</f>
        <v>1</v>
      </c>
      <c r="H9" s="430" t="str">
        <f t="shared" si="1"/>
        <v xml:space="preserve">0              </v>
      </c>
      <c r="I9" s="432" t="str">
        <f t="shared" si="2"/>
        <v>R0002</v>
      </c>
      <c r="J9" s="432" t="str">
        <f>VLOOKUP($I9,'[5]RCLIPS수신(이지론플러스)_최종'!$C:$F,2,0)</f>
        <v>최종대출가능금액_실시간</v>
      </c>
      <c r="K9" s="432" t="str">
        <f>VLOOKUP($I9,'[5]RCLIPS수신(이지론플러스)_최종'!$C:$F,3,0)</f>
        <v>Numeric</v>
      </c>
      <c r="L9" s="432">
        <f>VLOOKUP($I9,'[5]RCLIPS수신(이지론플러스)_최종'!$C:$F,4,0)</f>
        <v>15</v>
      </c>
      <c r="M9" s="432" t="str">
        <f t="shared" si="3"/>
        <v>000000000000000</v>
      </c>
    </row>
    <row r="10" spans="1:16">
      <c r="A10" s="431" t="s">
        <v>5777</v>
      </c>
      <c r="B10" s="429">
        <f t="shared" si="4"/>
        <v>141</v>
      </c>
      <c r="C10" s="429">
        <f t="shared" si="5"/>
        <v>146</v>
      </c>
      <c r="D10" s="430" t="str">
        <f t="shared" si="0"/>
        <v>A1004</v>
      </c>
      <c r="E10" s="430" t="str">
        <f>VLOOKUP(D10,'RCLIPS송신(이지론플러스)_최종'!$B:$E,4,0)</f>
        <v>사망실종 고객(고객정보)</v>
      </c>
      <c r="F10" s="430" t="str">
        <f>VLOOKUP($D10,'RCLIPS송신(이지론플러스)_최종'!$B:$D,2,0)</f>
        <v>String</v>
      </c>
      <c r="G10" s="430">
        <f>VLOOKUP($D10,'RCLIPS송신(이지론플러스)_최종'!$B:$D,3,0)</f>
        <v>1</v>
      </c>
      <c r="H10" s="430" t="str">
        <f t="shared" si="1"/>
        <v xml:space="preserve">0              </v>
      </c>
      <c r="I10" s="263" t="str">
        <f t="shared" si="2"/>
        <v>R0003</v>
      </c>
      <c r="J10" s="263" t="str">
        <f>VLOOKUP($I10,'[5]RCLIPS수신(이지론플러스)_최종'!$C:$F,2,0)</f>
        <v>대출이율_실시간</v>
      </c>
      <c r="K10" s="263" t="str">
        <f>VLOOKUP($I10,'[5]RCLIPS수신(이지론플러스)_최종'!$C:$F,3,0)</f>
        <v>Numeric</v>
      </c>
      <c r="L10" s="263">
        <f>VLOOKUP($I10,'[5]RCLIPS수신(이지론플러스)_최종'!$C:$F,4,0)</f>
        <v>9</v>
      </c>
      <c r="M10" s="263" t="str">
        <f t="shared" si="3"/>
        <v>0000000000019.6</v>
      </c>
    </row>
    <row r="11" spans="1:16">
      <c r="A11" s="431"/>
      <c r="B11" s="429">
        <f t="shared" si="4"/>
        <v>161</v>
      </c>
      <c r="C11" s="429">
        <f t="shared" si="5"/>
        <v>166</v>
      </c>
      <c r="D11" s="430" t="str">
        <f t="shared" si="0"/>
        <v>A1005</v>
      </c>
      <c r="E11" s="430" t="str">
        <f>VLOOKUP(D11,'RCLIPS송신(이지론플러스)_최종'!$B:$E,4,0)</f>
        <v>거래주의보정보 등록고객(고객정보)</v>
      </c>
      <c r="F11" s="430" t="str">
        <f>VLOOKUP($D11,'RCLIPS송신(이지론플러스)_최종'!$B:$D,2,0)</f>
        <v>String</v>
      </c>
      <c r="G11" s="430">
        <f>VLOOKUP($D11,'RCLIPS송신(이지론플러스)_최종'!$B:$D,3,0)</f>
        <v>1</v>
      </c>
      <c r="H11" s="430" t="str">
        <f t="shared" si="1"/>
        <v xml:space="preserve">0              </v>
      </c>
      <c r="I11" s="263" t="str">
        <f t="shared" si="2"/>
        <v>R0004</v>
      </c>
      <c r="J11" s="263" t="str">
        <f>VLOOKUP($I11,'[5]RCLIPS수신(이지론플러스)_최종'!$C:$F,2,0)</f>
        <v>금리등급_실시간</v>
      </c>
      <c r="K11" s="263" t="str">
        <f>VLOOKUP($I11,'[5]RCLIPS수신(이지론플러스)_최종'!$C:$F,3,0)</f>
        <v>String</v>
      </c>
      <c r="L11" s="263">
        <f>VLOOKUP($I11,'[5]RCLIPS수신(이지론플러스)_최종'!$C:$F,4,0)</f>
        <v>2</v>
      </c>
      <c r="M11" s="263" t="str">
        <f t="shared" si="3"/>
        <v xml:space="preserve">D1             </v>
      </c>
    </row>
    <row r="12" spans="1:16">
      <c r="A12" s="431"/>
      <c r="B12" s="429">
        <f t="shared" si="4"/>
        <v>181</v>
      </c>
      <c r="C12" s="429">
        <f t="shared" si="5"/>
        <v>186</v>
      </c>
      <c r="D12" s="430" t="str">
        <f t="shared" si="0"/>
        <v>A1006</v>
      </c>
      <c r="E12" s="430" t="str">
        <f>VLOOKUP(D12,'RCLIPS송신(이지론플러스)_최종'!$B:$E,4,0)</f>
        <v>워크아웃 등록고객</v>
      </c>
      <c r="F12" s="430" t="str">
        <f>VLOOKUP($D12,'RCLIPS송신(이지론플러스)_최종'!$B:$D,2,0)</f>
        <v>String</v>
      </c>
      <c r="G12" s="430">
        <f>VLOOKUP($D12,'RCLIPS송신(이지론플러스)_최종'!$B:$D,3,0)</f>
        <v>1</v>
      </c>
      <c r="H12" s="430" t="str">
        <f t="shared" si="1"/>
        <v xml:space="preserve">0              </v>
      </c>
      <c r="I12" s="263" t="str">
        <f t="shared" si="2"/>
        <v>R0005</v>
      </c>
      <c r="J12" s="263" t="str">
        <f>VLOOKUP($I12,'[5]RCLIPS수신(이지론플러스)_최종'!$C:$F,2,0)</f>
        <v>최장대출가능개월수_실시간</v>
      </c>
      <c r="K12" s="263" t="str">
        <f>VLOOKUP($I12,'[5]RCLIPS수신(이지론플러스)_최종'!$C:$F,3,0)</f>
        <v>Numeric</v>
      </c>
      <c r="L12" s="263">
        <f>VLOOKUP($I12,'[5]RCLIPS수신(이지론플러스)_최종'!$C:$F,4,0)</f>
        <v>5</v>
      </c>
      <c r="M12" s="263" t="str">
        <f t="shared" si="3"/>
        <v>000000000000012</v>
      </c>
    </row>
    <row r="13" spans="1:16">
      <c r="A13" s="263"/>
      <c r="B13" s="429">
        <f t="shared" si="4"/>
        <v>201</v>
      </c>
      <c r="C13" s="429">
        <f t="shared" si="5"/>
        <v>206</v>
      </c>
      <c r="D13" s="430" t="str">
        <f t="shared" si="0"/>
        <v>A1007</v>
      </c>
      <c r="E13" s="430" t="str">
        <f>VLOOKUP(D13,'RCLIPS송신(이지론플러스)_최종'!$B:$E,4,0)</f>
        <v>장기카드대출 연체고객</v>
      </c>
      <c r="F13" s="430" t="str">
        <f>VLOOKUP($D13,'RCLIPS송신(이지론플러스)_최종'!$B:$D,2,0)</f>
        <v>String</v>
      </c>
      <c r="G13" s="430">
        <f>VLOOKUP($D13,'RCLIPS송신(이지론플러스)_최종'!$B:$D,3,0)</f>
        <v>1</v>
      </c>
      <c r="H13" s="430" t="str">
        <f t="shared" si="1"/>
        <v xml:space="preserve">0              </v>
      </c>
      <c r="I13" s="263" t="str">
        <f t="shared" si="2"/>
        <v>R0006</v>
      </c>
      <c r="J13" s="263" t="str">
        <f>VLOOKUP($I13,'[5]RCLIPS수신(이지론플러스)_최종'!$C:$F,2,0)</f>
        <v>최장거치가능개월수_실시간</v>
      </c>
      <c r="K13" s="263" t="str">
        <f>VLOOKUP($I13,'[5]RCLIPS수신(이지론플러스)_최종'!$C:$F,3,0)</f>
        <v>Numeric</v>
      </c>
      <c r="L13" s="263">
        <f>VLOOKUP($I13,'[5]RCLIPS수신(이지론플러스)_최종'!$C:$F,4,0)</f>
        <v>5</v>
      </c>
      <c r="M13" s="263" t="str">
        <f t="shared" si="3"/>
        <v>000000000000000</v>
      </c>
    </row>
    <row r="14" spans="1:16">
      <c r="A14" s="263"/>
      <c r="B14" s="429">
        <f t="shared" si="4"/>
        <v>221</v>
      </c>
      <c r="C14" s="429">
        <f t="shared" si="5"/>
        <v>226</v>
      </c>
      <c r="D14" s="430" t="str">
        <f t="shared" si="0"/>
        <v>A1008</v>
      </c>
      <c r="E14" s="430" t="str">
        <f>VLOOKUP(D14,'RCLIPS송신(이지론플러스)_최종'!$B:$E,4,0)</f>
        <v>요주의 등록고객(신용정보)</v>
      </c>
      <c r="F14" s="430" t="str">
        <f>VLOOKUP($D14,'RCLIPS송신(이지론플러스)_최종'!$B:$D,2,0)</f>
        <v>String</v>
      </c>
      <c r="G14" s="430">
        <f>VLOOKUP($D14,'RCLIPS송신(이지론플러스)_최종'!$B:$D,3,0)</f>
        <v>1</v>
      </c>
      <c r="H14" s="430" t="str">
        <f t="shared" si="1"/>
        <v xml:space="preserve">0              </v>
      </c>
      <c r="I14" s="263" t="str">
        <f t="shared" si="2"/>
        <v>R0007</v>
      </c>
      <c r="J14" s="263" t="str">
        <f>VLOOKUP($I14,'[5]RCLIPS수신(이지론플러스)_최종'!$C:$F,2,0)</f>
        <v>대출탈락사유내용_실시간</v>
      </c>
      <c r="K14" s="263" t="str">
        <f>VLOOKUP($I14,'[5]RCLIPS수신(이지론플러스)_최종'!$C:$F,3,0)</f>
        <v>String</v>
      </c>
      <c r="L14" s="263">
        <f>VLOOKUP($I14,'[5]RCLIPS수신(이지론플러스)_최종'!$C:$F,4,0)</f>
        <v>60</v>
      </c>
      <c r="M14" s="263" t="str">
        <f t="shared" si="3"/>
        <v xml:space="preserve">1              </v>
      </c>
    </row>
    <row r="15" spans="1:16">
      <c r="A15" s="263"/>
      <c r="B15" s="429">
        <f t="shared" si="4"/>
        <v>241</v>
      </c>
      <c r="C15" s="429">
        <f t="shared" si="5"/>
        <v>246</v>
      </c>
      <c r="D15" s="430" t="str">
        <f t="shared" si="0"/>
        <v>A1009</v>
      </c>
      <c r="E15" s="430" t="str">
        <f>VLOOKUP(D15,'RCLIPS송신(이지론플러스)_최종'!$B:$E,4,0)</f>
        <v>신용불량 채무관계제한 등록고객(신용정보)</v>
      </c>
      <c r="F15" s="430" t="str">
        <f>VLOOKUP($D15,'RCLIPS송신(이지론플러스)_최종'!$B:$D,2,0)</f>
        <v>String</v>
      </c>
      <c r="G15" s="430">
        <f>VLOOKUP($D15,'RCLIPS송신(이지론플러스)_최종'!$B:$D,3,0)</f>
        <v>1</v>
      </c>
      <c r="H15" s="430" t="str">
        <f t="shared" si="1"/>
        <v xml:space="preserve">0              </v>
      </c>
      <c r="I15" s="263" t="str">
        <f t="shared" si="2"/>
        <v>R0008</v>
      </c>
      <c r="J15" s="263" t="str">
        <f>VLOOKUP($I15,'[5]RCLIPS수신(이지론플러스)_최종'!$C:$F,2,0)</f>
        <v>정밀심사사유내용</v>
      </c>
      <c r="K15" s="263" t="str">
        <f>VLOOKUP($I15,'[5]RCLIPS수신(이지론플러스)_최종'!$C:$F,3,0)</f>
        <v>String</v>
      </c>
      <c r="L15" s="263">
        <f>VLOOKUP($I15,'[5]RCLIPS수신(이지론플러스)_최종'!$C:$F,4,0)</f>
        <v>60</v>
      </c>
      <c r="M15" s="263" t="str">
        <f t="shared" si="3"/>
        <v xml:space="preserve">               </v>
      </c>
    </row>
    <row r="16" spans="1:16">
      <c r="A16" s="263"/>
      <c r="B16" s="429">
        <f t="shared" si="4"/>
        <v>261</v>
      </c>
      <c r="C16" s="429">
        <f t="shared" si="5"/>
        <v>266</v>
      </c>
      <c r="D16" s="430" t="str">
        <f t="shared" si="0"/>
        <v>A1010</v>
      </c>
      <c r="E16" s="430" t="str">
        <f>VLOOKUP(D16,'RCLIPS송신(이지론플러스)_최종'!$B:$E,4,0)</f>
        <v>은행 사전채무조정 신청자 및 확정자 등록고객(KB 국민은행 정보)</v>
      </c>
      <c r="F16" s="430" t="str">
        <f>VLOOKUP($D16,'RCLIPS송신(이지론플러스)_최종'!$B:$D,2,0)</f>
        <v>String</v>
      </c>
      <c r="G16" s="430">
        <f>VLOOKUP($D16,'RCLIPS송신(이지론플러스)_최종'!$B:$D,3,0)</f>
        <v>1</v>
      </c>
      <c r="H16" s="430" t="str">
        <f t="shared" si="1"/>
        <v xml:space="preserve">0              </v>
      </c>
      <c r="I16" s="263" t="str">
        <f t="shared" si="2"/>
        <v>R0009</v>
      </c>
      <c r="J16" s="263" t="str">
        <f>VLOOKUP($I16,'[5]RCLIPS수신(이지론플러스)_최종'!$C:$F,2,0)</f>
        <v>실시간KO사유내용</v>
      </c>
      <c r="K16" s="263" t="str">
        <f>VLOOKUP($I16,'[5]RCLIPS수신(이지론플러스)_최종'!$C:$F,3,0)</f>
        <v>String</v>
      </c>
      <c r="L16" s="263">
        <f>VLOOKUP($I16,'[5]RCLIPS수신(이지론플러스)_최종'!$C:$F,4,0)</f>
        <v>60</v>
      </c>
      <c r="M16" s="263" t="str">
        <f t="shared" si="3"/>
        <v xml:space="preserve">               </v>
      </c>
    </row>
    <row r="17" spans="1:13">
      <c r="A17" s="263"/>
      <c r="B17" s="429">
        <f t="shared" si="4"/>
        <v>281</v>
      </c>
      <c r="C17" s="429">
        <f t="shared" si="5"/>
        <v>286</v>
      </c>
      <c r="D17" s="430" t="str">
        <f t="shared" si="0"/>
        <v>A1011</v>
      </c>
      <c r="E17" s="430" t="str">
        <f>VLOOKUP(D17,'RCLIPS송신(이지론플러스)_최종'!$B:$E,4,0)</f>
        <v>고객기본정보 구분코드 오류(고객정보)</v>
      </c>
      <c r="F17" s="430" t="str">
        <f>VLOOKUP($D17,'RCLIPS송신(이지론플러스)_최종'!$B:$D,2,0)</f>
        <v>String</v>
      </c>
      <c r="G17" s="430">
        <f>VLOOKUP($D17,'RCLIPS송신(이지론플러스)_최종'!$B:$D,3,0)</f>
        <v>1</v>
      </c>
      <c r="H17" s="430" t="str">
        <f t="shared" si="1"/>
        <v xml:space="preserve">0              </v>
      </c>
      <c r="I17" s="432" t="str">
        <f t="shared" si="2"/>
        <v>R0010</v>
      </c>
      <c r="J17" s="432" t="str">
        <f>VLOOKUP($I17,'[5]RCLIPS수신(이지론플러스)_최종'!$C:$F,2,0)</f>
        <v>KCB추정소득_실시간</v>
      </c>
      <c r="K17" s="432" t="str">
        <f>VLOOKUP($I17,'[5]RCLIPS수신(이지론플러스)_최종'!$C:$F,3,0)</f>
        <v>Numeric</v>
      </c>
      <c r="L17" s="432">
        <f>VLOOKUP($I17,'[5]RCLIPS수신(이지론플러스)_최종'!$C:$F,4,0)</f>
        <v>15</v>
      </c>
      <c r="M17" s="432" t="str">
        <f t="shared" si="3"/>
        <v>000000010280000</v>
      </c>
    </row>
    <row r="18" spans="1:13">
      <c r="A18" s="263"/>
      <c r="B18" s="429">
        <f t="shared" si="4"/>
        <v>301</v>
      </c>
      <c r="C18" s="429">
        <f t="shared" si="5"/>
        <v>306</v>
      </c>
      <c r="D18" s="430" t="str">
        <f t="shared" si="0"/>
        <v>A1012</v>
      </c>
      <c r="E18" s="430" t="str">
        <f>VLOOKUP(D18,'RCLIPS송신(이지론플러스)_최종'!$B:$E,4,0)</f>
        <v>유효회원여부</v>
      </c>
      <c r="F18" s="430" t="str">
        <f>VLOOKUP($D18,'RCLIPS송신(이지론플러스)_최종'!$B:$D,2,0)</f>
        <v>String</v>
      </c>
      <c r="G18" s="430">
        <f>VLOOKUP($D18,'RCLIPS송신(이지론플러스)_최종'!$B:$D,3,0)</f>
        <v>1</v>
      </c>
      <c r="H18" s="430" t="str">
        <f t="shared" si="1"/>
        <v xml:space="preserve">1              </v>
      </c>
      <c r="I18" s="432" t="str">
        <f t="shared" si="2"/>
        <v>R0011</v>
      </c>
      <c r="J18" s="432" t="str">
        <f>VLOOKUP($I18,'[5]RCLIPS수신(이지론플러스)_최종'!$C:$F,2,0)</f>
        <v>NICE추정소득_실시간</v>
      </c>
      <c r="K18" s="432" t="str">
        <f>VLOOKUP($I18,'[5]RCLIPS수신(이지론플러스)_최종'!$C:$F,3,0)</f>
        <v>Numeric</v>
      </c>
      <c r="L18" s="432">
        <f>VLOOKUP($I18,'[5]RCLIPS수신(이지론플러스)_최종'!$C:$F,4,0)</f>
        <v>15</v>
      </c>
      <c r="M18" s="432" t="str">
        <f t="shared" si="3"/>
        <v>000000020000000</v>
      </c>
    </row>
    <row r="19" spans="1:13">
      <c r="A19" s="263"/>
      <c r="B19" s="429">
        <f t="shared" si="4"/>
        <v>321</v>
      </c>
      <c r="C19" s="429">
        <f t="shared" si="5"/>
        <v>326</v>
      </c>
      <c r="D19" s="430" t="str">
        <f t="shared" si="0"/>
        <v>A1013</v>
      </c>
      <c r="E19" s="430" t="str">
        <f>VLOOKUP(D19,'RCLIPS송신(이지론플러스)_최종'!$B:$E,4,0)</f>
        <v>유효고객여부</v>
      </c>
      <c r="F19" s="430" t="str">
        <f>VLOOKUP($D19,'RCLIPS송신(이지론플러스)_최종'!$B:$D,2,0)</f>
        <v>String</v>
      </c>
      <c r="G19" s="430">
        <f>VLOOKUP($D19,'RCLIPS송신(이지론플러스)_최종'!$B:$D,3,0)</f>
        <v>1</v>
      </c>
      <c r="H19" s="430" t="str">
        <f t="shared" si="1"/>
        <v xml:space="preserve">1              </v>
      </c>
      <c r="I19" s="432" t="str">
        <f t="shared" si="2"/>
        <v>R0012</v>
      </c>
      <c r="J19" s="432" t="str">
        <f>VLOOKUP($I19,'[5]RCLIPS수신(이지론플러스)_최종'!$C:$F,2,0)</f>
        <v>평균추정소득_실시간</v>
      </c>
      <c r="K19" s="432" t="str">
        <f>VLOOKUP($I19,'[5]RCLIPS수신(이지론플러스)_최종'!$C:$F,3,0)</f>
        <v>Numeric</v>
      </c>
      <c r="L19" s="432">
        <f>VLOOKUP($I19,'[5]RCLIPS수신(이지론플러스)_최종'!$C:$F,4,0)</f>
        <v>15</v>
      </c>
      <c r="M19" s="432" t="str">
        <f t="shared" si="3"/>
        <v>000000020000000</v>
      </c>
    </row>
    <row r="20" spans="1:13">
      <c r="A20" s="263"/>
      <c r="B20" s="429">
        <f t="shared" si="4"/>
        <v>341</v>
      </c>
      <c r="C20" s="429">
        <f t="shared" si="5"/>
        <v>346</v>
      </c>
      <c r="D20" s="430" t="str">
        <f t="shared" si="0"/>
        <v>A1014</v>
      </c>
      <c r="E20" s="430" t="str">
        <f>VLOOKUP(D20,'RCLIPS송신(이지론플러스)_최종'!$B:$E,4,0)</f>
        <v>신용카드소지여부</v>
      </c>
      <c r="F20" s="430" t="str">
        <f>VLOOKUP($D20,'RCLIPS송신(이지론플러스)_최종'!$B:$D,2,0)</f>
        <v>String</v>
      </c>
      <c r="G20" s="430">
        <f>VLOOKUP($D20,'RCLIPS송신(이지론플러스)_최종'!$B:$D,3,0)</f>
        <v>1</v>
      </c>
      <c r="H20" s="430" t="str">
        <f t="shared" si="1"/>
        <v xml:space="preserve">0              </v>
      </c>
      <c r="I20" s="263" t="str">
        <f t="shared" si="2"/>
        <v>R0013</v>
      </c>
      <c r="J20" s="263" t="str">
        <f>VLOOKUP($I20,'[5]RCLIPS수신(이지론플러스)_최종'!$C:$F,2,0)</f>
        <v>KCB연간원리금_실시간</v>
      </c>
      <c r="K20" s="263" t="str">
        <f>VLOOKUP($I20,'[5]RCLIPS수신(이지론플러스)_최종'!$C:$F,3,0)</f>
        <v>Numeric</v>
      </c>
      <c r="L20" s="263">
        <f>VLOOKUP($I20,'[5]RCLIPS수신(이지론플러스)_최종'!$C:$F,4,0)</f>
        <v>15</v>
      </c>
      <c r="M20" s="263" t="str">
        <f t="shared" si="3"/>
        <v>000000000820000</v>
      </c>
    </row>
    <row r="21" spans="1:13">
      <c r="A21" s="263"/>
      <c r="B21" s="429">
        <f t="shared" si="4"/>
        <v>361</v>
      </c>
      <c r="C21" s="429">
        <f t="shared" si="5"/>
        <v>366</v>
      </c>
      <c r="D21" s="430" t="str">
        <f t="shared" si="0"/>
        <v>A1015</v>
      </c>
      <c r="E21" s="430" t="str">
        <f>VLOOKUP(D21,'RCLIPS송신(이지론플러스)_최종'!$B:$E,4,0)</f>
        <v>체크카드보유여부</v>
      </c>
      <c r="F21" s="430" t="str">
        <f>VLOOKUP($D21,'RCLIPS송신(이지론플러스)_최종'!$B:$D,2,0)</f>
        <v>String</v>
      </c>
      <c r="G21" s="430">
        <f>VLOOKUP($D21,'RCLIPS송신(이지론플러스)_최종'!$B:$D,3,0)</f>
        <v>1</v>
      </c>
      <c r="H21" s="430" t="str">
        <f t="shared" si="1"/>
        <v xml:space="preserve">1              </v>
      </c>
      <c r="I21" s="263" t="str">
        <f t="shared" si="2"/>
        <v>R0014</v>
      </c>
      <c r="J21" s="263" t="str">
        <f>VLOOKUP($I21,'[5]RCLIPS수신(이지론플러스)_최종'!$C:$F,2,0)</f>
        <v>NICE연간원리금_실시간</v>
      </c>
      <c r="K21" s="263" t="str">
        <f>VLOOKUP($I21,'[5]RCLIPS수신(이지론플러스)_최종'!$C:$F,3,0)</f>
        <v>Numeric</v>
      </c>
      <c r="L21" s="263">
        <f>VLOOKUP($I21,'[5]RCLIPS수신(이지론플러스)_최종'!$C:$F,4,0)</f>
        <v>15</v>
      </c>
      <c r="M21" s="263" t="str">
        <f t="shared" si="3"/>
        <v>000000000706000</v>
      </c>
    </row>
    <row r="22" spans="1:13">
      <c r="A22" s="263"/>
      <c r="B22" s="429">
        <f t="shared" si="4"/>
        <v>381</v>
      </c>
      <c r="C22" s="429">
        <f t="shared" si="5"/>
        <v>386</v>
      </c>
      <c r="D22" s="430" t="str">
        <f t="shared" si="0"/>
        <v>A1016</v>
      </c>
      <c r="E22" s="430" t="str">
        <f>VLOOKUP(D22,'RCLIPS송신(이지론플러스)_최종'!$B:$E,4,0)</f>
        <v>가맹점대표자여부</v>
      </c>
      <c r="F22" s="430" t="str">
        <f>VLOOKUP($D22,'RCLIPS송신(이지론플러스)_최종'!$B:$D,2,0)</f>
        <v>String</v>
      </c>
      <c r="G22" s="430">
        <f>VLOOKUP($D22,'RCLIPS송신(이지론플러스)_최종'!$B:$D,3,0)</f>
        <v>1</v>
      </c>
      <c r="H22" s="430" t="str">
        <f t="shared" si="1"/>
        <v xml:space="preserve">0              </v>
      </c>
      <c r="I22" s="263" t="str">
        <f t="shared" si="2"/>
        <v>R0015</v>
      </c>
      <c r="J22" s="263" t="str">
        <f>VLOOKUP($I22,'[5]RCLIPS수신(이지론플러스)_최종'!$C:$F,2,0)</f>
        <v>월가처분소득금액_실시간</v>
      </c>
      <c r="K22" s="263" t="str">
        <f>VLOOKUP($I22,'[5]RCLIPS수신(이지론플러스)_최종'!$C:$F,3,0)</f>
        <v>Numeric</v>
      </c>
      <c r="L22" s="263">
        <f>VLOOKUP($I22,'[5]RCLIPS수신(이지론플러스)_최종'!$C:$F,4,0)</f>
        <v>15</v>
      </c>
      <c r="M22" s="263" t="str">
        <f t="shared" si="3"/>
        <v>000000001607833</v>
      </c>
    </row>
    <row r="23" spans="1:13">
      <c r="A23" s="263"/>
      <c r="B23" s="429">
        <f t="shared" si="4"/>
        <v>401</v>
      </c>
      <c r="C23" s="429">
        <f t="shared" si="5"/>
        <v>406</v>
      </c>
      <c r="D23" s="430" t="str">
        <f t="shared" si="0"/>
        <v>A1017</v>
      </c>
      <c r="E23" s="430" t="str">
        <f>VLOOKUP(D23,'RCLIPS송신(이지론플러스)_최종'!$B:$E,4,0)</f>
        <v>가맹점주등급</v>
      </c>
      <c r="F23" s="430" t="str">
        <f>VLOOKUP($D23,'RCLIPS송신(이지론플러스)_최종'!$B:$D,2,0)</f>
        <v>String</v>
      </c>
      <c r="G23" s="430">
        <f>VLOOKUP($D23,'RCLIPS송신(이지론플러스)_최종'!$B:$D,3,0)</f>
        <v>2</v>
      </c>
      <c r="H23" s="430" t="str">
        <f t="shared" si="1"/>
        <v xml:space="preserve">               </v>
      </c>
      <c r="I23" s="263" t="str">
        <f t="shared" si="2"/>
        <v>R0016</v>
      </c>
      <c r="J23" s="263" t="str">
        <f>VLOOKUP($I23,'[5]RCLIPS수신(이지론플러스)_최종'!$C:$F,2,0)</f>
        <v>반영월가처분소득금액_실시간</v>
      </c>
      <c r="K23" s="263" t="str">
        <f>VLOOKUP($I23,'[5]RCLIPS수신(이지론플러스)_최종'!$C:$F,3,0)</f>
        <v>Numeric</v>
      </c>
      <c r="L23" s="263">
        <f>VLOOKUP($I23,'[5]RCLIPS수신(이지론플러스)_최종'!$C:$F,4,0)</f>
        <v>15</v>
      </c>
      <c r="M23" s="263" t="str">
        <f t="shared" si="3"/>
        <v>000000001125483</v>
      </c>
    </row>
    <row r="24" spans="1:13">
      <c r="A24" s="263"/>
      <c r="B24" s="429">
        <f t="shared" si="4"/>
        <v>421</v>
      </c>
      <c r="C24" s="429">
        <f t="shared" si="5"/>
        <v>426</v>
      </c>
      <c r="D24" s="430" t="str">
        <f t="shared" si="0"/>
        <v>A1018</v>
      </c>
      <c r="E24" s="430" t="str">
        <f>VLOOKUP(D24,'RCLIPS송신(이지론플러스)_최종'!$B:$E,4,0)</f>
        <v>최근 6개월 가맹점 매출액</v>
      </c>
      <c r="F24" s="430" t="str">
        <f>VLOOKUP($D24,'RCLIPS송신(이지론플러스)_최종'!$B:$D,2,0)</f>
        <v>Numeric</v>
      </c>
      <c r="G24" s="430">
        <f>VLOOKUP($D24,'RCLIPS송신(이지론플러스)_최종'!$B:$D,3,0)</f>
        <v>15</v>
      </c>
      <c r="H24" s="430" t="str">
        <f t="shared" si="1"/>
        <v>000000000000000</v>
      </c>
      <c r="I24" s="263" t="str">
        <f t="shared" si="2"/>
        <v>R0017</v>
      </c>
      <c r="J24" s="263" t="str">
        <f>VLOOKUP($I24,'[5]RCLIPS수신(이지론플러스)_최종'!$C:$F,2,0)</f>
        <v>전략DTI율_실시간</v>
      </c>
      <c r="K24" s="263" t="str">
        <f>VLOOKUP($I24,'[5]RCLIPS수신(이지론플러스)_최종'!$C:$F,3,0)</f>
        <v>Numeric</v>
      </c>
      <c r="L24" s="263">
        <f>VLOOKUP($I24,'[5]RCLIPS수신(이지론플러스)_최종'!$C:$F,4,0)</f>
        <v>5</v>
      </c>
      <c r="M24" s="263" t="str">
        <f t="shared" si="3"/>
        <v>000000000003.53</v>
      </c>
    </row>
    <row r="25" spans="1:13">
      <c r="A25" s="263"/>
      <c r="B25" s="429">
        <f t="shared" si="4"/>
        <v>441</v>
      </c>
      <c r="C25" s="429">
        <f t="shared" si="5"/>
        <v>446</v>
      </c>
      <c r="D25" s="430" t="str">
        <f t="shared" si="0"/>
        <v>A1019</v>
      </c>
      <c r="E25" s="430" t="str">
        <f>VLOOKUP(D25,'RCLIPS송신(이지론플러스)_최종'!$B:$E,4,0)</f>
        <v>카드론대출잔액</v>
      </c>
      <c r="F25" s="430" t="str">
        <f>VLOOKUP($D25,'RCLIPS송신(이지론플러스)_최종'!$B:$D,2,0)</f>
        <v>Numeric</v>
      </c>
      <c r="G25" s="430">
        <f>VLOOKUP($D25,'RCLIPS송신(이지론플러스)_최종'!$B:$D,3,0)</f>
        <v>15</v>
      </c>
      <c r="H25" s="430" t="str">
        <f t="shared" si="1"/>
        <v>000000000000000</v>
      </c>
      <c r="I25" s="263" t="str">
        <f t="shared" si="2"/>
        <v>R0018</v>
      </c>
      <c r="J25" s="263" t="str">
        <f>VLOOKUP($I25,'[5]RCLIPS수신(이지론플러스)_최종'!$C:$F,2,0)</f>
        <v>기초한도금액_실시간</v>
      </c>
      <c r="K25" s="263" t="str">
        <f>VLOOKUP($I25,'[5]RCLIPS수신(이지론플러스)_최종'!$C:$F,3,0)</f>
        <v>Numeric</v>
      </c>
      <c r="L25" s="263">
        <f>VLOOKUP($I25,'[5]RCLIPS수신(이지론플러스)_최종'!$C:$F,4,0)</f>
        <v>15</v>
      </c>
      <c r="M25" s="263" t="str">
        <f t="shared" si="3"/>
        <v>000000010181029</v>
      </c>
    </row>
    <row r="26" spans="1:13">
      <c r="A26" s="263"/>
      <c r="B26" s="429">
        <f t="shared" si="4"/>
        <v>461</v>
      </c>
      <c r="C26" s="429">
        <f t="shared" si="5"/>
        <v>466</v>
      </c>
      <c r="D26" s="430" t="str">
        <f t="shared" si="0"/>
        <v>A1020</v>
      </c>
      <c r="E26" s="430" t="str">
        <f>VLOOKUP(D26,'RCLIPS송신(이지론플러스)_최종'!$B:$E,4,0)</f>
        <v>오토론대출잔액</v>
      </c>
      <c r="F26" s="430" t="str">
        <f>VLOOKUP($D26,'RCLIPS송신(이지론플러스)_최종'!$B:$D,2,0)</f>
        <v>Numeric</v>
      </c>
      <c r="G26" s="430">
        <f>VLOOKUP($D26,'RCLIPS송신(이지론플러스)_최종'!$B:$D,3,0)</f>
        <v>15</v>
      </c>
      <c r="H26" s="430" t="str">
        <f t="shared" si="1"/>
        <v>000000000000000</v>
      </c>
      <c r="I26" s="263" t="str">
        <f t="shared" si="2"/>
        <v>R0019</v>
      </c>
      <c r="J26" s="263" t="str">
        <f>VLOOKUP($I26,'[5]RCLIPS수신(이지론플러스)_최종'!$C:$F,2,0)</f>
        <v>연령최고대출가능금액_실시간</v>
      </c>
      <c r="K26" s="263" t="str">
        <f>VLOOKUP($I26,'[5]RCLIPS수신(이지론플러스)_최종'!$C:$F,3,0)</f>
        <v>Numeric</v>
      </c>
      <c r="L26" s="263">
        <f>VLOOKUP($I26,'[5]RCLIPS수신(이지론플러스)_최종'!$C:$F,4,0)</f>
        <v>15</v>
      </c>
      <c r="M26" s="263" t="str">
        <f t="shared" si="3"/>
        <v>000000030000000</v>
      </c>
    </row>
    <row r="27" spans="1:13">
      <c r="A27" s="263"/>
      <c r="B27" s="429">
        <f t="shared" si="4"/>
        <v>481</v>
      </c>
      <c r="C27" s="429">
        <f t="shared" si="5"/>
        <v>486</v>
      </c>
      <c r="D27" s="430" t="str">
        <f t="shared" si="0"/>
        <v>A1021</v>
      </c>
      <c r="E27" s="430" t="str">
        <f>VLOOKUP(D27,'RCLIPS송신(이지론플러스)_최종'!$B:$E,4,0)</f>
        <v>신용대출잔액</v>
      </c>
      <c r="F27" s="430" t="str">
        <f>VLOOKUP($D27,'RCLIPS송신(이지론플러스)_최종'!$B:$D,2,0)</f>
        <v>Numeric</v>
      </c>
      <c r="G27" s="430">
        <f>VLOOKUP($D27,'RCLIPS송신(이지론플러스)_최종'!$B:$D,3,0)</f>
        <v>15</v>
      </c>
      <c r="H27" s="430" t="str">
        <f t="shared" si="1"/>
        <v>000000000000000</v>
      </c>
      <c r="I27" s="263" t="str">
        <f t="shared" si="2"/>
        <v>R0020</v>
      </c>
      <c r="J27" s="263" t="str">
        <f>VLOOKUP($I27,'[5]RCLIPS수신(이지론플러스)_최종'!$C:$F,2,0)</f>
        <v>KCB등급_실시간</v>
      </c>
      <c r="K27" s="263" t="str">
        <f>VLOOKUP($I27,'[5]RCLIPS수신(이지론플러스)_최종'!$C:$F,3,0)</f>
        <v>String</v>
      </c>
      <c r="L27" s="263">
        <f>VLOOKUP($I27,'[5]RCLIPS수신(이지론플러스)_최종'!$C:$F,4,0)</f>
        <v>2</v>
      </c>
      <c r="M27" s="263" t="str">
        <f t="shared" si="3"/>
        <v xml:space="preserve">05             </v>
      </c>
    </row>
    <row r="28" spans="1:13">
      <c r="A28" s="263"/>
      <c r="B28" s="429">
        <f t="shared" si="4"/>
        <v>501</v>
      </c>
      <c r="C28" s="429">
        <f t="shared" si="5"/>
        <v>506</v>
      </c>
      <c r="D28" s="430" t="str">
        <f t="shared" si="0"/>
        <v>A1022</v>
      </c>
      <c r="E28" s="430" t="str">
        <f>VLOOKUP(D28,'RCLIPS송신(이지론플러스)_최종'!$B:$E,4,0)</f>
        <v>대환론대출잔액</v>
      </c>
      <c r="F28" s="430" t="str">
        <f>VLOOKUP($D28,'RCLIPS송신(이지론플러스)_최종'!$B:$D,2,0)</f>
        <v>Numeric</v>
      </c>
      <c r="G28" s="430">
        <f>VLOOKUP($D28,'RCLIPS송신(이지론플러스)_최종'!$B:$D,3,0)</f>
        <v>15</v>
      </c>
      <c r="H28" s="430" t="str">
        <f t="shared" si="1"/>
        <v>000000000000000</v>
      </c>
      <c r="I28" s="263" t="str">
        <f t="shared" si="2"/>
        <v>R0021</v>
      </c>
      <c r="J28" s="263" t="str">
        <f>VLOOKUP($I28,'[5]RCLIPS수신(이지론플러스)_최종'!$C:$F,2,0)</f>
        <v>NICE등급_실시간</v>
      </c>
      <c r="K28" s="263" t="str">
        <f>VLOOKUP($I28,'[5]RCLIPS수신(이지론플러스)_최종'!$C:$F,3,0)</f>
        <v>String</v>
      </c>
      <c r="L28" s="263">
        <f>VLOOKUP($I28,'[5]RCLIPS수신(이지론플러스)_최종'!$C:$F,4,0)</f>
        <v>2</v>
      </c>
      <c r="M28" s="263" t="str">
        <f t="shared" si="3"/>
        <v xml:space="preserve">0004           </v>
      </c>
    </row>
    <row r="29" spans="1:13">
      <c r="A29" s="263"/>
      <c r="B29" s="429">
        <f t="shared" si="4"/>
        <v>521</v>
      </c>
      <c r="C29" s="429">
        <f t="shared" si="5"/>
        <v>526</v>
      </c>
      <c r="D29" s="430" t="str">
        <f t="shared" si="0"/>
        <v>A1023</v>
      </c>
      <c r="E29" s="430" t="str">
        <f>VLOOKUP(D29,'RCLIPS송신(이지론플러스)_최종'!$B:$E,4,0)</f>
        <v>순수비회원신용대출잔액</v>
      </c>
      <c r="F29" s="430" t="str">
        <f>VLOOKUP($D29,'RCLIPS송신(이지론플러스)_최종'!$B:$D,2,0)</f>
        <v>Numeric</v>
      </c>
      <c r="G29" s="430">
        <f>VLOOKUP($D29,'RCLIPS송신(이지론플러스)_최종'!$B:$D,3,0)</f>
        <v>15</v>
      </c>
      <c r="H29" s="430" t="str">
        <f t="shared" si="1"/>
        <v>000000000000000</v>
      </c>
      <c r="I29" s="263" t="str">
        <f t="shared" si="2"/>
        <v>R0022</v>
      </c>
      <c r="J29" s="263" t="str">
        <f>VLOOKUP($I29,'[5]RCLIPS수신(이지론플러스)_최종'!$C:$F,2,0)</f>
        <v>플러스론결합등급_실시간</v>
      </c>
      <c r="K29" s="263" t="str">
        <f>VLOOKUP($I29,'[5]RCLIPS수신(이지론플러스)_최종'!$C:$F,3,0)</f>
        <v>String</v>
      </c>
      <c r="L29" s="263">
        <f>VLOOKUP($I29,'[5]RCLIPS수신(이지론플러스)_최종'!$C:$F,4,0)</f>
        <v>2</v>
      </c>
      <c r="M29" s="263" t="str">
        <f t="shared" si="3"/>
        <v xml:space="preserve">08             </v>
      </c>
    </row>
    <row r="30" spans="1:13">
      <c r="A30" s="263"/>
      <c r="B30" s="429">
        <f t="shared" si="4"/>
        <v>541</v>
      </c>
      <c r="C30" s="429">
        <f t="shared" si="5"/>
        <v>546</v>
      </c>
      <c r="D30" s="430" t="str">
        <f t="shared" si="0"/>
        <v>A1024</v>
      </c>
      <c r="E30" s="430" t="str">
        <f>VLOOKUP(D30,'RCLIPS송신(이지론플러스)_최종'!$B:$E,4,0)</f>
        <v>쉬프트론대출잔액</v>
      </c>
      <c r="F30" s="430" t="str">
        <f>VLOOKUP($D30,'RCLIPS송신(이지론플러스)_최종'!$B:$D,2,0)</f>
        <v>Numeric</v>
      </c>
      <c r="G30" s="430">
        <f>VLOOKUP($D30,'RCLIPS송신(이지론플러스)_최종'!$B:$D,3,0)</f>
        <v>15</v>
      </c>
      <c r="H30" s="430" t="str">
        <f t="shared" si="1"/>
        <v>000000000000000</v>
      </c>
      <c r="I30" s="432" t="str">
        <f t="shared" si="2"/>
        <v>R0023</v>
      </c>
      <c r="J30" s="432" t="str">
        <f>VLOOKUP($I30,'[5]RCLIPS수신(이지론플러스)_최종'!$C:$F,2,0)</f>
        <v>플러스론전략등급_실시간</v>
      </c>
      <c r="K30" s="432" t="str">
        <f>VLOOKUP($I30,'[5]RCLIPS수신(이지론플러스)_최종'!$C:$F,3,0)</f>
        <v>String</v>
      </c>
      <c r="L30" s="432">
        <f>VLOOKUP($I30,'[5]RCLIPS수신(이지론플러스)_최종'!$C:$F,4,0)</f>
        <v>2</v>
      </c>
      <c r="M30" s="432" t="str">
        <f t="shared" si="3"/>
        <v xml:space="preserve">05             </v>
      </c>
    </row>
    <row r="31" spans="1:13">
      <c r="A31" s="263"/>
      <c r="B31" s="429">
        <f t="shared" si="4"/>
        <v>561</v>
      </c>
      <c r="C31" s="429">
        <f t="shared" si="5"/>
        <v>566</v>
      </c>
      <c r="D31" s="430" t="str">
        <f t="shared" si="0"/>
        <v>A1025</v>
      </c>
      <c r="E31" s="430" t="str">
        <f>VLOOKUP(D31,'RCLIPS송신(이지론플러스)_최종'!$B:$E,4,0)</f>
        <v>당사 신용카드 잔액</v>
      </c>
      <c r="F31" s="430" t="str">
        <f>VLOOKUP($D31,'RCLIPS송신(이지론플러스)_최종'!$B:$D,2,0)</f>
        <v>Numeric</v>
      </c>
      <c r="G31" s="430">
        <f>VLOOKUP($D31,'RCLIPS송신(이지론플러스)_최종'!$B:$D,3,0)</f>
        <v>15</v>
      </c>
      <c r="H31" s="430" t="str">
        <f t="shared" si="1"/>
        <v>000000000000000</v>
      </c>
      <c r="I31" s="263" t="str">
        <f t="shared" si="2"/>
        <v>R0024</v>
      </c>
      <c r="J31" s="263" t="str">
        <f>VLOOKUP($I31,'[5]RCLIPS수신(이지론플러스)_최종'!$C:$F,2,0)</f>
        <v>NICESP등급_실시간</v>
      </c>
      <c r="K31" s="263" t="str">
        <f>VLOOKUP($I31,'[5]RCLIPS수신(이지론플러스)_최종'!$C:$F,3,0)</f>
        <v>String</v>
      </c>
      <c r="L31" s="263">
        <f>VLOOKUP($I31,'[5]RCLIPS수신(이지론플러스)_최종'!$C:$F,4,0)</f>
        <v>4</v>
      </c>
      <c r="M31" s="263" t="str">
        <f t="shared" si="3"/>
        <v xml:space="preserve">0003           </v>
      </c>
    </row>
    <row r="32" spans="1:13">
      <c r="A32" s="263"/>
      <c r="B32" s="429">
        <f t="shared" si="4"/>
        <v>581</v>
      </c>
      <c r="C32" s="429">
        <f t="shared" si="5"/>
        <v>586</v>
      </c>
      <c r="D32" s="430" t="str">
        <f t="shared" si="0"/>
        <v>A1026</v>
      </c>
      <c r="E32" s="430" t="str">
        <f>VLOOKUP(D32,'RCLIPS송신(이지론플러스)_최종'!$B:$E,4,0)</f>
        <v>당사 CA 잔액</v>
      </c>
      <c r="F32" s="430" t="str">
        <f>VLOOKUP($D32,'RCLIPS송신(이지론플러스)_최종'!$B:$D,2,0)</f>
        <v>Numeric</v>
      </c>
      <c r="G32" s="430">
        <f>VLOOKUP($D32,'RCLIPS송신(이지론플러스)_최종'!$B:$D,3,0)</f>
        <v>15</v>
      </c>
      <c r="H32" s="430" t="str">
        <f t="shared" si="1"/>
        <v>000000000000000</v>
      </c>
      <c r="I32" s="263" t="str">
        <f t="shared" si="2"/>
        <v>R0025</v>
      </c>
      <c r="J32" s="263" t="str">
        <f>VLOOKUP($I32,'[5]RCLIPS수신(이지론플러스)_최종'!$C:$F,2,0)</f>
        <v>그룹통합모형평점_실시간</v>
      </c>
      <c r="K32" s="263" t="str">
        <f>VLOOKUP($I32,'[5]RCLIPS수신(이지론플러스)_최종'!$C:$F,3,0)</f>
        <v>Numeric</v>
      </c>
      <c r="L32" s="263">
        <f>VLOOKUP($I32,'[5]RCLIPS수신(이지론플러스)_최종'!$C:$F,4,0)</f>
        <v>5</v>
      </c>
      <c r="M32" s="263" t="str">
        <f t="shared" si="3"/>
        <v>000000000000000</v>
      </c>
    </row>
    <row r="33" spans="1:13">
      <c r="A33" s="263"/>
      <c r="B33" s="429">
        <f t="shared" si="4"/>
        <v>601</v>
      </c>
      <c r="C33" s="429">
        <f t="shared" si="5"/>
        <v>606</v>
      </c>
      <c r="D33" s="430" t="str">
        <f t="shared" si="0"/>
        <v>A1027</v>
      </c>
      <c r="E33" s="430" t="str">
        <f>VLOOKUP(D33,'RCLIPS송신(이지론플러스)_최종'!$B:$E,4,0)</f>
        <v>당사 RLS이월잔액</v>
      </c>
      <c r="F33" s="430" t="str">
        <f>VLOOKUP($D33,'RCLIPS송신(이지론플러스)_최종'!$B:$D,2,0)</f>
        <v>Numeric</v>
      </c>
      <c r="G33" s="430">
        <f>VLOOKUP($D33,'RCLIPS송신(이지론플러스)_최종'!$B:$D,3,0)</f>
        <v>15</v>
      </c>
      <c r="H33" s="430" t="str">
        <f t="shared" si="1"/>
        <v>000000000000000</v>
      </c>
      <c r="I33" s="263" t="str">
        <f t="shared" si="2"/>
        <v>R0026</v>
      </c>
      <c r="J33" s="263" t="str">
        <f>VLOOKUP($I33,'[5]RCLIPS수신(이지론플러스)_최종'!$C:$F,2,0)</f>
        <v>그룹통합모형등급_실시간</v>
      </c>
      <c r="K33" s="263" t="str">
        <f>VLOOKUP($I33,'[5]RCLIPS수신(이지론플러스)_최종'!$C:$F,3,0)</f>
        <v>String</v>
      </c>
      <c r="L33" s="263">
        <f>VLOOKUP($I33,'[5]RCLIPS수신(이지론플러스)_최종'!$C:$F,4,0)</f>
        <v>2</v>
      </c>
      <c r="M33" s="263" t="str">
        <f t="shared" si="3"/>
        <v xml:space="preserve">               </v>
      </c>
    </row>
    <row r="34" spans="1:13">
      <c r="A34" s="263"/>
      <c r="B34" s="429">
        <f t="shared" si="4"/>
        <v>621</v>
      </c>
      <c r="C34" s="429">
        <f t="shared" si="5"/>
        <v>626</v>
      </c>
      <c r="D34" s="430" t="str">
        <f t="shared" si="0"/>
        <v>A1028</v>
      </c>
      <c r="E34" s="430" t="str">
        <f>VLOOKUP(D34,'RCLIPS송신(이지론플러스)_최종'!$B:$E,4,0)</f>
        <v>당사 RCA이월잔액</v>
      </c>
      <c r="F34" s="430" t="str">
        <f>VLOOKUP($D34,'RCLIPS송신(이지론플러스)_최종'!$B:$D,2,0)</f>
        <v>Numeric</v>
      </c>
      <c r="G34" s="430">
        <f>VLOOKUP($D34,'RCLIPS송신(이지론플러스)_최종'!$B:$D,3,0)</f>
        <v>15</v>
      </c>
      <c r="H34" s="430" t="str">
        <f t="shared" si="1"/>
        <v>000000000000000</v>
      </c>
      <c r="I34" s="263" t="str">
        <f t="shared" si="2"/>
        <v>R0027</v>
      </c>
      <c r="J34" s="263" t="str">
        <f>VLOOKUP($I34,'[5]RCLIPS수신(이지론플러스)_최종'!$C:$F,2,0)</f>
        <v>그룹통합모형카드등급_실시간</v>
      </c>
      <c r="K34" s="263" t="str">
        <f>VLOOKUP($I34,'[5]RCLIPS수신(이지론플러스)_최종'!$C:$F,3,0)</f>
        <v>String</v>
      </c>
      <c r="L34" s="263">
        <f>VLOOKUP($I34,'[5]RCLIPS수신(이지론플러스)_최종'!$C:$F,4,0)</f>
        <v>2</v>
      </c>
      <c r="M34" s="263" t="str">
        <f t="shared" si="3"/>
        <v xml:space="preserve">               </v>
      </c>
    </row>
    <row r="35" spans="1:13">
      <c r="A35" s="263"/>
      <c r="B35" s="429">
        <f t="shared" si="4"/>
        <v>641</v>
      </c>
      <c r="C35" s="429">
        <f t="shared" si="5"/>
        <v>646</v>
      </c>
      <c r="D35" s="430" t="str">
        <f t="shared" si="0"/>
        <v>A1029</v>
      </c>
      <c r="E35" s="430" t="str">
        <f>VLOOKUP(D35,'RCLIPS송신(이지론플러스)_최종'!$B:$E,4,0)</f>
        <v>매입할부금융잔액</v>
      </c>
      <c r="F35" s="430" t="str">
        <f>VLOOKUP($D35,'RCLIPS송신(이지론플러스)_최종'!$B:$D,2,0)</f>
        <v>Numeric</v>
      </c>
      <c r="G35" s="430">
        <f>VLOOKUP($D35,'RCLIPS송신(이지론플러스)_최종'!$B:$D,3,0)</f>
        <v>15</v>
      </c>
      <c r="H35" s="430" t="str">
        <f t="shared" si="1"/>
        <v>000000000000000</v>
      </c>
      <c r="I35" s="263" t="str">
        <f t="shared" si="2"/>
        <v>R0028</v>
      </c>
      <c r="J35" s="263" t="str">
        <f>VLOOKUP($I35,'[5]RCLIPS수신(이지론플러스)_최종'!$C:$F,2,0)</f>
        <v>그룹통합모형은행등급_실시간</v>
      </c>
      <c r="K35" s="263" t="str">
        <f>VLOOKUP($I35,'[5]RCLIPS수신(이지론플러스)_최종'!$C:$F,3,0)</f>
        <v>String</v>
      </c>
      <c r="L35" s="263">
        <f>VLOOKUP($I35,'[5]RCLIPS수신(이지론플러스)_최종'!$C:$F,4,0)</f>
        <v>2</v>
      </c>
      <c r="M35" s="263" t="str">
        <f t="shared" si="3"/>
        <v xml:space="preserve">               </v>
      </c>
    </row>
    <row r="36" spans="1:13">
      <c r="A36" s="263"/>
      <c r="B36" s="429">
        <f t="shared" si="4"/>
        <v>661</v>
      </c>
      <c r="C36" s="429">
        <f t="shared" si="5"/>
        <v>666</v>
      </c>
      <c r="D36" s="430" t="str">
        <f t="shared" si="0"/>
        <v>A1030</v>
      </c>
      <c r="E36" s="430" t="str">
        <f>VLOOKUP(D36,'RCLIPS송신(이지론플러스)_최종'!$B:$E,4,0)</f>
        <v>부채증명서 발급 경과일수 (단위: 일)</v>
      </c>
      <c r="F36" s="430" t="str">
        <f>VLOOKUP($D36,'RCLIPS송신(이지론플러스)_최종'!$B:$D,2,0)</f>
        <v>Numeric</v>
      </c>
      <c r="G36" s="430">
        <f>VLOOKUP($D36,'RCLIPS송신(이지론플러스)_최종'!$B:$D,3,0)</f>
        <v>15</v>
      </c>
      <c r="H36" s="430" t="str">
        <f t="shared" si="1"/>
        <v>000000000000000</v>
      </c>
      <c r="I36" s="263" t="str">
        <f t="shared" si="2"/>
        <v>R0029</v>
      </c>
      <c r="J36" s="263" t="str">
        <f>VLOOKUP($I36,'[5]RCLIPS수신(이지론플러스)_최종'!$C:$F,2,0)</f>
        <v>미래능력상환지수_실시간</v>
      </c>
      <c r="K36" s="263" t="str">
        <f>VLOOKUP($I36,'[5]RCLIPS수신(이지론플러스)_최종'!$C:$F,3,0)</f>
        <v>String</v>
      </c>
      <c r="L36" s="263">
        <f>VLOOKUP($I36,'[5]RCLIPS수신(이지론플러스)_최종'!$C:$F,4,0)</f>
        <v>2</v>
      </c>
      <c r="M36" s="263" t="str">
        <f t="shared" si="3"/>
        <v xml:space="preserve">03             </v>
      </c>
    </row>
    <row r="37" spans="1:13">
      <c r="A37" s="263"/>
      <c r="B37" s="429">
        <f t="shared" si="4"/>
        <v>681</v>
      </c>
      <c r="C37" s="429">
        <f t="shared" si="5"/>
        <v>686</v>
      </c>
      <c r="D37" s="430" t="str">
        <f t="shared" si="0"/>
        <v>A1031</v>
      </c>
      <c r="E37" s="430" t="str">
        <f>VLOOKUP(D37,'RCLIPS송신(이지론플러스)_최종'!$B:$E,4,0)</f>
        <v>통합총한도금액</v>
      </c>
      <c r="F37" s="430" t="str">
        <f>VLOOKUP($D37,'RCLIPS송신(이지론플러스)_최종'!$B:$D,2,0)</f>
        <v>Numeric</v>
      </c>
      <c r="G37" s="430">
        <f>VLOOKUP($D37,'RCLIPS송신(이지론플러스)_최종'!$B:$D,3,0)</f>
        <v>15</v>
      </c>
      <c r="H37" s="430" t="str">
        <f t="shared" si="1"/>
        <v>000000000000000</v>
      </c>
      <c r="I37" s="263" t="str">
        <f t="shared" si="2"/>
        <v>R0030</v>
      </c>
      <c r="J37" s="263" t="str">
        <f>VLOOKUP($I37,'[5]RCLIPS수신(이지론플러스)_최종'!$C:$F,2,0)</f>
        <v>CB등급최고대출가능금액_실시간</v>
      </c>
      <c r="K37" s="263" t="str">
        <f>VLOOKUP($I37,'[5]RCLIPS수신(이지론플러스)_최종'!$C:$F,3,0)</f>
        <v>Numeric</v>
      </c>
      <c r="L37" s="263">
        <f>VLOOKUP($I37,'[5]RCLIPS수신(이지론플러스)_최종'!$C:$F,4,0)</f>
        <v>15</v>
      </c>
      <c r="M37" s="263" t="str">
        <f t="shared" si="3"/>
        <v>000000004000000</v>
      </c>
    </row>
    <row r="38" spans="1:13">
      <c r="A38" s="263"/>
      <c r="B38" s="429">
        <f t="shared" si="4"/>
        <v>701</v>
      </c>
      <c r="C38" s="429">
        <f t="shared" si="5"/>
        <v>706</v>
      </c>
      <c r="D38" s="430" t="str">
        <f t="shared" si="0"/>
        <v>A1032</v>
      </c>
      <c r="E38" s="430" t="str">
        <f>VLOOKUP(D38,'RCLIPS송신(이지론플러스)_최종'!$B:$E,4,0)</f>
        <v>통합총한도잔액</v>
      </c>
      <c r="F38" s="430" t="str">
        <f>VLOOKUP($D38,'RCLIPS송신(이지론플러스)_최종'!$B:$D,2,0)</f>
        <v>Numeric</v>
      </c>
      <c r="G38" s="430">
        <f>VLOOKUP($D38,'RCLIPS송신(이지론플러스)_최종'!$B:$D,3,0)</f>
        <v>15</v>
      </c>
      <c r="H38" s="430" t="str">
        <f t="shared" si="1"/>
        <v>000000000000000</v>
      </c>
      <c r="I38" s="263" t="str">
        <f t="shared" si="2"/>
        <v>R0031</v>
      </c>
      <c r="J38" s="263" t="str">
        <f>VLOOKUP($I38,'[5]RCLIPS수신(이지론플러스)_최종'!$C:$F,2,0)</f>
        <v>한도조정금액_실시간</v>
      </c>
      <c r="K38" s="263" t="str">
        <f>VLOOKUP($I38,'[5]RCLIPS수신(이지론플러스)_최종'!$C:$F,3,0)</f>
        <v>Numeric</v>
      </c>
      <c r="L38" s="263">
        <f>VLOOKUP($I38,'[5]RCLIPS수신(이지론플러스)_최종'!$C:$F,4,0)</f>
        <v>15</v>
      </c>
      <c r="M38" s="263" t="str">
        <f t="shared" si="3"/>
        <v>000000000000000</v>
      </c>
    </row>
    <row r="39" spans="1:13">
      <c r="A39" s="263"/>
      <c r="B39" s="429">
        <f t="shared" si="4"/>
        <v>721</v>
      </c>
      <c r="C39" s="429">
        <f t="shared" si="5"/>
        <v>726</v>
      </c>
      <c r="D39" s="430" t="str">
        <f t="shared" si="0"/>
        <v>A1033</v>
      </c>
      <c r="E39" s="430" t="str">
        <f>VLOOKUP(D39,'RCLIPS송신(이지론플러스)_최종'!$B:$E,4,0)</f>
        <v>예외승인여부</v>
      </c>
      <c r="F39" s="430" t="str">
        <f>VLOOKUP($D39,'RCLIPS송신(이지론플러스)_최종'!$B:$D,2,0)</f>
        <v>String</v>
      </c>
      <c r="G39" s="430">
        <f>VLOOKUP($D39,'RCLIPS송신(이지론플러스)_최종'!$B:$D,3,0)</f>
        <v>1</v>
      </c>
      <c r="H39" s="430" t="str">
        <f t="shared" si="1"/>
        <v xml:space="preserve">0              </v>
      </c>
      <c r="I39" s="263" t="str">
        <f t="shared" si="2"/>
        <v>R0032</v>
      </c>
      <c r="J39" s="263" t="str">
        <f>VLOOKUP($I39,'[5]RCLIPS수신(이지론플러스)_최종'!$C:$F,2,0)</f>
        <v>고위험군여부_실시간</v>
      </c>
      <c r="K39" s="263" t="str">
        <f>VLOOKUP($I39,'[5]RCLIPS수신(이지론플러스)_최종'!$C:$F,3,0)</f>
        <v>String</v>
      </c>
      <c r="L39" s="263">
        <f>VLOOKUP($I39,'[5]RCLIPS수신(이지론플러스)_최종'!$C:$F,4,0)</f>
        <v>1</v>
      </c>
      <c r="M39" s="263" t="str">
        <f t="shared" si="3"/>
        <v xml:space="preserve">0              </v>
      </c>
    </row>
    <row r="40" spans="1:13">
      <c r="A40" s="263"/>
      <c r="B40" s="429">
        <f t="shared" si="4"/>
        <v>741</v>
      </c>
      <c r="C40" s="429">
        <f t="shared" si="5"/>
        <v>746</v>
      </c>
      <c r="D40" s="430" t="str">
        <f t="shared" si="0"/>
        <v>A1034</v>
      </c>
      <c r="E40" s="430" t="str">
        <f>VLOOKUP(D40,'RCLIPS송신(이지론플러스)_최종'!$B:$E,4,0)</f>
        <v>카드론매체구분코드</v>
      </c>
      <c r="F40" s="430" t="str">
        <f>VLOOKUP($D40,'RCLIPS송신(이지론플러스)_최종'!$B:$D,2,0)</f>
        <v>String</v>
      </c>
      <c r="G40" s="430">
        <f>VLOOKUP($D40,'RCLIPS송신(이지론플러스)_최종'!$B:$D,3,0)</f>
        <v>2</v>
      </c>
      <c r="H40" s="430" t="str">
        <f t="shared" si="1"/>
        <v xml:space="preserve">15             </v>
      </c>
      <c r="I40" s="263" t="str">
        <f t="shared" si="2"/>
        <v>R0033</v>
      </c>
      <c r="J40" s="263" t="str">
        <f>VLOOKUP($I40,'[5]RCLIPS수신(이지론플러스)_최종'!$C:$F,2,0)</f>
        <v>신용등급세그먼트구분_실시간</v>
      </c>
      <c r="K40" s="263" t="str">
        <f>VLOOKUP($I40,'[5]RCLIPS수신(이지론플러스)_최종'!$C:$F,3,0)</f>
        <v>String</v>
      </c>
      <c r="L40" s="263">
        <f>VLOOKUP($I40,'[5]RCLIPS수신(이지론플러스)_최종'!$C:$F,4,0)</f>
        <v>2</v>
      </c>
      <c r="M40" s="263" t="str">
        <f t="shared" si="3"/>
        <v xml:space="preserve">YA             </v>
      </c>
    </row>
    <row r="41" spans="1:13">
      <c r="A41" s="263"/>
      <c r="B41" s="429">
        <f t="shared" si="4"/>
        <v>761</v>
      </c>
      <c r="C41" s="429">
        <f t="shared" si="5"/>
        <v>766</v>
      </c>
      <c r="D41" s="430" t="str">
        <f t="shared" si="0"/>
        <v>A1035</v>
      </c>
      <c r="E41" s="430" t="str">
        <f>VLOOKUP(D41,'RCLIPS송신(이지론플러스)_최종'!$B:$E,4,0)</f>
        <v xml:space="preserve">우대한도소득충족여부 </v>
      </c>
      <c r="F41" s="430" t="str">
        <f>VLOOKUP($D41,'RCLIPS송신(이지론플러스)_최종'!$B:$D,2,0)</f>
        <v>String</v>
      </c>
      <c r="G41" s="430">
        <f>VLOOKUP($D41,'RCLIPS송신(이지론플러스)_최종'!$B:$D,3,0)</f>
        <v>1</v>
      </c>
      <c r="H41" s="430" t="str">
        <f t="shared" si="1"/>
        <v xml:space="preserve">0              </v>
      </c>
      <c r="I41" s="263" t="str">
        <f t="shared" si="2"/>
        <v>R0034</v>
      </c>
      <c r="J41" s="263" t="str">
        <f>VLOOKUP($I41,'[5]RCLIPS수신(이지론플러스)_최종'!$C:$F,2,0)</f>
        <v>최종신용등급세그먼트구분_실시간</v>
      </c>
      <c r="K41" s="263" t="str">
        <f>VLOOKUP($I41,'[5]RCLIPS수신(이지론플러스)_최종'!$C:$F,3,0)</f>
        <v>String</v>
      </c>
      <c r="L41" s="263">
        <f>VLOOKUP($I41,'[5]RCLIPS수신(이지론플러스)_최종'!$C:$F,4,0)</f>
        <v>2</v>
      </c>
      <c r="M41" s="263" t="str">
        <f t="shared" si="3"/>
        <v xml:space="preserve">               </v>
      </c>
    </row>
    <row r="42" spans="1:13">
      <c r="A42" s="263"/>
      <c r="B42" s="429">
        <f t="shared" si="4"/>
        <v>781</v>
      </c>
      <c r="C42" s="429">
        <f t="shared" si="5"/>
        <v>786</v>
      </c>
      <c r="D42" s="430" t="str">
        <f t="shared" si="0"/>
        <v>A1036</v>
      </c>
      <c r="E42" s="430" t="str">
        <f>VLOOKUP(D42,'RCLIPS송신(이지론플러스)_최종'!$B:$E,4,0)</f>
        <v>신용BSS모형구분</v>
      </c>
      <c r="F42" s="430" t="str">
        <f>VLOOKUP($D42,'RCLIPS송신(이지론플러스)_최종'!$B:$D,2,0)</f>
        <v>String</v>
      </c>
      <c r="G42" s="430">
        <f>VLOOKUP($D42,'RCLIPS송신(이지론플러스)_최종'!$B:$D,3,0)</f>
        <v>2</v>
      </c>
      <c r="H42" s="430" t="str">
        <f t="shared" si="1"/>
        <v xml:space="preserve">PB             </v>
      </c>
      <c r="I42" s="263" t="str">
        <f t="shared" si="2"/>
        <v>R0035</v>
      </c>
      <c r="J42" s="263" t="str">
        <f>VLOOKUP($I42,'[5]RCLIPS수신(이지론플러스)_최종'!$C:$F,2,0)</f>
        <v>최고대출가능금액세그먼트구분_실시간</v>
      </c>
      <c r="K42" s="263" t="str">
        <f>VLOOKUP($I42,'[5]RCLIPS수신(이지론플러스)_최종'!$C:$F,3,0)</f>
        <v>String</v>
      </c>
      <c r="L42" s="263">
        <f>VLOOKUP($I42,'[5]RCLIPS수신(이지론플러스)_최종'!$C:$F,4,0)</f>
        <v>2</v>
      </c>
      <c r="M42" s="263" t="str">
        <f t="shared" si="3"/>
        <v xml:space="preserve">               </v>
      </c>
    </row>
    <row r="43" spans="1:13">
      <c r="A43" s="263"/>
      <c r="B43" s="429">
        <f t="shared" si="4"/>
        <v>801</v>
      </c>
      <c r="C43" s="429">
        <f t="shared" si="5"/>
        <v>806</v>
      </c>
      <c r="D43" s="430" t="str">
        <f t="shared" si="0"/>
        <v>A1037</v>
      </c>
      <c r="E43" s="430" t="str">
        <f>VLOOKUP(D43,'RCLIPS송신(이지론플러스)_최종'!$B:$E,4,0)</f>
        <v>카드론금리등급구분코드</v>
      </c>
      <c r="F43" s="430" t="str">
        <f>VLOOKUP($D43,'RCLIPS송신(이지론플러스)_최종'!$B:$D,2,0)</f>
        <v>String</v>
      </c>
      <c r="G43" s="430">
        <f>VLOOKUP($D43,'RCLIPS송신(이지론플러스)_최종'!$B:$D,3,0)</f>
        <v>2</v>
      </c>
      <c r="H43" s="430" t="str">
        <f t="shared" si="1"/>
        <v xml:space="preserve">D1             </v>
      </c>
      <c r="I43" s="263" t="str">
        <f t="shared" si="2"/>
        <v>R0036</v>
      </c>
      <c r="J43" s="263" t="str">
        <f>VLOOKUP($I43,'[5]RCLIPS수신(이지론플러스)_최종'!$C:$F,2,0)</f>
        <v>세그먼트최고대출가능금액_실시간</v>
      </c>
      <c r="K43" s="263" t="str">
        <f>VLOOKUP($I43,'[5]RCLIPS수신(이지론플러스)_최종'!$C:$F,3,0)</f>
        <v>Numeric</v>
      </c>
      <c r="L43" s="263">
        <f>VLOOKUP($I43,'[5]RCLIPS수신(이지론플러스)_최종'!$C:$F,4,0)</f>
        <v>15</v>
      </c>
      <c r="M43" s="263" t="str">
        <f t="shared" si="3"/>
        <v>000000000000000</v>
      </c>
    </row>
    <row r="44" spans="1:13">
      <c r="A44" s="263"/>
      <c r="B44" s="429">
        <f t="shared" si="4"/>
        <v>821</v>
      </c>
      <c r="C44" s="429">
        <f t="shared" si="5"/>
        <v>826</v>
      </c>
      <c r="D44" s="430" t="str">
        <f t="shared" si="0"/>
        <v>A1038</v>
      </c>
      <c r="E44" s="430" t="str">
        <f>VLOOKUP(D44,'RCLIPS송신(이지론플러스)_최종'!$B:$E,4,0)</f>
        <v>카드론한도금액</v>
      </c>
      <c r="F44" s="430" t="str">
        <f>VLOOKUP($D44,'RCLIPS송신(이지론플러스)_최종'!$B:$D,2,0)</f>
        <v>Numeric</v>
      </c>
      <c r="G44" s="430">
        <f>VLOOKUP($D44,'RCLIPS송신(이지론플러스)_최종'!$B:$D,3,0)</f>
        <v>15</v>
      </c>
      <c r="H44" s="430" t="str">
        <f t="shared" si="1"/>
        <v>000000007000000</v>
      </c>
      <c r="I44" s="263" t="str">
        <f t="shared" si="2"/>
        <v>R0037</v>
      </c>
      <c r="J44" s="263" t="str">
        <f>VLOOKUP($I44,'[5]RCLIPS수신(이지론플러스)_최종'!$C:$F,2,0)</f>
        <v>DTI율가이드적용금액_실시간</v>
      </c>
      <c r="K44" s="263" t="str">
        <f>VLOOKUP($I44,'[5]RCLIPS수신(이지론플러스)_최종'!$C:$F,3,0)</f>
        <v>Numeric</v>
      </c>
      <c r="L44" s="263">
        <f>VLOOKUP($I44,'[5]RCLIPS수신(이지론플러스)_최종'!$C:$F,4,0)</f>
        <v>15</v>
      </c>
      <c r="M44" s="263" t="str">
        <f t="shared" si="3"/>
        <v>000000000000000</v>
      </c>
    </row>
    <row r="45" spans="1:13">
      <c r="A45" s="263"/>
      <c r="B45" s="429">
        <f t="shared" si="4"/>
        <v>841</v>
      </c>
      <c r="C45" s="429">
        <f t="shared" si="5"/>
        <v>846</v>
      </c>
      <c r="D45" s="430" t="str">
        <f t="shared" si="0"/>
        <v>A1039</v>
      </c>
      <c r="E45" s="430" t="str">
        <f>VLOOKUP(D45,'RCLIPS송신(이지론플러스)_최종'!$B:$E,4,0)</f>
        <v>일시상환한도금액</v>
      </c>
      <c r="F45" s="430" t="str">
        <f>VLOOKUP($D45,'RCLIPS송신(이지론플러스)_최종'!$B:$D,2,0)</f>
        <v>Numeric</v>
      </c>
      <c r="G45" s="430">
        <f>VLOOKUP($D45,'RCLIPS송신(이지론플러스)_최종'!$B:$D,3,0)</f>
        <v>15</v>
      </c>
      <c r="H45" s="430" t="str">
        <f t="shared" si="1"/>
        <v>000000000000000</v>
      </c>
      <c r="I45" s="263" t="str">
        <f t="shared" si="2"/>
        <v>R0038</v>
      </c>
      <c r="J45" s="263" t="str">
        <f>VLOOKUP($I45,'[5]RCLIPS수신(이지론플러스)_최종'!$C:$F,2,0)</f>
        <v>예비대출가능금액_실시간</v>
      </c>
      <c r="K45" s="263" t="str">
        <f>VLOOKUP($I45,'[5]RCLIPS수신(이지론플러스)_최종'!$C:$F,3,0)</f>
        <v>Numeric</v>
      </c>
      <c r="L45" s="263">
        <f>VLOOKUP($I45,'[5]RCLIPS수신(이지론플러스)_최종'!$C:$F,4,0)</f>
        <v>15</v>
      </c>
      <c r="M45" s="263" t="str">
        <f t="shared" si="3"/>
        <v>000000004000000</v>
      </c>
    </row>
    <row r="46" spans="1:13">
      <c r="A46" s="263"/>
      <c r="B46" s="429">
        <f t="shared" si="4"/>
        <v>861</v>
      </c>
      <c r="C46" s="429">
        <f t="shared" si="5"/>
        <v>866</v>
      </c>
      <c r="D46" s="430" t="str">
        <f t="shared" si="0"/>
        <v>A1040</v>
      </c>
      <c r="E46" s="430" t="str">
        <f>VLOOKUP(D46,'RCLIPS송신(이지론플러스)_최종'!$B:$E,4,0)</f>
        <v>분할상환대출기간수</v>
      </c>
      <c r="F46" s="430" t="str">
        <f>VLOOKUP($D46,'RCLIPS송신(이지론플러스)_최종'!$B:$D,2,0)</f>
        <v>Numeric</v>
      </c>
      <c r="G46" s="430">
        <f>VLOOKUP($D46,'RCLIPS송신(이지론플러스)_최종'!$B:$D,3,0)</f>
        <v>15</v>
      </c>
      <c r="H46" s="430" t="str">
        <f t="shared" si="1"/>
        <v>000000000000018</v>
      </c>
      <c r="I46" s="263" t="str">
        <f t="shared" si="2"/>
        <v>R0039</v>
      </c>
      <c r="J46" s="263" t="str">
        <f>VLOOKUP($I46,'[5]RCLIPS수신(이지론플러스)_최종'!$C:$F,2,0)</f>
        <v>우대전최종대출가능금액_실시간</v>
      </c>
      <c r="K46" s="263" t="str">
        <f>VLOOKUP($I46,'[5]RCLIPS수신(이지론플러스)_최종'!$C:$F,3,0)</f>
        <v>Numeric</v>
      </c>
      <c r="L46" s="263">
        <f>VLOOKUP($I46,'[5]RCLIPS수신(이지론플러스)_최종'!$C:$F,4,0)</f>
        <v>15</v>
      </c>
      <c r="M46" s="263" t="str">
        <f t="shared" si="3"/>
        <v>000000000000000</v>
      </c>
    </row>
    <row r="47" spans="1:13">
      <c r="A47" s="263"/>
      <c r="B47" s="429">
        <f>C46+15</f>
        <v>881</v>
      </c>
      <c r="C47" s="429">
        <f t="shared" si="5"/>
        <v>886</v>
      </c>
      <c r="D47" s="430" t="str">
        <f t="shared" si="0"/>
        <v>A1041</v>
      </c>
      <c r="E47" s="430" t="str">
        <f>VLOOKUP(D47,'RCLIPS송신(이지론플러스)_최종'!$B:$E,4,0)</f>
        <v>거치기간수</v>
      </c>
      <c r="F47" s="430" t="str">
        <f>VLOOKUP($D47,'RCLIPS송신(이지론플러스)_최종'!$B:$D,2,0)</f>
        <v>Numeric</v>
      </c>
      <c r="G47" s="430">
        <f>VLOOKUP($D47,'RCLIPS송신(이지론플러스)_최종'!$B:$D,3,0)</f>
        <v>15</v>
      </c>
      <c r="H47" s="430" t="str">
        <f t="shared" si="1"/>
        <v>000000000000003</v>
      </c>
      <c r="I47" s="263" t="str">
        <f t="shared" si="2"/>
        <v>R0040</v>
      </c>
      <c r="J47" s="263" t="str">
        <f>VLOOKUP($I47,'[5]RCLIPS수신(이지론플러스)_최종'!$C:$F,2,0)</f>
        <v>소액한도대상여부_실시간</v>
      </c>
      <c r="K47" s="263" t="str">
        <f>VLOOKUP($I47,'[5]RCLIPS수신(이지론플러스)_최종'!$C:$F,3,0)</f>
        <v>String</v>
      </c>
      <c r="L47" s="263">
        <f>VLOOKUP($I47,'[5]RCLIPS수신(이지론플러스)_최종'!$C:$F,4,0)</f>
        <v>1</v>
      </c>
      <c r="M47" s="263" t="str">
        <f t="shared" si="3"/>
        <v xml:space="preserve">0              </v>
      </c>
    </row>
    <row r="48" spans="1:13">
      <c r="A48" s="263"/>
      <c r="B48" s="429">
        <f t="shared" si="4"/>
        <v>901</v>
      </c>
      <c r="C48" s="429">
        <f t="shared" si="5"/>
        <v>906</v>
      </c>
      <c r="D48" s="430" t="str">
        <f t="shared" si="0"/>
        <v>A1050</v>
      </c>
      <c r="E48" s="430" t="str">
        <f>VLOOKUP(D48,'RCLIPS송신(이지론플러스)_최종'!$B:$E,4,0)</f>
        <v>대출상환유예차주여부</v>
      </c>
      <c r="F48" s="430" t="str">
        <f>VLOOKUP($D48,'RCLIPS송신(이지론플러스)_최종'!$B:$D,2,0)</f>
        <v>String</v>
      </c>
      <c r="G48" s="430">
        <f>VLOOKUP($D48,'RCLIPS송신(이지론플러스)_최종'!$B:$D,3,0)</f>
        <v>1</v>
      </c>
      <c r="H48" s="430" t="str">
        <f t="shared" si="1"/>
        <v xml:space="preserve">0              </v>
      </c>
      <c r="I48" s="263" t="str">
        <f t="shared" si="2"/>
        <v>R0041</v>
      </c>
      <c r="J48" s="263" t="str">
        <f>VLOOKUP($I48,'[5]RCLIPS수신(이지론플러스)_최종'!$C:$F,2,0)</f>
        <v>우대대출가능금액_실시간</v>
      </c>
      <c r="K48" s="263" t="str">
        <f>VLOOKUP($I48,'[5]RCLIPS수신(이지론플러스)_최종'!$C:$F,3,0)</f>
        <v>Numeric</v>
      </c>
      <c r="L48" s="263">
        <f>VLOOKUP($I48,'[5]RCLIPS수신(이지론플러스)_최종'!$C:$F,4,0)</f>
        <v>15</v>
      </c>
      <c r="M48" s="263" t="str">
        <f t="shared" si="3"/>
        <v>000000000000000</v>
      </c>
    </row>
    <row r="49" spans="1:13">
      <c r="A49" s="263"/>
      <c r="B49" s="429">
        <f t="shared" si="4"/>
        <v>921</v>
      </c>
      <c r="C49" s="429">
        <f t="shared" si="5"/>
        <v>926</v>
      </c>
      <c r="D49" s="430" t="str">
        <f t="shared" si="0"/>
        <v>A2000</v>
      </c>
      <c r="E49" s="430" t="str">
        <f>VLOOKUP(D49,'RCLIPS송신(이지론플러스)_최종'!$B:$E,4,0)</f>
        <v>중고차대출잔액</v>
      </c>
      <c r="F49" s="430" t="str">
        <f>VLOOKUP($D49,'RCLIPS송신(이지론플러스)_최종'!$B:$D,2,0)</f>
        <v>Numeric</v>
      </c>
      <c r="G49" s="430">
        <f>VLOOKUP($D49,'RCLIPS송신(이지론플러스)_최종'!$B:$D,3,0)</f>
        <v>15</v>
      </c>
      <c r="H49" s="430" t="str">
        <f t="shared" si="1"/>
        <v>000000000000000</v>
      </c>
      <c r="I49" s="263" t="str">
        <f t="shared" si="2"/>
        <v>R0042</v>
      </c>
      <c r="J49" s="263" t="str">
        <f>VLOOKUP($I49,'[5]RCLIPS수신(이지론플러스)_최종'!$C:$F,2,0)</f>
        <v>소개영업대상여부_실시간</v>
      </c>
      <c r="K49" s="263" t="str">
        <f>VLOOKUP($I49,'[5]RCLIPS수신(이지론플러스)_최종'!$C:$F,3,0)</f>
        <v>String</v>
      </c>
      <c r="L49" s="263">
        <f>VLOOKUP($I49,'[5]RCLIPS수신(이지론플러스)_최종'!$C:$F,4,0)</f>
        <v>1</v>
      </c>
      <c r="M49" s="263" t="str">
        <f t="shared" si="3"/>
        <v xml:space="preserve">7              </v>
      </c>
    </row>
    <row r="50" spans="1:13">
      <c r="A50" s="263"/>
      <c r="B50" s="429">
        <f t="shared" si="4"/>
        <v>941</v>
      </c>
      <c r="C50" s="429">
        <f t="shared" si="5"/>
        <v>946</v>
      </c>
      <c r="D50" s="430" t="str">
        <f t="shared" si="0"/>
        <v>A2001</v>
      </c>
      <c r="E50" s="430" t="str">
        <f>VLOOKUP(D50,'RCLIPS송신(이지론플러스)_최종'!$B:$E,4,0)</f>
        <v>대출탈락사유내용</v>
      </c>
      <c r="F50" s="430" t="str">
        <f>VLOOKUP($D50,'RCLIPS송신(이지론플러스)_최종'!$B:$D,2,0)</f>
        <v>String</v>
      </c>
      <c r="G50" s="430">
        <f>VLOOKUP($D50,'RCLIPS송신(이지론플러스)_최종'!$B:$D,3,0)</f>
        <v>60</v>
      </c>
      <c r="H50" s="430" t="str">
        <f t="shared" si="1"/>
        <v xml:space="preserve">               </v>
      </c>
      <c r="I50" s="263" t="str">
        <f t="shared" si="2"/>
        <v>R0048</v>
      </c>
      <c r="J50" s="263" t="str">
        <f>VLOOKUP($I50,'[5]RCLIPS수신(이지론플러스)_최종'!$C:$F,2,0)</f>
        <v>은행신용대출금액_실시간</v>
      </c>
      <c r="K50" s="263" t="str">
        <f>VLOOKUP($I50,'[5]RCLIPS수신(이지론플러스)_최종'!$C:$F,3,0)</f>
        <v>Numeric</v>
      </c>
      <c r="L50" s="263">
        <f>VLOOKUP($I50,'[5]RCLIPS수신(이지론플러스)_최종'!$C:$F,4,0)</f>
        <v>15</v>
      </c>
      <c r="M50" s="263" t="str">
        <f t="shared" si="3"/>
        <v>000000000000000</v>
      </c>
    </row>
    <row r="51" spans="1:13">
      <c r="A51" s="263"/>
      <c r="B51" s="429">
        <f t="shared" si="4"/>
        <v>961</v>
      </c>
      <c r="C51" s="429">
        <f t="shared" si="5"/>
        <v>966</v>
      </c>
      <c r="D51" s="430" t="str">
        <f t="shared" si="0"/>
        <v>A2002</v>
      </c>
      <c r="E51" s="430" t="str">
        <f>VLOOKUP(D51,'RCLIPS송신(이지론플러스)_최종'!$B:$E,4,0)</f>
        <v>KCB스코어정보보유여부</v>
      </c>
      <c r="F51" s="430" t="str">
        <f>VLOOKUP($D51,'RCLIPS송신(이지론플러스)_최종'!$B:$D,2,0)</f>
        <v>String</v>
      </c>
      <c r="G51" s="430">
        <f>VLOOKUP($D51,'RCLIPS송신(이지론플러스)_최종'!$B:$D,3,0)</f>
        <v>1</v>
      </c>
      <c r="H51" s="430" t="str">
        <f t="shared" si="1"/>
        <v xml:space="preserve">1              </v>
      </c>
      <c r="I51" s="263" t="str">
        <f t="shared" si="2"/>
        <v>R0049</v>
      </c>
      <c r="J51" s="263" t="str">
        <f>VLOOKUP($I51,'[5]RCLIPS수신(이지론플러스)_최종'!$C:$F,2,0)</f>
        <v>비은행권신용대출금액_실시간</v>
      </c>
      <c r="K51" s="263" t="str">
        <f>VLOOKUP($I51,'[5]RCLIPS수신(이지론플러스)_최종'!$C:$F,3,0)</f>
        <v>Numeric</v>
      </c>
      <c r="L51" s="263">
        <f>VLOOKUP($I51,'[5]RCLIPS수신(이지론플러스)_최종'!$C:$F,4,0)</f>
        <v>15</v>
      </c>
      <c r="M51" s="263" t="str">
        <f t="shared" si="3"/>
        <v>000000000000000</v>
      </c>
    </row>
    <row r="52" spans="1:13">
      <c r="A52" s="263"/>
      <c r="B52" s="429">
        <f t="shared" si="4"/>
        <v>981</v>
      </c>
      <c r="C52" s="429">
        <f t="shared" si="5"/>
        <v>986</v>
      </c>
      <c r="D52" s="430" t="str">
        <f t="shared" si="0"/>
        <v>A2003</v>
      </c>
      <c r="E52" s="430" t="str">
        <f>VLOOKUP(D52,'RCLIPS송신(이지론플러스)_최종'!$B:$E,4,0)</f>
        <v>KCB프로파일정보보유여부</v>
      </c>
      <c r="F52" s="430" t="str">
        <f>VLOOKUP($D52,'RCLIPS송신(이지론플러스)_최종'!$B:$D,2,0)</f>
        <v>String</v>
      </c>
      <c r="G52" s="430">
        <f>VLOOKUP($D52,'RCLIPS송신(이지론플러스)_최종'!$B:$D,3,0)</f>
        <v>1</v>
      </c>
      <c r="H52" s="430" t="str">
        <f t="shared" si="1"/>
        <v xml:space="preserve">1              </v>
      </c>
      <c r="I52" s="263" t="str">
        <f t="shared" si="2"/>
        <v>R0050</v>
      </c>
      <c r="J52" s="263" t="str">
        <f>VLOOKUP($I52,'[5]RCLIPS수신(이지론플러스)_최종'!$C:$F,2,0)</f>
        <v>인정소득</v>
      </c>
      <c r="K52" s="263" t="str">
        <f>VLOOKUP($I52,'[5]RCLIPS수신(이지론플러스)_최종'!$C:$F,3,0)</f>
        <v>Numeric</v>
      </c>
      <c r="L52" s="263">
        <f>VLOOKUP($I52,'[5]RCLIPS수신(이지론플러스)_최종'!$C:$F,4,0)</f>
        <v>15</v>
      </c>
      <c r="M52" s="263" t="str">
        <f t="shared" si="3"/>
        <v>000000016000000</v>
      </c>
    </row>
    <row r="53" spans="1:13">
      <c r="A53" s="263"/>
      <c r="B53" s="429">
        <f t="shared" si="4"/>
        <v>1001</v>
      </c>
      <c r="C53" s="429">
        <f t="shared" si="5"/>
        <v>1006</v>
      </c>
      <c r="D53" s="430" t="str">
        <f t="shared" si="0"/>
        <v>A2004</v>
      </c>
      <c r="E53" s="430" t="str">
        <f>VLOOKUP(D53,'RCLIPS송신(이지론플러스)_최종'!$B:$E,4,0)</f>
        <v>NICE스코어정보보유여부</v>
      </c>
      <c r="F53" s="430" t="str">
        <f>VLOOKUP($D53,'RCLIPS송신(이지론플러스)_최종'!$B:$D,2,0)</f>
        <v>String</v>
      </c>
      <c r="G53" s="430">
        <f>VLOOKUP($D53,'RCLIPS송신(이지론플러스)_최종'!$B:$D,3,0)</f>
        <v>1</v>
      </c>
      <c r="H53" s="430" t="str">
        <f t="shared" si="1"/>
        <v xml:space="preserve">1              </v>
      </c>
      <c r="I53" s="263" t="str">
        <f t="shared" si="2"/>
        <v>R0051</v>
      </c>
      <c r="J53" s="263" t="str">
        <f>VLOOKUP($I53,'[5]RCLIPS수신(이지론플러스)_최종'!$C:$F,2,0)</f>
        <v>신정원원리금상환금액</v>
      </c>
      <c r="K53" s="263" t="str">
        <f>VLOOKUP($I53,'[5]RCLIPS수신(이지론플러스)_최종'!$C:$F,3,0)</f>
        <v>Numeric</v>
      </c>
      <c r="L53" s="263">
        <f>VLOOKUP($I53,'[5]RCLIPS수신(이지론플러스)_최종'!$C:$F,4,0)</f>
        <v>15</v>
      </c>
      <c r="M53" s="263" t="str">
        <f t="shared" si="3"/>
        <v>000000000777000</v>
      </c>
    </row>
    <row r="54" spans="1:13">
      <c r="A54" s="263"/>
      <c r="B54" s="429">
        <f t="shared" si="4"/>
        <v>1021</v>
      </c>
      <c r="C54" s="429">
        <f t="shared" si="5"/>
        <v>1026</v>
      </c>
      <c r="D54" s="430" t="str">
        <f t="shared" si="0"/>
        <v>A2005</v>
      </c>
      <c r="E54" s="430" t="str">
        <f>VLOOKUP(D54,'RCLIPS송신(이지론플러스)_최종'!$B:$E,4,0)</f>
        <v>NICE프로파일정보보유여부</v>
      </c>
      <c r="F54" s="430" t="str">
        <f>VLOOKUP($D54,'RCLIPS송신(이지론플러스)_최종'!$B:$D,2,0)</f>
        <v>String</v>
      </c>
      <c r="G54" s="430">
        <f>VLOOKUP($D54,'RCLIPS송신(이지론플러스)_최종'!$B:$D,3,0)</f>
        <v>1</v>
      </c>
      <c r="H54" s="430" t="str">
        <f t="shared" si="1"/>
        <v xml:space="preserve">1              </v>
      </c>
      <c r="I54" s="432" t="str">
        <f t="shared" si="2"/>
        <v>R0052</v>
      </c>
      <c r="J54" s="432" t="str">
        <f>VLOOKUP($I54,'[5]RCLIPS수신(이지론플러스)_최종'!$C:$F,2,0)</f>
        <v>금감원DSR제한한도분할</v>
      </c>
      <c r="K54" s="432" t="str">
        <f>VLOOKUP($I54,'[5]RCLIPS수신(이지론플러스)_최종'!$C:$F,3,0)</f>
        <v>Numeric</v>
      </c>
      <c r="L54" s="432">
        <f>VLOOKUP($I54,'[5]RCLIPS수신(이지론플러스)_최종'!$C:$F,4,0)</f>
        <v>15</v>
      </c>
      <c r="M54" s="432" t="str">
        <f t="shared" si="3"/>
        <v>00000000009.7E7</v>
      </c>
    </row>
    <row r="55" spans="1:13">
      <c r="A55" s="263"/>
      <c r="B55" s="429">
        <f t="shared" si="4"/>
        <v>1041</v>
      </c>
      <c r="C55" s="429">
        <f t="shared" si="5"/>
        <v>1046</v>
      </c>
      <c r="D55" s="430" t="str">
        <f t="shared" si="0"/>
        <v>A2008</v>
      </c>
      <c r="E55" s="430" t="str">
        <f>VLOOKUP(D55,'RCLIPS송신(이지론플러스)_최종'!$B:$E,4,0)</f>
        <v>은행신용대출금액</v>
      </c>
      <c r="F55" s="430" t="str">
        <f>VLOOKUP($D55,'RCLIPS송신(이지론플러스)_최종'!$B:$D,2,0)</f>
        <v>Numeric</v>
      </c>
      <c r="G55" s="430">
        <f>VLOOKUP($D55,'RCLIPS송신(이지론플러스)_최종'!$B:$D,3,0)</f>
        <v>15</v>
      </c>
      <c r="H55" s="430" t="str">
        <f t="shared" si="1"/>
        <v>000000003000000</v>
      </c>
      <c r="I55" s="263" t="str">
        <f t="shared" si="2"/>
        <v>R0053</v>
      </c>
      <c r="J55" s="263" t="str">
        <f>VLOOKUP($I55,'[5]RCLIPS수신(이지론플러스)_최종'!$C:$F,2,0)</f>
        <v>그룹다중채무세그먼트등급_실시간</v>
      </c>
      <c r="K55" s="263" t="str">
        <f>VLOOKUP($I55,'[5]RCLIPS수신(이지론플러스)_최종'!$C:$F,3,0)</f>
        <v>String</v>
      </c>
      <c r="L55" s="263">
        <f>VLOOKUP($I55,'[5]RCLIPS수신(이지론플러스)_최종'!$C:$F,4,0)</f>
        <v>20</v>
      </c>
      <c r="M55" s="263" t="str">
        <f t="shared" si="3"/>
        <v xml:space="preserve">01             </v>
      </c>
    </row>
    <row r="56" spans="1:13">
      <c r="A56" s="263"/>
      <c r="B56" s="429">
        <f t="shared" si="4"/>
        <v>1061</v>
      </c>
      <c r="C56" s="429">
        <f t="shared" si="5"/>
        <v>1066</v>
      </c>
      <c r="D56" s="430" t="str">
        <f t="shared" si="0"/>
        <v>A2009</v>
      </c>
      <c r="E56" s="430" t="str">
        <f>VLOOKUP(D56,'RCLIPS송신(이지론플러스)_최종'!$B:$E,4,0)</f>
        <v>KCB추정소득</v>
      </c>
      <c r="F56" s="430" t="str">
        <f>VLOOKUP($D56,'RCLIPS송신(이지론플러스)_최종'!$B:$D,2,0)</f>
        <v>Numeric</v>
      </c>
      <c r="G56" s="430">
        <f>VLOOKUP($D56,'RCLIPS송신(이지론플러스)_최종'!$B:$D,3,0)</f>
        <v>15</v>
      </c>
      <c r="H56" s="430" t="str">
        <f t="shared" si="1"/>
        <v>000000010280000</v>
      </c>
      <c r="I56" s="263" t="str">
        <f t="shared" si="2"/>
        <v>R0054</v>
      </c>
      <c r="J56" s="263" t="str">
        <f>VLOOKUP($I56,'[5]RCLIPS수신(이지론플러스)_최종'!$C:$F,2,0)</f>
        <v>저연령자최고대출가능금액_실시간</v>
      </c>
      <c r="K56" s="263" t="str">
        <f>VLOOKUP($I56,'[5]RCLIPS수신(이지론플러스)_최종'!$C:$F,3,0)</f>
        <v>Numeric</v>
      </c>
      <c r="L56" s="263">
        <f>VLOOKUP($I56,'[5]RCLIPS수신(이지론플러스)_최종'!$C:$F,4,0)</f>
        <v>15</v>
      </c>
      <c r="M56" s="263" t="str">
        <f t="shared" si="3"/>
        <v>000000000000000</v>
      </c>
    </row>
    <row r="57" spans="1:13">
      <c r="A57" s="263"/>
      <c r="B57" s="429">
        <f t="shared" si="4"/>
        <v>1081</v>
      </c>
      <c r="C57" s="429">
        <f t="shared" si="5"/>
        <v>1086</v>
      </c>
      <c r="D57" s="430" t="str">
        <f t="shared" si="0"/>
        <v>A2010</v>
      </c>
      <c r="E57" s="430" t="str">
        <f>VLOOKUP(D57,'RCLIPS송신(이지론플러스)_최종'!$B:$E,4,0)</f>
        <v>NICE추정소득</v>
      </c>
      <c r="F57" s="430" t="str">
        <f>VLOOKUP($D57,'RCLIPS송신(이지론플러스)_최종'!$B:$D,2,0)</f>
        <v>Numeric</v>
      </c>
      <c r="G57" s="430">
        <f>VLOOKUP($D57,'RCLIPS송신(이지론플러스)_최종'!$B:$D,3,0)</f>
        <v>15</v>
      </c>
      <c r="H57" s="430" t="str">
        <f t="shared" si="1"/>
        <v>000000020000000</v>
      </c>
      <c r="I57" s="263" t="str">
        <f t="shared" si="2"/>
        <v>R0055</v>
      </c>
      <c r="J57" s="263" t="str">
        <f>VLOOKUP($I57,'[5]RCLIPS수신(이지론플러스)_최종'!$C:$F,2,0)</f>
        <v>기존카드론잔액</v>
      </c>
      <c r="K57" s="263" t="str">
        <f>VLOOKUP($I57,'[5]RCLIPS수신(이지론플러스)_최종'!$C:$F,3,0)</f>
        <v>Numeric</v>
      </c>
      <c r="L57" s="263">
        <f>VLOOKUP($I57,'[5]RCLIPS수신(이지론플러스)_최종'!$C:$F,4,0)</f>
        <v>15</v>
      </c>
      <c r="M57" s="263" t="str">
        <f t="shared" si="3"/>
        <v>0000000000000.0</v>
      </c>
    </row>
    <row r="58" spans="1:13">
      <c r="A58" s="263"/>
      <c r="B58" s="429">
        <f t="shared" si="4"/>
        <v>1101</v>
      </c>
      <c r="C58" s="429">
        <f t="shared" si="5"/>
        <v>1106</v>
      </c>
      <c r="D58" s="430" t="str">
        <f t="shared" si="0"/>
        <v>A2011</v>
      </c>
      <c r="E58" s="430" t="str">
        <f>VLOOKUP(D58,'RCLIPS송신(이지론플러스)_최종'!$B:$E,4,0)</f>
        <v>평균추정소득</v>
      </c>
      <c r="F58" s="430" t="str">
        <f>VLOOKUP($D58,'RCLIPS송신(이지론플러스)_최종'!$B:$D,2,0)</f>
        <v>Numeric</v>
      </c>
      <c r="G58" s="430">
        <f>VLOOKUP($D58,'RCLIPS송신(이지론플러스)_최종'!$B:$D,3,0)</f>
        <v>15</v>
      </c>
      <c r="H58" s="430" t="str">
        <f t="shared" si="1"/>
        <v>000000020000000</v>
      </c>
      <c r="I58" s="263" t="str">
        <f t="shared" si="2"/>
        <v>R0056</v>
      </c>
      <c r="J58" s="263" t="str">
        <f>VLOOKUP($I58,'[5]RCLIPS수신(이지론플러스)_최종'!$C:$F,2,0)</f>
        <v>기존일반대출잔액</v>
      </c>
      <c r="K58" s="263" t="str">
        <f>VLOOKUP($I58,'[5]RCLIPS수신(이지론플러스)_최종'!$C:$F,3,0)</f>
        <v>Numeric</v>
      </c>
      <c r="L58" s="263">
        <f>VLOOKUP($I58,'[5]RCLIPS수신(이지론플러스)_최종'!$C:$F,4,0)</f>
        <v>15</v>
      </c>
      <c r="M58" s="263" t="str">
        <f t="shared" si="3"/>
        <v>0000000000000.0</v>
      </c>
    </row>
    <row r="59" spans="1:13">
      <c r="A59" s="263"/>
      <c r="B59" s="429">
        <f t="shared" si="4"/>
        <v>1121</v>
      </c>
      <c r="C59" s="429">
        <f t="shared" si="5"/>
        <v>1126</v>
      </c>
      <c r="D59" s="430" t="str">
        <f t="shared" si="0"/>
        <v>A2012</v>
      </c>
      <c r="E59" s="430" t="str">
        <f>VLOOKUP(D59,'RCLIPS송신(이지론플러스)_최종'!$B:$E,4,0)</f>
        <v>KCB연간원리금</v>
      </c>
      <c r="F59" s="430" t="str">
        <f>VLOOKUP($D59,'RCLIPS송신(이지론플러스)_최종'!$B:$D,2,0)</f>
        <v>Numeric</v>
      </c>
      <c r="G59" s="430">
        <f>VLOOKUP($D59,'RCLIPS송신(이지론플러스)_최종'!$B:$D,3,0)</f>
        <v>15</v>
      </c>
      <c r="H59" s="430" t="str">
        <f t="shared" si="1"/>
        <v>000000001032000</v>
      </c>
      <c r="I59" s="263" t="str">
        <f t="shared" si="2"/>
        <v>R0057</v>
      </c>
      <c r="J59" s="263" t="str">
        <f>VLOOKUP($I59,'[5]RCLIPS수신(이지론플러스)_최종'!$C:$F,2,0)</f>
        <v>취급불가여부</v>
      </c>
      <c r="K59" s="263" t="str">
        <f>VLOOKUP($I59,'[5]RCLIPS수신(이지론플러스)_최종'!$C:$F,3,0)</f>
        <v>Numeric</v>
      </c>
      <c r="L59" s="263">
        <f>VLOOKUP($I59,'[5]RCLIPS수신(이지론플러스)_최종'!$C:$F,4,0)</f>
        <v>15</v>
      </c>
      <c r="M59" s="263" t="str">
        <f t="shared" si="3"/>
        <v xml:space="preserve">0001           </v>
      </c>
    </row>
    <row r="60" spans="1:13">
      <c r="A60" s="263"/>
      <c r="B60" s="429">
        <f t="shared" si="4"/>
        <v>1141</v>
      </c>
      <c r="C60" s="429">
        <f t="shared" si="5"/>
        <v>1146</v>
      </c>
      <c r="D60" s="430" t="str">
        <f t="shared" si="0"/>
        <v>A2013</v>
      </c>
      <c r="E60" s="430" t="str">
        <f>VLOOKUP(D60,'RCLIPS송신(이지론플러스)_최종'!$B:$E,4,0)</f>
        <v>NICE연간원리금</v>
      </c>
      <c r="F60" s="430" t="str">
        <f>VLOOKUP($D60,'RCLIPS송신(이지론플러스)_최종'!$B:$D,2,0)</f>
        <v>Numeric</v>
      </c>
      <c r="G60" s="430">
        <f>VLOOKUP($D60,'RCLIPS송신(이지론플러스)_최종'!$B:$D,3,0)</f>
        <v>15</v>
      </c>
      <c r="H60" s="430" t="str">
        <f t="shared" si="1"/>
        <v>000000000975000</v>
      </c>
      <c r="I60" s="263" t="str">
        <f t="shared" si="2"/>
        <v>R0058</v>
      </c>
      <c r="J60" s="263" t="e">
        <f>VLOOKUP($I60,'[5]RCLIPS수신(이지론플러스)_최종'!$C:$F,2,0)</f>
        <v>#N/A</v>
      </c>
      <c r="K60" s="263" t="e">
        <f>VLOOKUP($I60,'[5]RCLIPS수신(이지론플러스)_최종'!$C:$F,3,0)</f>
        <v>#N/A</v>
      </c>
      <c r="L60" s="263" t="e">
        <f>VLOOKUP($I60,'[5]RCLIPS수신(이지론플러스)_최종'!$C:$F,4,0)</f>
        <v>#N/A</v>
      </c>
      <c r="M60" s="263" t="str">
        <f t="shared" si="3"/>
        <v xml:space="preserve">0              </v>
      </c>
    </row>
    <row r="61" spans="1:13">
      <c r="A61" s="263"/>
      <c r="B61" s="429">
        <f t="shared" si="4"/>
        <v>1161</v>
      </c>
      <c r="C61" s="429">
        <f t="shared" si="5"/>
        <v>1166</v>
      </c>
      <c r="D61" s="430" t="str">
        <f t="shared" si="0"/>
        <v>A2014</v>
      </c>
      <c r="E61" s="430" t="str">
        <f>VLOOKUP(D61,'RCLIPS송신(이지론플러스)_최종'!$B:$E,4,0)</f>
        <v>월가처분소득</v>
      </c>
      <c r="F61" s="430" t="str">
        <f>VLOOKUP($D61,'RCLIPS송신(이지론플러스)_최종'!$B:$D,2,0)</f>
        <v>Numeric</v>
      </c>
      <c r="G61" s="430">
        <f>VLOOKUP($D61,'RCLIPS송신(이지론플러스)_최종'!$B:$D,3,0)</f>
        <v>15</v>
      </c>
      <c r="H61" s="430" t="str">
        <f t="shared" si="1"/>
        <v>000000001585416</v>
      </c>
      <c r="I61" s="263" t="str">
        <f t="shared" si="2"/>
        <v>R0059</v>
      </c>
      <c r="J61" s="263" t="e">
        <f>VLOOKUP($I61,'[5]RCLIPS수신(이지론플러스)_최종'!$C:$F,2,0)</f>
        <v>#N/A</v>
      </c>
      <c r="K61" s="263" t="e">
        <f>VLOOKUP($I61,'[5]RCLIPS수신(이지론플러스)_최종'!$C:$F,3,0)</f>
        <v>#N/A</v>
      </c>
      <c r="L61" s="263" t="e">
        <f>VLOOKUP($I61,'[5]RCLIPS수신(이지론플러스)_최종'!$C:$F,4,0)</f>
        <v>#N/A</v>
      </c>
      <c r="M61" s="263" t="str">
        <f t="shared" si="3"/>
        <v>000000000000748</v>
      </c>
    </row>
    <row r="62" spans="1:13">
      <c r="A62" s="263"/>
      <c r="B62" s="429">
        <f t="shared" si="4"/>
        <v>1181</v>
      </c>
      <c r="C62" s="429">
        <f t="shared" si="5"/>
        <v>1186</v>
      </c>
      <c r="D62" s="430" t="str">
        <f t="shared" si="0"/>
        <v>A2015</v>
      </c>
      <c r="E62" s="430" t="str">
        <f>VLOOKUP(D62,'RCLIPS송신(이지론플러스)_최종'!$B:$E,4,0)</f>
        <v>반영월가처분소득</v>
      </c>
      <c r="F62" s="430" t="str">
        <f>VLOOKUP($D62,'RCLIPS송신(이지론플러스)_최종'!$B:$D,2,0)</f>
        <v>Numeric</v>
      </c>
      <c r="G62" s="430">
        <f>VLOOKUP($D62,'RCLIPS송신(이지론플러스)_최종'!$B:$D,3,0)</f>
        <v>15</v>
      </c>
      <c r="H62" s="430" t="str">
        <f t="shared" si="1"/>
        <v>000000001109791</v>
      </c>
      <c r="I62" s="263" t="str">
        <f t="shared" si="2"/>
        <v>R0060</v>
      </c>
      <c r="J62" s="263" t="e">
        <f>VLOOKUP($I62,'[5]RCLIPS수신(이지론플러스)_최종'!$C:$F,2,0)</f>
        <v>#N/A</v>
      </c>
      <c r="K62" s="263" t="e">
        <f>VLOOKUP($I62,'[5]RCLIPS수신(이지론플러스)_최종'!$C:$F,3,0)</f>
        <v>#N/A</v>
      </c>
      <c r="L62" s="263" t="e">
        <f>VLOOKUP($I62,'[5]RCLIPS수신(이지론플러스)_최종'!$C:$F,4,0)</f>
        <v>#N/A</v>
      </c>
      <c r="M62" s="263" t="str">
        <f t="shared" si="3"/>
        <v>000000000000828</v>
      </c>
    </row>
    <row r="63" spans="1:13">
      <c r="A63" s="263"/>
      <c r="B63" s="429">
        <f t="shared" si="4"/>
        <v>1201</v>
      </c>
      <c r="C63" s="429">
        <f t="shared" si="5"/>
        <v>1206</v>
      </c>
      <c r="D63" s="430" t="str">
        <f t="shared" si="0"/>
        <v>A2016</v>
      </c>
      <c r="E63" s="430" t="str">
        <f>VLOOKUP(D63,'RCLIPS송신(이지론플러스)_최종'!$B:$E,4,0)</f>
        <v>전략DTI율</v>
      </c>
      <c r="F63" s="430" t="str">
        <f>VLOOKUP($D63,'RCLIPS송신(이지론플러스)_최종'!$B:$D,2,0)</f>
        <v>Numeric</v>
      </c>
      <c r="G63" s="430">
        <f>VLOOKUP($D63,'RCLIPS송신(이지론플러스)_최종'!$B:$D,3,0)</f>
        <v>5.2</v>
      </c>
      <c r="H63" s="430" t="str">
        <f t="shared" si="1"/>
        <v>000000000004.88</v>
      </c>
      <c r="I63" s="432" t="str">
        <f t="shared" si="2"/>
        <v>R0061</v>
      </c>
      <c r="J63" s="432" t="e">
        <f>VLOOKUP($I63,'[5]RCLIPS수신(이지론플러스)_최종'!$C:$F,2,0)</f>
        <v>#N/A</v>
      </c>
      <c r="K63" s="432" t="e">
        <f>VLOOKUP($I63,'[5]RCLIPS수신(이지론플러스)_최종'!$C:$F,3,0)</f>
        <v>#N/A</v>
      </c>
      <c r="L63" s="432" t="e">
        <f>VLOOKUP($I63,'[5]RCLIPS수신(이지론플러스)_최종'!$C:$F,4,0)</f>
        <v>#N/A</v>
      </c>
      <c r="M63" s="432" t="str">
        <f t="shared" si="3"/>
        <v>00000000001.6E7</v>
      </c>
    </row>
    <row r="64" spans="1:13">
      <c r="A64" s="263"/>
      <c r="B64" s="429">
        <f t="shared" si="4"/>
        <v>1221</v>
      </c>
      <c r="C64" s="429">
        <f t="shared" si="5"/>
        <v>1226</v>
      </c>
      <c r="D64" s="430" t="str">
        <f t="shared" si="0"/>
        <v>A2017</v>
      </c>
      <c r="E64" s="430" t="str">
        <f>VLOOKUP(D64,'RCLIPS송신(이지론플러스)_최종'!$B:$E,4,0)</f>
        <v>대출이율</v>
      </c>
      <c r="F64" s="430" t="str">
        <f>VLOOKUP($D64,'RCLIPS송신(이지론플러스)_최종'!$B:$D,2,0)</f>
        <v>Numeric</v>
      </c>
      <c r="G64" s="430">
        <f>VLOOKUP($D64,'RCLIPS송신(이지론플러스)_최종'!$B:$D,3,0)</f>
        <v>9.5</v>
      </c>
      <c r="H64" s="430" t="str">
        <f t="shared" si="1"/>
        <v>000000000001960</v>
      </c>
      <c r="I64" s="263" t="str">
        <f t="shared" si="2"/>
        <v>R0062</v>
      </c>
      <c r="J64" s="263" t="e">
        <f>VLOOKUP($I64,'[5]RCLIPS수신(이지론플러스)_최종'!$C:$F,2,0)</f>
        <v>#N/A</v>
      </c>
      <c r="K64" s="263" t="e">
        <f>VLOOKUP($I64,'[5]RCLIPS수신(이지론플러스)_최종'!$C:$F,3,0)</f>
        <v>#N/A</v>
      </c>
      <c r="L64" s="263" t="e">
        <f>VLOOKUP($I64,'[5]RCLIPS수신(이지론플러스)_최종'!$C:$F,4,0)</f>
        <v>#N/A</v>
      </c>
      <c r="M64" s="263" t="str">
        <f t="shared" si="3"/>
        <v>0000003000000.0</v>
      </c>
    </row>
    <row r="65" spans="1:13">
      <c r="A65" s="263"/>
      <c r="B65" s="429">
        <f t="shared" si="4"/>
        <v>1241</v>
      </c>
      <c r="C65" s="429">
        <f t="shared" si="5"/>
        <v>1246</v>
      </c>
      <c r="D65" s="430" t="str">
        <f t="shared" si="0"/>
        <v>A2018</v>
      </c>
      <c r="E65" s="430" t="str">
        <f>VLOOKUP(D65,'RCLIPS송신(이지론플러스)_최종'!$B:$E,4,0)</f>
        <v>금리등급</v>
      </c>
      <c r="F65" s="430" t="str">
        <f>VLOOKUP($D65,'RCLIPS송신(이지론플러스)_최종'!$B:$D,2,0)</f>
        <v>String</v>
      </c>
      <c r="G65" s="430">
        <f>VLOOKUP($D65,'RCLIPS송신(이지론플러스)_최종'!$B:$D,3,0)</f>
        <v>2</v>
      </c>
      <c r="H65" s="430" t="str">
        <f t="shared" si="1"/>
        <v xml:space="preserve">D1             </v>
      </c>
      <c r="I65" s="263" t="str">
        <f t="shared" si="2"/>
        <v>R0063</v>
      </c>
      <c r="J65" s="263" t="e">
        <f>VLOOKUP($I65,'[5]RCLIPS수신(이지론플러스)_최종'!$C:$F,2,0)</f>
        <v>#N/A</v>
      </c>
      <c r="K65" s="263" t="e">
        <f>VLOOKUP($I65,'[5]RCLIPS수신(이지론플러스)_최종'!$C:$F,3,0)</f>
        <v>#N/A</v>
      </c>
      <c r="L65" s="263" t="e">
        <f>VLOOKUP($I65,'[5]RCLIPS수신(이지론플러스)_최종'!$C:$F,4,0)</f>
        <v>#N/A</v>
      </c>
      <c r="M65" s="263" t="str">
        <f t="shared" si="3"/>
        <v>0000003000000.0</v>
      </c>
    </row>
    <row r="66" spans="1:13">
      <c r="A66" s="263"/>
      <c r="B66" s="429">
        <f t="shared" si="4"/>
        <v>1261</v>
      </c>
      <c r="C66" s="429">
        <f t="shared" si="5"/>
        <v>1266</v>
      </c>
      <c r="D66" s="430" t="str">
        <f t="shared" si="0"/>
        <v>A2019</v>
      </c>
      <c r="E66" s="430" t="str">
        <f>VLOOKUP(D66,'RCLIPS송신(이지론플러스)_최종'!$B:$E,4,0)</f>
        <v>연령</v>
      </c>
      <c r="F66" s="430" t="str">
        <f>VLOOKUP($D66,'RCLIPS송신(이지론플러스)_최종'!$B:$D,2,0)</f>
        <v>Numeric</v>
      </c>
      <c r="G66" s="430">
        <f>VLOOKUP($D66,'RCLIPS송신(이지론플러스)_최종'!$B:$D,3,0)</f>
        <v>3</v>
      </c>
      <c r="H66" s="430" t="str">
        <f t="shared" si="1"/>
        <v>000000000000027</v>
      </c>
      <c r="I66" s="263" t="str">
        <f t="shared" si="2"/>
        <v>R0064</v>
      </c>
      <c r="J66" s="263" t="e">
        <f>VLOOKUP($I66,'[5]RCLIPS수신(이지론플러스)_최종'!$C:$F,2,0)</f>
        <v>#N/A</v>
      </c>
      <c r="K66" s="263" t="e">
        <f>VLOOKUP($I66,'[5]RCLIPS수신(이지론플러스)_최종'!$C:$F,3,0)</f>
        <v>#N/A</v>
      </c>
      <c r="L66" s="263" t="e">
        <f>VLOOKUP($I66,'[5]RCLIPS수신(이지론플러스)_최종'!$C:$F,4,0)</f>
        <v>#N/A</v>
      </c>
      <c r="M66" s="263" t="str">
        <f t="shared" si="3"/>
        <v xml:space="preserve">0              </v>
      </c>
    </row>
    <row r="67" spans="1:13">
      <c r="A67" s="263"/>
      <c r="B67" s="429">
        <f t="shared" si="4"/>
        <v>1281</v>
      </c>
      <c r="C67" s="429">
        <f t="shared" si="5"/>
        <v>1286</v>
      </c>
      <c r="D67" s="430" t="str">
        <f t="shared" si="0"/>
        <v>A2028</v>
      </c>
      <c r="E67" s="430" t="str">
        <f>VLOOKUP(D67,'RCLIPS송신(이지론플러스)_최종'!$B:$E,4,0)</f>
        <v>비은행권신용대출금액</v>
      </c>
      <c r="F67" s="430" t="str">
        <f>VLOOKUP($D67,'RCLIPS송신(이지론플러스)_최종'!$B:$D,2,0)</f>
        <v>Numeric</v>
      </c>
      <c r="G67" s="430">
        <f>VLOOKUP($D67,'RCLIPS송신(이지론플러스)_최종'!$B:$D,3,0)</f>
        <v>15</v>
      </c>
      <c r="H67" s="430" t="str">
        <f t="shared" si="1"/>
        <v>000000000000000</v>
      </c>
      <c r="I67" s="263" t="str">
        <f t="shared" si="2"/>
        <v>R0066</v>
      </c>
      <c r="J67" s="263" t="e">
        <f>VLOOKUP($I67,'[5]RCLIPS수신(이지론플러스)_최종'!$C:$F,2,0)</f>
        <v>#N/A</v>
      </c>
      <c r="K67" s="263" t="e">
        <f>VLOOKUP($I67,'[5]RCLIPS수신(이지론플러스)_최종'!$C:$F,3,0)</f>
        <v>#N/A</v>
      </c>
      <c r="L67" s="263" t="e">
        <f>VLOOKUP($I67,'[5]RCLIPS수신(이지론플러스)_최종'!$C:$F,4,0)</f>
        <v>#N/A</v>
      </c>
      <c r="M67" s="263" t="str">
        <f t="shared" si="3"/>
        <v xml:space="preserve">0              </v>
      </c>
    </row>
    <row r="68" spans="1:13">
      <c r="A68" s="263"/>
      <c r="B68" s="429">
        <f t="shared" si="4"/>
        <v>1301</v>
      </c>
      <c r="C68" s="429">
        <f t="shared" si="5"/>
        <v>1306</v>
      </c>
      <c r="D68" s="430" t="str">
        <f t="shared" ref="D68:D131" si="6">MIDB($A$3, $B68+23, 5)</f>
        <v>A2032</v>
      </c>
      <c r="E68" s="430" t="str">
        <f>VLOOKUP(D68,'RCLIPS송신(이지론플러스)_최종'!$B:$E,4,0)</f>
        <v>카드론니즈등급</v>
      </c>
      <c r="F68" s="430" t="str">
        <f>VLOOKUP($D68,'RCLIPS송신(이지론플러스)_최종'!$B:$D,2,0)</f>
        <v>String</v>
      </c>
      <c r="G68" s="430">
        <f>VLOOKUP($D68,'RCLIPS송신(이지론플러스)_최종'!$B:$D,3,0)</f>
        <v>2</v>
      </c>
      <c r="H68" s="430" t="str">
        <f t="shared" ref="H68:H131" si="7">MIDB($A$3, $C68+23, 15)</f>
        <v xml:space="preserve">06             </v>
      </c>
      <c r="I68" s="263" t="str">
        <f t="shared" ref="I68:I131" si="8">MIDB($A$8, $B68+10, 5)</f>
        <v>R0067</v>
      </c>
      <c r="J68" s="263" t="e">
        <f>VLOOKUP($I68,'[5]RCLIPS수신(이지론플러스)_최종'!$C:$F,2,0)</f>
        <v>#N/A</v>
      </c>
      <c r="K68" s="263" t="e">
        <f>VLOOKUP($I68,'[5]RCLIPS수신(이지론플러스)_최종'!$C:$F,3,0)</f>
        <v>#N/A</v>
      </c>
      <c r="L68" s="263" t="e">
        <f>VLOOKUP($I68,'[5]RCLIPS수신(이지론플러스)_최종'!$C:$F,4,0)</f>
        <v>#N/A</v>
      </c>
      <c r="M68" s="263" t="str">
        <f t="shared" ref="M68:M131" si="9">MIDB($A$8, $C68+10, 15)</f>
        <v xml:space="preserve">0              </v>
      </c>
    </row>
    <row r="69" spans="1:13">
      <c r="A69" s="263"/>
      <c r="B69" s="429">
        <f t="shared" ref="B69:B132" si="10">C68+15</f>
        <v>1321</v>
      </c>
      <c r="C69" s="429">
        <f t="shared" ref="C69:C132" si="11">B69+5</f>
        <v>1326</v>
      </c>
      <c r="D69" s="430" t="str">
        <f t="shared" si="6"/>
        <v>A2034</v>
      </c>
      <c r="E69" s="430" t="str">
        <f>VLOOKUP(D69,'RCLIPS송신(이지론플러스)_최종'!$B:$E,4,0)</f>
        <v>서브프라임신용등급코드</v>
      </c>
      <c r="F69" s="430" t="str">
        <f>VLOOKUP($D69,'RCLIPS송신(이지론플러스)_최종'!$B:$D,2,0)</f>
        <v>String</v>
      </c>
      <c r="G69" s="430">
        <f>VLOOKUP($D69,'RCLIPS송신(이지론플러스)_최종'!$B:$D,3,0)</f>
        <v>4</v>
      </c>
      <c r="H69" s="430" t="str">
        <f t="shared" si="7"/>
        <v xml:space="preserve">0004           </v>
      </c>
      <c r="I69" s="263" t="str">
        <f t="shared" si="8"/>
        <v>R1002</v>
      </c>
      <c r="J69" s="263" t="str">
        <f>VLOOKUP($I69,'[5]RCLIPS수신(이지론플러스)_최종'!$C:$F,2,0)</f>
        <v>최종대출가능금액_사전</v>
      </c>
      <c r="K69" s="263" t="str">
        <f>VLOOKUP($I69,'[5]RCLIPS수신(이지론플러스)_최종'!$C:$F,3,0)</f>
        <v>Numeric</v>
      </c>
      <c r="L69" s="263">
        <f>VLOOKUP($I69,'[5]RCLIPS수신(이지론플러스)_최종'!$C:$F,4,0)</f>
        <v>15</v>
      </c>
      <c r="M69" s="263" t="str">
        <f t="shared" si="9"/>
        <v>0000005000000.0</v>
      </c>
    </row>
    <row r="70" spans="1:13">
      <c r="A70" s="263"/>
      <c r="B70" s="429">
        <f t="shared" si="10"/>
        <v>1341</v>
      </c>
      <c r="C70" s="429">
        <f t="shared" si="11"/>
        <v>1346</v>
      </c>
      <c r="D70" s="430" t="str">
        <f t="shared" si="6"/>
        <v>A2029</v>
      </c>
      <c r="E70" s="430" t="str">
        <f>VLOOKUP(D70,'RCLIPS송신(이지론플러스)_최종'!$B:$E,4,0)</f>
        <v>현금서비스기관수</v>
      </c>
      <c r="F70" s="430" t="str">
        <f>VLOOKUP($D70,'RCLIPS송신(이지론플러스)_최종'!$B:$D,2,0)</f>
        <v>Numeric</v>
      </c>
      <c r="G70" s="430">
        <f>VLOOKUP($D70,'RCLIPS송신(이지론플러스)_최종'!$B:$D,3,0)</f>
        <v>9</v>
      </c>
      <c r="H70" s="430" t="str">
        <f t="shared" si="7"/>
        <v>000000000000000</v>
      </c>
      <c r="I70" s="263" t="str">
        <f t="shared" si="8"/>
        <v>R1003</v>
      </c>
      <c r="J70" s="263" t="str">
        <f>VLOOKUP($I70,'[5]RCLIPS수신(이지론플러스)_최종'!$C:$F,2,0)</f>
        <v>대출이율_사전</v>
      </c>
      <c r="K70" s="263" t="str">
        <f>VLOOKUP($I70,'[5]RCLIPS수신(이지론플러스)_최종'!$C:$F,3,0)</f>
        <v>Numeric</v>
      </c>
      <c r="L70" s="263">
        <f>VLOOKUP($I70,'[5]RCLIPS수신(이지론플러스)_최종'!$C:$F,4,0)</f>
        <v>9</v>
      </c>
      <c r="M70" s="263" t="str">
        <f t="shared" si="9"/>
        <v>0000000000019.6</v>
      </c>
    </row>
    <row r="71" spans="1:13">
      <c r="A71" s="263"/>
      <c r="B71" s="429">
        <f t="shared" si="10"/>
        <v>1361</v>
      </c>
      <c r="C71" s="429">
        <f t="shared" si="11"/>
        <v>1366</v>
      </c>
      <c r="D71" s="430" t="str">
        <f t="shared" si="6"/>
        <v>A2046</v>
      </c>
      <c r="E71" s="430" t="str">
        <f>VLOOKUP(D71,'RCLIPS송신(이지론플러스)_최종'!$B:$E,4,0)</f>
        <v>KCB신용평점</v>
      </c>
      <c r="F71" s="430" t="str">
        <f>VLOOKUP($D71,'RCLIPS송신(이지론플러스)_최종'!$B:$D,2,0)</f>
        <v>Numeric</v>
      </c>
      <c r="G71" s="430">
        <f>VLOOKUP($D71,'RCLIPS송신(이지론플러스)_최종'!$B:$D,3,0)</f>
        <v>5</v>
      </c>
      <c r="H71" s="430" t="str">
        <f t="shared" si="7"/>
        <v>000000000000748</v>
      </c>
      <c r="I71" s="263" t="str">
        <f t="shared" si="8"/>
        <v>R1004</v>
      </c>
      <c r="J71" s="263" t="str">
        <f>VLOOKUP($I71,'[5]RCLIPS수신(이지론플러스)_최종'!$C:$F,2,0)</f>
        <v>금리등급_사전</v>
      </c>
      <c r="K71" s="263" t="str">
        <f>VLOOKUP($I71,'[5]RCLIPS수신(이지론플러스)_최종'!$C:$F,3,0)</f>
        <v>String</v>
      </c>
      <c r="L71" s="263">
        <f>VLOOKUP($I71,'[5]RCLIPS수신(이지론플러스)_최종'!$C:$F,4,0)</f>
        <v>2</v>
      </c>
      <c r="M71" s="263" t="str">
        <f t="shared" si="9"/>
        <v xml:space="preserve">D1             </v>
      </c>
    </row>
    <row r="72" spans="1:13">
      <c r="A72" s="263"/>
      <c r="B72" s="429">
        <f t="shared" si="10"/>
        <v>1381</v>
      </c>
      <c r="C72" s="429">
        <f t="shared" si="11"/>
        <v>1386</v>
      </c>
      <c r="D72" s="430" t="str">
        <f t="shared" si="6"/>
        <v>A2047</v>
      </c>
      <c r="E72" s="430" t="str">
        <f>VLOOKUP(D72,'RCLIPS송신(이지론플러스)_최종'!$B:$E,4,0)</f>
        <v>KCB신용등급코드</v>
      </c>
      <c r="F72" s="430" t="str">
        <f>VLOOKUP($D72,'RCLIPS송신(이지론플러스)_최종'!$B:$D,2,0)</f>
        <v>String</v>
      </c>
      <c r="G72" s="430">
        <f>VLOOKUP($D72,'RCLIPS송신(이지론플러스)_최종'!$B:$D,3,0)</f>
        <v>4</v>
      </c>
      <c r="H72" s="430" t="str">
        <f t="shared" si="7"/>
        <v xml:space="preserve">05             </v>
      </c>
      <c r="I72" s="263" t="str">
        <f t="shared" si="8"/>
        <v>R1005</v>
      </c>
      <c r="J72" s="263" t="str">
        <f>VLOOKUP($I72,'[5]RCLIPS수신(이지론플러스)_최종'!$C:$F,2,0)</f>
        <v>최장대출가능개월수_사전</v>
      </c>
      <c r="K72" s="263" t="str">
        <f>VLOOKUP($I72,'[5]RCLIPS수신(이지론플러스)_최종'!$C:$F,3,0)</f>
        <v>Numeric</v>
      </c>
      <c r="L72" s="263">
        <f>VLOOKUP($I72,'[5]RCLIPS수신(이지론플러스)_최종'!$C:$F,4,0)</f>
        <v>5</v>
      </c>
      <c r="M72" s="263" t="str">
        <f t="shared" si="9"/>
        <v>000000000000018</v>
      </c>
    </row>
    <row r="73" spans="1:13">
      <c r="A73" s="263"/>
      <c r="B73" s="429">
        <f t="shared" si="10"/>
        <v>1401</v>
      </c>
      <c r="C73" s="429">
        <f t="shared" si="11"/>
        <v>1406</v>
      </c>
      <c r="D73" s="430" t="str">
        <f t="shared" si="6"/>
        <v>A2048</v>
      </c>
      <c r="E73" s="430" t="str">
        <f>VLOOKUP(D73,'RCLIPS송신(이지론플러스)_최종'!$B:$E,4,0)</f>
        <v>NICE신용평점</v>
      </c>
      <c r="F73" s="430" t="str">
        <f>VLOOKUP($D73,'RCLIPS송신(이지론플러스)_최종'!$B:$D,2,0)</f>
        <v>Numeric</v>
      </c>
      <c r="G73" s="430">
        <f>VLOOKUP($D73,'RCLIPS송신(이지론플러스)_최종'!$B:$D,3,0)</f>
        <v>5</v>
      </c>
      <c r="H73" s="430" t="str">
        <f t="shared" si="7"/>
        <v>000000000000848</v>
      </c>
      <c r="I73" s="263" t="str">
        <f t="shared" si="8"/>
        <v>R1006</v>
      </c>
      <c r="J73" s="263" t="str">
        <f>VLOOKUP($I73,'[5]RCLIPS수신(이지론플러스)_최종'!$C:$F,2,0)</f>
        <v>최장거치가능개월수_사전</v>
      </c>
      <c r="K73" s="263" t="str">
        <f>VLOOKUP($I73,'[5]RCLIPS수신(이지론플러스)_최종'!$C:$F,3,0)</f>
        <v>Numeric</v>
      </c>
      <c r="L73" s="263">
        <f>VLOOKUP($I73,'[5]RCLIPS수신(이지론플러스)_최종'!$C:$F,4,0)</f>
        <v>5</v>
      </c>
      <c r="M73" s="263" t="str">
        <f t="shared" si="9"/>
        <v>000000000000003</v>
      </c>
    </row>
    <row r="74" spans="1:13">
      <c r="A74" s="263"/>
      <c r="B74" s="429">
        <f t="shared" si="10"/>
        <v>1421</v>
      </c>
      <c r="C74" s="429">
        <f t="shared" si="11"/>
        <v>1426</v>
      </c>
      <c r="D74" s="430" t="str">
        <f t="shared" si="6"/>
        <v>A2049</v>
      </c>
      <c r="E74" s="430" t="str">
        <f>VLOOKUP(D74,'RCLIPS송신(이지론플러스)_최종'!$B:$E,4,0)</f>
        <v>NICE신용등급코드</v>
      </c>
      <c r="F74" s="430" t="str">
        <f>VLOOKUP($D74,'RCLIPS송신(이지론플러스)_최종'!$B:$D,2,0)</f>
        <v>String</v>
      </c>
      <c r="G74" s="430">
        <f>VLOOKUP($D74,'RCLIPS송신(이지론플러스)_최종'!$B:$D,3,0)</f>
        <v>4</v>
      </c>
      <c r="H74" s="430" t="str">
        <f t="shared" si="7"/>
        <v xml:space="preserve">03             </v>
      </c>
      <c r="I74" s="263" t="str">
        <f t="shared" si="8"/>
        <v>R1007</v>
      </c>
      <c r="J74" s="263" t="str">
        <f>VLOOKUP($I74,'[5]RCLIPS수신(이지론플러스)_최종'!$C:$F,2,0)</f>
        <v>대출탈락사유내용_사전</v>
      </c>
      <c r="K74" s="263" t="str">
        <f>VLOOKUP($I74,'[5]RCLIPS수신(이지론플러스)_최종'!$C:$F,3,0)</f>
        <v>String</v>
      </c>
      <c r="L74" s="263">
        <f>VLOOKUP($I74,'[5]RCLIPS수신(이지론플러스)_최종'!$C:$F,4,0)</f>
        <v>60</v>
      </c>
      <c r="M74" s="263" t="str">
        <f t="shared" si="9"/>
        <v xml:space="preserve">               </v>
      </c>
    </row>
    <row r="75" spans="1:13">
      <c r="A75" s="263"/>
      <c r="B75" s="429">
        <f t="shared" si="10"/>
        <v>1441</v>
      </c>
      <c r="C75" s="429">
        <f t="shared" si="11"/>
        <v>1446</v>
      </c>
      <c r="D75" s="430" t="str">
        <f t="shared" si="6"/>
        <v>A2052</v>
      </c>
      <c r="E75" s="430" t="str">
        <f>VLOOKUP(D75,'RCLIPS송신(이지론플러스)_최종'!$B:$E,4,0)</f>
        <v>최종신용등급세그먼트구분</v>
      </c>
      <c r="F75" s="430" t="str">
        <f>VLOOKUP($D75,'RCLIPS송신(이지론플러스)_최종'!$B:$D,2,0)</f>
        <v>String</v>
      </c>
      <c r="G75" s="430">
        <f>VLOOKUP($D75,'RCLIPS송신(이지론플러스)_최종'!$B:$D,3,0)</f>
        <v>2</v>
      </c>
      <c r="H75" s="430" t="str">
        <f t="shared" si="7"/>
        <v xml:space="preserve">YA             </v>
      </c>
      <c r="I75" s="263" t="str">
        <f t="shared" si="8"/>
        <v>R1010</v>
      </c>
      <c r="J75" s="263" t="str">
        <f>VLOOKUP($I75,'[5]RCLIPS수신(이지론플러스)_최종'!$C:$F,2,0)</f>
        <v>KCB추정소득_사전</v>
      </c>
      <c r="K75" s="263" t="str">
        <f>VLOOKUP($I75,'[5]RCLIPS수신(이지론플러스)_최종'!$C:$F,3,0)</f>
        <v>Numeric</v>
      </c>
      <c r="L75" s="263">
        <f>VLOOKUP($I75,'[5]RCLIPS수신(이지론플러스)_최종'!$C:$F,4,0)</f>
        <v>15</v>
      </c>
      <c r="M75" s="263" t="str">
        <f t="shared" si="9"/>
        <v>000000001.028E7</v>
      </c>
    </row>
    <row r="76" spans="1:13">
      <c r="A76" s="263"/>
      <c r="B76" s="429">
        <f t="shared" si="10"/>
        <v>1461</v>
      </c>
      <c r="C76" s="429">
        <f t="shared" si="11"/>
        <v>1466</v>
      </c>
      <c r="D76" s="430" t="str">
        <f t="shared" si="6"/>
        <v>A2053</v>
      </c>
      <c r="E76" s="430" t="str">
        <f>VLOOKUP(D76,'RCLIPS송신(이지론플러스)_최종'!$B:$E,4,0)</f>
        <v>최장대출기간월수</v>
      </c>
      <c r="F76" s="430" t="str">
        <f>VLOOKUP($D76,'RCLIPS송신(이지론플러스)_최종'!$B:$D,2,0)</f>
        <v>Numeric</v>
      </c>
      <c r="G76" s="430">
        <f>VLOOKUP($D76,'RCLIPS송신(이지론플러스)_최종'!$B:$D,3,0)</f>
        <v>5</v>
      </c>
      <c r="H76" s="430" t="str">
        <f t="shared" si="7"/>
        <v>000000000000018</v>
      </c>
      <c r="I76" s="263" t="str">
        <f t="shared" si="8"/>
        <v>R1011</v>
      </c>
      <c r="J76" s="263" t="str">
        <f>VLOOKUP($I76,'[5]RCLIPS수신(이지론플러스)_최종'!$C:$F,2,0)</f>
        <v>NICE추정소득_사전</v>
      </c>
      <c r="K76" s="263" t="str">
        <f>VLOOKUP($I76,'[5]RCLIPS수신(이지론플러스)_최종'!$C:$F,3,0)</f>
        <v>Numeric</v>
      </c>
      <c r="L76" s="263">
        <f>VLOOKUP($I76,'[5]RCLIPS수신(이지론플러스)_최종'!$C:$F,4,0)</f>
        <v>15</v>
      </c>
      <c r="M76" s="263" t="str">
        <f t="shared" si="9"/>
        <v>00000000002.0E7</v>
      </c>
    </row>
    <row r="77" spans="1:13">
      <c r="A77" s="263"/>
      <c r="B77" s="429">
        <f t="shared" si="10"/>
        <v>1481</v>
      </c>
      <c r="C77" s="429">
        <f t="shared" si="11"/>
        <v>1486</v>
      </c>
      <c r="D77" s="430" t="str">
        <f t="shared" si="6"/>
        <v>A2054</v>
      </c>
      <c r="E77" s="430" t="str">
        <f>VLOOKUP(D77,'RCLIPS송신(이지론플러스)_최종'!$B:$E,4,0)</f>
        <v>최장거치개월수</v>
      </c>
      <c r="F77" s="430" t="str">
        <f>VLOOKUP($D77,'RCLIPS송신(이지론플러스)_최종'!$B:$D,2,0)</f>
        <v>Numeric</v>
      </c>
      <c r="G77" s="430">
        <f>VLOOKUP($D77,'RCLIPS송신(이지론플러스)_최종'!$B:$D,3,0)</f>
        <v>5</v>
      </c>
      <c r="H77" s="430" t="str">
        <f t="shared" si="7"/>
        <v>000000000000003</v>
      </c>
      <c r="I77" s="263" t="str">
        <f t="shared" si="8"/>
        <v>R1012</v>
      </c>
      <c r="J77" s="263" t="str">
        <f>VLOOKUP($I77,'[5]RCLIPS수신(이지론플러스)_최종'!$C:$F,2,0)</f>
        <v>평균추정소득_사전</v>
      </c>
      <c r="K77" s="263" t="str">
        <f>VLOOKUP($I77,'[5]RCLIPS수신(이지론플러스)_최종'!$C:$F,3,0)</f>
        <v>Numeric</v>
      </c>
      <c r="L77" s="263">
        <f>VLOOKUP($I77,'[5]RCLIPS수신(이지론플러스)_최종'!$C:$F,4,0)</f>
        <v>15</v>
      </c>
      <c r="M77" s="263" t="str">
        <f t="shared" si="9"/>
        <v>00000000002.0E7</v>
      </c>
    </row>
    <row r="78" spans="1:13">
      <c r="A78" s="263"/>
      <c r="B78" s="429">
        <f t="shared" si="10"/>
        <v>1501</v>
      </c>
      <c r="C78" s="429">
        <f t="shared" si="11"/>
        <v>1506</v>
      </c>
      <c r="D78" s="430" t="str">
        <f t="shared" si="6"/>
        <v>A2056</v>
      </c>
      <c r="E78" s="430" t="str">
        <f>VLOOKUP(D78,'RCLIPS송신(이지론플러스)_최종'!$B:$E,4,0)</f>
        <v>KCB직업정보코드</v>
      </c>
      <c r="F78" s="430" t="str">
        <f>VLOOKUP($D78,'RCLIPS송신(이지론플러스)_최종'!$B:$D,2,0)</f>
        <v>String</v>
      </c>
      <c r="G78" s="430">
        <f>VLOOKUP($D78,'RCLIPS송신(이지론플러스)_최종'!$B:$D,3,0)</f>
        <v>9</v>
      </c>
      <c r="H78" s="430" t="str">
        <f t="shared" si="7"/>
        <v xml:space="preserve">               </v>
      </c>
      <c r="I78" s="263" t="str">
        <f t="shared" si="8"/>
        <v>R1013</v>
      </c>
      <c r="J78" s="263" t="str">
        <f>VLOOKUP($I78,'[5]RCLIPS수신(이지론플러스)_최종'!$C:$F,2,0)</f>
        <v>KCB연간원리금_사전</v>
      </c>
      <c r="K78" s="263" t="str">
        <f>VLOOKUP($I78,'[5]RCLIPS수신(이지론플러스)_최종'!$C:$F,3,0)</f>
        <v>Numeric</v>
      </c>
      <c r="L78" s="263">
        <f>VLOOKUP($I78,'[5]RCLIPS수신(이지론플러스)_최종'!$C:$F,4,0)</f>
        <v>15</v>
      </c>
      <c r="M78" s="263" t="str">
        <f t="shared" si="9"/>
        <v>0000001032000.0</v>
      </c>
    </row>
    <row r="79" spans="1:13">
      <c r="A79" s="263"/>
      <c r="B79" s="429">
        <f t="shared" si="10"/>
        <v>1521</v>
      </c>
      <c r="C79" s="429">
        <f t="shared" si="11"/>
        <v>1526</v>
      </c>
      <c r="D79" s="430" t="str">
        <f t="shared" si="6"/>
        <v>A2057</v>
      </c>
      <c r="E79" s="430" t="str">
        <f>VLOOKUP(D79,'RCLIPS송신(이지론플러스)_최종'!$B:$E,4,0)</f>
        <v>KCB우량직업군여부</v>
      </c>
      <c r="F79" s="430" t="str">
        <f>VLOOKUP($D79,'RCLIPS송신(이지론플러스)_최종'!$B:$D,2,0)</f>
        <v>String</v>
      </c>
      <c r="G79" s="430">
        <f>VLOOKUP($D79,'RCLIPS송신(이지론플러스)_최종'!$B:$D,3,0)</f>
        <v>1</v>
      </c>
      <c r="H79" s="430" t="str">
        <f t="shared" si="7"/>
        <v xml:space="preserve">0              </v>
      </c>
      <c r="I79" s="263" t="str">
        <f t="shared" si="8"/>
        <v>R1014</v>
      </c>
      <c r="J79" s="263" t="str">
        <f>VLOOKUP($I79,'[5]RCLIPS수신(이지론플러스)_최종'!$C:$F,2,0)</f>
        <v>NICE연간원리금_사전</v>
      </c>
      <c r="K79" s="263" t="str">
        <f>VLOOKUP($I79,'[5]RCLIPS수신(이지론플러스)_최종'!$C:$F,3,0)</f>
        <v>Numeric</v>
      </c>
      <c r="L79" s="263">
        <f>VLOOKUP($I79,'[5]RCLIPS수신(이지론플러스)_최종'!$C:$F,4,0)</f>
        <v>15</v>
      </c>
      <c r="M79" s="263" t="str">
        <f t="shared" si="9"/>
        <v>0000000975000.0</v>
      </c>
    </row>
    <row r="80" spans="1:13">
      <c r="A80" s="263"/>
      <c r="B80" s="429">
        <f t="shared" si="10"/>
        <v>1541</v>
      </c>
      <c r="C80" s="429">
        <f t="shared" si="11"/>
        <v>1546</v>
      </c>
      <c r="D80" s="430" t="str">
        <f t="shared" si="6"/>
        <v>A2060</v>
      </c>
      <c r="E80" s="430" t="str">
        <f>VLOOKUP(D80,'RCLIPS송신(이지론플러스)_최종'!$B:$E,4,0)</f>
        <v>세그먼트최고대출가능금액</v>
      </c>
      <c r="F80" s="430" t="str">
        <f>VLOOKUP($D80,'RCLIPS송신(이지론플러스)_최종'!$B:$D,2,0)</f>
        <v>Numeric</v>
      </c>
      <c r="G80" s="430">
        <f>VLOOKUP($D80,'RCLIPS송신(이지론플러스)_최종'!$B:$D,3,0)</f>
        <v>15</v>
      </c>
      <c r="H80" s="430" t="str">
        <f t="shared" si="7"/>
        <v>000000000000000</v>
      </c>
      <c r="I80" s="263" t="str">
        <f t="shared" si="8"/>
        <v>R1015</v>
      </c>
      <c r="J80" s="263" t="str">
        <f>VLOOKUP($I80,'[5]RCLIPS수신(이지론플러스)_최종'!$C:$F,2,0)</f>
        <v>월가처분소득_사전</v>
      </c>
      <c r="K80" s="263" t="str">
        <f>VLOOKUP($I80,'[5]RCLIPS수신(이지론플러스)_최종'!$C:$F,3,0)</f>
        <v>Numeric</v>
      </c>
      <c r="L80" s="263">
        <f>VLOOKUP($I80,'[5]RCLIPS수신(이지론플러스)_최종'!$C:$F,4,0)</f>
        <v>15</v>
      </c>
      <c r="M80" s="263" t="str">
        <f t="shared" si="9"/>
        <v>0000001585416.0</v>
      </c>
    </row>
    <row r="81" spans="1:13">
      <c r="A81" s="263"/>
      <c r="B81" s="429">
        <f t="shared" si="10"/>
        <v>1561</v>
      </c>
      <c r="C81" s="429">
        <f t="shared" si="11"/>
        <v>1566</v>
      </c>
      <c r="D81" s="430" t="str">
        <f t="shared" si="6"/>
        <v>A2061</v>
      </c>
      <c r="E81" s="430" t="str">
        <f>VLOOKUP(D81,'RCLIPS송신(이지론플러스)_최종'!$B:$E,4,0)</f>
        <v>연령최고대출가능금액</v>
      </c>
      <c r="F81" s="430" t="str">
        <f>VLOOKUP($D81,'RCLIPS송신(이지론플러스)_최종'!$B:$D,2,0)</f>
        <v>Numeric</v>
      </c>
      <c r="G81" s="430">
        <f>VLOOKUP($D81,'RCLIPS송신(이지론플러스)_최종'!$B:$D,3,0)</f>
        <v>15</v>
      </c>
      <c r="H81" s="430" t="str">
        <f t="shared" si="7"/>
        <v>000000030000000</v>
      </c>
      <c r="I81" s="263" t="str">
        <f t="shared" si="8"/>
        <v>R1016</v>
      </c>
      <c r="J81" s="263" t="str">
        <f>VLOOKUP($I81,'[5]RCLIPS수신(이지론플러스)_최종'!$C:$F,2,0)</f>
        <v>반영월가처분소득금액_사전</v>
      </c>
      <c r="K81" s="263" t="str">
        <f>VLOOKUP($I81,'[5]RCLIPS수신(이지론플러스)_최종'!$C:$F,3,0)</f>
        <v>Numeric</v>
      </c>
      <c r="L81" s="263">
        <f>VLOOKUP($I81,'[5]RCLIPS수신(이지론플러스)_최종'!$C:$F,4,0)</f>
        <v>15</v>
      </c>
      <c r="M81" s="263" t="str">
        <f t="shared" si="9"/>
        <v>0000001109791.0</v>
      </c>
    </row>
    <row r="82" spans="1:13">
      <c r="A82" s="263"/>
      <c r="B82" s="429">
        <f t="shared" si="10"/>
        <v>1581</v>
      </c>
      <c r="C82" s="429">
        <f t="shared" si="11"/>
        <v>1586</v>
      </c>
      <c r="D82" s="430" t="str">
        <f t="shared" si="6"/>
        <v>A2062</v>
      </c>
      <c r="E82" s="430" t="str">
        <f>VLOOKUP(D82,'RCLIPS송신(이지론플러스)_최종'!$B:$E,4,0)</f>
        <v>DTI율가이드금액</v>
      </c>
      <c r="F82" s="430" t="str">
        <f>VLOOKUP($D82,'RCLIPS송신(이지론플러스)_최종'!$B:$D,2,0)</f>
        <v>Numeric</v>
      </c>
      <c r="G82" s="430">
        <f>VLOOKUP($D82,'RCLIPS송신(이지론플러스)_최종'!$B:$D,3,0)</f>
        <v>15</v>
      </c>
      <c r="H82" s="430" t="str">
        <f t="shared" si="7"/>
        <v>000000009937637</v>
      </c>
      <c r="I82" s="263" t="str">
        <f t="shared" si="8"/>
        <v>R1017</v>
      </c>
      <c r="J82" s="263" t="str">
        <f>VLOOKUP($I82,'[5]RCLIPS수신(이지론플러스)_최종'!$C:$F,2,0)</f>
        <v>전략DTI율_사전</v>
      </c>
      <c r="K82" s="263" t="str">
        <f>VLOOKUP($I82,'[5]RCLIPS수신(이지론플러스)_최종'!$C:$F,3,0)</f>
        <v>Numeric</v>
      </c>
      <c r="L82" s="263">
        <f>VLOOKUP($I82,'[5]RCLIPS수신(이지론플러스)_최종'!$C:$F,4,0)</f>
        <v>5</v>
      </c>
      <c r="M82" s="263" t="str">
        <f t="shared" si="9"/>
        <v>000000000004.88</v>
      </c>
    </row>
    <row r="83" spans="1:13">
      <c r="A83" s="263"/>
      <c r="B83" s="429">
        <f t="shared" si="10"/>
        <v>1601</v>
      </c>
      <c r="C83" s="429">
        <f t="shared" si="11"/>
        <v>1606</v>
      </c>
      <c r="D83" s="430" t="str">
        <f t="shared" si="6"/>
        <v>A2063</v>
      </c>
      <c r="E83" s="430" t="str">
        <f>VLOOKUP(D83,'RCLIPS송신(이지론플러스)_최종'!$B:$E,4,0)</f>
        <v>DTI율가이드적용금액</v>
      </c>
      <c r="F83" s="430" t="str">
        <f>VLOOKUP($D83,'RCLIPS송신(이지론플러스)_최종'!$B:$D,2,0)</f>
        <v>Numeric</v>
      </c>
      <c r="G83" s="430">
        <f>VLOOKUP($D83,'RCLIPS송신(이지론플러스)_최종'!$B:$D,3,0)</f>
        <v>15</v>
      </c>
      <c r="H83" s="430" t="str">
        <f t="shared" si="7"/>
        <v>000000000000000</v>
      </c>
      <c r="I83" s="263" t="str">
        <f t="shared" si="8"/>
        <v>R1018</v>
      </c>
      <c r="J83" s="263" t="str">
        <f>VLOOKUP($I83,'[5]RCLIPS수신(이지론플러스)_최종'!$C:$F,2,0)</f>
        <v>기초한도금액_사전</v>
      </c>
      <c r="K83" s="263" t="str">
        <f>VLOOKUP($I83,'[5]RCLIPS수신(이지론플러스)_최종'!$C:$F,3,0)</f>
        <v>Numeric</v>
      </c>
      <c r="L83" s="263">
        <f>VLOOKUP($I83,'[5]RCLIPS수신(이지론플러스)_최종'!$C:$F,4,0)</f>
        <v>15</v>
      </c>
      <c r="M83" s="263" t="str">
        <f t="shared" si="9"/>
        <v>0000009937637.0</v>
      </c>
    </row>
    <row r="84" spans="1:13">
      <c r="A84" s="263"/>
      <c r="B84" s="429">
        <f t="shared" si="10"/>
        <v>1621</v>
      </c>
      <c r="C84" s="429">
        <f t="shared" si="11"/>
        <v>1626</v>
      </c>
      <c r="D84" s="430" t="str">
        <f t="shared" si="6"/>
        <v>A2064</v>
      </c>
      <c r="E84" s="430" t="str">
        <f>VLOOKUP(D84,'RCLIPS송신(이지론플러스)_최종'!$B:$E,4,0)</f>
        <v>예비대출가능금액</v>
      </c>
      <c r="F84" s="430" t="str">
        <f>VLOOKUP($D84,'RCLIPS송신(이지론플러스)_최종'!$B:$D,2,0)</f>
        <v>Numeric</v>
      </c>
      <c r="G84" s="430">
        <f>VLOOKUP($D84,'RCLIPS송신(이지론플러스)_최종'!$B:$D,3,0)</f>
        <v>15</v>
      </c>
      <c r="H84" s="430" t="str">
        <f t="shared" si="7"/>
        <v>000000005000000</v>
      </c>
      <c r="I84" s="263" t="str">
        <f t="shared" si="8"/>
        <v>R1019</v>
      </c>
      <c r="J84" s="263" t="str">
        <f>VLOOKUP($I84,'[5]RCLIPS수신(이지론플러스)_최종'!$C:$F,2,0)</f>
        <v>연령최고대출가능금액_사전</v>
      </c>
      <c r="K84" s="263" t="str">
        <f>VLOOKUP($I84,'[5]RCLIPS수신(이지론플러스)_최종'!$C:$F,3,0)</f>
        <v>Numeric</v>
      </c>
      <c r="L84" s="263">
        <f>VLOOKUP($I84,'[5]RCLIPS수신(이지론플러스)_최종'!$C:$F,4,0)</f>
        <v>15</v>
      </c>
      <c r="M84" s="263" t="str">
        <f t="shared" si="9"/>
        <v>00000000003.0E7</v>
      </c>
    </row>
    <row r="85" spans="1:13">
      <c r="A85" s="263"/>
      <c r="B85" s="429">
        <f t="shared" si="10"/>
        <v>1641</v>
      </c>
      <c r="C85" s="429">
        <f t="shared" si="11"/>
        <v>1646</v>
      </c>
      <c r="D85" s="430" t="str">
        <f t="shared" si="6"/>
        <v>A2065</v>
      </c>
      <c r="E85" s="430" t="str">
        <f>VLOOKUP(D85,'RCLIPS송신(이지론플러스)_최종'!$B:$E,4,0)</f>
        <v>최종대출가능금액</v>
      </c>
      <c r="F85" s="430" t="str">
        <f>VLOOKUP($D85,'RCLIPS송신(이지론플러스)_최종'!$B:$D,2,0)</f>
        <v>Numeric</v>
      </c>
      <c r="G85" s="430">
        <f>VLOOKUP($D85,'RCLIPS송신(이지론플러스)_최종'!$B:$D,3,0)</f>
        <v>15</v>
      </c>
      <c r="H85" s="430" t="str">
        <f t="shared" si="7"/>
        <v>000000005000000</v>
      </c>
      <c r="I85" s="263" t="str">
        <f t="shared" si="8"/>
        <v>R1020</v>
      </c>
      <c r="J85" s="263" t="str">
        <f>VLOOKUP($I85,'[5]RCLIPS수신(이지론플러스)_최종'!$C:$F,2,0)</f>
        <v>KCB등급_사전</v>
      </c>
      <c r="K85" s="263" t="str">
        <f>VLOOKUP($I85,'[5]RCLIPS수신(이지론플러스)_최종'!$C:$F,3,0)</f>
        <v>String</v>
      </c>
      <c r="L85" s="263">
        <f>VLOOKUP($I85,'[5]RCLIPS수신(이지론플러스)_최종'!$C:$F,4,0)</f>
        <v>2</v>
      </c>
      <c r="M85" s="263" t="str">
        <f t="shared" si="9"/>
        <v xml:space="preserve">05             </v>
      </c>
    </row>
    <row r="86" spans="1:13">
      <c r="A86" s="263"/>
      <c r="B86" s="429">
        <f t="shared" si="10"/>
        <v>1661</v>
      </c>
      <c r="C86" s="429">
        <f t="shared" si="11"/>
        <v>1666</v>
      </c>
      <c r="D86" s="430" t="str">
        <f t="shared" si="6"/>
        <v>A2067</v>
      </c>
      <c r="E86" s="430" t="str">
        <f>VLOOKUP(D86,'RCLIPS송신(이지론플러스)_최종'!$B:$E,4,0)</f>
        <v>타사신용카드보유여부</v>
      </c>
      <c r="F86" s="430" t="str">
        <f>VLOOKUP($D86,'RCLIPS송신(이지론플러스)_최종'!$B:$D,2,0)</f>
        <v>String</v>
      </c>
      <c r="G86" s="430">
        <f>VLOOKUP($D86,'RCLIPS송신(이지론플러스)_최종'!$B:$D,3,0)</f>
        <v>1</v>
      </c>
      <c r="H86" s="430" t="str">
        <f t="shared" si="7"/>
        <v xml:space="preserve">0              </v>
      </c>
      <c r="I86" s="263" t="str">
        <f t="shared" si="8"/>
        <v>R1021</v>
      </c>
      <c r="J86" s="263" t="str">
        <f>VLOOKUP($I86,'[5]RCLIPS수신(이지론플러스)_최종'!$C:$F,2,0)</f>
        <v>NICE등급_사전</v>
      </c>
      <c r="K86" s="263" t="str">
        <f>VLOOKUP($I86,'[5]RCLIPS수신(이지론플러스)_최종'!$C:$F,3,0)</f>
        <v>String</v>
      </c>
      <c r="L86" s="263">
        <f>VLOOKUP($I86,'[5]RCLIPS수신(이지론플러스)_최종'!$C:$F,4,0)</f>
        <v>4</v>
      </c>
      <c r="M86" s="263" t="str">
        <f t="shared" si="9"/>
        <v xml:space="preserve">03             </v>
      </c>
    </row>
    <row r="87" spans="1:13">
      <c r="A87" s="263"/>
      <c r="B87" s="429">
        <f t="shared" si="10"/>
        <v>1681</v>
      </c>
      <c r="C87" s="429">
        <f t="shared" si="11"/>
        <v>1686</v>
      </c>
      <c r="D87" s="430" t="str">
        <f t="shared" si="6"/>
        <v>A2070</v>
      </c>
      <c r="E87" s="430" t="str">
        <f>VLOOKUP(D87,'RCLIPS송신(이지론플러스)_최종'!$B:$E,4,0)</f>
        <v>NICE직업우량여부</v>
      </c>
      <c r="F87" s="430" t="str">
        <f>VLOOKUP($D87,'RCLIPS송신(이지론플러스)_최종'!$B:$D,2,0)</f>
        <v>String</v>
      </c>
      <c r="G87" s="430">
        <f>VLOOKUP($D87,'RCLIPS송신(이지론플러스)_최종'!$B:$D,3,0)</f>
        <v>1</v>
      </c>
      <c r="H87" s="430" t="str">
        <f t="shared" si="7"/>
        <v xml:space="preserve">0              </v>
      </c>
      <c r="I87" s="263" t="str">
        <f t="shared" si="8"/>
        <v>R1022</v>
      </c>
      <c r="J87" s="263" t="str">
        <f>VLOOKUP($I87,'[5]RCLIPS수신(이지론플러스)_최종'!$C:$F,2,0)</f>
        <v>플러스론결합등급_사전</v>
      </c>
      <c r="K87" s="263" t="str">
        <f>VLOOKUP($I87,'[5]RCLIPS수신(이지론플러스)_최종'!$C:$F,3,0)</f>
        <v>String</v>
      </c>
      <c r="L87" s="263">
        <f>VLOOKUP($I87,'[5]RCLIPS수신(이지론플러스)_최종'!$C:$F,4,0)</f>
        <v>2</v>
      </c>
      <c r="M87" s="263" t="str">
        <f t="shared" si="9"/>
        <v xml:space="preserve">07             </v>
      </c>
    </row>
    <row r="88" spans="1:13">
      <c r="A88" s="263"/>
      <c r="B88" s="429">
        <f t="shared" si="10"/>
        <v>1701</v>
      </c>
      <c r="C88" s="429">
        <f t="shared" si="11"/>
        <v>1706</v>
      </c>
      <c r="D88" s="430" t="str">
        <f t="shared" si="6"/>
        <v>A2072</v>
      </c>
      <c r="E88" s="430" t="str">
        <f>VLOOKUP(D88,'RCLIPS송신(이지론플러스)_최종'!$B:$E,4,0)</f>
        <v>미래상환능력지수내용</v>
      </c>
      <c r="F88" s="430" t="str">
        <f>VLOOKUP($D88,'RCLIPS송신(이지론플러스)_최종'!$B:$D,2,0)</f>
        <v>String</v>
      </c>
      <c r="G88" s="430">
        <f>VLOOKUP($D88,'RCLIPS송신(이지론플러스)_최종'!$B:$D,3,0)</f>
        <v>10</v>
      </c>
      <c r="H88" s="430" t="str">
        <f t="shared" si="7"/>
        <v xml:space="preserve">3              </v>
      </c>
      <c r="I88" s="263" t="str">
        <f t="shared" si="8"/>
        <v>R1023</v>
      </c>
      <c r="J88" s="263" t="str">
        <f>VLOOKUP($I88,'[5]RCLIPS수신(이지론플러스)_최종'!$C:$F,2,0)</f>
        <v>플러스론전략등급_사전</v>
      </c>
      <c r="K88" s="263" t="str">
        <f>VLOOKUP($I88,'[5]RCLIPS수신(이지론플러스)_최종'!$C:$F,3,0)</f>
        <v>String</v>
      </c>
      <c r="L88" s="263">
        <f>VLOOKUP($I88,'[5]RCLIPS수신(이지론플러스)_최종'!$C:$F,4,0)</f>
        <v>2</v>
      </c>
      <c r="M88" s="263" t="str">
        <f t="shared" si="9"/>
        <v xml:space="preserve">04             </v>
      </c>
    </row>
    <row r="89" spans="1:13">
      <c r="A89" s="263"/>
      <c r="B89" s="429">
        <f t="shared" si="10"/>
        <v>1721</v>
      </c>
      <c r="C89" s="429">
        <f t="shared" si="11"/>
        <v>1726</v>
      </c>
      <c r="D89" s="430" t="str">
        <f t="shared" si="6"/>
        <v>A2073</v>
      </c>
      <c r="E89" s="430" t="str">
        <f>VLOOKUP(D89,'RCLIPS송신(이지론플러스)_최종'!$B:$E,4,0)</f>
        <v>고위험군여부</v>
      </c>
      <c r="F89" s="430" t="str">
        <f>VLOOKUP($D89,'RCLIPS송신(이지론플러스)_최종'!$B:$D,2,0)</f>
        <v>String</v>
      </c>
      <c r="G89" s="430">
        <f>VLOOKUP($D89,'RCLIPS송신(이지론플러스)_최종'!$B:$D,3,0)</f>
        <v>1</v>
      </c>
      <c r="H89" s="430" t="str">
        <f t="shared" si="7"/>
        <v xml:space="preserve">0              </v>
      </c>
      <c r="I89" s="263" t="str">
        <f t="shared" si="8"/>
        <v>R1024</v>
      </c>
      <c r="J89" s="263" t="str">
        <f>VLOOKUP($I89,'[5]RCLIPS수신(이지론플러스)_최종'!$C:$F,2,0)</f>
        <v>NICESP등급_사전</v>
      </c>
      <c r="K89" s="263" t="str">
        <f>VLOOKUP($I89,'[5]RCLIPS수신(이지론플러스)_최종'!$C:$F,3,0)</f>
        <v>String</v>
      </c>
      <c r="L89" s="263">
        <f>VLOOKUP($I89,'[5]RCLIPS수신(이지론플러스)_최종'!$C:$F,4,0)</f>
        <v>4</v>
      </c>
      <c r="M89" s="263" t="str">
        <f t="shared" si="9"/>
        <v xml:space="preserve">0004           </v>
      </c>
    </row>
    <row r="90" spans="1:13">
      <c r="A90" s="263"/>
      <c r="B90" s="429">
        <f t="shared" si="10"/>
        <v>1741</v>
      </c>
      <c r="C90" s="429">
        <f t="shared" si="11"/>
        <v>1746</v>
      </c>
      <c r="D90" s="430" t="str">
        <f t="shared" si="6"/>
        <v>A2076</v>
      </c>
      <c r="E90" s="430" t="str">
        <f>VLOOKUP(D90,'RCLIPS송신(이지론플러스)_최종'!$B:$E,4,0)</f>
        <v>CB등급최고대출가능금액</v>
      </c>
      <c r="F90" s="430" t="str">
        <f>VLOOKUP($D90,'RCLIPS송신(이지론플러스)_최종'!$B:$D,2,0)</f>
        <v>Numeric</v>
      </c>
      <c r="G90" s="430">
        <f>VLOOKUP($D90,'RCLIPS송신(이지론플러스)_최종'!$B:$D,3,0)</f>
        <v>15</v>
      </c>
      <c r="H90" s="430" t="str">
        <f t="shared" si="7"/>
        <v>000000005000000</v>
      </c>
      <c r="I90" s="263" t="str">
        <f t="shared" si="8"/>
        <v>R1025</v>
      </c>
      <c r="J90" s="263" t="str">
        <f>VLOOKUP($I90,'[5]RCLIPS수신(이지론플러스)_최종'!$C:$F,2,0)</f>
        <v>그룹통합모형평점_사전</v>
      </c>
      <c r="K90" s="263" t="str">
        <f>VLOOKUP($I90,'[5]RCLIPS수신(이지론플러스)_최종'!$C:$F,3,0)</f>
        <v>Numeric</v>
      </c>
      <c r="L90" s="263">
        <f>VLOOKUP($I90,'[5]RCLIPS수신(이지론플러스)_최종'!$C:$F,4,0)</f>
        <v>5</v>
      </c>
      <c r="M90" s="263" t="str">
        <f t="shared" si="9"/>
        <v>000000000000000</v>
      </c>
    </row>
    <row r="91" spans="1:13">
      <c r="A91" s="263"/>
      <c r="B91" s="429">
        <f t="shared" si="10"/>
        <v>1761</v>
      </c>
      <c r="C91" s="429">
        <f t="shared" si="11"/>
        <v>1766</v>
      </c>
      <c r="D91" s="430" t="str">
        <f t="shared" si="6"/>
        <v>A2077</v>
      </c>
      <c r="E91" s="430" t="str">
        <f>VLOOKUP(D91,'RCLIPS송신(이지론플러스)_최종'!$B:$E,4,0)</f>
        <v>우대대출가능금액</v>
      </c>
      <c r="F91" s="430" t="str">
        <f>VLOOKUP($D91,'RCLIPS송신(이지론플러스)_최종'!$B:$D,2,0)</f>
        <v>Numeric</v>
      </c>
      <c r="G91" s="430">
        <f>VLOOKUP($D91,'RCLIPS송신(이지론플러스)_최종'!$B:$D,3,0)</f>
        <v>15</v>
      </c>
      <c r="H91" s="430" t="str">
        <f t="shared" si="7"/>
        <v>000000000000000</v>
      </c>
      <c r="I91" s="263" t="str">
        <f t="shared" si="8"/>
        <v>R1027</v>
      </c>
      <c r="J91" s="263" t="str">
        <f>VLOOKUP($I91,'[5]RCLIPS수신(이지론플러스)_최종'!$C:$F,2,0)</f>
        <v>그룹통합모형카드등급_사전</v>
      </c>
      <c r="K91" s="263" t="str">
        <f>VLOOKUP($I91,'[5]RCLIPS수신(이지론플러스)_최종'!$C:$F,3,0)</f>
        <v>String</v>
      </c>
      <c r="L91" s="263">
        <f>VLOOKUP($I91,'[5]RCLIPS수신(이지론플러스)_최종'!$C:$F,4,0)</f>
        <v>2</v>
      </c>
      <c r="M91" s="263" t="str">
        <f t="shared" si="9"/>
        <v xml:space="preserve">05             </v>
      </c>
    </row>
    <row r="92" spans="1:13">
      <c r="A92" s="263"/>
      <c r="B92" s="429">
        <f t="shared" si="10"/>
        <v>1781</v>
      </c>
      <c r="C92" s="429">
        <f t="shared" si="11"/>
        <v>1786</v>
      </c>
      <c r="D92" s="430" t="str">
        <f t="shared" si="6"/>
        <v>A2078</v>
      </c>
      <c r="E92" s="430" t="str">
        <f>VLOOKUP(D92,'RCLIPS송신(이지론플러스)_최종'!$B:$E,4,0)</f>
        <v>신용대출ASS등급</v>
      </c>
      <c r="F92" s="430" t="str">
        <f>VLOOKUP($D92,'RCLIPS송신(이지론플러스)_최종'!$B:$D,2,0)</f>
        <v>String</v>
      </c>
      <c r="G92" s="430">
        <f>VLOOKUP($D92,'RCLIPS송신(이지론플러스)_최종'!$B:$D,3,0)</f>
        <v>2</v>
      </c>
      <c r="H92" s="430" t="str">
        <f t="shared" si="7"/>
        <v xml:space="preserve">07             </v>
      </c>
      <c r="I92" s="263" t="str">
        <f t="shared" si="8"/>
        <v>R1029</v>
      </c>
      <c r="J92" s="263" t="str">
        <f>VLOOKUP($I92,'[5]RCLIPS수신(이지론플러스)_최종'!$C:$F,2,0)</f>
        <v>미래능력상환지수_사전</v>
      </c>
      <c r="K92" s="263" t="str">
        <f>VLOOKUP($I92,'[5]RCLIPS수신(이지론플러스)_최종'!$C:$F,3,0)</f>
        <v>String</v>
      </c>
      <c r="L92" s="263">
        <f>VLOOKUP($I92,'[5]RCLIPS수신(이지론플러스)_최종'!$C:$F,4,0)</f>
        <v>2</v>
      </c>
      <c r="M92" s="263" t="str">
        <f t="shared" si="9"/>
        <v xml:space="preserve">03             </v>
      </c>
    </row>
    <row r="93" spans="1:13">
      <c r="A93" s="263"/>
      <c r="B93" s="429">
        <f t="shared" si="10"/>
        <v>1801</v>
      </c>
      <c r="C93" s="429">
        <f t="shared" si="11"/>
        <v>1806</v>
      </c>
      <c r="D93" s="430" t="str">
        <f t="shared" si="6"/>
        <v>A2079</v>
      </c>
      <c r="E93" s="430" t="str">
        <f>VLOOKUP(D93,'RCLIPS송신(이지론플러스)_최종'!$B:$E,4,0)</f>
        <v>플러스론결합등급</v>
      </c>
      <c r="F93" s="430" t="str">
        <f>VLOOKUP($D93,'RCLIPS송신(이지론플러스)_최종'!$B:$D,2,0)</f>
        <v>String</v>
      </c>
      <c r="G93" s="430">
        <f>VLOOKUP($D93,'RCLIPS송신(이지론플러스)_최종'!$B:$D,3,0)</f>
        <v>2</v>
      </c>
      <c r="H93" s="430" t="str">
        <f t="shared" si="7"/>
        <v xml:space="preserve">07             </v>
      </c>
      <c r="I93" s="263" t="str">
        <f t="shared" si="8"/>
        <v>R1030</v>
      </c>
      <c r="J93" s="263" t="str">
        <f>VLOOKUP($I93,'[5]RCLIPS수신(이지론플러스)_최종'!$C:$F,2,0)</f>
        <v>CB등급최고대출가능금액_사전</v>
      </c>
      <c r="K93" s="263" t="str">
        <f>VLOOKUP($I93,'[5]RCLIPS수신(이지론플러스)_최종'!$C:$F,3,0)</f>
        <v>Numeric</v>
      </c>
      <c r="L93" s="263">
        <f>VLOOKUP($I93,'[5]RCLIPS수신(이지론플러스)_최종'!$C:$F,4,0)</f>
        <v>15</v>
      </c>
      <c r="M93" s="263" t="str">
        <f t="shared" si="9"/>
        <v>0000005000000.0</v>
      </c>
    </row>
    <row r="94" spans="1:13">
      <c r="A94" s="263"/>
      <c r="B94" s="429">
        <f t="shared" si="10"/>
        <v>1821</v>
      </c>
      <c r="C94" s="429">
        <f t="shared" si="11"/>
        <v>1826</v>
      </c>
      <c r="D94" s="430" t="str">
        <f t="shared" si="6"/>
        <v>A2080</v>
      </c>
      <c r="E94" s="430" t="str">
        <f>VLOOKUP(D94,'RCLIPS송신(이지론플러스)_최종'!$B:$E,4,0)</f>
        <v>플러스론전략등급</v>
      </c>
      <c r="F94" s="430" t="str">
        <f>VLOOKUP($D94,'RCLIPS송신(이지론플러스)_최종'!$B:$D,2,0)</f>
        <v>String</v>
      </c>
      <c r="G94" s="430">
        <f>VLOOKUP($D94,'RCLIPS송신(이지론플러스)_최종'!$B:$D,3,0)</f>
        <v>2</v>
      </c>
      <c r="H94" s="430" t="str">
        <f t="shared" si="7"/>
        <v xml:space="preserve">04             </v>
      </c>
      <c r="I94" s="263" t="str">
        <f t="shared" si="8"/>
        <v>R1031</v>
      </c>
      <c r="J94" s="263" t="str">
        <f>VLOOKUP($I94,'[5]RCLIPS수신(이지론플러스)_최종'!$C:$F,2,0)</f>
        <v>한도조정금액_사전</v>
      </c>
      <c r="K94" s="263" t="str">
        <f>VLOOKUP($I94,'[5]RCLIPS수신(이지론플러스)_최종'!$C:$F,3,0)</f>
        <v>Numeric</v>
      </c>
      <c r="L94" s="263">
        <f>VLOOKUP($I94,'[5]RCLIPS수신(이지론플러스)_최종'!$C:$F,4,0)</f>
        <v>15</v>
      </c>
      <c r="M94" s="263" t="str">
        <f t="shared" si="9"/>
        <v>0000000000000.0</v>
      </c>
    </row>
    <row r="95" spans="1:13">
      <c r="A95" s="263"/>
      <c r="B95" s="429">
        <f t="shared" si="10"/>
        <v>1841</v>
      </c>
      <c r="C95" s="429">
        <f t="shared" si="11"/>
        <v>1846</v>
      </c>
      <c r="D95" s="430" t="str">
        <f t="shared" si="6"/>
        <v>A2081</v>
      </c>
      <c r="E95" s="430" t="str">
        <f>VLOOKUP(D95,'RCLIPS송신(이지론플러스)_최종'!$B:$E,4,0)</f>
        <v>프로파일코드1</v>
      </c>
      <c r="F95" s="430" t="str">
        <f>VLOOKUP($D95,'RCLIPS송신(이지론플러스)_최종'!$B:$D,2,0)</f>
        <v>String</v>
      </c>
      <c r="G95" s="430">
        <f>VLOOKUP($D95,'RCLIPS송신(이지론플러스)_최종'!$B:$D,3,0)</f>
        <v>3</v>
      </c>
      <c r="H95" s="430" t="str">
        <f t="shared" si="7"/>
        <v xml:space="preserve">               </v>
      </c>
      <c r="I95" s="263" t="str">
        <f t="shared" si="8"/>
        <v>R1032</v>
      </c>
      <c r="J95" s="263" t="str">
        <f>VLOOKUP($I95,'[5]RCLIPS수신(이지론플러스)_최종'!$C:$F,2,0)</f>
        <v>고위험군여부_사전</v>
      </c>
      <c r="K95" s="263" t="str">
        <f>VLOOKUP($I95,'[5]RCLIPS수신(이지론플러스)_최종'!$C:$F,3,0)</f>
        <v>String</v>
      </c>
      <c r="L95" s="263">
        <f>VLOOKUP($I95,'[5]RCLIPS수신(이지론플러스)_최종'!$C:$F,4,0)</f>
        <v>1</v>
      </c>
      <c r="M95" s="263" t="str">
        <f t="shared" si="9"/>
        <v xml:space="preserve">0              </v>
      </c>
    </row>
    <row r="96" spans="1:13">
      <c r="A96" s="263"/>
      <c r="B96" s="429">
        <f t="shared" si="10"/>
        <v>1861</v>
      </c>
      <c r="C96" s="429">
        <f t="shared" si="11"/>
        <v>1866</v>
      </c>
      <c r="D96" s="430" t="str">
        <f t="shared" si="6"/>
        <v>A2082</v>
      </c>
      <c r="E96" s="430" t="str">
        <f>VLOOKUP(D96,'RCLIPS송신(이지론플러스)_최종'!$B:$E,4,0)</f>
        <v>프로파일코드2</v>
      </c>
      <c r="F96" s="430" t="str">
        <f>VLOOKUP($D96,'RCLIPS송신(이지론플러스)_최종'!$B:$D,2,0)</f>
        <v>String</v>
      </c>
      <c r="G96" s="430">
        <f>VLOOKUP($D96,'RCLIPS송신(이지론플러스)_최종'!$B:$D,3,0)</f>
        <v>3</v>
      </c>
      <c r="H96" s="430" t="str">
        <f t="shared" si="7"/>
        <v xml:space="preserve">               </v>
      </c>
      <c r="I96" s="263" t="str">
        <f t="shared" si="8"/>
        <v>R1033</v>
      </c>
      <c r="J96" s="263" t="str">
        <f>VLOOKUP($I96,'[5]RCLIPS수신(이지론플러스)_최종'!$C:$F,2,0)</f>
        <v>신용등급세그먼트구분_사전</v>
      </c>
      <c r="K96" s="263" t="str">
        <f>VLOOKUP($I96,'[5]RCLIPS수신(이지론플러스)_최종'!$C:$F,3,0)</f>
        <v>String</v>
      </c>
      <c r="L96" s="263">
        <f>VLOOKUP($I96,'[5]RCLIPS수신(이지론플러스)_최종'!$C:$F,4,0)</f>
        <v>2</v>
      </c>
      <c r="M96" s="263" t="str">
        <f t="shared" si="9"/>
        <v xml:space="preserve">YA             </v>
      </c>
    </row>
    <row r="97" spans="1:13">
      <c r="A97" s="263"/>
      <c r="B97" s="429">
        <f t="shared" si="10"/>
        <v>1881</v>
      </c>
      <c r="C97" s="429">
        <f t="shared" si="11"/>
        <v>1886</v>
      </c>
      <c r="D97" s="430" t="str">
        <f t="shared" si="6"/>
        <v>A2083</v>
      </c>
      <c r="E97" s="430" t="str">
        <f>VLOOKUP(D97,'RCLIPS송신(이지론플러스)_최종'!$B:$E,4,0)</f>
        <v>프로파일코드3</v>
      </c>
      <c r="F97" s="430" t="str">
        <f>VLOOKUP($D97,'RCLIPS송신(이지론플러스)_최종'!$B:$D,2,0)</f>
        <v>String</v>
      </c>
      <c r="G97" s="430">
        <f>VLOOKUP($D97,'RCLIPS송신(이지론플러스)_최종'!$B:$D,3,0)</f>
        <v>3</v>
      </c>
      <c r="H97" s="430" t="str">
        <f t="shared" si="7"/>
        <v xml:space="preserve">               </v>
      </c>
      <c r="I97" s="263" t="str">
        <f t="shared" si="8"/>
        <v>R1034</v>
      </c>
      <c r="J97" s="263" t="str">
        <f>VLOOKUP($I97,'[5]RCLIPS수신(이지론플러스)_최종'!$C:$F,2,0)</f>
        <v>최종신용등급세그먼트구분_사전</v>
      </c>
      <c r="K97" s="263" t="str">
        <f>VLOOKUP($I97,'[5]RCLIPS수신(이지론플러스)_최종'!$C:$F,3,0)</f>
        <v>String</v>
      </c>
      <c r="L97" s="263">
        <f>VLOOKUP($I97,'[5]RCLIPS수신(이지론플러스)_최종'!$C:$F,4,0)</f>
        <v>2</v>
      </c>
      <c r="M97" s="263" t="str">
        <f t="shared" si="9"/>
        <v xml:space="preserve">07             </v>
      </c>
    </row>
    <row r="98" spans="1:13">
      <c r="A98" s="263"/>
      <c r="B98" s="429">
        <f t="shared" si="10"/>
        <v>1901</v>
      </c>
      <c r="C98" s="429">
        <f t="shared" si="11"/>
        <v>1906</v>
      </c>
      <c r="D98" s="430" t="str">
        <f t="shared" si="6"/>
        <v>A2084</v>
      </c>
      <c r="E98" s="430" t="str">
        <f>VLOOKUP(D98,'RCLIPS송신(이지론플러스)_최종'!$B:$E,4,0)</f>
        <v>PI2신용등급코드</v>
      </c>
      <c r="F98" s="430" t="str">
        <f>VLOOKUP($D98,'RCLIPS송신(이지론플러스)_최종'!$B:$D,2,0)</f>
        <v>String</v>
      </c>
      <c r="G98" s="430">
        <f>VLOOKUP($D98,'RCLIPS송신(이지론플러스)_최종'!$B:$D,3,0)</f>
        <v>4</v>
      </c>
      <c r="H98" s="430" t="str">
        <f t="shared" si="7"/>
        <v xml:space="preserve">0002           </v>
      </c>
      <c r="I98" s="263" t="str">
        <f t="shared" si="8"/>
        <v>R1035</v>
      </c>
      <c r="J98" s="263" t="str">
        <f>VLOOKUP($I98,'[5]RCLIPS수신(이지론플러스)_최종'!$C:$F,2,0)</f>
        <v>최고대출가능금액세그먼트구분_사전</v>
      </c>
      <c r="K98" s="263" t="str">
        <f>VLOOKUP($I98,'[5]RCLIPS수신(이지론플러스)_최종'!$C:$F,3,0)</f>
        <v>String</v>
      </c>
      <c r="L98" s="263">
        <f>VLOOKUP($I98,'[5]RCLIPS수신(이지론플러스)_최종'!$C:$F,4,0)</f>
        <v>2</v>
      </c>
      <c r="M98" s="263" t="str">
        <f t="shared" si="9"/>
        <v xml:space="preserve">U4             </v>
      </c>
    </row>
    <row r="99" spans="1:13">
      <c r="A99" s="263"/>
      <c r="B99" s="429">
        <f t="shared" si="10"/>
        <v>1921</v>
      </c>
      <c r="C99" s="429">
        <f t="shared" si="11"/>
        <v>1926</v>
      </c>
      <c r="D99" s="430" t="str">
        <f t="shared" si="6"/>
        <v>A2085</v>
      </c>
      <c r="E99" s="430" t="str">
        <f>VLOOKUP(D99,'RCLIPS송신(이지론플러스)_최종'!$B:$E,4,0)</f>
        <v>DEP신용등급코드</v>
      </c>
      <c r="F99" s="430" t="str">
        <f>VLOOKUP($D99,'RCLIPS송신(이지론플러스)_최종'!$B:$D,2,0)</f>
        <v>String</v>
      </c>
      <c r="G99" s="430">
        <f>VLOOKUP($D99,'RCLIPS송신(이지론플러스)_최종'!$B:$D,3,0)</f>
        <v>4</v>
      </c>
      <c r="H99" s="430" t="str">
        <f t="shared" si="7"/>
        <v xml:space="preserve">               </v>
      </c>
      <c r="I99" s="263" t="str">
        <f t="shared" si="8"/>
        <v>R1036</v>
      </c>
      <c r="J99" s="263" t="str">
        <f>VLOOKUP($I99,'[5]RCLIPS수신(이지론플러스)_최종'!$C:$F,2,0)</f>
        <v>세그먼트최고대출가능금액_사전</v>
      </c>
      <c r="K99" s="263" t="str">
        <f>VLOOKUP($I99,'[5]RCLIPS수신(이지론플러스)_최종'!$C:$F,3,0)</f>
        <v>Numeric</v>
      </c>
      <c r="L99" s="263">
        <f>VLOOKUP($I99,'[5]RCLIPS수신(이지론플러스)_최종'!$C:$F,4,0)</f>
        <v>15</v>
      </c>
      <c r="M99" s="263" t="str">
        <f t="shared" si="9"/>
        <v>0000000000000.0</v>
      </c>
    </row>
    <row r="100" spans="1:13">
      <c r="A100" s="263"/>
      <c r="B100" s="429">
        <f t="shared" si="10"/>
        <v>1941</v>
      </c>
      <c r="C100" s="429">
        <f t="shared" si="11"/>
        <v>1946</v>
      </c>
      <c r="D100" s="430" t="str">
        <f t="shared" si="6"/>
        <v>A2086</v>
      </c>
      <c r="E100" s="430" t="str">
        <f>VLOOKUP(D100,'RCLIPS송신(이지론플러스)_최종'!$B:$E,4,0)</f>
        <v>PIPLUS신용등급코드</v>
      </c>
      <c r="F100" s="430" t="str">
        <f>VLOOKUP($D100,'RCLIPS송신(이지론플러스)_최종'!$B:$D,2,0)</f>
        <v>String</v>
      </c>
      <c r="G100" s="430">
        <f>VLOOKUP($D100,'RCLIPS송신(이지론플러스)_최종'!$B:$D,3,0)</f>
        <v>4</v>
      </c>
      <c r="H100" s="430" t="str">
        <f t="shared" si="7"/>
        <v xml:space="preserve">0002           </v>
      </c>
      <c r="I100" s="263" t="str">
        <f t="shared" si="8"/>
        <v>R1037</v>
      </c>
      <c r="J100" s="263" t="str">
        <f>VLOOKUP($I100,'[5]RCLIPS수신(이지론플러스)_최종'!$C:$F,2,0)</f>
        <v>DTI율가이드적용금액_사전</v>
      </c>
      <c r="K100" s="263" t="str">
        <f>VLOOKUP($I100,'[5]RCLIPS수신(이지론플러스)_최종'!$C:$F,3,0)</f>
        <v>Numeric</v>
      </c>
      <c r="L100" s="263">
        <f>VLOOKUP($I100,'[5]RCLIPS수신(이지론플러스)_최종'!$C:$F,4,0)</f>
        <v>15</v>
      </c>
      <c r="M100" s="263" t="str">
        <f t="shared" si="9"/>
        <v>0000000000000.0</v>
      </c>
    </row>
    <row r="101" spans="1:13">
      <c r="A101" s="263"/>
      <c r="B101" s="429">
        <f t="shared" si="10"/>
        <v>1961</v>
      </c>
      <c r="C101" s="429">
        <f t="shared" si="11"/>
        <v>1966</v>
      </c>
      <c r="D101" s="430" t="str">
        <f t="shared" si="6"/>
        <v>A2097</v>
      </c>
      <c r="E101" s="430" t="str">
        <f>VLOOKUP(D101,'RCLIPS송신(이지론플러스)_최종'!$B:$E,4,0)</f>
        <v>DEP2신용등급코드</v>
      </c>
      <c r="F101" s="430" t="str">
        <f>VLOOKUP($D101,'RCLIPS송신(이지론플러스)_최종'!$B:$D,2,0)</f>
        <v>String</v>
      </c>
      <c r="G101" s="430">
        <f>VLOOKUP($D101,'RCLIPS송신(이지론플러스)_최종'!$B:$D,3,0)</f>
        <v>4</v>
      </c>
      <c r="H101" s="430" t="str">
        <f t="shared" si="7"/>
        <v xml:space="preserve">0003           </v>
      </c>
      <c r="I101" s="263" t="str">
        <f t="shared" si="8"/>
        <v>R1038</v>
      </c>
      <c r="J101" s="263" t="str">
        <f>VLOOKUP($I101,'[5]RCLIPS수신(이지론플러스)_최종'!$C:$F,2,0)</f>
        <v>예비대출가능금액_사전</v>
      </c>
      <c r="K101" s="263" t="str">
        <f>VLOOKUP($I101,'[5]RCLIPS수신(이지론플러스)_최종'!$C:$F,3,0)</f>
        <v>Numeric</v>
      </c>
      <c r="L101" s="263">
        <f>VLOOKUP($I101,'[5]RCLIPS수신(이지론플러스)_최종'!$C:$F,4,0)</f>
        <v>15</v>
      </c>
      <c r="M101" s="263" t="str">
        <f t="shared" si="9"/>
        <v>0000005000000.0</v>
      </c>
    </row>
    <row r="102" spans="1:13">
      <c r="A102" s="263"/>
      <c r="B102" s="429">
        <f t="shared" si="10"/>
        <v>1981</v>
      </c>
      <c r="C102" s="429">
        <f t="shared" si="11"/>
        <v>1986</v>
      </c>
      <c r="D102" s="430" t="str">
        <f t="shared" si="6"/>
        <v>A2100</v>
      </c>
      <c r="E102" s="430" t="str">
        <f>VLOOKUP(D102,'RCLIPS송신(이지론플러스)_최종'!$B:$E,4,0)</f>
        <v>소액한도대상여부</v>
      </c>
      <c r="F102" s="430" t="str">
        <f>VLOOKUP($D102,'RCLIPS송신(이지론플러스)_최종'!$B:$D,2,0)</f>
        <v>String</v>
      </c>
      <c r="G102" s="430">
        <f>VLOOKUP($D102,'RCLIPS송신(이지론플러스)_최종'!$B:$D,3,0)</f>
        <v>1</v>
      </c>
      <c r="H102" s="430" t="str">
        <f t="shared" si="7"/>
        <v xml:space="preserve">0              </v>
      </c>
      <c r="I102" s="263" t="str">
        <f t="shared" si="8"/>
        <v>R1039</v>
      </c>
      <c r="J102" s="263" t="str">
        <f>VLOOKUP($I102,'[5]RCLIPS수신(이지론플러스)_최종'!$C:$F,2,0)</f>
        <v>우대전최종대출가능금액_사전</v>
      </c>
      <c r="K102" s="263" t="str">
        <f>VLOOKUP($I102,'[5]RCLIPS수신(이지론플러스)_최종'!$C:$F,3,0)</f>
        <v>Numeric</v>
      </c>
      <c r="L102" s="263">
        <f>VLOOKUP($I102,'[5]RCLIPS수신(이지론플러스)_최종'!$C:$F,4,0)</f>
        <v>15</v>
      </c>
      <c r="M102" s="263" t="str">
        <f t="shared" si="9"/>
        <v>0000005000000.0</v>
      </c>
    </row>
    <row r="103" spans="1:13">
      <c r="A103" s="263"/>
      <c r="B103" s="429">
        <f t="shared" si="10"/>
        <v>2001</v>
      </c>
      <c r="C103" s="429">
        <f t="shared" si="11"/>
        <v>2006</v>
      </c>
      <c r="D103" s="430" t="str">
        <f t="shared" si="6"/>
        <v>A2101</v>
      </c>
      <c r="E103" s="430" t="str">
        <f>VLOOKUP(D103,'RCLIPS송신(이지론플러스)_최종'!$B:$E,4,0)</f>
        <v>최고대출가능금액세그먼트구분</v>
      </c>
      <c r="F103" s="430" t="str">
        <f>VLOOKUP($D103,'RCLIPS송신(이지론플러스)_최종'!$B:$D,2,0)</f>
        <v>String</v>
      </c>
      <c r="G103" s="430">
        <f>VLOOKUP($D103,'RCLIPS송신(이지론플러스)_최종'!$B:$D,3,0)</f>
        <v>2</v>
      </c>
      <c r="H103" s="430" t="str">
        <f t="shared" si="7"/>
        <v xml:space="preserve">U4             </v>
      </c>
      <c r="I103" s="263" t="str">
        <f t="shared" si="8"/>
        <v>R1040</v>
      </c>
      <c r="J103" s="263" t="str">
        <f>VLOOKUP($I103,'[5]RCLIPS수신(이지론플러스)_최종'!$C:$F,2,0)</f>
        <v>소액한도대상여부_사전</v>
      </c>
      <c r="K103" s="263" t="str">
        <f>VLOOKUP($I103,'[5]RCLIPS수신(이지론플러스)_최종'!$C:$F,3,0)</f>
        <v>String</v>
      </c>
      <c r="L103" s="263">
        <f>VLOOKUP($I103,'[5]RCLIPS수신(이지론플러스)_최종'!$C:$F,4,0)</f>
        <v>1</v>
      </c>
      <c r="M103" s="263" t="str">
        <f t="shared" si="9"/>
        <v xml:space="preserve">0              </v>
      </c>
    </row>
    <row r="104" spans="1:13">
      <c r="A104" s="263"/>
      <c r="B104" s="429">
        <f t="shared" si="10"/>
        <v>2021</v>
      </c>
      <c r="C104" s="429">
        <f t="shared" si="11"/>
        <v>2026</v>
      </c>
      <c r="D104" s="430" t="str">
        <f t="shared" si="6"/>
        <v>A2102</v>
      </c>
      <c r="E104" s="430" t="str">
        <f>VLOOKUP(D104,'RCLIPS송신(이지론플러스)_최종'!$B:$E,4,0)</f>
        <v>자택우편번호</v>
      </c>
      <c r="F104" s="430" t="str">
        <f>VLOOKUP($D104,'RCLIPS송신(이지론플러스)_최종'!$B:$D,2,0)</f>
        <v>String</v>
      </c>
      <c r="G104" s="430">
        <f>VLOOKUP($D104,'RCLIPS송신(이지론플러스)_최종'!$B:$D,3,0)</f>
        <v>6</v>
      </c>
      <c r="H104" s="430" t="str">
        <f t="shared" si="7"/>
        <v xml:space="preserve">48091          </v>
      </c>
      <c r="I104" s="263" t="str">
        <f t="shared" si="8"/>
        <v>R1041</v>
      </c>
      <c r="J104" s="263" t="str">
        <f>VLOOKUP($I104,'[5]RCLIPS수신(이지론플러스)_최종'!$C:$F,2,0)</f>
        <v>우대대출가능금액_사전</v>
      </c>
      <c r="K104" s="263" t="str">
        <f>VLOOKUP($I104,'[5]RCLIPS수신(이지론플러스)_최종'!$C:$F,3,0)</f>
        <v>Numeric</v>
      </c>
      <c r="L104" s="263">
        <f>VLOOKUP($I104,'[5]RCLIPS수신(이지론플러스)_최종'!$C:$F,4,0)</f>
        <v>15</v>
      </c>
      <c r="M104" s="263" t="str">
        <f t="shared" si="9"/>
        <v>0000000000000.0</v>
      </c>
    </row>
    <row r="105" spans="1:13">
      <c r="A105" s="263"/>
      <c r="B105" s="429">
        <f t="shared" si="10"/>
        <v>2041</v>
      </c>
      <c r="C105" s="429">
        <f t="shared" si="11"/>
        <v>2046</v>
      </c>
      <c r="D105" s="430" t="str">
        <f t="shared" si="6"/>
        <v>A2104</v>
      </c>
      <c r="E105" s="430" t="str">
        <f>VLOOKUP(D105,'RCLIPS송신(이지론플러스)_최종'!$B:$E,4,0)</f>
        <v>주거우대여부</v>
      </c>
      <c r="F105" s="430" t="str">
        <f>VLOOKUP($D105,'RCLIPS송신(이지론플러스)_최종'!$B:$D,2,0)</f>
        <v>String</v>
      </c>
      <c r="G105" s="430">
        <f>VLOOKUP($D105,'RCLIPS송신(이지론플러스)_최종'!$B:$D,3,0)</f>
        <v>1</v>
      </c>
      <c r="H105" s="430" t="str">
        <f t="shared" si="7"/>
        <v xml:space="preserve">0              </v>
      </c>
      <c r="I105" s="263" t="str">
        <f t="shared" si="8"/>
        <v>R1042</v>
      </c>
      <c r="J105" s="263" t="str">
        <f>VLOOKUP($I105,'[5]RCLIPS수신(이지론플러스)_최종'!$C:$F,2,0)</f>
        <v>소개영업대상여부_사전</v>
      </c>
      <c r="K105" s="263" t="str">
        <f>VLOOKUP($I105,'[5]RCLIPS수신(이지론플러스)_최종'!$C:$F,3,0)</f>
        <v>String</v>
      </c>
      <c r="L105" s="263">
        <f>VLOOKUP($I105,'[5]RCLIPS수신(이지론플러스)_최종'!$C:$F,4,0)</f>
        <v>1</v>
      </c>
      <c r="M105" s="263" t="str">
        <f t="shared" si="9"/>
        <v xml:space="preserve">0              </v>
      </c>
    </row>
    <row r="106" spans="1:13">
      <c r="A106" s="263"/>
      <c r="B106" s="429">
        <f t="shared" si="10"/>
        <v>2061</v>
      </c>
      <c r="C106" s="429">
        <f t="shared" si="11"/>
        <v>2066</v>
      </c>
      <c r="D106" s="430" t="str">
        <f t="shared" si="6"/>
        <v>A2107</v>
      </c>
      <c r="E106" s="430" t="str">
        <f>VLOOKUP(D106,'RCLIPS송신(이지론플러스)_최종'!$B:$E,4,0)</f>
        <v>한도조정금액</v>
      </c>
      <c r="F106" s="430" t="str">
        <f>VLOOKUP($D106,'RCLIPS송신(이지론플러스)_최종'!$B:$D,2,0)</f>
        <v>Numeric</v>
      </c>
      <c r="G106" s="430">
        <f>VLOOKUP($D106,'RCLIPS송신(이지론플러스)_최종'!$B:$D,3,0)</f>
        <v>15</v>
      </c>
      <c r="H106" s="430" t="str">
        <f t="shared" si="7"/>
        <v>000000000000000</v>
      </c>
      <c r="I106" s="263" t="str">
        <f t="shared" si="8"/>
        <v>R1043</v>
      </c>
      <c r="J106" s="263" t="str">
        <f>VLOOKUP($I106,'[5]RCLIPS수신(이지론플러스)_최종'!$C:$F,2,0)</f>
        <v>부동산사유코드1_사전</v>
      </c>
      <c r="K106" s="263" t="str">
        <f>VLOOKUP($I106,'[5]RCLIPS수신(이지론플러스)_최종'!$C:$F,3,0)</f>
        <v>String</v>
      </c>
      <c r="L106" s="263">
        <f>VLOOKUP($I106,'[5]RCLIPS수신(이지론플러스)_최종'!$C:$F,4,0)</f>
        <v>4</v>
      </c>
      <c r="M106" s="263" t="str">
        <f t="shared" si="9"/>
        <v>000000000000667</v>
      </c>
    </row>
    <row r="107" spans="1:13">
      <c r="A107" s="263"/>
      <c r="B107" s="429">
        <f t="shared" si="10"/>
        <v>2081</v>
      </c>
      <c r="C107" s="429">
        <f t="shared" si="11"/>
        <v>2086</v>
      </c>
      <c r="D107" s="430" t="str">
        <f t="shared" si="6"/>
        <v>A2109</v>
      </c>
      <c r="E107" s="430" t="str">
        <f>VLOOKUP(D107,'RCLIPS송신(이지론플러스)_최종'!$B:$E,4,0)</f>
        <v>소개영업대상여부</v>
      </c>
      <c r="F107" s="430" t="str">
        <f>VLOOKUP($D107,'RCLIPS송신(이지론플러스)_최종'!$B:$D,2,0)</f>
        <v>String</v>
      </c>
      <c r="G107" s="430">
        <f>VLOOKUP($D107,'RCLIPS송신(이지론플러스)_최종'!$B:$D,3,0)</f>
        <v>1</v>
      </c>
      <c r="H107" s="430" t="str">
        <f t="shared" si="7"/>
        <v xml:space="preserve">0              </v>
      </c>
      <c r="I107" s="263" t="str">
        <f t="shared" si="8"/>
        <v>R1044</v>
      </c>
      <c r="J107" s="263" t="str">
        <f>VLOOKUP($I107,'[5]RCLIPS수신(이지론플러스)_최종'!$C:$F,2,0)</f>
        <v>부동산사유코드2_사전</v>
      </c>
      <c r="K107" s="263" t="str">
        <f>VLOOKUP($I107,'[5]RCLIPS수신(이지론플러스)_최종'!$C:$F,3,0)</f>
        <v>String</v>
      </c>
      <c r="L107" s="263">
        <f>VLOOKUP($I107,'[5]RCLIPS수신(이지론플러스)_최종'!$C:$F,4,0)</f>
        <v>4</v>
      </c>
      <c r="M107" s="263" t="str">
        <f t="shared" si="9"/>
        <v xml:space="preserve">07             </v>
      </c>
    </row>
    <row r="108" spans="1:13">
      <c r="A108" s="263"/>
      <c r="B108" s="429">
        <f t="shared" si="10"/>
        <v>2101</v>
      </c>
      <c r="C108" s="429">
        <f t="shared" si="11"/>
        <v>2106</v>
      </c>
      <c r="D108" s="430" t="str">
        <f t="shared" si="6"/>
        <v>A2110</v>
      </c>
      <c r="E108" s="430" t="str">
        <f>VLOOKUP(D108,'RCLIPS송신(이지론플러스)_최종'!$B:$E,4,0)</f>
        <v>다중채무자여부</v>
      </c>
      <c r="F108" s="430" t="str">
        <f>VLOOKUP($D108,'RCLIPS송신(이지론플러스)_최종'!$B:$D,2,0)</f>
        <v>String</v>
      </c>
      <c r="G108" s="430">
        <f>VLOOKUP($D108,'RCLIPS송신(이지론플러스)_최종'!$B:$D,3,0)</f>
        <v>1</v>
      </c>
      <c r="H108" s="430" t="str">
        <f t="shared" si="7"/>
        <v xml:space="preserve">0              </v>
      </c>
      <c r="I108" s="263" t="str">
        <f t="shared" si="8"/>
        <v>R1045</v>
      </c>
      <c r="J108" s="263" t="str">
        <f>VLOOKUP($I108,'[5]RCLIPS수신(이지론플러스)_최종'!$C:$F,2,0)</f>
        <v>부동산사유코드3_사전</v>
      </c>
      <c r="K108" s="263" t="str">
        <f>VLOOKUP($I108,'[5]RCLIPS수신(이지론플러스)_최종'!$C:$F,3,0)</f>
        <v>String</v>
      </c>
      <c r="L108" s="263">
        <f>VLOOKUP($I108,'[5]RCLIPS수신(이지론플러스)_최종'!$C:$F,4,0)</f>
        <v>4</v>
      </c>
      <c r="M108" s="263" t="str">
        <f t="shared" si="9"/>
        <v xml:space="preserve">07             </v>
      </c>
    </row>
    <row r="109" spans="1:13">
      <c r="A109" s="263"/>
      <c r="B109" s="429">
        <f t="shared" si="10"/>
        <v>2121</v>
      </c>
      <c r="C109" s="429">
        <f t="shared" si="11"/>
        <v>2126</v>
      </c>
      <c r="D109" s="430" t="str">
        <f t="shared" si="6"/>
        <v>A2117</v>
      </c>
      <c r="E109" s="430" t="str">
        <f>VLOOKUP(D109,'RCLIPS송신(이지론플러스)_최종'!$B:$E,4,0)</f>
        <v>파일롯대상대출가능금액</v>
      </c>
      <c r="F109" s="430" t="str">
        <f>VLOOKUP($D109,'RCLIPS송신(이지론플러스)_최종'!$B:$D,2,0)</f>
        <v>Numeric</v>
      </c>
      <c r="G109" s="430">
        <f>VLOOKUP($D109,'RCLIPS송신(이지론플러스)_최종'!$B:$D,3,0)</f>
        <v>15</v>
      </c>
      <c r="H109" s="430" t="str">
        <f t="shared" si="7"/>
        <v>000000000000000</v>
      </c>
      <c r="I109" s="263" t="str">
        <f t="shared" si="8"/>
        <v>R1048</v>
      </c>
      <c r="J109" s="263" t="str">
        <f>VLOOKUP($I109,'[5]RCLIPS수신(이지론플러스)_최종'!$C:$F,2,0)</f>
        <v>은행신용대출금액_사전</v>
      </c>
      <c r="K109" s="263" t="str">
        <f>VLOOKUP($I109,'[5]RCLIPS수신(이지론플러스)_최종'!$C:$F,3,0)</f>
        <v>Numeric</v>
      </c>
      <c r="L109" s="263">
        <f>VLOOKUP($I109,'[5]RCLIPS수신(이지론플러스)_최종'!$C:$F,4,0)</f>
        <v>15</v>
      </c>
      <c r="M109" s="263" t="str">
        <f t="shared" si="9"/>
        <v>0000003000000.0</v>
      </c>
    </row>
    <row r="110" spans="1:13">
      <c r="A110" s="263"/>
      <c r="B110" s="429">
        <f t="shared" si="10"/>
        <v>2141</v>
      </c>
      <c r="C110" s="429">
        <f t="shared" si="11"/>
        <v>2146</v>
      </c>
      <c r="D110" s="430" t="str">
        <f t="shared" si="6"/>
        <v>A2120</v>
      </c>
      <c r="E110" s="430" t="str">
        <f>VLOOKUP(D110,'RCLIPS송신(이지론플러스)_최종'!$B:$E,4,0)</f>
        <v>우대전최종대출가능금액</v>
      </c>
      <c r="F110" s="430" t="str">
        <f>VLOOKUP($D110,'RCLIPS송신(이지론플러스)_최종'!$B:$D,2,0)</f>
        <v>Numeric</v>
      </c>
      <c r="G110" s="430">
        <f>VLOOKUP($D110,'RCLIPS송신(이지론플러스)_최종'!$B:$D,3,0)</f>
        <v>15</v>
      </c>
      <c r="H110" s="430" t="str">
        <f t="shared" si="7"/>
        <v>000000005000000</v>
      </c>
      <c r="I110" s="263" t="str">
        <f t="shared" si="8"/>
        <v>R1049</v>
      </c>
      <c r="J110" s="263" t="str">
        <f>VLOOKUP($I110,'[5]RCLIPS수신(이지론플러스)_최종'!$C:$F,2,0)</f>
        <v>비은행권신용대출금액_사전</v>
      </c>
      <c r="K110" s="263" t="str">
        <f>VLOOKUP($I110,'[5]RCLIPS수신(이지론플러스)_최종'!$C:$F,3,0)</f>
        <v>Numeric</v>
      </c>
      <c r="L110" s="263">
        <f>VLOOKUP($I110,'[5]RCLIPS수신(이지론플러스)_최종'!$C:$F,4,0)</f>
        <v>15</v>
      </c>
      <c r="M110" s="263" t="str">
        <f t="shared" si="9"/>
        <v>0000000000000.0</v>
      </c>
    </row>
    <row r="111" spans="1:13">
      <c r="A111" s="263"/>
      <c r="B111" s="429">
        <f t="shared" si="10"/>
        <v>2161</v>
      </c>
      <c r="C111" s="429">
        <f t="shared" si="11"/>
        <v>2166</v>
      </c>
      <c r="D111" s="430" t="str">
        <f t="shared" si="6"/>
        <v>A2136</v>
      </c>
      <c r="E111" s="430" t="str">
        <f>VLOOKUP(D111,'RCLIPS송신(이지론플러스)_최종'!$B:$E,4,0)</f>
        <v>제외대상여부</v>
      </c>
      <c r="F111" s="430" t="str">
        <f>VLOOKUP($D111,'RCLIPS송신(이지론플러스)_최종'!$B:$D,2,0)</f>
        <v>String</v>
      </c>
      <c r="G111" s="430">
        <f>VLOOKUP($D111,'RCLIPS송신(이지론플러스)_최종'!$B:$D,3,0)</f>
        <v>1</v>
      </c>
      <c r="H111" s="430" t="str">
        <f t="shared" si="7"/>
        <v xml:space="preserve">0              </v>
      </c>
      <c r="I111" s="263" t="str">
        <f t="shared" si="8"/>
        <v>R1059</v>
      </c>
      <c r="J111" s="263" t="e">
        <f>VLOOKUP($I111,'[5]RCLIPS수신(이지론플러스)_최종'!$C:$F,2,0)</f>
        <v>#N/A</v>
      </c>
      <c r="K111" s="263" t="e">
        <f>VLOOKUP($I111,'[5]RCLIPS수신(이지론플러스)_최종'!$C:$F,3,0)</f>
        <v>#N/A</v>
      </c>
      <c r="L111" s="263" t="e">
        <f>VLOOKUP($I111,'[5]RCLIPS수신(이지론플러스)_최종'!$C:$F,4,0)</f>
        <v>#N/A</v>
      </c>
      <c r="M111" s="263" t="str">
        <f t="shared" si="9"/>
        <v>000000000000748</v>
      </c>
    </row>
    <row r="112" spans="1:13">
      <c r="A112" s="263"/>
      <c r="B112" s="429">
        <f t="shared" si="10"/>
        <v>2181</v>
      </c>
      <c r="C112" s="429">
        <f t="shared" si="11"/>
        <v>2186</v>
      </c>
      <c r="D112" s="430" t="str">
        <f t="shared" si="6"/>
        <v>A2137</v>
      </c>
      <c r="E112" s="430" t="str">
        <f>VLOOKUP(D112,'RCLIPS송신(이지론플러스)_최종'!$B:$E,4,0)</f>
        <v>연합회담보대출구분</v>
      </c>
      <c r="F112" s="430" t="str">
        <f>VLOOKUP($D112,'RCLIPS송신(이지론플러스)_최종'!$B:$D,2,0)</f>
        <v>String</v>
      </c>
      <c r="G112" s="430">
        <f>VLOOKUP($D112,'RCLIPS송신(이지론플러스)_최종'!$B:$D,3,0)</f>
        <v>1</v>
      </c>
      <c r="H112" s="430" t="str">
        <f t="shared" si="7"/>
        <v xml:space="preserve">3              </v>
      </c>
      <c r="I112" s="263" t="str">
        <f t="shared" si="8"/>
        <v>R1060</v>
      </c>
      <c r="J112" s="263" t="e">
        <f>VLOOKUP($I112,'[5]RCLIPS수신(이지론플러스)_최종'!$C:$F,2,0)</f>
        <v>#N/A</v>
      </c>
      <c r="K112" s="263" t="e">
        <f>VLOOKUP($I112,'[5]RCLIPS수신(이지론플러스)_최종'!$C:$F,3,0)</f>
        <v>#N/A</v>
      </c>
      <c r="L112" s="263" t="e">
        <f>VLOOKUP($I112,'[5]RCLIPS수신(이지론플러스)_최종'!$C:$F,4,0)</f>
        <v>#N/A</v>
      </c>
      <c r="M112" s="263" t="str">
        <f t="shared" si="9"/>
        <v>000000000000848</v>
      </c>
    </row>
    <row r="113" spans="1:13">
      <c r="A113" s="263"/>
      <c r="B113" s="429">
        <f t="shared" si="10"/>
        <v>2201</v>
      </c>
      <c r="C113" s="429">
        <f t="shared" si="11"/>
        <v>2206</v>
      </c>
      <c r="D113" s="430" t="str">
        <f t="shared" si="6"/>
        <v>A2138</v>
      </c>
      <c r="E113" s="430" t="str">
        <f>VLOOKUP(D113,'RCLIPS송신(이지론플러스)_최종'!$B:$E,4,0)</f>
        <v>전문직군여부</v>
      </c>
      <c r="F113" s="430" t="str">
        <f>VLOOKUP($D113,'RCLIPS송신(이지론플러스)_최종'!$B:$D,2,0)</f>
        <v>String</v>
      </c>
      <c r="G113" s="430">
        <f>VLOOKUP($D113,'RCLIPS송신(이지론플러스)_최종'!$B:$D,3,0)</f>
        <v>1</v>
      </c>
      <c r="H113" s="430" t="str">
        <f t="shared" si="7"/>
        <v xml:space="preserve">0              </v>
      </c>
      <c r="I113" s="263" t="str">
        <f t="shared" si="8"/>
        <v>R1066</v>
      </c>
      <c r="J113" s="263" t="e">
        <f>VLOOKUP($I113,'[5]RCLIPS수신(이지론플러스)_최종'!$C:$F,2,0)</f>
        <v>#N/A</v>
      </c>
      <c r="K113" s="263" t="e">
        <f>VLOOKUP($I113,'[5]RCLIPS수신(이지론플러스)_최종'!$C:$F,3,0)</f>
        <v>#N/A</v>
      </c>
      <c r="L113" s="263" t="e">
        <f>VLOOKUP($I113,'[5]RCLIPS수신(이지론플러스)_최종'!$C:$F,4,0)</f>
        <v>#N/A</v>
      </c>
      <c r="M113" s="263" t="str">
        <f t="shared" si="9"/>
        <v xml:space="preserve">               </v>
      </c>
    </row>
    <row r="114" spans="1:13">
      <c r="A114" s="263"/>
      <c r="B114" s="429">
        <f t="shared" si="10"/>
        <v>2221</v>
      </c>
      <c r="C114" s="429">
        <f t="shared" si="11"/>
        <v>2226</v>
      </c>
      <c r="D114" s="430" t="str">
        <f t="shared" si="6"/>
        <v>A2139</v>
      </c>
      <c r="E114" s="430" t="str">
        <f>VLOOKUP(D114,'RCLIPS송신(이지론플러스)_최종'!$B:$E,4,0)</f>
        <v>다중채무위험등급</v>
      </c>
      <c r="F114" s="430" t="str">
        <f>VLOOKUP($D114,'RCLIPS송신(이지론플러스)_최종'!$B:$D,2,0)</f>
        <v>String</v>
      </c>
      <c r="G114" s="430">
        <f>VLOOKUP($D114,'RCLIPS송신(이지론플러스)_최종'!$B:$D,3,0)</f>
        <v>2</v>
      </c>
      <c r="H114" s="430" t="str">
        <f t="shared" si="7"/>
        <v xml:space="preserve">03             </v>
      </c>
      <c r="I114" s="263" t="str">
        <f t="shared" si="8"/>
        <v>T0001</v>
      </c>
      <c r="J114" s="263" t="e">
        <f>VLOOKUP($I114,'[5]RCLIPS수신(이지론플러스)_최종'!$C:$F,2,0)</f>
        <v>#N/A</v>
      </c>
      <c r="K114" s="263" t="e">
        <f>VLOOKUP($I114,'[5]RCLIPS수신(이지론플러스)_최종'!$C:$F,3,0)</f>
        <v>#N/A</v>
      </c>
      <c r="L114" s="263" t="e">
        <f>VLOOKUP($I114,'[5]RCLIPS수신(이지론플러스)_최종'!$C:$F,4,0)</f>
        <v>#N/A</v>
      </c>
      <c r="M114" s="263" t="str">
        <f t="shared" si="9"/>
        <v xml:space="preserve">05             </v>
      </c>
    </row>
    <row r="115" spans="1:13">
      <c r="A115" s="263"/>
      <c r="B115" s="429">
        <f t="shared" si="10"/>
        <v>2241</v>
      </c>
      <c r="C115" s="429">
        <f t="shared" si="11"/>
        <v>2246</v>
      </c>
      <c r="D115" s="430" t="str">
        <f t="shared" si="6"/>
        <v>A2140</v>
      </c>
      <c r="E115" s="430" t="str">
        <f>VLOOKUP(D115,'RCLIPS송신(이지론플러스)_최종'!$B:$E,4,0)</f>
        <v>그룹다중채무세그먼트등급</v>
      </c>
      <c r="F115" s="430" t="str">
        <f>VLOOKUP($D115,'RCLIPS송신(이지론플러스)_최종'!$B:$D,2,0)</f>
        <v>String</v>
      </c>
      <c r="G115" s="430">
        <f>VLOOKUP($D115,'RCLIPS송신(이지론플러스)_최종'!$B:$D,3,0)</f>
        <v>2</v>
      </c>
      <c r="H115" s="430" t="str">
        <f t="shared" si="7"/>
        <v xml:space="preserve">01             </v>
      </c>
      <c r="I115" s="263" t="str">
        <f t="shared" si="8"/>
        <v>T0002</v>
      </c>
      <c r="J115" s="263" t="e">
        <f>VLOOKUP($I115,'[5]RCLIPS수신(이지론플러스)_최종'!$C:$F,2,0)</f>
        <v>#N/A</v>
      </c>
      <c r="K115" s="263" t="e">
        <f>VLOOKUP($I115,'[5]RCLIPS수신(이지론플러스)_최종'!$C:$F,3,0)</f>
        <v>#N/A</v>
      </c>
      <c r="L115" s="263" t="e">
        <f>VLOOKUP($I115,'[5]RCLIPS수신(이지론플러스)_최종'!$C:$F,4,0)</f>
        <v>#N/A</v>
      </c>
      <c r="M115" s="263" t="str">
        <f t="shared" si="9"/>
        <v>000000007.97665</v>
      </c>
    </row>
    <row r="116" spans="1:13">
      <c r="A116" s="263"/>
      <c r="B116" s="429">
        <f t="shared" si="10"/>
        <v>2261</v>
      </c>
      <c r="C116" s="429">
        <f t="shared" si="11"/>
        <v>2266</v>
      </c>
      <c r="D116" s="430" t="str">
        <f t="shared" si="6"/>
        <v>A2141</v>
      </c>
      <c r="E116" s="430" t="str">
        <f>VLOOKUP(D116,'RCLIPS송신(이지론플러스)_최종'!$B:$E,4,0)</f>
        <v>최종신용등급세그먼트구분_사전</v>
      </c>
      <c r="F116" s="430" t="str">
        <f>VLOOKUP($D116,'RCLIPS송신(이지론플러스)_최종'!$B:$D,2,0)</f>
        <v>String</v>
      </c>
      <c r="G116" s="430">
        <f>VLOOKUP($D116,'RCLIPS송신(이지론플러스)_최종'!$B:$D,3,0)</f>
        <v>20</v>
      </c>
      <c r="H116" s="430" t="str">
        <f t="shared" si="7"/>
        <v xml:space="preserve">07             </v>
      </c>
      <c r="I116" s="263" t="str">
        <f t="shared" si="8"/>
        <v>T0003</v>
      </c>
      <c r="J116" s="263" t="e">
        <f>VLOOKUP($I116,'[5]RCLIPS수신(이지론플러스)_최종'!$C:$F,2,0)</f>
        <v>#N/A</v>
      </c>
      <c r="K116" s="263" t="e">
        <f>VLOOKUP($I116,'[5]RCLIPS수신(이지론플러스)_최종'!$C:$F,3,0)</f>
        <v>#N/A</v>
      </c>
      <c r="L116" s="263" t="e">
        <f>VLOOKUP($I116,'[5]RCLIPS수신(이지론플러스)_최종'!$C:$F,4,0)</f>
        <v>#N/A</v>
      </c>
      <c r="M116" s="263" t="str">
        <f t="shared" si="9"/>
        <v>0000000001.2146</v>
      </c>
    </row>
    <row r="117" spans="1:13">
      <c r="A117" s="263"/>
      <c r="B117" s="429">
        <f t="shared" si="10"/>
        <v>2281</v>
      </c>
      <c r="C117" s="429">
        <f t="shared" si="11"/>
        <v>2286</v>
      </c>
      <c r="D117" s="430" t="str">
        <f t="shared" si="6"/>
        <v>A2142</v>
      </c>
      <c r="E117" s="430" t="str">
        <f>VLOOKUP(D117,'RCLIPS송신(이지론플러스)_최종'!$B:$E,4,0)</f>
        <v>통합모형평점_사전</v>
      </c>
      <c r="F117" s="430" t="str">
        <f>VLOOKUP($D117,'RCLIPS송신(이지론플러스)_최종'!$B:$D,2,0)</f>
        <v>Long</v>
      </c>
      <c r="G117" s="430">
        <f>VLOOKUP($D117,'RCLIPS송신(이지론플러스)_최종'!$B:$D,3,0)</f>
        <v>20</v>
      </c>
      <c r="H117" s="430" t="str">
        <f t="shared" si="7"/>
        <v>000000000000000</v>
      </c>
      <c r="I117" s="263" t="str">
        <f t="shared" si="8"/>
        <v>T0004</v>
      </c>
      <c r="J117" s="263" t="e">
        <f>VLOOKUP($I117,'[5]RCLIPS수신(이지론플러스)_최종'!$C:$F,2,0)</f>
        <v>#N/A</v>
      </c>
      <c r="K117" s="263" t="e">
        <f>VLOOKUP($I117,'[5]RCLIPS수신(이지론플러스)_최종'!$C:$F,3,0)</f>
        <v>#N/A</v>
      </c>
      <c r="L117" s="263" t="e">
        <f>VLOOKUP($I117,'[5]RCLIPS수신(이지론플러스)_최종'!$C:$F,4,0)</f>
        <v>#N/A</v>
      </c>
      <c r="M117" s="263" t="str">
        <f t="shared" si="9"/>
        <v>000000000056.47</v>
      </c>
    </row>
    <row r="118" spans="1:13">
      <c r="A118" s="263"/>
      <c r="B118" s="429">
        <f t="shared" si="10"/>
        <v>2301</v>
      </c>
      <c r="C118" s="429">
        <f t="shared" si="11"/>
        <v>2306</v>
      </c>
      <c r="D118" s="430" t="str">
        <f t="shared" si="6"/>
        <v>A2143</v>
      </c>
      <c r="E118" s="430" t="str">
        <f>VLOOKUP(D118,'RCLIPS송신(이지론플러스)_최종'!$B:$E,4,0)</f>
        <v>통합모형카드등급구분_사전</v>
      </c>
      <c r="F118" s="430" t="str">
        <f>VLOOKUP($D118,'RCLIPS송신(이지론플러스)_최종'!$B:$D,2,0)</f>
        <v>String</v>
      </c>
      <c r="G118" s="430">
        <f>VLOOKUP($D118,'RCLIPS송신(이지론플러스)_최종'!$B:$D,3,0)</f>
        <v>20</v>
      </c>
      <c r="H118" s="430" t="str">
        <f t="shared" si="7"/>
        <v xml:space="preserve">05             </v>
      </c>
      <c r="I118" s="263" t="str">
        <f t="shared" si="8"/>
        <v>S0001</v>
      </c>
      <c r="J118" s="263" t="e">
        <f>VLOOKUP($I118,'[5]RCLIPS수신(이지론플러스)_최종'!$C:$F,2,0)</f>
        <v>#N/A</v>
      </c>
      <c r="K118" s="263" t="e">
        <f>VLOOKUP($I118,'[5]RCLIPS수신(이지론플러스)_최종'!$C:$F,3,0)</f>
        <v>#N/A</v>
      </c>
      <c r="L118" s="263" t="e">
        <f>VLOOKUP($I118,'[5]RCLIPS수신(이지론플러스)_최종'!$C:$F,4,0)</f>
        <v>#N/A</v>
      </c>
      <c r="M118" s="263" t="str">
        <f t="shared" si="9"/>
        <v>000000000000012</v>
      </c>
    </row>
    <row r="119" spans="1:13">
      <c r="A119" s="263"/>
      <c r="B119" s="429">
        <f t="shared" si="10"/>
        <v>2321</v>
      </c>
      <c r="C119" s="429">
        <f t="shared" si="11"/>
        <v>2326</v>
      </c>
      <c r="D119" s="430" t="str">
        <f t="shared" si="6"/>
        <v>A2144</v>
      </c>
      <c r="E119" s="430" t="str">
        <f>VLOOKUP(D119,'RCLIPS송신(이지론플러스)_최종'!$B:$E,4,0)</f>
        <v>KCB소호머신러닝등급_사전</v>
      </c>
      <c r="F119" s="430" t="str">
        <f>VLOOKUP($D119,'RCLIPS송신(이지론플러스)_최종'!$B:$D,2,0)</f>
        <v>String</v>
      </c>
      <c r="G119" s="430">
        <f>VLOOKUP($D119,'RCLIPS송신(이지론플러스)_최종'!$B:$D,3,0)</f>
        <v>20</v>
      </c>
      <c r="H119" s="430" t="str">
        <f t="shared" si="7"/>
        <v xml:space="preserve">05             </v>
      </c>
      <c r="I119" s="263" t="str">
        <f t="shared" si="8"/>
        <v>S0002</v>
      </c>
      <c r="J119" s="263" t="e">
        <f>VLOOKUP($I119,'[5]RCLIPS수신(이지론플러스)_최종'!$C:$F,2,0)</f>
        <v>#N/A</v>
      </c>
      <c r="K119" s="263" t="e">
        <f>VLOOKUP($I119,'[5]RCLIPS수신(이지론플러스)_최종'!$C:$F,3,0)</f>
        <v>#N/A</v>
      </c>
      <c r="L119" s="263" t="e">
        <f>VLOOKUP($I119,'[5]RCLIPS수신(이지론플러스)_최종'!$C:$F,4,0)</f>
        <v>#N/A</v>
      </c>
      <c r="M119" s="263" t="str">
        <f t="shared" si="9"/>
        <v>000000000000000</v>
      </c>
    </row>
    <row r="120" spans="1:13">
      <c r="A120" s="263"/>
      <c r="B120" s="429">
        <f t="shared" si="10"/>
        <v>2341</v>
      </c>
      <c r="C120" s="429">
        <f t="shared" si="11"/>
        <v>2346</v>
      </c>
      <c r="D120" s="430" t="str">
        <f t="shared" si="6"/>
        <v>A2145</v>
      </c>
      <c r="E120" s="430" t="str">
        <f>VLOOKUP(D120,'RCLIPS송신(이지론플러스)_최종'!$B:$E,4,0)</f>
        <v>KCB소호머신러닝스코어_사전</v>
      </c>
      <c r="F120" s="430" t="str">
        <f>VLOOKUP($D120,'RCLIPS송신(이지론플러스)_최종'!$B:$D,2,0)</f>
        <v>Long</v>
      </c>
      <c r="G120" s="430">
        <f>VLOOKUP($D120,'RCLIPS송신(이지론플러스)_최종'!$B:$D,3,0)</f>
        <v>20</v>
      </c>
      <c r="H120" s="430" t="str">
        <f t="shared" si="7"/>
        <v>000000000000703</v>
      </c>
      <c r="I120" s="263" t="str">
        <f t="shared" si="8"/>
        <v>S0003</v>
      </c>
      <c r="J120" s="263" t="e">
        <f>VLOOKUP($I120,'[5]RCLIPS수신(이지론플러스)_최종'!$C:$F,2,0)</f>
        <v>#N/A</v>
      </c>
      <c r="K120" s="263" t="e">
        <f>VLOOKUP($I120,'[5]RCLIPS수신(이지론플러스)_최종'!$C:$F,3,0)</f>
        <v>#N/A</v>
      </c>
      <c r="L120" s="263" t="e">
        <f>VLOOKUP($I120,'[5]RCLIPS수신(이지론플러스)_최종'!$C:$F,4,0)</f>
        <v>#N/A</v>
      </c>
      <c r="M120" s="263" t="str">
        <f t="shared" si="9"/>
        <v>000000000000001</v>
      </c>
    </row>
    <row r="121" spans="1:13">
      <c r="A121" s="263"/>
      <c r="B121" s="429">
        <f t="shared" si="10"/>
        <v>2361</v>
      </c>
      <c r="C121" s="429">
        <f t="shared" si="11"/>
        <v>2366</v>
      </c>
      <c r="D121" s="430" t="str">
        <f t="shared" si="6"/>
        <v>A2146</v>
      </c>
      <c r="E121" s="430" t="str">
        <f>VLOOKUP(D121,'RCLIPS송신(이지론플러스)_최종'!$B:$E,4,0)</f>
        <v>KCB소호구분_사전</v>
      </c>
      <c r="F121" s="430" t="str">
        <f>VLOOKUP($D121,'RCLIPS송신(이지론플러스)_최종'!$B:$D,2,0)</f>
        <v>String</v>
      </c>
      <c r="G121" s="430">
        <f>VLOOKUP($D121,'RCLIPS송신(이지론플러스)_최종'!$B:$D,3,0)</f>
        <v>20</v>
      </c>
      <c r="H121" s="430" t="str">
        <f t="shared" si="7"/>
        <v xml:space="preserve">0              </v>
      </c>
      <c r="I121" s="263" t="str">
        <f t="shared" si="8"/>
        <v>S0004</v>
      </c>
      <c r="J121" s="263" t="e">
        <f>VLOOKUP($I121,'[5]RCLIPS수신(이지론플러스)_최종'!$C:$F,2,0)</f>
        <v>#N/A</v>
      </c>
      <c r="K121" s="263" t="e">
        <f>VLOOKUP($I121,'[5]RCLIPS수신(이지론플러스)_최종'!$C:$F,3,0)</f>
        <v>#N/A</v>
      </c>
      <c r="L121" s="263" t="e">
        <f>VLOOKUP($I121,'[5]RCLIPS수신(이지론플러스)_최종'!$C:$F,4,0)</f>
        <v>#N/A</v>
      </c>
      <c r="M121" s="263" t="str">
        <f t="shared" si="9"/>
        <v>000000000000000</v>
      </c>
    </row>
    <row r="122" spans="1:13">
      <c r="A122" s="263"/>
      <c r="B122" s="429">
        <f t="shared" si="10"/>
        <v>2381</v>
      </c>
      <c r="C122" s="429">
        <f t="shared" si="11"/>
        <v>2386</v>
      </c>
      <c r="D122" s="430" t="str">
        <f t="shared" si="6"/>
        <v>A2147</v>
      </c>
      <c r="E122" s="430" t="str">
        <f>VLOOKUP(D122,'RCLIPS송신(이지론플러스)_최종'!$B:$E,4,0)</f>
        <v>환산DSR비율_사전</v>
      </c>
      <c r="F122" s="430" t="str">
        <f>VLOOKUP($D122,'RCLIPS송신(이지론플러스)_최종'!$B:$D,2,0)</f>
        <v>String</v>
      </c>
      <c r="G122" s="430">
        <f>VLOOKUP($D122,'RCLIPS송신(이지론플러스)_최종'!$B:$D,3,0)</f>
        <v>20</v>
      </c>
      <c r="H122" s="430" t="str">
        <f t="shared" si="7"/>
        <v>000000000003.33</v>
      </c>
      <c r="I122" s="263" t="str">
        <f t="shared" si="8"/>
        <v>S0005</v>
      </c>
      <c r="J122" s="263" t="e">
        <f>VLOOKUP($I122,'[5]RCLIPS수신(이지론플러스)_최종'!$C:$F,2,0)</f>
        <v>#N/A</v>
      </c>
      <c r="K122" s="263" t="e">
        <f>VLOOKUP($I122,'[5]RCLIPS수신(이지론플러스)_최종'!$C:$F,3,0)</f>
        <v>#N/A</v>
      </c>
      <c r="L122" s="263" t="e">
        <f>VLOOKUP($I122,'[5]RCLIPS수신(이지론플러스)_최종'!$C:$F,4,0)</f>
        <v>#N/A</v>
      </c>
      <c r="M122" s="263" t="str">
        <f t="shared" si="9"/>
        <v>000000000000849</v>
      </c>
    </row>
    <row r="123" spans="1:13">
      <c r="A123" s="263"/>
      <c r="B123" s="429">
        <f t="shared" si="10"/>
        <v>2401</v>
      </c>
      <c r="C123" s="429">
        <f t="shared" si="11"/>
        <v>2406</v>
      </c>
      <c r="D123" s="430" t="str">
        <f t="shared" si="6"/>
        <v>A2148</v>
      </c>
      <c r="E123" s="430" t="str">
        <f>VLOOKUP(D123,'RCLIPS송신(이지론플러스)_최종'!$B:$E,4,0)</f>
        <v>대부업권대출잔액_사전</v>
      </c>
      <c r="F123" s="430" t="str">
        <f>VLOOKUP($D123,'RCLIPS송신(이지론플러스)_최종'!$B:$D,2,0)</f>
        <v>String</v>
      </c>
      <c r="G123" s="430">
        <f>VLOOKUP($D123,'RCLIPS송신(이지론플러스)_최종'!$B:$D,3,0)</f>
        <v>20</v>
      </c>
      <c r="H123" s="430" t="str">
        <f t="shared" si="7"/>
        <v>000000000000000</v>
      </c>
      <c r="I123" s="263" t="str">
        <f t="shared" si="8"/>
        <v>S0006</v>
      </c>
      <c r="J123" s="263" t="e">
        <f>VLOOKUP($I123,'[5]RCLIPS수신(이지론플러스)_최종'!$C:$F,2,0)</f>
        <v>#N/A</v>
      </c>
      <c r="K123" s="263" t="e">
        <f>VLOOKUP($I123,'[5]RCLIPS수신(이지론플러스)_최종'!$C:$F,3,0)</f>
        <v>#N/A</v>
      </c>
      <c r="L123" s="263" t="e">
        <f>VLOOKUP($I123,'[5]RCLIPS수신(이지론플러스)_최종'!$C:$F,4,0)</f>
        <v>#N/A</v>
      </c>
      <c r="M123" s="263" t="str">
        <f t="shared" si="9"/>
        <v>000000000000094</v>
      </c>
    </row>
    <row r="124" spans="1:13">
      <c r="A124" s="263"/>
      <c r="B124" s="429">
        <f t="shared" si="10"/>
        <v>2421</v>
      </c>
      <c r="C124" s="429">
        <f t="shared" si="11"/>
        <v>2426</v>
      </c>
      <c r="D124" s="430" t="str">
        <f t="shared" si="6"/>
        <v>A2149</v>
      </c>
      <c r="E124" s="430" t="str">
        <f>VLOOKUP(D124,'RCLIPS송신(이지론플러스)_최종'!$B:$E,4,0)</f>
        <v>연간원리금상환추정금액_사전</v>
      </c>
      <c r="F124" s="430" t="str">
        <f>VLOOKUP($D124,'RCLIPS송신(이지론플러스)_최종'!$B:$D,2,0)</f>
        <v>String</v>
      </c>
      <c r="G124" s="430">
        <f>VLOOKUP($D124,'RCLIPS송신(이지론플러스)_최종'!$B:$D,3,0)</f>
        <v>20</v>
      </c>
      <c r="H124" s="430" t="str">
        <f t="shared" si="7"/>
        <v>000000000533100</v>
      </c>
      <c r="I124" s="263" t="str">
        <f t="shared" si="8"/>
        <v>S0007</v>
      </c>
      <c r="J124" s="263" t="e">
        <f>VLOOKUP($I124,'[5]RCLIPS수신(이지론플러스)_최종'!$C:$F,2,0)</f>
        <v>#N/A</v>
      </c>
      <c r="K124" s="263" t="e">
        <f>VLOOKUP($I124,'[5]RCLIPS수신(이지론플러스)_최종'!$C:$F,3,0)</f>
        <v>#N/A</v>
      </c>
      <c r="L124" s="263" t="e">
        <f>VLOOKUP($I124,'[5]RCLIPS수신(이지론플러스)_최종'!$C:$F,4,0)</f>
        <v>#N/A</v>
      </c>
      <c r="M124" s="263" t="str">
        <f t="shared" si="9"/>
        <v>000000000000000</v>
      </c>
    </row>
    <row r="125" spans="1:13">
      <c r="A125" s="263"/>
      <c r="B125" s="429">
        <f t="shared" si="10"/>
        <v>2441</v>
      </c>
      <c r="C125" s="429">
        <f t="shared" si="11"/>
        <v>2446</v>
      </c>
      <c r="D125" s="430" t="str">
        <f t="shared" si="6"/>
        <v>A2150</v>
      </c>
      <c r="E125" s="430" t="str">
        <f>VLOOKUP(D125,'RCLIPS송신(이지론플러스)_최종'!$B:$E,4,0)</f>
        <v>KCBCA잔액_사전</v>
      </c>
      <c r="F125" s="430" t="str">
        <f>VLOOKUP($D125,'RCLIPS송신(이지론플러스)_최종'!$B:$D,2,0)</f>
        <v>String</v>
      </c>
      <c r="G125" s="430">
        <f>VLOOKUP($D125,'RCLIPS송신(이지론플러스)_최종'!$B:$D,3,0)</f>
        <v>20</v>
      </c>
      <c r="H125" s="430" t="str">
        <f t="shared" si="7"/>
        <v>000000000000000</v>
      </c>
      <c r="I125" s="263" t="str">
        <f t="shared" si="8"/>
        <v>S0008</v>
      </c>
      <c r="J125" s="263" t="e">
        <f>VLOOKUP($I125,'[5]RCLIPS수신(이지론플러스)_최종'!$C:$F,2,0)</f>
        <v>#N/A</v>
      </c>
      <c r="K125" s="263" t="e">
        <f>VLOOKUP($I125,'[5]RCLIPS수신(이지론플러스)_최종'!$C:$F,3,0)</f>
        <v>#N/A</v>
      </c>
      <c r="L125" s="263" t="e">
        <f>VLOOKUP($I125,'[5]RCLIPS수신(이지론플러스)_최종'!$C:$F,4,0)</f>
        <v>#N/A</v>
      </c>
      <c r="M125" s="263" t="str">
        <f t="shared" si="9"/>
        <v>000000000000000</v>
      </c>
    </row>
    <row r="126" spans="1:13">
      <c r="A126" s="263"/>
      <c r="B126" s="429">
        <f t="shared" si="10"/>
        <v>2461</v>
      </c>
      <c r="C126" s="429">
        <f t="shared" si="11"/>
        <v>2466</v>
      </c>
      <c r="D126" s="430" t="str">
        <f t="shared" si="6"/>
        <v>A2151</v>
      </c>
      <c r="E126" s="430" t="str">
        <f>VLOOKUP(D126,'RCLIPS송신(이지론플러스)_최종'!$B:$E,4,0)</f>
        <v>주택담보제외상환원리금_사전</v>
      </c>
      <c r="F126" s="430" t="str">
        <f>VLOOKUP($D126,'RCLIPS송신(이지론플러스)_최종'!$B:$D,2,0)</f>
        <v>Numeric</v>
      </c>
      <c r="G126" s="430">
        <f>VLOOKUP($D126,'RCLIPS송신(이지론플러스)_최종'!$B:$D,3,0)</f>
        <v>15</v>
      </c>
      <c r="H126" s="430" t="str">
        <f t="shared" si="7"/>
        <v>000000000975000</v>
      </c>
      <c r="I126" s="263" t="str">
        <f t="shared" si="8"/>
        <v>S0009</v>
      </c>
      <c r="J126" s="263" t="e">
        <f>VLOOKUP($I126,'[5]RCLIPS수신(이지론플러스)_최종'!$C:$F,2,0)</f>
        <v>#N/A</v>
      </c>
      <c r="K126" s="263" t="e">
        <f>VLOOKUP($I126,'[5]RCLIPS수신(이지론플러스)_최종'!$C:$F,3,0)</f>
        <v>#N/A</v>
      </c>
      <c r="L126" s="263" t="e">
        <f>VLOOKUP($I126,'[5]RCLIPS수신(이지론플러스)_최종'!$C:$F,4,0)</f>
        <v>#N/A</v>
      </c>
      <c r="M126" s="263" t="str">
        <f t="shared" si="9"/>
        <v>000000000000000</v>
      </c>
    </row>
    <row r="127" spans="1:13">
      <c r="A127" s="263"/>
      <c r="B127" s="429">
        <f t="shared" si="10"/>
        <v>2481</v>
      </c>
      <c r="C127" s="429">
        <f t="shared" si="11"/>
        <v>2486</v>
      </c>
      <c r="D127" s="430" t="str">
        <f t="shared" si="6"/>
        <v>A2152</v>
      </c>
      <c r="E127" s="430" t="str">
        <f>VLOOKUP(D127,'RCLIPS송신(이지론플러스)_최종'!$B:$E,4,0)</f>
        <v>은행업권미상환주택담보대출건수_사전</v>
      </c>
      <c r="F127" s="430" t="str">
        <f>VLOOKUP($D127,'RCLIPS송신(이지론플러스)_최종'!$B:$D,2,0)</f>
        <v>Numeric</v>
      </c>
      <c r="G127" s="430">
        <f>VLOOKUP($D127,'RCLIPS송신(이지론플러스)_최종'!$B:$D,3,0)</f>
        <v>15</v>
      </c>
      <c r="H127" s="430" t="str">
        <f t="shared" si="7"/>
        <v>000000000000000</v>
      </c>
      <c r="I127" s="263" t="str">
        <f t="shared" si="8"/>
        <v>S0010</v>
      </c>
      <c r="J127" s="263" t="e">
        <f>VLOOKUP($I127,'[5]RCLIPS수신(이지론플러스)_최종'!$C:$F,2,0)</f>
        <v>#N/A</v>
      </c>
      <c r="K127" s="263" t="e">
        <f>VLOOKUP($I127,'[5]RCLIPS수신(이지론플러스)_최종'!$C:$F,3,0)</f>
        <v>#N/A</v>
      </c>
      <c r="L127" s="263" t="e">
        <f>VLOOKUP($I127,'[5]RCLIPS수신(이지론플러스)_최종'!$C:$F,4,0)</f>
        <v>#N/A</v>
      </c>
      <c r="M127" s="263" t="str">
        <f t="shared" si="9"/>
        <v>000000000000001</v>
      </c>
    </row>
    <row r="128" spans="1:13">
      <c r="A128" s="263"/>
      <c r="B128" s="429">
        <f t="shared" si="10"/>
        <v>2501</v>
      </c>
      <c r="C128" s="429">
        <f t="shared" si="11"/>
        <v>2506</v>
      </c>
      <c r="D128" s="430" t="str">
        <f t="shared" si="6"/>
        <v>A2153</v>
      </c>
      <c r="E128" s="430" t="str">
        <f>VLOOKUP(D128,'RCLIPS송신(이지론플러스)_최종'!$B:$E,4,0)</f>
        <v>미상환주택담보대출건수_사전</v>
      </c>
      <c r="F128" s="430" t="str">
        <f>VLOOKUP($D128,'RCLIPS송신(이지론플러스)_최종'!$B:$D,2,0)</f>
        <v>Numeric</v>
      </c>
      <c r="G128" s="430">
        <f>VLOOKUP($D128,'RCLIPS송신(이지론플러스)_최종'!$B:$D,3,0)</f>
        <v>15</v>
      </c>
      <c r="H128" s="430" t="str">
        <f t="shared" si="7"/>
        <v>000000000000000</v>
      </c>
      <c r="I128" s="263" t="str">
        <f t="shared" si="8"/>
        <v>S0011</v>
      </c>
      <c r="J128" s="263" t="e">
        <f>VLOOKUP($I128,'[5]RCLIPS수신(이지론플러스)_최종'!$C:$F,2,0)</f>
        <v>#N/A</v>
      </c>
      <c r="K128" s="263" t="e">
        <f>VLOOKUP($I128,'[5]RCLIPS수신(이지론플러스)_최종'!$C:$F,3,0)</f>
        <v>#N/A</v>
      </c>
      <c r="L128" s="263" t="e">
        <f>VLOOKUP($I128,'[5]RCLIPS수신(이지론플러스)_최종'!$C:$F,4,0)</f>
        <v>#N/A</v>
      </c>
      <c r="M128" s="263" t="str">
        <f t="shared" si="9"/>
        <v>000000000260000</v>
      </c>
    </row>
    <row r="129" spans="1:13">
      <c r="A129" s="263"/>
      <c r="B129" s="429">
        <f t="shared" si="10"/>
        <v>2521</v>
      </c>
      <c r="C129" s="429">
        <f t="shared" si="11"/>
        <v>2526</v>
      </c>
      <c r="D129" s="430" t="str">
        <f t="shared" si="6"/>
        <v>A2154</v>
      </c>
      <c r="E129" s="430" t="str">
        <f>VLOOKUP(D129,'RCLIPS송신(이지론플러스)_최종'!$B:$E,4,0)</f>
        <v>KCB결정연소득금액_30_사전</v>
      </c>
      <c r="F129" s="430" t="str">
        <f>VLOOKUP($D129,'RCLIPS송신(이지론플러스)_최종'!$B:$D,2,0)</f>
        <v>Numeric</v>
      </c>
      <c r="G129" s="430">
        <f>VLOOKUP($D129,'RCLIPS송신(이지론플러스)_최종'!$B:$D,3,0)</f>
        <v>15</v>
      </c>
      <c r="H129" s="430" t="str">
        <f t="shared" si="7"/>
        <v>000000010280000</v>
      </c>
      <c r="I129" s="263" t="str">
        <f t="shared" si="8"/>
        <v>S0012</v>
      </c>
      <c r="J129" s="263" t="e">
        <f>VLOOKUP($I129,'[5]RCLIPS수신(이지론플러스)_최종'!$C:$F,2,0)</f>
        <v>#N/A</v>
      </c>
      <c r="K129" s="263" t="e">
        <f>VLOOKUP($I129,'[5]RCLIPS수신(이지론플러스)_최종'!$C:$F,3,0)</f>
        <v>#N/A</v>
      </c>
      <c r="L129" s="263" t="e">
        <f>VLOOKUP($I129,'[5]RCLIPS수신(이지론플러스)_최종'!$C:$F,4,0)</f>
        <v>#N/A</v>
      </c>
      <c r="M129" s="263" t="str">
        <f t="shared" si="9"/>
        <v>000000999999999</v>
      </c>
    </row>
    <row r="130" spans="1:13">
      <c r="A130" s="263"/>
      <c r="B130" s="429">
        <f t="shared" si="10"/>
        <v>2541</v>
      </c>
      <c r="C130" s="429">
        <f t="shared" si="11"/>
        <v>2546</v>
      </c>
      <c r="D130" s="430" t="str">
        <f t="shared" si="6"/>
        <v>A2155</v>
      </c>
      <c r="E130" s="430" t="str">
        <f>VLOOKUP(D130,'RCLIPS송신(이지론플러스)_최종'!$B:$E,4,0)</f>
        <v>NICE최종연소득금액_40_사전</v>
      </c>
      <c r="F130" s="430" t="str">
        <f>VLOOKUP($D130,'RCLIPS송신(이지론플러스)_최종'!$B:$D,2,0)</f>
        <v>Numeric</v>
      </c>
      <c r="G130" s="430">
        <f>VLOOKUP($D130,'RCLIPS송신(이지론플러스)_최종'!$B:$D,3,0)</f>
        <v>15</v>
      </c>
      <c r="H130" s="430" t="str">
        <f t="shared" si="7"/>
        <v>000000020000000</v>
      </c>
      <c r="I130" s="263" t="str">
        <f t="shared" si="8"/>
        <v>S0013</v>
      </c>
      <c r="J130" s="263" t="e">
        <f>VLOOKUP($I130,'[5]RCLIPS수신(이지론플러스)_최종'!$C:$F,2,0)</f>
        <v>#N/A</v>
      </c>
      <c r="K130" s="263" t="e">
        <f>VLOOKUP($I130,'[5]RCLIPS수신(이지론플러스)_최종'!$C:$F,3,0)</f>
        <v>#N/A</v>
      </c>
      <c r="L130" s="263" t="e">
        <f>VLOOKUP($I130,'[5]RCLIPS수신(이지론플러스)_최종'!$C:$F,4,0)</f>
        <v>#N/A</v>
      </c>
      <c r="M130" s="263" t="str">
        <f t="shared" si="9"/>
        <v>000000000000000</v>
      </c>
    </row>
    <row r="131" spans="1:13">
      <c r="A131" s="263"/>
      <c r="B131" s="429">
        <f t="shared" si="10"/>
        <v>2561</v>
      </c>
      <c r="C131" s="429">
        <f t="shared" si="11"/>
        <v>2566</v>
      </c>
      <c r="D131" s="430" t="str">
        <f t="shared" si="6"/>
        <v>A2156</v>
      </c>
      <c r="E131" s="430" t="str">
        <f>VLOOKUP(D131,'RCLIPS송신(이지론플러스)_최종'!$B:$E,4,0)</f>
        <v>우대파일럿구분_사전</v>
      </c>
      <c r="F131" s="430" t="str">
        <f>VLOOKUP($D131,'RCLIPS송신(이지론플러스)_최종'!$B:$D,2,0)</f>
        <v>String</v>
      </c>
      <c r="G131" s="430">
        <f>VLOOKUP($D131,'RCLIPS송신(이지론플러스)_최종'!$B:$D,3,0)</f>
        <v>0</v>
      </c>
      <c r="H131" s="430" t="str">
        <f t="shared" si="7"/>
        <v xml:space="preserve">00             </v>
      </c>
      <c r="I131" s="263" t="str">
        <f t="shared" si="8"/>
        <v>S0014</v>
      </c>
      <c r="J131" s="263" t="e">
        <f>VLOOKUP($I131,'[5]RCLIPS수신(이지론플러스)_최종'!$C:$F,2,0)</f>
        <v>#N/A</v>
      </c>
      <c r="K131" s="263" t="e">
        <f>VLOOKUP($I131,'[5]RCLIPS수신(이지론플러스)_최종'!$C:$F,3,0)</f>
        <v>#N/A</v>
      </c>
      <c r="L131" s="263" t="e">
        <f>VLOOKUP($I131,'[5]RCLIPS수신(이지론플러스)_최종'!$C:$F,4,0)</f>
        <v>#N/A</v>
      </c>
      <c r="M131" s="263" t="str">
        <f t="shared" si="9"/>
        <v>000000000000000</v>
      </c>
    </row>
    <row r="132" spans="1:13">
      <c r="A132" s="263"/>
      <c r="B132" s="429">
        <f t="shared" si="10"/>
        <v>2581</v>
      </c>
      <c r="C132" s="429">
        <f t="shared" si="11"/>
        <v>2586</v>
      </c>
      <c r="D132" s="430" t="str">
        <f t="shared" ref="D132:D195" si="12">MIDB($A$3, $B132+23, 5)</f>
        <v>A2157</v>
      </c>
      <c r="E132" s="430" t="str">
        <f>VLOOKUP(D132,'RCLIPS송신(이지론플러스)_최종'!$B:$E,4,0)</f>
        <v>중위세분화저축은행등급</v>
      </c>
      <c r="F132" s="430" t="str">
        <f>VLOOKUP($D132,'RCLIPS송신(이지론플러스)_최종'!$B:$D,2,0)</f>
        <v>String</v>
      </c>
      <c r="G132" s="430">
        <f>VLOOKUP($D132,'RCLIPS송신(이지론플러스)_최종'!$B:$D,3,0)</f>
        <v>0</v>
      </c>
      <c r="H132" s="430" t="str">
        <f t="shared" ref="H132:H195" si="13">MIDB($A$3, $C132+23, 15)</f>
        <v xml:space="preserve">000            </v>
      </c>
      <c r="I132" s="263" t="str">
        <f t="shared" ref="I132:I195" si="14">MIDB($A$8, $B132+10, 5)</f>
        <v>S0015</v>
      </c>
      <c r="J132" s="263" t="e">
        <f>VLOOKUP($I132,'[5]RCLIPS수신(이지론플러스)_최종'!$C:$F,2,0)</f>
        <v>#N/A</v>
      </c>
      <c r="K132" s="263" t="e">
        <f>VLOOKUP($I132,'[5]RCLIPS수신(이지론플러스)_최종'!$C:$F,3,0)</f>
        <v>#N/A</v>
      </c>
      <c r="L132" s="263" t="e">
        <f>VLOOKUP($I132,'[5]RCLIPS수신(이지론플러스)_최종'!$C:$F,4,0)</f>
        <v>#N/A</v>
      </c>
      <c r="M132" s="263" t="str">
        <f t="shared" ref="M132:M195" si="15">MIDB($A$8, $C132+10, 15)</f>
        <v>000000000900000</v>
      </c>
    </row>
    <row r="133" spans="1:13">
      <c r="A133" s="263"/>
      <c r="B133" s="429">
        <f t="shared" ref="B133:B196" si="16">C132+15</f>
        <v>2601</v>
      </c>
      <c r="C133" s="429">
        <f t="shared" ref="C133:C196" si="17">B133+5</f>
        <v>2606</v>
      </c>
      <c r="D133" s="430" t="str">
        <f t="shared" si="12"/>
        <v>A2158</v>
      </c>
      <c r="E133" s="430" t="str">
        <f>VLOOKUP(D133,'RCLIPS송신(이지론플러스)_최종'!$B:$E,4,0)</f>
        <v>KCB_RSCORE_ 통합</v>
      </c>
      <c r="F133" s="430" t="str">
        <f>VLOOKUP($D133,'RCLIPS송신(이지론플러스)_최종'!$B:$D,2,0)</f>
        <v>String</v>
      </c>
      <c r="G133" s="430">
        <f>VLOOKUP($D133,'RCLIPS송신(이지론플러스)_최종'!$B:$D,3,0)</f>
        <v>0</v>
      </c>
      <c r="H133" s="430" t="str">
        <f t="shared" si="13"/>
        <v>000000000000000</v>
      </c>
      <c r="I133" s="263" t="str">
        <f t="shared" si="14"/>
        <v>S0016</v>
      </c>
      <c r="J133" s="263" t="e">
        <f>VLOOKUP($I133,'[5]RCLIPS수신(이지론플러스)_최종'!$C:$F,2,0)</f>
        <v>#N/A</v>
      </c>
      <c r="K133" s="263" t="e">
        <f>VLOOKUP($I133,'[5]RCLIPS수신(이지론플러스)_최종'!$C:$F,3,0)</f>
        <v>#N/A</v>
      </c>
      <c r="L133" s="263" t="e">
        <f>VLOOKUP($I133,'[5]RCLIPS수신(이지론플러스)_최종'!$C:$F,4,0)</f>
        <v>#N/A</v>
      </c>
      <c r="M133" s="263" t="str">
        <f t="shared" si="15"/>
        <v>000000999999999</v>
      </c>
    </row>
    <row r="134" spans="1:13">
      <c r="A134" s="263"/>
      <c r="B134" s="429">
        <f t="shared" si="16"/>
        <v>2621</v>
      </c>
      <c r="C134" s="429">
        <f t="shared" si="17"/>
        <v>2626</v>
      </c>
      <c r="D134" s="430" t="str">
        <f t="shared" si="12"/>
        <v>A2159</v>
      </c>
      <c r="E134" s="430" t="str">
        <f>VLOOKUP(D134,'RCLIPS송신(이지론플러스)_최종'!$B:$E,4,0)</f>
        <v>KCB_RSCORE등급_ 통합</v>
      </c>
      <c r="F134" s="430" t="str">
        <f>VLOOKUP($D134,'RCLIPS송신(이지론플러스)_최종'!$B:$D,2,0)</f>
        <v>String</v>
      </c>
      <c r="G134" s="430">
        <f>VLOOKUP($D134,'RCLIPS송신(이지론플러스)_최종'!$B:$D,3,0)</f>
        <v>0</v>
      </c>
      <c r="H134" s="430" t="str">
        <f t="shared" si="13"/>
        <v xml:space="preserve">02             </v>
      </c>
      <c r="I134" s="263" t="str">
        <f t="shared" si="14"/>
        <v>S0017</v>
      </c>
      <c r="J134" s="263" t="e">
        <f>VLOOKUP($I134,'[5]RCLIPS수신(이지론플러스)_최종'!$C:$F,2,0)</f>
        <v>#N/A</v>
      </c>
      <c r="K134" s="263" t="e">
        <f>VLOOKUP($I134,'[5]RCLIPS수신(이지론플러스)_최종'!$C:$F,3,0)</f>
        <v>#N/A</v>
      </c>
      <c r="L134" s="263" t="e">
        <f>VLOOKUP($I134,'[5]RCLIPS수신(이지론플러스)_최종'!$C:$F,4,0)</f>
        <v>#N/A</v>
      </c>
      <c r="M134" s="263" t="str">
        <f t="shared" si="15"/>
        <v>000000000000002</v>
      </c>
    </row>
    <row r="135" spans="1:13">
      <c r="A135" s="263"/>
      <c r="B135" s="429">
        <f t="shared" si="16"/>
        <v>2641</v>
      </c>
      <c r="C135" s="429">
        <f t="shared" si="17"/>
        <v>2646</v>
      </c>
      <c r="D135" s="430" t="str">
        <f t="shared" si="12"/>
        <v>A2160</v>
      </c>
      <c r="E135" s="430" t="str">
        <f>VLOOKUP(D135,'RCLIPS송신(이지론플러스)_최종'!$B:$E,4,0)</f>
        <v>KCB_I_INDEX스코어</v>
      </c>
      <c r="F135" s="430" t="str">
        <f>VLOOKUP($D135,'RCLIPS송신(이지론플러스)_최종'!$B:$D,2,0)</f>
        <v>String</v>
      </c>
      <c r="G135" s="430">
        <f>VLOOKUP($D135,'RCLIPS송신(이지론플러스)_최종'!$B:$D,3,0)</f>
        <v>0</v>
      </c>
      <c r="H135" s="430" t="str">
        <f t="shared" si="13"/>
        <v>000000000000000</v>
      </c>
      <c r="I135" s="263" t="str">
        <f t="shared" si="14"/>
        <v>S0018</v>
      </c>
      <c r="J135" s="263" t="e">
        <f>VLOOKUP($I135,'[5]RCLIPS수신(이지론플러스)_최종'!$C:$F,2,0)</f>
        <v>#N/A</v>
      </c>
      <c r="K135" s="263" t="e">
        <f>VLOOKUP($I135,'[5]RCLIPS수신(이지론플러스)_최종'!$C:$F,3,0)</f>
        <v>#N/A</v>
      </c>
      <c r="L135" s="263" t="e">
        <f>VLOOKUP($I135,'[5]RCLIPS수신(이지론플러스)_최종'!$C:$F,4,0)</f>
        <v>#N/A</v>
      </c>
      <c r="M135" s="263" t="str">
        <f t="shared" si="15"/>
        <v>000000008888888</v>
      </c>
    </row>
    <row r="136" spans="1:13">
      <c r="A136" s="263"/>
      <c r="B136" s="429">
        <f t="shared" si="16"/>
        <v>2661</v>
      </c>
      <c r="C136" s="429">
        <f t="shared" si="17"/>
        <v>2666</v>
      </c>
      <c r="D136" s="430" t="str">
        <f t="shared" si="12"/>
        <v>A2161</v>
      </c>
      <c r="E136" s="430" t="str">
        <f>VLOOKUP(D136,'RCLIPS송신(이지론플러스)_최종'!$B:$E,4,0)</f>
        <v>KCB_I_INDEX등급</v>
      </c>
      <c r="F136" s="430" t="str">
        <f>VLOOKUP($D136,'RCLIPS송신(이지론플러스)_최종'!$B:$D,2,0)</f>
        <v>String</v>
      </c>
      <c r="G136" s="430">
        <f>VLOOKUP($D136,'RCLIPS송신(이지론플러스)_최종'!$B:$D,3,0)</f>
        <v>0</v>
      </c>
      <c r="H136" s="430" t="str">
        <f t="shared" si="13"/>
        <v xml:space="preserve">04             </v>
      </c>
      <c r="I136" s="263" t="str">
        <f t="shared" si="14"/>
        <v>S0019</v>
      </c>
      <c r="J136" s="263" t="e">
        <f>VLOOKUP($I136,'[5]RCLIPS수신(이지론플러스)_최종'!$C:$F,2,0)</f>
        <v>#N/A</v>
      </c>
      <c r="K136" s="263" t="e">
        <f>VLOOKUP($I136,'[5]RCLIPS수신(이지론플러스)_최종'!$C:$F,3,0)</f>
        <v>#N/A</v>
      </c>
      <c r="L136" s="263" t="e">
        <f>VLOOKUP($I136,'[5]RCLIPS수신(이지론플러스)_최종'!$C:$F,4,0)</f>
        <v>#N/A</v>
      </c>
      <c r="M136" s="263" t="str">
        <f t="shared" si="15"/>
        <v>000000000000000</v>
      </c>
    </row>
    <row r="137" spans="1:13">
      <c r="A137" s="263"/>
      <c r="B137" s="429">
        <f t="shared" si="16"/>
        <v>2681</v>
      </c>
      <c r="C137" s="429">
        <f t="shared" si="17"/>
        <v>2686</v>
      </c>
      <c r="D137" s="430" t="str">
        <f t="shared" si="12"/>
        <v>A2162</v>
      </c>
      <c r="E137" s="430" t="str">
        <f>VLOOKUP(D137,'RCLIPS송신(이지론플러스)_최종'!$B:$E,4,0)</f>
        <v>TIP스코어</v>
      </c>
      <c r="F137" s="430" t="str">
        <f>VLOOKUP($D137,'RCLIPS송신(이지론플러스)_최종'!$B:$D,2,0)</f>
        <v>String</v>
      </c>
      <c r="G137" s="430">
        <f>VLOOKUP($D137,'RCLIPS송신(이지론플러스)_최종'!$B:$D,3,0)</f>
        <v>0</v>
      </c>
      <c r="H137" s="430" t="str">
        <f t="shared" si="13"/>
        <v>000000000000000</v>
      </c>
      <c r="I137" s="263" t="str">
        <f t="shared" si="14"/>
        <v>S0020</v>
      </c>
      <c r="J137" s="263" t="e">
        <f>VLOOKUP($I137,'[5]RCLIPS수신(이지론플러스)_최종'!$C:$F,2,0)</f>
        <v>#N/A</v>
      </c>
      <c r="K137" s="263" t="e">
        <f>VLOOKUP($I137,'[5]RCLIPS수신(이지론플러스)_최종'!$C:$F,3,0)</f>
        <v>#N/A</v>
      </c>
      <c r="L137" s="263" t="e">
        <f>VLOOKUP($I137,'[5]RCLIPS수신(이지론플러스)_최종'!$C:$F,4,0)</f>
        <v>#N/A</v>
      </c>
      <c r="M137" s="263" t="str">
        <f t="shared" si="15"/>
        <v>000000000000004</v>
      </c>
    </row>
    <row r="138" spans="1:13">
      <c r="A138" s="263"/>
      <c r="B138" s="429">
        <f t="shared" si="16"/>
        <v>2701</v>
      </c>
      <c r="C138" s="429">
        <f t="shared" si="17"/>
        <v>2706</v>
      </c>
      <c r="D138" s="430" t="str">
        <f t="shared" si="12"/>
        <v>A2163</v>
      </c>
      <c r="E138" s="430" t="str">
        <f>VLOOKUP(D138,'RCLIPS송신(이지론플러스)_최종'!$B:$E,4,0)</f>
        <v>TIP스코어등급</v>
      </c>
      <c r="F138" s="430" t="str">
        <f>VLOOKUP($D138,'RCLIPS송신(이지론플러스)_최종'!$B:$D,2,0)</f>
        <v>String</v>
      </c>
      <c r="G138" s="430">
        <f>VLOOKUP($D138,'RCLIPS송신(이지론플러스)_최종'!$B:$D,3,0)</f>
        <v>0</v>
      </c>
      <c r="H138" s="430" t="str">
        <f t="shared" si="13"/>
        <v xml:space="preserve">03             </v>
      </c>
      <c r="I138" s="263" t="str">
        <f t="shared" si="14"/>
        <v>S0021</v>
      </c>
      <c r="J138" s="263" t="e">
        <f>VLOOKUP($I138,'[5]RCLIPS수신(이지론플러스)_최종'!$C:$F,2,0)</f>
        <v>#N/A</v>
      </c>
      <c r="K138" s="263" t="e">
        <f>VLOOKUP($I138,'[5]RCLIPS수신(이지론플러스)_최종'!$C:$F,3,0)</f>
        <v>#N/A</v>
      </c>
      <c r="L138" s="263" t="e">
        <f>VLOOKUP($I138,'[5]RCLIPS수신(이지론플러스)_최종'!$C:$F,4,0)</f>
        <v>#N/A</v>
      </c>
      <c r="M138" s="263" t="str">
        <f t="shared" si="15"/>
        <v>000000008888888</v>
      </c>
    </row>
    <row r="139" spans="1:13">
      <c r="A139" s="263"/>
      <c r="B139" s="429">
        <f t="shared" si="16"/>
        <v>2721</v>
      </c>
      <c r="C139" s="429">
        <f t="shared" si="17"/>
        <v>2726</v>
      </c>
      <c r="D139" s="430" t="str">
        <f t="shared" si="12"/>
        <v>A3011</v>
      </c>
      <c r="E139" s="430" t="str">
        <f>VLOOKUP(D139,'RCLIPS송신(이지론플러스)_최종'!$B:$E,4,0)</f>
        <v>최근12개월 카드 신판사용개월수(체크카드사용포함)(15일기준)</v>
      </c>
      <c r="F139" s="430" t="str">
        <f>VLOOKUP($D139,'RCLIPS송신(이지론플러스)_최종'!$B:$D,2,0)</f>
        <v>Numeric</v>
      </c>
      <c r="G139" s="430">
        <f>VLOOKUP($D139,'RCLIPS송신(이지론플러스)_최종'!$B:$D,3,0)</f>
        <v>5</v>
      </c>
      <c r="H139" s="430" t="str">
        <f t="shared" si="13"/>
        <v>000000000000012</v>
      </c>
      <c r="I139" s="263" t="str">
        <f t="shared" si="14"/>
        <v>S0022</v>
      </c>
      <c r="J139" s="263" t="e">
        <f>VLOOKUP($I139,'[5]RCLIPS수신(이지론플러스)_최종'!$C:$F,2,0)</f>
        <v>#N/A</v>
      </c>
      <c r="K139" s="263" t="e">
        <f>VLOOKUP($I139,'[5]RCLIPS수신(이지론플러스)_최종'!$C:$F,3,0)</f>
        <v>#N/A</v>
      </c>
      <c r="L139" s="263" t="e">
        <f>VLOOKUP($I139,'[5]RCLIPS수신(이지론플러스)_최종'!$C:$F,4,0)</f>
        <v>#N/A</v>
      </c>
      <c r="M139" s="263" t="str">
        <f t="shared" si="15"/>
        <v>000000000000000</v>
      </c>
    </row>
    <row r="140" spans="1:13">
      <c r="A140" s="263"/>
      <c r="B140" s="429">
        <f t="shared" si="16"/>
        <v>2741</v>
      </c>
      <c r="C140" s="429">
        <f t="shared" si="17"/>
        <v>2746</v>
      </c>
      <c r="D140" s="430" t="str">
        <f t="shared" si="12"/>
        <v>A3016</v>
      </c>
      <c r="E140" s="430" t="str">
        <f>VLOOKUP(D140,'RCLIPS송신(이지론플러스)_최종'!$B:$E,4,0)</f>
        <v>현 자택정보 최초등록일로부터의 경과일수</v>
      </c>
      <c r="F140" s="430" t="str">
        <f>VLOOKUP($D140,'RCLIPS송신(이지론플러스)_최종'!$B:$D,2,0)</f>
        <v>Numeric</v>
      </c>
      <c r="G140" s="430">
        <f>VLOOKUP($D140,'RCLIPS송신(이지론플러스)_최종'!$B:$D,3,0)</f>
        <v>5</v>
      </c>
      <c r="H140" s="430" t="str">
        <f t="shared" si="13"/>
        <v>000000000000506</v>
      </c>
      <c r="I140" s="263" t="str">
        <f t="shared" si="14"/>
        <v>S0023</v>
      </c>
      <c r="J140" s="263" t="e">
        <f>VLOOKUP($I140,'[5]RCLIPS수신(이지론플러스)_최종'!$C:$F,2,0)</f>
        <v>#N/A</v>
      </c>
      <c r="K140" s="263" t="e">
        <f>VLOOKUP($I140,'[5]RCLIPS수신(이지론플러스)_최종'!$C:$F,3,0)</f>
        <v>#N/A</v>
      </c>
      <c r="L140" s="263" t="e">
        <f>VLOOKUP($I140,'[5]RCLIPS수신(이지론플러스)_최종'!$C:$F,4,0)</f>
        <v>#N/A</v>
      </c>
      <c r="M140" s="263" t="str">
        <f t="shared" si="15"/>
        <v>000000000000000</v>
      </c>
    </row>
    <row r="141" spans="1:13">
      <c r="A141" s="263"/>
      <c r="B141" s="429">
        <f t="shared" si="16"/>
        <v>2761</v>
      </c>
      <c r="C141" s="429">
        <f t="shared" si="17"/>
        <v>2766</v>
      </c>
      <c r="D141" s="430" t="str">
        <f t="shared" si="12"/>
        <v>A3017</v>
      </c>
      <c r="E141" s="430" t="str">
        <f>VLOOKUP(D141,'RCLIPS송신(이지론플러스)_최종'!$B:$E,4,0)</f>
        <v>현 거주지의 거주유형 상세</v>
      </c>
      <c r="F141" s="430" t="str">
        <f>VLOOKUP($D141,'RCLIPS송신(이지론플러스)_최종'!$B:$D,2,0)</f>
        <v>String</v>
      </c>
      <c r="G141" s="430">
        <f>VLOOKUP($D141,'RCLIPS송신(이지론플러스)_최종'!$B:$D,3,0)</f>
        <v>1</v>
      </c>
      <c r="H141" s="430" t="str">
        <f t="shared" si="13"/>
        <v xml:space="preserve">1              </v>
      </c>
      <c r="I141" s="263" t="str">
        <f t="shared" si="14"/>
        <v>S0024</v>
      </c>
      <c r="J141" s="263" t="e">
        <f>VLOOKUP($I141,'[5]RCLIPS수신(이지론플러스)_최종'!$C:$F,2,0)</f>
        <v>#N/A</v>
      </c>
      <c r="K141" s="263" t="e">
        <f>VLOOKUP($I141,'[5]RCLIPS수신(이지론플러스)_최종'!$C:$F,3,0)</f>
        <v>#N/A</v>
      </c>
      <c r="L141" s="263" t="e">
        <f>VLOOKUP($I141,'[5]RCLIPS수신(이지론플러스)_최종'!$C:$F,4,0)</f>
        <v>#N/A</v>
      </c>
      <c r="M141" s="263" t="str">
        <f t="shared" si="15"/>
        <v>000000000000002</v>
      </c>
    </row>
    <row r="142" spans="1:13">
      <c r="A142" s="263"/>
      <c r="B142" s="429">
        <f t="shared" si="16"/>
        <v>2781</v>
      </c>
      <c r="C142" s="429">
        <f t="shared" si="17"/>
        <v>2786</v>
      </c>
      <c r="D142" s="430" t="str">
        <f t="shared" si="12"/>
        <v>A3018</v>
      </c>
      <c r="E142" s="430" t="str">
        <f>VLOOKUP(D142,'RCLIPS송신(이지론플러스)_최종'!$B:$E,4,0)</f>
        <v>현 거주지의 매매평균가(천원)</v>
      </c>
      <c r="F142" s="430" t="str">
        <f>VLOOKUP($D142,'RCLIPS송신(이지론플러스)_최종'!$B:$D,2,0)</f>
        <v>Numeric</v>
      </c>
      <c r="G142" s="430">
        <f>VLOOKUP($D142,'RCLIPS송신(이지론플러스)_최종'!$B:$D,3,0)</f>
        <v>15</v>
      </c>
      <c r="H142" s="430" t="str">
        <f t="shared" si="13"/>
        <v>000000000900000</v>
      </c>
      <c r="I142" s="263" t="str">
        <f t="shared" si="14"/>
        <v>S0025</v>
      </c>
      <c r="J142" s="263" t="e">
        <f>VLOOKUP($I142,'[5]RCLIPS수신(이지론플러스)_최종'!$C:$F,2,0)</f>
        <v>#N/A</v>
      </c>
      <c r="K142" s="263" t="e">
        <f>VLOOKUP($I142,'[5]RCLIPS수신(이지론플러스)_최종'!$C:$F,3,0)</f>
        <v>#N/A</v>
      </c>
      <c r="L142" s="263" t="e">
        <f>VLOOKUP($I142,'[5]RCLIPS수신(이지론플러스)_최종'!$C:$F,4,0)</f>
        <v>#N/A</v>
      </c>
      <c r="M142" s="263" t="str">
        <f t="shared" si="15"/>
        <v>000000000000016</v>
      </c>
    </row>
    <row r="143" spans="1:13">
      <c r="A143" s="263"/>
      <c r="B143" s="429">
        <f t="shared" si="16"/>
        <v>2801</v>
      </c>
      <c r="C143" s="429">
        <f t="shared" si="17"/>
        <v>2806</v>
      </c>
      <c r="D143" s="430" t="str">
        <f t="shared" si="12"/>
        <v>A3019</v>
      </c>
      <c r="E143" s="430" t="str">
        <f>VLOOKUP(D143,'RCLIPS송신(이지론플러스)_최종'!$B:$E,4,0)</f>
        <v>현 직장정보 최초등록일로부터의 경과일수</v>
      </c>
      <c r="F143" s="430" t="str">
        <f>VLOOKUP($D143,'RCLIPS송신(이지론플러스)_최종'!$B:$D,2,0)</f>
        <v>Numeric</v>
      </c>
      <c r="G143" s="430">
        <f>VLOOKUP($D143,'RCLIPS송신(이지론플러스)_최종'!$B:$D,3,0)</f>
        <v>5</v>
      </c>
      <c r="H143" s="430" t="str">
        <f t="shared" si="13"/>
        <v>000000999999999</v>
      </c>
      <c r="I143" s="263" t="str">
        <f t="shared" si="14"/>
        <v>S0026</v>
      </c>
      <c r="J143" s="263" t="e">
        <f>VLOOKUP($I143,'[5]RCLIPS수신(이지론플러스)_최종'!$C:$F,2,0)</f>
        <v>#N/A</v>
      </c>
      <c r="K143" s="263" t="e">
        <f>VLOOKUP($I143,'[5]RCLIPS수신(이지론플러스)_최종'!$C:$F,3,0)</f>
        <v>#N/A</v>
      </c>
      <c r="L143" s="263" t="e">
        <f>VLOOKUP($I143,'[5]RCLIPS수신(이지론플러스)_최종'!$C:$F,4,0)</f>
        <v>#N/A</v>
      </c>
      <c r="M143" s="263" t="str">
        <f t="shared" si="15"/>
        <v>000000000001212</v>
      </c>
    </row>
    <row r="144" spans="1:13">
      <c r="A144" s="263"/>
      <c r="B144" s="429">
        <f t="shared" si="16"/>
        <v>2821</v>
      </c>
      <c r="C144" s="429">
        <f t="shared" si="17"/>
        <v>2826</v>
      </c>
      <c r="D144" s="430" t="str">
        <f t="shared" si="12"/>
        <v>A3020</v>
      </c>
      <c r="E144" s="430" t="str">
        <f>VLOOKUP(D144,'RCLIPS송신(이지론플러스)_최종'!$B:$E,4,0)</f>
        <v>상환여력정보 적중구분(0:매칭불가, 1:기업정보매칭, 2:KFB대상기업체정보매칭, 3:예외코드매칭)</v>
      </c>
      <c r="F144" s="430" t="str">
        <f>VLOOKUP($D144,'RCLIPS송신(이지론플러스)_최종'!$B:$D,2,0)</f>
        <v>String</v>
      </c>
      <c r="G144" s="430">
        <f>VLOOKUP($D144,'RCLIPS송신(이지론플러스)_최종'!$B:$D,3,0)</f>
        <v>1</v>
      </c>
      <c r="H144" s="430" t="str">
        <f t="shared" si="13"/>
        <v xml:space="preserve">9              </v>
      </c>
      <c r="I144" s="263" t="str">
        <f t="shared" si="14"/>
        <v>S0027</v>
      </c>
      <c r="J144" s="263" t="e">
        <f>VLOOKUP($I144,'[5]RCLIPS수신(이지론플러스)_최종'!$C:$F,2,0)</f>
        <v>#N/A</v>
      </c>
      <c r="K144" s="263" t="e">
        <f>VLOOKUP($I144,'[5]RCLIPS수신(이지론플러스)_최종'!$C:$F,3,0)</f>
        <v>#N/A</v>
      </c>
      <c r="L144" s="263" t="e">
        <f>VLOOKUP($I144,'[5]RCLIPS수신(이지론플러스)_최종'!$C:$F,4,0)</f>
        <v>#N/A</v>
      </c>
      <c r="M144" s="263" t="str">
        <f t="shared" si="15"/>
        <v>000000008888888</v>
      </c>
    </row>
    <row r="145" spans="1:13">
      <c r="A145" s="263"/>
      <c r="B145" s="429">
        <f t="shared" si="16"/>
        <v>2841</v>
      </c>
      <c r="C145" s="429">
        <f t="shared" si="17"/>
        <v>2846</v>
      </c>
      <c r="D145" s="430" t="str">
        <f t="shared" si="12"/>
        <v>A3021</v>
      </c>
      <c r="E145" s="430" t="str">
        <f>VLOOKUP(D145,'RCLIPS송신(이지론플러스)_최종'!$B:$E,4,0)</f>
        <v>상환여력정보 예외코드</v>
      </c>
      <c r="F145" s="430" t="str">
        <f>VLOOKUP($D145,'RCLIPS송신(이지론플러스)_최종'!$B:$D,2,0)</f>
        <v>String</v>
      </c>
      <c r="G145" s="430">
        <f>VLOOKUP($D145,'RCLIPS송신(이지론플러스)_최종'!$B:$D,3,0)</f>
        <v>2</v>
      </c>
      <c r="H145" s="430" t="str">
        <f t="shared" si="13"/>
        <v xml:space="preserve">99             </v>
      </c>
      <c r="I145" s="263" t="str">
        <f t="shared" si="14"/>
        <v>S0028</v>
      </c>
      <c r="J145" s="263" t="e">
        <f>VLOOKUP($I145,'[5]RCLIPS수신(이지론플러스)_최종'!$C:$F,2,0)</f>
        <v>#N/A</v>
      </c>
      <c r="K145" s="263" t="e">
        <f>VLOOKUP($I145,'[5]RCLIPS수신(이지론플러스)_최종'!$C:$F,3,0)</f>
        <v>#N/A</v>
      </c>
      <c r="L145" s="263" t="e">
        <f>VLOOKUP($I145,'[5]RCLIPS수신(이지론플러스)_최종'!$C:$F,4,0)</f>
        <v>#N/A</v>
      </c>
      <c r="M145" s="263" t="str">
        <f t="shared" si="15"/>
        <v>000000008888888</v>
      </c>
    </row>
    <row r="146" spans="1:13">
      <c r="A146" s="263"/>
      <c r="B146" s="429">
        <f t="shared" si="16"/>
        <v>2861</v>
      </c>
      <c r="C146" s="429">
        <f t="shared" si="17"/>
        <v>2866</v>
      </c>
      <c r="D146" s="430" t="str">
        <f t="shared" si="12"/>
        <v>A3022</v>
      </c>
      <c r="E146" s="430" t="str">
        <f>VLOOKUP(D146,'RCLIPS송신(이지론플러스)_최종'!$B:$E,4,0)</f>
        <v>현 직장의 휴폐업여부</v>
      </c>
      <c r="F146" s="430" t="str">
        <f>VLOOKUP($D146,'RCLIPS송신(이지론플러스)_최종'!$B:$D,2,0)</f>
        <v>String</v>
      </c>
      <c r="G146" s="430">
        <f>VLOOKUP($D146,'RCLIPS송신(이지론플러스)_최종'!$B:$D,3,0)</f>
        <v>1</v>
      </c>
      <c r="H146" s="430" t="str">
        <f t="shared" si="13"/>
        <v xml:space="preserve">9              </v>
      </c>
      <c r="I146" s="263" t="str">
        <f t="shared" si="14"/>
        <v>S0029</v>
      </c>
      <c r="J146" s="263" t="e">
        <f>VLOOKUP($I146,'[5]RCLIPS수신(이지론플러스)_최종'!$C:$F,2,0)</f>
        <v>#N/A</v>
      </c>
      <c r="K146" s="263" t="e">
        <f>VLOOKUP($I146,'[5]RCLIPS수신(이지론플러스)_최종'!$C:$F,3,0)</f>
        <v>#N/A</v>
      </c>
      <c r="L146" s="263" t="e">
        <f>VLOOKUP($I146,'[5]RCLIPS수신(이지론플러스)_최종'!$C:$F,4,0)</f>
        <v>#N/A</v>
      </c>
      <c r="M146" s="263" t="str">
        <f t="shared" si="15"/>
        <v>000000000000000</v>
      </c>
    </row>
    <row r="147" spans="1:13">
      <c r="A147" s="263"/>
      <c r="B147" s="429">
        <f t="shared" si="16"/>
        <v>2881</v>
      </c>
      <c r="C147" s="429">
        <f t="shared" si="17"/>
        <v>2886</v>
      </c>
      <c r="D147" s="430" t="str">
        <f t="shared" si="12"/>
        <v>A3023</v>
      </c>
      <c r="E147" s="430" t="str">
        <f>VLOOKUP(D147,'RCLIPS송신(이지론플러스)_최종'!$B:$E,4,0)</f>
        <v>현 직장의 기업공개</v>
      </c>
      <c r="F147" s="430" t="str">
        <f>VLOOKUP($D147,'RCLIPS송신(이지론플러스)_최종'!$B:$D,2,0)</f>
        <v>String</v>
      </c>
      <c r="G147" s="430">
        <f>VLOOKUP($D147,'RCLIPS송신(이지론플러스)_최종'!$B:$D,3,0)</f>
        <v>2</v>
      </c>
      <c r="H147" s="430" t="str">
        <f t="shared" si="13"/>
        <v xml:space="preserve">99             </v>
      </c>
      <c r="I147" s="263" t="str">
        <f t="shared" si="14"/>
        <v>S0030</v>
      </c>
      <c r="J147" s="263" t="e">
        <f>VLOOKUP($I147,'[5]RCLIPS수신(이지론플러스)_최종'!$C:$F,2,0)</f>
        <v>#N/A</v>
      </c>
      <c r="K147" s="263" t="e">
        <f>VLOOKUP($I147,'[5]RCLIPS수신(이지론플러스)_최종'!$C:$F,3,0)</f>
        <v>#N/A</v>
      </c>
      <c r="L147" s="263" t="e">
        <f>VLOOKUP($I147,'[5]RCLIPS수신(이지론플러스)_최종'!$C:$F,4,0)</f>
        <v>#N/A</v>
      </c>
      <c r="M147" s="263" t="str">
        <f t="shared" si="15"/>
        <v>000000000000001</v>
      </c>
    </row>
    <row r="148" spans="1:13">
      <c r="A148" s="263"/>
      <c r="B148" s="429">
        <f t="shared" si="16"/>
        <v>2901</v>
      </c>
      <c r="C148" s="429">
        <f t="shared" si="17"/>
        <v>2906</v>
      </c>
      <c r="D148" s="430" t="str">
        <f t="shared" si="12"/>
        <v>A3024</v>
      </c>
      <c r="E148" s="430" t="str">
        <f>VLOOKUP(D148,'RCLIPS송신(이지론플러스)_최종'!$B:$E,4,0)</f>
        <v>현 직장의 기업형태</v>
      </c>
      <c r="F148" s="430" t="str">
        <f>VLOOKUP($D148,'RCLIPS송신(이지론플러스)_최종'!$B:$D,2,0)</f>
        <v>String</v>
      </c>
      <c r="G148" s="430">
        <f>VLOOKUP($D148,'RCLIPS송신(이지론플러스)_최종'!$B:$D,3,0)</f>
        <v>2</v>
      </c>
      <c r="H148" s="430" t="str">
        <f t="shared" si="13"/>
        <v xml:space="preserve">99             </v>
      </c>
      <c r="I148" s="263" t="str">
        <f t="shared" si="14"/>
        <v>S0031</v>
      </c>
      <c r="J148" s="263" t="e">
        <f>VLOOKUP($I148,'[5]RCLIPS수신(이지론플러스)_최종'!$C:$F,2,0)</f>
        <v>#N/A</v>
      </c>
      <c r="K148" s="263" t="e">
        <f>VLOOKUP($I148,'[5]RCLIPS수신(이지론플러스)_최종'!$C:$F,3,0)</f>
        <v>#N/A</v>
      </c>
      <c r="L148" s="263" t="e">
        <f>VLOOKUP($I148,'[5]RCLIPS수신(이지론플러스)_최종'!$C:$F,4,0)</f>
        <v>#N/A</v>
      </c>
      <c r="M148" s="263" t="str">
        <f t="shared" si="15"/>
        <v>000000000000900</v>
      </c>
    </row>
    <row r="149" spans="1:13">
      <c r="A149" s="263"/>
      <c r="B149" s="429">
        <f t="shared" si="16"/>
        <v>2921</v>
      </c>
      <c r="C149" s="429">
        <f t="shared" si="17"/>
        <v>2926</v>
      </c>
      <c r="D149" s="430" t="str">
        <f t="shared" si="12"/>
        <v>A3025</v>
      </c>
      <c r="E149" s="430" t="str">
        <f>VLOOKUP(D149,'RCLIPS송신(이지론플러스)_최종'!$B:$E,4,0)</f>
        <v>현 직장의 종업원수</v>
      </c>
      <c r="F149" s="430" t="str">
        <f>VLOOKUP($D149,'RCLIPS송신(이지론플러스)_최종'!$B:$D,2,0)</f>
        <v>Numeric</v>
      </c>
      <c r="G149" s="430">
        <f>VLOOKUP($D149,'RCLIPS송신(이지론플러스)_최종'!$B:$D,3,0)</f>
        <v>5</v>
      </c>
      <c r="H149" s="430" t="str">
        <f t="shared" si="13"/>
        <v>000000999999999</v>
      </c>
      <c r="I149" s="263" t="str">
        <f t="shared" si="14"/>
        <v>S0032</v>
      </c>
      <c r="J149" s="263" t="e">
        <f>VLOOKUP($I149,'[5]RCLIPS수신(이지론플러스)_최종'!$C:$F,2,0)</f>
        <v>#N/A</v>
      </c>
      <c r="K149" s="263" t="e">
        <f>VLOOKUP($I149,'[5]RCLIPS수신(이지론플러스)_최종'!$C:$F,3,0)</f>
        <v>#N/A</v>
      </c>
      <c r="L149" s="263" t="e">
        <f>VLOOKUP($I149,'[5]RCLIPS수신(이지론플러스)_최종'!$C:$F,4,0)</f>
        <v>#N/A</v>
      </c>
      <c r="M149" s="263" t="str">
        <f t="shared" si="15"/>
        <v>000000000000001</v>
      </c>
    </row>
    <row r="150" spans="1:13">
      <c r="A150" s="263"/>
      <c r="B150" s="429">
        <f t="shared" si="16"/>
        <v>2941</v>
      </c>
      <c r="C150" s="429">
        <f t="shared" si="17"/>
        <v>2946</v>
      </c>
      <c r="D150" s="430" t="str">
        <f t="shared" si="12"/>
        <v>A3026</v>
      </c>
      <c r="E150" s="430" t="str">
        <f>VLOOKUP(D150,'RCLIPS송신(이지론플러스)_최종'!$B:$E,4,0)</f>
        <v>NICE등록연소득금액(IE0305_000)</v>
      </c>
      <c r="F150" s="430" t="str">
        <f>VLOOKUP($D150,'RCLIPS송신(이지론플러스)_최종'!$B:$D,2,0)</f>
        <v>Numeric</v>
      </c>
      <c r="G150" s="430">
        <f>VLOOKUP($D150,'RCLIPS송신(이지론플러스)_최종'!$B:$D,3,0)</f>
        <v>15</v>
      </c>
      <c r="H150" s="430" t="str">
        <f t="shared" si="13"/>
        <v>000000000000000</v>
      </c>
      <c r="I150" s="263" t="str">
        <f t="shared" si="14"/>
        <v>S0033</v>
      </c>
      <c r="J150" s="263" t="e">
        <f>VLOOKUP($I150,'[5]RCLIPS수신(이지론플러스)_최종'!$C:$F,2,0)</f>
        <v>#N/A</v>
      </c>
      <c r="K150" s="263" t="e">
        <f>VLOOKUP($I150,'[5]RCLIPS수신(이지론플러스)_최종'!$C:$F,3,0)</f>
        <v>#N/A</v>
      </c>
      <c r="L150" s="263" t="e">
        <f>VLOOKUP($I150,'[5]RCLIPS수신(이지론플러스)_최종'!$C:$F,4,0)</f>
        <v>#N/A</v>
      </c>
      <c r="M150" s="263" t="str">
        <f t="shared" si="15"/>
        <v>000000000000000</v>
      </c>
    </row>
    <row r="151" spans="1:13">
      <c r="A151" s="263"/>
      <c r="B151" s="429">
        <f t="shared" si="16"/>
        <v>2961</v>
      </c>
      <c r="C151" s="429">
        <f t="shared" si="17"/>
        <v>2966</v>
      </c>
      <c r="D151" s="430" t="str">
        <f t="shared" si="12"/>
        <v>A3027</v>
      </c>
      <c r="E151" s="430" t="str">
        <f>VLOOKUP(D151,'RCLIPS송신(이지론플러스)_최종'!$B:$E,4,0)</f>
        <v>NICE추정연소득금액(IE0305_000)</v>
      </c>
      <c r="F151" s="430" t="str">
        <f>VLOOKUP($D151,'RCLIPS송신(이지론플러스)_최종'!$B:$D,2,0)</f>
        <v>Numeric</v>
      </c>
      <c r="G151" s="430">
        <f>VLOOKUP($D151,'RCLIPS송신(이지론플러스)_최종'!$B:$D,3,0)</f>
        <v>15</v>
      </c>
      <c r="H151" s="430" t="str">
        <f t="shared" si="13"/>
        <v>000000000002000</v>
      </c>
      <c r="I151" s="263" t="str">
        <f t="shared" si="14"/>
        <v>S0034</v>
      </c>
      <c r="J151" s="263" t="e">
        <f>VLOOKUP($I151,'[5]RCLIPS수신(이지론플러스)_최종'!$C:$F,2,0)</f>
        <v>#N/A</v>
      </c>
      <c r="K151" s="263" t="e">
        <f>VLOOKUP($I151,'[5]RCLIPS수신(이지론플러스)_최종'!$C:$F,3,0)</f>
        <v>#N/A</v>
      </c>
      <c r="L151" s="263" t="e">
        <f>VLOOKUP($I151,'[5]RCLIPS수신(이지론플러스)_최종'!$C:$F,4,0)</f>
        <v>#N/A</v>
      </c>
      <c r="M151" s="263" t="str">
        <f t="shared" si="15"/>
        <v>000000000000000</v>
      </c>
    </row>
    <row r="152" spans="1:13">
      <c r="A152" s="263"/>
      <c r="B152" s="429">
        <f t="shared" si="16"/>
        <v>2981</v>
      </c>
      <c r="C152" s="429">
        <f t="shared" si="17"/>
        <v>2986</v>
      </c>
      <c r="D152" s="430" t="str">
        <f t="shared" si="12"/>
        <v>A3028</v>
      </c>
      <c r="E152" s="430" t="str">
        <f>VLOOKUP(D152,'RCLIPS송신(이지론플러스)_최종'!$B:$E,4,0)</f>
        <v>NICE최종연소득금액(IE0305_000)</v>
      </c>
      <c r="F152" s="430" t="str">
        <f>VLOOKUP($D152,'RCLIPS송신(이지론플러스)_최종'!$B:$D,2,0)</f>
        <v>Numeric</v>
      </c>
      <c r="G152" s="430">
        <f>VLOOKUP($D152,'RCLIPS송신(이지론플러스)_최종'!$B:$D,3,0)</f>
        <v>15</v>
      </c>
      <c r="H152" s="430" t="str">
        <f t="shared" si="13"/>
        <v>000000000002000</v>
      </c>
      <c r="I152" s="263" t="str">
        <f t="shared" si="14"/>
        <v>S0035</v>
      </c>
      <c r="J152" s="263" t="e">
        <f>VLOOKUP($I152,'[5]RCLIPS수신(이지론플러스)_최종'!$C:$F,2,0)</f>
        <v>#N/A</v>
      </c>
      <c r="K152" s="263" t="e">
        <f>VLOOKUP($I152,'[5]RCLIPS수신(이지론플러스)_최종'!$C:$F,3,0)</f>
        <v>#N/A</v>
      </c>
      <c r="L152" s="263" t="e">
        <f>VLOOKUP($I152,'[5]RCLIPS수신(이지론플러스)_최종'!$C:$F,4,0)</f>
        <v>#N/A</v>
      </c>
      <c r="M152" s="263" t="str">
        <f t="shared" si="15"/>
        <v>000000000000000</v>
      </c>
    </row>
    <row r="153" spans="1:13">
      <c r="A153" s="263"/>
      <c r="B153" s="429">
        <f t="shared" si="16"/>
        <v>3001</v>
      </c>
      <c r="C153" s="429">
        <f t="shared" si="17"/>
        <v>3006</v>
      </c>
      <c r="D153" s="430" t="str">
        <f t="shared" si="12"/>
        <v>A3029</v>
      </c>
      <c r="E153" s="430" t="str">
        <f>VLOOKUP(D153,'RCLIPS송신(이지론플러스)_최종'!$B:$E,4,0)</f>
        <v>NICE직장기반추정소득값(IE0305_000)</v>
      </c>
      <c r="F153" s="430" t="str">
        <f>VLOOKUP($D153,'RCLIPS송신(이지론플러스)_최종'!$B:$D,2,0)</f>
        <v>Numeric</v>
      </c>
      <c r="G153" s="430">
        <f>VLOOKUP($D153,'RCLIPS송신(이지론플러스)_최종'!$B:$D,3,0)</f>
        <v>15</v>
      </c>
      <c r="H153" s="430" t="str">
        <f t="shared" si="13"/>
        <v>000000000000000</v>
      </c>
      <c r="I153" s="263" t="str">
        <f t="shared" si="14"/>
        <v>S0036</v>
      </c>
      <c r="J153" s="263" t="e">
        <f>VLOOKUP($I153,'[5]RCLIPS수신(이지론플러스)_최종'!$C:$F,2,0)</f>
        <v>#N/A</v>
      </c>
      <c r="K153" s="263" t="e">
        <f>VLOOKUP($I153,'[5]RCLIPS수신(이지론플러스)_최종'!$C:$F,3,0)</f>
        <v>#N/A</v>
      </c>
      <c r="L153" s="263" t="e">
        <f>VLOOKUP($I153,'[5]RCLIPS수신(이지론플러스)_최종'!$C:$F,4,0)</f>
        <v>#N/A</v>
      </c>
      <c r="M153" s="263" t="str">
        <f t="shared" si="15"/>
        <v>000000000000001</v>
      </c>
    </row>
    <row r="154" spans="1:13">
      <c r="A154" s="263"/>
      <c r="B154" s="429">
        <f t="shared" si="16"/>
        <v>3021</v>
      </c>
      <c r="C154" s="429">
        <f t="shared" si="17"/>
        <v>3026</v>
      </c>
      <c r="D154" s="430" t="str">
        <f t="shared" si="12"/>
        <v>A3030</v>
      </c>
      <c r="E154" s="430" t="str">
        <f>VLOOKUP(D154,'RCLIPS송신(이지론플러스)_최종'!$B:$E,4,0)</f>
        <v>NICE부동산기반추정소득(IE0305_000)</v>
      </c>
      <c r="F154" s="430" t="str">
        <f>VLOOKUP($D154,'RCLIPS송신(이지론플러스)_최종'!$B:$D,2,0)</f>
        <v>Numeric</v>
      </c>
      <c r="G154" s="430">
        <f>VLOOKUP($D154,'RCLIPS송신(이지론플러스)_최종'!$B:$D,3,0)</f>
        <v>15</v>
      </c>
      <c r="H154" s="430" t="str">
        <f t="shared" si="13"/>
        <v>000000000001400</v>
      </c>
      <c r="I154" s="263" t="str">
        <f t="shared" si="14"/>
        <v>S0037</v>
      </c>
      <c r="J154" s="263" t="e">
        <f>VLOOKUP($I154,'[5]RCLIPS수신(이지론플러스)_최종'!$C:$F,2,0)</f>
        <v>#N/A</v>
      </c>
      <c r="K154" s="263" t="e">
        <f>VLOOKUP($I154,'[5]RCLIPS수신(이지론플러스)_최종'!$C:$F,3,0)</f>
        <v>#N/A</v>
      </c>
      <c r="L154" s="263" t="e">
        <f>VLOOKUP($I154,'[5]RCLIPS수신(이지론플러스)_최종'!$C:$F,4,0)</f>
        <v>#N/A</v>
      </c>
      <c r="M154" s="263" t="str">
        <f t="shared" si="15"/>
        <v>000000000000000</v>
      </c>
    </row>
    <row r="155" spans="1:13">
      <c r="A155" s="263"/>
      <c r="B155" s="429">
        <f t="shared" si="16"/>
        <v>3041</v>
      </c>
      <c r="C155" s="429">
        <f t="shared" si="17"/>
        <v>3046</v>
      </c>
      <c r="D155" s="430" t="str">
        <f t="shared" si="12"/>
        <v>A3031</v>
      </c>
      <c r="E155" s="430" t="str">
        <f>VLOOKUP(D155,'RCLIPS송신(이지론플러스)_최종'!$B:$E,4,0)</f>
        <v>NICE신용정보기반추정소득(IE0305_000)</v>
      </c>
      <c r="F155" s="430" t="str">
        <f>VLOOKUP($D155,'RCLIPS송신(이지론플러스)_최종'!$B:$D,2,0)</f>
        <v>Numeric</v>
      </c>
      <c r="G155" s="430">
        <f>VLOOKUP($D155,'RCLIPS송신(이지론플러스)_최종'!$B:$D,3,0)</f>
        <v>15</v>
      </c>
      <c r="H155" s="430" t="str">
        <f t="shared" si="13"/>
        <v>000000000002000</v>
      </c>
      <c r="I155" s="263" t="str">
        <f t="shared" si="14"/>
        <v>S0038</v>
      </c>
      <c r="J155" s="263" t="e">
        <f>VLOOKUP($I155,'[5]RCLIPS수신(이지론플러스)_최종'!$C:$F,2,0)</f>
        <v>#N/A</v>
      </c>
      <c r="K155" s="263" t="e">
        <f>VLOOKUP($I155,'[5]RCLIPS수신(이지론플러스)_최종'!$C:$F,3,0)</f>
        <v>#N/A</v>
      </c>
      <c r="L155" s="263" t="e">
        <f>VLOOKUP($I155,'[5]RCLIPS수신(이지론플러스)_최종'!$C:$F,4,0)</f>
        <v>#N/A</v>
      </c>
      <c r="M155" s="263" t="str">
        <f t="shared" si="15"/>
        <v>000000000000001</v>
      </c>
    </row>
    <row r="156" spans="1:13">
      <c r="A156" s="263"/>
      <c r="B156" s="429">
        <f t="shared" si="16"/>
        <v>3061</v>
      </c>
      <c r="C156" s="429">
        <f t="shared" si="17"/>
        <v>3066</v>
      </c>
      <c r="D156" s="430" t="str">
        <f t="shared" si="12"/>
        <v>A3032</v>
      </c>
      <c r="E156" s="430" t="str">
        <f>VLOOKUP(D156,'RCLIPS송신(이지론플러스)_최종'!$B:$E,4,0)</f>
        <v>미상환 주택담보 대출총건수</v>
      </c>
      <c r="F156" s="430" t="str">
        <f>VLOOKUP($D156,'RCLIPS송신(이지론플러스)_최종'!$B:$D,2,0)</f>
        <v>Numeric</v>
      </c>
      <c r="G156" s="430">
        <f>VLOOKUP($D156,'RCLIPS송신(이지론플러스)_최종'!$B:$D,3,0)</f>
        <v>5</v>
      </c>
      <c r="H156" s="430" t="str">
        <f t="shared" si="13"/>
        <v>000000000000000</v>
      </c>
      <c r="I156" s="263" t="str">
        <f t="shared" si="14"/>
        <v>S0039</v>
      </c>
      <c r="J156" s="263" t="e">
        <f>VLOOKUP($I156,'[5]RCLIPS수신(이지론플러스)_최종'!$C:$F,2,0)</f>
        <v>#N/A</v>
      </c>
      <c r="K156" s="263" t="e">
        <f>VLOOKUP($I156,'[5]RCLIPS수신(이지론플러스)_최종'!$C:$F,3,0)</f>
        <v>#N/A</v>
      </c>
      <c r="L156" s="263" t="e">
        <f>VLOOKUP($I156,'[5]RCLIPS수신(이지론플러스)_최종'!$C:$F,4,0)</f>
        <v>#N/A</v>
      </c>
      <c r="M156" s="263" t="str">
        <f t="shared" si="15"/>
        <v>000000000000000</v>
      </c>
    </row>
    <row r="157" spans="1:13">
      <c r="A157" s="263"/>
      <c r="B157" s="429">
        <f t="shared" si="16"/>
        <v>3081</v>
      </c>
      <c r="C157" s="429">
        <f t="shared" si="17"/>
        <v>3086</v>
      </c>
      <c r="D157" s="430" t="str">
        <f t="shared" si="12"/>
        <v>A3033</v>
      </c>
      <c r="E157" s="430" t="str">
        <f>VLOOKUP(D157,'RCLIPS송신(이지론플러스)_최종'!$B:$E,4,0)</f>
        <v>기준일 현재 행안부 사망자 여부</v>
      </c>
      <c r="F157" s="430" t="str">
        <f>VLOOKUP($D157,'RCLIPS송신(이지론플러스)_최종'!$B:$D,2,0)</f>
        <v>String</v>
      </c>
      <c r="G157" s="430">
        <f>VLOOKUP($D157,'RCLIPS송신(이지론플러스)_최종'!$B:$D,3,0)</f>
        <v>1</v>
      </c>
      <c r="H157" s="430" t="str">
        <f t="shared" si="13"/>
        <v xml:space="preserve">0              </v>
      </c>
      <c r="I157" s="263" t="str">
        <f t="shared" si="14"/>
        <v>S0040</v>
      </c>
      <c r="J157" s="263" t="e">
        <f>VLOOKUP($I157,'[5]RCLIPS수신(이지론플러스)_최종'!$C:$F,2,0)</f>
        <v>#N/A</v>
      </c>
      <c r="K157" s="263" t="e">
        <f>VLOOKUP($I157,'[5]RCLIPS수신(이지론플러스)_최종'!$C:$F,3,0)</f>
        <v>#N/A</v>
      </c>
      <c r="L157" s="263" t="e">
        <f>VLOOKUP($I157,'[5]RCLIPS수신(이지론플러스)_최종'!$C:$F,4,0)</f>
        <v>#N/A</v>
      </c>
      <c r="M157" s="263" t="str">
        <f t="shared" si="15"/>
        <v>000000000000000</v>
      </c>
    </row>
    <row r="158" spans="1:13">
      <c r="A158" s="263"/>
      <c r="B158" s="429">
        <f t="shared" si="16"/>
        <v>3101</v>
      </c>
      <c r="C158" s="429">
        <f t="shared" si="17"/>
        <v>3106</v>
      </c>
      <c r="D158" s="430" t="str">
        <f t="shared" si="12"/>
        <v>A3034</v>
      </c>
      <c r="E158" s="430" t="str">
        <f>VLOOKUP(D158,'RCLIPS송신(이지론플러스)_최종'!$B:$E,4,0)</f>
        <v>전은연대출 연간원리금상환금액(기준2)</v>
      </c>
      <c r="F158" s="430" t="str">
        <f>VLOOKUP($D158,'RCLIPS송신(이지론플러스)_최종'!$B:$D,2,0)</f>
        <v>Numeric</v>
      </c>
      <c r="G158" s="430">
        <f>VLOOKUP($D158,'RCLIPS송신(이지론플러스)_최종'!$B:$D,3,0)</f>
        <v>15</v>
      </c>
      <c r="H158" s="430" t="str">
        <f t="shared" si="13"/>
        <v>000000000000706</v>
      </c>
      <c r="I158" s="263" t="str">
        <f t="shared" si="14"/>
        <v>S0041</v>
      </c>
      <c r="J158" s="263" t="e">
        <f>VLOOKUP($I158,'[5]RCLIPS수신(이지론플러스)_최종'!$C:$F,2,0)</f>
        <v>#N/A</v>
      </c>
      <c r="K158" s="263" t="e">
        <f>VLOOKUP($I158,'[5]RCLIPS수신(이지론플러스)_최종'!$C:$F,3,0)</f>
        <v>#N/A</v>
      </c>
      <c r="L158" s="263" t="e">
        <f>VLOOKUP($I158,'[5]RCLIPS수신(이지론플러스)_최종'!$C:$F,4,0)</f>
        <v>#N/A</v>
      </c>
      <c r="M158" s="263" t="str">
        <f t="shared" si="15"/>
        <v>000000009999999</v>
      </c>
    </row>
    <row r="159" spans="1:13">
      <c r="A159" s="263"/>
      <c r="B159" s="429">
        <f t="shared" si="16"/>
        <v>3121</v>
      </c>
      <c r="C159" s="429">
        <f t="shared" si="17"/>
        <v>3126</v>
      </c>
      <c r="D159" s="430" t="str">
        <f t="shared" si="12"/>
        <v>A3035</v>
      </c>
      <c r="E159" s="430" t="str">
        <f>VLOOKUP(D159,'RCLIPS송신(이지론플러스)_최종'!$B:$E,4,0)</f>
        <v>전은연대출 연간원리금상환금액(기준2)_주택/부동산담보대출제외</v>
      </c>
      <c r="F159" s="430" t="str">
        <f>VLOOKUP($D159,'RCLIPS송신(이지론플러스)_최종'!$B:$D,2,0)</f>
        <v>Numeric</v>
      </c>
      <c r="G159" s="430">
        <f>VLOOKUP($D159,'RCLIPS송신(이지론플러스)_최종'!$B:$D,3,0)</f>
        <v>15</v>
      </c>
      <c r="H159" s="430" t="str">
        <f t="shared" si="13"/>
        <v>000000000000706</v>
      </c>
      <c r="I159" s="263" t="str">
        <f t="shared" si="14"/>
        <v>S0042</v>
      </c>
      <c r="J159" s="263" t="e">
        <f>VLOOKUP($I159,'[5]RCLIPS수신(이지론플러스)_최종'!$C:$F,2,0)</f>
        <v>#N/A</v>
      </c>
      <c r="K159" s="263" t="e">
        <f>VLOOKUP($I159,'[5]RCLIPS수신(이지론플러스)_최종'!$C:$F,3,0)</f>
        <v>#N/A</v>
      </c>
      <c r="L159" s="263" t="e">
        <f>VLOOKUP($I159,'[5]RCLIPS수신(이지론플러스)_최종'!$C:$F,4,0)</f>
        <v>#N/A</v>
      </c>
      <c r="M159" s="263" t="str">
        <f t="shared" si="15"/>
        <v>000000009999999</v>
      </c>
    </row>
    <row r="160" spans="1:13">
      <c r="A160" s="263"/>
      <c r="B160" s="429">
        <f t="shared" si="16"/>
        <v>3141</v>
      </c>
      <c r="C160" s="429">
        <f t="shared" si="17"/>
        <v>3146</v>
      </c>
      <c r="D160" s="430" t="str">
        <f t="shared" si="12"/>
        <v>A3039</v>
      </c>
      <c r="E160" s="430" t="str">
        <f>VLOOKUP(D160,'RCLIPS송신(이지론플러스)_최종'!$B:$E,4,0)</f>
        <v>연체 총 잔액(해제후1년경과건제외)</v>
      </c>
      <c r="F160" s="430" t="str">
        <f>VLOOKUP($D160,'RCLIPS송신(이지론플러스)_최종'!$B:$D,2,0)</f>
        <v>Numeric</v>
      </c>
      <c r="G160" s="430">
        <f>VLOOKUP($D160,'RCLIPS송신(이지론플러스)_최종'!$B:$D,3,0)</f>
        <v>15</v>
      </c>
      <c r="H160" s="430" t="str">
        <f t="shared" si="13"/>
        <v>000000000000000</v>
      </c>
      <c r="I160" s="263" t="str">
        <f t="shared" si="14"/>
        <v>S0043</v>
      </c>
      <c r="J160" s="263" t="e">
        <f>VLOOKUP($I160,'[5]RCLIPS수신(이지론플러스)_최종'!$C:$F,2,0)</f>
        <v>#N/A</v>
      </c>
      <c r="K160" s="263" t="e">
        <f>VLOOKUP($I160,'[5]RCLIPS수신(이지론플러스)_최종'!$C:$F,3,0)</f>
        <v>#N/A</v>
      </c>
      <c r="L160" s="263" t="e">
        <f>VLOOKUP($I160,'[5]RCLIPS수신(이지론플러스)_최종'!$C:$F,4,0)</f>
        <v>#N/A</v>
      </c>
      <c r="M160" s="263" t="str">
        <f t="shared" si="15"/>
        <v>000000000000000</v>
      </c>
    </row>
    <row r="161" spans="1:13">
      <c r="A161" s="263"/>
      <c r="B161" s="429">
        <f t="shared" si="16"/>
        <v>3161</v>
      </c>
      <c r="C161" s="429">
        <f t="shared" si="17"/>
        <v>3166</v>
      </c>
      <c r="D161" s="430" t="str">
        <f t="shared" si="12"/>
        <v>A3050</v>
      </c>
      <c r="E161" s="430" t="str">
        <f>VLOOKUP(D161,'RCLIPS송신(이지론플러스)_최종'!$B:$E,4,0)</f>
        <v>TIP스코어등급</v>
      </c>
      <c r="F161" s="430" t="str">
        <f>VLOOKUP($D161,'RCLIPS송신(이지론플러스)_최종'!$B:$D,2,0)</f>
        <v>String</v>
      </c>
      <c r="G161" s="430">
        <f>VLOOKUP($D161,'RCLIPS송신(이지론플러스)_최종'!$B:$D,3,0)</f>
        <v>4</v>
      </c>
      <c r="H161" s="430" t="str">
        <f t="shared" si="13"/>
        <v xml:space="preserve">0005           </v>
      </c>
      <c r="I161" s="263" t="str">
        <f t="shared" si="14"/>
        <v>S0044</v>
      </c>
      <c r="J161" s="263" t="e">
        <f>VLOOKUP($I161,'[5]RCLIPS수신(이지론플러스)_최종'!$C:$F,2,0)</f>
        <v>#N/A</v>
      </c>
      <c r="K161" s="263" t="e">
        <f>VLOOKUP($I161,'[5]RCLIPS수신(이지론플러스)_최종'!$C:$F,3,0)</f>
        <v>#N/A</v>
      </c>
      <c r="L161" s="263" t="e">
        <f>VLOOKUP($I161,'[5]RCLIPS수신(이지론플러스)_최종'!$C:$F,4,0)</f>
        <v>#N/A</v>
      </c>
      <c r="M161" s="263" t="str">
        <f t="shared" si="15"/>
        <v>000000000263530</v>
      </c>
    </row>
    <row r="162" spans="1:13">
      <c r="A162" s="263"/>
      <c r="B162" s="429">
        <f t="shared" si="16"/>
        <v>3181</v>
      </c>
      <c r="C162" s="429">
        <f t="shared" si="17"/>
        <v>3186</v>
      </c>
      <c r="D162" s="430" t="str">
        <f t="shared" si="12"/>
        <v>A3051</v>
      </c>
      <c r="E162" s="430" t="str">
        <f>VLOOKUP(D162,'RCLIPS송신(이지론플러스)_최종'!$B:$E,4,0)</f>
        <v>개인파산정보내용</v>
      </c>
      <c r="F162" s="430" t="str">
        <f>VLOOKUP($D162,'RCLIPS송신(이지론플러스)_최종'!$B:$D,2,0)</f>
        <v>String</v>
      </c>
      <c r="G162" s="430">
        <f>VLOOKUP($D162,'RCLIPS송신(이지론플러스)_최종'!$B:$D,3,0)</f>
        <v>4</v>
      </c>
      <c r="H162" s="430" t="str">
        <f t="shared" si="13"/>
        <v xml:space="preserve">0003           </v>
      </c>
      <c r="I162" s="263" t="str">
        <f t="shared" si="14"/>
        <v>S0045</v>
      </c>
      <c r="J162" s="263" t="e">
        <f>VLOOKUP($I162,'[5]RCLIPS수신(이지론플러스)_최종'!$C:$F,2,0)</f>
        <v>#N/A</v>
      </c>
      <c r="K162" s="263" t="e">
        <f>VLOOKUP($I162,'[5]RCLIPS수신(이지론플러스)_최종'!$C:$F,3,0)</f>
        <v>#N/A</v>
      </c>
      <c r="L162" s="263" t="e">
        <f>VLOOKUP($I162,'[5]RCLIPS수신(이지론플러스)_최종'!$C:$F,4,0)</f>
        <v>#N/A</v>
      </c>
      <c r="M162" s="263" t="str">
        <f t="shared" si="15"/>
        <v>000000000000000</v>
      </c>
    </row>
    <row r="163" spans="1:13">
      <c r="A163" s="263"/>
      <c r="B163" s="429">
        <f t="shared" si="16"/>
        <v>3201</v>
      </c>
      <c r="C163" s="429">
        <f t="shared" si="17"/>
        <v>3206</v>
      </c>
      <c r="D163" s="430" t="str">
        <f t="shared" si="12"/>
        <v>A3052</v>
      </c>
      <c r="E163" s="430" t="str">
        <f>VLOOKUP(D163,'RCLIPS송신(이지론플러스)_최종'!$B:$E,4,0)</f>
        <v>NICE PI등급</v>
      </c>
      <c r="F163" s="430" t="str">
        <f>VLOOKUP($D163,'RCLIPS송신(이지론플러스)_최종'!$B:$D,2,0)</f>
        <v>String</v>
      </c>
      <c r="G163" s="430">
        <f>VLOOKUP($D163,'RCLIPS송신(이지론플러스)_최종'!$B:$D,3,0)</f>
        <v>4</v>
      </c>
      <c r="H163" s="430" t="str">
        <f t="shared" si="13"/>
        <v xml:space="preserve">0003           </v>
      </c>
      <c r="I163" s="263" t="str">
        <f t="shared" si="14"/>
        <v>S0046</v>
      </c>
      <c r="J163" s="263" t="e">
        <f>VLOOKUP($I163,'[5]RCLIPS수신(이지론플러스)_최종'!$C:$F,2,0)</f>
        <v>#N/A</v>
      </c>
      <c r="K163" s="263" t="e">
        <f>VLOOKUP($I163,'[5]RCLIPS수신(이지론플러스)_최종'!$C:$F,3,0)</f>
        <v>#N/A</v>
      </c>
      <c r="L163" s="263" t="e">
        <f>VLOOKUP($I163,'[5]RCLIPS수신(이지론플러스)_최종'!$C:$F,4,0)</f>
        <v>#N/A</v>
      </c>
      <c r="M163" s="263" t="str">
        <f t="shared" si="15"/>
        <v>000000000000000</v>
      </c>
    </row>
    <row r="164" spans="1:13">
      <c r="A164" s="263"/>
      <c r="B164" s="429">
        <f t="shared" si="16"/>
        <v>3221</v>
      </c>
      <c r="C164" s="429">
        <f t="shared" si="17"/>
        <v>3226</v>
      </c>
      <c r="D164" s="430" t="str">
        <f t="shared" si="12"/>
        <v>A3053</v>
      </c>
      <c r="E164" s="430" t="str">
        <f>VLOOKUP(D164,'RCLIPS송신(이지론플러스)_최종'!$B:$E,4,0)</f>
        <v>NICE PI플러스등급</v>
      </c>
      <c r="F164" s="430" t="str">
        <f>VLOOKUP($D164,'RCLIPS송신(이지론플러스)_최종'!$B:$D,2,0)</f>
        <v>String</v>
      </c>
      <c r="G164" s="430">
        <f>VLOOKUP($D164,'RCLIPS송신(이지론플러스)_최종'!$B:$D,3,0)</f>
        <v>4</v>
      </c>
      <c r="H164" s="430" t="str">
        <f t="shared" si="13"/>
        <v xml:space="preserve">0002           </v>
      </c>
      <c r="I164" s="263" t="str">
        <f t="shared" si="14"/>
        <v>S0047</v>
      </c>
      <c r="J164" s="263" t="e">
        <f>VLOOKUP($I164,'[5]RCLIPS수신(이지론플러스)_최종'!$C:$F,2,0)</f>
        <v>#N/A</v>
      </c>
      <c r="K164" s="263" t="e">
        <f>VLOOKUP($I164,'[5]RCLIPS수신(이지론플러스)_최종'!$C:$F,3,0)</f>
        <v>#N/A</v>
      </c>
      <c r="L164" s="263" t="e">
        <f>VLOOKUP($I164,'[5]RCLIPS수신(이지론플러스)_최종'!$C:$F,4,0)</f>
        <v>#N/A</v>
      </c>
      <c r="M164" s="263" t="str">
        <f t="shared" si="15"/>
        <v>000000000000000</v>
      </c>
    </row>
    <row r="165" spans="1:13">
      <c r="A165" s="263"/>
      <c r="B165" s="429">
        <f t="shared" si="16"/>
        <v>3241</v>
      </c>
      <c r="C165" s="429">
        <f t="shared" si="17"/>
        <v>3246</v>
      </c>
      <c r="D165" s="430" t="str">
        <f t="shared" si="12"/>
        <v>A3054</v>
      </c>
      <c r="E165" s="430" t="str">
        <f>VLOOKUP(D165,'RCLIPS송신(이지론플러스)_최종'!$B:$E,4,0)</f>
        <v>거래패턴(CP)스코어등급</v>
      </c>
      <c r="F165" s="430" t="str">
        <f>VLOOKUP($D165,'RCLIPS송신(이지론플러스)_최종'!$B:$D,2,0)</f>
        <v>String</v>
      </c>
      <c r="G165" s="430">
        <f>VLOOKUP($D165,'RCLIPS송신(이지론플러스)_최종'!$B:$D,3,0)</f>
        <v>4</v>
      </c>
      <c r="H165" s="430" t="str">
        <f t="shared" si="13"/>
        <v xml:space="preserve">0002           </v>
      </c>
      <c r="I165" s="263" t="str">
        <f t="shared" si="14"/>
        <v>S0048</v>
      </c>
      <c r="J165" s="263" t="e">
        <f>VLOOKUP($I165,'[5]RCLIPS수신(이지론플러스)_최종'!$C:$F,2,0)</f>
        <v>#N/A</v>
      </c>
      <c r="K165" s="263" t="e">
        <f>VLOOKUP($I165,'[5]RCLIPS수신(이지론플러스)_최종'!$C:$F,3,0)</f>
        <v>#N/A</v>
      </c>
      <c r="L165" s="263" t="e">
        <f>VLOOKUP($I165,'[5]RCLIPS수신(이지론플러스)_최종'!$C:$F,4,0)</f>
        <v>#N/A</v>
      </c>
      <c r="M165" s="263" t="str">
        <f t="shared" si="15"/>
        <v>000000000003000</v>
      </c>
    </row>
    <row r="166" spans="1:13">
      <c r="A166" s="263"/>
      <c r="B166" s="429">
        <f t="shared" si="16"/>
        <v>3261</v>
      </c>
      <c r="C166" s="429">
        <f t="shared" si="17"/>
        <v>3266</v>
      </c>
      <c r="D166" s="430" t="str">
        <f t="shared" si="12"/>
        <v>A3055</v>
      </c>
      <c r="E166" s="430" t="str">
        <f>VLOOKUP(D166,'RCLIPS송신(이지론플러스)_최종'!$B:$E,4,0)</f>
        <v>NICE DeP등급</v>
      </c>
      <c r="F166" s="430" t="str">
        <f>VLOOKUP($D166,'RCLIPS송신(이지론플러스)_최종'!$B:$D,2,0)</f>
        <v>String</v>
      </c>
      <c r="G166" s="430">
        <f>VLOOKUP($D166,'RCLIPS송신(이지론플러스)_최종'!$B:$D,3,0)</f>
        <v>4</v>
      </c>
      <c r="H166" s="430" t="str">
        <f t="shared" si="13"/>
        <v xml:space="preserve">0003           </v>
      </c>
      <c r="I166" s="263" t="str">
        <f t="shared" si="14"/>
        <v>S0049</v>
      </c>
      <c r="J166" s="263" t="e">
        <f>VLOOKUP($I166,'[5]RCLIPS수신(이지론플러스)_최종'!$C:$F,2,0)</f>
        <v>#N/A</v>
      </c>
      <c r="K166" s="263" t="e">
        <f>VLOOKUP($I166,'[5]RCLIPS수신(이지론플러스)_최종'!$C:$F,3,0)</f>
        <v>#N/A</v>
      </c>
      <c r="L166" s="263" t="e">
        <f>VLOOKUP($I166,'[5]RCLIPS수신(이지론플러스)_최종'!$C:$F,4,0)</f>
        <v>#N/A</v>
      </c>
      <c r="M166" s="263" t="str">
        <f t="shared" si="15"/>
        <v>000000000000000</v>
      </c>
    </row>
    <row r="167" spans="1:13">
      <c r="A167" s="263"/>
      <c r="B167" s="429">
        <f t="shared" si="16"/>
        <v>3281</v>
      </c>
      <c r="C167" s="429">
        <f t="shared" si="17"/>
        <v>3286</v>
      </c>
      <c r="D167" s="430" t="str">
        <f t="shared" si="12"/>
        <v>A3056</v>
      </c>
      <c r="E167" s="430" t="str">
        <f>VLOOKUP(D167,'RCLIPS송신(이지론플러스)_최종'!$B:$E,4,0)</f>
        <v>NICE CB등급</v>
      </c>
      <c r="F167" s="430" t="str">
        <f>VLOOKUP($D167,'RCLIPS송신(이지론플러스)_최종'!$B:$D,2,0)</f>
        <v>String</v>
      </c>
      <c r="G167" s="430">
        <f>VLOOKUP($D167,'RCLIPS송신(이지론플러스)_최종'!$B:$D,3,0)</f>
        <v>4</v>
      </c>
      <c r="H167" s="430" t="str">
        <f t="shared" si="13"/>
        <v xml:space="preserve">0004           </v>
      </c>
      <c r="I167" s="263" t="str">
        <f t="shared" si="14"/>
        <v>S0050</v>
      </c>
      <c r="J167" s="263" t="e">
        <f>VLOOKUP($I167,'[5]RCLIPS수신(이지론플러스)_최종'!$C:$F,2,0)</f>
        <v>#N/A</v>
      </c>
      <c r="K167" s="263" t="e">
        <f>VLOOKUP($I167,'[5]RCLIPS수신(이지론플러스)_최종'!$C:$F,3,0)</f>
        <v>#N/A</v>
      </c>
      <c r="L167" s="263" t="e">
        <f>VLOOKUP($I167,'[5]RCLIPS수신(이지론플러스)_최종'!$C:$F,4,0)</f>
        <v>#N/A</v>
      </c>
      <c r="M167" s="263" t="str">
        <f t="shared" si="15"/>
        <v>000000000000000</v>
      </c>
    </row>
    <row r="168" spans="1:13">
      <c r="A168" s="263"/>
      <c r="B168" s="429">
        <f t="shared" si="16"/>
        <v>3301</v>
      </c>
      <c r="C168" s="429">
        <f t="shared" si="17"/>
        <v>3306</v>
      </c>
      <c r="D168" s="430" t="str">
        <f t="shared" si="12"/>
        <v>A3057</v>
      </c>
      <c r="E168" s="430" t="str">
        <f>VLOOKUP(D168,'RCLIPS송신(이지론플러스)_최종'!$B:$E,4,0)</f>
        <v>NICE SP등급</v>
      </c>
      <c r="F168" s="430" t="str">
        <f>VLOOKUP($D168,'RCLIPS송신(이지론플러스)_최종'!$B:$D,2,0)</f>
        <v>String</v>
      </c>
      <c r="G168" s="430">
        <f>VLOOKUP($D168,'RCLIPS송신(이지론플러스)_최종'!$B:$D,3,0)</f>
        <v>4</v>
      </c>
      <c r="H168" s="430" t="str">
        <f t="shared" si="13"/>
        <v xml:space="preserve">0003           </v>
      </c>
      <c r="I168" s="263" t="str">
        <f t="shared" si="14"/>
        <v>S0051</v>
      </c>
      <c r="J168" s="263" t="e">
        <f>VLOOKUP($I168,'[5]RCLIPS수신(이지론플러스)_최종'!$C:$F,2,0)</f>
        <v>#N/A</v>
      </c>
      <c r="K168" s="263" t="e">
        <f>VLOOKUP($I168,'[5]RCLIPS수신(이지론플러스)_최종'!$C:$F,3,0)</f>
        <v>#N/A</v>
      </c>
      <c r="L168" s="263" t="e">
        <f>VLOOKUP($I168,'[5]RCLIPS수신(이지론플러스)_최종'!$C:$F,4,0)</f>
        <v>#N/A</v>
      </c>
      <c r="M168" s="263" t="str">
        <f t="shared" si="15"/>
        <v>000000888888888</v>
      </c>
    </row>
    <row r="169" spans="1:13">
      <c r="A169" s="263"/>
      <c r="B169" s="429">
        <f t="shared" si="16"/>
        <v>3321</v>
      </c>
      <c r="C169" s="429">
        <f t="shared" si="17"/>
        <v>3326</v>
      </c>
      <c r="D169" s="430" t="str">
        <f t="shared" si="12"/>
        <v>A3059</v>
      </c>
      <c r="E169" s="430" t="str">
        <f>VLOOKUP(D169,'RCLIPS송신(이지론플러스)_최종'!$B:$E,4,0)</f>
        <v>과다채무지수</v>
      </c>
      <c r="F169" s="430" t="str">
        <f>VLOOKUP($D169,'RCLIPS송신(이지론플러스)_최종'!$B:$D,2,0)</f>
        <v>String</v>
      </c>
      <c r="G169" s="430">
        <f>VLOOKUP($D169,'RCLIPS송신(이지론플러스)_최종'!$B:$D,3,0)</f>
        <v>4</v>
      </c>
      <c r="H169" s="430" t="str">
        <f t="shared" si="13"/>
        <v xml:space="preserve">0006           </v>
      </c>
      <c r="I169" s="263" t="str">
        <f t="shared" si="14"/>
        <v>S0052</v>
      </c>
      <c r="J169" s="263" t="e">
        <f>VLOOKUP($I169,'[5]RCLIPS수신(이지론플러스)_최종'!$C:$F,2,0)</f>
        <v>#N/A</v>
      </c>
      <c r="K169" s="263" t="e">
        <f>VLOOKUP($I169,'[5]RCLIPS수신(이지론플러스)_최종'!$C:$F,3,0)</f>
        <v>#N/A</v>
      </c>
      <c r="L169" s="263" t="e">
        <f>VLOOKUP($I169,'[5]RCLIPS수신(이지론플러스)_최종'!$C:$F,4,0)</f>
        <v>#N/A</v>
      </c>
      <c r="M169" s="263" t="str">
        <f t="shared" si="15"/>
        <v>000000000000036</v>
      </c>
    </row>
    <row r="170" spans="1:13">
      <c r="A170" s="263"/>
      <c r="B170" s="429">
        <f t="shared" si="16"/>
        <v>3341</v>
      </c>
      <c r="C170" s="429">
        <f t="shared" si="17"/>
        <v>3346</v>
      </c>
      <c r="D170" s="430" t="str">
        <f t="shared" si="12"/>
        <v>A3061</v>
      </c>
      <c r="E170" s="430" t="str">
        <f>VLOOKUP(D170,'RCLIPS송신(이지론플러스)_최종'!$B:$E,4,0)</f>
        <v>론니즈등급구분2</v>
      </c>
      <c r="F170" s="430" t="str">
        <f>VLOOKUP($D170,'RCLIPS송신(이지론플러스)_최종'!$B:$D,2,0)</f>
        <v>String</v>
      </c>
      <c r="G170" s="430">
        <f>VLOOKUP($D170,'RCLIPS송신(이지론플러스)_최종'!$B:$D,3,0)</f>
        <v>4</v>
      </c>
      <c r="H170" s="430" t="str">
        <f t="shared" si="13"/>
        <v xml:space="preserve">0006           </v>
      </c>
      <c r="I170" s="263" t="str">
        <f t="shared" si="14"/>
        <v>S0053</v>
      </c>
      <c r="J170" s="263" t="e">
        <f>VLOOKUP($I170,'[5]RCLIPS수신(이지론플러스)_최종'!$C:$F,2,0)</f>
        <v>#N/A</v>
      </c>
      <c r="K170" s="263" t="e">
        <f>VLOOKUP($I170,'[5]RCLIPS수신(이지론플러스)_최종'!$C:$F,3,0)</f>
        <v>#N/A</v>
      </c>
      <c r="L170" s="263" t="e">
        <f>VLOOKUP($I170,'[5]RCLIPS수신(이지론플러스)_최종'!$C:$F,4,0)</f>
        <v>#N/A</v>
      </c>
      <c r="M170" s="263" t="str">
        <f t="shared" si="15"/>
        <v>000000000000009</v>
      </c>
    </row>
    <row r="171" spans="1:13">
      <c r="A171" s="263"/>
      <c r="B171" s="429">
        <f t="shared" si="16"/>
        <v>3361</v>
      </c>
      <c r="C171" s="429">
        <f t="shared" si="17"/>
        <v>3366</v>
      </c>
      <c r="D171" s="430" t="str">
        <f t="shared" si="12"/>
        <v>A3062</v>
      </c>
      <c r="E171" s="430" t="str">
        <f>VLOOKUP(D171,'RCLIPS송신(이지론플러스)_최종'!$B:$E,4,0)</f>
        <v>최근 3영업일(D-2~D-0) 內 2기관이상 취급</v>
      </c>
      <c r="F171" s="430" t="str">
        <f>VLOOKUP($D171,'RCLIPS송신(이지론플러스)_최종'!$B:$D,2,0)</f>
        <v>String</v>
      </c>
      <c r="G171" s="430">
        <f>VLOOKUP($D171,'RCLIPS송신(이지론플러스)_최종'!$B:$D,3,0)</f>
        <v>1</v>
      </c>
      <c r="H171" s="430" t="str">
        <f t="shared" si="13"/>
        <v xml:space="preserve">0              </v>
      </c>
      <c r="I171" s="263" t="str">
        <f t="shared" si="14"/>
        <v>S0054</v>
      </c>
      <c r="J171" s="263" t="e">
        <f>VLOOKUP($I171,'[5]RCLIPS수신(이지론플러스)_최종'!$C:$F,2,0)</f>
        <v>#N/A</v>
      </c>
      <c r="K171" s="263" t="e">
        <f>VLOOKUP($I171,'[5]RCLIPS수신(이지론플러스)_최종'!$C:$F,3,0)</f>
        <v>#N/A</v>
      </c>
      <c r="L171" s="263" t="e">
        <f>VLOOKUP($I171,'[5]RCLIPS수신(이지론플러스)_최종'!$C:$F,4,0)</f>
        <v>#N/A</v>
      </c>
      <c r="M171" s="263" t="str">
        <f t="shared" si="15"/>
        <v>000000888888888</v>
      </c>
    </row>
    <row r="172" spans="1:13">
      <c r="A172" s="263"/>
      <c r="B172" s="429">
        <f t="shared" si="16"/>
        <v>3381</v>
      </c>
      <c r="C172" s="429">
        <f t="shared" si="17"/>
        <v>3386</v>
      </c>
      <c r="D172" s="430" t="str">
        <f t="shared" si="12"/>
        <v>A3063</v>
      </c>
      <c r="E172" s="430" t="str">
        <f>VLOOKUP(D172,'RCLIPS송신(이지론플러스)_최종'!$B:$E,4,0)</f>
        <v>NICE타사연체등재여부</v>
      </c>
      <c r="F172" s="430" t="str">
        <f>VLOOKUP($D172,'RCLIPS송신(이지론플러스)_최종'!$B:$D,2,0)</f>
        <v>String</v>
      </c>
      <c r="G172" s="430">
        <f>VLOOKUP($D172,'RCLIPS송신(이지론플러스)_최종'!$B:$D,3,0)</f>
        <v>1</v>
      </c>
      <c r="H172" s="430" t="str">
        <f t="shared" si="13"/>
        <v xml:space="preserve">0              </v>
      </c>
      <c r="I172" s="263" t="str">
        <f t="shared" si="14"/>
        <v>S0055</v>
      </c>
      <c r="J172" s="263" t="e">
        <f>VLOOKUP($I172,'[5]RCLIPS수신(이지론플러스)_최종'!$C:$F,2,0)</f>
        <v>#N/A</v>
      </c>
      <c r="K172" s="263" t="e">
        <f>VLOOKUP($I172,'[5]RCLIPS수신(이지론플러스)_최종'!$C:$F,3,0)</f>
        <v>#N/A</v>
      </c>
      <c r="L172" s="263" t="e">
        <f>VLOOKUP($I172,'[5]RCLIPS수신(이지론플러스)_최종'!$C:$F,4,0)</f>
        <v>#N/A</v>
      </c>
      <c r="M172" s="263" t="str">
        <f t="shared" si="15"/>
        <v>000000888888888</v>
      </c>
    </row>
    <row r="173" spans="1:13">
      <c r="A173" s="263"/>
      <c r="B173" s="429">
        <f t="shared" si="16"/>
        <v>3401</v>
      </c>
      <c r="C173" s="429">
        <f t="shared" si="17"/>
        <v>3406</v>
      </c>
      <c r="D173" s="430" t="str">
        <f t="shared" si="12"/>
        <v>A3064</v>
      </c>
      <c r="E173" s="430" t="str">
        <f>VLOOKUP(D173,'RCLIPS송신(이지론플러스)_최종'!$B:$E,4,0)</f>
        <v xml:space="preserve">최종연소득금액 </v>
      </c>
      <c r="F173" s="430" t="str">
        <f>VLOOKUP($D173,'RCLIPS송신(이지론플러스)_최종'!$B:$D,2,0)</f>
        <v>Numeric</v>
      </c>
      <c r="G173" s="430">
        <f>VLOOKUP($D173,'RCLIPS송신(이지론플러스)_최종'!$B:$D,3,0)</f>
        <v>15</v>
      </c>
      <c r="H173" s="430" t="str">
        <f t="shared" si="13"/>
        <v>000000000002000</v>
      </c>
      <c r="I173" s="263" t="str">
        <f t="shared" si="14"/>
        <v>S0056</v>
      </c>
      <c r="J173" s="263" t="e">
        <f>VLOOKUP($I173,'[5]RCLIPS수신(이지론플러스)_최종'!$C:$F,2,0)</f>
        <v>#N/A</v>
      </c>
      <c r="K173" s="263" t="e">
        <f>VLOOKUP($I173,'[5]RCLIPS수신(이지론플러스)_최종'!$C:$F,3,0)</f>
        <v>#N/A</v>
      </c>
      <c r="L173" s="263" t="e">
        <f>VLOOKUP($I173,'[5]RCLIPS수신(이지론플러스)_최종'!$C:$F,4,0)</f>
        <v>#N/A</v>
      </c>
      <c r="M173" s="263" t="str">
        <f t="shared" si="15"/>
        <v>000000888888888</v>
      </c>
    </row>
    <row r="174" spans="1:13">
      <c r="A174" s="263"/>
      <c r="B174" s="429">
        <f t="shared" si="16"/>
        <v>3421</v>
      </c>
      <c r="C174" s="429">
        <f t="shared" si="17"/>
        <v>3426</v>
      </c>
      <c r="D174" s="430" t="str">
        <f t="shared" si="12"/>
        <v>A3065</v>
      </c>
      <c r="E174" s="430" t="str">
        <f>VLOOKUP(D174,'RCLIPS송신(이지론플러스)_최종'!$B:$E,4,0)</f>
        <v xml:space="preserve">등록연소득정보보유여부 </v>
      </c>
      <c r="F174" s="430" t="str">
        <f>VLOOKUP($D174,'RCLIPS송신(이지론플러스)_최종'!$B:$D,2,0)</f>
        <v>String</v>
      </c>
      <c r="G174" s="430">
        <f>VLOOKUP($D174,'RCLIPS송신(이지론플러스)_최종'!$B:$D,3,0)</f>
        <v>0</v>
      </c>
      <c r="H174" s="430" t="str">
        <f t="shared" si="13"/>
        <v xml:space="preserve">000000000      </v>
      </c>
      <c r="I174" s="263" t="str">
        <f t="shared" si="14"/>
        <v>W0001</v>
      </c>
      <c r="J174" s="263" t="e">
        <f>VLOOKUP($I174,'[5]RCLIPS수신(이지론플러스)_최종'!$C:$F,2,0)</f>
        <v>#N/A</v>
      </c>
      <c r="K174" s="263" t="e">
        <f>VLOOKUP($I174,'[5]RCLIPS수신(이지론플러스)_최종'!$C:$F,3,0)</f>
        <v>#N/A</v>
      </c>
      <c r="L174" s="263" t="e">
        <f>VLOOKUP($I174,'[5]RCLIPS수신(이지론플러스)_최종'!$C:$F,4,0)</f>
        <v>#N/A</v>
      </c>
      <c r="M174" s="263" t="str">
        <f t="shared" si="15"/>
        <v>000000000000000</v>
      </c>
    </row>
    <row r="175" spans="1:13">
      <c r="A175" s="263"/>
      <c r="B175" s="429">
        <f t="shared" si="16"/>
        <v>3441</v>
      </c>
      <c r="C175" s="429">
        <f t="shared" si="17"/>
        <v>3446</v>
      </c>
      <c r="D175" s="430" t="str">
        <f t="shared" si="12"/>
        <v>A3066</v>
      </c>
      <c r="E175" s="430" t="str">
        <f>VLOOKUP(D175,'RCLIPS송신(이지론플러스)_최종'!$B:$E,4,0)</f>
        <v xml:space="preserve">등록연소득금액 </v>
      </c>
      <c r="F175" s="430" t="str">
        <f>VLOOKUP($D175,'RCLIPS송신(이지론플러스)_최종'!$B:$D,2,0)</f>
        <v>Numeric</v>
      </c>
      <c r="G175" s="430">
        <f>VLOOKUP($D175,'RCLIPS송신(이지론플러스)_최종'!$B:$D,3,0)</f>
        <v>15</v>
      </c>
      <c r="H175" s="430" t="str">
        <f t="shared" si="13"/>
        <v>000000000000000</v>
      </c>
      <c r="I175" s="263" t="str">
        <f t="shared" si="14"/>
        <v>W0002</v>
      </c>
      <c r="J175" s="263" t="e">
        <f>VLOOKUP($I175,'[5]RCLIPS수신(이지론플러스)_최종'!$C:$F,2,0)</f>
        <v>#N/A</v>
      </c>
      <c r="K175" s="263" t="e">
        <f>VLOOKUP($I175,'[5]RCLIPS수신(이지론플러스)_최종'!$C:$F,3,0)</f>
        <v>#N/A</v>
      </c>
      <c r="L175" s="263" t="e">
        <f>VLOOKUP($I175,'[5]RCLIPS수신(이지론플러스)_최종'!$C:$F,4,0)</f>
        <v>#N/A</v>
      </c>
      <c r="M175" s="263" t="str">
        <f t="shared" si="15"/>
        <v>000000000000003</v>
      </c>
    </row>
    <row r="176" spans="1:13">
      <c r="A176" s="263"/>
      <c r="B176" s="429">
        <f t="shared" si="16"/>
        <v>3461</v>
      </c>
      <c r="C176" s="429">
        <f t="shared" si="17"/>
        <v>3466</v>
      </c>
      <c r="D176" s="430" t="str">
        <f t="shared" si="12"/>
        <v>A3067</v>
      </c>
      <c r="E176" s="430" t="str">
        <f>VLOOKUP(D176,'RCLIPS송신(이지론플러스)_최종'!$B:$E,4,0)</f>
        <v xml:space="preserve">등록연소득업계 </v>
      </c>
      <c r="F176" s="430" t="str">
        <f>VLOOKUP($D176,'RCLIPS송신(이지론플러스)_최종'!$B:$D,2,0)</f>
        <v>String</v>
      </c>
      <c r="G176" s="430">
        <f>VLOOKUP($D176,'RCLIPS송신(이지론플러스)_최종'!$B:$D,3,0)</f>
        <v>0</v>
      </c>
      <c r="H176" s="430" t="str">
        <f t="shared" si="13"/>
        <v xml:space="preserve">000000000      </v>
      </c>
      <c r="I176" s="263" t="str">
        <f t="shared" si="14"/>
        <v>W0003</v>
      </c>
      <c r="J176" s="263" t="e">
        <f>VLOOKUP($I176,'[5]RCLIPS수신(이지론플러스)_최종'!$C:$F,2,0)</f>
        <v>#N/A</v>
      </c>
      <c r="K176" s="263" t="e">
        <f>VLOOKUP($I176,'[5]RCLIPS수신(이지론플러스)_최종'!$C:$F,3,0)</f>
        <v>#N/A</v>
      </c>
      <c r="L176" s="263" t="e">
        <f>VLOOKUP($I176,'[5]RCLIPS수신(이지론플러스)_최종'!$C:$F,4,0)</f>
        <v>#N/A</v>
      </c>
      <c r="M176" s="263" t="str">
        <f t="shared" si="15"/>
        <v>000000000000001</v>
      </c>
    </row>
    <row r="177" spans="1:13">
      <c r="A177" s="263"/>
      <c r="B177" s="429">
        <f t="shared" si="16"/>
        <v>3481</v>
      </c>
      <c r="C177" s="429">
        <f t="shared" si="17"/>
        <v>3486</v>
      </c>
      <c r="D177" s="430" t="str">
        <f t="shared" si="12"/>
        <v>A3068</v>
      </c>
      <c r="E177" s="430" t="str">
        <f>VLOOKUP(D177,'RCLIPS송신(이지론플러스)_최종'!$B:$E,4,0)</f>
        <v xml:space="preserve">등록연소득입수일자 </v>
      </c>
      <c r="F177" s="430" t="str">
        <f>VLOOKUP($D177,'RCLIPS송신(이지론플러스)_최종'!$B:$D,2,0)</f>
        <v>String</v>
      </c>
      <c r="G177" s="430">
        <f>VLOOKUP($D177,'RCLIPS송신(이지론플러스)_최종'!$B:$D,3,0)</f>
        <v>0</v>
      </c>
      <c r="H177" s="430" t="str">
        <f t="shared" si="13"/>
        <v xml:space="preserve">000000000      </v>
      </c>
      <c r="I177" s="263" t="str">
        <f t="shared" si="14"/>
        <v>W0004</v>
      </c>
      <c r="J177" s="263" t="e">
        <f>VLOOKUP($I177,'[5]RCLIPS수신(이지론플러스)_최종'!$C:$F,2,0)</f>
        <v>#N/A</v>
      </c>
      <c r="K177" s="263" t="e">
        <f>VLOOKUP($I177,'[5]RCLIPS수신(이지론플러스)_최종'!$C:$F,3,0)</f>
        <v>#N/A</v>
      </c>
      <c r="L177" s="263" t="e">
        <f>VLOOKUP($I177,'[5]RCLIPS수신(이지론플러스)_최종'!$C:$F,4,0)</f>
        <v>#N/A</v>
      </c>
      <c r="M177" s="263" t="str">
        <f t="shared" si="15"/>
        <v>000000000000001</v>
      </c>
    </row>
    <row r="178" spans="1:13">
      <c r="A178" s="263"/>
      <c r="B178" s="429">
        <f t="shared" si="16"/>
        <v>3501</v>
      </c>
      <c r="C178" s="429">
        <f t="shared" si="17"/>
        <v>3506</v>
      </c>
      <c r="D178" s="430" t="str">
        <f t="shared" si="12"/>
        <v>A3069</v>
      </c>
      <c r="E178" s="430" t="str">
        <f>VLOOKUP(D178,'RCLIPS송신(이지론플러스)_최종'!$B:$E,4,0)</f>
        <v xml:space="preserve">추정연소득금액 </v>
      </c>
      <c r="F178" s="430" t="str">
        <f>VLOOKUP($D178,'RCLIPS송신(이지론플러스)_최종'!$B:$D,2,0)</f>
        <v>Numeric</v>
      </c>
      <c r="G178" s="430">
        <f>VLOOKUP($D178,'RCLIPS송신(이지론플러스)_최종'!$B:$D,3,0)</f>
        <v>15</v>
      </c>
      <c r="H178" s="430" t="str">
        <f t="shared" si="13"/>
        <v>000000000002000</v>
      </c>
      <c r="I178" s="263" t="str">
        <f t="shared" si="14"/>
        <v>W0005</v>
      </c>
      <c r="J178" s="263" t="e">
        <f>VLOOKUP($I178,'[5]RCLIPS수신(이지론플러스)_최종'!$C:$F,2,0)</f>
        <v>#N/A</v>
      </c>
      <c r="K178" s="263" t="e">
        <f>VLOOKUP($I178,'[5]RCLIPS수신(이지론플러스)_최종'!$C:$F,3,0)</f>
        <v>#N/A</v>
      </c>
      <c r="L178" s="263" t="e">
        <f>VLOOKUP($I178,'[5]RCLIPS수신(이지론플러스)_최종'!$C:$F,4,0)</f>
        <v>#N/A</v>
      </c>
      <c r="M178" s="263" t="str">
        <f t="shared" si="15"/>
        <v>-00000000000006</v>
      </c>
    </row>
    <row r="179" spans="1:13">
      <c r="A179" s="263"/>
      <c r="B179" s="429">
        <f t="shared" si="16"/>
        <v>3521</v>
      </c>
      <c r="C179" s="429">
        <f t="shared" si="17"/>
        <v>3526</v>
      </c>
      <c r="D179" s="430" t="str">
        <f t="shared" si="12"/>
        <v>A3070</v>
      </c>
      <c r="E179" s="430" t="str">
        <f>VLOOKUP(D179,'RCLIPS송신(이지론플러스)_최종'!$B:$E,4,0)</f>
        <v xml:space="preserve">추정연소득모형구분 </v>
      </c>
      <c r="F179" s="430" t="str">
        <f>VLOOKUP($D179,'RCLIPS송신(이지론플러스)_최종'!$B:$D,2,0)</f>
        <v>String</v>
      </c>
      <c r="G179" s="430">
        <f>VLOOKUP($D179,'RCLIPS송신(이지론플러스)_최종'!$B:$D,3,0)</f>
        <v>0</v>
      </c>
      <c r="H179" s="430" t="str">
        <f t="shared" si="13"/>
        <v xml:space="preserve">000001114      </v>
      </c>
      <c r="I179" s="263" t="str">
        <f t="shared" si="14"/>
        <v>W0006</v>
      </c>
      <c r="J179" s="263" t="e">
        <f>VLOOKUP($I179,'[5]RCLIPS수신(이지론플러스)_최종'!$C:$F,2,0)</f>
        <v>#N/A</v>
      </c>
      <c r="K179" s="263" t="e">
        <f>VLOOKUP($I179,'[5]RCLIPS수신(이지론플러스)_최종'!$C:$F,3,0)</f>
        <v>#N/A</v>
      </c>
      <c r="L179" s="263" t="e">
        <f>VLOOKUP($I179,'[5]RCLIPS수신(이지론플러스)_최종'!$C:$F,4,0)</f>
        <v>#N/A</v>
      </c>
      <c r="M179" s="263" t="str">
        <f t="shared" si="15"/>
        <v>000000000000001</v>
      </c>
    </row>
    <row r="180" spans="1:13">
      <c r="A180" s="263"/>
      <c r="B180" s="429">
        <f t="shared" si="16"/>
        <v>3541</v>
      </c>
      <c r="C180" s="429">
        <f t="shared" si="17"/>
        <v>3546</v>
      </c>
      <c r="D180" s="430" t="str">
        <f t="shared" si="12"/>
        <v>A3071</v>
      </c>
      <c r="E180" s="430" t="str">
        <f>VLOOKUP(D180,'RCLIPS송신(이지론플러스)_최종'!$B:$E,4,0)</f>
        <v xml:space="preserve">최종소득등급 </v>
      </c>
      <c r="F180" s="430" t="str">
        <f>VLOOKUP($D180,'RCLIPS송신(이지론플러스)_최종'!$B:$D,2,0)</f>
        <v>String</v>
      </c>
      <c r="G180" s="430">
        <f>VLOOKUP($D180,'RCLIPS송신(이지론플러스)_최종'!$B:$D,3,0)</f>
        <v>0</v>
      </c>
      <c r="H180" s="430" t="str">
        <f t="shared" si="13"/>
        <v xml:space="preserve">000000013      </v>
      </c>
      <c r="I180" s="263" t="str">
        <f t="shared" si="14"/>
        <v>W0007</v>
      </c>
      <c r="J180" s="263" t="e">
        <f>VLOOKUP($I180,'[5]RCLIPS수신(이지론플러스)_최종'!$C:$F,2,0)</f>
        <v>#N/A</v>
      </c>
      <c r="K180" s="263" t="e">
        <f>VLOOKUP($I180,'[5]RCLIPS수신(이지론플러스)_최종'!$C:$F,3,0)</f>
        <v>#N/A</v>
      </c>
      <c r="L180" s="263" t="e">
        <f>VLOOKUP($I180,'[5]RCLIPS수신(이지론플러스)_최종'!$C:$F,4,0)</f>
        <v>#N/A</v>
      </c>
      <c r="M180" s="263" t="str">
        <f t="shared" si="15"/>
        <v>000000000000001</v>
      </c>
    </row>
    <row r="181" spans="1:13">
      <c r="A181" s="263"/>
      <c r="B181" s="429">
        <f t="shared" si="16"/>
        <v>3561</v>
      </c>
      <c r="C181" s="429">
        <f t="shared" si="17"/>
        <v>3566</v>
      </c>
      <c r="D181" s="430" t="str">
        <f t="shared" si="12"/>
        <v>A3072</v>
      </c>
      <c r="E181" s="430" t="str">
        <f>VLOOKUP(D181,'RCLIPS송신(이지론플러스)_최종'!$B:$E,4,0)</f>
        <v xml:space="preserve">소득등급적용배제사유 </v>
      </c>
      <c r="F181" s="430" t="str">
        <f>VLOOKUP($D181,'RCLIPS송신(이지론플러스)_최종'!$B:$D,2,0)</f>
        <v>String</v>
      </c>
      <c r="G181" s="430">
        <f>VLOOKUP($D181,'RCLIPS송신(이지론플러스)_최종'!$B:$D,3,0)</f>
        <v>0</v>
      </c>
      <c r="H181" s="430" t="str">
        <f t="shared" si="13"/>
        <v xml:space="preserve">000000000      </v>
      </c>
      <c r="I181" s="263" t="str">
        <f t="shared" si="14"/>
        <v>W0008</v>
      </c>
      <c r="J181" s="263" t="e">
        <f>VLOOKUP($I181,'[5]RCLIPS수신(이지론플러스)_최종'!$C:$F,2,0)</f>
        <v>#N/A</v>
      </c>
      <c r="K181" s="263" t="e">
        <f>VLOOKUP($I181,'[5]RCLIPS수신(이지론플러스)_최종'!$C:$F,3,0)</f>
        <v>#N/A</v>
      </c>
      <c r="L181" s="263" t="e">
        <f>VLOOKUP($I181,'[5]RCLIPS수신(이지론플러스)_최종'!$C:$F,4,0)</f>
        <v>#N/A</v>
      </c>
      <c r="M181" s="263" t="str">
        <f t="shared" si="15"/>
        <v>000000000000000</v>
      </c>
    </row>
    <row r="182" spans="1:13">
      <c r="A182" s="263"/>
      <c r="B182" s="429">
        <f t="shared" si="16"/>
        <v>3581</v>
      </c>
      <c r="C182" s="429">
        <f t="shared" si="17"/>
        <v>3586</v>
      </c>
      <c r="D182" s="430" t="str">
        <f t="shared" si="12"/>
        <v>A3073</v>
      </c>
      <c r="E182" s="430" t="str">
        <f>VLOOKUP(D182,'RCLIPS송신(이지론플러스)_최종'!$B:$E,4,0)</f>
        <v xml:space="preserve">최근1년내은행업계에서등록한최대실연소득금액 </v>
      </c>
      <c r="F182" s="430" t="str">
        <f>VLOOKUP($D182,'RCLIPS송신(이지론플러스)_최종'!$B:$D,2,0)</f>
        <v>Numeric</v>
      </c>
      <c r="G182" s="430">
        <f>VLOOKUP($D182,'RCLIPS송신(이지론플러스)_최종'!$B:$D,3,0)</f>
        <v>15</v>
      </c>
      <c r="H182" s="430" t="str">
        <f t="shared" si="13"/>
        <v>000000000000000</v>
      </c>
      <c r="I182" s="263" t="str">
        <f t="shared" si="14"/>
        <v>W0009</v>
      </c>
      <c r="J182" s="263" t="e">
        <f>VLOOKUP($I182,'[5]RCLIPS수신(이지론플러스)_최종'!$C:$F,2,0)</f>
        <v>#N/A</v>
      </c>
      <c r="K182" s="263" t="e">
        <f>VLOOKUP($I182,'[5]RCLIPS수신(이지론플러스)_최종'!$C:$F,3,0)</f>
        <v>#N/A</v>
      </c>
      <c r="L182" s="263" t="e">
        <f>VLOOKUP($I182,'[5]RCLIPS수신(이지론플러스)_최종'!$C:$F,4,0)</f>
        <v>#N/A</v>
      </c>
      <c r="M182" s="263" t="str">
        <f t="shared" si="15"/>
        <v>000000000000005</v>
      </c>
    </row>
    <row r="183" spans="1:13">
      <c r="A183" s="263"/>
      <c r="B183" s="429">
        <f t="shared" si="16"/>
        <v>3601</v>
      </c>
      <c r="C183" s="429">
        <f t="shared" si="17"/>
        <v>3606</v>
      </c>
      <c r="D183" s="430" t="str">
        <f t="shared" si="12"/>
        <v>A3074</v>
      </c>
      <c r="E183" s="430" t="str">
        <f>VLOOKUP(D183,'RCLIPS송신(이지론플러스)_최종'!$B:$E,4,0)</f>
        <v>NICE스코어_V5</v>
      </c>
      <c r="F183" s="430" t="str">
        <f>VLOOKUP($D183,'RCLIPS송신(이지론플러스)_최종'!$B:$D,2,0)</f>
        <v>Numeric</v>
      </c>
      <c r="G183" s="430">
        <f>VLOOKUP($D183,'RCLIPS송신(이지론플러스)_최종'!$B:$D,3,0)</f>
        <v>15</v>
      </c>
      <c r="H183" s="430" t="str">
        <f t="shared" si="13"/>
        <v>000000000000828</v>
      </c>
      <c r="I183" s="263" t="str">
        <f t="shared" si="14"/>
        <v>W0010</v>
      </c>
      <c r="J183" s="263" t="e">
        <f>VLOOKUP($I183,'[5]RCLIPS수신(이지론플러스)_최종'!$C:$F,2,0)</f>
        <v>#N/A</v>
      </c>
      <c r="K183" s="263" t="e">
        <f>VLOOKUP($I183,'[5]RCLIPS수신(이지론플러스)_최종'!$C:$F,3,0)</f>
        <v>#N/A</v>
      </c>
      <c r="L183" s="263" t="e">
        <f>VLOOKUP($I183,'[5]RCLIPS수신(이지론플러스)_최종'!$C:$F,4,0)</f>
        <v>#N/A</v>
      </c>
      <c r="M183" s="263" t="str">
        <f t="shared" si="15"/>
        <v>-00000000000017</v>
      </c>
    </row>
    <row r="184" spans="1:13">
      <c r="A184" s="263"/>
      <c r="B184" s="429">
        <f t="shared" si="16"/>
        <v>3621</v>
      </c>
      <c r="C184" s="429">
        <f t="shared" si="17"/>
        <v>3626</v>
      </c>
      <c r="D184" s="430" t="str">
        <f t="shared" si="12"/>
        <v>A3075</v>
      </c>
      <c r="E184" s="430" t="str">
        <f>VLOOKUP(D184,'RCLIPS송신(이지론플러스)_최종'!$B:$E,4,0)</f>
        <v>NPML등급_V4</v>
      </c>
      <c r="F184" s="430" t="str">
        <f>VLOOKUP($D184,'RCLIPS송신(이지론플러스)_최종'!$B:$D,2,0)</f>
        <v>String</v>
      </c>
      <c r="G184" s="430">
        <f>VLOOKUP($D184,'RCLIPS송신(이지론플러스)_최종'!$B:$D,3,0)</f>
        <v>4</v>
      </c>
      <c r="H184" s="430" t="str">
        <f t="shared" si="13"/>
        <v xml:space="preserve">0007           </v>
      </c>
      <c r="I184" s="263" t="str">
        <f t="shared" si="14"/>
        <v>W0011</v>
      </c>
      <c r="J184" s="263" t="e">
        <f>VLOOKUP($I184,'[5]RCLIPS수신(이지론플러스)_최종'!$C:$F,2,0)</f>
        <v>#N/A</v>
      </c>
      <c r="K184" s="263" t="e">
        <f>VLOOKUP($I184,'[5]RCLIPS수신(이지론플러스)_최종'!$C:$F,3,0)</f>
        <v>#N/A</v>
      </c>
      <c r="L184" s="263" t="e">
        <f>VLOOKUP($I184,'[5]RCLIPS수신(이지론플러스)_최종'!$C:$F,4,0)</f>
        <v>#N/A</v>
      </c>
      <c r="M184" s="263" t="str">
        <f t="shared" si="15"/>
        <v>000000000000011</v>
      </c>
    </row>
    <row r="185" spans="1:13">
      <c r="A185" s="263"/>
      <c r="B185" s="429">
        <f t="shared" si="16"/>
        <v>3641</v>
      </c>
      <c r="C185" s="429">
        <f t="shared" si="17"/>
        <v>3646</v>
      </c>
      <c r="D185" s="430" t="str">
        <f t="shared" si="12"/>
        <v>A4004</v>
      </c>
      <c r="E185" s="430" t="str">
        <f>VLOOKUP(D185,'RCLIPS송신(이지론플러스)_최종'!$B:$E,4,0)</f>
        <v>CA이용잔액보유카드기관건수</v>
      </c>
      <c r="F185" s="430" t="str">
        <f>VLOOKUP($D185,'RCLIPS송신(이지론플러스)_최종'!$B:$D,2,0)</f>
        <v>Numeric</v>
      </c>
      <c r="G185" s="430">
        <f>VLOOKUP($D185,'RCLIPS송신(이지론플러스)_최종'!$B:$D,3,0)</f>
        <v>5</v>
      </c>
      <c r="H185" s="430" t="str">
        <f t="shared" si="13"/>
        <v>000000000000000</v>
      </c>
      <c r="I185" s="263" t="str">
        <f t="shared" si="14"/>
        <v>W0012</v>
      </c>
      <c r="J185" s="263" t="e">
        <f>VLOOKUP($I185,'[5]RCLIPS수신(이지론플러스)_최종'!$C:$F,2,0)</f>
        <v>#N/A</v>
      </c>
      <c r="K185" s="263" t="e">
        <f>VLOOKUP($I185,'[5]RCLIPS수신(이지론플러스)_최종'!$C:$F,3,0)</f>
        <v>#N/A</v>
      </c>
      <c r="L185" s="263" t="e">
        <f>VLOOKUP($I185,'[5]RCLIPS수신(이지론플러스)_최종'!$C:$F,4,0)</f>
        <v>#N/A</v>
      </c>
      <c r="M185" s="263" t="str">
        <f t="shared" si="15"/>
        <v>-00000000000001</v>
      </c>
    </row>
    <row r="186" spans="1:13">
      <c r="A186" s="263"/>
      <c r="B186" s="429">
        <f t="shared" si="16"/>
        <v>3661</v>
      </c>
      <c r="C186" s="429">
        <f t="shared" si="17"/>
        <v>3666</v>
      </c>
      <c r="D186" s="430" t="str">
        <f t="shared" si="12"/>
        <v>A4016</v>
      </c>
      <c r="E186" s="430" t="str">
        <f>VLOOKUP(D186,'RCLIPS송신(이지론플러스)_최종'!$B:$E,4,0)</f>
        <v>최장연체일수(해제포함)</v>
      </c>
      <c r="F186" s="430" t="str">
        <f>VLOOKUP($D186,'RCLIPS송신(이지론플러스)_최종'!$B:$D,2,0)</f>
        <v>Numeric</v>
      </c>
      <c r="G186" s="430">
        <f>VLOOKUP($D186,'RCLIPS송신(이지론플러스)_최종'!$B:$D,3,0)</f>
        <v>5</v>
      </c>
      <c r="H186" s="430" t="str">
        <f t="shared" si="13"/>
        <v>000000000000000</v>
      </c>
      <c r="I186" s="263" t="str">
        <f t="shared" si="14"/>
        <v>W0013</v>
      </c>
      <c r="J186" s="263" t="e">
        <f>VLOOKUP($I186,'[5]RCLIPS수신(이지론플러스)_최종'!$C:$F,2,0)</f>
        <v>#N/A</v>
      </c>
      <c r="K186" s="263" t="e">
        <f>VLOOKUP($I186,'[5]RCLIPS수신(이지론플러스)_최종'!$C:$F,3,0)</f>
        <v>#N/A</v>
      </c>
      <c r="L186" s="263" t="e">
        <f>VLOOKUP($I186,'[5]RCLIPS수신(이지론플러스)_최종'!$C:$F,4,0)</f>
        <v>#N/A</v>
      </c>
      <c r="M186" s="263" t="str">
        <f t="shared" si="15"/>
        <v>-00000000000007</v>
      </c>
    </row>
    <row r="187" spans="1:13">
      <c r="A187" s="263"/>
      <c r="B187" s="429">
        <f t="shared" si="16"/>
        <v>3681</v>
      </c>
      <c r="C187" s="429">
        <f t="shared" si="17"/>
        <v>3686</v>
      </c>
      <c r="D187" s="430" t="str">
        <f t="shared" si="12"/>
        <v>A4030</v>
      </c>
      <c r="E187" s="430" t="str">
        <f>VLOOKUP(D187,'RCLIPS송신(이지론플러스)_최종'!$B:$E,4,0)</f>
        <v>연체대환대출기관수(미해지)</v>
      </c>
      <c r="F187" s="430" t="str">
        <f>VLOOKUP($D187,'RCLIPS송신(이지론플러스)_최종'!$B:$D,2,0)</f>
        <v>Numeric</v>
      </c>
      <c r="G187" s="430">
        <f>VLOOKUP($D187,'RCLIPS송신(이지론플러스)_최종'!$B:$D,3,0)</f>
        <v>5</v>
      </c>
      <c r="H187" s="430" t="str">
        <f t="shared" si="13"/>
        <v>000000000000000</v>
      </c>
      <c r="I187" s="263" t="str">
        <f t="shared" si="14"/>
        <v>W0014</v>
      </c>
      <c r="J187" s="263" t="e">
        <f>VLOOKUP($I187,'[5]RCLIPS수신(이지론플러스)_최종'!$C:$F,2,0)</f>
        <v>#N/A</v>
      </c>
      <c r="K187" s="263" t="e">
        <f>VLOOKUP($I187,'[5]RCLIPS수신(이지론플러스)_최종'!$C:$F,3,0)</f>
        <v>#N/A</v>
      </c>
      <c r="L187" s="263" t="e">
        <f>VLOOKUP($I187,'[5]RCLIPS수신(이지론플러스)_최종'!$C:$F,4,0)</f>
        <v>#N/A</v>
      </c>
      <c r="M187" s="263" t="str">
        <f t="shared" si="15"/>
        <v>000000000000001</v>
      </c>
    </row>
    <row r="188" spans="1:13">
      <c r="A188" s="263"/>
      <c r="B188" s="429">
        <f t="shared" si="16"/>
        <v>3701</v>
      </c>
      <c r="C188" s="429">
        <f t="shared" si="17"/>
        <v>3706</v>
      </c>
      <c r="D188" s="430" t="str">
        <f t="shared" si="12"/>
        <v>A4017</v>
      </c>
      <c r="E188" s="430" t="str">
        <f>VLOOKUP(D188,'RCLIPS송신(이지론플러스)_최종'!$B:$E,4,0)</f>
        <v>최근연체해제후경과일수(KB포함)</v>
      </c>
      <c r="F188" s="430" t="str">
        <f>VLOOKUP($D188,'RCLIPS송신(이지론플러스)_최종'!$B:$D,2,0)</f>
        <v>Numeric</v>
      </c>
      <c r="G188" s="430">
        <f>VLOOKUP($D188,'RCLIPS송신(이지론플러스)_최종'!$B:$D,3,0)</f>
        <v>5</v>
      </c>
      <c r="H188" s="430" t="str">
        <f t="shared" si="13"/>
        <v>000000999999999</v>
      </c>
      <c r="I188" s="263" t="str">
        <f t="shared" si="14"/>
        <v>W0015</v>
      </c>
      <c r="J188" s="263" t="e">
        <f>VLOOKUP($I188,'[5]RCLIPS수신(이지론플러스)_최종'!$C:$F,2,0)</f>
        <v>#N/A</v>
      </c>
      <c r="K188" s="263" t="e">
        <f>VLOOKUP($I188,'[5]RCLIPS수신(이지론플러스)_최종'!$C:$F,3,0)</f>
        <v>#N/A</v>
      </c>
      <c r="L188" s="263" t="e">
        <f>VLOOKUP($I188,'[5]RCLIPS수신(이지론플러스)_최종'!$C:$F,4,0)</f>
        <v>#N/A</v>
      </c>
      <c r="M188" s="263" t="str">
        <f t="shared" si="15"/>
        <v>000000000000009</v>
      </c>
    </row>
    <row r="189" spans="1:13">
      <c r="A189" s="263"/>
      <c r="B189" s="429">
        <f t="shared" si="16"/>
        <v>3721</v>
      </c>
      <c r="C189" s="429">
        <f t="shared" si="17"/>
        <v>3726</v>
      </c>
      <c r="D189" s="430" t="str">
        <f t="shared" si="12"/>
        <v>A4018</v>
      </c>
      <c r="E189" s="430" t="str">
        <f>VLOOKUP(D189,'RCLIPS송신(이지론플러스)_최종'!$B:$E,4,0)</f>
        <v>연체건수(미해제)(대지급포함)</v>
      </c>
      <c r="F189" s="430" t="str">
        <f>VLOOKUP($D189,'RCLIPS송신(이지론플러스)_최종'!$B:$D,2,0)</f>
        <v>Numeric</v>
      </c>
      <c r="G189" s="430">
        <f>VLOOKUP($D189,'RCLIPS송신(이지론플러스)_최종'!$B:$D,3,0)</f>
        <v>5</v>
      </c>
      <c r="H189" s="430" t="str">
        <f t="shared" si="13"/>
        <v>000000000000000</v>
      </c>
      <c r="I189" s="263" t="str">
        <f t="shared" si="14"/>
        <v>W0016</v>
      </c>
      <c r="J189" s="263" t="e">
        <f>VLOOKUP($I189,'[5]RCLIPS수신(이지론플러스)_최종'!$C:$F,2,0)</f>
        <v>#N/A</v>
      </c>
      <c r="K189" s="263" t="e">
        <f>VLOOKUP($I189,'[5]RCLIPS수신(이지론플러스)_최종'!$C:$F,3,0)</f>
        <v>#N/A</v>
      </c>
      <c r="L189" s="263" t="e">
        <f>VLOOKUP($I189,'[5]RCLIPS수신(이지론플러스)_최종'!$C:$F,4,0)</f>
        <v>#N/A</v>
      </c>
      <c r="M189" s="263" t="str">
        <f t="shared" si="15"/>
        <v>000000000000001</v>
      </c>
    </row>
    <row r="190" spans="1:13">
      <c r="A190" s="263"/>
      <c r="B190" s="429">
        <f t="shared" si="16"/>
        <v>3741</v>
      </c>
      <c r="C190" s="429">
        <f t="shared" si="17"/>
        <v>3746</v>
      </c>
      <c r="D190" s="430" t="str">
        <f t="shared" si="12"/>
        <v>A4019</v>
      </c>
      <c r="E190" s="430" t="str">
        <f>VLOOKUP(D190,'RCLIPS송신(이지론플러스)_최종'!$B:$E,4,0)</f>
        <v>총연체금액(미해제)(대지급포함)</v>
      </c>
      <c r="F190" s="430" t="str">
        <f>VLOOKUP($D190,'RCLIPS송신(이지론플러스)_최종'!$B:$D,2,0)</f>
        <v>Numeric</v>
      </c>
      <c r="G190" s="430">
        <f>VLOOKUP($D190,'RCLIPS송신(이지론플러스)_최종'!$B:$D,3,0)</f>
        <v>15</v>
      </c>
      <c r="H190" s="430" t="str">
        <f t="shared" si="13"/>
        <v>000000000000000</v>
      </c>
      <c r="I190" s="263" t="str">
        <f t="shared" si="14"/>
        <v>W0017</v>
      </c>
      <c r="J190" s="263" t="e">
        <f>VLOOKUP($I190,'[5]RCLIPS수신(이지론플러스)_최종'!$C:$F,2,0)</f>
        <v>#N/A</v>
      </c>
      <c r="K190" s="263" t="e">
        <f>VLOOKUP($I190,'[5]RCLIPS수신(이지론플러스)_최종'!$C:$F,3,0)</f>
        <v>#N/A</v>
      </c>
      <c r="L190" s="263" t="e">
        <f>VLOOKUP($I190,'[5]RCLIPS수신(이지론플러스)_최종'!$C:$F,4,0)</f>
        <v>#N/A</v>
      </c>
      <c r="M190" s="263" t="str">
        <f t="shared" si="15"/>
        <v>000000000000005</v>
      </c>
    </row>
    <row r="191" spans="1:13">
      <c r="A191" s="263"/>
      <c r="B191" s="429">
        <f t="shared" si="16"/>
        <v>3761</v>
      </c>
      <c r="C191" s="429">
        <f t="shared" si="17"/>
        <v>3766</v>
      </c>
      <c r="D191" s="430" t="str">
        <f t="shared" si="12"/>
        <v>A4033</v>
      </c>
      <c r="E191" s="430" t="str">
        <f>VLOOKUP(D191,'RCLIPS송신(이지론플러스)_최종'!$B:$E,4,0)</f>
        <v>K-Score Score</v>
      </c>
      <c r="F191" s="430" t="str">
        <f>VLOOKUP($D191,'RCLIPS송신(이지론플러스)_최종'!$B:$D,2,0)</f>
        <v>Numeric</v>
      </c>
      <c r="G191" s="430">
        <f>VLOOKUP($D191,'RCLIPS송신(이지론플러스)_최종'!$B:$D,3,0)</f>
        <v>4</v>
      </c>
      <c r="H191" s="430" t="str">
        <f t="shared" si="13"/>
        <v>000000000000748</v>
      </c>
      <c r="I191" s="263" t="str">
        <f t="shared" si="14"/>
        <v>W0018</v>
      </c>
      <c r="J191" s="263" t="e">
        <f>VLOOKUP($I191,'[5]RCLIPS수신(이지론플러스)_최종'!$C:$F,2,0)</f>
        <v>#N/A</v>
      </c>
      <c r="K191" s="263" t="e">
        <f>VLOOKUP($I191,'[5]RCLIPS수신(이지론플러스)_최종'!$C:$F,3,0)</f>
        <v>#N/A</v>
      </c>
      <c r="L191" s="263" t="e">
        <f>VLOOKUP($I191,'[5]RCLIPS수신(이지론플러스)_최종'!$C:$F,4,0)</f>
        <v>#N/A</v>
      </c>
      <c r="M191" s="263" t="str">
        <f t="shared" si="15"/>
        <v>-00000000000002</v>
      </c>
    </row>
    <row r="192" spans="1:13">
      <c r="A192" s="263"/>
      <c r="B192" s="429">
        <f t="shared" si="16"/>
        <v>3781</v>
      </c>
      <c r="C192" s="429">
        <f t="shared" si="17"/>
        <v>3786</v>
      </c>
      <c r="D192" s="430" t="str">
        <f t="shared" si="12"/>
        <v>A4034</v>
      </c>
      <c r="E192" s="430" t="str">
        <f>VLOOKUP(D192,'RCLIPS송신(이지론플러스)_최종'!$B:$E,4,0)</f>
        <v>K-Score Score등급</v>
      </c>
      <c r="F192" s="430" t="str">
        <f>VLOOKUP($D192,'RCLIPS송신(이지론플러스)_최종'!$B:$D,2,0)</f>
        <v>String</v>
      </c>
      <c r="G192" s="430">
        <f>VLOOKUP($D192,'RCLIPS송신(이지론플러스)_최종'!$B:$D,3,0)</f>
        <v>2</v>
      </c>
      <c r="H192" s="430" t="str">
        <f t="shared" si="13"/>
        <v xml:space="preserve">05             </v>
      </c>
      <c r="I192" s="263" t="str">
        <f t="shared" si="14"/>
        <v>W0019</v>
      </c>
      <c r="J192" s="263" t="e">
        <f>VLOOKUP($I192,'[5]RCLIPS수신(이지론플러스)_최종'!$C:$F,2,0)</f>
        <v>#N/A</v>
      </c>
      <c r="K192" s="263" t="e">
        <f>VLOOKUP($I192,'[5]RCLIPS수신(이지론플러스)_최종'!$C:$F,3,0)</f>
        <v>#N/A</v>
      </c>
      <c r="L192" s="263" t="e">
        <f>VLOOKUP($I192,'[5]RCLIPS수신(이지론플러스)_최종'!$C:$F,4,0)</f>
        <v>#N/A</v>
      </c>
      <c r="M192" s="263" t="str">
        <f t="shared" si="15"/>
        <v>-00000000000002</v>
      </c>
    </row>
    <row r="193" spans="1:13">
      <c r="A193" s="263"/>
      <c r="B193" s="429">
        <f t="shared" si="16"/>
        <v>3801</v>
      </c>
      <c r="C193" s="429">
        <f t="shared" si="17"/>
        <v>3806</v>
      </c>
      <c r="D193" s="430" t="str">
        <f t="shared" si="12"/>
        <v>A4035</v>
      </c>
      <c r="E193" s="430" t="str">
        <f>VLOOKUP(D193,'RCLIPS송신(이지론플러스)_최종'!$B:$E,4,0)</f>
        <v>R-SCORE통합스코어</v>
      </c>
      <c r="F193" s="430" t="str">
        <f>VLOOKUP($D193,'RCLIPS송신(이지론플러스)_최종'!$B:$D,2,0)</f>
        <v>Numeric</v>
      </c>
      <c r="G193" s="430">
        <f>VLOOKUP($D193,'RCLIPS송신(이지론플러스)_최종'!$B:$D,3,0)</f>
        <v>4</v>
      </c>
      <c r="H193" s="430" t="str">
        <f t="shared" si="13"/>
        <v>000000000000693</v>
      </c>
      <c r="I193" s="263" t="str">
        <f t="shared" si="14"/>
        <v>W0020</v>
      </c>
      <c r="J193" s="263" t="e">
        <f>VLOOKUP($I193,'[5]RCLIPS수신(이지론플러스)_최종'!$C:$F,2,0)</f>
        <v>#N/A</v>
      </c>
      <c r="K193" s="263" t="e">
        <f>VLOOKUP($I193,'[5]RCLIPS수신(이지론플러스)_최종'!$C:$F,3,0)</f>
        <v>#N/A</v>
      </c>
      <c r="L193" s="263" t="e">
        <f>VLOOKUP($I193,'[5]RCLIPS수신(이지론플러스)_최종'!$C:$F,4,0)</f>
        <v>#N/A</v>
      </c>
      <c r="M193" s="263" t="str">
        <f t="shared" si="15"/>
        <v>-00000000000002</v>
      </c>
    </row>
    <row r="194" spans="1:13">
      <c r="A194" s="263"/>
      <c r="B194" s="429">
        <f t="shared" si="16"/>
        <v>3821</v>
      </c>
      <c r="C194" s="429">
        <f t="shared" si="17"/>
        <v>3826</v>
      </c>
      <c r="D194" s="430" t="str">
        <f t="shared" si="12"/>
        <v>A4036</v>
      </c>
      <c r="E194" s="430" t="str">
        <f>VLOOKUP(D194,'RCLIPS송신(이지론플러스)_최종'!$B:$E,4,0)</f>
        <v>R-SCORE통합스코어 등급</v>
      </c>
      <c r="F194" s="430" t="str">
        <f>VLOOKUP($D194,'RCLIPS송신(이지론플러스)_최종'!$B:$D,2,0)</f>
        <v>String</v>
      </c>
      <c r="G194" s="430">
        <f>VLOOKUP($D194,'RCLIPS송신(이지론플러스)_최종'!$B:$D,3,0)</f>
        <v>2</v>
      </c>
      <c r="H194" s="430" t="str">
        <f t="shared" si="13"/>
        <v xml:space="preserve">02             </v>
      </c>
      <c r="I194" s="263" t="str">
        <f t="shared" si="14"/>
        <v>W0021</v>
      </c>
      <c r="J194" s="263" t="e">
        <f>VLOOKUP($I194,'[5]RCLIPS수신(이지론플러스)_최종'!$C:$F,2,0)</f>
        <v>#N/A</v>
      </c>
      <c r="K194" s="263" t="e">
        <f>VLOOKUP($I194,'[5]RCLIPS수신(이지론플러스)_최종'!$C:$F,3,0)</f>
        <v>#N/A</v>
      </c>
      <c r="L194" s="263" t="e">
        <f>VLOOKUP($I194,'[5]RCLIPS수신(이지론플러스)_최종'!$C:$F,4,0)</f>
        <v>#N/A</v>
      </c>
      <c r="M194" s="263" t="str">
        <f t="shared" si="15"/>
        <v>-00000000000002</v>
      </c>
    </row>
    <row r="195" spans="1:13">
      <c r="A195" s="263"/>
      <c r="B195" s="429">
        <f t="shared" si="16"/>
        <v>3841</v>
      </c>
      <c r="C195" s="429">
        <f t="shared" si="17"/>
        <v>3846</v>
      </c>
      <c r="D195" s="430" t="str">
        <f t="shared" si="12"/>
        <v>A4037</v>
      </c>
      <c r="E195" s="430" t="str">
        <f>VLOOKUP(D195,'RCLIPS송신(이지론플러스)_최종'!$B:$E,4,0)</f>
        <v>R-Score 장기카드대출스코어</v>
      </c>
      <c r="F195" s="430" t="str">
        <f>VLOOKUP($D195,'RCLIPS송신(이지론플러스)_최종'!$B:$D,2,0)</f>
        <v>Numeric</v>
      </c>
      <c r="G195" s="430">
        <f>VLOOKUP($D195,'RCLIPS송신(이지론플러스)_최종'!$B:$D,3,0)</f>
        <v>4</v>
      </c>
      <c r="H195" s="430" t="str">
        <f t="shared" si="13"/>
        <v>000000000000894</v>
      </c>
      <c r="I195" s="263" t="str">
        <f t="shared" si="14"/>
        <v>W0022</v>
      </c>
      <c r="J195" s="263" t="e">
        <f>VLOOKUP($I195,'[5]RCLIPS수신(이지론플러스)_최종'!$C:$F,2,0)</f>
        <v>#N/A</v>
      </c>
      <c r="K195" s="263" t="e">
        <f>VLOOKUP($I195,'[5]RCLIPS수신(이지론플러스)_최종'!$C:$F,3,0)</f>
        <v>#N/A</v>
      </c>
      <c r="L195" s="263" t="e">
        <f>VLOOKUP($I195,'[5]RCLIPS수신(이지론플러스)_최종'!$C:$F,4,0)</f>
        <v>#N/A</v>
      </c>
      <c r="M195" s="263" t="str">
        <f t="shared" si="15"/>
        <v>-00000000000019</v>
      </c>
    </row>
    <row r="196" spans="1:13">
      <c r="A196" s="263"/>
      <c r="B196" s="429">
        <f t="shared" si="16"/>
        <v>3861</v>
      </c>
      <c r="C196" s="429">
        <f t="shared" si="17"/>
        <v>3866</v>
      </c>
      <c r="D196" s="430" t="str">
        <f t="shared" ref="D196:D259" si="18">MIDB($A$3, $B196+23, 5)</f>
        <v>A4038</v>
      </c>
      <c r="E196" s="430" t="str">
        <f>VLOOKUP(D196,'RCLIPS송신(이지론플러스)_최종'!$B:$E,4,0)</f>
        <v>R-Score 장기카드대출스코어 등급</v>
      </c>
      <c r="F196" s="430" t="str">
        <f>VLOOKUP($D196,'RCLIPS송신(이지론플러스)_최종'!$B:$D,2,0)</f>
        <v>String</v>
      </c>
      <c r="G196" s="430">
        <f>VLOOKUP($D196,'RCLIPS송신(이지론플러스)_최종'!$B:$D,3,0)</f>
        <v>2</v>
      </c>
      <c r="H196" s="430" t="str">
        <f t="shared" ref="H196:H259" si="19">MIDB($A$3, $C196+23, 15)</f>
        <v xml:space="preserve">01             </v>
      </c>
      <c r="I196" s="263" t="str">
        <f t="shared" ref="I196:I259" si="20">MIDB($A$8, $B196+10, 5)</f>
        <v>W0023</v>
      </c>
      <c r="J196" s="263" t="e">
        <f>VLOOKUP($I196,'[5]RCLIPS수신(이지론플러스)_최종'!$C:$F,2,0)</f>
        <v>#N/A</v>
      </c>
      <c r="K196" s="263" t="e">
        <f>VLOOKUP($I196,'[5]RCLIPS수신(이지론플러스)_최종'!$C:$F,3,0)</f>
        <v>#N/A</v>
      </c>
      <c r="L196" s="263" t="e">
        <f>VLOOKUP($I196,'[5]RCLIPS수신(이지론플러스)_최종'!$C:$F,4,0)</f>
        <v>#N/A</v>
      </c>
      <c r="M196" s="263" t="str">
        <f t="shared" ref="M196:M259" si="21">MIDB($A$8, $C196+10, 15)</f>
        <v>000000000000001</v>
      </c>
    </row>
    <row r="197" spans="1:13">
      <c r="A197" s="263"/>
      <c r="B197" s="429">
        <f t="shared" ref="B197:B260" si="22">C196+15</f>
        <v>3881</v>
      </c>
      <c r="C197" s="429">
        <f t="shared" ref="C197:C260" si="23">B197+5</f>
        <v>3886</v>
      </c>
      <c r="D197" s="430" t="str">
        <f t="shared" si="18"/>
        <v>A4039</v>
      </c>
      <c r="E197" s="430" t="str">
        <f>VLOOKUP(D197,'RCLIPS송신(이지론플러스)_최종'!$B:$E,4,0)</f>
        <v>I index 스코어</v>
      </c>
      <c r="F197" s="430" t="str">
        <f>VLOOKUP($D197,'RCLIPS송신(이지론플러스)_최종'!$B:$D,2,0)</f>
        <v>Numeric</v>
      </c>
      <c r="G197" s="430">
        <f>VLOOKUP($D197,'RCLIPS송신(이지론플러스)_최종'!$B:$D,3,0)</f>
        <v>4</v>
      </c>
      <c r="H197" s="430" t="str">
        <f t="shared" si="19"/>
        <v>000000000000747</v>
      </c>
      <c r="I197" s="263" t="str">
        <f t="shared" si="20"/>
        <v>W0024</v>
      </c>
      <c r="J197" s="263" t="e">
        <f>VLOOKUP($I197,'[5]RCLIPS수신(이지론플러스)_최종'!$C:$F,2,0)</f>
        <v>#N/A</v>
      </c>
      <c r="K197" s="263" t="e">
        <f>VLOOKUP($I197,'[5]RCLIPS수신(이지론플러스)_최종'!$C:$F,3,0)</f>
        <v>#N/A</v>
      </c>
      <c r="L197" s="263" t="e">
        <f>VLOOKUP($I197,'[5]RCLIPS수신(이지론플러스)_최종'!$C:$F,4,0)</f>
        <v>#N/A</v>
      </c>
      <c r="M197" s="263" t="str">
        <f t="shared" si="21"/>
        <v>000000000000001</v>
      </c>
    </row>
    <row r="198" spans="1:13">
      <c r="A198" s="263"/>
      <c r="B198" s="429">
        <f t="shared" si="22"/>
        <v>3901</v>
      </c>
      <c r="C198" s="429">
        <f t="shared" si="23"/>
        <v>3906</v>
      </c>
      <c r="D198" s="430" t="str">
        <f t="shared" si="18"/>
        <v>A4040</v>
      </c>
      <c r="E198" s="430" t="str">
        <f>VLOOKUP(D198,'RCLIPS송신(이지론플러스)_최종'!$B:$E,4,0)</f>
        <v>I index 등급</v>
      </c>
      <c r="F198" s="430" t="str">
        <f>VLOOKUP($D198,'RCLIPS송신(이지론플러스)_최종'!$B:$D,2,0)</f>
        <v>String</v>
      </c>
      <c r="G198" s="430">
        <f>VLOOKUP($D198,'RCLIPS송신(이지론플러스)_최종'!$B:$D,3,0)</f>
        <v>2</v>
      </c>
      <c r="H198" s="430" t="str">
        <f t="shared" si="19"/>
        <v xml:space="preserve">04             </v>
      </c>
      <c r="I198" s="263" t="str">
        <f t="shared" si="20"/>
        <v>W0025</v>
      </c>
      <c r="J198" s="263" t="e">
        <f>VLOOKUP($I198,'[5]RCLIPS수신(이지론플러스)_최종'!$C:$F,2,0)</f>
        <v>#N/A</v>
      </c>
      <c r="K198" s="263" t="e">
        <f>VLOOKUP($I198,'[5]RCLIPS수신(이지론플러스)_최종'!$C:$F,3,0)</f>
        <v>#N/A</v>
      </c>
      <c r="L198" s="263" t="e">
        <f>VLOOKUP($I198,'[5]RCLIPS수신(이지론플러스)_최종'!$C:$F,4,0)</f>
        <v>#N/A</v>
      </c>
      <c r="M198" s="263" t="str">
        <f t="shared" si="21"/>
        <v>000000000000004</v>
      </c>
    </row>
    <row r="199" spans="1:13">
      <c r="A199" s="263"/>
      <c r="B199" s="429">
        <f t="shared" si="22"/>
        <v>3921</v>
      </c>
      <c r="C199" s="429">
        <f t="shared" si="23"/>
        <v>3926</v>
      </c>
      <c r="D199" s="430" t="str">
        <f t="shared" si="18"/>
        <v>A4041</v>
      </c>
      <c r="E199" s="430" t="str">
        <f>VLOOKUP(D199,'RCLIPS송신(이지론플러스)_최종'!$B:$E,4,0)</f>
        <v>최근KCB정보직업직위내용</v>
      </c>
      <c r="F199" s="430" t="str">
        <f>VLOOKUP($D199,'RCLIPS송신(이지론플러스)_최종'!$B:$D,2,0)</f>
        <v>String</v>
      </c>
      <c r="G199" s="430">
        <f>VLOOKUP($D199,'RCLIPS송신(이지론플러스)_최종'!$B:$D,3,0)</f>
        <v>9</v>
      </c>
      <c r="H199" s="430" t="str">
        <f t="shared" si="19"/>
        <v xml:space="preserve">               </v>
      </c>
      <c r="I199" s="263" t="str">
        <f t="shared" si="20"/>
        <v>W0026</v>
      </c>
      <c r="J199" s="263" t="e">
        <f>VLOOKUP($I199,'[5]RCLIPS수신(이지론플러스)_최종'!$C:$F,2,0)</f>
        <v>#N/A</v>
      </c>
      <c r="K199" s="263" t="e">
        <f>VLOOKUP($I199,'[5]RCLIPS수신(이지론플러스)_최종'!$C:$F,3,0)</f>
        <v>#N/A</v>
      </c>
      <c r="L199" s="263" t="e">
        <f>VLOOKUP($I199,'[5]RCLIPS수신(이지론플러스)_최종'!$C:$F,4,0)</f>
        <v>#N/A</v>
      </c>
      <c r="M199" s="263" t="str">
        <f t="shared" si="21"/>
        <v>-00000000000001</v>
      </c>
    </row>
    <row r="200" spans="1:13">
      <c r="A200" s="263"/>
      <c r="B200" s="429">
        <f t="shared" si="22"/>
        <v>3941</v>
      </c>
      <c r="C200" s="429">
        <f t="shared" si="23"/>
        <v>3946</v>
      </c>
      <c r="D200" s="430" t="str">
        <f t="shared" si="18"/>
        <v>A4042</v>
      </c>
      <c r="E200" s="430" t="str">
        <f>VLOOKUP(D200,'RCLIPS송신(이지론플러스)_최종'!$B:$E,4,0)</f>
        <v>소득추정모형(결정연소득금액)(소득추정모형 VER 2.5)</v>
      </c>
      <c r="F200" s="430" t="str">
        <f>VLOOKUP($D200,'RCLIPS송신(이지론플러스)_최종'!$B:$D,2,0)</f>
        <v>Numeric</v>
      </c>
      <c r="G200" s="430">
        <f>VLOOKUP($D200,'RCLIPS송신(이지론플러스)_최종'!$B:$D,3,0)</f>
        <v>15</v>
      </c>
      <c r="H200" s="430" t="str">
        <f t="shared" si="19"/>
        <v>000000000010280</v>
      </c>
      <c r="I200" s="263" t="str">
        <f t="shared" si="20"/>
        <v>W0027</v>
      </c>
      <c r="J200" s="263" t="e">
        <f>VLOOKUP($I200,'[5]RCLIPS수신(이지론플러스)_최종'!$C:$F,2,0)</f>
        <v>#N/A</v>
      </c>
      <c r="K200" s="263" t="e">
        <f>VLOOKUP($I200,'[5]RCLIPS수신(이지론플러스)_최종'!$C:$F,3,0)</f>
        <v>#N/A</v>
      </c>
      <c r="L200" s="263" t="e">
        <f>VLOOKUP($I200,'[5]RCLIPS수신(이지론플러스)_최종'!$C:$F,4,0)</f>
        <v>#N/A</v>
      </c>
      <c r="M200" s="263" t="str">
        <f t="shared" si="21"/>
        <v>-00000000000001</v>
      </c>
    </row>
    <row r="201" spans="1:13">
      <c r="A201" s="263"/>
      <c r="B201" s="429">
        <f t="shared" si="22"/>
        <v>3961</v>
      </c>
      <c r="C201" s="429">
        <f t="shared" si="23"/>
        <v>3966</v>
      </c>
      <c r="D201" s="430" t="str">
        <f t="shared" si="18"/>
        <v>A4043</v>
      </c>
      <c r="E201" s="430" t="str">
        <f>VLOOKUP(D201,'RCLIPS송신(이지론플러스)_최종'!$B:$E,4,0)</f>
        <v>연간원리금상환추정금액(KCB기준)</v>
      </c>
      <c r="F201" s="430" t="str">
        <f>VLOOKUP($D201,'RCLIPS송신(이지론플러스)_최종'!$B:$D,2,0)</f>
        <v>Numeric</v>
      </c>
      <c r="G201" s="430">
        <f>VLOOKUP($D201,'RCLIPS송신(이지론플러스)_최종'!$B:$D,3,0)</f>
        <v>15</v>
      </c>
      <c r="H201" s="430" t="str">
        <f t="shared" si="19"/>
        <v>000000000000820</v>
      </c>
      <c r="I201" s="263" t="str">
        <f t="shared" si="20"/>
        <v>W0028</v>
      </c>
      <c r="J201" s="263" t="e">
        <f>VLOOKUP($I201,'[5]RCLIPS수신(이지론플러스)_최종'!$C:$F,2,0)</f>
        <v>#N/A</v>
      </c>
      <c r="K201" s="263" t="e">
        <f>VLOOKUP($I201,'[5]RCLIPS수신(이지론플러스)_최종'!$C:$F,3,0)</f>
        <v>#N/A</v>
      </c>
      <c r="L201" s="263" t="e">
        <f>VLOOKUP($I201,'[5]RCLIPS수신(이지론플러스)_최종'!$C:$F,4,0)</f>
        <v>#N/A</v>
      </c>
      <c r="M201" s="263" t="str">
        <f t="shared" si="21"/>
        <v>-00000000000001</v>
      </c>
    </row>
    <row r="202" spans="1:13">
      <c r="A202" s="263"/>
      <c r="B202" s="429">
        <f t="shared" si="22"/>
        <v>3981</v>
      </c>
      <c r="C202" s="429">
        <f t="shared" si="23"/>
        <v>3986</v>
      </c>
      <c r="D202" s="430" t="str">
        <f t="shared" si="18"/>
        <v>A4044</v>
      </c>
      <c r="E202" s="430" t="str">
        <f>VLOOKUP(D202,'RCLIPS송신(이지론플러스)_최종'!$B:$E,4,0)</f>
        <v>DTI타입값3(추정소득모형3.0기준)</v>
      </c>
      <c r="F202" s="430" t="str">
        <f>VLOOKUP($D202,'RCLIPS송신(이지론플러스)_최종'!$B:$D,2,0)</f>
        <v>Numeric</v>
      </c>
      <c r="G202" s="430">
        <f>VLOOKUP($D202,'RCLIPS송신(이지론플러스)_최종'!$B:$D,3,0)</f>
        <v>9.1999999999999993</v>
      </c>
      <c r="H202" s="430" t="str">
        <f t="shared" si="19"/>
        <v>0000000000002.6</v>
      </c>
      <c r="I202" s="263" t="str">
        <f t="shared" si="20"/>
        <v>W0029</v>
      </c>
      <c r="J202" s="263" t="e">
        <f>VLOOKUP($I202,'[5]RCLIPS수신(이지론플러스)_최종'!$C:$F,2,0)</f>
        <v>#N/A</v>
      </c>
      <c r="K202" s="263" t="e">
        <f>VLOOKUP($I202,'[5]RCLIPS수신(이지론플러스)_최종'!$C:$F,3,0)</f>
        <v>#N/A</v>
      </c>
      <c r="L202" s="263" t="e">
        <f>VLOOKUP($I202,'[5]RCLIPS수신(이지론플러스)_최종'!$C:$F,4,0)</f>
        <v>#N/A</v>
      </c>
      <c r="M202" s="263" t="str">
        <f t="shared" si="21"/>
        <v>000000000000007</v>
      </c>
    </row>
    <row r="203" spans="1:13">
      <c r="A203" s="263"/>
      <c r="B203" s="429">
        <f t="shared" si="22"/>
        <v>4001</v>
      </c>
      <c r="C203" s="429">
        <f t="shared" si="23"/>
        <v>4006</v>
      </c>
      <c r="D203" s="430" t="str">
        <f t="shared" si="18"/>
        <v>A4045</v>
      </c>
      <c r="E203" s="430" t="str">
        <f>VLOOKUP(D203,'RCLIPS송신(이지론플러스)_최종'!$B:$E,4,0)</f>
        <v>미래상환능력지수 1.0</v>
      </c>
      <c r="F203" s="430" t="str">
        <f>VLOOKUP($D203,'RCLIPS송신(이지론플러스)_최종'!$B:$D,2,0)</f>
        <v>String</v>
      </c>
      <c r="G203" s="430">
        <f>VLOOKUP($D203,'RCLIPS송신(이지론플러스)_최종'!$B:$D,3,0)</f>
        <v>2</v>
      </c>
      <c r="H203" s="430" t="str">
        <f t="shared" si="19"/>
        <v xml:space="preserve">03             </v>
      </c>
      <c r="I203" s="263" t="str">
        <f t="shared" si="20"/>
        <v>W0030</v>
      </c>
      <c r="J203" s="263" t="e">
        <f>VLOOKUP($I203,'[5]RCLIPS수신(이지론플러스)_최종'!$C:$F,2,0)</f>
        <v>#N/A</v>
      </c>
      <c r="K203" s="263" t="e">
        <f>VLOOKUP($I203,'[5]RCLIPS수신(이지론플러스)_최종'!$C:$F,3,0)</f>
        <v>#N/A</v>
      </c>
      <c r="L203" s="263" t="e">
        <f>VLOOKUP($I203,'[5]RCLIPS수신(이지론플러스)_최종'!$C:$F,4,0)</f>
        <v>#N/A</v>
      </c>
      <c r="M203" s="263" t="str">
        <f t="shared" si="21"/>
        <v>000000000000001</v>
      </c>
    </row>
    <row r="204" spans="1:13">
      <c r="A204" s="263"/>
      <c r="B204" s="429">
        <f t="shared" si="22"/>
        <v>4021</v>
      </c>
      <c r="C204" s="429">
        <f t="shared" si="23"/>
        <v>4026</v>
      </c>
      <c r="D204" s="430" t="str">
        <f t="shared" si="18"/>
        <v>A4046</v>
      </c>
      <c r="E204" s="430" t="str">
        <f>VLOOKUP(D204,'RCLIPS송신(이지론플러스)_최종'!$B:$E,4,0)</f>
        <v>다중채무위험지수스코어</v>
      </c>
      <c r="F204" s="430" t="str">
        <f>VLOOKUP($D204,'RCLIPS송신(이지론플러스)_최종'!$B:$D,2,0)</f>
        <v>Numeric</v>
      </c>
      <c r="G204" s="430">
        <f>VLOOKUP($D204,'RCLIPS송신(이지론플러스)_최종'!$B:$D,3,0)</f>
        <v>4</v>
      </c>
      <c r="H204" s="430" t="str">
        <f t="shared" si="19"/>
        <v>000000000000792</v>
      </c>
      <c r="I204" s="263" t="str">
        <f t="shared" si="20"/>
        <v>W0031</v>
      </c>
      <c r="J204" s="263" t="e">
        <f>VLOOKUP($I204,'[5]RCLIPS수신(이지론플러스)_최종'!$C:$F,2,0)</f>
        <v>#N/A</v>
      </c>
      <c r="K204" s="263" t="e">
        <f>VLOOKUP($I204,'[5]RCLIPS수신(이지론플러스)_최종'!$C:$F,3,0)</f>
        <v>#N/A</v>
      </c>
      <c r="L204" s="263" t="e">
        <f>VLOOKUP($I204,'[5]RCLIPS수신(이지론플러스)_최종'!$C:$F,4,0)</f>
        <v>#N/A</v>
      </c>
      <c r="M204" s="263" t="str">
        <f t="shared" si="21"/>
        <v>000000000000003</v>
      </c>
    </row>
    <row r="205" spans="1:13">
      <c r="A205" s="263"/>
      <c r="B205" s="429">
        <f t="shared" si="22"/>
        <v>4041</v>
      </c>
      <c r="C205" s="429">
        <f t="shared" si="23"/>
        <v>4046</v>
      </c>
      <c r="D205" s="430" t="str">
        <f t="shared" si="18"/>
        <v>A4047</v>
      </c>
      <c r="E205" s="430" t="str">
        <f>VLOOKUP(D205,'RCLIPS송신(이지론플러스)_최종'!$B:$E,4,0)</f>
        <v>다중채무위험지수스코어 등급</v>
      </c>
      <c r="F205" s="430" t="str">
        <f>VLOOKUP($D205,'RCLIPS송신(이지론플러스)_최종'!$B:$D,2,0)</f>
        <v>String</v>
      </c>
      <c r="G205" s="430">
        <f>VLOOKUP($D205,'RCLIPS송신(이지론플러스)_최종'!$B:$D,3,0)</f>
        <v>2</v>
      </c>
      <c r="H205" s="430" t="str">
        <f t="shared" si="19"/>
        <v xml:space="preserve">03             </v>
      </c>
      <c r="I205" s="263" t="str">
        <f t="shared" si="20"/>
        <v>W0032</v>
      </c>
      <c r="J205" s="263" t="e">
        <f>VLOOKUP($I205,'[5]RCLIPS수신(이지론플러스)_최종'!$C:$F,2,0)</f>
        <v>#N/A</v>
      </c>
      <c r="K205" s="263" t="e">
        <f>VLOOKUP($I205,'[5]RCLIPS수신(이지론플러스)_최종'!$C:$F,3,0)</f>
        <v>#N/A</v>
      </c>
      <c r="L205" s="263" t="e">
        <f>VLOOKUP($I205,'[5]RCLIPS수신(이지론플러스)_최종'!$C:$F,4,0)</f>
        <v>#N/A</v>
      </c>
      <c r="M205" s="263" t="str">
        <f t="shared" si="21"/>
        <v>-00000000000005</v>
      </c>
    </row>
    <row r="206" spans="1:13">
      <c r="A206" s="263"/>
      <c r="B206" s="429">
        <f t="shared" si="22"/>
        <v>4061</v>
      </c>
      <c r="C206" s="429">
        <f t="shared" si="23"/>
        <v>4066</v>
      </c>
      <c r="D206" s="430" t="str">
        <f t="shared" si="18"/>
        <v>A4048</v>
      </c>
      <c r="E206" s="430" t="str">
        <f>VLOOKUP(D206,'RCLIPS송신(이지론플러스)_최종'!$B:$E,4,0)</f>
        <v>최근 3영업일(D-2~D-0) 內 2기관이상 취급</v>
      </c>
      <c r="F206" s="430" t="str">
        <f>VLOOKUP($D206,'RCLIPS송신(이지론플러스)_최종'!$B:$D,2,0)</f>
        <v>String</v>
      </c>
      <c r="G206" s="430">
        <f>VLOOKUP($D206,'RCLIPS송신(이지론플러스)_최종'!$B:$D,3,0)</f>
        <v>1</v>
      </c>
      <c r="H206" s="430" t="str">
        <f t="shared" si="19"/>
        <v xml:space="preserve">0              </v>
      </c>
      <c r="I206" s="263" t="str">
        <f t="shared" si="20"/>
        <v>W0033</v>
      </c>
      <c r="J206" s="263" t="e">
        <f>VLOOKUP($I206,'[5]RCLIPS수신(이지론플러스)_최종'!$C:$F,2,0)</f>
        <v>#N/A</v>
      </c>
      <c r="K206" s="263" t="e">
        <f>VLOOKUP($I206,'[5]RCLIPS수신(이지론플러스)_최종'!$C:$F,3,0)</f>
        <v>#N/A</v>
      </c>
      <c r="L206" s="263" t="e">
        <f>VLOOKUP($I206,'[5]RCLIPS수신(이지론플러스)_최종'!$C:$F,4,0)</f>
        <v>#N/A</v>
      </c>
      <c r="M206" s="263" t="str">
        <f t="shared" si="21"/>
        <v>-00000000000006</v>
      </c>
    </row>
    <row r="207" spans="1:13">
      <c r="A207" s="263"/>
      <c r="B207" s="429">
        <f t="shared" si="22"/>
        <v>4081</v>
      </c>
      <c r="C207" s="429">
        <f t="shared" si="23"/>
        <v>4086</v>
      </c>
      <c r="D207" s="430" t="str">
        <f t="shared" si="18"/>
        <v>A4049</v>
      </c>
      <c r="E207" s="430" t="str">
        <f>VLOOKUP(D207,'RCLIPS송신(이지론플러스)_최종'!$B:$E,4,0)</f>
        <v>SOHO ML스코어 V1.0 평점</v>
      </c>
      <c r="F207" s="430" t="str">
        <f>VLOOKUP($D207,'RCLIPS송신(이지론플러스)_최종'!$B:$D,2,0)</f>
        <v>Long</v>
      </c>
      <c r="G207" s="430">
        <f>VLOOKUP($D207,'RCLIPS송신(이지론플러스)_최종'!$B:$D,3,0)</f>
        <v>4</v>
      </c>
      <c r="H207" s="430" t="str">
        <f t="shared" si="19"/>
        <v>000000000000703</v>
      </c>
      <c r="I207" s="263" t="str">
        <f t="shared" si="20"/>
        <v>W0034</v>
      </c>
      <c r="J207" s="263" t="e">
        <f>VLOOKUP($I207,'[5]RCLIPS수신(이지론플러스)_최종'!$C:$F,2,0)</f>
        <v>#N/A</v>
      </c>
      <c r="K207" s="263" t="e">
        <f>VLOOKUP($I207,'[5]RCLIPS수신(이지론플러스)_최종'!$C:$F,3,0)</f>
        <v>#N/A</v>
      </c>
      <c r="L207" s="263" t="e">
        <f>VLOOKUP($I207,'[5]RCLIPS수신(이지론플러스)_최종'!$C:$F,4,0)</f>
        <v>#N/A</v>
      </c>
      <c r="M207" s="263" t="str">
        <f t="shared" si="21"/>
        <v>-00000000000005</v>
      </c>
    </row>
    <row r="208" spans="1:13">
      <c r="A208" s="263"/>
      <c r="B208" s="429">
        <f t="shared" si="22"/>
        <v>4101</v>
      </c>
      <c r="C208" s="429">
        <f t="shared" si="23"/>
        <v>4106</v>
      </c>
      <c r="D208" s="430" t="str">
        <f t="shared" si="18"/>
        <v>A4050</v>
      </c>
      <c r="E208" s="430" t="str">
        <f>VLOOKUP(D208,'RCLIPS송신(이지론플러스)_최종'!$B:$E,4,0)</f>
        <v>SOHO ML스코어 V1.0 등급</v>
      </c>
      <c r="F208" s="430" t="str">
        <f>VLOOKUP($D208,'RCLIPS송신(이지론플러스)_최종'!$B:$D,2,0)</f>
        <v>String</v>
      </c>
      <c r="G208" s="430">
        <f>VLOOKUP($D208,'RCLIPS송신(이지론플러스)_최종'!$B:$D,3,0)</f>
        <v>2</v>
      </c>
      <c r="H208" s="430" t="str">
        <f t="shared" si="19"/>
        <v xml:space="preserve">07             </v>
      </c>
      <c r="I208" s="263" t="str">
        <f t="shared" si="20"/>
        <v>W0035</v>
      </c>
      <c r="J208" s="263" t="e">
        <f>VLOOKUP($I208,'[5]RCLIPS수신(이지론플러스)_최종'!$C:$F,2,0)</f>
        <v>#N/A</v>
      </c>
      <c r="K208" s="263" t="e">
        <f>VLOOKUP($I208,'[5]RCLIPS수신(이지론플러스)_최종'!$C:$F,3,0)</f>
        <v>#N/A</v>
      </c>
      <c r="L208" s="263" t="e">
        <f>VLOOKUP($I208,'[5]RCLIPS수신(이지론플러스)_최종'!$C:$F,4,0)</f>
        <v>#N/A</v>
      </c>
      <c r="M208" s="263" t="str">
        <f t="shared" si="21"/>
        <v>-00000000000014</v>
      </c>
    </row>
    <row r="209" spans="1:13">
      <c r="A209" s="263"/>
      <c r="B209" s="429">
        <f t="shared" si="22"/>
        <v>4121</v>
      </c>
      <c r="C209" s="429">
        <f t="shared" si="23"/>
        <v>4126</v>
      </c>
      <c r="D209" s="430" t="str">
        <f t="shared" si="18"/>
        <v>A4051</v>
      </c>
      <c r="E209" s="430" t="str">
        <f>VLOOKUP(D209,'RCLIPS송신(이지론플러스)_최종'!$B:$E,4,0)</f>
        <v>SOHO ML스코어 V1.0 KCB SOHO 여부</v>
      </c>
      <c r="F209" s="430" t="str">
        <f>VLOOKUP($D209,'RCLIPS송신(이지론플러스)_최종'!$B:$D,2,0)</f>
        <v>String</v>
      </c>
      <c r="G209" s="430">
        <f>VLOOKUP($D209,'RCLIPS송신(이지론플러스)_최종'!$B:$D,3,0)</f>
        <v>1</v>
      </c>
      <c r="H209" s="430" t="str">
        <f t="shared" si="19"/>
        <v xml:space="preserve">N              </v>
      </c>
      <c r="I209" s="263" t="str">
        <f t="shared" si="20"/>
        <v>W0036</v>
      </c>
      <c r="J209" s="263" t="e">
        <f>VLOOKUP($I209,'[5]RCLIPS수신(이지론플러스)_최종'!$C:$F,2,0)</f>
        <v>#N/A</v>
      </c>
      <c r="K209" s="263" t="e">
        <f>VLOOKUP($I209,'[5]RCLIPS수신(이지론플러스)_최종'!$C:$F,3,0)</f>
        <v>#N/A</v>
      </c>
      <c r="L209" s="263" t="e">
        <f>VLOOKUP($I209,'[5]RCLIPS수신(이지론플러스)_최종'!$C:$F,4,0)</f>
        <v>#N/A</v>
      </c>
      <c r="M209" s="263" t="str">
        <f t="shared" si="21"/>
        <v>000000000000005</v>
      </c>
    </row>
    <row r="210" spans="1:13">
      <c r="A210" s="263"/>
      <c r="B210" s="429">
        <f t="shared" si="22"/>
        <v>4141</v>
      </c>
      <c r="C210" s="429">
        <f t="shared" si="23"/>
        <v>4146</v>
      </c>
      <c r="D210" s="430" t="str">
        <f t="shared" si="18"/>
        <v>A4052</v>
      </c>
      <c r="E210" s="430" t="str">
        <f>VLOOKUP(D210,'RCLIPS송신(이지론플러스)_최종'!$B:$E,4,0)</f>
        <v>1개월전총대출잔액(CIS기업신용)월말기준</v>
      </c>
      <c r="F210" s="430" t="str">
        <f>VLOOKUP($D210,'RCLIPS송신(이지론플러스)_최종'!$B:$D,2,0)</f>
        <v>Long</v>
      </c>
      <c r="G210" s="430">
        <f>VLOOKUP($D210,'RCLIPS송신(이지론플러스)_최종'!$B:$D,3,0)</f>
        <v>15</v>
      </c>
      <c r="H210" s="430" t="str">
        <f t="shared" si="19"/>
        <v>000000000000000</v>
      </c>
      <c r="I210" s="263" t="str">
        <f t="shared" si="20"/>
        <v>W0037</v>
      </c>
      <c r="J210" s="263" t="e">
        <f>VLOOKUP($I210,'[5]RCLIPS수신(이지론플러스)_최종'!$C:$F,2,0)</f>
        <v>#N/A</v>
      </c>
      <c r="K210" s="263" t="e">
        <f>VLOOKUP($I210,'[5]RCLIPS수신(이지론플러스)_최종'!$C:$F,3,0)</f>
        <v>#N/A</v>
      </c>
      <c r="L210" s="263" t="e">
        <f>VLOOKUP($I210,'[5]RCLIPS수신(이지론플러스)_최종'!$C:$F,4,0)</f>
        <v>#N/A</v>
      </c>
      <c r="M210" s="263" t="str">
        <f t="shared" si="21"/>
        <v>-00000000000001</v>
      </c>
    </row>
    <row r="211" spans="1:13">
      <c r="A211" s="263"/>
      <c r="B211" s="429">
        <f t="shared" si="22"/>
        <v>4161</v>
      </c>
      <c r="C211" s="429">
        <f t="shared" si="23"/>
        <v>4166</v>
      </c>
      <c r="D211" s="430" t="str">
        <f t="shared" si="18"/>
        <v>A4053</v>
      </c>
      <c r="E211" s="430" t="str">
        <f>VLOOKUP(D211,'RCLIPS송신(이지론플러스)_최종'!$B:$E,4,0)</f>
        <v>소득추정모형(결정연소득금액)(소득추정모형 VER 3.0)</v>
      </c>
      <c r="F211" s="430" t="str">
        <f>VLOOKUP($D211,'RCLIPS송신(이지론플러스)_최종'!$B:$D,2,0)</f>
        <v>Long</v>
      </c>
      <c r="G211" s="430">
        <f>VLOOKUP($D211,'RCLIPS송신(이지론플러스)_최종'!$B:$D,3,0)</f>
        <v>15</v>
      </c>
      <c r="H211" s="430" t="str">
        <f t="shared" si="19"/>
        <v>000000000010280</v>
      </c>
      <c r="I211" s="263" t="str">
        <f t="shared" si="20"/>
        <v>W0038</v>
      </c>
      <c r="J211" s="263" t="e">
        <f>VLOOKUP($I211,'[5]RCLIPS수신(이지론플러스)_최종'!$C:$F,2,0)</f>
        <v>#N/A</v>
      </c>
      <c r="K211" s="263" t="e">
        <f>VLOOKUP($I211,'[5]RCLIPS수신(이지론플러스)_최종'!$C:$F,3,0)</f>
        <v>#N/A</v>
      </c>
      <c r="L211" s="263" t="e">
        <f>VLOOKUP($I211,'[5]RCLIPS수신(이지론플러스)_최종'!$C:$F,4,0)</f>
        <v>#N/A</v>
      </c>
      <c r="M211" s="263" t="str">
        <f t="shared" si="21"/>
        <v>000000000000001</v>
      </c>
    </row>
    <row r="212" spans="1:13">
      <c r="A212" s="263"/>
      <c r="B212" s="429">
        <f t="shared" si="22"/>
        <v>4181</v>
      </c>
      <c r="C212" s="429">
        <f t="shared" si="23"/>
        <v>4186</v>
      </c>
      <c r="D212" s="430" t="str">
        <f t="shared" si="18"/>
        <v>A4054</v>
      </c>
      <c r="E212" s="430" t="str">
        <f>VLOOKUP(D212,'RCLIPS송신(이지론플러스)_최종'!$B:$E,4,0)</f>
        <v>은행업권주택담보대출건수(미해지)(KFB계좌단위)</v>
      </c>
      <c r="F212" s="430">
        <f>VLOOKUP($D212,'RCLIPS송신(이지론플러스)_최종'!$B:$D,2,0)</f>
        <v>0</v>
      </c>
      <c r="G212" s="430">
        <f>VLOOKUP($D212,'RCLIPS송신(이지론플러스)_최종'!$B:$D,3,0)</f>
        <v>0</v>
      </c>
      <c r="H212" s="430" t="str">
        <f t="shared" si="19"/>
        <v>000000000000000</v>
      </c>
      <c r="I212" s="263" t="str">
        <f t="shared" si="20"/>
        <v>W0039</v>
      </c>
      <c r="J212" s="263" t="e">
        <f>VLOOKUP($I212,'[5]RCLIPS수신(이지론플러스)_최종'!$C:$F,2,0)</f>
        <v>#N/A</v>
      </c>
      <c r="K212" s="263" t="e">
        <f>VLOOKUP($I212,'[5]RCLIPS수신(이지론플러스)_최종'!$C:$F,3,0)</f>
        <v>#N/A</v>
      </c>
      <c r="L212" s="263" t="e">
        <f>VLOOKUP($I212,'[5]RCLIPS수신(이지론플러스)_최종'!$C:$F,4,0)</f>
        <v>#N/A</v>
      </c>
      <c r="M212" s="263" t="str">
        <f t="shared" si="21"/>
        <v>-00000000000001</v>
      </c>
    </row>
    <row r="213" spans="1:13">
      <c r="A213" s="263"/>
      <c r="B213" s="429">
        <f t="shared" si="22"/>
        <v>4201</v>
      </c>
      <c r="C213" s="429">
        <f t="shared" si="23"/>
        <v>4206</v>
      </c>
      <c r="D213" s="430" t="str">
        <f t="shared" si="18"/>
        <v>A4055</v>
      </c>
      <c r="E213" s="430" t="str">
        <f>VLOOKUP(D213,'RCLIPS송신(이지론플러스)_최종'!$B:$E,4,0)</f>
        <v>KCB전월세지수</v>
      </c>
      <c r="F213" s="430">
        <f>VLOOKUP($D213,'RCLIPS송신(이지론플러스)_최종'!$B:$D,2,0)</f>
        <v>0</v>
      </c>
      <c r="G213" s="430">
        <f>VLOOKUP($D213,'RCLIPS송신(이지론플러스)_최종'!$B:$D,3,0)</f>
        <v>0</v>
      </c>
      <c r="H213" s="430" t="str">
        <f t="shared" si="19"/>
        <v>000000000000012</v>
      </c>
      <c r="I213" s="263" t="str">
        <f t="shared" si="20"/>
        <v>W0040</v>
      </c>
      <c r="J213" s="263" t="e">
        <f>VLOOKUP($I213,'[5]RCLIPS수신(이지론플러스)_최종'!$C:$F,2,0)</f>
        <v>#N/A</v>
      </c>
      <c r="K213" s="263" t="e">
        <f>VLOOKUP($I213,'[5]RCLIPS수신(이지론플러스)_최종'!$C:$F,3,0)</f>
        <v>#N/A</v>
      </c>
      <c r="L213" s="263" t="e">
        <f>VLOOKUP($I213,'[5]RCLIPS수신(이지론플러스)_최종'!$C:$F,4,0)</f>
        <v>#N/A</v>
      </c>
      <c r="M213" s="263" t="str">
        <f t="shared" si="21"/>
        <v>000000000000002</v>
      </c>
    </row>
    <row r="214" spans="1:13">
      <c r="A214" s="263"/>
      <c r="B214" s="429">
        <f t="shared" si="22"/>
        <v>4221</v>
      </c>
      <c r="C214" s="429">
        <f t="shared" si="23"/>
        <v>4226</v>
      </c>
      <c r="D214" s="430" t="str">
        <f t="shared" si="18"/>
        <v>A4056</v>
      </c>
      <c r="E214" s="430" t="str">
        <f>VLOOKUP(D214,'RCLIPS송신(이지론플러스)_최종'!$B:$E,4,0)</f>
        <v>KCB거주지평균월세가</v>
      </c>
      <c r="F214" s="430">
        <f>VLOOKUP($D214,'RCLIPS송신(이지론플러스)_최종'!$B:$D,2,0)</f>
        <v>0</v>
      </c>
      <c r="G214" s="430">
        <f>VLOOKUP($D214,'RCLIPS송신(이지론플러스)_최종'!$B:$D,3,0)</f>
        <v>0</v>
      </c>
      <c r="H214" s="430" t="str">
        <f t="shared" si="19"/>
        <v>000000000001030</v>
      </c>
      <c r="I214" s="263" t="str">
        <f t="shared" si="20"/>
        <v>W0041</v>
      </c>
      <c r="J214" s="263" t="e">
        <f>VLOOKUP($I214,'[5]RCLIPS수신(이지론플러스)_최종'!$C:$F,2,0)</f>
        <v>#N/A</v>
      </c>
      <c r="K214" s="263" t="e">
        <f>VLOOKUP($I214,'[5]RCLIPS수신(이지론플러스)_최종'!$C:$F,3,0)</f>
        <v>#N/A</v>
      </c>
      <c r="L214" s="263" t="e">
        <f>VLOOKUP($I214,'[5]RCLIPS수신(이지론플러스)_최종'!$C:$F,4,0)</f>
        <v>#N/A</v>
      </c>
      <c r="M214" s="263" t="str">
        <f t="shared" si="21"/>
        <v>-00000000000008</v>
      </c>
    </row>
    <row r="215" spans="1:13">
      <c r="A215" s="263"/>
      <c r="B215" s="429">
        <f t="shared" si="22"/>
        <v>4241</v>
      </c>
      <c r="C215" s="429">
        <f t="shared" si="23"/>
        <v>4246</v>
      </c>
      <c r="D215" s="430" t="str">
        <f t="shared" si="18"/>
        <v>A4057</v>
      </c>
      <c r="E215" s="430" t="str">
        <f>VLOOKUP(D215,'RCLIPS송신(이지론플러스)_최종'!$B:$E,4,0)</f>
        <v>결정연소득중최근1년은행등록연소득(3.0)</v>
      </c>
      <c r="F215" s="430">
        <f>VLOOKUP($D215,'RCLIPS송신(이지론플러스)_최종'!$B:$D,2,0)</f>
        <v>0</v>
      </c>
      <c r="G215" s="430">
        <f>VLOOKUP($D215,'RCLIPS송신(이지론플러스)_최종'!$B:$D,3,0)</f>
        <v>0</v>
      </c>
      <c r="H215" s="430" t="str">
        <f t="shared" si="19"/>
        <v>000000000000000</v>
      </c>
      <c r="I215" s="263" t="str">
        <f t="shared" si="20"/>
        <v>W0042</v>
      </c>
      <c r="J215" s="263" t="e">
        <f>VLOOKUP($I215,'[5]RCLIPS수신(이지론플러스)_최종'!$C:$F,2,0)</f>
        <v>#N/A</v>
      </c>
      <c r="K215" s="263" t="e">
        <f>VLOOKUP($I215,'[5]RCLIPS수신(이지론플러스)_최종'!$C:$F,3,0)</f>
        <v>#N/A</v>
      </c>
      <c r="L215" s="263" t="e">
        <f>VLOOKUP($I215,'[5]RCLIPS수신(이지론플러스)_최종'!$C:$F,4,0)</f>
        <v>#N/A</v>
      </c>
      <c r="M215" s="263" t="str">
        <f t="shared" si="21"/>
        <v>-00000000000002</v>
      </c>
    </row>
    <row r="216" spans="1:13">
      <c r="A216" s="263"/>
      <c r="B216" s="429">
        <f t="shared" si="22"/>
        <v>4261</v>
      </c>
      <c r="C216" s="429">
        <f t="shared" si="23"/>
        <v>4266</v>
      </c>
      <c r="D216" s="430" t="str">
        <f t="shared" si="18"/>
        <v>A4060</v>
      </c>
      <c r="E216" s="430" t="str">
        <f>VLOOKUP(D216,'RCLIPS송신(이지론플러스)_최종'!$B:$E,4,0)</f>
        <v>장기카드대출미해지대출기관수</v>
      </c>
      <c r="F216" s="430">
        <f>VLOOKUP($D216,'RCLIPS송신(이지론플러스)_최종'!$B:$D,2,0)</f>
        <v>0</v>
      </c>
      <c r="G216" s="430">
        <f>VLOOKUP($D216,'RCLIPS송신(이지론플러스)_최종'!$B:$D,3,0)</f>
        <v>0</v>
      </c>
      <c r="H216" s="430" t="str">
        <f t="shared" si="19"/>
        <v>000000000000000</v>
      </c>
      <c r="I216" s="263" t="str">
        <f t="shared" si="20"/>
        <v>W0043</v>
      </c>
      <c r="J216" s="263" t="e">
        <f>VLOOKUP($I216,'[5]RCLIPS수신(이지론플러스)_최종'!$C:$F,2,0)</f>
        <v>#N/A</v>
      </c>
      <c r="K216" s="263" t="e">
        <f>VLOOKUP($I216,'[5]RCLIPS수신(이지론플러스)_최종'!$C:$F,3,0)</f>
        <v>#N/A</v>
      </c>
      <c r="L216" s="263" t="e">
        <f>VLOOKUP($I216,'[5]RCLIPS수신(이지론플러스)_최종'!$C:$F,4,0)</f>
        <v>#N/A</v>
      </c>
      <c r="M216" s="263" t="str">
        <f t="shared" si="21"/>
        <v>000000000000000</v>
      </c>
    </row>
    <row r="217" spans="1:13">
      <c r="A217" s="263"/>
      <c r="B217" s="429">
        <f t="shared" si="22"/>
        <v>4281</v>
      </c>
      <c r="C217" s="429">
        <f t="shared" si="23"/>
        <v>4286</v>
      </c>
      <c r="D217" s="430" t="str">
        <f t="shared" si="18"/>
        <v>A4061</v>
      </c>
      <c r="E217" s="430" t="str">
        <f>VLOOKUP(D217,'RCLIPS송신(이지론플러스)_최종'!$B:$E,4,0)</f>
        <v>KCB은행업권대출건수_N15</v>
      </c>
      <c r="F217" s="430">
        <f>VLOOKUP($D217,'RCLIPS송신(이지론플러스)_최종'!$B:$D,2,0)</f>
        <v>0</v>
      </c>
      <c r="G217" s="430">
        <f>VLOOKUP($D217,'RCLIPS송신(이지론플러스)_최종'!$B:$D,3,0)</f>
        <v>0</v>
      </c>
      <c r="H217" s="430" t="str">
        <f t="shared" si="19"/>
        <v>000000000000001</v>
      </c>
      <c r="I217" s="263" t="str">
        <f t="shared" si="20"/>
        <v>W0044</v>
      </c>
      <c r="J217" s="263" t="e">
        <f>VLOOKUP($I217,'[5]RCLIPS수신(이지론플러스)_최종'!$C:$F,2,0)</f>
        <v>#N/A</v>
      </c>
      <c r="K217" s="263" t="e">
        <f>VLOOKUP($I217,'[5]RCLIPS수신(이지론플러스)_최종'!$C:$F,3,0)</f>
        <v>#N/A</v>
      </c>
      <c r="L217" s="263" t="e">
        <f>VLOOKUP($I217,'[5]RCLIPS수신(이지론플러스)_최종'!$C:$F,4,0)</f>
        <v>#N/A</v>
      </c>
      <c r="M217" s="263" t="str">
        <f t="shared" si="21"/>
        <v>000000000000008</v>
      </c>
    </row>
    <row r="218" spans="1:13">
      <c r="A218" s="263"/>
      <c r="B218" s="429">
        <f t="shared" si="22"/>
        <v>4301</v>
      </c>
      <c r="C218" s="429">
        <f t="shared" si="23"/>
        <v>4306</v>
      </c>
      <c r="D218" s="430" t="str">
        <f t="shared" si="18"/>
        <v>A4062</v>
      </c>
      <c r="E218" s="430" t="str">
        <f>VLOOKUP(D218,'RCLIPS송신(이지론플러스)_최종'!$B:$E,4,0)</f>
        <v>다중채무대상대출기관수_K</v>
      </c>
      <c r="F218" s="430">
        <f>VLOOKUP($D218,'RCLIPS송신(이지론플러스)_최종'!$B:$D,2,0)</f>
        <v>0</v>
      </c>
      <c r="G218" s="430">
        <f>VLOOKUP($D218,'RCLIPS송신(이지론플러스)_최종'!$B:$D,3,0)</f>
        <v>0</v>
      </c>
      <c r="H218" s="430" t="str">
        <f t="shared" si="19"/>
        <v>000000000000000</v>
      </c>
      <c r="I218" s="263" t="str">
        <f t="shared" si="20"/>
        <v>W0045</v>
      </c>
      <c r="J218" s="263" t="e">
        <f>VLOOKUP($I218,'[5]RCLIPS수신(이지론플러스)_최종'!$C:$F,2,0)</f>
        <v>#N/A</v>
      </c>
      <c r="K218" s="263" t="e">
        <f>VLOOKUP($I218,'[5]RCLIPS수신(이지론플러스)_최종'!$C:$F,3,0)</f>
        <v>#N/A</v>
      </c>
      <c r="L218" s="263" t="e">
        <f>VLOOKUP($I218,'[5]RCLIPS수신(이지론플러스)_최종'!$C:$F,4,0)</f>
        <v>#N/A</v>
      </c>
      <c r="M218" s="263" t="str">
        <f t="shared" si="21"/>
        <v>000000000000002</v>
      </c>
    </row>
    <row r="219" spans="1:13">
      <c r="A219" s="263"/>
      <c r="B219" s="429">
        <f t="shared" si="22"/>
        <v>4321</v>
      </c>
      <c r="C219" s="429">
        <f t="shared" si="23"/>
        <v>4326</v>
      </c>
      <c r="D219" s="430" t="str">
        <f t="shared" si="18"/>
        <v>A4063</v>
      </c>
      <c r="E219" s="430" t="str">
        <f>VLOOKUP(D219,'RCLIPS송신(이지론플러스)_최종'!$B:$E,4,0)</f>
        <v>비대면연계대출등급</v>
      </c>
      <c r="F219" s="430">
        <f>VLOOKUP($D219,'RCLIPS송신(이지론플러스)_최종'!$B:$D,2,0)</f>
        <v>0</v>
      </c>
      <c r="G219" s="430">
        <f>VLOOKUP($D219,'RCLIPS송신(이지론플러스)_최종'!$B:$D,3,0)</f>
        <v>0</v>
      </c>
      <c r="H219" s="430" t="str">
        <f t="shared" si="19"/>
        <v xml:space="preserve">02             </v>
      </c>
      <c r="I219" s="263" t="str">
        <f t="shared" si="20"/>
        <v>W0046</v>
      </c>
      <c r="J219" s="263" t="e">
        <f>VLOOKUP($I219,'[5]RCLIPS수신(이지론플러스)_최종'!$C:$F,2,0)</f>
        <v>#N/A</v>
      </c>
      <c r="K219" s="263" t="e">
        <f>VLOOKUP($I219,'[5]RCLIPS수신(이지론플러스)_최종'!$C:$F,3,0)</f>
        <v>#N/A</v>
      </c>
      <c r="L219" s="263" t="e">
        <f>VLOOKUP($I219,'[5]RCLIPS수신(이지론플러스)_최종'!$C:$F,4,0)</f>
        <v>#N/A</v>
      </c>
      <c r="M219" s="263" t="str">
        <f t="shared" si="21"/>
        <v>000000000000001</v>
      </c>
    </row>
    <row r="220" spans="1:13">
      <c r="A220" s="263"/>
      <c r="B220" s="429">
        <f t="shared" si="22"/>
        <v>4341</v>
      </c>
      <c r="C220" s="429">
        <f t="shared" si="23"/>
        <v>4346</v>
      </c>
      <c r="D220" s="430" t="str">
        <f t="shared" si="18"/>
        <v>A4064</v>
      </c>
      <c r="E220" s="430" t="str">
        <f>VLOOKUP(D220,'RCLIPS송신(이지론플러스)_최종'!$B:$E,4,0)</f>
        <v>주택보유자산의제소득</v>
      </c>
      <c r="F220" s="430">
        <f>VLOOKUP($D220,'RCLIPS송신(이지론플러스)_최종'!$B:$D,2,0)</f>
        <v>0</v>
      </c>
      <c r="G220" s="430">
        <f>VLOOKUP($D220,'RCLIPS송신(이지론플러스)_최종'!$B:$D,3,0)</f>
        <v>0</v>
      </c>
      <c r="H220" s="430" t="str">
        <f t="shared" si="19"/>
        <v>000000000000000</v>
      </c>
      <c r="I220" s="263" t="str">
        <f t="shared" si="20"/>
        <v>W0047</v>
      </c>
      <c r="J220" s="263" t="e">
        <f>VLOOKUP($I220,'[5]RCLIPS수신(이지론플러스)_최종'!$C:$F,2,0)</f>
        <v>#N/A</v>
      </c>
      <c r="K220" s="263" t="e">
        <f>VLOOKUP($I220,'[5]RCLIPS수신(이지론플러스)_최종'!$C:$F,3,0)</f>
        <v>#N/A</v>
      </c>
      <c r="L220" s="263" t="e">
        <f>VLOOKUP($I220,'[5]RCLIPS수신(이지론플러스)_최종'!$C:$F,4,0)</f>
        <v>#N/A</v>
      </c>
      <c r="M220" s="263" t="str">
        <f t="shared" si="21"/>
        <v>000000000000001</v>
      </c>
    </row>
    <row r="221" spans="1:13">
      <c r="A221" s="263"/>
      <c r="B221" s="429">
        <f t="shared" si="22"/>
        <v>4361</v>
      </c>
      <c r="C221" s="429">
        <f t="shared" si="23"/>
        <v>4366</v>
      </c>
      <c r="D221" s="430" t="str">
        <f t="shared" si="18"/>
        <v>A4065</v>
      </c>
      <c r="E221" s="430" t="str">
        <f>VLOOKUP(D221,'RCLIPS송신(이지론플러스)_최종'!$B:$E,4,0)</f>
        <v>주택미보유포함자산의제소득</v>
      </c>
      <c r="F221" s="430">
        <f>VLOOKUP($D221,'RCLIPS송신(이지론플러스)_최종'!$B:$D,2,0)</f>
        <v>0</v>
      </c>
      <c r="G221" s="430">
        <f>VLOOKUP($D221,'RCLIPS송신(이지론플러스)_최종'!$B:$D,3,0)</f>
        <v>0</v>
      </c>
      <c r="H221" s="430" t="str">
        <f t="shared" si="19"/>
        <v>000000000000000</v>
      </c>
      <c r="I221" s="263" t="str">
        <f t="shared" si="20"/>
        <v>W0048</v>
      </c>
      <c r="J221" s="263" t="e">
        <f>VLOOKUP($I221,'[5]RCLIPS수신(이지론플러스)_최종'!$C:$F,2,0)</f>
        <v>#N/A</v>
      </c>
      <c r="K221" s="263" t="e">
        <f>VLOOKUP($I221,'[5]RCLIPS수신(이지론플러스)_최종'!$C:$F,3,0)</f>
        <v>#N/A</v>
      </c>
      <c r="L221" s="263" t="e">
        <f>VLOOKUP($I221,'[5]RCLIPS수신(이지론플러스)_최종'!$C:$F,4,0)</f>
        <v>#N/A</v>
      </c>
      <c r="M221" s="263" t="str">
        <f t="shared" si="21"/>
        <v>000000000000007</v>
      </c>
    </row>
    <row r="222" spans="1:13">
      <c r="A222" s="263"/>
      <c r="B222" s="429">
        <f t="shared" si="22"/>
        <v>4381</v>
      </c>
      <c r="C222" s="429">
        <f t="shared" si="23"/>
        <v>4386</v>
      </c>
      <c r="D222" s="430" t="str">
        <f t="shared" si="18"/>
        <v>A4066</v>
      </c>
      <c r="E222" s="430" t="str">
        <f>VLOOKUP(D222,'RCLIPS송신(이지론플러스)_최종'!$B:$E,4,0)</f>
        <v>비대면신용개설가능지수등급</v>
      </c>
      <c r="F222" s="430">
        <f>VLOOKUP($D222,'RCLIPS송신(이지론플러스)_최종'!$B:$D,2,0)</f>
        <v>0</v>
      </c>
      <c r="G222" s="430">
        <f>VLOOKUP($D222,'RCLIPS송신(이지론플러스)_최종'!$B:$D,3,0)</f>
        <v>0</v>
      </c>
      <c r="H222" s="430" t="str">
        <f t="shared" si="19"/>
        <v>000000000000006</v>
      </c>
      <c r="I222" s="263" t="str">
        <f t="shared" si="20"/>
        <v>W0049</v>
      </c>
      <c r="J222" s="263" t="e">
        <f>VLOOKUP($I222,'[5]RCLIPS수신(이지론플러스)_최종'!$C:$F,2,0)</f>
        <v>#N/A</v>
      </c>
      <c r="K222" s="263" t="e">
        <f>VLOOKUP($I222,'[5]RCLIPS수신(이지론플러스)_최종'!$C:$F,3,0)</f>
        <v>#N/A</v>
      </c>
      <c r="L222" s="263" t="e">
        <f>VLOOKUP($I222,'[5]RCLIPS수신(이지론플러스)_최종'!$C:$F,4,0)</f>
        <v>#N/A</v>
      </c>
      <c r="M222" s="263" t="str">
        <f t="shared" si="21"/>
        <v>000000000000004</v>
      </c>
    </row>
    <row r="223" spans="1:13">
      <c r="A223" s="263"/>
      <c r="B223" s="429">
        <f t="shared" si="22"/>
        <v>4401</v>
      </c>
      <c r="C223" s="429">
        <f t="shared" si="23"/>
        <v>4406</v>
      </c>
      <c r="D223" s="430" t="str">
        <f t="shared" si="18"/>
        <v>A4067</v>
      </c>
      <c r="E223" s="430" t="str">
        <f>VLOOKUP(D223,'RCLIPS송신(이지론플러스)_최종'!$B:$E,4,0)</f>
        <v>비대면신용개설가능지수지표</v>
      </c>
      <c r="F223" s="430">
        <f>VLOOKUP($D223,'RCLIPS송신(이지론플러스)_최종'!$B:$D,2,0)</f>
        <v>0</v>
      </c>
      <c r="G223" s="430">
        <f>VLOOKUP($D223,'RCLIPS송신(이지론플러스)_최종'!$B:$D,3,0)</f>
        <v>0</v>
      </c>
      <c r="H223" s="430" t="str">
        <f t="shared" si="19"/>
        <v xml:space="preserve">S              </v>
      </c>
      <c r="I223" s="263" t="str">
        <f t="shared" si="20"/>
        <v>W0050</v>
      </c>
      <c r="J223" s="263" t="e">
        <f>VLOOKUP($I223,'[5]RCLIPS수신(이지론플러스)_최종'!$C:$F,2,0)</f>
        <v>#N/A</v>
      </c>
      <c r="K223" s="263" t="e">
        <f>VLOOKUP($I223,'[5]RCLIPS수신(이지론플러스)_최종'!$C:$F,3,0)</f>
        <v>#N/A</v>
      </c>
      <c r="L223" s="263" t="e">
        <f>VLOOKUP($I223,'[5]RCLIPS수신(이지론플러스)_최종'!$C:$F,4,0)</f>
        <v>#N/A</v>
      </c>
      <c r="M223" s="263" t="str">
        <f t="shared" si="21"/>
        <v>000000000000017</v>
      </c>
    </row>
    <row r="224" spans="1:13">
      <c r="A224" s="263"/>
      <c r="B224" s="429">
        <f t="shared" si="22"/>
        <v>4421</v>
      </c>
      <c r="C224" s="429">
        <f t="shared" si="23"/>
        <v>4426</v>
      </c>
      <c r="D224" s="430" t="str">
        <f t="shared" si="18"/>
        <v>A4068</v>
      </c>
      <c r="E224" s="430" t="str">
        <f>VLOOKUP(D224,'RCLIPS송신(이지론플러스)_최종'!$B:$E,4,0)</f>
        <v>소호변동성지수등급</v>
      </c>
      <c r="F224" s="430" t="str">
        <f>VLOOKUP($D224,'RCLIPS송신(이지론플러스)_최종'!$B:$D,2,0)</f>
        <v>String</v>
      </c>
      <c r="G224" s="430">
        <f>VLOOKUP($D224,'RCLIPS송신(이지론플러스)_최종'!$B:$D,3,0)</f>
        <v>0</v>
      </c>
      <c r="H224" s="430" t="str">
        <f t="shared" si="19"/>
        <v xml:space="preserve">04             </v>
      </c>
      <c r="I224" s="263" t="str">
        <f t="shared" si="20"/>
        <v>W0051</v>
      </c>
      <c r="J224" s="263" t="e">
        <f>VLOOKUP($I224,'[5]RCLIPS수신(이지론플러스)_최종'!$C:$F,2,0)</f>
        <v>#N/A</v>
      </c>
      <c r="K224" s="263" t="e">
        <f>VLOOKUP($I224,'[5]RCLIPS수신(이지론플러스)_최종'!$C:$F,3,0)</f>
        <v>#N/A</v>
      </c>
      <c r="L224" s="263" t="e">
        <f>VLOOKUP($I224,'[5]RCLIPS수신(이지론플러스)_최종'!$C:$F,4,0)</f>
        <v>#N/A</v>
      </c>
      <c r="M224" s="263" t="str">
        <f t="shared" si="21"/>
        <v>-00000000000005</v>
      </c>
    </row>
    <row r="225" spans="1:13">
      <c r="A225" s="263"/>
      <c r="B225" s="429">
        <f t="shared" si="22"/>
        <v>4441</v>
      </c>
      <c r="C225" s="429">
        <f t="shared" si="23"/>
        <v>4446</v>
      </c>
      <c r="D225" s="430" t="str">
        <f t="shared" si="18"/>
        <v>A4069</v>
      </c>
      <c r="E225" s="430" t="str">
        <f>VLOOKUP(D225,'RCLIPS송신(이지론플러스)_최종'!$B:$E,4,0)</f>
        <v>소호변동성지수고변동여부</v>
      </c>
      <c r="F225" s="430" t="str">
        <f>VLOOKUP($D225,'RCLIPS송신(이지론플러스)_최종'!$B:$D,2,0)</f>
        <v>String</v>
      </c>
      <c r="G225" s="430">
        <f>VLOOKUP($D225,'RCLIPS송신(이지론플러스)_최종'!$B:$D,3,0)</f>
        <v>0</v>
      </c>
      <c r="H225" s="430" t="str">
        <f t="shared" si="19"/>
        <v xml:space="preserve">N              </v>
      </c>
      <c r="I225" s="263" t="str">
        <f t="shared" si="20"/>
        <v>W0052</v>
      </c>
      <c r="J225" s="263" t="e">
        <f>VLOOKUP($I225,'[5]RCLIPS수신(이지론플러스)_최종'!$C:$F,2,0)</f>
        <v>#N/A</v>
      </c>
      <c r="K225" s="263" t="e">
        <f>VLOOKUP($I225,'[5]RCLIPS수신(이지론플러스)_최종'!$C:$F,3,0)</f>
        <v>#N/A</v>
      </c>
      <c r="L225" s="263" t="e">
        <f>VLOOKUP($I225,'[5]RCLIPS수신(이지론플러스)_최종'!$C:$F,4,0)</f>
        <v>#N/A</v>
      </c>
      <c r="M225" s="263" t="str">
        <f t="shared" si="21"/>
        <v>-00000000000001</v>
      </c>
    </row>
    <row r="226" spans="1:13">
      <c r="A226" s="263"/>
      <c r="B226" s="429">
        <f t="shared" si="22"/>
        <v>4461</v>
      </c>
      <c r="C226" s="429">
        <f t="shared" si="23"/>
        <v>4466</v>
      </c>
      <c r="D226" s="430" t="str">
        <f t="shared" si="18"/>
        <v>A4070</v>
      </c>
      <c r="E226" s="430" t="str">
        <f>VLOOKUP(D226,'RCLIPS송신(이지론플러스)_최종'!$B:$E,4,0)</f>
        <v>소호변동성지수ML조정등급</v>
      </c>
      <c r="F226" s="430" t="str">
        <f>VLOOKUP($D226,'RCLIPS송신(이지론플러스)_최종'!$B:$D,2,0)</f>
        <v>String</v>
      </c>
      <c r="G226" s="430">
        <f>VLOOKUP($D226,'RCLIPS송신(이지론플러스)_최종'!$B:$D,3,0)</f>
        <v>0</v>
      </c>
      <c r="H226" s="430" t="str">
        <f t="shared" si="19"/>
        <v xml:space="preserve">0              </v>
      </c>
      <c r="I226" s="263" t="str">
        <f t="shared" si="20"/>
        <v>W0053</v>
      </c>
      <c r="J226" s="263" t="e">
        <f>VLOOKUP($I226,'[5]RCLIPS수신(이지론플러스)_최종'!$C:$F,2,0)</f>
        <v>#N/A</v>
      </c>
      <c r="K226" s="263" t="e">
        <f>VLOOKUP($I226,'[5]RCLIPS수신(이지론플러스)_최종'!$C:$F,3,0)</f>
        <v>#N/A</v>
      </c>
      <c r="L226" s="263" t="e">
        <f>VLOOKUP($I226,'[5]RCLIPS수신(이지론플러스)_최종'!$C:$F,4,0)</f>
        <v>#N/A</v>
      </c>
      <c r="M226" s="263" t="str">
        <f t="shared" si="21"/>
        <v>000000000000006</v>
      </c>
    </row>
    <row r="227" spans="1:13">
      <c r="A227" s="263"/>
      <c r="B227" s="429">
        <f t="shared" si="22"/>
        <v>4481</v>
      </c>
      <c r="C227" s="429">
        <f t="shared" si="23"/>
        <v>4486</v>
      </c>
      <c r="D227" s="430" t="str">
        <f t="shared" si="18"/>
        <v>A4071</v>
      </c>
      <c r="E227" s="430" t="str">
        <f>VLOOKUP(D227,'RCLIPS송신(이지론플러스)_최종'!$B:$E,4,0)</f>
        <v>KCB_POSITIVE등급</v>
      </c>
      <c r="F227" s="430" t="str">
        <f>VLOOKUP($D227,'RCLIPS송신(이지론플러스)_최종'!$B:$D,2,0)</f>
        <v>String</v>
      </c>
      <c r="G227" s="430">
        <f>VLOOKUP($D227,'RCLIPS송신(이지론플러스)_최종'!$B:$D,3,0)</f>
        <v>0</v>
      </c>
      <c r="H227" s="430" t="str">
        <f t="shared" si="19"/>
        <v xml:space="preserve">05             </v>
      </c>
      <c r="I227" s="263" t="str">
        <f t="shared" si="20"/>
        <v>W0054</v>
      </c>
      <c r="J227" s="263" t="e">
        <f>VLOOKUP($I227,'[5]RCLIPS수신(이지론플러스)_최종'!$C:$F,2,0)</f>
        <v>#N/A</v>
      </c>
      <c r="K227" s="263" t="e">
        <f>VLOOKUP($I227,'[5]RCLIPS수신(이지론플러스)_최종'!$C:$F,3,0)</f>
        <v>#N/A</v>
      </c>
      <c r="L227" s="263" t="e">
        <f>VLOOKUP($I227,'[5]RCLIPS수신(이지론플러스)_최종'!$C:$F,4,0)</f>
        <v>#N/A</v>
      </c>
      <c r="M227" s="263" t="str">
        <f t="shared" si="21"/>
        <v>-00000000000001</v>
      </c>
    </row>
    <row r="228" spans="1:13">
      <c r="A228" s="263"/>
      <c r="B228" s="429">
        <f t="shared" si="22"/>
        <v>4501</v>
      </c>
      <c r="C228" s="429">
        <f t="shared" si="23"/>
        <v>4506</v>
      </c>
      <c r="D228" s="430" t="str">
        <f t="shared" si="18"/>
        <v>A7001</v>
      </c>
      <c r="E228" s="430" t="str">
        <f>VLOOKUP(D228,'RCLIPS송신(이지론플러스)_최종'!$B:$E,4,0)</f>
        <v>신정원원리금상환금액</v>
      </c>
      <c r="F228" s="430" t="str">
        <f>VLOOKUP($D228,'RCLIPS송신(이지론플러스)_최종'!$B:$D,2,0)</f>
        <v>Numeric</v>
      </c>
      <c r="G228" s="430">
        <f>VLOOKUP($D228,'RCLIPS송신(이지론플러스)_최종'!$B:$D,3,0)</f>
        <v>12</v>
      </c>
      <c r="H228" s="430" t="str">
        <f t="shared" si="19"/>
        <v>000000000000777</v>
      </c>
      <c r="I228" s="263" t="str">
        <f t="shared" si="20"/>
        <v>W0055</v>
      </c>
      <c r="J228" s="263" t="e">
        <f>VLOOKUP($I228,'[5]RCLIPS수신(이지론플러스)_최종'!$C:$F,2,0)</f>
        <v>#N/A</v>
      </c>
      <c r="K228" s="263" t="e">
        <f>VLOOKUP($I228,'[5]RCLIPS수신(이지론플러스)_최종'!$C:$F,3,0)</f>
        <v>#N/A</v>
      </c>
      <c r="L228" s="263" t="e">
        <f>VLOOKUP($I228,'[5]RCLIPS수신(이지론플러스)_최종'!$C:$F,4,0)</f>
        <v>#N/A</v>
      </c>
      <c r="M228" s="263" t="str">
        <f t="shared" si="21"/>
        <v>000000000000001</v>
      </c>
    </row>
    <row r="229" spans="1:13">
      <c r="A229" s="263"/>
      <c r="B229" s="429">
        <f t="shared" si="22"/>
        <v>4521</v>
      </c>
      <c r="C229" s="429">
        <f t="shared" si="23"/>
        <v>4526</v>
      </c>
      <c r="D229" s="430" t="str">
        <f t="shared" si="18"/>
        <v>A7002</v>
      </c>
      <c r="E229" s="430" t="str">
        <f>VLOOKUP(D229,'RCLIPS송신(이지론플러스)_최종'!$B:$E,4,0)</f>
        <v>표준DSR업권코드</v>
      </c>
      <c r="F229" s="430" t="str">
        <f>VLOOKUP($D229,'RCLIPS송신(이지론플러스)_최종'!$B:$D,2,0)</f>
        <v>Numeric</v>
      </c>
      <c r="G229" s="430">
        <f>VLOOKUP($D229,'RCLIPS송신(이지론플러스)_최종'!$B:$D,3,0)</f>
        <v>2</v>
      </c>
      <c r="H229" s="430" t="str">
        <f t="shared" si="19"/>
        <v xml:space="preserve">23             </v>
      </c>
      <c r="I229" s="263" t="str">
        <f t="shared" si="20"/>
        <v>W0056</v>
      </c>
      <c r="J229" s="263" t="e">
        <f>VLOOKUP($I229,'[5]RCLIPS수신(이지론플러스)_최종'!$C:$F,2,0)</f>
        <v>#N/A</v>
      </c>
      <c r="K229" s="263" t="e">
        <f>VLOOKUP($I229,'[5]RCLIPS수신(이지론플러스)_최종'!$C:$F,3,0)</f>
        <v>#N/A</v>
      </c>
      <c r="L229" s="263" t="e">
        <f>VLOOKUP($I229,'[5]RCLIPS수신(이지론플러스)_최종'!$C:$F,4,0)</f>
        <v>#N/A</v>
      </c>
      <c r="M229" s="263" t="str">
        <f t="shared" si="21"/>
        <v>000000000000001</v>
      </c>
    </row>
    <row r="230" spans="1:13">
      <c r="A230" s="263"/>
      <c r="B230" s="429">
        <f t="shared" si="22"/>
        <v>4541</v>
      </c>
      <c r="C230" s="429">
        <f t="shared" si="23"/>
        <v>4546</v>
      </c>
      <c r="D230" s="430" t="str">
        <f t="shared" si="18"/>
        <v>A7003</v>
      </c>
      <c r="E230" s="430" t="str">
        <f>VLOOKUP(D230,'RCLIPS송신(이지론플러스)_최종'!$B:$E,4,0)</f>
        <v xml:space="preserve">신용대출잔액_신정원 </v>
      </c>
      <c r="F230" s="430" t="str">
        <f>VLOOKUP($D230,'RCLIPS송신(이지론플러스)_최종'!$B:$D,2,0)</f>
        <v>Numeric</v>
      </c>
      <c r="G230" s="430">
        <f>VLOOKUP($D230,'RCLIPS송신(이지론플러스)_최종'!$B:$D,3,0)</f>
        <v>15</v>
      </c>
      <c r="H230" s="430" t="str">
        <f t="shared" si="19"/>
        <v>000000000003000</v>
      </c>
      <c r="I230" s="263" t="str">
        <f t="shared" si="20"/>
        <v>KORLT</v>
      </c>
      <c r="J230" s="263" t="e">
        <f>VLOOKUP($I230,'[5]RCLIPS수신(이지론플러스)_최종'!$C:$F,2,0)</f>
        <v>#N/A</v>
      </c>
      <c r="K230" s="263" t="e">
        <f>VLOOKUP($I230,'[5]RCLIPS수신(이지론플러스)_최종'!$C:$F,3,0)</f>
        <v>#N/A</v>
      </c>
      <c r="L230" s="263" t="e">
        <f>VLOOKUP($I230,'[5]RCLIPS수신(이지론플러스)_최종'!$C:$F,4,0)</f>
        <v>#N/A</v>
      </c>
      <c r="M230" s="263" t="str">
        <f t="shared" si="21"/>
        <v>K109</v>
      </c>
    </row>
    <row r="231" spans="1:13">
      <c r="A231" s="263"/>
      <c r="B231" s="429">
        <f t="shared" si="22"/>
        <v>4561</v>
      </c>
      <c r="C231" s="429">
        <f t="shared" si="23"/>
        <v>4566</v>
      </c>
      <c r="D231" s="430" t="str">
        <f t="shared" si="18"/>
        <v>A7004</v>
      </c>
      <c r="E231" s="430" t="str">
        <f>VLOOKUP(D231,'RCLIPS송신(이지론플러스)_최종'!$B:$E,4,0)</f>
        <v xml:space="preserve">카드론대출잔액_신정원_당일포함  </v>
      </c>
      <c r="F231" s="430" t="str">
        <f>VLOOKUP($D231,'RCLIPS송신(이지론플러스)_최종'!$B:$D,2,0)</f>
        <v>Numeric</v>
      </c>
      <c r="G231" s="430">
        <f>VLOOKUP($D231,'RCLIPS송신(이지론플러스)_최종'!$B:$D,3,0)</f>
        <v>15</v>
      </c>
      <c r="H231" s="430" t="str">
        <f t="shared" si="19"/>
        <v>000000000000000</v>
      </c>
      <c r="I231" s="263" t="str">
        <f t="shared" si="20"/>
        <v/>
      </c>
      <c r="J231" s="263" t="e">
        <f>VLOOKUP($I231,'[5]RCLIPS수신(이지론플러스)_최종'!$C:$F,2,0)</f>
        <v>#N/A</v>
      </c>
      <c r="K231" s="263" t="e">
        <f>VLOOKUP($I231,'[5]RCLIPS수신(이지론플러스)_최종'!$C:$F,3,0)</f>
        <v>#N/A</v>
      </c>
      <c r="L231" s="263" t="e">
        <f>VLOOKUP($I231,'[5]RCLIPS수신(이지론플러스)_최종'!$C:$F,4,0)</f>
        <v>#N/A</v>
      </c>
      <c r="M231" s="263" t="str">
        <f t="shared" si="21"/>
        <v/>
      </c>
    </row>
    <row r="232" spans="1:13">
      <c r="A232" s="263"/>
      <c r="B232" s="429">
        <f t="shared" si="22"/>
        <v>4581</v>
      </c>
      <c r="C232" s="429">
        <f t="shared" si="23"/>
        <v>4586</v>
      </c>
      <c r="D232" s="430" t="str">
        <f t="shared" si="18"/>
        <v>A7005</v>
      </c>
      <c r="E232" s="430" t="str">
        <f>VLOOKUP(D232,'RCLIPS송신(이지론플러스)_최종'!$B:$E,4,0)</f>
        <v xml:space="preserve">대출총잔액_신정원  </v>
      </c>
      <c r="F232" s="430" t="str">
        <f>VLOOKUP($D232,'RCLIPS송신(이지론플러스)_최종'!$B:$D,2,0)</f>
        <v>Numeric</v>
      </c>
      <c r="G232" s="430">
        <f>VLOOKUP($D232,'RCLIPS송신(이지론플러스)_최종'!$B:$D,3,0)</f>
        <v>15</v>
      </c>
      <c r="H232" s="430" t="str">
        <f t="shared" si="19"/>
        <v>000000000003000</v>
      </c>
      <c r="I232" s="263" t="str">
        <f t="shared" si="20"/>
        <v/>
      </c>
      <c r="J232" s="263" t="e">
        <f>VLOOKUP($I232,'[5]RCLIPS수신(이지론플러스)_최종'!$C:$F,2,0)</f>
        <v>#N/A</v>
      </c>
      <c r="K232" s="263" t="e">
        <f>VLOOKUP($I232,'[5]RCLIPS수신(이지론플러스)_최종'!$C:$F,3,0)</f>
        <v>#N/A</v>
      </c>
      <c r="L232" s="263" t="e">
        <f>VLOOKUP($I232,'[5]RCLIPS수신(이지론플러스)_최종'!$C:$F,4,0)</f>
        <v>#N/A</v>
      </c>
      <c r="M232" s="263" t="str">
        <f t="shared" si="21"/>
        <v/>
      </c>
    </row>
    <row r="233" spans="1:13">
      <c r="A233" s="263"/>
      <c r="B233" s="429">
        <f t="shared" si="22"/>
        <v>4601</v>
      </c>
      <c r="C233" s="429">
        <f t="shared" si="23"/>
        <v>4606</v>
      </c>
      <c r="D233" s="430" t="str">
        <f t="shared" si="18"/>
        <v>A7007</v>
      </c>
      <c r="E233" s="430" t="str">
        <f>VLOOKUP(D233,'RCLIPS송신(이지론플러스)_최종'!$B:$E,4,0)</f>
        <v>신용대출잔액_신정원</v>
      </c>
      <c r="F233" s="430" t="str">
        <f>VLOOKUP($D233,'RCLIPS송신(이지론플러스)_최종'!$B:$D,2,0)</f>
        <v>Numeric</v>
      </c>
      <c r="G233" s="430">
        <f>VLOOKUP($D233,'RCLIPS송신(이지론플러스)_최종'!$B:$D,3,0)</f>
        <v>15</v>
      </c>
      <c r="H233" s="430" t="str">
        <f t="shared" si="19"/>
        <v>000000000003000</v>
      </c>
      <c r="I233" s="263" t="str">
        <f t="shared" si="20"/>
        <v/>
      </c>
      <c r="J233" s="263" t="e">
        <f>VLOOKUP($I233,'[5]RCLIPS수신(이지론플러스)_최종'!$C:$F,2,0)</f>
        <v>#N/A</v>
      </c>
      <c r="K233" s="263" t="e">
        <f>VLOOKUP($I233,'[5]RCLIPS수신(이지론플러스)_최종'!$C:$F,3,0)</f>
        <v>#N/A</v>
      </c>
      <c r="L233" s="263" t="e">
        <f>VLOOKUP($I233,'[5]RCLIPS수신(이지론플러스)_최종'!$C:$F,4,0)</f>
        <v>#N/A</v>
      </c>
      <c r="M233" s="263" t="str">
        <f t="shared" si="21"/>
        <v/>
      </c>
    </row>
    <row r="234" spans="1:13">
      <c r="A234" s="263"/>
      <c r="B234" s="429">
        <f t="shared" si="22"/>
        <v>4621</v>
      </c>
      <c r="C234" s="429">
        <f t="shared" si="23"/>
        <v>4626</v>
      </c>
      <c r="D234" s="430" t="str">
        <f t="shared" si="18"/>
        <v>A7009</v>
      </c>
      <c r="E234" s="430" t="str">
        <f>VLOOKUP(D234,'RCLIPS송신(이지론플러스)_최종'!$B:$E,4,0)</f>
        <v>카드론잔액_신정원</v>
      </c>
      <c r="F234" s="430" t="str">
        <f>VLOOKUP($D234,'RCLIPS송신(이지론플러스)_최종'!$B:$D,2,0)</f>
        <v>Numeric</v>
      </c>
      <c r="G234" s="430">
        <f>VLOOKUP($D234,'RCLIPS송신(이지론플러스)_최종'!$B:$D,3,0)</f>
        <v>15</v>
      </c>
      <c r="H234" s="430" t="str">
        <f t="shared" si="19"/>
        <v>000000000000000</v>
      </c>
      <c r="I234" s="263" t="str">
        <f t="shared" si="20"/>
        <v/>
      </c>
      <c r="J234" s="263" t="e">
        <f>VLOOKUP($I234,'[5]RCLIPS수신(이지론플러스)_최종'!$C:$F,2,0)</f>
        <v>#N/A</v>
      </c>
      <c r="K234" s="263" t="e">
        <f>VLOOKUP($I234,'[5]RCLIPS수신(이지론플러스)_최종'!$C:$F,3,0)</f>
        <v>#N/A</v>
      </c>
      <c r="L234" s="263" t="e">
        <f>VLOOKUP($I234,'[5]RCLIPS수신(이지론플러스)_최종'!$C:$F,4,0)</f>
        <v>#N/A</v>
      </c>
      <c r="M234" s="263" t="str">
        <f t="shared" si="21"/>
        <v/>
      </c>
    </row>
    <row r="235" spans="1:13">
      <c r="A235" s="263"/>
      <c r="B235" s="429">
        <f t="shared" si="22"/>
        <v>4641</v>
      </c>
      <c r="C235" s="429">
        <f t="shared" si="23"/>
        <v>4646</v>
      </c>
      <c r="D235" s="430" t="str">
        <f t="shared" si="18"/>
        <v>A7011</v>
      </c>
      <c r="E235" s="430" t="str">
        <f>VLOOKUP(D235,'RCLIPS송신(이지론플러스)_최종'!$B:$E,4,0)</f>
        <v>CA잔액_신정원</v>
      </c>
      <c r="F235" s="430" t="str">
        <f>VLOOKUP($D235,'RCLIPS송신(이지론플러스)_최종'!$B:$D,2,0)</f>
        <v>Numeric</v>
      </c>
      <c r="G235" s="430">
        <f>VLOOKUP($D235,'RCLIPS송신(이지론플러스)_최종'!$B:$D,3,0)</f>
        <v>15</v>
      </c>
      <c r="H235" s="430" t="str">
        <f t="shared" si="19"/>
        <v>000000000000000</v>
      </c>
      <c r="I235" s="263" t="str">
        <f t="shared" si="20"/>
        <v/>
      </c>
      <c r="J235" s="263" t="e">
        <f>VLOOKUP($I235,'[5]RCLIPS수신(이지론플러스)_최종'!$C:$F,2,0)</f>
        <v>#N/A</v>
      </c>
      <c r="K235" s="263" t="e">
        <f>VLOOKUP($I235,'[5]RCLIPS수신(이지론플러스)_최종'!$C:$F,3,0)</f>
        <v>#N/A</v>
      </c>
      <c r="L235" s="263" t="e">
        <f>VLOOKUP($I235,'[5]RCLIPS수신(이지론플러스)_최종'!$C:$F,4,0)</f>
        <v>#N/A</v>
      </c>
      <c r="M235" s="263" t="str">
        <f t="shared" si="21"/>
        <v/>
      </c>
    </row>
    <row r="236" spans="1:13">
      <c r="A236" s="263"/>
      <c r="B236" s="429">
        <f t="shared" si="22"/>
        <v>4661</v>
      </c>
      <c r="C236" s="429">
        <f t="shared" si="23"/>
        <v>4666</v>
      </c>
      <c r="D236" s="430" t="str">
        <f t="shared" si="18"/>
        <v>A7013</v>
      </c>
      <c r="E236" s="430" t="str">
        <f>VLOOKUP(D236,'RCLIPS송신(이지론플러스)_최종'!$B:$E,4,0)</f>
        <v>CA이용기관수_신정원</v>
      </c>
      <c r="F236" s="430" t="str">
        <f>VLOOKUP($D236,'RCLIPS송신(이지론플러스)_최종'!$B:$D,2,0)</f>
        <v>Numeric</v>
      </c>
      <c r="G236" s="430">
        <f>VLOOKUP($D236,'RCLIPS송신(이지론플러스)_최종'!$B:$D,3,0)</f>
        <v>15</v>
      </c>
      <c r="H236" s="430" t="str">
        <f t="shared" si="19"/>
        <v>000000000000000</v>
      </c>
      <c r="I236" s="263" t="str">
        <f t="shared" si="20"/>
        <v/>
      </c>
      <c r="J236" s="263" t="e">
        <f>VLOOKUP($I236,'[5]RCLIPS수신(이지론플러스)_최종'!$C:$F,2,0)</f>
        <v>#N/A</v>
      </c>
      <c r="K236" s="263" t="e">
        <f>VLOOKUP($I236,'[5]RCLIPS수신(이지론플러스)_최종'!$C:$F,3,0)</f>
        <v>#N/A</v>
      </c>
      <c r="L236" s="263" t="e">
        <f>VLOOKUP($I236,'[5]RCLIPS수신(이지론플러스)_최종'!$C:$F,4,0)</f>
        <v>#N/A</v>
      </c>
      <c r="M236" s="263" t="str">
        <f t="shared" si="21"/>
        <v/>
      </c>
    </row>
    <row r="237" spans="1:13">
      <c r="A237" s="263"/>
      <c r="B237" s="429">
        <f t="shared" si="22"/>
        <v>4681</v>
      </c>
      <c r="C237" s="429">
        <f t="shared" si="23"/>
        <v>4686</v>
      </c>
      <c r="D237" s="430" t="str">
        <f t="shared" si="18"/>
        <v>A7014</v>
      </c>
      <c r="E237" s="430" t="str">
        <f>VLOOKUP(D237,'RCLIPS송신(이지론플러스)_최종'!$B:$E,4,0)</f>
        <v>카드론이용기관수_신정원</v>
      </c>
      <c r="F237" s="430" t="str">
        <f>VLOOKUP($D237,'RCLIPS송신(이지론플러스)_최종'!$B:$D,2,0)</f>
        <v>Numeric</v>
      </c>
      <c r="G237" s="430">
        <f>VLOOKUP($D237,'RCLIPS송신(이지론플러스)_최종'!$B:$D,3,0)</f>
        <v>15</v>
      </c>
      <c r="H237" s="430" t="str">
        <f t="shared" si="19"/>
        <v>000000000000000</v>
      </c>
      <c r="I237" s="263" t="str">
        <f t="shared" si="20"/>
        <v/>
      </c>
      <c r="J237" s="263" t="e">
        <f>VLOOKUP($I237,'[5]RCLIPS수신(이지론플러스)_최종'!$C:$F,2,0)</f>
        <v>#N/A</v>
      </c>
      <c r="K237" s="263" t="e">
        <f>VLOOKUP($I237,'[5]RCLIPS수신(이지론플러스)_최종'!$C:$F,3,0)</f>
        <v>#N/A</v>
      </c>
      <c r="L237" s="263" t="e">
        <f>VLOOKUP($I237,'[5]RCLIPS수신(이지론플러스)_최종'!$C:$F,4,0)</f>
        <v>#N/A</v>
      </c>
      <c r="M237" s="263" t="str">
        <f t="shared" si="21"/>
        <v/>
      </c>
    </row>
    <row r="238" spans="1:13">
      <c r="A238" s="263"/>
      <c r="B238" s="429">
        <f t="shared" si="22"/>
        <v>4701</v>
      </c>
      <c r="C238" s="429">
        <f t="shared" si="23"/>
        <v>4706</v>
      </c>
      <c r="D238" s="430" t="str">
        <f t="shared" si="18"/>
        <v>A7015</v>
      </c>
      <c r="E238" s="430" t="str">
        <f>VLOOKUP(D238,'RCLIPS송신(이지론플러스)_최종'!$B:$E,4,0)</f>
        <v>대출총잔액_DSR규제대상_신정원</v>
      </c>
      <c r="F238" s="430" t="str">
        <f>VLOOKUP($D238,'RCLIPS송신(이지론플러스)_최종'!$B:$D,2,0)</f>
        <v>Numeric</v>
      </c>
      <c r="G238" s="430">
        <f>VLOOKUP($D238,'RCLIPS송신(이지론플러스)_최종'!$B:$D,3,0)</f>
        <v>15</v>
      </c>
      <c r="H238" s="430" t="str">
        <f t="shared" si="19"/>
        <v>000000000000000</v>
      </c>
      <c r="I238" s="263" t="str">
        <f t="shared" si="20"/>
        <v/>
      </c>
      <c r="J238" s="263"/>
      <c r="K238" s="263"/>
      <c r="L238" s="263"/>
      <c r="M238" s="263" t="str">
        <f t="shared" si="21"/>
        <v/>
      </c>
    </row>
    <row r="239" spans="1:13">
      <c r="A239" s="263"/>
      <c r="B239" s="429">
        <f t="shared" si="22"/>
        <v>4721</v>
      </c>
      <c r="C239" s="429">
        <f t="shared" si="23"/>
        <v>4726</v>
      </c>
      <c r="D239" s="430" t="str">
        <f t="shared" si="18"/>
        <v>A7016</v>
      </c>
      <c r="E239" s="430" t="str">
        <f>VLOOKUP(D239,'RCLIPS송신(이지론플러스)_최종'!$B:$E,4,0)</f>
        <v xml:space="preserve">다중채무대상대출기관수_신정원 </v>
      </c>
      <c r="F239" s="430" t="str">
        <f>VLOOKUP($D239,'RCLIPS송신(이지론플러스)_최종'!$B:$D,2,0)</f>
        <v>Numeric</v>
      </c>
      <c r="G239" s="430">
        <f>VLOOKUP($D239,'RCLIPS송신(이지론플러스)_최종'!$B:$D,3,0)</f>
        <v>15</v>
      </c>
      <c r="H239" s="430" t="str">
        <f t="shared" si="19"/>
        <v>000000000000000</v>
      </c>
      <c r="I239" s="263" t="str">
        <f t="shared" si="20"/>
        <v/>
      </c>
      <c r="J239" s="263"/>
      <c r="K239" s="263"/>
      <c r="L239" s="263"/>
      <c r="M239" s="263" t="str">
        <f t="shared" si="21"/>
        <v/>
      </c>
    </row>
    <row r="240" spans="1:13">
      <c r="A240" s="263"/>
      <c r="B240" s="429">
        <f t="shared" si="22"/>
        <v>4741</v>
      </c>
      <c r="C240" s="429">
        <f t="shared" si="23"/>
        <v>4746</v>
      </c>
      <c r="D240" s="430" t="str">
        <f t="shared" si="18"/>
        <v>A7017</v>
      </c>
      <c r="E240" s="430" t="str">
        <f>VLOOKUP(D240,'RCLIPS송신(이지론플러스)_최종'!$B:$E,4,0)</f>
        <v>은행업권대출보유여부_신정원</v>
      </c>
      <c r="F240" s="430" t="str">
        <f>VLOOKUP($D240,'RCLIPS송신(이지론플러스)_최종'!$B:$D,2,0)</f>
        <v>String</v>
      </c>
      <c r="G240" s="430">
        <f>VLOOKUP($D240,'RCLIPS송신(이지론플러스)_최종'!$B:$D,3,0)</f>
        <v>1</v>
      </c>
      <c r="H240" s="430" t="str">
        <f t="shared" si="19"/>
        <v xml:space="preserve">1              </v>
      </c>
      <c r="I240" s="263" t="str">
        <f t="shared" si="20"/>
        <v/>
      </c>
      <c r="J240" s="263"/>
      <c r="K240" s="263"/>
      <c r="L240" s="263"/>
      <c r="M240" s="263" t="str">
        <f t="shared" si="21"/>
        <v/>
      </c>
    </row>
    <row r="241" spans="1:13">
      <c r="A241" s="263"/>
      <c r="B241" s="429">
        <f t="shared" si="22"/>
        <v>4761</v>
      </c>
      <c r="C241" s="429">
        <f t="shared" si="23"/>
        <v>4766</v>
      </c>
      <c r="D241" s="430" t="str">
        <f t="shared" si="18"/>
        <v>A7018</v>
      </c>
      <c r="E241" s="430" t="str">
        <f>VLOOKUP(D241,'RCLIPS송신(이지론플러스)_최종'!$B:$E,4,0)</f>
        <v>캐피탈업권신용대출잔액_신정원</v>
      </c>
      <c r="F241" s="430" t="str">
        <f>VLOOKUP($D241,'RCLIPS송신(이지론플러스)_최종'!$B:$D,2,0)</f>
        <v>Numeric</v>
      </c>
      <c r="G241" s="430">
        <f>VLOOKUP($D241,'RCLIPS송신(이지론플러스)_최종'!$B:$D,3,0)</f>
        <v>15</v>
      </c>
      <c r="H241" s="430" t="str">
        <f t="shared" si="19"/>
        <v>000000000000000</v>
      </c>
      <c r="I241" s="263" t="str">
        <f t="shared" si="20"/>
        <v/>
      </c>
      <c r="J241" s="263"/>
      <c r="K241" s="263"/>
      <c r="L241" s="263"/>
      <c r="M241" s="263" t="str">
        <f t="shared" si="21"/>
        <v/>
      </c>
    </row>
    <row r="242" spans="1:13">
      <c r="A242" s="263"/>
      <c r="B242" s="429">
        <f t="shared" si="22"/>
        <v>4781</v>
      </c>
      <c r="C242" s="429">
        <f t="shared" si="23"/>
        <v>4786</v>
      </c>
      <c r="D242" s="430" t="str">
        <f t="shared" si="18"/>
        <v>A7019</v>
      </c>
      <c r="E242" s="430" t="str">
        <f>VLOOKUP(D242,'RCLIPS송신(이지론플러스)_최종'!$B:$E,4,0)</f>
        <v>저축은행업권신용대출잔액_신정원</v>
      </c>
      <c r="F242" s="430" t="str">
        <f>VLOOKUP($D242,'RCLIPS송신(이지론플러스)_최종'!$B:$D,2,0)</f>
        <v>Numeric</v>
      </c>
      <c r="G242" s="430">
        <f>VLOOKUP($D242,'RCLIPS송신(이지론플러스)_최종'!$B:$D,3,0)</f>
        <v>15</v>
      </c>
      <c r="H242" s="430" t="str">
        <f t="shared" si="19"/>
        <v>000000000000000</v>
      </c>
      <c r="I242" s="263" t="str">
        <f t="shared" si="20"/>
        <v/>
      </c>
      <c r="J242" s="263"/>
      <c r="K242" s="263"/>
      <c r="L242" s="263"/>
      <c r="M242" s="263" t="str">
        <f t="shared" si="21"/>
        <v/>
      </c>
    </row>
    <row r="243" spans="1:13">
      <c r="A243" s="263"/>
      <c r="B243" s="429">
        <f t="shared" si="22"/>
        <v>4801</v>
      </c>
      <c r="C243" s="429">
        <f t="shared" si="23"/>
        <v>4806</v>
      </c>
      <c r="D243" s="430" t="str">
        <f t="shared" si="18"/>
        <v>A7020</v>
      </c>
      <c r="E243" s="430" t="str">
        <f>VLOOKUP(D243,'RCLIPS송신(이지론플러스)_최종'!$B:$E,4,0)</f>
        <v>스트레스DSR반영신정원원리금</v>
      </c>
      <c r="F243" s="430" t="str">
        <f>VLOOKUP($D243,'RCLIPS송신(이지론플러스)_최종'!$B:$D,2,0)</f>
        <v>Numeric</v>
      </c>
      <c r="G243" s="430">
        <f>VLOOKUP($D243,'RCLIPS송신(이지론플러스)_최종'!$B:$D,3,0)</f>
        <v>15</v>
      </c>
      <c r="H243" s="430" t="str">
        <f t="shared" si="19"/>
        <v>000000000000777</v>
      </c>
      <c r="I243" s="263" t="str">
        <f t="shared" si="20"/>
        <v/>
      </c>
      <c r="J243" s="263"/>
      <c r="K243" s="263"/>
      <c r="L243" s="263"/>
      <c r="M243" s="263" t="str">
        <f t="shared" si="21"/>
        <v/>
      </c>
    </row>
    <row r="244" spans="1:13">
      <c r="A244" s="263"/>
      <c r="B244" s="429">
        <f t="shared" si="22"/>
        <v>4821</v>
      </c>
      <c r="C244" s="429">
        <f t="shared" si="23"/>
        <v>4826</v>
      </c>
      <c r="D244" s="430" t="str">
        <f t="shared" si="18"/>
        <v>A7021</v>
      </c>
      <c r="E244" s="430" t="str">
        <f>VLOOKUP(D244,'RCLIPS송신(이지론플러스)_최종'!$B:$E,4,0)</f>
        <v>기존 신DTI연간추정금액 합계</v>
      </c>
      <c r="F244" s="430" t="str">
        <f>VLOOKUP($D244,'RCLIPS송신(이지론플러스)_최종'!$B:$D,2,0)</f>
        <v>Numeric</v>
      </c>
      <c r="G244" s="430">
        <f>VLOOKUP($D244,'RCLIPS송신(이지론플러스)_최종'!$B:$D,3,0)</f>
        <v>15</v>
      </c>
      <c r="H244" s="430" t="str">
        <f t="shared" si="19"/>
        <v>000000000000777</v>
      </c>
      <c r="I244" s="263" t="str">
        <f t="shared" si="20"/>
        <v/>
      </c>
      <c r="J244" s="263"/>
      <c r="K244" s="263"/>
      <c r="L244" s="263"/>
      <c r="M244" s="263" t="str">
        <f t="shared" si="21"/>
        <v/>
      </c>
    </row>
    <row r="245" spans="1:13">
      <c r="A245" s="263"/>
      <c r="B245" s="429">
        <f t="shared" si="22"/>
        <v>4841</v>
      </c>
      <c r="C245" s="429">
        <f t="shared" si="23"/>
        <v>4846</v>
      </c>
      <c r="D245" s="430" t="str">
        <f t="shared" si="18"/>
        <v>B3001</v>
      </c>
      <c r="E245" s="430" t="str">
        <f>VLOOKUP(D245,'RCLIPS송신(이지론플러스)_최종'!$B:$E,4,0)</f>
        <v>N1년미해지CB거래건수</v>
      </c>
      <c r="F245" s="430">
        <f>VLOOKUP($D245,'RCLIPS송신(이지론플러스)_최종'!$B:$D,2,0)</f>
        <v>0</v>
      </c>
      <c r="G245" s="430">
        <f>VLOOKUP($D245,'RCLIPS송신(이지론플러스)_최종'!$B:$D,3,0)</f>
        <v>0</v>
      </c>
      <c r="H245" s="430" t="str">
        <f t="shared" si="19"/>
        <v>000000000000001</v>
      </c>
      <c r="I245" s="263" t="str">
        <f t="shared" si="20"/>
        <v/>
      </c>
      <c r="J245" s="263"/>
      <c r="K245" s="263"/>
      <c r="L245" s="263"/>
      <c r="M245" s="263" t="str">
        <f t="shared" si="21"/>
        <v/>
      </c>
    </row>
    <row r="246" spans="1:13">
      <c r="A246" s="263"/>
      <c r="B246" s="429">
        <f t="shared" si="22"/>
        <v>4861</v>
      </c>
      <c r="C246" s="429">
        <f t="shared" si="23"/>
        <v>4866</v>
      </c>
      <c r="D246" s="430" t="str">
        <f t="shared" si="18"/>
        <v>B3002</v>
      </c>
      <c r="E246" s="430" t="str">
        <f>VLOOKUP(D246,'RCLIPS송신(이지론플러스)_최종'!$B:$E,4,0)</f>
        <v>동일일신용대출발생2건이상합계</v>
      </c>
      <c r="F246" s="430">
        <f>VLOOKUP($D246,'RCLIPS송신(이지론플러스)_최종'!$B:$D,2,0)</f>
        <v>0</v>
      </c>
      <c r="G246" s="430">
        <f>VLOOKUP($D246,'RCLIPS송신(이지론플러스)_최종'!$B:$D,3,0)</f>
        <v>0</v>
      </c>
      <c r="H246" s="430" t="str">
        <f t="shared" si="19"/>
        <v>000000000000000</v>
      </c>
      <c r="I246" s="263" t="str">
        <f t="shared" si="20"/>
        <v/>
      </c>
      <c r="J246" s="263"/>
      <c r="K246" s="263"/>
      <c r="L246" s="263"/>
      <c r="M246" s="263" t="str">
        <f t="shared" si="21"/>
        <v/>
      </c>
    </row>
    <row r="247" spans="1:13">
      <c r="A247" s="263"/>
      <c r="B247" s="429">
        <f t="shared" si="22"/>
        <v>4881</v>
      </c>
      <c r="C247" s="429">
        <f t="shared" si="23"/>
        <v>4886</v>
      </c>
      <c r="D247" s="430" t="str">
        <f t="shared" si="18"/>
        <v>B3003</v>
      </c>
      <c r="E247" s="430" t="str">
        <f>VLOOKUP(D247,'RCLIPS송신(이지론플러스)_최종'!$B:$E,4,0)</f>
        <v>최초대출개설경과일수</v>
      </c>
      <c r="F247" s="430">
        <f>VLOOKUP($D247,'RCLIPS송신(이지론플러스)_최종'!$B:$D,2,0)</f>
        <v>0</v>
      </c>
      <c r="G247" s="430">
        <f>VLOOKUP($D247,'RCLIPS송신(이지론플러스)_최종'!$B:$D,3,0)</f>
        <v>0</v>
      </c>
      <c r="H247" s="430" t="str">
        <f t="shared" si="19"/>
        <v>000000000000849</v>
      </c>
      <c r="I247" s="263" t="str">
        <f t="shared" si="20"/>
        <v/>
      </c>
      <c r="J247" s="263"/>
      <c r="K247" s="263"/>
      <c r="L247" s="263"/>
      <c r="M247" s="263" t="str">
        <f t="shared" si="21"/>
        <v/>
      </c>
    </row>
    <row r="248" spans="1:13">
      <c r="A248" s="263"/>
      <c r="B248" s="429">
        <f t="shared" si="22"/>
        <v>4901</v>
      </c>
      <c r="C248" s="429">
        <f t="shared" si="23"/>
        <v>4906</v>
      </c>
      <c r="D248" s="430" t="str">
        <f t="shared" si="18"/>
        <v>B3004</v>
      </c>
      <c r="E248" s="430" t="str">
        <f>VLOOKUP(D248,'RCLIPS송신(이지론플러스)_최종'!$B:$E,4,0)</f>
        <v>최근대출개설경과일수</v>
      </c>
      <c r="F248" s="430">
        <f>VLOOKUP($D248,'RCLIPS송신(이지론플러스)_최종'!$B:$D,2,0)</f>
        <v>0</v>
      </c>
      <c r="G248" s="430">
        <f>VLOOKUP($D248,'RCLIPS송신(이지론플러스)_최종'!$B:$D,3,0)</f>
        <v>0</v>
      </c>
      <c r="H248" s="430" t="str">
        <f t="shared" si="19"/>
        <v>000000000000094</v>
      </c>
      <c r="I248" s="263" t="str">
        <f t="shared" si="20"/>
        <v/>
      </c>
      <c r="J248" s="263"/>
      <c r="K248" s="263"/>
      <c r="L248" s="263"/>
      <c r="M248" s="263" t="str">
        <f t="shared" si="21"/>
        <v/>
      </c>
    </row>
    <row r="249" spans="1:13">
      <c r="A249" s="263"/>
      <c r="B249" s="429">
        <f t="shared" si="22"/>
        <v>4921</v>
      </c>
      <c r="C249" s="429">
        <f t="shared" si="23"/>
        <v>4926</v>
      </c>
      <c r="D249" s="430" t="str">
        <f t="shared" si="18"/>
        <v>B3005</v>
      </c>
      <c r="E249" s="430" t="str">
        <f>VLOOKUP(D249,'RCLIPS송신(이지론플러스)_최종'!$B:$E,4,0)</f>
        <v>N6월캐피탈대출건수</v>
      </c>
      <c r="F249" s="430">
        <f>VLOOKUP($D249,'RCLIPS송신(이지론플러스)_최종'!$B:$D,2,0)</f>
        <v>0</v>
      </c>
      <c r="G249" s="430">
        <f>VLOOKUP($D249,'RCLIPS송신(이지론플러스)_최종'!$B:$D,3,0)</f>
        <v>0</v>
      </c>
      <c r="H249" s="430" t="str">
        <f t="shared" si="19"/>
        <v>000000000000000</v>
      </c>
      <c r="I249" s="263" t="str">
        <f t="shared" si="20"/>
        <v/>
      </c>
      <c r="J249" s="263"/>
      <c r="K249" s="263"/>
      <c r="L249" s="263"/>
      <c r="M249" s="263" t="str">
        <f t="shared" si="21"/>
        <v/>
      </c>
    </row>
    <row r="250" spans="1:13">
      <c r="A250" s="263"/>
      <c r="B250" s="429">
        <f t="shared" si="22"/>
        <v>4941</v>
      </c>
      <c r="C250" s="429">
        <f t="shared" si="23"/>
        <v>4946</v>
      </c>
      <c r="D250" s="430" t="str">
        <f t="shared" si="18"/>
        <v>B3006</v>
      </c>
      <c r="E250" s="430" t="str">
        <f>VLOOKUP(D250,'RCLIPS송신(이지론플러스)_최종'!$B:$E,4,0)</f>
        <v>N6월미해지캐피탈주담외대출건수</v>
      </c>
      <c r="F250" s="430">
        <f>VLOOKUP($D250,'RCLIPS송신(이지론플러스)_최종'!$B:$D,2,0)</f>
        <v>0</v>
      </c>
      <c r="G250" s="430">
        <f>VLOOKUP($D250,'RCLIPS송신(이지론플러스)_최종'!$B:$D,3,0)</f>
        <v>0</v>
      </c>
      <c r="H250" s="430" t="str">
        <f t="shared" si="19"/>
        <v>000000000000000</v>
      </c>
      <c r="I250" s="263" t="str">
        <f t="shared" si="20"/>
        <v/>
      </c>
      <c r="J250" s="263"/>
      <c r="K250" s="263"/>
      <c r="L250" s="263"/>
      <c r="M250" s="263" t="str">
        <f t="shared" si="21"/>
        <v/>
      </c>
    </row>
    <row r="251" spans="1:13">
      <c r="A251" s="263"/>
      <c r="B251" s="429">
        <f t="shared" si="22"/>
        <v>4961</v>
      </c>
      <c r="C251" s="429">
        <f t="shared" si="23"/>
        <v>4966</v>
      </c>
      <c r="D251" s="430" t="str">
        <f t="shared" si="18"/>
        <v>B3007</v>
      </c>
      <c r="E251" s="430" t="str">
        <f>VLOOKUP(D251,'RCLIPS송신(이지론플러스)_최종'!$B:$E,4,0)</f>
        <v>N3년최장연체일수</v>
      </c>
      <c r="F251" s="430">
        <f>VLOOKUP($D251,'RCLIPS송신(이지론플러스)_최종'!$B:$D,2,0)</f>
        <v>0</v>
      </c>
      <c r="G251" s="430">
        <f>VLOOKUP($D251,'RCLIPS송신(이지론플러스)_최종'!$B:$D,3,0)</f>
        <v>0</v>
      </c>
      <c r="H251" s="430" t="str">
        <f t="shared" si="19"/>
        <v>000000000000000</v>
      </c>
      <c r="I251" s="263" t="str">
        <f t="shared" si="20"/>
        <v/>
      </c>
      <c r="J251" s="263"/>
      <c r="K251" s="263"/>
      <c r="L251" s="263"/>
      <c r="M251" s="263" t="str">
        <f t="shared" si="21"/>
        <v/>
      </c>
    </row>
    <row r="252" spans="1:13">
      <c r="A252" s="263"/>
      <c r="B252" s="429">
        <f t="shared" si="22"/>
        <v>4981</v>
      </c>
      <c r="C252" s="429">
        <f t="shared" si="23"/>
        <v>4986</v>
      </c>
      <c r="D252" s="430" t="str">
        <f t="shared" si="18"/>
        <v>B3008</v>
      </c>
      <c r="E252" s="430" t="str">
        <f>VLOOKUP(D252,'RCLIPS송신(이지론플러스)_최종'!$B:$E,4,0)</f>
        <v>미해제한도대출건수</v>
      </c>
      <c r="F252" s="430">
        <f>VLOOKUP($D252,'RCLIPS송신(이지론플러스)_최종'!$B:$D,2,0)</f>
        <v>0</v>
      </c>
      <c r="G252" s="430">
        <f>VLOOKUP($D252,'RCLIPS송신(이지론플러스)_최종'!$B:$D,3,0)</f>
        <v>0</v>
      </c>
      <c r="H252" s="430" t="str">
        <f t="shared" si="19"/>
        <v>000000000000001</v>
      </c>
      <c r="I252" s="263" t="str">
        <f t="shared" si="20"/>
        <v/>
      </c>
      <c r="J252" s="263"/>
      <c r="K252" s="263"/>
      <c r="L252" s="263"/>
      <c r="M252" s="263" t="str">
        <f t="shared" si="21"/>
        <v/>
      </c>
    </row>
    <row r="253" spans="1:13">
      <c r="A253" s="263"/>
      <c r="B253" s="429">
        <f t="shared" si="22"/>
        <v>5001</v>
      </c>
      <c r="C253" s="429">
        <f t="shared" si="23"/>
        <v>5006</v>
      </c>
      <c r="D253" s="430" t="str">
        <f t="shared" si="18"/>
        <v>B3009</v>
      </c>
      <c r="E253" s="430" t="str">
        <f>VLOOKUP(D253,'RCLIPS송신(이지론플러스)_최종'!$B:$E,4,0)</f>
        <v>현거주지국토부실거래최근전세가</v>
      </c>
      <c r="F253" s="430">
        <f>VLOOKUP($D253,'RCLIPS송신(이지론플러스)_최종'!$B:$D,2,0)</f>
        <v>0</v>
      </c>
      <c r="G253" s="430">
        <f>VLOOKUP($D253,'RCLIPS송신(이지론플러스)_최종'!$B:$D,3,0)</f>
        <v>0</v>
      </c>
      <c r="H253" s="430" t="str">
        <f t="shared" si="19"/>
        <v>000000000260000</v>
      </c>
      <c r="I253" s="263" t="str">
        <f t="shared" si="20"/>
        <v/>
      </c>
      <c r="J253" s="263"/>
      <c r="K253" s="263"/>
      <c r="L253" s="263"/>
      <c r="M253" s="263" t="str">
        <f t="shared" si="21"/>
        <v/>
      </c>
    </row>
    <row r="254" spans="1:13">
      <c r="A254" s="263"/>
      <c r="B254" s="429">
        <f t="shared" si="22"/>
        <v>5021</v>
      </c>
      <c r="C254" s="429">
        <f t="shared" si="23"/>
        <v>5026</v>
      </c>
      <c r="D254" s="430" t="str">
        <f t="shared" si="18"/>
        <v>B3010</v>
      </c>
      <c r="E254" s="430" t="str">
        <f>VLOOKUP(D254,'RCLIPS송신(이지론플러스)_최종'!$B:$E,4,0)</f>
        <v>현직장매출금액</v>
      </c>
      <c r="F254" s="430">
        <f>VLOOKUP($D254,'RCLIPS송신(이지론플러스)_최종'!$B:$D,2,0)</f>
        <v>0</v>
      </c>
      <c r="G254" s="430">
        <f>VLOOKUP($D254,'RCLIPS송신(이지론플러스)_최종'!$B:$D,3,0)</f>
        <v>0</v>
      </c>
      <c r="H254" s="430" t="str">
        <f t="shared" si="19"/>
        <v>000000999999999</v>
      </c>
      <c r="I254" s="263" t="str">
        <f t="shared" si="20"/>
        <v/>
      </c>
      <c r="J254" s="263"/>
      <c r="K254" s="263"/>
      <c r="L254" s="263"/>
      <c r="M254" s="263" t="str">
        <f t="shared" si="21"/>
        <v/>
      </c>
    </row>
    <row r="255" spans="1:13">
      <c r="A255" s="263"/>
      <c r="B255" s="429">
        <f t="shared" si="22"/>
        <v>5041</v>
      </c>
      <c r="C255" s="429">
        <f t="shared" si="23"/>
        <v>5046</v>
      </c>
      <c r="D255" s="430" t="str">
        <f t="shared" si="18"/>
        <v>B3011</v>
      </c>
      <c r="E255" s="430" t="str">
        <f>VLOOKUP(D255,'RCLIPS송신(이지론플러스)_최종'!$B:$E,4,0)</f>
        <v>미해지최초카드개설경과일수</v>
      </c>
      <c r="F255" s="430">
        <f>VLOOKUP($D255,'RCLIPS송신(이지론플러스)_최종'!$B:$D,2,0)</f>
        <v>0</v>
      </c>
      <c r="G255" s="430">
        <f>VLOOKUP($D255,'RCLIPS송신(이지론플러스)_최종'!$B:$D,3,0)</f>
        <v>0</v>
      </c>
      <c r="H255" s="430" t="str">
        <f t="shared" si="19"/>
        <v>000000000000000</v>
      </c>
      <c r="I255" s="263" t="str">
        <f t="shared" si="20"/>
        <v/>
      </c>
      <c r="J255" s="263"/>
      <c r="K255" s="263"/>
      <c r="L255" s="263"/>
      <c r="M255" s="263" t="str">
        <f t="shared" si="21"/>
        <v/>
      </c>
    </row>
    <row r="256" spans="1:13">
      <c r="A256" s="263"/>
      <c r="B256" s="429">
        <f t="shared" si="22"/>
        <v>5061</v>
      </c>
      <c r="C256" s="429">
        <f t="shared" si="23"/>
        <v>5066</v>
      </c>
      <c r="D256" s="430" t="str">
        <f t="shared" si="18"/>
        <v>B3012</v>
      </c>
      <c r="E256" s="430" t="str">
        <f>VLOOKUP(D256,'RCLIPS송신(이지론플러스)_최종'!$B:$E,4,0)</f>
        <v>N1월미해지신용개설건수</v>
      </c>
      <c r="F256" s="430">
        <f>VLOOKUP($D256,'RCLIPS송신(이지론플러스)_최종'!$B:$D,2,0)</f>
        <v>0</v>
      </c>
      <c r="G256" s="430">
        <f>VLOOKUP($D256,'RCLIPS송신(이지론플러스)_최종'!$B:$D,3,0)</f>
        <v>0</v>
      </c>
      <c r="H256" s="430" t="str">
        <f t="shared" si="19"/>
        <v>000000000000000</v>
      </c>
      <c r="I256" s="263" t="str">
        <f t="shared" si="20"/>
        <v/>
      </c>
      <c r="J256" s="263"/>
      <c r="K256" s="263"/>
      <c r="L256" s="263"/>
      <c r="M256" s="263" t="str">
        <f t="shared" si="21"/>
        <v/>
      </c>
    </row>
    <row r="257" spans="1:13">
      <c r="A257" s="263"/>
      <c r="B257" s="429">
        <f t="shared" si="22"/>
        <v>5081</v>
      </c>
      <c r="C257" s="429">
        <f t="shared" si="23"/>
        <v>5086</v>
      </c>
      <c r="D257" s="430" t="str">
        <f t="shared" si="18"/>
        <v>B3013</v>
      </c>
      <c r="E257" s="430" t="str">
        <f>VLOOKUP(D257,'RCLIPS송신(이지론플러스)_최종'!$B:$E,4,0)</f>
        <v>현거주지국토부실거래최근매매가</v>
      </c>
      <c r="F257" s="430">
        <f>VLOOKUP($D257,'RCLIPS송신(이지론플러스)_최종'!$B:$D,2,0)</f>
        <v>0</v>
      </c>
      <c r="G257" s="430">
        <f>VLOOKUP($D257,'RCLIPS송신(이지론플러스)_최종'!$B:$D,3,0)</f>
        <v>0</v>
      </c>
      <c r="H257" s="430" t="str">
        <f t="shared" si="19"/>
        <v>000000000900000</v>
      </c>
      <c r="I257" s="263" t="str">
        <f t="shared" si="20"/>
        <v/>
      </c>
      <c r="J257" s="263"/>
      <c r="K257" s="263"/>
      <c r="L257" s="263"/>
      <c r="M257" s="263" t="str">
        <f t="shared" si="21"/>
        <v/>
      </c>
    </row>
    <row r="258" spans="1:13">
      <c r="A258" s="263"/>
      <c r="B258" s="429">
        <f t="shared" si="22"/>
        <v>5101</v>
      </c>
      <c r="C258" s="429">
        <f t="shared" si="23"/>
        <v>5106</v>
      </c>
      <c r="D258" s="430" t="str">
        <f t="shared" si="18"/>
        <v>B3014</v>
      </c>
      <c r="E258" s="430" t="str">
        <f>VLOOKUP(D258,'RCLIPS송신(이지론플러스)_최종'!$B:$E,4,0)</f>
        <v>KB포함최근연체해제경과일수</v>
      </c>
      <c r="F258" s="430">
        <f>VLOOKUP($D258,'RCLIPS송신(이지론플러스)_최종'!$B:$D,2,0)</f>
        <v>0</v>
      </c>
      <c r="G258" s="430">
        <f>VLOOKUP($D258,'RCLIPS송신(이지론플러스)_최종'!$B:$D,3,0)</f>
        <v>0</v>
      </c>
      <c r="H258" s="430" t="str">
        <f t="shared" si="19"/>
        <v>000000000099999</v>
      </c>
      <c r="I258" s="263" t="str">
        <f t="shared" si="20"/>
        <v/>
      </c>
      <c r="J258" s="263"/>
      <c r="K258" s="263"/>
      <c r="L258" s="263"/>
      <c r="M258" s="263" t="str">
        <f t="shared" si="21"/>
        <v/>
      </c>
    </row>
    <row r="259" spans="1:13">
      <c r="A259" s="263"/>
      <c r="B259" s="429">
        <f t="shared" si="22"/>
        <v>5121</v>
      </c>
      <c r="C259" s="429">
        <f t="shared" si="23"/>
        <v>5126</v>
      </c>
      <c r="D259" s="430" t="str">
        <f t="shared" si="18"/>
        <v>B3015</v>
      </c>
      <c r="E259" s="430" t="str">
        <f>VLOOKUP(D259,'RCLIPS송신(이지론플러스)_최종'!$B:$E,4,0)</f>
        <v>건축물실거래합계금액</v>
      </c>
      <c r="F259" s="430">
        <f>VLOOKUP($D259,'RCLIPS송신(이지론플러스)_최종'!$B:$D,2,0)</f>
        <v>0</v>
      </c>
      <c r="G259" s="430">
        <f>VLOOKUP($D259,'RCLIPS송신(이지론플러스)_최종'!$B:$D,3,0)</f>
        <v>0</v>
      </c>
      <c r="H259" s="430" t="str">
        <f t="shared" si="19"/>
        <v>000000000000000</v>
      </c>
      <c r="I259" s="263" t="str">
        <f t="shared" si="20"/>
        <v/>
      </c>
      <c r="J259" s="263"/>
      <c r="K259" s="263"/>
      <c r="L259" s="263"/>
      <c r="M259" s="263" t="str">
        <f t="shared" si="21"/>
        <v/>
      </c>
    </row>
    <row r="260" spans="1:13">
      <c r="A260" s="263"/>
      <c r="B260" s="429">
        <f t="shared" si="22"/>
        <v>5141</v>
      </c>
      <c r="C260" s="429">
        <f t="shared" si="23"/>
        <v>5146</v>
      </c>
      <c r="D260" s="430" t="str">
        <f t="shared" ref="D260:D323" si="24">MIDB($A$3, $B260+23, 5)</f>
        <v>B4001</v>
      </c>
      <c r="E260" s="430" t="str">
        <f>VLOOKUP(D260,'RCLIPS송신(이지론플러스)_최종'!$B:$E,4,0)</f>
        <v>미해제신용도판단공공정보건수</v>
      </c>
      <c r="F260" s="430">
        <f>VLOOKUP($D260,'RCLIPS송신(이지론플러스)_최종'!$B:$D,2,0)</f>
        <v>0</v>
      </c>
      <c r="G260" s="430">
        <f>VLOOKUP($D260,'RCLIPS송신(이지론플러스)_최종'!$B:$D,3,0)</f>
        <v>0</v>
      </c>
      <c r="H260" s="430" t="str">
        <f t="shared" ref="H260:H323" si="25">MIDB($A$3, $C260+23, 15)</f>
        <v>000000000000000</v>
      </c>
      <c r="I260" s="263" t="str">
        <f t="shared" ref="I260:I323" si="26">MIDB($A$8, $B260+10, 5)</f>
        <v/>
      </c>
      <c r="J260" s="263"/>
      <c r="K260" s="263"/>
      <c r="L260" s="263"/>
      <c r="M260" s="263" t="str">
        <f t="shared" ref="M260:M323" si="27">MIDB($A$8, $C260+10, 15)</f>
        <v/>
      </c>
    </row>
    <row r="261" spans="1:13">
      <c r="A261" s="263"/>
      <c r="B261" s="429">
        <f t="shared" ref="B261:B324" si="28">C260+15</f>
        <v>5161</v>
      </c>
      <c r="C261" s="429">
        <f t="shared" ref="C261:C324" si="29">B261+5</f>
        <v>5166</v>
      </c>
      <c r="D261" s="430" t="str">
        <f t="shared" si="24"/>
        <v>B4002</v>
      </c>
      <c r="E261" s="430" t="str">
        <f>VLOOKUP(D261,'RCLIPS송신(이지론플러스)_최종'!$B:$E,4,0)</f>
        <v>N1년신판이용금액</v>
      </c>
      <c r="F261" s="430">
        <f>VLOOKUP($D261,'RCLIPS송신(이지론플러스)_최종'!$B:$D,2,0)</f>
        <v>0</v>
      </c>
      <c r="G261" s="430">
        <f>VLOOKUP($D261,'RCLIPS송신(이지론플러스)_최종'!$B:$D,3,0)</f>
        <v>0</v>
      </c>
      <c r="H261" s="430" t="str">
        <f t="shared" si="25"/>
        <v>000000000010803</v>
      </c>
      <c r="I261" s="263" t="str">
        <f t="shared" si="26"/>
        <v/>
      </c>
      <c r="J261" s="263"/>
      <c r="K261" s="263"/>
      <c r="L261" s="263"/>
      <c r="M261" s="263" t="str">
        <f t="shared" si="27"/>
        <v/>
      </c>
    </row>
    <row r="262" spans="1:13">
      <c r="A262" s="263"/>
      <c r="B262" s="429">
        <f t="shared" si="28"/>
        <v>5181</v>
      </c>
      <c r="C262" s="429">
        <f t="shared" si="29"/>
        <v>5186</v>
      </c>
      <c r="D262" s="430" t="str">
        <f t="shared" si="24"/>
        <v>B4003</v>
      </c>
      <c r="E262" s="430" t="str">
        <f>VLOOKUP(D262,'RCLIPS송신(이지론플러스)_최종'!$B:$E,4,0)</f>
        <v>N3월신판이용금액</v>
      </c>
      <c r="F262" s="430">
        <f>VLOOKUP($D262,'RCLIPS송신(이지론플러스)_최종'!$B:$D,2,0)</f>
        <v>0</v>
      </c>
      <c r="G262" s="430">
        <f>VLOOKUP($D262,'RCLIPS송신(이지론플러스)_최종'!$B:$D,3,0)</f>
        <v>0</v>
      </c>
      <c r="H262" s="430" t="str">
        <f t="shared" si="25"/>
        <v>000000000001540</v>
      </c>
      <c r="I262" s="263" t="str">
        <f t="shared" si="26"/>
        <v/>
      </c>
      <c r="J262" s="263"/>
      <c r="K262" s="263"/>
      <c r="L262" s="263"/>
      <c r="M262" s="263" t="str">
        <f t="shared" si="27"/>
        <v/>
      </c>
    </row>
    <row r="263" spans="1:13">
      <c r="A263" s="263"/>
      <c r="B263" s="429">
        <f t="shared" si="28"/>
        <v>5201</v>
      </c>
      <c r="C263" s="429">
        <f t="shared" si="29"/>
        <v>5206</v>
      </c>
      <c r="D263" s="430" t="str">
        <f t="shared" si="24"/>
        <v>B4004</v>
      </c>
      <c r="E263" s="430" t="str">
        <f>VLOOKUP(D263,'RCLIPS송신(이지론플러스)_최종'!$B:$E,4,0)</f>
        <v>미해지LV1234제외대출금액</v>
      </c>
      <c r="F263" s="430">
        <f>VLOOKUP($D263,'RCLIPS송신(이지론플러스)_최종'!$B:$D,2,0)</f>
        <v>0</v>
      </c>
      <c r="G263" s="430">
        <f>VLOOKUP($D263,'RCLIPS송신(이지론플러스)_최종'!$B:$D,3,0)</f>
        <v>0</v>
      </c>
      <c r="H263" s="430" t="str">
        <f t="shared" si="25"/>
        <v>000000000000000</v>
      </c>
      <c r="I263" s="263" t="str">
        <f t="shared" si="26"/>
        <v/>
      </c>
      <c r="J263" s="263"/>
      <c r="K263" s="263"/>
      <c r="L263" s="263"/>
      <c r="M263" s="263" t="str">
        <f t="shared" si="27"/>
        <v/>
      </c>
    </row>
    <row r="264" spans="1:13">
      <c r="A264" s="263"/>
      <c r="B264" s="429">
        <f t="shared" si="28"/>
        <v>5221</v>
      </c>
      <c r="C264" s="429">
        <f t="shared" si="29"/>
        <v>5226</v>
      </c>
      <c r="D264" s="430" t="str">
        <f t="shared" si="24"/>
        <v>B4005</v>
      </c>
      <c r="E264" s="430" t="str">
        <f>VLOOKUP(D264,'RCLIPS송신(이지론플러스)_최종'!$B:$E,4,0)</f>
        <v>신용도판단공공정보해제경과일수</v>
      </c>
      <c r="F264" s="430">
        <f>VLOOKUP($D264,'RCLIPS송신(이지론플러스)_최종'!$B:$D,2,0)</f>
        <v>0</v>
      </c>
      <c r="G264" s="430">
        <f>VLOOKUP($D264,'RCLIPS송신(이지론플러스)_최종'!$B:$D,3,0)</f>
        <v>0</v>
      </c>
      <c r="H264" s="430" t="str">
        <f t="shared" si="25"/>
        <v>000000999999999</v>
      </c>
      <c r="I264" s="263" t="str">
        <f t="shared" si="26"/>
        <v/>
      </c>
      <c r="J264" s="263"/>
      <c r="K264" s="263"/>
      <c r="L264" s="263"/>
      <c r="M264" s="263" t="str">
        <f t="shared" si="27"/>
        <v/>
      </c>
    </row>
    <row r="265" spans="1:13">
      <c r="A265" s="263"/>
      <c r="B265" s="429">
        <f t="shared" si="28"/>
        <v>5241</v>
      </c>
      <c r="C265" s="429">
        <f t="shared" si="29"/>
        <v>5246</v>
      </c>
      <c r="D265" s="430" t="str">
        <f t="shared" si="24"/>
        <v>B4006</v>
      </c>
      <c r="E265" s="430" t="str">
        <f>VLOOKUP(D265,'RCLIPS송신(이지론플러스)_최종'!$B:$E,4,0)</f>
        <v>보유부동산실거래가합계금액</v>
      </c>
      <c r="F265" s="430">
        <f>VLOOKUP($D265,'RCLIPS송신(이지론플러스)_최종'!$B:$D,2,0)</f>
        <v>0</v>
      </c>
      <c r="G265" s="430">
        <f>VLOOKUP($D265,'RCLIPS송신(이지론플러스)_최종'!$B:$D,3,0)</f>
        <v>0</v>
      </c>
      <c r="H265" s="430" t="str">
        <f t="shared" si="25"/>
        <v>-00000099999999</v>
      </c>
      <c r="I265" s="263" t="str">
        <f t="shared" si="26"/>
        <v/>
      </c>
      <c r="J265" s="263"/>
      <c r="K265" s="263"/>
      <c r="L265" s="263"/>
      <c r="M265" s="263" t="str">
        <f t="shared" si="27"/>
        <v/>
      </c>
    </row>
    <row r="266" spans="1:13">
      <c r="A266" s="263"/>
      <c r="B266" s="429">
        <f t="shared" si="28"/>
        <v>5261</v>
      </c>
      <c r="C266" s="429">
        <f t="shared" si="29"/>
        <v>5266</v>
      </c>
      <c r="D266" s="430" t="str">
        <f t="shared" si="24"/>
        <v>B4007</v>
      </c>
      <c r="E266" s="430" t="str">
        <f>VLOOKUP(D266,'RCLIPS송신(이지론플러스)_최종'!$B:$E,4,0)</f>
        <v>N6월카드유효한도소진율</v>
      </c>
      <c r="F266" s="430">
        <f>VLOOKUP($D266,'RCLIPS송신(이지론플러스)_최종'!$B:$D,2,0)</f>
        <v>0</v>
      </c>
      <c r="G266" s="430">
        <f>VLOOKUP($D266,'RCLIPS송신(이지론플러스)_최종'!$B:$D,3,0)</f>
        <v>0</v>
      </c>
      <c r="H266" s="430" t="str">
        <f t="shared" si="25"/>
        <v>0000008888888.8</v>
      </c>
      <c r="I266" s="263" t="str">
        <f t="shared" si="26"/>
        <v/>
      </c>
      <c r="J266" s="263"/>
      <c r="K266" s="263"/>
      <c r="L266" s="263"/>
      <c r="M266" s="263" t="str">
        <f t="shared" si="27"/>
        <v/>
      </c>
    </row>
    <row r="267" spans="1:13">
      <c r="A267" s="263"/>
      <c r="B267" s="429">
        <f t="shared" si="28"/>
        <v>5281</v>
      </c>
      <c r="C267" s="429">
        <f t="shared" si="29"/>
        <v>5286</v>
      </c>
      <c r="D267" s="430" t="str">
        <f t="shared" si="24"/>
        <v>B4008</v>
      </c>
      <c r="E267" s="430" t="str">
        <f>VLOOKUP(D267,'RCLIPS송신(이지론플러스)_최종'!$B:$E,4,0)</f>
        <v>N5년휴대폰번호이력건수</v>
      </c>
      <c r="F267" s="430">
        <f>VLOOKUP($D267,'RCLIPS송신(이지론플러스)_최종'!$B:$D,2,0)</f>
        <v>0</v>
      </c>
      <c r="G267" s="430">
        <f>VLOOKUP($D267,'RCLIPS송신(이지론플러스)_최종'!$B:$D,3,0)</f>
        <v>0</v>
      </c>
      <c r="H267" s="430" t="str">
        <f t="shared" si="25"/>
        <v>000000000000002</v>
      </c>
      <c r="I267" s="263" t="str">
        <f t="shared" si="26"/>
        <v/>
      </c>
      <c r="J267" s="263"/>
      <c r="K267" s="263"/>
      <c r="L267" s="263"/>
      <c r="M267" s="263" t="str">
        <f t="shared" si="27"/>
        <v/>
      </c>
    </row>
    <row r="268" spans="1:13">
      <c r="A268" s="263"/>
      <c r="B268" s="429">
        <f t="shared" si="28"/>
        <v>5301</v>
      </c>
      <c r="C268" s="429">
        <f t="shared" si="29"/>
        <v>5306</v>
      </c>
      <c r="D268" s="430" t="str">
        <f t="shared" si="24"/>
        <v>B4009</v>
      </c>
      <c r="E268" s="430" t="str">
        <f>VLOOKUP(D268,'RCLIPS송신(이지론플러스)_최종'!$B:$E,4,0)</f>
        <v>N3월카드유효한도소진율</v>
      </c>
      <c r="F268" s="430">
        <f>VLOOKUP($D268,'RCLIPS송신(이지론플러스)_최종'!$B:$D,2,0)</f>
        <v>0</v>
      </c>
      <c r="G268" s="430">
        <f>VLOOKUP($D268,'RCLIPS송신(이지론플러스)_최종'!$B:$D,3,0)</f>
        <v>0</v>
      </c>
      <c r="H268" s="430" t="str">
        <f t="shared" si="25"/>
        <v>0000008888888.8</v>
      </c>
      <c r="I268" s="263" t="str">
        <f t="shared" si="26"/>
        <v/>
      </c>
      <c r="J268" s="263"/>
      <c r="K268" s="263"/>
      <c r="L268" s="263"/>
      <c r="M268" s="263" t="str">
        <f t="shared" si="27"/>
        <v/>
      </c>
    </row>
    <row r="269" spans="1:13">
      <c r="A269" s="263"/>
      <c r="B269" s="429">
        <f t="shared" si="28"/>
        <v>5321</v>
      </c>
      <c r="C269" s="429">
        <f t="shared" si="29"/>
        <v>5326</v>
      </c>
      <c r="D269" s="430" t="str">
        <f t="shared" si="24"/>
        <v>B4010</v>
      </c>
      <c r="E269" s="430" t="str">
        <f>VLOOKUP(D269,'RCLIPS송신(이지론플러스)_최종'!$B:$E,4,0)</f>
        <v>소유부동산주택건수</v>
      </c>
      <c r="F269" s="430">
        <f>VLOOKUP($D269,'RCLIPS송신(이지론플러스)_최종'!$B:$D,2,0)</f>
        <v>0</v>
      </c>
      <c r="G269" s="430">
        <f>VLOOKUP($D269,'RCLIPS송신(이지론플러스)_최종'!$B:$D,3,0)</f>
        <v>0</v>
      </c>
      <c r="H269" s="430" t="str">
        <f t="shared" si="25"/>
        <v>000000000000000</v>
      </c>
      <c r="I269" s="263" t="str">
        <f t="shared" si="26"/>
        <v/>
      </c>
      <c r="J269" s="263"/>
      <c r="K269" s="263"/>
      <c r="L269" s="263"/>
      <c r="M269" s="263" t="str">
        <f t="shared" si="27"/>
        <v/>
      </c>
    </row>
    <row r="270" spans="1:13">
      <c r="A270" s="263"/>
      <c r="B270" s="429">
        <f t="shared" si="28"/>
        <v>5341</v>
      </c>
      <c r="C270" s="429">
        <f t="shared" si="29"/>
        <v>5346</v>
      </c>
      <c r="D270" s="430" t="str">
        <f t="shared" si="24"/>
        <v>B4011</v>
      </c>
      <c r="E270" s="430" t="str">
        <f>VLOOKUP(D270,'RCLIPS송신(이지론플러스)_최종'!$B:$E,4,0)</f>
        <v>최근자택전화번호변경경과일수</v>
      </c>
      <c r="F270" s="430">
        <f>VLOOKUP($D270,'RCLIPS송신(이지론플러스)_최종'!$B:$D,2,0)</f>
        <v>0</v>
      </c>
      <c r="G270" s="430">
        <f>VLOOKUP($D270,'RCLIPS송신(이지론플러스)_최종'!$B:$D,3,0)</f>
        <v>0</v>
      </c>
      <c r="H270" s="430" t="str">
        <f t="shared" si="25"/>
        <v>000000000000004</v>
      </c>
      <c r="I270" s="263" t="str">
        <f t="shared" si="26"/>
        <v/>
      </c>
      <c r="J270" s="263"/>
      <c r="K270" s="263"/>
      <c r="L270" s="263"/>
      <c r="M270" s="263" t="str">
        <f t="shared" si="27"/>
        <v/>
      </c>
    </row>
    <row r="271" spans="1:13">
      <c r="A271" s="263"/>
      <c r="B271" s="429">
        <f t="shared" si="28"/>
        <v>5361</v>
      </c>
      <c r="C271" s="429">
        <f t="shared" si="29"/>
        <v>5366</v>
      </c>
      <c r="D271" s="430" t="str">
        <f t="shared" si="24"/>
        <v>B4012</v>
      </c>
      <c r="E271" s="430" t="str">
        <f>VLOOKUP(D271,'RCLIPS송신(이지론플러스)_최종'!$B:$E,4,0)</f>
        <v>N6월CA활성한도소진율</v>
      </c>
      <c r="F271" s="430">
        <f>VLOOKUP($D271,'RCLIPS송신(이지론플러스)_최종'!$B:$D,2,0)</f>
        <v>0</v>
      </c>
      <c r="G271" s="430">
        <f>VLOOKUP($D271,'RCLIPS송신(이지론플러스)_최종'!$B:$D,3,0)</f>
        <v>0</v>
      </c>
      <c r="H271" s="430" t="str">
        <f t="shared" si="25"/>
        <v>0000008888888.8</v>
      </c>
      <c r="I271" s="263" t="str">
        <f t="shared" si="26"/>
        <v/>
      </c>
      <c r="J271" s="263"/>
      <c r="K271" s="263"/>
      <c r="L271" s="263"/>
      <c r="M271" s="263" t="str">
        <f t="shared" si="27"/>
        <v/>
      </c>
    </row>
    <row r="272" spans="1:13">
      <c r="A272" s="263"/>
      <c r="B272" s="429">
        <f t="shared" si="28"/>
        <v>5381</v>
      </c>
      <c r="C272" s="429">
        <f t="shared" si="29"/>
        <v>5386</v>
      </c>
      <c r="D272" s="430" t="str">
        <f t="shared" si="24"/>
        <v>B4013</v>
      </c>
      <c r="E272" s="430" t="str">
        <f>VLOOKUP(D272,'RCLIPS송신(이지론플러스)_최종'!$B:$E,4,0)</f>
        <v>최초대출신용카드개설경과일수</v>
      </c>
      <c r="F272" s="430">
        <f>VLOOKUP($D272,'RCLIPS송신(이지론플러스)_최종'!$B:$D,2,0)</f>
        <v>0</v>
      </c>
      <c r="G272" s="430">
        <f>VLOOKUP($D272,'RCLIPS송신(이지론플러스)_최종'!$B:$D,3,0)</f>
        <v>0</v>
      </c>
      <c r="H272" s="430" t="str">
        <f t="shared" si="25"/>
        <v>000000000000000</v>
      </c>
      <c r="I272" s="263" t="str">
        <f t="shared" si="26"/>
        <v/>
      </c>
      <c r="J272" s="263"/>
      <c r="K272" s="263"/>
      <c r="L272" s="263"/>
      <c r="M272" s="263" t="str">
        <f t="shared" si="27"/>
        <v/>
      </c>
    </row>
    <row r="273" spans="1:13">
      <c r="A273" s="263"/>
      <c r="B273" s="429">
        <f t="shared" si="28"/>
        <v>5401</v>
      </c>
      <c r="C273" s="429">
        <f t="shared" si="29"/>
        <v>5406</v>
      </c>
      <c r="D273" s="430" t="str">
        <f t="shared" si="24"/>
        <v>B4014</v>
      </c>
      <c r="E273" s="430" t="str">
        <f>VLOOKUP(D273,'RCLIPS송신(이지론플러스)_최종'!$B:$E,4,0)</f>
        <v>N3년폐업사업체수</v>
      </c>
      <c r="F273" s="430">
        <f>VLOOKUP($D273,'RCLIPS송신(이지론플러스)_최종'!$B:$D,2,0)</f>
        <v>0</v>
      </c>
      <c r="G273" s="430">
        <f>VLOOKUP($D273,'RCLIPS송신(이지론플러스)_최종'!$B:$D,3,0)</f>
        <v>0</v>
      </c>
      <c r="H273" s="430" t="str">
        <f t="shared" si="25"/>
        <v>000000000000000</v>
      </c>
      <c r="I273" s="263" t="str">
        <f t="shared" si="26"/>
        <v/>
      </c>
      <c r="J273" s="263"/>
      <c r="K273" s="263"/>
      <c r="L273" s="263"/>
      <c r="M273" s="263" t="str">
        <f t="shared" si="27"/>
        <v/>
      </c>
    </row>
    <row r="274" spans="1:13">
      <c r="A274" s="263"/>
      <c r="B274" s="429">
        <f t="shared" si="28"/>
        <v>5421</v>
      </c>
      <c r="C274" s="429">
        <f t="shared" si="29"/>
        <v>5426</v>
      </c>
      <c r="D274" s="430" t="str">
        <f t="shared" si="24"/>
        <v>B4015</v>
      </c>
      <c r="E274" s="430" t="str">
        <f>VLOOKUP(D274,'RCLIPS송신(이지론플러스)_최종'!$B:$E,4,0)</f>
        <v>N2년휴대폰번호이력건수</v>
      </c>
      <c r="F274" s="430">
        <f>VLOOKUP($D274,'RCLIPS송신(이지론플러스)_최종'!$B:$D,2,0)</f>
        <v>0</v>
      </c>
      <c r="G274" s="430">
        <f>VLOOKUP($D274,'RCLIPS송신(이지론플러스)_최종'!$B:$D,3,0)</f>
        <v>0</v>
      </c>
      <c r="H274" s="430" t="str">
        <f t="shared" si="25"/>
        <v>000000000000002</v>
      </c>
      <c r="I274" s="263" t="str">
        <f t="shared" si="26"/>
        <v/>
      </c>
      <c r="J274" s="263"/>
      <c r="K274" s="263"/>
      <c r="L274" s="263"/>
      <c r="M274" s="263" t="str">
        <f t="shared" si="27"/>
        <v/>
      </c>
    </row>
    <row r="275" spans="1:13">
      <c r="A275" s="263"/>
      <c r="B275" s="429">
        <f t="shared" si="28"/>
        <v>5441</v>
      </c>
      <c r="C275" s="429">
        <f t="shared" si="29"/>
        <v>5446</v>
      </c>
      <c r="D275" s="430" t="str">
        <f t="shared" si="24"/>
        <v>B4016</v>
      </c>
      <c r="E275" s="430" t="str">
        <f>VLOOKUP(D275,'RCLIPS송신(이지론플러스)_최종'!$B:$E,4,0)</f>
        <v>최근자택주소변경경과일수</v>
      </c>
      <c r="F275" s="430">
        <f>VLOOKUP($D275,'RCLIPS송신(이지론플러스)_최종'!$B:$D,2,0)</f>
        <v>0</v>
      </c>
      <c r="G275" s="430">
        <f>VLOOKUP($D275,'RCLIPS송신(이지론플러스)_최종'!$B:$D,3,0)</f>
        <v>0</v>
      </c>
      <c r="H275" s="430" t="str">
        <f t="shared" si="25"/>
        <v>000000000000016</v>
      </c>
      <c r="I275" s="263" t="str">
        <f t="shared" si="26"/>
        <v/>
      </c>
      <c r="J275" s="263"/>
      <c r="K275" s="263"/>
      <c r="L275" s="263"/>
      <c r="M275" s="263" t="str">
        <f t="shared" si="27"/>
        <v/>
      </c>
    </row>
    <row r="276" spans="1:13">
      <c r="A276" s="263"/>
      <c r="B276" s="429">
        <f t="shared" si="28"/>
        <v>5461</v>
      </c>
      <c r="C276" s="429">
        <f t="shared" si="29"/>
        <v>5466</v>
      </c>
      <c r="D276" s="430" t="str">
        <f t="shared" si="24"/>
        <v>B4017</v>
      </c>
      <c r="E276" s="430" t="str">
        <f>VLOOKUP(D276,'RCLIPS송신(이지론플러스)_최종'!$B:$E,4,0)</f>
        <v>N1월현거주지동연령카드이용금액</v>
      </c>
      <c r="F276" s="430">
        <f>VLOOKUP($D276,'RCLIPS송신(이지론플러스)_최종'!$B:$D,2,0)</f>
        <v>0</v>
      </c>
      <c r="G276" s="430">
        <f>VLOOKUP($D276,'RCLIPS송신(이지론플러스)_최종'!$B:$D,3,0)</f>
        <v>0</v>
      </c>
      <c r="H276" s="430" t="str">
        <f t="shared" si="25"/>
        <v>000000000001212</v>
      </c>
      <c r="I276" s="263" t="str">
        <f t="shared" si="26"/>
        <v/>
      </c>
      <c r="J276" s="263"/>
      <c r="K276" s="263"/>
      <c r="L276" s="263"/>
      <c r="M276" s="263" t="str">
        <f t="shared" si="27"/>
        <v/>
      </c>
    </row>
    <row r="277" spans="1:13">
      <c r="A277" s="263"/>
      <c r="B277" s="429">
        <f t="shared" si="28"/>
        <v>5481</v>
      </c>
      <c r="C277" s="429">
        <f t="shared" si="29"/>
        <v>5486</v>
      </c>
      <c r="D277" s="430" t="str">
        <f t="shared" si="24"/>
        <v>B4018</v>
      </c>
      <c r="E277" s="430" t="str">
        <f>VLOOKUP(D277,'RCLIPS송신(이지론플러스)_최종'!$B:$E,4,0)</f>
        <v>N1년월평균신판이용기관수</v>
      </c>
      <c r="F277" s="430">
        <f>VLOOKUP($D277,'RCLIPS송신(이지론플러스)_최종'!$B:$D,2,0)</f>
        <v>0</v>
      </c>
      <c r="G277" s="430">
        <f>VLOOKUP($D277,'RCLIPS송신(이지론플러스)_최종'!$B:$D,3,0)</f>
        <v>0</v>
      </c>
      <c r="H277" s="430" t="str">
        <f t="shared" si="25"/>
        <v>0000000000001.2</v>
      </c>
      <c r="I277" s="263" t="str">
        <f t="shared" si="26"/>
        <v/>
      </c>
      <c r="J277" s="263"/>
      <c r="K277" s="263"/>
      <c r="L277" s="263"/>
      <c r="M277" s="263" t="str">
        <f t="shared" si="27"/>
        <v/>
      </c>
    </row>
    <row r="278" spans="1:13">
      <c r="A278" s="263"/>
      <c r="B278" s="429">
        <f t="shared" si="28"/>
        <v>5501</v>
      </c>
      <c r="C278" s="429">
        <f t="shared" si="29"/>
        <v>5506</v>
      </c>
      <c r="D278" s="430" t="str">
        <f t="shared" si="24"/>
        <v>B4019</v>
      </c>
      <c r="E278" s="430" t="str">
        <f>VLOOKUP(D278,'RCLIPS송신(이지론플러스)_최종'!$B:$E,4,0)</f>
        <v>N6월카드활성한도소진율</v>
      </c>
      <c r="F278" s="430">
        <f>VLOOKUP($D278,'RCLIPS송신(이지론플러스)_최종'!$B:$D,2,0)</f>
        <v>0</v>
      </c>
      <c r="G278" s="430">
        <f>VLOOKUP($D278,'RCLIPS송신(이지론플러스)_최종'!$B:$D,3,0)</f>
        <v>0</v>
      </c>
      <c r="H278" s="430" t="str">
        <f t="shared" si="25"/>
        <v>0000008888888.8</v>
      </c>
      <c r="I278" s="263" t="str">
        <f t="shared" si="26"/>
        <v/>
      </c>
      <c r="J278" s="263"/>
      <c r="K278" s="263"/>
      <c r="L278" s="263"/>
      <c r="M278" s="263" t="str">
        <f t="shared" si="27"/>
        <v/>
      </c>
    </row>
    <row r="279" spans="1:13">
      <c r="A279" s="263"/>
      <c r="B279" s="429">
        <f t="shared" si="28"/>
        <v>5521</v>
      </c>
      <c r="C279" s="429">
        <f t="shared" si="29"/>
        <v>5526</v>
      </c>
      <c r="D279" s="430" t="str">
        <f t="shared" si="24"/>
        <v>B4020</v>
      </c>
      <c r="E279" s="430" t="str">
        <f>VLOOKUP(D279,'RCLIPS송신(이지론플러스)_최종'!$B:$E,4,0)</f>
        <v>N3월CA유효활성한도소진율</v>
      </c>
      <c r="F279" s="430">
        <f>VLOOKUP($D279,'RCLIPS송신(이지론플러스)_최종'!$B:$D,2,0)</f>
        <v>0</v>
      </c>
      <c r="G279" s="430">
        <f>VLOOKUP($D279,'RCLIPS송신(이지론플러스)_최종'!$B:$D,3,0)</f>
        <v>0</v>
      </c>
      <c r="H279" s="430" t="str">
        <f t="shared" si="25"/>
        <v>0000008888888.8</v>
      </c>
      <c r="I279" s="263" t="str">
        <f t="shared" si="26"/>
        <v/>
      </c>
      <c r="J279" s="263"/>
      <c r="K279" s="263"/>
      <c r="L279" s="263"/>
      <c r="M279" s="263" t="str">
        <f t="shared" si="27"/>
        <v/>
      </c>
    </row>
    <row r="280" spans="1:13">
      <c r="A280" s="263"/>
      <c r="B280" s="429">
        <f t="shared" si="28"/>
        <v>5541</v>
      </c>
      <c r="C280" s="429">
        <f t="shared" si="29"/>
        <v>5546</v>
      </c>
      <c r="D280" s="430" t="str">
        <f t="shared" si="24"/>
        <v>B4021</v>
      </c>
      <c r="E280" s="430" t="str">
        <f>VLOOKUP(D280,'RCLIPS송신(이지론플러스)_최종'!$B:$E,4,0)</f>
        <v>미해지CA이용잔액보유카드건수</v>
      </c>
      <c r="F280" s="430">
        <f>VLOOKUP($D280,'RCLIPS송신(이지론플러스)_최종'!$B:$D,2,0)</f>
        <v>0</v>
      </c>
      <c r="G280" s="430">
        <f>VLOOKUP($D280,'RCLIPS송신(이지론플러스)_최종'!$B:$D,3,0)</f>
        <v>0</v>
      </c>
      <c r="H280" s="430" t="str">
        <f t="shared" si="25"/>
        <v>000000000000000</v>
      </c>
      <c r="I280" s="263" t="str">
        <f t="shared" si="26"/>
        <v/>
      </c>
      <c r="J280" s="263"/>
      <c r="K280" s="263"/>
      <c r="L280" s="263"/>
      <c r="M280" s="263" t="str">
        <f t="shared" si="27"/>
        <v/>
      </c>
    </row>
    <row r="281" spans="1:13">
      <c r="A281" s="263"/>
      <c r="B281" s="429">
        <f t="shared" si="28"/>
        <v>5561</v>
      </c>
      <c r="C281" s="429">
        <f t="shared" si="29"/>
        <v>5566</v>
      </c>
      <c r="D281" s="430" t="str">
        <f t="shared" si="24"/>
        <v>B4022</v>
      </c>
      <c r="E281" s="430" t="str">
        <f>VLOOKUP(D281,'RCLIPS송신(이지론플러스)_최종'!$B:$E,4,0)</f>
        <v>N1년월평균일시불이용기관수</v>
      </c>
      <c r="F281" s="430">
        <f>VLOOKUP($D281,'RCLIPS송신(이지론플러스)_최종'!$B:$D,2,0)</f>
        <v>0</v>
      </c>
      <c r="G281" s="430">
        <f>VLOOKUP($D281,'RCLIPS송신(이지론플러스)_최종'!$B:$D,3,0)</f>
        <v>0</v>
      </c>
      <c r="H281" s="430" t="str">
        <f t="shared" si="25"/>
        <v>0000000000001.2</v>
      </c>
      <c r="I281" s="263" t="str">
        <f t="shared" si="26"/>
        <v/>
      </c>
      <c r="J281" s="263"/>
      <c r="K281" s="263"/>
      <c r="L281" s="263"/>
      <c r="M281" s="263" t="str">
        <f t="shared" si="27"/>
        <v/>
      </c>
    </row>
    <row r="282" spans="1:13">
      <c r="A282" s="263"/>
      <c r="B282" s="429">
        <f t="shared" si="28"/>
        <v>5581</v>
      </c>
      <c r="C282" s="429">
        <f t="shared" si="29"/>
        <v>5586</v>
      </c>
      <c r="D282" s="430" t="str">
        <f t="shared" si="24"/>
        <v>B4023</v>
      </c>
      <c r="E282" s="430" t="str">
        <f>VLOOKUP(D282,'RCLIPS송신(이지론플러스)_최종'!$B:$E,4,0)</f>
        <v>N1년월평균신판총이용금액</v>
      </c>
      <c r="F282" s="430">
        <f>VLOOKUP($D282,'RCLIPS송신(이지론플러스)_최종'!$B:$D,2,0)</f>
        <v>0</v>
      </c>
      <c r="G282" s="430">
        <f>VLOOKUP($D282,'RCLIPS송신(이지론플러스)_최종'!$B:$D,3,0)</f>
        <v>0</v>
      </c>
      <c r="H282" s="430" t="str">
        <f t="shared" si="25"/>
        <v>000000000000900</v>
      </c>
      <c r="I282" s="263" t="str">
        <f t="shared" si="26"/>
        <v/>
      </c>
      <c r="J282" s="263"/>
      <c r="K282" s="263"/>
      <c r="L282" s="263"/>
      <c r="M282" s="263" t="str">
        <f t="shared" si="27"/>
        <v/>
      </c>
    </row>
    <row r="283" spans="1:13">
      <c r="A283" s="263"/>
      <c r="B283" s="429">
        <f t="shared" si="28"/>
        <v>5601</v>
      </c>
      <c r="C283" s="429">
        <f t="shared" si="29"/>
        <v>5606</v>
      </c>
      <c r="D283" s="430" t="str">
        <f t="shared" si="24"/>
        <v>B4024</v>
      </c>
      <c r="E283" s="430" t="str">
        <f>VLOOKUP(D283,'RCLIPS송신(이지론플러스)_최종'!$B:$E,4,0)</f>
        <v>N6월평균이용기관수</v>
      </c>
      <c r="F283" s="430">
        <f>VLOOKUP($D283,'RCLIPS송신(이지론플러스)_최종'!$B:$D,2,0)</f>
        <v>0</v>
      </c>
      <c r="G283" s="430">
        <f>VLOOKUP($D283,'RCLIPS송신(이지론플러스)_최종'!$B:$D,3,0)</f>
        <v>0</v>
      </c>
      <c r="H283" s="430" t="str">
        <f t="shared" si="25"/>
        <v>0000000000001.2</v>
      </c>
      <c r="I283" s="263" t="str">
        <f t="shared" si="26"/>
        <v/>
      </c>
      <c r="J283" s="263"/>
      <c r="K283" s="263"/>
      <c r="L283" s="263"/>
      <c r="M283" s="263" t="str">
        <f t="shared" si="27"/>
        <v/>
      </c>
    </row>
    <row r="284" spans="1:13">
      <c r="A284" s="263"/>
      <c r="B284" s="429">
        <f t="shared" si="28"/>
        <v>5621</v>
      </c>
      <c r="C284" s="429">
        <f t="shared" si="29"/>
        <v>5626</v>
      </c>
      <c r="D284" s="430" t="str">
        <f t="shared" si="24"/>
        <v>B4025</v>
      </c>
      <c r="E284" s="430" t="str">
        <f>VLOOKUP(D284,'RCLIPS송신(이지론플러스)_최종'!$B:$E,4,0)</f>
        <v>최초신용거래개설경과일수</v>
      </c>
      <c r="F284" s="430">
        <f>VLOOKUP($D284,'RCLIPS송신(이지론플러스)_최종'!$B:$D,2,0)</f>
        <v>0</v>
      </c>
      <c r="G284" s="430">
        <f>VLOOKUP($D284,'RCLIPS송신(이지론플러스)_최종'!$B:$D,3,0)</f>
        <v>0</v>
      </c>
      <c r="H284" s="430" t="str">
        <f t="shared" si="25"/>
        <v>000000000000000</v>
      </c>
      <c r="I284" s="263" t="str">
        <f t="shared" si="26"/>
        <v/>
      </c>
      <c r="J284" s="263"/>
      <c r="K284" s="263"/>
      <c r="L284" s="263"/>
      <c r="M284" s="263" t="str">
        <f t="shared" si="27"/>
        <v/>
      </c>
    </row>
    <row r="285" spans="1:13">
      <c r="A285" s="263"/>
      <c r="B285" s="429">
        <f t="shared" si="28"/>
        <v>5641</v>
      </c>
      <c r="C285" s="429">
        <f t="shared" si="29"/>
        <v>5646</v>
      </c>
      <c r="D285" s="430" t="str">
        <f t="shared" si="24"/>
        <v>B4026</v>
      </c>
      <c r="E285" s="430" t="str">
        <f>VLOOKUP(D285,'RCLIPS송신(이지론플러스)_최종'!$B:$E,4,0)</f>
        <v>최근신용거래개설경과일수</v>
      </c>
      <c r="F285" s="430">
        <f>VLOOKUP($D285,'RCLIPS송신(이지론플러스)_최종'!$B:$D,2,0)</f>
        <v>0</v>
      </c>
      <c r="G285" s="430">
        <f>VLOOKUP($D285,'RCLIPS송신(이지론플러스)_최종'!$B:$D,3,0)</f>
        <v>0</v>
      </c>
      <c r="H285" s="430" t="str">
        <f t="shared" si="25"/>
        <v>000000000000000</v>
      </c>
      <c r="I285" s="263" t="str">
        <f t="shared" si="26"/>
        <v/>
      </c>
      <c r="J285" s="263"/>
      <c r="K285" s="263"/>
      <c r="L285" s="263"/>
      <c r="M285" s="263" t="str">
        <f t="shared" si="27"/>
        <v/>
      </c>
    </row>
    <row r="286" spans="1:13">
      <c r="A286" s="263"/>
      <c r="B286" s="429">
        <f t="shared" si="28"/>
        <v>5661</v>
      </c>
      <c r="C286" s="429">
        <f t="shared" si="29"/>
        <v>5666</v>
      </c>
      <c r="D286" s="430" t="str">
        <f t="shared" si="24"/>
        <v>B4027</v>
      </c>
      <c r="E286" s="430" t="str">
        <f>VLOOKUP(D286,'RCLIPS송신(이지론플러스)_최종'!$B:$E,4,0)</f>
        <v>N1년해지포함총상환원금</v>
      </c>
      <c r="F286" s="430">
        <f>VLOOKUP($D286,'RCLIPS송신(이지론플러스)_최종'!$B:$D,2,0)</f>
        <v>0</v>
      </c>
      <c r="G286" s="430">
        <f>VLOOKUP($D286,'RCLIPS송신(이지론플러스)_최종'!$B:$D,3,0)</f>
        <v>0</v>
      </c>
      <c r="H286" s="430" t="str">
        <f t="shared" si="25"/>
        <v>000000000000000</v>
      </c>
      <c r="I286" s="263" t="str">
        <f t="shared" si="26"/>
        <v/>
      </c>
      <c r="J286" s="263"/>
      <c r="K286" s="263"/>
      <c r="L286" s="263"/>
      <c r="M286" s="263" t="str">
        <f t="shared" si="27"/>
        <v/>
      </c>
    </row>
    <row r="287" spans="1:13">
      <c r="A287" s="263"/>
      <c r="B287" s="429">
        <f t="shared" si="28"/>
        <v>5681</v>
      </c>
      <c r="C287" s="429">
        <f t="shared" si="29"/>
        <v>5686</v>
      </c>
      <c r="D287" s="430" t="str">
        <f t="shared" si="24"/>
        <v>B4028</v>
      </c>
      <c r="E287" s="430" t="str">
        <f>VLOOKUP(D287,'RCLIPS송신(이지론플러스)_최종'!$B:$E,4,0)</f>
        <v>당사제외신용대출건수</v>
      </c>
      <c r="F287" s="430">
        <f>VLOOKUP($D287,'RCLIPS송신(이지론플러스)_최종'!$B:$D,2,0)</f>
        <v>0</v>
      </c>
      <c r="G287" s="430">
        <f>VLOOKUP($D287,'RCLIPS송신(이지론플러스)_최종'!$B:$D,3,0)</f>
        <v>0</v>
      </c>
      <c r="H287" s="430" t="str">
        <f t="shared" si="25"/>
        <v>000000000000001</v>
      </c>
      <c r="I287" s="263" t="str">
        <f t="shared" si="26"/>
        <v/>
      </c>
      <c r="J287" s="263"/>
      <c r="K287" s="263"/>
      <c r="L287" s="263"/>
      <c r="M287" s="263" t="str">
        <f t="shared" si="27"/>
        <v/>
      </c>
    </row>
    <row r="288" spans="1:13">
      <c r="A288" s="263"/>
      <c r="B288" s="429">
        <f t="shared" si="28"/>
        <v>5701</v>
      </c>
      <c r="C288" s="429">
        <f t="shared" si="29"/>
        <v>5706</v>
      </c>
      <c r="D288" s="430" t="str">
        <f t="shared" si="24"/>
        <v>B4029</v>
      </c>
      <c r="E288" s="430" t="str">
        <f>VLOOKUP(D288,'RCLIPS송신(이지론플러스)_최종'!$B:$E,4,0)</f>
        <v>미해지LV123제외대출기관수</v>
      </c>
      <c r="F288" s="430">
        <f>VLOOKUP($D288,'RCLIPS송신(이지론플러스)_최종'!$B:$D,2,0)</f>
        <v>0</v>
      </c>
      <c r="G288" s="430">
        <f>VLOOKUP($D288,'RCLIPS송신(이지론플러스)_최종'!$B:$D,3,0)</f>
        <v>0</v>
      </c>
      <c r="H288" s="430" t="str">
        <f t="shared" si="25"/>
        <v>000000000000000</v>
      </c>
      <c r="I288" s="263" t="str">
        <f t="shared" si="26"/>
        <v/>
      </c>
      <c r="J288" s="263"/>
      <c r="K288" s="263"/>
      <c r="L288" s="263"/>
      <c r="M288" s="263" t="str">
        <f t="shared" si="27"/>
        <v/>
      </c>
    </row>
    <row r="289" spans="1:13">
      <c r="A289" s="263"/>
      <c r="B289" s="429">
        <f t="shared" si="28"/>
        <v>5721</v>
      </c>
      <c r="C289" s="429">
        <f t="shared" si="29"/>
        <v>5726</v>
      </c>
      <c r="D289" s="430" t="str">
        <f t="shared" si="24"/>
        <v>B4030</v>
      </c>
      <c r="E289" s="430" t="str">
        <f>VLOOKUP(D289,'RCLIPS송신(이지론플러스)_최종'!$B:$E,4,0)</f>
        <v>미해지LV123456제외대출기관수</v>
      </c>
      <c r="F289" s="430">
        <f>VLOOKUP($D289,'RCLIPS송신(이지론플러스)_최종'!$B:$D,2,0)</f>
        <v>0</v>
      </c>
      <c r="G289" s="430">
        <f>VLOOKUP($D289,'RCLIPS송신(이지론플러스)_최종'!$B:$D,3,0)</f>
        <v>0</v>
      </c>
      <c r="H289" s="430" t="str">
        <f t="shared" si="25"/>
        <v>000000000000000</v>
      </c>
      <c r="I289" s="263" t="str">
        <f t="shared" si="26"/>
        <v/>
      </c>
      <c r="J289" s="263"/>
      <c r="K289" s="263"/>
      <c r="L289" s="263"/>
      <c r="M289" s="263" t="str">
        <f t="shared" si="27"/>
        <v/>
      </c>
    </row>
    <row r="290" spans="1:13">
      <c r="A290" s="263"/>
      <c r="B290" s="429">
        <f t="shared" si="28"/>
        <v>5741</v>
      </c>
      <c r="C290" s="429">
        <f t="shared" si="29"/>
        <v>5746</v>
      </c>
      <c r="D290" s="430" t="str">
        <f t="shared" si="24"/>
        <v>B4031</v>
      </c>
      <c r="E290" s="430" t="str">
        <f>VLOOKUP(D290,'RCLIPS송신(이지론플러스)_최종'!$B:$E,4,0)</f>
        <v>미해지LV123456제외대출금액</v>
      </c>
      <c r="F290" s="430">
        <f>VLOOKUP($D290,'RCLIPS송신(이지론플러스)_최종'!$B:$D,2,0)</f>
        <v>0</v>
      </c>
      <c r="G290" s="430">
        <f>VLOOKUP($D290,'RCLIPS송신(이지론플러스)_최종'!$B:$D,3,0)</f>
        <v>0</v>
      </c>
      <c r="H290" s="430" t="str">
        <f t="shared" si="25"/>
        <v>000000000000000</v>
      </c>
      <c r="I290" s="263" t="str">
        <f t="shared" si="26"/>
        <v/>
      </c>
      <c r="J290" s="263"/>
      <c r="K290" s="263"/>
      <c r="L290" s="263"/>
      <c r="M290" s="263" t="str">
        <f t="shared" si="27"/>
        <v/>
      </c>
    </row>
    <row r="291" spans="1:13">
      <c r="A291" s="263"/>
      <c r="B291" s="429">
        <f t="shared" si="28"/>
        <v>5761</v>
      </c>
      <c r="C291" s="429">
        <f t="shared" si="29"/>
        <v>5766</v>
      </c>
      <c r="D291" s="430" t="str">
        <f t="shared" si="24"/>
        <v>B4032</v>
      </c>
      <c r="E291" s="430" t="str">
        <f>VLOOKUP(D291,'RCLIPS송신(이지론플러스)_최종'!$B:$E,4,0)</f>
        <v>N6월LV1신규대출기관수</v>
      </c>
      <c r="F291" s="430">
        <f>VLOOKUP($D291,'RCLIPS송신(이지론플러스)_최종'!$B:$D,2,0)</f>
        <v>0</v>
      </c>
      <c r="G291" s="430">
        <f>VLOOKUP($D291,'RCLIPS송신(이지론플러스)_최종'!$B:$D,3,0)</f>
        <v>0</v>
      </c>
      <c r="H291" s="430" t="str">
        <f t="shared" si="25"/>
        <v>000000000000000</v>
      </c>
      <c r="I291" s="263" t="str">
        <f t="shared" si="26"/>
        <v/>
      </c>
      <c r="J291" s="263"/>
      <c r="K291" s="263"/>
      <c r="L291" s="263"/>
      <c r="M291" s="263" t="str">
        <f t="shared" si="27"/>
        <v/>
      </c>
    </row>
    <row r="292" spans="1:13">
      <c r="A292" s="263"/>
      <c r="B292" s="429">
        <f t="shared" si="28"/>
        <v>5781</v>
      </c>
      <c r="C292" s="429">
        <f t="shared" si="29"/>
        <v>5786</v>
      </c>
      <c r="D292" s="430" t="str">
        <f t="shared" si="24"/>
        <v>B4033</v>
      </c>
      <c r="E292" s="430" t="str">
        <f>VLOOKUP(D292,'RCLIPS송신(이지론플러스)_최종'!$B:$E,4,0)</f>
        <v>N6월LV1제외신규대출기관수</v>
      </c>
      <c r="F292" s="430">
        <f>VLOOKUP($D292,'RCLIPS송신(이지론플러스)_최종'!$B:$D,2,0)</f>
        <v>0</v>
      </c>
      <c r="G292" s="430">
        <f>VLOOKUP($D292,'RCLIPS송신(이지론플러스)_최종'!$B:$D,3,0)</f>
        <v>0</v>
      </c>
      <c r="H292" s="430" t="str">
        <f t="shared" si="25"/>
        <v>000000000000001</v>
      </c>
      <c r="I292" s="263" t="str">
        <f t="shared" si="26"/>
        <v/>
      </c>
      <c r="J292" s="263"/>
      <c r="K292" s="263"/>
      <c r="L292" s="263"/>
      <c r="M292" s="263" t="str">
        <f t="shared" si="27"/>
        <v/>
      </c>
    </row>
    <row r="293" spans="1:13">
      <c r="A293" s="263"/>
      <c r="B293" s="429">
        <f t="shared" si="28"/>
        <v>5801</v>
      </c>
      <c r="C293" s="429">
        <f t="shared" si="29"/>
        <v>5806</v>
      </c>
      <c r="D293" s="430" t="str">
        <f t="shared" si="24"/>
        <v>B4034</v>
      </c>
      <c r="E293" s="430" t="str">
        <f>VLOOKUP(D293,'RCLIPS송신(이지론플러스)_최종'!$B:$E,4,0)</f>
        <v>미해지담보대출총금액</v>
      </c>
      <c r="F293" s="430">
        <f>VLOOKUP($D293,'RCLIPS송신(이지론플러스)_최종'!$B:$D,2,0)</f>
        <v>0</v>
      </c>
      <c r="G293" s="430">
        <f>VLOOKUP($D293,'RCLIPS송신(이지론플러스)_최종'!$B:$D,3,0)</f>
        <v>0</v>
      </c>
      <c r="H293" s="430" t="str">
        <f t="shared" si="25"/>
        <v>000000000000000</v>
      </c>
      <c r="I293" s="263" t="str">
        <f t="shared" si="26"/>
        <v/>
      </c>
      <c r="J293" s="263"/>
      <c r="K293" s="263"/>
      <c r="L293" s="263"/>
      <c r="M293" s="263" t="str">
        <f t="shared" si="27"/>
        <v/>
      </c>
    </row>
    <row r="294" spans="1:13">
      <c r="A294" s="263"/>
      <c r="B294" s="429">
        <f t="shared" si="28"/>
        <v>5821</v>
      </c>
      <c r="C294" s="429">
        <f t="shared" si="29"/>
        <v>5826</v>
      </c>
      <c r="D294" s="430" t="str">
        <f t="shared" si="24"/>
        <v>B4035</v>
      </c>
      <c r="E294" s="430" t="str">
        <f>VLOOKUP(D294,'RCLIPS송신(이지론플러스)_최종'!$B:$E,4,0)</f>
        <v>미해지할부금융신용대출총금액</v>
      </c>
      <c r="F294" s="430">
        <f>VLOOKUP($D294,'RCLIPS송신(이지론플러스)_최종'!$B:$D,2,0)</f>
        <v>0</v>
      </c>
      <c r="G294" s="430">
        <f>VLOOKUP($D294,'RCLIPS송신(이지론플러스)_최종'!$B:$D,3,0)</f>
        <v>0</v>
      </c>
      <c r="H294" s="430" t="str">
        <f t="shared" si="25"/>
        <v>000000000000000</v>
      </c>
      <c r="I294" s="263" t="str">
        <f t="shared" si="26"/>
        <v/>
      </c>
      <c r="J294" s="263"/>
      <c r="K294" s="263"/>
      <c r="L294" s="263"/>
      <c r="M294" s="263" t="str">
        <f t="shared" si="27"/>
        <v/>
      </c>
    </row>
    <row r="295" spans="1:13">
      <c r="A295" s="263"/>
      <c r="B295" s="429">
        <f t="shared" si="28"/>
        <v>5841</v>
      </c>
      <c r="C295" s="429">
        <f t="shared" si="29"/>
        <v>5846</v>
      </c>
      <c r="D295" s="430" t="str">
        <f t="shared" si="24"/>
        <v>B4036</v>
      </c>
      <c r="E295" s="430" t="str">
        <f>VLOOKUP(D295,'RCLIPS송신(이지론플러스)_최종'!$B:$E,4,0)</f>
        <v>미해지신용대출총대출금액</v>
      </c>
      <c r="F295" s="430">
        <f>VLOOKUP($D295,'RCLIPS송신(이지론플러스)_최종'!$B:$D,2,0)</f>
        <v>0</v>
      </c>
      <c r="G295" s="430">
        <f>VLOOKUP($D295,'RCLIPS송신(이지론플러스)_최종'!$B:$D,3,0)</f>
        <v>0</v>
      </c>
      <c r="H295" s="430" t="str">
        <f t="shared" si="25"/>
        <v>000000000003000</v>
      </c>
      <c r="I295" s="263" t="str">
        <f t="shared" si="26"/>
        <v/>
      </c>
      <c r="J295" s="263"/>
      <c r="K295" s="263"/>
      <c r="L295" s="263"/>
      <c r="M295" s="263" t="str">
        <f t="shared" si="27"/>
        <v/>
      </c>
    </row>
    <row r="296" spans="1:13">
      <c r="A296" s="263"/>
      <c r="B296" s="429">
        <f t="shared" si="28"/>
        <v>5861</v>
      </c>
      <c r="C296" s="429">
        <f t="shared" si="29"/>
        <v>5866</v>
      </c>
      <c r="D296" s="430" t="str">
        <f t="shared" si="24"/>
        <v>B4037</v>
      </c>
      <c r="E296" s="430" t="str">
        <f>VLOOKUP(D296,'RCLIPS송신(이지론플러스)_최종'!$B:$E,4,0)</f>
        <v>N3월은행제외신규대출기관수</v>
      </c>
      <c r="F296" s="430">
        <f>VLOOKUP($D296,'RCLIPS송신(이지론플러스)_최종'!$B:$D,2,0)</f>
        <v>0</v>
      </c>
      <c r="G296" s="430">
        <f>VLOOKUP($D296,'RCLIPS송신(이지론플러스)_최종'!$B:$D,3,0)</f>
        <v>0</v>
      </c>
      <c r="H296" s="430" t="str">
        <f t="shared" si="25"/>
        <v>000000000000000</v>
      </c>
      <c r="I296" s="263" t="str">
        <f t="shared" si="26"/>
        <v/>
      </c>
      <c r="J296" s="263"/>
      <c r="K296" s="263"/>
      <c r="L296" s="263"/>
      <c r="M296" s="263" t="str">
        <f t="shared" si="27"/>
        <v/>
      </c>
    </row>
    <row r="297" spans="1:13">
      <c r="A297" s="263"/>
      <c r="B297" s="429">
        <f t="shared" si="28"/>
        <v>5881</v>
      </c>
      <c r="C297" s="429">
        <f t="shared" si="29"/>
        <v>5886</v>
      </c>
      <c r="D297" s="430" t="str">
        <f t="shared" si="24"/>
        <v>B4038</v>
      </c>
      <c r="E297" s="430" t="str">
        <f>VLOOKUP(D297,'RCLIPS송신(이지론플러스)_최종'!$B:$E,4,0)</f>
        <v>N1년해지포함대출금액증가율</v>
      </c>
      <c r="F297" s="430">
        <f>VLOOKUP($D297,'RCLIPS송신(이지론플러스)_최종'!$B:$D,2,0)</f>
        <v>0</v>
      </c>
      <c r="G297" s="430">
        <f>VLOOKUP($D297,'RCLIPS송신(이지론플러스)_최종'!$B:$D,3,0)</f>
        <v>0</v>
      </c>
      <c r="H297" s="430" t="str">
        <f t="shared" si="25"/>
        <v>0000009999999.9</v>
      </c>
      <c r="I297" s="263" t="str">
        <f t="shared" si="26"/>
        <v/>
      </c>
      <c r="J297" s="263"/>
      <c r="K297" s="263"/>
      <c r="L297" s="263"/>
      <c r="M297" s="263" t="str">
        <f t="shared" si="27"/>
        <v/>
      </c>
    </row>
    <row r="298" spans="1:13">
      <c r="A298" s="263"/>
      <c r="B298" s="429">
        <f t="shared" si="28"/>
        <v>5901</v>
      </c>
      <c r="C298" s="429">
        <f t="shared" si="29"/>
        <v>5906</v>
      </c>
      <c r="D298" s="430" t="str">
        <f t="shared" si="24"/>
        <v>B4039</v>
      </c>
      <c r="E298" s="430" t="str">
        <f>VLOOKUP(D298,'RCLIPS송신(이지론플러스)_최종'!$B:$E,4,0)</f>
        <v>N1년해지포함담보제외대출증가율</v>
      </c>
      <c r="F298" s="430">
        <f>VLOOKUP($D298,'RCLIPS송신(이지론플러스)_최종'!$B:$D,2,0)</f>
        <v>0</v>
      </c>
      <c r="G298" s="430">
        <f>VLOOKUP($D298,'RCLIPS송신(이지론플러스)_최종'!$B:$D,3,0)</f>
        <v>0</v>
      </c>
      <c r="H298" s="430" t="str">
        <f t="shared" si="25"/>
        <v>0000009999999.9</v>
      </c>
      <c r="I298" s="263" t="str">
        <f t="shared" si="26"/>
        <v/>
      </c>
      <c r="J298" s="263"/>
      <c r="K298" s="263"/>
      <c r="L298" s="263"/>
      <c r="M298" s="263" t="str">
        <f t="shared" si="27"/>
        <v/>
      </c>
    </row>
    <row r="299" spans="1:13">
      <c r="A299" s="263"/>
      <c r="B299" s="429">
        <f t="shared" si="28"/>
        <v>5921</v>
      </c>
      <c r="C299" s="429">
        <f t="shared" si="29"/>
        <v>5926</v>
      </c>
      <c r="D299" s="430" t="str">
        <f t="shared" si="24"/>
        <v>B4040</v>
      </c>
      <c r="E299" s="430" t="str">
        <f>VLOOKUP(D299,'RCLIPS송신(이지론플러스)_최종'!$B:$E,4,0)</f>
        <v>은행신차제외대출개설경과일수</v>
      </c>
      <c r="F299" s="430">
        <f>VLOOKUP($D299,'RCLIPS송신(이지론플러스)_최종'!$B:$D,2,0)</f>
        <v>0</v>
      </c>
      <c r="G299" s="430">
        <f>VLOOKUP($D299,'RCLIPS송신(이지론플러스)_최종'!$B:$D,3,0)</f>
        <v>0</v>
      </c>
      <c r="H299" s="430" t="str">
        <f t="shared" si="25"/>
        <v>000000000000549</v>
      </c>
      <c r="I299" s="263" t="str">
        <f t="shared" si="26"/>
        <v/>
      </c>
      <c r="J299" s="263"/>
      <c r="K299" s="263"/>
      <c r="L299" s="263"/>
      <c r="M299" s="263" t="str">
        <f t="shared" si="27"/>
        <v/>
      </c>
    </row>
    <row r="300" spans="1:13">
      <c r="A300" s="263"/>
      <c r="B300" s="429">
        <f t="shared" si="28"/>
        <v>5941</v>
      </c>
      <c r="C300" s="429">
        <f t="shared" si="29"/>
        <v>5946</v>
      </c>
      <c r="D300" s="430" t="str">
        <f t="shared" si="24"/>
        <v>B4041</v>
      </c>
      <c r="E300" s="430" t="str">
        <f>VLOOKUP(D300,'RCLIPS송신(이지론플러스)_최종'!$B:$E,4,0)</f>
        <v>N1월전비은행기업신용공여기관수</v>
      </c>
      <c r="F300" s="430">
        <f>VLOOKUP($D300,'RCLIPS송신(이지론플러스)_최종'!$B:$D,2,0)</f>
        <v>0</v>
      </c>
      <c r="G300" s="430">
        <f>VLOOKUP($D300,'RCLIPS송신(이지론플러스)_최종'!$B:$D,3,0)</f>
        <v>0</v>
      </c>
      <c r="H300" s="430" t="str">
        <f t="shared" si="25"/>
        <v>000000000000000</v>
      </c>
      <c r="I300" s="263" t="str">
        <f t="shared" si="26"/>
        <v/>
      </c>
      <c r="J300" s="263"/>
      <c r="K300" s="263"/>
      <c r="L300" s="263"/>
      <c r="M300" s="263" t="str">
        <f t="shared" si="27"/>
        <v/>
      </c>
    </row>
    <row r="301" spans="1:13">
      <c r="A301" s="263"/>
      <c r="B301" s="429">
        <f t="shared" si="28"/>
        <v>5961</v>
      </c>
      <c r="C301" s="429">
        <f t="shared" si="29"/>
        <v>5966</v>
      </c>
      <c r="D301" s="430" t="str">
        <f t="shared" si="24"/>
        <v>B4042</v>
      </c>
      <c r="E301" s="430" t="str">
        <f>VLOOKUP(D301,'RCLIPS송신(이지론플러스)_최종'!$B:$E,4,0)</f>
        <v xml:space="preserve">KCBDSR연간상환원리금5 </v>
      </c>
      <c r="F301" s="430">
        <f>VLOOKUP($D301,'RCLIPS송신(이지론플러스)_최종'!$B:$D,2,0)</f>
        <v>0</v>
      </c>
      <c r="G301" s="430">
        <f>VLOOKUP($D301,'RCLIPS송신(이지론플러스)_최종'!$B:$D,3,0)</f>
        <v>0</v>
      </c>
      <c r="H301" s="430" t="str">
        <f t="shared" si="25"/>
        <v>000000000000000</v>
      </c>
      <c r="I301" s="263" t="str">
        <f t="shared" si="26"/>
        <v/>
      </c>
      <c r="J301" s="263"/>
      <c r="K301" s="263"/>
      <c r="L301" s="263"/>
      <c r="M301" s="263" t="str">
        <f t="shared" si="27"/>
        <v/>
      </c>
    </row>
    <row r="302" spans="1:13">
      <c r="A302" s="263"/>
      <c r="B302" s="429">
        <f t="shared" si="28"/>
        <v>5981</v>
      </c>
      <c r="C302" s="429">
        <f t="shared" si="29"/>
        <v>5986</v>
      </c>
      <c r="D302" s="430" t="str">
        <f t="shared" si="24"/>
        <v>B4043</v>
      </c>
      <c r="E302" s="430" t="str">
        <f>VLOOKUP(D302,'RCLIPS송신(이지론플러스)_최종'!$B:$E,4,0)</f>
        <v>주부특화자산평가지수구분코드</v>
      </c>
      <c r="F302" s="430">
        <f>VLOOKUP($D302,'RCLIPS송신(이지론플러스)_최종'!$B:$D,2,0)</f>
        <v>0</v>
      </c>
      <c r="G302" s="430">
        <f>VLOOKUP($D302,'RCLIPS송신(이지론플러스)_최종'!$B:$D,3,0)</f>
        <v>0</v>
      </c>
      <c r="H302" s="430" t="str">
        <f t="shared" si="25"/>
        <v>000000000263530</v>
      </c>
      <c r="I302" s="263" t="str">
        <f t="shared" si="26"/>
        <v/>
      </c>
      <c r="J302" s="263"/>
      <c r="K302" s="263"/>
      <c r="L302" s="263"/>
      <c r="M302" s="263" t="str">
        <f t="shared" si="27"/>
        <v/>
      </c>
    </row>
    <row r="303" spans="1:13">
      <c r="A303" s="263"/>
      <c r="B303" s="429">
        <f t="shared" si="28"/>
        <v>6001</v>
      </c>
      <c r="C303" s="429">
        <f t="shared" si="29"/>
        <v>6006</v>
      </c>
      <c r="D303" s="430" t="str">
        <f t="shared" si="24"/>
        <v>B4044</v>
      </c>
      <c r="E303" s="430" t="str">
        <f>VLOOKUP(D303,'RCLIPS송신(이지론플러스)_최종'!$B:$E,4,0)</f>
        <v>대부업권대출금액</v>
      </c>
      <c r="F303" s="430">
        <f>VLOOKUP($D303,'RCLIPS송신(이지론플러스)_최종'!$B:$D,2,0)</f>
        <v>0</v>
      </c>
      <c r="G303" s="430">
        <f>VLOOKUP($D303,'RCLIPS송신(이지론플러스)_최종'!$B:$D,3,0)</f>
        <v>0</v>
      </c>
      <c r="H303" s="430" t="str">
        <f t="shared" si="25"/>
        <v>000000000000000</v>
      </c>
      <c r="I303" s="263" t="str">
        <f t="shared" si="26"/>
        <v/>
      </c>
      <c r="J303" s="263"/>
      <c r="K303" s="263"/>
      <c r="L303" s="263"/>
      <c r="M303" s="263" t="str">
        <f t="shared" si="27"/>
        <v/>
      </c>
    </row>
    <row r="304" spans="1:13">
      <c r="A304" s="263"/>
      <c r="B304" s="429">
        <f t="shared" si="28"/>
        <v>6021</v>
      </c>
      <c r="C304" s="429">
        <f t="shared" si="29"/>
        <v>6026</v>
      </c>
      <c r="D304" s="430" t="str">
        <f t="shared" si="24"/>
        <v>B4045</v>
      </c>
      <c r="E304" s="430" t="str">
        <f>VLOOKUP(D304,'RCLIPS송신(이지론플러스)_최종'!$B:$E,4,0)</f>
        <v>CA이용합계잔액</v>
      </c>
      <c r="F304" s="430">
        <f>VLOOKUP($D304,'RCLIPS송신(이지론플러스)_최종'!$B:$D,2,0)</f>
        <v>0</v>
      </c>
      <c r="G304" s="430">
        <f>VLOOKUP($D304,'RCLIPS송신(이지론플러스)_최종'!$B:$D,3,0)</f>
        <v>0</v>
      </c>
      <c r="H304" s="430" t="str">
        <f t="shared" si="25"/>
        <v>000000000000000</v>
      </c>
      <c r="I304" s="263" t="str">
        <f t="shared" si="26"/>
        <v/>
      </c>
      <c r="J304" s="263"/>
      <c r="K304" s="263"/>
      <c r="L304" s="263"/>
      <c r="M304" s="263" t="str">
        <f t="shared" si="27"/>
        <v/>
      </c>
    </row>
    <row r="305" spans="1:13">
      <c r="A305" s="263"/>
      <c r="B305" s="429">
        <f t="shared" si="28"/>
        <v>6041</v>
      </c>
      <c r="C305" s="429">
        <f t="shared" si="29"/>
        <v>6046</v>
      </c>
      <c r="D305" s="430" t="str">
        <f t="shared" si="24"/>
        <v>B4046</v>
      </c>
      <c r="E305" s="430" t="str">
        <f>VLOOKUP(D305,'RCLIPS송신(이지론플러스)_최종'!$B:$E,4,0)</f>
        <v>N1년월평균CA총이용금액</v>
      </c>
      <c r="F305" s="430">
        <f>VLOOKUP($D305,'RCLIPS송신(이지론플러스)_최종'!$B:$D,2,0)</f>
        <v>0</v>
      </c>
      <c r="G305" s="430">
        <f>VLOOKUP($D305,'RCLIPS송신(이지론플러스)_최종'!$B:$D,3,0)</f>
        <v>0</v>
      </c>
      <c r="H305" s="430" t="str">
        <f t="shared" si="25"/>
        <v>000000000000000</v>
      </c>
      <c r="I305" s="263" t="str">
        <f t="shared" si="26"/>
        <v/>
      </c>
      <c r="J305" s="263"/>
      <c r="K305" s="263"/>
      <c r="L305" s="263"/>
      <c r="M305" s="263" t="str">
        <f t="shared" si="27"/>
        <v/>
      </c>
    </row>
    <row r="306" spans="1:13">
      <c r="A306" s="263"/>
      <c r="B306" s="429">
        <f t="shared" si="28"/>
        <v>6061</v>
      </c>
      <c r="C306" s="429">
        <f t="shared" si="29"/>
        <v>6066</v>
      </c>
      <c r="D306" s="430" t="str">
        <f t="shared" si="24"/>
        <v>B4047</v>
      </c>
      <c r="E306" s="430" t="str">
        <f>VLOOKUP(D306,'RCLIPS송신(이지론플러스)_최종'!$B:$E,4,0)</f>
        <v>미해지당사제외CA이용잔액</v>
      </c>
      <c r="F306" s="430" t="str">
        <f>VLOOKUP($D306,'RCLIPS송신(이지론플러스)_최종'!$B:$D,2,0)</f>
        <v>Numeric</v>
      </c>
      <c r="G306" s="430">
        <f>VLOOKUP($D306,'RCLIPS송신(이지론플러스)_최종'!$B:$D,3,0)</f>
        <v>15</v>
      </c>
      <c r="H306" s="430" t="str">
        <f t="shared" si="25"/>
        <v>000000000000000</v>
      </c>
      <c r="I306" s="263" t="str">
        <f t="shared" si="26"/>
        <v/>
      </c>
      <c r="J306" s="263"/>
      <c r="K306" s="263"/>
      <c r="L306" s="263"/>
      <c r="M306" s="263" t="str">
        <f t="shared" si="27"/>
        <v/>
      </c>
    </row>
    <row r="307" spans="1:13">
      <c r="A307" s="263"/>
      <c r="B307" s="429">
        <f t="shared" si="28"/>
        <v>6081</v>
      </c>
      <c r="C307" s="429">
        <f t="shared" si="29"/>
        <v>6086</v>
      </c>
      <c r="D307" s="430" t="str">
        <f t="shared" si="24"/>
        <v>B4048</v>
      </c>
      <c r="E307" s="430" t="str">
        <f>VLOOKUP(D307,'RCLIPS송신(이지론플러스)_최종'!$B:$E,4,0)</f>
        <v>N1년당사제외월평균CA총이용금액</v>
      </c>
      <c r="F307" s="430" t="str">
        <f>VLOOKUP($D307,'RCLIPS송신(이지론플러스)_최종'!$B:$D,2,0)</f>
        <v>Numeric</v>
      </c>
      <c r="G307" s="430">
        <f>VLOOKUP($D307,'RCLIPS송신(이지론플러스)_최종'!$B:$D,3,0)</f>
        <v>15</v>
      </c>
      <c r="H307" s="430" t="str">
        <f t="shared" si="25"/>
        <v>000000000000000</v>
      </c>
      <c r="I307" s="263" t="str">
        <f t="shared" si="26"/>
        <v/>
      </c>
      <c r="J307" s="263"/>
      <c r="K307" s="263"/>
      <c r="L307" s="263"/>
      <c r="M307" s="263" t="str">
        <f t="shared" si="27"/>
        <v/>
      </c>
    </row>
    <row r="308" spans="1:13">
      <c r="A308" s="263"/>
      <c r="B308" s="429">
        <f t="shared" si="28"/>
        <v>6101</v>
      </c>
      <c r="C308" s="429">
        <f t="shared" si="29"/>
        <v>6106</v>
      </c>
      <c r="D308" s="430" t="str">
        <f t="shared" si="24"/>
        <v>B4049</v>
      </c>
      <c r="E308" s="430" t="str">
        <f>VLOOKUP(D308,'RCLIPS송신(이지론플러스)_최종'!$B:$E,4,0)</f>
        <v>N1월전당사제외카드이용잔액</v>
      </c>
      <c r="F308" s="430" t="str">
        <f>VLOOKUP($D308,'RCLIPS송신(이지론플러스)_최종'!$B:$D,2,0)</f>
        <v>Numeric</v>
      </c>
      <c r="G308" s="430">
        <f>VLOOKUP($D308,'RCLIPS송신(이지론플러스)_최종'!$B:$D,3,0)</f>
        <v>15</v>
      </c>
      <c r="H308" s="430" t="str">
        <f t="shared" si="25"/>
        <v>000000000000000</v>
      </c>
      <c r="I308" s="263" t="str">
        <f t="shared" si="26"/>
        <v/>
      </c>
      <c r="J308" s="263"/>
      <c r="K308" s="263"/>
      <c r="L308" s="263"/>
      <c r="M308" s="263" t="str">
        <f t="shared" si="27"/>
        <v/>
      </c>
    </row>
    <row r="309" spans="1:13">
      <c r="A309" s="263"/>
      <c r="B309" s="429">
        <f t="shared" si="28"/>
        <v>6121</v>
      </c>
      <c r="C309" s="429">
        <f t="shared" si="29"/>
        <v>6126</v>
      </c>
      <c r="D309" s="430" t="str">
        <f t="shared" si="24"/>
        <v>B4050</v>
      </c>
      <c r="E309" s="430" t="str">
        <f>VLOOKUP(D309,'RCLIPS송신(이지론플러스)_최종'!$B:$E,4,0)</f>
        <v>N1년당사제외월평균카드이용잔액</v>
      </c>
      <c r="F309" s="430" t="str">
        <f>VLOOKUP($D309,'RCLIPS송신(이지론플러스)_최종'!$B:$D,2,0)</f>
        <v>Numeric</v>
      </c>
      <c r="G309" s="430">
        <f>VLOOKUP($D309,'RCLIPS송신(이지론플러스)_최종'!$B:$D,3,0)</f>
        <v>15</v>
      </c>
      <c r="H309" s="430" t="str">
        <f t="shared" si="25"/>
        <v>000000000000000</v>
      </c>
      <c r="I309" s="263" t="str">
        <f t="shared" si="26"/>
        <v/>
      </c>
      <c r="J309" s="263"/>
      <c r="K309" s="263"/>
      <c r="L309" s="263"/>
      <c r="M309" s="263" t="str">
        <f t="shared" si="27"/>
        <v/>
      </c>
    </row>
    <row r="310" spans="1:13">
      <c r="A310" s="263"/>
      <c r="B310" s="429">
        <f t="shared" si="28"/>
        <v>6141</v>
      </c>
      <c r="C310" s="429">
        <f t="shared" si="29"/>
        <v>6146</v>
      </c>
      <c r="D310" s="430" t="str">
        <f t="shared" si="24"/>
        <v>B4051</v>
      </c>
      <c r="E310" s="430" t="str">
        <f>VLOOKUP(D310,'RCLIPS송신(이지론플러스)_최종'!$B:$E,4,0)</f>
        <v>N6월신판이용금액</v>
      </c>
      <c r="F310" s="430" t="str">
        <f>VLOOKUP($D310,'RCLIPS송신(이지론플러스)_최종'!$B:$D,2,0)</f>
        <v>Numeric</v>
      </c>
      <c r="G310" s="430">
        <f>VLOOKUP($D310,'RCLIPS송신(이지론플러스)_최종'!$B:$D,3,0)</f>
        <v>15</v>
      </c>
      <c r="H310" s="430" t="str">
        <f t="shared" si="25"/>
        <v>000000000004883</v>
      </c>
      <c r="I310" s="263" t="str">
        <f t="shared" si="26"/>
        <v/>
      </c>
      <c r="J310" s="263"/>
      <c r="K310" s="263"/>
      <c r="L310" s="263"/>
      <c r="M310" s="263" t="str">
        <f t="shared" si="27"/>
        <v/>
      </c>
    </row>
    <row r="311" spans="1:13">
      <c r="A311" s="263"/>
      <c r="B311" s="429">
        <f t="shared" si="28"/>
        <v>6161</v>
      </c>
      <c r="C311" s="429">
        <f t="shared" si="29"/>
        <v>6166</v>
      </c>
      <c r="D311" s="430" t="str">
        <f t="shared" si="24"/>
        <v>B4052</v>
      </c>
      <c r="E311" s="430" t="str">
        <f>VLOOKUP(D311,'RCLIPS송신(이지론플러스)_최종'!$B:$E,4,0)</f>
        <v>N6월CA월평균총이용금액</v>
      </c>
      <c r="F311" s="430" t="str">
        <f>VLOOKUP($D311,'RCLIPS송신(이지론플러스)_최종'!$B:$D,2,0)</f>
        <v>Numeric</v>
      </c>
      <c r="G311" s="430">
        <f>VLOOKUP($D311,'RCLIPS송신(이지론플러스)_최종'!$B:$D,3,0)</f>
        <v>15</v>
      </c>
      <c r="H311" s="430" t="str">
        <f t="shared" si="25"/>
        <v>000000000000000</v>
      </c>
      <c r="I311" s="263" t="str">
        <f t="shared" si="26"/>
        <v/>
      </c>
      <c r="J311" s="263"/>
      <c r="K311" s="263"/>
      <c r="L311" s="263"/>
      <c r="M311" s="263" t="str">
        <f t="shared" si="27"/>
        <v/>
      </c>
    </row>
    <row r="312" spans="1:13">
      <c r="A312" s="263"/>
      <c r="B312" s="429">
        <f t="shared" si="28"/>
        <v>6181</v>
      </c>
      <c r="C312" s="429">
        <f t="shared" si="29"/>
        <v>6186</v>
      </c>
      <c r="D312" s="430" t="str">
        <f t="shared" si="24"/>
        <v>B4053</v>
      </c>
      <c r="E312" s="430" t="str">
        <f>VLOOKUP(D312,'RCLIPS송신(이지론플러스)_최종'!$B:$E,4,0)</f>
        <v>N6월당사제외CA월평균총이용금액</v>
      </c>
      <c r="F312" s="430" t="str">
        <f>VLOOKUP($D312,'RCLIPS송신(이지론플러스)_최종'!$B:$D,2,0)</f>
        <v>Numeric</v>
      </c>
      <c r="G312" s="430">
        <f>VLOOKUP($D312,'RCLIPS송신(이지론플러스)_최종'!$B:$D,3,0)</f>
        <v>15</v>
      </c>
      <c r="H312" s="430" t="str">
        <f t="shared" si="25"/>
        <v>000000000000000</v>
      </c>
      <c r="I312" s="263" t="str">
        <f t="shared" si="26"/>
        <v/>
      </c>
      <c r="J312" s="263"/>
      <c r="K312" s="263"/>
      <c r="L312" s="263"/>
      <c r="M312" s="263" t="str">
        <f t="shared" si="27"/>
        <v/>
      </c>
    </row>
    <row r="313" spans="1:13">
      <c r="A313" s="263"/>
      <c r="B313" s="429">
        <f t="shared" si="28"/>
        <v>6201</v>
      </c>
      <c r="C313" s="429">
        <f t="shared" si="29"/>
        <v>6206</v>
      </c>
      <c r="D313" s="430" t="str">
        <f t="shared" si="24"/>
        <v>A4058</v>
      </c>
      <c r="E313" s="430" t="str">
        <f>VLOOKUP(D313,'RCLIPS송신(이지론플러스)_최종'!$B:$E,4,0)</f>
        <v>미해지LV15제외대출기관수</v>
      </c>
      <c r="F313" s="430" t="str">
        <f>VLOOKUP($D313,'RCLIPS송신(이지론플러스)_최종'!$B:$D,2,0)</f>
        <v>Numeric</v>
      </c>
      <c r="G313" s="430">
        <f>VLOOKUP($D313,'RCLIPS송신(이지론플러스)_최종'!$B:$D,3,0)</f>
        <v>15</v>
      </c>
      <c r="H313" s="430" t="str">
        <f t="shared" si="25"/>
        <v>000000000000000</v>
      </c>
      <c r="I313" s="263" t="str">
        <f t="shared" si="26"/>
        <v/>
      </c>
      <c r="J313" s="263"/>
      <c r="K313" s="263"/>
      <c r="L313" s="263"/>
      <c r="M313" s="263" t="str">
        <f t="shared" si="27"/>
        <v/>
      </c>
    </row>
    <row r="314" spans="1:13">
      <c r="A314" s="263"/>
      <c r="B314" s="429">
        <f t="shared" si="28"/>
        <v>6221</v>
      </c>
      <c r="C314" s="429">
        <f t="shared" si="29"/>
        <v>6226</v>
      </c>
      <c r="D314" s="430" t="str">
        <f t="shared" si="24"/>
        <v>A4059</v>
      </c>
      <c r="E314" s="430" t="str">
        <f>VLOOKUP(D314,'RCLIPS송신(이지론플러스)_최종'!$B:$E,4,0)</f>
        <v>KCB표준DSR비율</v>
      </c>
      <c r="F314" s="430" t="str">
        <f>VLOOKUP($D314,'RCLIPS송신(이지론플러스)_최종'!$B:$D,2,0)</f>
        <v>Numeric</v>
      </c>
      <c r="G314" s="430">
        <f>VLOOKUP($D314,'RCLIPS송신(이지론플러스)_최종'!$B:$D,3,0)</f>
        <v>15</v>
      </c>
      <c r="H314" s="430" t="str">
        <f t="shared" si="25"/>
        <v>000000000000005</v>
      </c>
      <c r="I314" s="263" t="str">
        <f t="shared" si="26"/>
        <v/>
      </c>
      <c r="J314" s="263"/>
      <c r="K314" s="263"/>
      <c r="L314" s="263"/>
      <c r="M314" s="263" t="str">
        <f t="shared" si="27"/>
        <v/>
      </c>
    </row>
    <row r="315" spans="1:13">
      <c r="A315" s="263"/>
      <c r="B315" s="429">
        <f t="shared" si="28"/>
        <v>6241</v>
      </c>
      <c r="C315" s="429">
        <f t="shared" si="29"/>
        <v>6246</v>
      </c>
      <c r="D315" s="430" t="str">
        <f t="shared" si="24"/>
        <v>A1044</v>
      </c>
      <c r="E315" s="430" t="str">
        <f>VLOOKUP(D315,'RCLIPS송신(이지론플러스)_최종'!$B:$E,4,0)</f>
        <v xml:space="preserve">스크래핑소득_건보                  </v>
      </c>
      <c r="F315" s="430" t="str">
        <f>VLOOKUP($D315,'RCLIPS송신(이지론플러스)_최종'!$B:$D,2,0)</f>
        <v>Numeric</v>
      </c>
      <c r="G315" s="430">
        <f>VLOOKUP($D315,'RCLIPS송신(이지론플러스)_최종'!$B:$D,3,0)</f>
        <v>15</v>
      </c>
      <c r="H315" s="430" t="str">
        <f t="shared" si="25"/>
        <v>000000000000000</v>
      </c>
      <c r="I315" s="263" t="str">
        <f t="shared" si="26"/>
        <v/>
      </c>
      <c r="J315" s="263"/>
      <c r="K315" s="263"/>
      <c r="L315" s="263"/>
      <c r="M315" s="263" t="str">
        <f t="shared" si="27"/>
        <v/>
      </c>
    </row>
    <row r="316" spans="1:13">
      <c r="A316" s="263"/>
      <c r="B316" s="429">
        <f t="shared" si="28"/>
        <v>6261</v>
      </c>
      <c r="C316" s="429">
        <f t="shared" si="29"/>
        <v>6266</v>
      </c>
      <c r="D316" s="430" t="str">
        <f t="shared" si="24"/>
        <v>A1043</v>
      </c>
      <c r="E316" s="430" t="str">
        <f>VLOOKUP(D316,'RCLIPS송신(이지론플러스)_최종'!$B:$E,4,0)</f>
        <v xml:space="preserve">스크래핑소득_국세청                </v>
      </c>
      <c r="F316" s="430" t="str">
        <f>VLOOKUP($D316,'RCLIPS송신(이지론플러스)_최종'!$B:$D,2,0)</f>
        <v>Numeric</v>
      </c>
      <c r="G316" s="430">
        <f>VLOOKUP($D316,'RCLIPS송신(이지론플러스)_최종'!$B:$D,3,0)</f>
        <v>15</v>
      </c>
      <c r="H316" s="430" t="str">
        <f t="shared" si="25"/>
        <v>000000000857483</v>
      </c>
      <c r="I316" s="263" t="str">
        <f t="shared" si="26"/>
        <v/>
      </c>
      <c r="J316" s="263"/>
      <c r="K316" s="263"/>
      <c r="L316" s="263"/>
      <c r="M316" s="263" t="str">
        <f t="shared" si="27"/>
        <v/>
      </c>
    </row>
    <row r="317" spans="1:13">
      <c r="A317" s="263"/>
      <c r="B317" s="429">
        <f t="shared" si="28"/>
        <v>6281</v>
      </c>
      <c r="C317" s="429">
        <f t="shared" si="29"/>
        <v>6286</v>
      </c>
      <c r="D317" s="430" t="str">
        <f t="shared" si="24"/>
        <v>A1045</v>
      </c>
      <c r="E317" s="430" t="str">
        <f>VLOOKUP(D317,'RCLIPS송신(이지론플러스)_최종'!$B:$E,4,0)</f>
        <v xml:space="preserve">채널구분코드     </v>
      </c>
      <c r="F317" s="430" t="str">
        <f>VLOOKUP($D317,'RCLIPS송신(이지론플러스)_최종'!$B:$D,2,0)</f>
        <v>String</v>
      </c>
      <c r="G317" s="430">
        <f>VLOOKUP($D317,'RCLIPS송신(이지론플러스)_최종'!$B:$D,3,0)</f>
        <v>2</v>
      </c>
      <c r="H317" s="430" t="str">
        <f t="shared" si="25"/>
        <v xml:space="preserve">03             </v>
      </c>
      <c r="I317" s="263" t="str">
        <f t="shared" si="26"/>
        <v/>
      </c>
      <c r="J317" s="263"/>
      <c r="K317" s="263"/>
      <c r="L317" s="263"/>
      <c r="M317" s="263" t="str">
        <f t="shared" si="27"/>
        <v/>
      </c>
    </row>
    <row r="318" spans="1:13">
      <c r="A318" s="263"/>
      <c r="B318" s="429">
        <f t="shared" si="28"/>
        <v>6301</v>
      </c>
      <c r="C318" s="429">
        <f t="shared" si="29"/>
        <v>6306</v>
      </c>
      <c r="D318" s="430" t="str">
        <f t="shared" si="24"/>
        <v>A1046</v>
      </c>
      <c r="E318" s="430" t="str">
        <f>VLOOKUP(D318,'RCLIPS송신(이지론플러스)_최종'!$B:$E,4,0)</f>
        <v xml:space="preserve">기업대출한도평가정보조회           </v>
      </c>
      <c r="F318" s="430" t="str">
        <f>VLOOKUP($D318,'RCLIPS송신(이지론플러스)_최종'!$B:$D,2,0)</f>
        <v>Numeric</v>
      </c>
      <c r="G318" s="430">
        <f>VLOOKUP($D318,'RCLIPS송신(이지론플러스)_최종'!$B:$D,3,0)</f>
        <v>15</v>
      </c>
      <c r="H318" s="430" t="str">
        <f t="shared" si="25"/>
        <v>000000000000000</v>
      </c>
      <c r="I318" s="263" t="str">
        <f t="shared" si="26"/>
        <v/>
      </c>
      <c r="J318" s="263"/>
      <c r="K318" s="263"/>
      <c r="L318" s="263"/>
      <c r="M318" s="263" t="str">
        <f t="shared" si="27"/>
        <v/>
      </c>
    </row>
    <row r="319" spans="1:13">
      <c r="A319" s="263"/>
      <c r="B319" s="429">
        <f t="shared" si="28"/>
        <v>6321</v>
      </c>
      <c r="C319" s="429">
        <f t="shared" si="29"/>
        <v>6326</v>
      </c>
      <c r="D319" s="430" t="str">
        <f t="shared" si="24"/>
        <v>A1047</v>
      </c>
      <c r="E319" s="430" t="str">
        <f>VLOOKUP(D319,'RCLIPS송신(이지론플러스)_최종'!$B:$E,4,0)</f>
        <v xml:space="preserve">기업대출잔액                       </v>
      </c>
      <c r="F319" s="430" t="str">
        <f>VLOOKUP($D319,'RCLIPS송신(이지론플러스)_최종'!$B:$D,2,0)</f>
        <v>Numeric</v>
      </c>
      <c r="G319" s="430">
        <f>VLOOKUP($D319,'RCLIPS송신(이지론플러스)_최종'!$B:$D,3,0)</f>
        <v>15</v>
      </c>
      <c r="H319" s="430" t="str">
        <f t="shared" si="25"/>
        <v>000000000000000</v>
      </c>
      <c r="I319" s="263" t="str">
        <f t="shared" si="26"/>
        <v/>
      </c>
      <c r="J319" s="263"/>
      <c r="K319" s="263"/>
      <c r="L319" s="263"/>
      <c r="M319" s="263" t="str">
        <f t="shared" si="27"/>
        <v/>
      </c>
    </row>
    <row r="320" spans="1:13">
      <c r="A320" s="263"/>
      <c r="B320" s="429">
        <f t="shared" si="28"/>
        <v>6341</v>
      </c>
      <c r="C320" s="429">
        <f t="shared" si="29"/>
        <v>6346</v>
      </c>
      <c r="D320" s="430" t="str">
        <f t="shared" si="24"/>
        <v>A1048</v>
      </c>
      <c r="E320" s="430" t="str">
        <f>VLOOKUP(D320,'RCLIPS송신(이지론플러스)_최종'!$B:$E,4,0)</f>
        <v xml:space="preserve">이지대환한도평가정보조회           </v>
      </c>
      <c r="F320" s="430" t="str">
        <f>VLOOKUP($D320,'RCLIPS송신(이지론플러스)_최종'!$B:$D,2,0)</f>
        <v>Numeric</v>
      </c>
      <c r="G320" s="430">
        <f>VLOOKUP($D320,'RCLIPS송신(이지론플러스)_최종'!$B:$D,3,0)</f>
        <v>15</v>
      </c>
      <c r="H320" s="430" t="str">
        <f t="shared" si="25"/>
        <v>000000000000000</v>
      </c>
      <c r="I320" s="263" t="str">
        <f t="shared" si="26"/>
        <v/>
      </c>
      <c r="J320" s="263"/>
      <c r="K320" s="263"/>
      <c r="L320" s="263"/>
      <c r="M320" s="263" t="str">
        <f t="shared" si="27"/>
        <v/>
      </c>
    </row>
    <row r="321" spans="1:13">
      <c r="A321" s="263"/>
      <c r="B321" s="429">
        <f t="shared" si="28"/>
        <v>6361</v>
      </c>
      <c r="C321" s="429">
        <f t="shared" si="29"/>
        <v>6366</v>
      </c>
      <c r="D321" s="430" t="str">
        <f t="shared" si="24"/>
        <v>A1049</v>
      </c>
      <c r="E321" s="430" t="str">
        <f>VLOOKUP(D321,'RCLIPS송신(이지론플러스)_최종'!$B:$E,4,0)</f>
        <v xml:space="preserve">이지대환대출잔액                   </v>
      </c>
      <c r="F321" s="430" t="str">
        <f>VLOOKUP($D321,'RCLIPS송신(이지론플러스)_최종'!$B:$D,2,0)</f>
        <v>Numeric</v>
      </c>
      <c r="G321" s="430">
        <f>VLOOKUP($D321,'RCLIPS송신(이지론플러스)_최종'!$B:$D,3,0)</f>
        <v>15</v>
      </c>
      <c r="H321" s="430" t="str">
        <f t="shared" si="25"/>
        <v>000000000000000</v>
      </c>
      <c r="I321" s="263" t="str">
        <f t="shared" si="26"/>
        <v/>
      </c>
      <c r="J321" s="263"/>
      <c r="K321" s="263"/>
      <c r="L321" s="263"/>
      <c r="M321" s="263" t="str">
        <f t="shared" si="27"/>
        <v/>
      </c>
    </row>
    <row r="322" spans="1:13">
      <c r="A322" s="263"/>
      <c r="B322" s="429">
        <f t="shared" si="28"/>
        <v>6381</v>
      </c>
      <c r="C322" s="429">
        <f t="shared" si="29"/>
        <v>6386</v>
      </c>
      <c r="D322" s="430" t="str">
        <f t="shared" si="24"/>
        <v/>
      </c>
      <c r="E322" s="430" t="e">
        <f>VLOOKUP(D322,'RCLIPS송신(이지론플러스)_최종'!$B:$E,4,0)</f>
        <v>#N/A</v>
      </c>
      <c r="F322" s="430" t="e">
        <f>VLOOKUP($D322,'RCLIPS송신(이지론플러스)_최종'!$B:$D,2,0)</f>
        <v>#N/A</v>
      </c>
      <c r="G322" s="430" t="e">
        <f>VLOOKUP($D322,'RCLIPS송신(이지론플러스)_최종'!$B:$D,3,0)</f>
        <v>#N/A</v>
      </c>
      <c r="H322" s="430" t="str">
        <f t="shared" si="25"/>
        <v/>
      </c>
      <c r="I322" s="263" t="str">
        <f t="shared" si="26"/>
        <v/>
      </c>
      <c r="J322" s="263"/>
      <c r="K322" s="263"/>
      <c r="L322" s="263"/>
      <c r="M322" s="263" t="str">
        <f t="shared" si="27"/>
        <v/>
      </c>
    </row>
    <row r="323" spans="1:13">
      <c r="A323" s="263"/>
      <c r="B323" s="429">
        <f t="shared" si="28"/>
        <v>6401</v>
      </c>
      <c r="C323" s="429">
        <f t="shared" si="29"/>
        <v>6406</v>
      </c>
      <c r="D323" s="430" t="str">
        <f t="shared" si="24"/>
        <v/>
      </c>
      <c r="E323" s="430" t="e">
        <f>VLOOKUP(D323,'RCLIPS송신(이지론플러스)_최종'!$B:$E,4,0)</f>
        <v>#N/A</v>
      </c>
      <c r="F323" s="430" t="e">
        <f>VLOOKUP($D323,'RCLIPS송신(이지론플러스)_최종'!$B:$D,2,0)</f>
        <v>#N/A</v>
      </c>
      <c r="G323" s="430" t="e">
        <f>VLOOKUP($D323,'RCLIPS송신(이지론플러스)_최종'!$B:$D,3,0)</f>
        <v>#N/A</v>
      </c>
      <c r="H323" s="430" t="str">
        <f t="shared" si="25"/>
        <v/>
      </c>
      <c r="I323" s="263" t="str">
        <f t="shared" si="26"/>
        <v/>
      </c>
      <c r="J323" s="263"/>
      <c r="K323" s="263"/>
      <c r="L323" s="263"/>
      <c r="M323" s="263" t="str">
        <f t="shared" si="27"/>
        <v/>
      </c>
    </row>
    <row r="324" spans="1:13">
      <c r="A324" s="263"/>
      <c r="B324" s="429">
        <f t="shared" si="28"/>
        <v>6421</v>
      </c>
      <c r="C324" s="429">
        <f t="shared" si="29"/>
        <v>6426</v>
      </c>
      <c r="D324" s="430" t="str">
        <f t="shared" ref="D324:D333" si="30">MIDB($A$3, $B324+23, 5)</f>
        <v/>
      </c>
      <c r="E324" s="430" t="e">
        <f>VLOOKUP(D324,'RCLIPS송신(이지론플러스)_최종'!$B:$E,4,0)</f>
        <v>#N/A</v>
      </c>
      <c r="F324" s="430" t="e">
        <f>VLOOKUP($D324,'RCLIPS송신(이지론플러스)_최종'!$B:$D,2,0)</f>
        <v>#N/A</v>
      </c>
      <c r="G324" s="430" t="e">
        <f>VLOOKUP($D324,'RCLIPS송신(이지론플러스)_최종'!$B:$D,3,0)</f>
        <v>#N/A</v>
      </c>
      <c r="H324" s="430" t="str">
        <f t="shared" ref="H324:H333" si="31">MIDB($A$3, $C324+23, 15)</f>
        <v/>
      </c>
      <c r="I324" s="263" t="str">
        <f t="shared" ref="I324:I387" si="32">MIDB($A$8, $B324+10, 5)</f>
        <v/>
      </c>
      <c r="J324" s="263"/>
      <c r="K324" s="263"/>
      <c r="L324" s="263"/>
      <c r="M324" s="263" t="str">
        <f t="shared" ref="M324:M387" si="33">MIDB($A$8, $C324+10, 15)</f>
        <v/>
      </c>
    </row>
    <row r="325" spans="1:13">
      <c r="A325" s="263"/>
      <c r="B325" s="429">
        <f t="shared" ref="B325:B388" si="34">C324+15</f>
        <v>6441</v>
      </c>
      <c r="C325" s="429">
        <f t="shared" ref="C325:C388" si="35">B325+5</f>
        <v>6446</v>
      </c>
      <c r="D325" s="430" t="str">
        <f t="shared" si="30"/>
        <v/>
      </c>
      <c r="E325" s="430" t="e">
        <f>VLOOKUP(D325,'RCLIPS송신(이지론플러스)_최종'!$B:$E,4,0)</f>
        <v>#N/A</v>
      </c>
      <c r="F325" s="430" t="e">
        <f>VLOOKUP($D325,'RCLIPS송신(이지론플러스)_최종'!$B:$D,2,0)</f>
        <v>#N/A</v>
      </c>
      <c r="G325" s="430" t="e">
        <f>VLOOKUP($D325,'RCLIPS송신(이지론플러스)_최종'!$B:$D,3,0)</f>
        <v>#N/A</v>
      </c>
      <c r="H325" s="430" t="str">
        <f t="shared" si="31"/>
        <v/>
      </c>
      <c r="I325" s="263" t="str">
        <f t="shared" si="32"/>
        <v/>
      </c>
      <c r="J325" s="263"/>
      <c r="K325" s="263"/>
      <c r="L325" s="263"/>
      <c r="M325" s="263" t="str">
        <f t="shared" si="33"/>
        <v/>
      </c>
    </row>
    <row r="326" spans="1:13">
      <c r="A326" s="263"/>
      <c r="B326" s="429">
        <f t="shared" si="34"/>
        <v>6461</v>
      </c>
      <c r="C326" s="429">
        <f t="shared" si="35"/>
        <v>6466</v>
      </c>
      <c r="D326" s="430" t="str">
        <f t="shared" si="30"/>
        <v/>
      </c>
      <c r="E326" s="430" t="e">
        <f>VLOOKUP(D326,'RCLIPS송신(이지론플러스)_최종'!$B:$E,4,0)</f>
        <v>#N/A</v>
      </c>
      <c r="F326" s="430" t="e">
        <f>VLOOKUP($D326,'RCLIPS송신(이지론플러스)_최종'!$B:$D,2,0)</f>
        <v>#N/A</v>
      </c>
      <c r="G326" s="430" t="e">
        <f>VLOOKUP($D326,'RCLIPS송신(이지론플러스)_최종'!$B:$D,3,0)</f>
        <v>#N/A</v>
      </c>
      <c r="H326" s="430" t="str">
        <f t="shared" si="31"/>
        <v/>
      </c>
      <c r="I326" s="263" t="str">
        <f t="shared" si="32"/>
        <v/>
      </c>
      <c r="J326" s="263"/>
      <c r="K326" s="263"/>
      <c r="L326" s="263"/>
      <c r="M326" s="263" t="str">
        <f t="shared" si="33"/>
        <v/>
      </c>
    </row>
    <row r="327" spans="1:13">
      <c r="A327" s="263"/>
      <c r="B327" s="429">
        <f t="shared" si="34"/>
        <v>6481</v>
      </c>
      <c r="C327" s="429">
        <f t="shared" si="35"/>
        <v>6486</v>
      </c>
      <c r="D327" s="430" t="str">
        <f t="shared" si="30"/>
        <v/>
      </c>
      <c r="E327" s="430" t="e">
        <f>VLOOKUP(D327,'RCLIPS송신(이지론플러스)_최종'!$B:$E,4,0)</f>
        <v>#N/A</v>
      </c>
      <c r="F327" s="430" t="e">
        <f>VLOOKUP($D327,'RCLIPS송신(이지론플러스)_최종'!$B:$D,2,0)</f>
        <v>#N/A</v>
      </c>
      <c r="G327" s="430" t="e">
        <f>VLOOKUP($D327,'RCLIPS송신(이지론플러스)_최종'!$B:$D,3,0)</f>
        <v>#N/A</v>
      </c>
      <c r="H327" s="430" t="str">
        <f t="shared" si="31"/>
        <v/>
      </c>
      <c r="I327" s="263" t="str">
        <f t="shared" si="32"/>
        <v/>
      </c>
      <c r="J327" s="263"/>
      <c r="K327" s="263"/>
      <c r="L327" s="263"/>
      <c r="M327" s="263" t="str">
        <f t="shared" si="33"/>
        <v/>
      </c>
    </row>
    <row r="328" spans="1:13">
      <c r="A328" s="263"/>
      <c r="B328" s="429">
        <f t="shared" si="34"/>
        <v>6501</v>
      </c>
      <c r="C328" s="429">
        <f t="shared" si="35"/>
        <v>6506</v>
      </c>
      <c r="D328" s="430" t="str">
        <f t="shared" si="30"/>
        <v/>
      </c>
      <c r="E328" s="430" t="e">
        <f>VLOOKUP(D328,'RCLIPS송신(이지론플러스)_최종'!$B:$E,4,0)</f>
        <v>#N/A</v>
      </c>
      <c r="F328" s="430" t="e">
        <f>VLOOKUP($D328,'RCLIPS송신(이지론플러스)_최종'!$B:$D,2,0)</f>
        <v>#N/A</v>
      </c>
      <c r="G328" s="430" t="e">
        <f>VLOOKUP($D328,'RCLIPS송신(이지론플러스)_최종'!$B:$D,3,0)</f>
        <v>#N/A</v>
      </c>
      <c r="H328" s="430" t="str">
        <f t="shared" si="31"/>
        <v/>
      </c>
      <c r="I328" s="263" t="str">
        <f t="shared" si="32"/>
        <v/>
      </c>
      <c r="J328" s="263"/>
      <c r="K328" s="263"/>
      <c r="L328" s="263"/>
      <c r="M328" s="263" t="str">
        <f t="shared" si="33"/>
        <v/>
      </c>
    </row>
    <row r="329" spans="1:13">
      <c r="A329" s="263"/>
      <c r="B329" s="429">
        <f t="shared" si="34"/>
        <v>6521</v>
      </c>
      <c r="C329" s="429">
        <f t="shared" si="35"/>
        <v>6526</v>
      </c>
      <c r="D329" s="430" t="str">
        <f t="shared" si="30"/>
        <v/>
      </c>
      <c r="E329" s="430" t="e">
        <f>VLOOKUP(D329,'RCLIPS송신(이지론플러스)_최종'!$B:$E,4,0)</f>
        <v>#N/A</v>
      </c>
      <c r="F329" s="430" t="e">
        <f>VLOOKUP($D329,'RCLIPS송신(이지론플러스)_최종'!$B:$D,2,0)</f>
        <v>#N/A</v>
      </c>
      <c r="G329" s="430" t="e">
        <f>VLOOKUP($D329,'RCLIPS송신(이지론플러스)_최종'!$B:$D,3,0)</f>
        <v>#N/A</v>
      </c>
      <c r="H329" s="430" t="str">
        <f t="shared" si="31"/>
        <v/>
      </c>
      <c r="I329" s="263" t="str">
        <f t="shared" si="32"/>
        <v/>
      </c>
      <c r="J329" s="263"/>
      <c r="K329" s="263"/>
      <c r="L329" s="263"/>
      <c r="M329" s="263" t="str">
        <f t="shared" si="33"/>
        <v/>
      </c>
    </row>
    <row r="330" spans="1:13">
      <c r="A330" s="263"/>
      <c r="B330" s="429">
        <f t="shared" si="34"/>
        <v>6541</v>
      </c>
      <c r="C330" s="429">
        <f t="shared" si="35"/>
        <v>6546</v>
      </c>
      <c r="D330" s="430" t="str">
        <f t="shared" si="30"/>
        <v/>
      </c>
      <c r="E330" s="430" t="e">
        <f>VLOOKUP(D330,'RCLIPS송신(이지론플러스)_최종'!$B:$E,4,0)</f>
        <v>#N/A</v>
      </c>
      <c r="F330" s="430" t="e">
        <f>VLOOKUP($D330,'RCLIPS송신(이지론플러스)_최종'!$B:$D,2,0)</f>
        <v>#N/A</v>
      </c>
      <c r="G330" s="430" t="e">
        <f>VLOOKUP($D330,'RCLIPS송신(이지론플러스)_최종'!$B:$D,3,0)</f>
        <v>#N/A</v>
      </c>
      <c r="H330" s="430" t="str">
        <f t="shared" si="31"/>
        <v/>
      </c>
      <c r="I330" s="263" t="str">
        <f t="shared" si="32"/>
        <v/>
      </c>
      <c r="J330" s="263"/>
      <c r="K330" s="263"/>
      <c r="L330" s="263"/>
      <c r="M330" s="263" t="str">
        <f t="shared" si="33"/>
        <v/>
      </c>
    </row>
    <row r="331" spans="1:13">
      <c r="A331" s="263"/>
      <c r="B331" s="429">
        <f t="shared" si="34"/>
        <v>6561</v>
      </c>
      <c r="C331" s="429">
        <f t="shared" si="35"/>
        <v>6566</v>
      </c>
      <c r="D331" s="430" t="str">
        <f t="shared" si="30"/>
        <v/>
      </c>
      <c r="E331" s="430" t="e">
        <f>VLOOKUP(D331,'RCLIPS송신(이지론플러스)_최종'!$B:$E,4,0)</f>
        <v>#N/A</v>
      </c>
      <c r="F331" s="430" t="e">
        <f>VLOOKUP($D331,'RCLIPS송신(이지론플러스)_최종'!$B:$D,2,0)</f>
        <v>#N/A</v>
      </c>
      <c r="G331" s="430" t="e">
        <f>VLOOKUP($D331,'RCLIPS송신(이지론플러스)_최종'!$B:$D,3,0)</f>
        <v>#N/A</v>
      </c>
      <c r="H331" s="430" t="str">
        <f t="shared" si="31"/>
        <v/>
      </c>
      <c r="I331" s="263" t="str">
        <f t="shared" si="32"/>
        <v/>
      </c>
      <c r="J331" s="263"/>
      <c r="K331" s="263"/>
      <c r="L331" s="263"/>
      <c r="M331" s="263" t="str">
        <f t="shared" si="33"/>
        <v/>
      </c>
    </row>
    <row r="332" spans="1:13">
      <c r="A332" s="263"/>
      <c r="B332" s="429">
        <f t="shared" si="34"/>
        <v>6581</v>
      </c>
      <c r="C332" s="429">
        <f t="shared" si="35"/>
        <v>6586</v>
      </c>
      <c r="D332" s="430" t="str">
        <f t="shared" si="30"/>
        <v/>
      </c>
      <c r="E332" s="430" t="e">
        <f>VLOOKUP(D332,'RCLIPS송신(이지론플러스)_최종'!$B:$E,4,0)</f>
        <v>#N/A</v>
      </c>
      <c r="F332" s="430" t="e">
        <f>VLOOKUP($D332,'RCLIPS송신(이지론플러스)_최종'!$B:$D,2,0)</f>
        <v>#N/A</v>
      </c>
      <c r="G332" s="430" t="e">
        <f>VLOOKUP($D332,'RCLIPS송신(이지론플러스)_최종'!$B:$D,3,0)</f>
        <v>#N/A</v>
      </c>
      <c r="H332" s="430" t="str">
        <f t="shared" si="31"/>
        <v/>
      </c>
      <c r="I332" s="263" t="str">
        <f t="shared" si="32"/>
        <v/>
      </c>
      <c r="J332" s="263"/>
      <c r="K332" s="263"/>
      <c r="L332" s="263"/>
      <c r="M332" s="263" t="str">
        <f t="shared" si="33"/>
        <v/>
      </c>
    </row>
    <row r="333" spans="1:13">
      <c r="A333" s="263"/>
      <c r="B333" s="429">
        <f t="shared" si="34"/>
        <v>6601</v>
      </c>
      <c r="C333" s="429">
        <f t="shared" si="35"/>
        <v>6606</v>
      </c>
      <c r="D333" s="430" t="str">
        <f t="shared" si="30"/>
        <v/>
      </c>
      <c r="E333" s="430" t="e">
        <f>VLOOKUP(D333,'RCLIPS송신(이지론플러스)_최종'!$B:$E,4,0)</f>
        <v>#N/A</v>
      </c>
      <c r="F333" s="430" t="e">
        <f>VLOOKUP($D333,'RCLIPS송신(이지론플러스)_최종'!$B:$D,2,0)</f>
        <v>#N/A</v>
      </c>
      <c r="G333" s="430" t="e">
        <f>VLOOKUP($D333,'RCLIPS송신(이지론플러스)_최종'!$B:$D,3,0)</f>
        <v>#N/A</v>
      </c>
      <c r="H333" s="430" t="str">
        <f t="shared" si="31"/>
        <v/>
      </c>
      <c r="I333" s="263" t="str">
        <f t="shared" si="32"/>
        <v/>
      </c>
      <c r="J333" s="263"/>
      <c r="K333" s="263"/>
      <c r="L333" s="263"/>
      <c r="M333" s="263" t="str">
        <f t="shared" si="33"/>
        <v/>
      </c>
    </row>
    <row r="334" spans="1:13">
      <c r="A334" s="263"/>
      <c r="B334" s="429">
        <f t="shared" si="34"/>
        <v>6621</v>
      </c>
      <c r="C334" s="429">
        <f t="shared" si="35"/>
        <v>6626</v>
      </c>
      <c r="D334" s="430" t="str">
        <f t="shared" ref="D334:D387" si="36">MIDB($A$3, $B334+23, 5)</f>
        <v/>
      </c>
      <c r="E334" s="430" t="e">
        <f>VLOOKUP(D334,'RCLIPS송신(이지론플러스)_최종'!$B:$E,4,0)</f>
        <v>#N/A</v>
      </c>
      <c r="F334" s="430" t="e">
        <f>VLOOKUP($D334,'RCLIPS송신(이지론플러스)_최종'!$B:$D,2,0)</f>
        <v>#N/A</v>
      </c>
      <c r="G334" s="430" t="e">
        <f>VLOOKUP($D334,'RCLIPS송신(이지론플러스)_최종'!$B:$D,3,0)</f>
        <v>#N/A</v>
      </c>
      <c r="H334" s="430" t="str">
        <f t="shared" ref="H334:H387" si="37">MIDB($A$3, $C334+23, 15)</f>
        <v/>
      </c>
      <c r="I334" s="263" t="str">
        <f t="shared" si="32"/>
        <v/>
      </c>
      <c r="J334" s="263"/>
      <c r="K334" s="263"/>
      <c r="L334" s="263"/>
      <c r="M334" s="263" t="str">
        <f t="shared" si="33"/>
        <v/>
      </c>
    </row>
    <row r="335" spans="1:13">
      <c r="A335" s="263"/>
      <c r="B335" s="429">
        <f t="shared" si="34"/>
        <v>6641</v>
      </c>
      <c r="C335" s="429">
        <f t="shared" si="35"/>
        <v>6646</v>
      </c>
      <c r="D335" s="430" t="str">
        <f t="shared" si="36"/>
        <v/>
      </c>
      <c r="E335" s="430" t="e">
        <f>VLOOKUP(D335,'RCLIPS송신(이지론플러스)_최종'!$B:$E,4,0)</f>
        <v>#N/A</v>
      </c>
      <c r="F335" s="430" t="e">
        <f>VLOOKUP($D335,'RCLIPS송신(이지론플러스)_최종'!$B:$D,2,0)</f>
        <v>#N/A</v>
      </c>
      <c r="G335" s="430" t="e">
        <f>VLOOKUP($D335,'RCLIPS송신(이지론플러스)_최종'!$B:$D,3,0)</f>
        <v>#N/A</v>
      </c>
      <c r="H335" s="430" t="str">
        <f t="shared" si="37"/>
        <v/>
      </c>
      <c r="I335" s="263" t="str">
        <f t="shared" si="32"/>
        <v/>
      </c>
      <c r="J335" s="263"/>
      <c r="K335" s="263"/>
      <c r="L335" s="263"/>
      <c r="M335" s="263" t="str">
        <f t="shared" si="33"/>
        <v/>
      </c>
    </row>
    <row r="336" spans="1:13">
      <c r="A336" s="263"/>
      <c r="B336" s="429">
        <f t="shared" si="34"/>
        <v>6661</v>
      </c>
      <c r="C336" s="429">
        <f t="shared" si="35"/>
        <v>6666</v>
      </c>
      <c r="D336" s="430" t="str">
        <f t="shared" si="36"/>
        <v/>
      </c>
      <c r="E336" s="430" t="e">
        <f>VLOOKUP(D336,'RCLIPS송신(이지론플러스)_최종'!$B:$E,4,0)</f>
        <v>#N/A</v>
      </c>
      <c r="F336" s="430" t="e">
        <f>VLOOKUP($D336,'RCLIPS송신(이지론플러스)_최종'!$B:$D,2,0)</f>
        <v>#N/A</v>
      </c>
      <c r="G336" s="430" t="e">
        <f>VLOOKUP($D336,'RCLIPS송신(이지론플러스)_최종'!$B:$D,3,0)</f>
        <v>#N/A</v>
      </c>
      <c r="H336" s="430" t="str">
        <f t="shared" si="37"/>
        <v/>
      </c>
      <c r="I336" s="263" t="str">
        <f t="shared" si="32"/>
        <v/>
      </c>
      <c r="J336" s="263"/>
      <c r="K336" s="263"/>
      <c r="L336" s="263"/>
      <c r="M336" s="263" t="str">
        <f t="shared" si="33"/>
        <v/>
      </c>
    </row>
    <row r="337" spans="1:13">
      <c r="A337" s="263"/>
      <c r="B337" s="429">
        <f t="shared" si="34"/>
        <v>6681</v>
      </c>
      <c r="C337" s="429">
        <f t="shared" si="35"/>
        <v>6686</v>
      </c>
      <c r="D337" s="430" t="str">
        <f t="shared" si="36"/>
        <v/>
      </c>
      <c r="E337" s="430" t="e">
        <f>VLOOKUP(D337,'RCLIPS송신(이지론플러스)_최종'!$B:$E,4,0)</f>
        <v>#N/A</v>
      </c>
      <c r="F337" s="430" t="e">
        <f>VLOOKUP($D337,'RCLIPS송신(이지론플러스)_최종'!$B:$D,2,0)</f>
        <v>#N/A</v>
      </c>
      <c r="G337" s="430" t="e">
        <f>VLOOKUP($D337,'RCLIPS송신(이지론플러스)_최종'!$B:$D,3,0)</f>
        <v>#N/A</v>
      </c>
      <c r="H337" s="430" t="str">
        <f t="shared" si="37"/>
        <v/>
      </c>
      <c r="I337" s="263" t="str">
        <f t="shared" si="32"/>
        <v/>
      </c>
      <c r="J337" s="263"/>
      <c r="K337" s="263"/>
      <c r="L337" s="263"/>
      <c r="M337" s="263" t="str">
        <f t="shared" si="33"/>
        <v/>
      </c>
    </row>
    <row r="338" spans="1:13">
      <c r="A338" s="263"/>
      <c r="B338" s="429">
        <f t="shared" si="34"/>
        <v>6701</v>
      </c>
      <c r="C338" s="429">
        <f t="shared" si="35"/>
        <v>6706</v>
      </c>
      <c r="D338" s="430" t="str">
        <f t="shared" si="36"/>
        <v/>
      </c>
      <c r="E338" s="430" t="e">
        <f>VLOOKUP(D338,'RCLIPS송신(이지론플러스)_최종'!$B:$E,4,0)</f>
        <v>#N/A</v>
      </c>
      <c r="F338" s="430" t="e">
        <f>VLOOKUP($D338,'RCLIPS송신(이지론플러스)_최종'!$B:$D,2,0)</f>
        <v>#N/A</v>
      </c>
      <c r="G338" s="430" t="e">
        <f>VLOOKUP($D338,'RCLIPS송신(이지론플러스)_최종'!$B:$D,3,0)</f>
        <v>#N/A</v>
      </c>
      <c r="H338" s="430" t="str">
        <f t="shared" si="37"/>
        <v/>
      </c>
      <c r="I338" s="263" t="str">
        <f t="shared" si="32"/>
        <v/>
      </c>
      <c r="J338" s="263"/>
      <c r="K338" s="263"/>
      <c r="L338" s="263"/>
      <c r="M338" s="263" t="str">
        <f t="shared" si="33"/>
        <v/>
      </c>
    </row>
    <row r="339" spans="1:13">
      <c r="A339" s="263"/>
      <c r="B339" s="429">
        <f t="shared" si="34"/>
        <v>6721</v>
      </c>
      <c r="C339" s="429">
        <f t="shared" si="35"/>
        <v>6726</v>
      </c>
      <c r="D339" s="430" t="str">
        <f t="shared" si="36"/>
        <v/>
      </c>
      <c r="E339" s="430" t="e">
        <f>VLOOKUP(D339,'RCLIPS송신(이지론플러스)_최종'!$B:$E,4,0)</f>
        <v>#N/A</v>
      </c>
      <c r="F339" s="430" t="e">
        <f>VLOOKUP($D339,'RCLIPS송신(이지론플러스)_최종'!$B:$D,2,0)</f>
        <v>#N/A</v>
      </c>
      <c r="G339" s="430" t="e">
        <f>VLOOKUP($D339,'RCLIPS송신(이지론플러스)_최종'!$B:$D,3,0)</f>
        <v>#N/A</v>
      </c>
      <c r="H339" s="430" t="str">
        <f t="shared" si="37"/>
        <v/>
      </c>
      <c r="I339" s="263" t="str">
        <f t="shared" si="32"/>
        <v/>
      </c>
      <c r="J339" s="263"/>
      <c r="K339" s="263"/>
      <c r="L339" s="263"/>
      <c r="M339" s="263" t="str">
        <f t="shared" si="33"/>
        <v/>
      </c>
    </row>
    <row r="340" spans="1:13">
      <c r="A340" s="263"/>
      <c r="B340" s="429">
        <f t="shared" si="34"/>
        <v>6741</v>
      </c>
      <c r="C340" s="429">
        <f t="shared" si="35"/>
        <v>6746</v>
      </c>
      <c r="D340" s="430" t="str">
        <f t="shared" si="36"/>
        <v/>
      </c>
      <c r="E340" s="430" t="e">
        <f>VLOOKUP(D340,'RCLIPS송신(이지론플러스)_최종'!$B:$E,4,0)</f>
        <v>#N/A</v>
      </c>
      <c r="F340" s="430" t="e">
        <f>VLOOKUP($D340,'RCLIPS송신(이지론플러스)_최종'!$B:$D,2,0)</f>
        <v>#N/A</v>
      </c>
      <c r="G340" s="430" t="e">
        <f>VLOOKUP($D340,'RCLIPS송신(이지론플러스)_최종'!$B:$D,3,0)</f>
        <v>#N/A</v>
      </c>
      <c r="H340" s="430" t="str">
        <f t="shared" si="37"/>
        <v/>
      </c>
      <c r="I340" s="263" t="str">
        <f t="shared" si="32"/>
        <v/>
      </c>
      <c r="J340" s="263"/>
      <c r="K340" s="263"/>
      <c r="L340" s="263"/>
      <c r="M340" s="263" t="str">
        <f t="shared" si="33"/>
        <v/>
      </c>
    </row>
    <row r="341" spans="1:13">
      <c r="A341" s="263"/>
      <c r="B341" s="429">
        <f t="shared" si="34"/>
        <v>6761</v>
      </c>
      <c r="C341" s="429">
        <f t="shared" si="35"/>
        <v>6766</v>
      </c>
      <c r="D341" s="430" t="str">
        <f t="shared" si="36"/>
        <v/>
      </c>
      <c r="E341" s="430" t="e">
        <f>VLOOKUP(D341,'RCLIPS송신(이지론플러스)_최종'!$B:$E,4,0)</f>
        <v>#N/A</v>
      </c>
      <c r="F341" s="430" t="e">
        <f>VLOOKUP($D341,'RCLIPS송신(이지론플러스)_최종'!$B:$D,2,0)</f>
        <v>#N/A</v>
      </c>
      <c r="G341" s="430" t="e">
        <f>VLOOKUP($D341,'RCLIPS송신(이지론플러스)_최종'!$B:$D,3,0)</f>
        <v>#N/A</v>
      </c>
      <c r="H341" s="430" t="str">
        <f t="shared" si="37"/>
        <v/>
      </c>
      <c r="I341" s="263" t="str">
        <f t="shared" si="32"/>
        <v/>
      </c>
      <c r="J341" s="263"/>
      <c r="K341" s="263"/>
      <c r="L341" s="263"/>
      <c r="M341" s="263" t="str">
        <f t="shared" si="33"/>
        <v/>
      </c>
    </row>
    <row r="342" spans="1:13">
      <c r="A342" s="263"/>
      <c r="B342" s="429">
        <f t="shared" si="34"/>
        <v>6781</v>
      </c>
      <c r="C342" s="429">
        <f t="shared" si="35"/>
        <v>6786</v>
      </c>
      <c r="D342" s="430" t="str">
        <f t="shared" si="36"/>
        <v/>
      </c>
      <c r="E342" s="430" t="e">
        <f>VLOOKUP(D342,'RCLIPS송신(이지론플러스)_최종'!$B:$E,4,0)</f>
        <v>#N/A</v>
      </c>
      <c r="F342" s="430" t="e">
        <f>VLOOKUP($D342,'RCLIPS송신(이지론플러스)_최종'!$B:$D,2,0)</f>
        <v>#N/A</v>
      </c>
      <c r="G342" s="430" t="e">
        <f>VLOOKUP($D342,'RCLIPS송신(이지론플러스)_최종'!$B:$D,3,0)</f>
        <v>#N/A</v>
      </c>
      <c r="H342" s="430" t="str">
        <f t="shared" si="37"/>
        <v/>
      </c>
      <c r="I342" s="263" t="str">
        <f t="shared" si="32"/>
        <v/>
      </c>
      <c r="J342" s="263"/>
      <c r="K342" s="263"/>
      <c r="L342" s="263"/>
      <c r="M342" s="263" t="str">
        <f t="shared" si="33"/>
        <v/>
      </c>
    </row>
    <row r="343" spans="1:13">
      <c r="A343" s="263"/>
      <c r="B343" s="429">
        <f t="shared" si="34"/>
        <v>6801</v>
      </c>
      <c r="C343" s="429">
        <f t="shared" si="35"/>
        <v>6806</v>
      </c>
      <c r="D343" s="430" t="str">
        <f t="shared" si="36"/>
        <v/>
      </c>
      <c r="E343" s="430" t="e">
        <f>VLOOKUP(D343,'RCLIPS송신(이지론플러스)_최종'!$B:$E,4,0)</f>
        <v>#N/A</v>
      </c>
      <c r="F343" s="430" t="e">
        <f>VLOOKUP($D343,'RCLIPS송신(이지론플러스)_최종'!$B:$D,2,0)</f>
        <v>#N/A</v>
      </c>
      <c r="G343" s="430" t="e">
        <f>VLOOKUP($D343,'RCLIPS송신(이지론플러스)_최종'!$B:$D,3,0)</f>
        <v>#N/A</v>
      </c>
      <c r="H343" s="430" t="str">
        <f t="shared" si="37"/>
        <v/>
      </c>
      <c r="I343" s="263" t="str">
        <f t="shared" si="32"/>
        <v/>
      </c>
      <c r="J343" s="263"/>
      <c r="K343" s="263"/>
      <c r="L343" s="263"/>
      <c r="M343" s="263" t="str">
        <f t="shared" si="33"/>
        <v/>
      </c>
    </row>
    <row r="344" spans="1:13">
      <c r="A344" s="263"/>
      <c r="B344" s="429">
        <f t="shared" si="34"/>
        <v>6821</v>
      </c>
      <c r="C344" s="429">
        <f t="shared" si="35"/>
        <v>6826</v>
      </c>
      <c r="D344" s="430" t="str">
        <f t="shared" si="36"/>
        <v/>
      </c>
      <c r="E344" s="430" t="e">
        <f>VLOOKUP(D344,'RCLIPS송신(이지론플러스)_최종'!$B:$E,4,0)</f>
        <v>#N/A</v>
      </c>
      <c r="F344" s="430" t="e">
        <f>VLOOKUP($D344,'RCLIPS송신(이지론플러스)_최종'!$B:$D,2,0)</f>
        <v>#N/A</v>
      </c>
      <c r="G344" s="430" t="e">
        <f>VLOOKUP($D344,'RCLIPS송신(이지론플러스)_최종'!$B:$D,3,0)</f>
        <v>#N/A</v>
      </c>
      <c r="H344" s="430" t="str">
        <f t="shared" si="37"/>
        <v/>
      </c>
      <c r="I344" s="263" t="str">
        <f t="shared" si="32"/>
        <v/>
      </c>
      <c r="J344" s="263"/>
      <c r="K344" s="263"/>
      <c r="L344" s="263"/>
      <c r="M344" s="263" t="str">
        <f t="shared" si="33"/>
        <v/>
      </c>
    </row>
    <row r="345" spans="1:13">
      <c r="A345" s="263"/>
      <c r="B345" s="429">
        <f t="shared" si="34"/>
        <v>6841</v>
      </c>
      <c r="C345" s="429">
        <f t="shared" si="35"/>
        <v>6846</v>
      </c>
      <c r="D345" s="430" t="str">
        <f t="shared" si="36"/>
        <v/>
      </c>
      <c r="E345" s="430" t="e">
        <f>VLOOKUP(D345,'RCLIPS송신(이지론플러스)_최종'!$B:$E,4,0)</f>
        <v>#N/A</v>
      </c>
      <c r="F345" s="430" t="e">
        <f>VLOOKUP($D345,'RCLIPS송신(이지론플러스)_최종'!$B:$D,2,0)</f>
        <v>#N/A</v>
      </c>
      <c r="G345" s="430" t="e">
        <f>VLOOKUP($D345,'RCLIPS송신(이지론플러스)_최종'!$B:$D,3,0)</f>
        <v>#N/A</v>
      </c>
      <c r="H345" s="430" t="str">
        <f t="shared" si="37"/>
        <v/>
      </c>
      <c r="I345" s="263" t="str">
        <f t="shared" si="32"/>
        <v/>
      </c>
      <c r="J345" s="263"/>
      <c r="K345" s="263"/>
      <c r="L345" s="263"/>
      <c r="M345" s="263" t="str">
        <f t="shared" si="33"/>
        <v/>
      </c>
    </row>
    <row r="346" spans="1:13">
      <c r="A346" s="263"/>
      <c r="B346" s="429">
        <f t="shared" si="34"/>
        <v>6861</v>
      </c>
      <c r="C346" s="429">
        <f t="shared" si="35"/>
        <v>6866</v>
      </c>
      <c r="D346" s="430" t="str">
        <f t="shared" si="36"/>
        <v/>
      </c>
      <c r="E346" s="430" t="e">
        <f>VLOOKUP(D346,'RCLIPS송신(이지론플러스)_최종'!$B:$E,4,0)</f>
        <v>#N/A</v>
      </c>
      <c r="F346" s="430" t="e">
        <f>VLOOKUP($D346,'RCLIPS송신(이지론플러스)_최종'!$B:$D,2,0)</f>
        <v>#N/A</v>
      </c>
      <c r="G346" s="430" t="e">
        <f>VLOOKUP($D346,'RCLIPS송신(이지론플러스)_최종'!$B:$D,3,0)</f>
        <v>#N/A</v>
      </c>
      <c r="H346" s="430" t="str">
        <f t="shared" si="37"/>
        <v/>
      </c>
      <c r="I346" s="263" t="str">
        <f t="shared" si="32"/>
        <v/>
      </c>
      <c r="J346" s="263"/>
      <c r="K346" s="263"/>
      <c r="L346" s="263"/>
      <c r="M346" s="263" t="str">
        <f t="shared" si="33"/>
        <v/>
      </c>
    </row>
    <row r="347" spans="1:13">
      <c r="A347" s="263"/>
      <c r="B347" s="429">
        <f t="shared" si="34"/>
        <v>6881</v>
      </c>
      <c r="C347" s="429">
        <f t="shared" si="35"/>
        <v>6886</v>
      </c>
      <c r="D347" s="430" t="str">
        <f t="shared" si="36"/>
        <v/>
      </c>
      <c r="E347" s="430" t="e">
        <f>VLOOKUP(D347,'RCLIPS송신(이지론플러스)_최종'!$B:$E,4,0)</f>
        <v>#N/A</v>
      </c>
      <c r="F347" s="430" t="e">
        <f>VLOOKUP($D347,'RCLIPS송신(이지론플러스)_최종'!$B:$D,2,0)</f>
        <v>#N/A</v>
      </c>
      <c r="G347" s="430" t="e">
        <f>VLOOKUP($D347,'RCLIPS송신(이지론플러스)_최종'!$B:$D,3,0)</f>
        <v>#N/A</v>
      </c>
      <c r="H347" s="430" t="str">
        <f t="shared" si="37"/>
        <v/>
      </c>
      <c r="I347" s="263" t="str">
        <f t="shared" si="32"/>
        <v/>
      </c>
      <c r="J347" s="263"/>
      <c r="K347" s="263"/>
      <c r="L347" s="263"/>
      <c r="M347" s="263" t="str">
        <f t="shared" si="33"/>
        <v/>
      </c>
    </row>
    <row r="348" spans="1:13">
      <c r="A348" s="263"/>
      <c r="B348" s="429">
        <f t="shared" si="34"/>
        <v>6901</v>
      </c>
      <c r="C348" s="429">
        <f t="shared" si="35"/>
        <v>6906</v>
      </c>
      <c r="D348" s="430" t="str">
        <f t="shared" si="36"/>
        <v/>
      </c>
      <c r="E348" s="430" t="e">
        <f>VLOOKUP(D348,'RCLIPS송신(이지론플러스)_최종'!$B:$E,4,0)</f>
        <v>#N/A</v>
      </c>
      <c r="F348" s="430" t="e">
        <f>VLOOKUP($D348,'RCLIPS송신(이지론플러스)_최종'!$B:$D,2,0)</f>
        <v>#N/A</v>
      </c>
      <c r="G348" s="430" t="e">
        <f>VLOOKUP($D348,'RCLIPS송신(이지론플러스)_최종'!$B:$D,3,0)</f>
        <v>#N/A</v>
      </c>
      <c r="H348" s="430" t="str">
        <f t="shared" si="37"/>
        <v/>
      </c>
      <c r="I348" s="263" t="str">
        <f t="shared" si="32"/>
        <v/>
      </c>
      <c r="J348" s="263"/>
      <c r="K348" s="263"/>
      <c r="L348" s="263"/>
      <c r="M348" s="263" t="str">
        <f t="shared" si="33"/>
        <v/>
      </c>
    </row>
    <row r="349" spans="1:13">
      <c r="A349" s="263"/>
      <c r="B349" s="429">
        <f t="shared" si="34"/>
        <v>6921</v>
      </c>
      <c r="C349" s="429">
        <f t="shared" si="35"/>
        <v>6926</v>
      </c>
      <c r="D349" s="430" t="str">
        <f t="shared" si="36"/>
        <v/>
      </c>
      <c r="E349" s="430" t="e">
        <f>VLOOKUP(D349,'RCLIPS송신(이지론플러스)_최종'!$B:$E,4,0)</f>
        <v>#N/A</v>
      </c>
      <c r="F349" s="430" t="e">
        <f>VLOOKUP($D349,'RCLIPS송신(이지론플러스)_최종'!$B:$D,2,0)</f>
        <v>#N/A</v>
      </c>
      <c r="G349" s="430" t="e">
        <f>VLOOKUP($D349,'RCLIPS송신(이지론플러스)_최종'!$B:$D,3,0)</f>
        <v>#N/A</v>
      </c>
      <c r="H349" s="430" t="str">
        <f t="shared" si="37"/>
        <v/>
      </c>
      <c r="I349" s="263" t="str">
        <f t="shared" si="32"/>
        <v/>
      </c>
      <c r="J349" s="263"/>
      <c r="K349" s="263"/>
      <c r="L349" s="263"/>
      <c r="M349" s="263" t="str">
        <f t="shared" si="33"/>
        <v/>
      </c>
    </row>
    <row r="350" spans="1:13">
      <c r="A350" s="263"/>
      <c r="B350" s="429">
        <f t="shared" si="34"/>
        <v>6941</v>
      </c>
      <c r="C350" s="429">
        <f t="shared" si="35"/>
        <v>6946</v>
      </c>
      <c r="D350" s="430" t="str">
        <f t="shared" si="36"/>
        <v/>
      </c>
      <c r="E350" s="430" t="e">
        <f>VLOOKUP(D350,'RCLIPS송신(이지론플러스)_최종'!$B:$E,4,0)</f>
        <v>#N/A</v>
      </c>
      <c r="F350" s="430" t="e">
        <f>VLOOKUP($D350,'RCLIPS송신(이지론플러스)_최종'!$B:$D,2,0)</f>
        <v>#N/A</v>
      </c>
      <c r="G350" s="430" t="e">
        <f>VLOOKUP($D350,'RCLIPS송신(이지론플러스)_최종'!$B:$D,3,0)</f>
        <v>#N/A</v>
      </c>
      <c r="H350" s="430" t="str">
        <f t="shared" si="37"/>
        <v/>
      </c>
      <c r="I350" s="263" t="str">
        <f t="shared" si="32"/>
        <v/>
      </c>
      <c r="J350" s="263"/>
      <c r="K350" s="263"/>
      <c r="L350" s="263"/>
      <c r="M350" s="263" t="str">
        <f t="shared" si="33"/>
        <v/>
      </c>
    </row>
    <row r="351" spans="1:13">
      <c r="A351" s="263"/>
      <c r="B351" s="429">
        <f t="shared" si="34"/>
        <v>6961</v>
      </c>
      <c r="C351" s="429">
        <f t="shared" si="35"/>
        <v>6966</v>
      </c>
      <c r="D351" s="430" t="str">
        <f t="shared" si="36"/>
        <v/>
      </c>
      <c r="E351" s="430" t="e">
        <f>VLOOKUP(D351,'RCLIPS송신(이지론플러스)_최종'!$B:$E,4,0)</f>
        <v>#N/A</v>
      </c>
      <c r="F351" s="430" t="e">
        <f>VLOOKUP($D351,'RCLIPS송신(이지론플러스)_최종'!$B:$D,2,0)</f>
        <v>#N/A</v>
      </c>
      <c r="G351" s="430" t="e">
        <f>VLOOKUP($D351,'RCLIPS송신(이지론플러스)_최종'!$B:$D,3,0)</f>
        <v>#N/A</v>
      </c>
      <c r="H351" s="430" t="str">
        <f t="shared" si="37"/>
        <v/>
      </c>
      <c r="I351" s="263" t="str">
        <f t="shared" si="32"/>
        <v/>
      </c>
      <c r="J351" s="263"/>
      <c r="K351" s="263"/>
      <c r="L351" s="263"/>
      <c r="M351" s="263" t="str">
        <f t="shared" si="33"/>
        <v/>
      </c>
    </row>
    <row r="352" spans="1:13">
      <c r="A352" s="263"/>
      <c r="B352" s="429">
        <f t="shared" si="34"/>
        <v>6981</v>
      </c>
      <c r="C352" s="429">
        <f t="shared" si="35"/>
        <v>6986</v>
      </c>
      <c r="D352" s="430" t="str">
        <f t="shared" si="36"/>
        <v/>
      </c>
      <c r="E352" s="430" t="e">
        <f>VLOOKUP(D352,'RCLIPS송신(이지론플러스)_최종'!$B:$E,4,0)</f>
        <v>#N/A</v>
      </c>
      <c r="F352" s="430" t="e">
        <f>VLOOKUP($D352,'RCLIPS송신(이지론플러스)_최종'!$B:$D,2,0)</f>
        <v>#N/A</v>
      </c>
      <c r="G352" s="430" t="e">
        <f>VLOOKUP($D352,'RCLIPS송신(이지론플러스)_최종'!$B:$D,3,0)</f>
        <v>#N/A</v>
      </c>
      <c r="H352" s="430" t="str">
        <f t="shared" si="37"/>
        <v/>
      </c>
      <c r="I352" s="263" t="str">
        <f t="shared" si="32"/>
        <v/>
      </c>
      <c r="J352" s="263"/>
      <c r="K352" s="263"/>
      <c r="L352" s="263"/>
      <c r="M352" s="263" t="str">
        <f t="shared" si="33"/>
        <v/>
      </c>
    </row>
    <row r="353" spans="1:13">
      <c r="A353" s="263"/>
      <c r="B353" s="429">
        <f t="shared" si="34"/>
        <v>7001</v>
      </c>
      <c r="C353" s="429">
        <f t="shared" si="35"/>
        <v>7006</v>
      </c>
      <c r="D353" s="430" t="str">
        <f t="shared" si="36"/>
        <v/>
      </c>
      <c r="E353" s="430" t="e">
        <f>VLOOKUP(D353,'RCLIPS송신(이지론플러스)_최종'!$B:$E,4,0)</f>
        <v>#N/A</v>
      </c>
      <c r="F353" s="430" t="e">
        <f>VLOOKUP($D353,'RCLIPS송신(이지론플러스)_최종'!$B:$D,2,0)</f>
        <v>#N/A</v>
      </c>
      <c r="G353" s="430" t="e">
        <f>VLOOKUP($D353,'RCLIPS송신(이지론플러스)_최종'!$B:$D,3,0)</f>
        <v>#N/A</v>
      </c>
      <c r="H353" s="430" t="str">
        <f t="shared" si="37"/>
        <v/>
      </c>
      <c r="I353" s="263" t="str">
        <f t="shared" si="32"/>
        <v/>
      </c>
      <c r="J353" s="263"/>
      <c r="K353" s="263"/>
      <c r="L353" s="263"/>
      <c r="M353" s="263" t="str">
        <f t="shared" si="33"/>
        <v/>
      </c>
    </row>
    <row r="354" spans="1:13">
      <c r="A354" s="263"/>
      <c r="B354" s="429">
        <f t="shared" si="34"/>
        <v>7021</v>
      </c>
      <c r="C354" s="429">
        <f t="shared" si="35"/>
        <v>7026</v>
      </c>
      <c r="D354" s="430" t="str">
        <f t="shared" si="36"/>
        <v/>
      </c>
      <c r="E354" s="430" t="e">
        <f>VLOOKUP(D354,'RCLIPS송신(이지론플러스)_최종'!$B:$E,4,0)</f>
        <v>#N/A</v>
      </c>
      <c r="F354" s="430" t="e">
        <f>VLOOKUP($D354,'RCLIPS송신(이지론플러스)_최종'!$B:$D,2,0)</f>
        <v>#N/A</v>
      </c>
      <c r="G354" s="430" t="e">
        <f>VLOOKUP($D354,'RCLIPS송신(이지론플러스)_최종'!$B:$D,3,0)</f>
        <v>#N/A</v>
      </c>
      <c r="H354" s="430" t="str">
        <f t="shared" si="37"/>
        <v/>
      </c>
      <c r="I354" s="263" t="str">
        <f t="shared" si="32"/>
        <v/>
      </c>
      <c r="J354" s="263"/>
      <c r="K354" s="263"/>
      <c r="L354" s="263"/>
      <c r="M354" s="263" t="str">
        <f t="shared" si="33"/>
        <v/>
      </c>
    </row>
    <row r="355" spans="1:13">
      <c r="A355" s="263"/>
      <c r="B355" s="429">
        <f t="shared" si="34"/>
        <v>7041</v>
      </c>
      <c r="C355" s="429">
        <f t="shared" si="35"/>
        <v>7046</v>
      </c>
      <c r="D355" s="430" t="str">
        <f t="shared" si="36"/>
        <v/>
      </c>
      <c r="E355" s="430" t="e">
        <f>VLOOKUP(D355,'RCLIPS송신(이지론플러스)_최종'!$B:$E,4,0)</f>
        <v>#N/A</v>
      </c>
      <c r="F355" s="430" t="e">
        <f>VLOOKUP($D355,'RCLIPS송신(이지론플러스)_최종'!$B:$D,2,0)</f>
        <v>#N/A</v>
      </c>
      <c r="G355" s="430" t="e">
        <f>VLOOKUP($D355,'RCLIPS송신(이지론플러스)_최종'!$B:$D,3,0)</f>
        <v>#N/A</v>
      </c>
      <c r="H355" s="430" t="str">
        <f t="shared" si="37"/>
        <v/>
      </c>
      <c r="I355" s="263" t="str">
        <f t="shared" si="32"/>
        <v/>
      </c>
      <c r="J355" s="263"/>
      <c r="K355" s="263"/>
      <c r="L355" s="263"/>
      <c r="M355" s="263" t="str">
        <f t="shared" si="33"/>
        <v/>
      </c>
    </row>
    <row r="356" spans="1:13">
      <c r="A356" s="263"/>
      <c r="B356" s="429">
        <f t="shared" si="34"/>
        <v>7061</v>
      </c>
      <c r="C356" s="429">
        <f t="shared" si="35"/>
        <v>7066</v>
      </c>
      <c r="D356" s="430" t="str">
        <f t="shared" si="36"/>
        <v/>
      </c>
      <c r="E356" s="430" t="e">
        <f>VLOOKUP(D356,'RCLIPS송신(이지론플러스)_최종'!$B:$E,4,0)</f>
        <v>#N/A</v>
      </c>
      <c r="F356" s="430" t="e">
        <f>VLOOKUP($D356,'RCLIPS송신(이지론플러스)_최종'!$B:$D,2,0)</f>
        <v>#N/A</v>
      </c>
      <c r="G356" s="430" t="e">
        <f>VLOOKUP($D356,'RCLIPS송신(이지론플러스)_최종'!$B:$D,3,0)</f>
        <v>#N/A</v>
      </c>
      <c r="H356" s="430" t="str">
        <f t="shared" si="37"/>
        <v/>
      </c>
      <c r="I356" s="263" t="str">
        <f t="shared" si="32"/>
        <v/>
      </c>
      <c r="J356" s="263"/>
      <c r="K356" s="263"/>
      <c r="L356" s="263"/>
      <c r="M356" s="263" t="str">
        <f t="shared" si="33"/>
        <v/>
      </c>
    </row>
    <row r="357" spans="1:13">
      <c r="A357" s="263"/>
      <c r="B357" s="429">
        <f t="shared" si="34"/>
        <v>7081</v>
      </c>
      <c r="C357" s="429">
        <f t="shared" si="35"/>
        <v>7086</v>
      </c>
      <c r="D357" s="430" t="str">
        <f t="shared" si="36"/>
        <v/>
      </c>
      <c r="E357" s="430" t="e">
        <f>VLOOKUP(D357,'RCLIPS송신(이지론플러스)_최종'!$B:$E,4,0)</f>
        <v>#N/A</v>
      </c>
      <c r="F357" s="430" t="e">
        <f>VLOOKUP($D357,'RCLIPS송신(이지론플러스)_최종'!$B:$D,2,0)</f>
        <v>#N/A</v>
      </c>
      <c r="G357" s="430" t="e">
        <f>VLOOKUP($D357,'RCLIPS송신(이지론플러스)_최종'!$B:$D,3,0)</f>
        <v>#N/A</v>
      </c>
      <c r="H357" s="430" t="str">
        <f t="shared" si="37"/>
        <v/>
      </c>
      <c r="I357" s="263" t="str">
        <f t="shared" si="32"/>
        <v/>
      </c>
      <c r="J357" s="263"/>
      <c r="K357" s="263"/>
      <c r="L357" s="263"/>
      <c r="M357" s="263" t="str">
        <f t="shared" si="33"/>
        <v/>
      </c>
    </row>
    <row r="358" spans="1:13">
      <c r="A358" s="263"/>
      <c r="B358" s="429">
        <f t="shared" si="34"/>
        <v>7101</v>
      </c>
      <c r="C358" s="429">
        <f t="shared" si="35"/>
        <v>7106</v>
      </c>
      <c r="D358" s="430" t="str">
        <f t="shared" si="36"/>
        <v/>
      </c>
      <c r="E358" s="430" t="e">
        <f>VLOOKUP(D358,'RCLIPS송신(이지론플러스)_최종'!$B:$E,4,0)</f>
        <v>#N/A</v>
      </c>
      <c r="F358" s="430" t="e">
        <f>VLOOKUP($D358,'RCLIPS송신(이지론플러스)_최종'!$B:$D,2,0)</f>
        <v>#N/A</v>
      </c>
      <c r="G358" s="430" t="e">
        <f>VLOOKUP($D358,'RCLIPS송신(이지론플러스)_최종'!$B:$D,3,0)</f>
        <v>#N/A</v>
      </c>
      <c r="H358" s="430" t="str">
        <f t="shared" si="37"/>
        <v/>
      </c>
      <c r="I358" s="263" t="str">
        <f t="shared" si="32"/>
        <v/>
      </c>
      <c r="J358" s="263"/>
      <c r="K358" s="263"/>
      <c r="L358" s="263"/>
      <c r="M358" s="263" t="str">
        <f t="shared" si="33"/>
        <v/>
      </c>
    </row>
    <row r="359" spans="1:13">
      <c r="A359" s="263"/>
      <c r="B359" s="429">
        <f t="shared" si="34"/>
        <v>7121</v>
      </c>
      <c r="C359" s="429">
        <f t="shared" si="35"/>
        <v>7126</v>
      </c>
      <c r="D359" s="430" t="str">
        <f t="shared" si="36"/>
        <v/>
      </c>
      <c r="E359" s="430" t="e">
        <f>VLOOKUP(D359,'RCLIPS송신(이지론플러스)_최종'!$B:$E,4,0)</f>
        <v>#N/A</v>
      </c>
      <c r="F359" s="430" t="e">
        <f>VLOOKUP($D359,'RCLIPS송신(이지론플러스)_최종'!$B:$D,2,0)</f>
        <v>#N/A</v>
      </c>
      <c r="G359" s="430" t="e">
        <f>VLOOKUP($D359,'RCLIPS송신(이지론플러스)_최종'!$B:$D,3,0)</f>
        <v>#N/A</v>
      </c>
      <c r="H359" s="430" t="str">
        <f t="shared" si="37"/>
        <v/>
      </c>
      <c r="I359" s="263" t="str">
        <f t="shared" si="32"/>
        <v/>
      </c>
      <c r="J359" s="263"/>
      <c r="K359" s="263"/>
      <c r="L359" s="263"/>
      <c r="M359" s="263" t="str">
        <f t="shared" si="33"/>
        <v/>
      </c>
    </row>
    <row r="360" spans="1:13">
      <c r="A360" s="263"/>
      <c r="B360" s="429">
        <f t="shared" si="34"/>
        <v>7141</v>
      </c>
      <c r="C360" s="429">
        <f t="shared" si="35"/>
        <v>7146</v>
      </c>
      <c r="D360" s="430" t="str">
        <f t="shared" si="36"/>
        <v/>
      </c>
      <c r="E360" s="430" t="e">
        <f>VLOOKUP(D360,'RCLIPS송신(이지론플러스)_최종'!$B:$E,4,0)</f>
        <v>#N/A</v>
      </c>
      <c r="F360" s="430" t="e">
        <f>VLOOKUP($D360,'RCLIPS송신(이지론플러스)_최종'!$B:$D,2,0)</f>
        <v>#N/A</v>
      </c>
      <c r="G360" s="430" t="e">
        <f>VLOOKUP($D360,'RCLIPS송신(이지론플러스)_최종'!$B:$D,3,0)</f>
        <v>#N/A</v>
      </c>
      <c r="H360" s="430" t="str">
        <f t="shared" si="37"/>
        <v/>
      </c>
      <c r="I360" s="263" t="str">
        <f t="shared" si="32"/>
        <v/>
      </c>
      <c r="J360" s="263"/>
      <c r="K360" s="263"/>
      <c r="L360" s="263"/>
      <c r="M360" s="263" t="str">
        <f t="shared" si="33"/>
        <v/>
      </c>
    </row>
    <row r="361" spans="1:13">
      <c r="A361" s="263"/>
      <c r="B361" s="429">
        <f t="shared" si="34"/>
        <v>7161</v>
      </c>
      <c r="C361" s="429">
        <f t="shared" si="35"/>
        <v>7166</v>
      </c>
      <c r="D361" s="430" t="str">
        <f t="shared" si="36"/>
        <v/>
      </c>
      <c r="E361" s="430" t="e">
        <f>VLOOKUP(D361,'RCLIPS송신(이지론플러스)_최종'!$B:$E,4,0)</f>
        <v>#N/A</v>
      </c>
      <c r="F361" s="430" t="e">
        <f>VLOOKUP($D361,'RCLIPS송신(이지론플러스)_최종'!$B:$D,2,0)</f>
        <v>#N/A</v>
      </c>
      <c r="G361" s="430" t="e">
        <f>VLOOKUP($D361,'RCLIPS송신(이지론플러스)_최종'!$B:$D,3,0)</f>
        <v>#N/A</v>
      </c>
      <c r="H361" s="430" t="str">
        <f t="shared" si="37"/>
        <v/>
      </c>
      <c r="I361" s="263" t="str">
        <f t="shared" si="32"/>
        <v/>
      </c>
      <c r="J361" s="263"/>
      <c r="K361" s="263"/>
      <c r="L361" s="263"/>
      <c r="M361" s="263" t="str">
        <f t="shared" si="33"/>
        <v/>
      </c>
    </row>
    <row r="362" spans="1:13">
      <c r="A362" s="263"/>
      <c r="B362" s="429">
        <f t="shared" si="34"/>
        <v>7181</v>
      </c>
      <c r="C362" s="429">
        <f t="shared" si="35"/>
        <v>7186</v>
      </c>
      <c r="D362" s="430" t="str">
        <f t="shared" si="36"/>
        <v/>
      </c>
      <c r="E362" s="430" t="e">
        <f>VLOOKUP(D362,'RCLIPS송신(이지론플러스)_최종'!$B:$E,4,0)</f>
        <v>#N/A</v>
      </c>
      <c r="F362" s="430" t="e">
        <f>VLOOKUP($D362,'RCLIPS송신(이지론플러스)_최종'!$B:$D,2,0)</f>
        <v>#N/A</v>
      </c>
      <c r="G362" s="430" t="e">
        <f>VLOOKUP($D362,'RCLIPS송신(이지론플러스)_최종'!$B:$D,3,0)</f>
        <v>#N/A</v>
      </c>
      <c r="H362" s="430" t="str">
        <f t="shared" si="37"/>
        <v/>
      </c>
      <c r="I362" s="263" t="str">
        <f t="shared" si="32"/>
        <v/>
      </c>
      <c r="J362" s="263"/>
      <c r="K362" s="263"/>
      <c r="L362" s="263"/>
      <c r="M362" s="263" t="str">
        <f t="shared" si="33"/>
        <v/>
      </c>
    </row>
    <row r="363" spans="1:13">
      <c r="A363" s="263"/>
      <c r="B363" s="429">
        <f t="shared" si="34"/>
        <v>7201</v>
      </c>
      <c r="C363" s="429">
        <f t="shared" si="35"/>
        <v>7206</v>
      </c>
      <c r="D363" s="430" t="str">
        <f t="shared" si="36"/>
        <v/>
      </c>
      <c r="E363" s="430" t="e">
        <f>VLOOKUP(D363,'RCLIPS송신(이지론플러스)_최종'!$B:$E,4,0)</f>
        <v>#N/A</v>
      </c>
      <c r="F363" s="430" t="e">
        <f>VLOOKUP($D363,'RCLIPS송신(이지론플러스)_최종'!$B:$D,2,0)</f>
        <v>#N/A</v>
      </c>
      <c r="G363" s="430" t="e">
        <f>VLOOKUP($D363,'RCLIPS송신(이지론플러스)_최종'!$B:$D,3,0)</f>
        <v>#N/A</v>
      </c>
      <c r="H363" s="430" t="str">
        <f t="shared" si="37"/>
        <v/>
      </c>
      <c r="I363" s="263" t="str">
        <f t="shared" si="32"/>
        <v/>
      </c>
      <c r="J363" s="263"/>
      <c r="K363" s="263"/>
      <c r="L363" s="263"/>
      <c r="M363" s="263" t="str">
        <f t="shared" si="33"/>
        <v/>
      </c>
    </row>
    <row r="364" spans="1:13">
      <c r="A364" s="263"/>
      <c r="B364" s="429">
        <f t="shared" si="34"/>
        <v>7221</v>
      </c>
      <c r="C364" s="429">
        <f t="shared" si="35"/>
        <v>7226</v>
      </c>
      <c r="D364" s="430" t="str">
        <f t="shared" si="36"/>
        <v/>
      </c>
      <c r="E364" s="430" t="e">
        <f>VLOOKUP(D364,'RCLIPS송신(이지론플러스)_최종'!$B:$E,4,0)</f>
        <v>#N/A</v>
      </c>
      <c r="F364" s="430" t="e">
        <f>VLOOKUP($D364,'RCLIPS송신(이지론플러스)_최종'!$B:$D,2,0)</f>
        <v>#N/A</v>
      </c>
      <c r="G364" s="430" t="e">
        <f>VLOOKUP($D364,'RCLIPS송신(이지론플러스)_최종'!$B:$D,3,0)</f>
        <v>#N/A</v>
      </c>
      <c r="H364" s="430" t="str">
        <f t="shared" si="37"/>
        <v/>
      </c>
      <c r="I364" s="263" t="str">
        <f t="shared" si="32"/>
        <v/>
      </c>
      <c r="J364" s="263"/>
      <c r="K364" s="263"/>
      <c r="L364" s="263"/>
      <c r="M364" s="263" t="str">
        <f t="shared" si="33"/>
        <v/>
      </c>
    </row>
    <row r="365" spans="1:13">
      <c r="A365" s="263"/>
      <c r="B365" s="429">
        <f t="shared" si="34"/>
        <v>7241</v>
      </c>
      <c r="C365" s="429">
        <f t="shared" si="35"/>
        <v>7246</v>
      </c>
      <c r="D365" s="430" t="str">
        <f t="shared" si="36"/>
        <v/>
      </c>
      <c r="E365" s="430" t="e">
        <f>VLOOKUP(D365,'RCLIPS송신(이지론플러스)_최종'!$B:$E,4,0)</f>
        <v>#N/A</v>
      </c>
      <c r="F365" s="430" t="e">
        <f>VLOOKUP($D365,'RCLIPS송신(이지론플러스)_최종'!$B:$D,2,0)</f>
        <v>#N/A</v>
      </c>
      <c r="G365" s="430" t="e">
        <f>VLOOKUP($D365,'RCLIPS송신(이지론플러스)_최종'!$B:$D,3,0)</f>
        <v>#N/A</v>
      </c>
      <c r="H365" s="430" t="str">
        <f t="shared" si="37"/>
        <v/>
      </c>
      <c r="I365" s="263" t="str">
        <f t="shared" si="32"/>
        <v/>
      </c>
      <c r="J365" s="263"/>
      <c r="K365" s="263"/>
      <c r="L365" s="263"/>
      <c r="M365" s="263" t="str">
        <f t="shared" si="33"/>
        <v/>
      </c>
    </row>
    <row r="366" spans="1:13">
      <c r="A366" s="263"/>
      <c r="B366" s="429">
        <f t="shared" si="34"/>
        <v>7261</v>
      </c>
      <c r="C366" s="429">
        <f t="shared" si="35"/>
        <v>7266</v>
      </c>
      <c r="D366" s="430" t="str">
        <f t="shared" si="36"/>
        <v/>
      </c>
      <c r="E366" s="430" t="e">
        <f>VLOOKUP(D366,'RCLIPS송신(이지론플러스)_최종'!$B:$E,4,0)</f>
        <v>#N/A</v>
      </c>
      <c r="F366" s="430" t="e">
        <f>VLOOKUP($D366,'RCLIPS송신(이지론플러스)_최종'!$B:$D,2,0)</f>
        <v>#N/A</v>
      </c>
      <c r="G366" s="430" t="e">
        <f>VLOOKUP($D366,'RCLIPS송신(이지론플러스)_최종'!$B:$D,3,0)</f>
        <v>#N/A</v>
      </c>
      <c r="H366" s="430" t="str">
        <f t="shared" si="37"/>
        <v/>
      </c>
      <c r="I366" s="263" t="str">
        <f t="shared" si="32"/>
        <v/>
      </c>
      <c r="J366" s="263"/>
      <c r="K366" s="263"/>
      <c r="L366" s="263"/>
      <c r="M366" s="263" t="str">
        <f t="shared" si="33"/>
        <v/>
      </c>
    </row>
    <row r="367" spans="1:13">
      <c r="A367" s="263"/>
      <c r="B367" s="429">
        <f t="shared" si="34"/>
        <v>7281</v>
      </c>
      <c r="C367" s="429">
        <f t="shared" si="35"/>
        <v>7286</v>
      </c>
      <c r="D367" s="430" t="str">
        <f t="shared" si="36"/>
        <v/>
      </c>
      <c r="E367" s="430" t="e">
        <f>VLOOKUP(D367,'RCLIPS송신(이지론플러스)_최종'!$B:$E,4,0)</f>
        <v>#N/A</v>
      </c>
      <c r="F367" s="430" t="e">
        <f>VLOOKUP($D367,'RCLIPS송신(이지론플러스)_최종'!$B:$D,2,0)</f>
        <v>#N/A</v>
      </c>
      <c r="G367" s="430" t="e">
        <f>VLOOKUP($D367,'RCLIPS송신(이지론플러스)_최종'!$B:$D,3,0)</f>
        <v>#N/A</v>
      </c>
      <c r="H367" s="430" t="str">
        <f t="shared" si="37"/>
        <v/>
      </c>
      <c r="I367" s="263" t="str">
        <f t="shared" si="32"/>
        <v/>
      </c>
      <c r="J367" s="263"/>
      <c r="K367" s="263"/>
      <c r="L367" s="263"/>
      <c r="M367" s="263" t="str">
        <f t="shared" si="33"/>
        <v/>
      </c>
    </row>
    <row r="368" spans="1:13">
      <c r="A368" s="263"/>
      <c r="B368" s="429">
        <f t="shared" si="34"/>
        <v>7301</v>
      </c>
      <c r="C368" s="429">
        <f t="shared" si="35"/>
        <v>7306</v>
      </c>
      <c r="D368" s="430" t="str">
        <f t="shared" si="36"/>
        <v/>
      </c>
      <c r="E368" s="430" t="e">
        <f>VLOOKUP(D368,'RCLIPS송신(이지론플러스)_최종'!$B:$E,4,0)</f>
        <v>#N/A</v>
      </c>
      <c r="F368" s="430" t="e">
        <f>VLOOKUP($D368,'RCLIPS송신(이지론플러스)_최종'!$B:$D,2,0)</f>
        <v>#N/A</v>
      </c>
      <c r="G368" s="430" t="e">
        <f>VLOOKUP($D368,'RCLIPS송신(이지론플러스)_최종'!$B:$D,3,0)</f>
        <v>#N/A</v>
      </c>
      <c r="H368" s="430" t="str">
        <f t="shared" si="37"/>
        <v/>
      </c>
      <c r="I368" s="263" t="str">
        <f t="shared" si="32"/>
        <v/>
      </c>
      <c r="J368" s="263"/>
      <c r="K368" s="263"/>
      <c r="L368" s="263"/>
      <c r="M368" s="263" t="str">
        <f t="shared" si="33"/>
        <v/>
      </c>
    </row>
    <row r="369" spans="1:13">
      <c r="A369" s="263"/>
      <c r="B369" s="429">
        <f t="shared" si="34"/>
        <v>7321</v>
      </c>
      <c r="C369" s="429">
        <f t="shared" si="35"/>
        <v>7326</v>
      </c>
      <c r="D369" s="430" t="str">
        <f t="shared" si="36"/>
        <v/>
      </c>
      <c r="E369" s="430" t="e">
        <f>VLOOKUP(D369,'RCLIPS송신(이지론플러스)_최종'!$B:$E,4,0)</f>
        <v>#N/A</v>
      </c>
      <c r="F369" s="430" t="e">
        <f>VLOOKUP($D369,'RCLIPS송신(이지론플러스)_최종'!$B:$D,2,0)</f>
        <v>#N/A</v>
      </c>
      <c r="G369" s="430" t="e">
        <f>VLOOKUP($D369,'RCLIPS송신(이지론플러스)_최종'!$B:$D,3,0)</f>
        <v>#N/A</v>
      </c>
      <c r="H369" s="430" t="str">
        <f t="shared" si="37"/>
        <v/>
      </c>
      <c r="I369" s="263" t="str">
        <f t="shared" si="32"/>
        <v/>
      </c>
      <c r="J369" s="263"/>
      <c r="K369" s="263"/>
      <c r="L369" s="263"/>
      <c r="M369" s="263" t="str">
        <f t="shared" si="33"/>
        <v/>
      </c>
    </row>
    <row r="370" spans="1:13">
      <c r="A370" s="263"/>
      <c r="B370" s="429">
        <f t="shared" si="34"/>
        <v>7341</v>
      </c>
      <c r="C370" s="429">
        <f t="shared" si="35"/>
        <v>7346</v>
      </c>
      <c r="D370" s="430" t="str">
        <f t="shared" si="36"/>
        <v/>
      </c>
      <c r="E370" s="430" t="e">
        <f>VLOOKUP(D370,'RCLIPS송신(이지론플러스)_최종'!$B:$E,4,0)</f>
        <v>#N/A</v>
      </c>
      <c r="F370" s="430" t="e">
        <f>VLOOKUP($D370,'RCLIPS송신(이지론플러스)_최종'!$B:$D,2,0)</f>
        <v>#N/A</v>
      </c>
      <c r="G370" s="430" t="e">
        <f>VLOOKUP($D370,'RCLIPS송신(이지론플러스)_최종'!$B:$D,3,0)</f>
        <v>#N/A</v>
      </c>
      <c r="H370" s="430" t="str">
        <f t="shared" si="37"/>
        <v/>
      </c>
      <c r="I370" s="263" t="str">
        <f t="shared" si="32"/>
        <v/>
      </c>
      <c r="J370" s="263"/>
      <c r="K370" s="263"/>
      <c r="L370" s="263"/>
      <c r="M370" s="263" t="str">
        <f t="shared" si="33"/>
        <v/>
      </c>
    </row>
    <row r="371" spans="1:13">
      <c r="A371" s="263"/>
      <c r="B371" s="429">
        <f t="shared" si="34"/>
        <v>7361</v>
      </c>
      <c r="C371" s="429">
        <f t="shared" si="35"/>
        <v>7366</v>
      </c>
      <c r="D371" s="430" t="str">
        <f t="shared" si="36"/>
        <v/>
      </c>
      <c r="E371" s="430" t="e">
        <f>VLOOKUP(D371,'RCLIPS송신(이지론플러스)_최종'!$B:$E,4,0)</f>
        <v>#N/A</v>
      </c>
      <c r="F371" s="430" t="e">
        <f>VLOOKUP($D371,'RCLIPS송신(이지론플러스)_최종'!$B:$D,2,0)</f>
        <v>#N/A</v>
      </c>
      <c r="G371" s="430" t="e">
        <f>VLOOKUP($D371,'RCLIPS송신(이지론플러스)_최종'!$B:$D,3,0)</f>
        <v>#N/A</v>
      </c>
      <c r="H371" s="430" t="str">
        <f t="shared" si="37"/>
        <v/>
      </c>
      <c r="I371" s="263" t="str">
        <f t="shared" si="32"/>
        <v/>
      </c>
      <c r="J371" s="263"/>
      <c r="K371" s="263"/>
      <c r="L371" s="263"/>
      <c r="M371" s="263" t="str">
        <f t="shared" si="33"/>
        <v/>
      </c>
    </row>
    <row r="372" spans="1:13">
      <c r="A372" s="263"/>
      <c r="B372" s="429">
        <f t="shared" si="34"/>
        <v>7381</v>
      </c>
      <c r="C372" s="429">
        <f t="shared" si="35"/>
        <v>7386</v>
      </c>
      <c r="D372" s="430" t="str">
        <f t="shared" si="36"/>
        <v/>
      </c>
      <c r="E372" s="430" t="e">
        <f>VLOOKUP(D372,'RCLIPS송신(이지론플러스)_최종'!$B:$E,4,0)</f>
        <v>#N/A</v>
      </c>
      <c r="F372" s="430" t="e">
        <f>VLOOKUP($D372,'RCLIPS송신(이지론플러스)_최종'!$B:$D,2,0)</f>
        <v>#N/A</v>
      </c>
      <c r="G372" s="430" t="e">
        <f>VLOOKUP($D372,'RCLIPS송신(이지론플러스)_최종'!$B:$D,3,0)</f>
        <v>#N/A</v>
      </c>
      <c r="H372" s="430" t="str">
        <f t="shared" si="37"/>
        <v/>
      </c>
      <c r="I372" s="263" t="str">
        <f t="shared" si="32"/>
        <v/>
      </c>
      <c r="J372" s="263"/>
      <c r="K372" s="263"/>
      <c r="L372" s="263"/>
      <c r="M372" s="263" t="str">
        <f t="shared" si="33"/>
        <v/>
      </c>
    </row>
    <row r="373" spans="1:13">
      <c r="A373" s="263"/>
      <c r="B373" s="429">
        <f t="shared" si="34"/>
        <v>7401</v>
      </c>
      <c r="C373" s="429">
        <f t="shared" si="35"/>
        <v>7406</v>
      </c>
      <c r="D373" s="430" t="str">
        <f t="shared" si="36"/>
        <v/>
      </c>
      <c r="E373" s="430" t="e">
        <f>VLOOKUP(D373,'RCLIPS송신(이지론플러스)_최종'!$B:$E,4,0)</f>
        <v>#N/A</v>
      </c>
      <c r="F373" s="430" t="e">
        <f>VLOOKUP($D373,'RCLIPS송신(이지론플러스)_최종'!$B:$D,2,0)</f>
        <v>#N/A</v>
      </c>
      <c r="G373" s="430" t="e">
        <f>VLOOKUP($D373,'RCLIPS송신(이지론플러스)_최종'!$B:$D,3,0)</f>
        <v>#N/A</v>
      </c>
      <c r="H373" s="430" t="str">
        <f t="shared" si="37"/>
        <v/>
      </c>
      <c r="I373" s="263" t="str">
        <f t="shared" si="32"/>
        <v/>
      </c>
      <c r="J373" s="263"/>
      <c r="K373" s="263"/>
      <c r="L373" s="263"/>
      <c r="M373" s="263" t="str">
        <f t="shared" si="33"/>
        <v/>
      </c>
    </row>
    <row r="374" spans="1:13">
      <c r="A374" s="263"/>
      <c r="B374" s="429">
        <f t="shared" si="34"/>
        <v>7421</v>
      </c>
      <c r="C374" s="429">
        <f t="shared" si="35"/>
        <v>7426</v>
      </c>
      <c r="D374" s="430" t="str">
        <f t="shared" si="36"/>
        <v/>
      </c>
      <c r="E374" s="430" t="e">
        <f>VLOOKUP(D374,'RCLIPS송신(이지론플러스)_최종'!$B:$E,4,0)</f>
        <v>#N/A</v>
      </c>
      <c r="F374" s="430" t="e">
        <f>VLOOKUP($D374,'RCLIPS송신(이지론플러스)_최종'!$B:$D,2,0)</f>
        <v>#N/A</v>
      </c>
      <c r="G374" s="430" t="e">
        <f>VLOOKUP($D374,'RCLIPS송신(이지론플러스)_최종'!$B:$D,3,0)</f>
        <v>#N/A</v>
      </c>
      <c r="H374" s="430" t="str">
        <f t="shared" si="37"/>
        <v/>
      </c>
      <c r="I374" s="263" t="str">
        <f t="shared" si="32"/>
        <v/>
      </c>
      <c r="J374" s="263"/>
      <c r="K374" s="263"/>
      <c r="L374" s="263"/>
      <c r="M374" s="263" t="str">
        <f t="shared" si="33"/>
        <v/>
      </c>
    </row>
    <row r="375" spans="1:13">
      <c r="A375" s="263"/>
      <c r="B375" s="429">
        <f t="shared" si="34"/>
        <v>7441</v>
      </c>
      <c r="C375" s="429">
        <f t="shared" si="35"/>
        <v>7446</v>
      </c>
      <c r="D375" s="430" t="str">
        <f t="shared" si="36"/>
        <v/>
      </c>
      <c r="E375" s="430" t="e">
        <f>VLOOKUP(D375,'RCLIPS송신(이지론플러스)_최종'!$B:$E,4,0)</f>
        <v>#N/A</v>
      </c>
      <c r="F375" s="430" t="e">
        <f>VLOOKUP($D375,'RCLIPS송신(이지론플러스)_최종'!$B:$D,2,0)</f>
        <v>#N/A</v>
      </c>
      <c r="G375" s="430" t="e">
        <f>VLOOKUP($D375,'RCLIPS송신(이지론플러스)_최종'!$B:$D,3,0)</f>
        <v>#N/A</v>
      </c>
      <c r="H375" s="430" t="str">
        <f t="shared" si="37"/>
        <v/>
      </c>
      <c r="I375" s="263" t="str">
        <f t="shared" si="32"/>
        <v/>
      </c>
      <c r="J375" s="263"/>
      <c r="K375" s="263"/>
      <c r="L375" s="263"/>
      <c r="M375" s="263" t="str">
        <f t="shared" si="33"/>
        <v/>
      </c>
    </row>
    <row r="376" spans="1:13">
      <c r="A376" s="263"/>
      <c r="B376" s="429">
        <f t="shared" si="34"/>
        <v>7461</v>
      </c>
      <c r="C376" s="429">
        <f t="shared" si="35"/>
        <v>7466</v>
      </c>
      <c r="D376" s="430" t="str">
        <f t="shared" si="36"/>
        <v/>
      </c>
      <c r="E376" s="430" t="e">
        <f>VLOOKUP(D376,'RCLIPS송신(이지론플러스)_최종'!$B:$E,4,0)</f>
        <v>#N/A</v>
      </c>
      <c r="F376" s="430" t="e">
        <f>VLOOKUP($D376,'RCLIPS송신(이지론플러스)_최종'!$B:$D,2,0)</f>
        <v>#N/A</v>
      </c>
      <c r="G376" s="430" t="e">
        <f>VLOOKUP($D376,'RCLIPS송신(이지론플러스)_최종'!$B:$D,3,0)</f>
        <v>#N/A</v>
      </c>
      <c r="H376" s="430" t="str">
        <f t="shared" si="37"/>
        <v/>
      </c>
      <c r="I376" s="263" t="str">
        <f t="shared" si="32"/>
        <v/>
      </c>
      <c r="J376" s="263"/>
      <c r="K376" s="263"/>
      <c r="L376" s="263"/>
      <c r="M376" s="263" t="str">
        <f t="shared" si="33"/>
        <v/>
      </c>
    </row>
    <row r="377" spans="1:13">
      <c r="A377" s="263"/>
      <c r="B377" s="429">
        <f t="shared" si="34"/>
        <v>7481</v>
      </c>
      <c r="C377" s="429">
        <f t="shared" si="35"/>
        <v>7486</v>
      </c>
      <c r="D377" s="430" t="str">
        <f t="shared" si="36"/>
        <v/>
      </c>
      <c r="E377" s="430" t="e">
        <f>VLOOKUP(D377,'RCLIPS송신(이지론플러스)_최종'!$B:$E,4,0)</f>
        <v>#N/A</v>
      </c>
      <c r="F377" s="430" t="e">
        <f>VLOOKUP($D377,'RCLIPS송신(이지론플러스)_최종'!$B:$D,2,0)</f>
        <v>#N/A</v>
      </c>
      <c r="G377" s="430" t="e">
        <f>VLOOKUP($D377,'RCLIPS송신(이지론플러스)_최종'!$B:$D,3,0)</f>
        <v>#N/A</v>
      </c>
      <c r="H377" s="430" t="str">
        <f t="shared" si="37"/>
        <v/>
      </c>
      <c r="I377" s="263" t="str">
        <f t="shared" si="32"/>
        <v/>
      </c>
      <c r="J377" s="263"/>
      <c r="K377" s="263"/>
      <c r="L377" s="263"/>
      <c r="M377" s="263" t="str">
        <f t="shared" si="33"/>
        <v/>
      </c>
    </row>
    <row r="378" spans="1:13">
      <c r="A378" s="263"/>
      <c r="B378" s="429">
        <f t="shared" si="34"/>
        <v>7501</v>
      </c>
      <c r="C378" s="429">
        <f t="shared" si="35"/>
        <v>7506</v>
      </c>
      <c r="D378" s="430" t="str">
        <f t="shared" si="36"/>
        <v/>
      </c>
      <c r="E378" s="430" t="e">
        <f>VLOOKUP(D378,'RCLIPS송신(이지론플러스)_최종'!$B:$E,4,0)</f>
        <v>#N/A</v>
      </c>
      <c r="F378" s="430" t="e">
        <f>VLOOKUP($D378,'RCLIPS송신(이지론플러스)_최종'!$B:$D,2,0)</f>
        <v>#N/A</v>
      </c>
      <c r="G378" s="430" t="e">
        <f>VLOOKUP($D378,'RCLIPS송신(이지론플러스)_최종'!$B:$D,3,0)</f>
        <v>#N/A</v>
      </c>
      <c r="H378" s="430" t="str">
        <f t="shared" si="37"/>
        <v/>
      </c>
      <c r="I378" s="263" t="str">
        <f t="shared" si="32"/>
        <v/>
      </c>
      <c r="J378" s="263"/>
      <c r="K378" s="263"/>
      <c r="L378" s="263"/>
      <c r="M378" s="263" t="str">
        <f t="shared" si="33"/>
        <v/>
      </c>
    </row>
    <row r="379" spans="1:13">
      <c r="A379" s="263"/>
      <c r="B379" s="429">
        <f t="shared" si="34"/>
        <v>7521</v>
      </c>
      <c r="C379" s="429">
        <f t="shared" si="35"/>
        <v>7526</v>
      </c>
      <c r="D379" s="430" t="str">
        <f t="shared" si="36"/>
        <v/>
      </c>
      <c r="E379" s="430" t="e">
        <f>VLOOKUP(D379,'RCLIPS송신(이지론플러스)_최종'!$B:$E,4,0)</f>
        <v>#N/A</v>
      </c>
      <c r="F379" s="430" t="e">
        <f>VLOOKUP($D379,'RCLIPS송신(이지론플러스)_최종'!$B:$D,2,0)</f>
        <v>#N/A</v>
      </c>
      <c r="G379" s="430" t="e">
        <f>VLOOKUP($D379,'RCLIPS송신(이지론플러스)_최종'!$B:$D,3,0)</f>
        <v>#N/A</v>
      </c>
      <c r="H379" s="430" t="str">
        <f t="shared" si="37"/>
        <v/>
      </c>
      <c r="I379" s="263" t="str">
        <f t="shared" si="32"/>
        <v/>
      </c>
      <c r="J379" s="263"/>
      <c r="K379" s="263"/>
      <c r="L379" s="263"/>
      <c r="M379" s="263" t="str">
        <f t="shared" si="33"/>
        <v/>
      </c>
    </row>
    <row r="380" spans="1:13">
      <c r="A380" s="263"/>
      <c r="B380" s="429">
        <f t="shared" si="34"/>
        <v>7541</v>
      </c>
      <c r="C380" s="429">
        <f t="shared" si="35"/>
        <v>7546</v>
      </c>
      <c r="D380" s="430" t="str">
        <f t="shared" si="36"/>
        <v/>
      </c>
      <c r="E380" s="430" t="e">
        <f>VLOOKUP(D380,'RCLIPS송신(이지론플러스)_최종'!$B:$E,4,0)</f>
        <v>#N/A</v>
      </c>
      <c r="F380" s="430" t="e">
        <f>VLOOKUP($D380,'RCLIPS송신(이지론플러스)_최종'!$B:$D,2,0)</f>
        <v>#N/A</v>
      </c>
      <c r="G380" s="430" t="e">
        <f>VLOOKUP($D380,'RCLIPS송신(이지론플러스)_최종'!$B:$D,3,0)</f>
        <v>#N/A</v>
      </c>
      <c r="H380" s="430" t="str">
        <f t="shared" si="37"/>
        <v/>
      </c>
      <c r="I380" s="263" t="str">
        <f t="shared" si="32"/>
        <v/>
      </c>
      <c r="J380" s="263"/>
      <c r="K380" s="263"/>
      <c r="L380" s="263"/>
      <c r="M380" s="263" t="str">
        <f t="shared" si="33"/>
        <v/>
      </c>
    </row>
    <row r="381" spans="1:13">
      <c r="A381" s="263"/>
      <c r="B381" s="429">
        <f t="shared" si="34"/>
        <v>7561</v>
      </c>
      <c r="C381" s="429">
        <f t="shared" si="35"/>
        <v>7566</v>
      </c>
      <c r="D381" s="430" t="str">
        <f t="shared" si="36"/>
        <v/>
      </c>
      <c r="E381" s="430" t="e">
        <f>VLOOKUP(D381,'RCLIPS송신(이지론플러스)_최종'!$B:$E,4,0)</f>
        <v>#N/A</v>
      </c>
      <c r="F381" s="430" t="e">
        <f>VLOOKUP($D381,'RCLIPS송신(이지론플러스)_최종'!$B:$D,2,0)</f>
        <v>#N/A</v>
      </c>
      <c r="G381" s="430" t="e">
        <f>VLOOKUP($D381,'RCLIPS송신(이지론플러스)_최종'!$B:$D,3,0)</f>
        <v>#N/A</v>
      </c>
      <c r="H381" s="430" t="str">
        <f t="shared" si="37"/>
        <v/>
      </c>
      <c r="I381" s="263" t="str">
        <f t="shared" si="32"/>
        <v/>
      </c>
      <c r="J381" s="263"/>
      <c r="K381" s="263"/>
      <c r="L381" s="263"/>
      <c r="M381" s="263" t="str">
        <f t="shared" si="33"/>
        <v/>
      </c>
    </row>
    <row r="382" spans="1:13">
      <c r="A382" s="263"/>
      <c r="B382" s="429">
        <f t="shared" si="34"/>
        <v>7581</v>
      </c>
      <c r="C382" s="429">
        <f t="shared" si="35"/>
        <v>7586</v>
      </c>
      <c r="D382" s="430" t="str">
        <f t="shared" si="36"/>
        <v/>
      </c>
      <c r="E382" s="430" t="e">
        <f>VLOOKUP(D382,'RCLIPS송신(이지론플러스)_최종'!$B:$E,4,0)</f>
        <v>#N/A</v>
      </c>
      <c r="F382" s="430" t="e">
        <f>VLOOKUP($D382,'RCLIPS송신(이지론플러스)_최종'!$B:$D,2,0)</f>
        <v>#N/A</v>
      </c>
      <c r="G382" s="430" t="e">
        <f>VLOOKUP($D382,'RCLIPS송신(이지론플러스)_최종'!$B:$D,3,0)</f>
        <v>#N/A</v>
      </c>
      <c r="H382" s="430" t="str">
        <f t="shared" si="37"/>
        <v/>
      </c>
      <c r="I382" s="263" t="str">
        <f t="shared" si="32"/>
        <v/>
      </c>
      <c r="J382" s="263"/>
      <c r="K382" s="263"/>
      <c r="L382" s="263"/>
      <c r="M382" s="263" t="str">
        <f t="shared" si="33"/>
        <v/>
      </c>
    </row>
    <row r="383" spans="1:13">
      <c r="A383" s="263"/>
      <c r="B383" s="429">
        <f t="shared" si="34"/>
        <v>7601</v>
      </c>
      <c r="C383" s="429">
        <f t="shared" si="35"/>
        <v>7606</v>
      </c>
      <c r="D383" s="430" t="str">
        <f t="shared" si="36"/>
        <v/>
      </c>
      <c r="E383" s="430" t="e">
        <f>VLOOKUP(D383,'RCLIPS송신(이지론플러스)_최종'!$B:$E,4,0)</f>
        <v>#N/A</v>
      </c>
      <c r="F383" s="430" t="e">
        <f>VLOOKUP($D383,'RCLIPS송신(이지론플러스)_최종'!$B:$D,2,0)</f>
        <v>#N/A</v>
      </c>
      <c r="G383" s="430" t="e">
        <f>VLOOKUP($D383,'RCLIPS송신(이지론플러스)_최종'!$B:$D,3,0)</f>
        <v>#N/A</v>
      </c>
      <c r="H383" s="430" t="str">
        <f t="shared" si="37"/>
        <v/>
      </c>
      <c r="I383" s="263" t="str">
        <f t="shared" si="32"/>
        <v/>
      </c>
      <c r="J383" s="263"/>
      <c r="K383" s="263"/>
      <c r="L383" s="263"/>
      <c r="M383" s="263" t="str">
        <f t="shared" si="33"/>
        <v/>
      </c>
    </row>
    <row r="384" spans="1:13">
      <c r="A384" s="263"/>
      <c r="B384" s="429">
        <f t="shared" si="34"/>
        <v>7621</v>
      </c>
      <c r="C384" s="429">
        <f t="shared" si="35"/>
        <v>7626</v>
      </c>
      <c r="D384" s="430" t="str">
        <f t="shared" si="36"/>
        <v/>
      </c>
      <c r="E384" s="430" t="e">
        <f>VLOOKUP(D384,'RCLIPS송신(이지론플러스)_최종'!$B:$E,4,0)</f>
        <v>#N/A</v>
      </c>
      <c r="F384" s="430" t="e">
        <f>VLOOKUP($D384,'RCLIPS송신(이지론플러스)_최종'!$B:$D,2,0)</f>
        <v>#N/A</v>
      </c>
      <c r="G384" s="430" t="e">
        <f>VLOOKUP($D384,'RCLIPS송신(이지론플러스)_최종'!$B:$D,3,0)</f>
        <v>#N/A</v>
      </c>
      <c r="H384" s="430" t="str">
        <f t="shared" si="37"/>
        <v/>
      </c>
      <c r="I384" s="263" t="str">
        <f t="shared" si="32"/>
        <v/>
      </c>
      <c r="J384" s="263"/>
      <c r="K384" s="263"/>
      <c r="L384" s="263"/>
      <c r="M384" s="263" t="str">
        <f t="shared" si="33"/>
        <v/>
      </c>
    </row>
    <row r="385" spans="1:13">
      <c r="A385" s="263"/>
      <c r="B385" s="429">
        <f t="shared" si="34"/>
        <v>7641</v>
      </c>
      <c r="C385" s="429">
        <f t="shared" si="35"/>
        <v>7646</v>
      </c>
      <c r="D385" s="430" t="str">
        <f t="shared" si="36"/>
        <v/>
      </c>
      <c r="E385" s="430" t="e">
        <f>VLOOKUP(D385,'RCLIPS송신(이지론플러스)_최종'!$B:$E,4,0)</f>
        <v>#N/A</v>
      </c>
      <c r="F385" s="430" t="e">
        <f>VLOOKUP($D385,'RCLIPS송신(이지론플러스)_최종'!$B:$D,2,0)</f>
        <v>#N/A</v>
      </c>
      <c r="G385" s="430" t="e">
        <f>VLOOKUP($D385,'RCLIPS송신(이지론플러스)_최종'!$B:$D,3,0)</f>
        <v>#N/A</v>
      </c>
      <c r="H385" s="430" t="str">
        <f t="shared" si="37"/>
        <v/>
      </c>
      <c r="I385" s="263" t="str">
        <f t="shared" si="32"/>
        <v/>
      </c>
      <c r="J385" s="263"/>
      <c r="K385" s="263"/>
      <c r="L385" s="263"/>
      <c r="M385" s="263" t="str">
        <f t="shared" si="33"/>
        <v/>
      </c>
    </row>
    <row r="386" spans="1:13">
      <c r="A386" s="263"/>
      <c r="B386" s="429">
        <f t="shared" si="34"/>
        <v>7661</v>
      </c>
      <c r="C386" s="429">
        <f t="shared" si="35"/>
        <v>7666</v>
      </c>
      <c r="D386" s="430" t="str">
        <f t="shared" si="36"/>
        <v/>
      </c>
      <c r="E386" s="430" t="e">
        <f>VLOOKUP(D386,'RCLIPS송신(이지론플러스)_최종'!$B:$E,4,0)</f>
        <v>#N/A</v>
      </c>
      <c r="F386" s="430" t="e">
        <f>VLOOKUP($D386,'RCLIPS송신(이지론플러스)_최종'!$B:$D,2,0)</f>
        <v>#N/A</v>
      </c>
      <c r="G386" s="430" t="e">
        <f>VLOOKUP($D386,'RCLIPS송신(이지론플러스)_최종'!$B:$D,3,0)</f>
        <v>#N/A</v>
      </c>
      <c r="H386" s="430" t="str">
        <f t="shared" si="37"/>
        <v/>
      </c>
      <c r="I386" s="263" t="str">
        <f t="shared" si="32"/>
        <v/>
      </c>
      <c r="J386" s="263"/>
      <c r="K386" s="263"/>
      <c r="L386" s="263"/>
      <c r="M386" s="263" t="str">
        <f t="shared" si="33"/>
        <v/>
      </c>
    </row>
    <row r="387" spans="1:13">
      <c r="A387" s="263"/>
      <c r="B387" s="429">
        <f t="shared" si="34"/>
        <v>7681</v>
      </c>
      <c r="C387" s="429">
        <f t="shared" si="35"/>
        <v>7686</v>
      </c>
      <c r="D387" s="430" t="str">
        <f t="shared" si="36"/>
        <v/>
      </c>
      <c r="E387" s="430" t="e">
        <f>VLOOKUP(D387,'RCLIPS송신(이지론플러스)_최종'!$B:$E,4,0)</f>
        <v>#N/A</v>
      </c>
      <c r="F387" s="430" t="e">
        <f>VLOOKUP($D387,'RCLIPS송신(이지론플러스)_최종'!$B:$D,2,0)</f>
        <v>#N/A</v>
      </c>
      <c r="G387" s="430" t="e">
        <f>VLOOKUP($D387,'RCLIPS송신(이지론플러스)_최종'!$B:$D,3,0)</f>
        <v>#N/A</v>
      </c>
      <c r="H387" s="430" t="str">
        <f t="shared" si="37"/>
        <v/>
      </c>
      <c r="I387" s="263" t="str">
        <f t="shared" si="32"/>
        <v/>
      </c>
      <c r="J387" s="263"/>
      <c r="K387" s="263"/>
      <c r="L387" s="263"/>
      <c r="M387" s="263" t="str">
        <f t="shared" si="33"/>
        <v/>
      </c>
    </row>
    <row r="388" spans="1:13">
      <c r="A388" s="263"/>
      <c r="B388" s="429">
        <f t="shared" si="34"/>
        <v>7701</v>
      </c>
      <c r="C388" s="429">
        <f t="shared" si="35"/>
        <v>7706</v>
      </c>
      <c r="D388" s="430" t="str">
        <f t="shared" ref="D388:D415" si="38">MIDB($A$3, $B388+23, 5)</f>
        <v/>
      </c>
      <c r="E388" s="430" t="e">
        <f>VLOOKUP(D388,'RCLIPS송신(이지론플러스)_최종'!$B:$E,4,0)</f>
        <v>#N/A</v>
      </c>
      <c r="F388" s="430" t="e">
        <f>VLOOKUP($D388,'RCLIPS송신(이지론플러스)_최종'!$B:$D,2,0)</f>
        <v>#N/A</v>
      </c>
      <c r="G388" s="430" t="e">
        <f>VLOOKUP($D388,'RCLIPS송신(이지론플러스)_최종'!$B:$D,3,0)</f>
        <v>#N/A</v>
      </c>
      <c r="H388" s="430" t="str">
        <f t="shared" ref="H388:H415" si="39">MIDB($A$3, $C388+23, 15)</f>
        <v/>
      </c>
      <c r="I388" s="263" t="str">
        <f t="shared" ref="I388:I415" si="40">MIDB($A$8, $B388+10, 5)</f>
        <v/>
      </c>
      <c r="J388" s="263"/>
      <c r="K388" s="263"/>
      <c r="L388" s="263"/>
      <c r="M388" s="263" t="str">
        <f t="shared" ref="M388:M415" si="41">MIDB($A$8, $C388+10, 15)</f>
        <v/>
      </c>
    </row>
    <row r="389" spans="1:13">
      <c r="A389" s="263"/>
      <c r="B389" s="429">
        <f t="shared" ref="B389:B415" si="42">C388+15</f>
        <v>7721</v>
      </c>
      <c r="C389" s="429">
        <f t="shared" ref="C389:C415" si="43">B389+5</f>
        <v>7726</v>
      </c>
      <c r="D389" s="430" t="str">
        <f t="shared" si="38"/>
        <v/>
      </c>
      <c r="E389" s="430" t="e">
        <f>VLOOKUP(D389,'RCLIPS송신(이지론플러스)_최종'!$B:$E,4,0)</f>
        <v>#N/A</v>
      </c>
      <c r="F389" s="430" t="e">
        <f>VLOOKUP($D389,'RCLIPS송신(이지론플러스)_최종'!$B:$D,2,0)</f>
        <v>#N/A</v>
      </c>
      <c r="G389" s="430" t="e">
        <f>VLOOKUP($D389,'RCLIPS송신(이지론플러스)_최종'!$B:$D,3,0)</f>
        <v>#N/A</v>
      </c>
      <c r="H389" s="430" t="str">
        <f t="shared" si="39"/>
        <v/>
      </c>
      <c r="I389" s="263" t="str">
        <f t="shared" si="40"/>
        <v/>
      </c>
      <c r="J389" s="263"/>
      <c r="K389" s="263"/>
      <c r="L389" s="263"/>
      <c r="M389" s="263" t="str">
        <f t="shared" si="41"/>
        <v/>
      </c>
    </row>
    <row r="390" spans="1:13">
      <c r="A390" s="263"/>
      <c r="B390" s="429">
        <f t="shared" si="42"/>
        <v>7741</v>
      </c>
      <c r="C390" s="429">
        <f t="shared" si="43"/>
        <v>7746</v>
      </c>
      <c r="D390" s="430" t="str">
        <f t="shared" si="38"/>
        <v/>
      </c>
      <c r="E390" s="430" t="e">
        <f>VLOOKUP(D390,'RCLIPS송신(이지론플러스)_최종'!$B:$E,4,0)</f>
        <v>#N/A</v>
      </c>
      <c r="F390" s="430" t="e">
        <f>VLOOKUP($D390,'RCLIPS송신(이지론플러스)_최종'!$B:$D,2,0)</f>
        <v>#N/A</v>
      </c>
      <c r="G390" s="430" t="e">
        <f>VLOOKUP($D390,'RCLIPS송신(이지론플러스)_최종'!$B:$D,3,0)</f>
        <v>#N/A</v>
      </c>
      <c r="H390" s="430" t="str">
        <f t="shared" si="39"/>
        <v/>
      </c>
      <c r="I390" s="263" t="str">
        <f t="shared" si="40"/>
        <v/>
      </c>
      <c r="J390" s="263"/>
      <c r="K390" s="263"/>
      <c r="L390" s="263"/>
      <c r="M390" s="263" t="str">
        <f t="shared" si="41"/>
        <v/>
      </c>
    </row>
    <row r="391" spans="1:13">
      <c r="A391" s="263"/>
      <c r="B391" s="429">
        <f t="shared" si="42"/>
        <v>7761</v>
      </c>
      <c r="C391" s="429">
        <f t="shared" si="43"/>
        <v>7766</v>
      </c>
      <c r="D391" s="430" t="str">
        <f t="shared" si="38"/>
        <v/>
      </c>
      <c r="E391" s="430" t="e">
        <f>VLOOKUP(D391,'RCLIPS송신(이지론플러스)_최종'!$B:$E,4,0)</f>
        <v>#N/A</v>
      </c>
      <c r="F391" s="430" t="e">
        <f>VLOOKUP($D391,'RCLIPS송신(이지론플러스)_최종'!$B:$D,2,0)</f>
        <v>#N/A</v>
      </c>
      <c r="G391" s="430" t="e">
        <f>VLOOKUP($D391,'RCLIPS송신(이지론플러스)_최종'!$B:$D,3,0)</f>
        <v>#N/A</v>
      </c>
      <c r="H391" s="430" t="str">
        <f t="shared" si="39"/>
        <v/>
      </c>
      <c r="I391" s="263" t="str">
        <f t="shared" si="40"/>
        <v/>
      </c>
      <c r="J391" s="263"/>
      <c r="K391" s="263"/>
      <c r="L391" s="263"/>
      <c r="M391" s="263" t="str">
        <f t="shared" si="41"/>
        <v/>
      </c>
    </row>
    <row r="392" spans="1:13">
      <c r="A392" s="263"/>
      <c r="B392" s="429">
        <f t="shared" si="42"/>
        <v>7781</v>
      </c>
      <c r="C392" s="429">
        <f t="shared" si="43"/>
        <v>7786</v>
      </c>
      <c r="D392" s="430" t="str">
        <f t="shared" si="38"/>
        <v/>
      </c>
      <c r="E392" s="430" t="e">
        <f>VLOOKUP(D392,'RCLIPS송신(이지론플러스)_최종'!$B:$E,4,0)</f>
        <v>#N/A</v>
      </c>
      <c r="F392" s="430" t="e">
        <f>VLOOKUP($D392,'RCLIPS송신(이지론플러스)_최종'!$B:$D,2,0)</f>
        <v>#N/A</v>
      </c>
      <c r="G392" s="430" t="e">
        <f>VLOOKUP($D392,'RCLIPS송신(이지론플러스)_최종'!$B:$D,3,0)</f>
        <v>#N/A</v>
      </c>
      <c r="H392" s="430" t="str">
        <f t="shared" si="39"/>
        <v/>
      </c>
      <c r="I392" s="263" t="str">
        <f t="shared" si="40"/>
        <v/>
      </c>
      <c r="J392" s="263"/>
      <c r="K392" s="263"/>
      <c r="L392" s="263"/>
      <c r="M392" s="263" t="str">
        <f t="shared" si="41"/>
        <v/>
      </c>
    </row>
    <row r="393" spans="1:13">
      <c r="A393" s="263"/>
      <c r="B393" s="429">
        <f t="shared" si="42"/>
        <v>7801</v>
      </c>
      <c r="C393" s="429">
        <f t="shared" si="43"/>
        <v>7806</v>
      </c>
      <c r="D393" s="430" t="str">
        <f t="shared" si="38"/>
        <v/>
      </c>
      <c r="E393" s="430" t="e">
        <f>VLOOKUP(D393,'RCLIPS송신(이지론플러스)_최종'!$B:$E,4,0)</f>
        <v>#N/A</v>
      </c>
      <c r="F393" s="430" t="e">
        <f>VLOOKUP($D393,'RCLIPS송신(이지론플러스)_최종'!$B:$D,2,0)</f>
        <v>#N/A</v>
      </c>
      <c r="G393" s="430" t="e">
        <f>VLOOKUP($D393,'RCLIPS송신(이지론플러스)_최종'!$B:$D,3,0)</f>
        <v>#N/A</v>
      </c>
      <c r="H393" s="430" t="str">
        <f t="shared" si="39"/>
        <v/>
      </c>
      <c r="I393" s="263" t="str">
        <f t="shared" si="40"/>
        <v/>
      </c>
      <c r="J393" s="263"/>
      <c r="K393" s="263"/>
      <c r="L393" s="263"/>
      <c r="M393" s="263" t="str">
        <f t="shared" si="41"/>
        <v/>
      </c>
    </row>
    <row r="394" spans="1:13">
      <c r="A394" s="263"/>
      <c r="B394" s="429">
        <f t="shared" si="42"/>
        <v>7821</v>
      </c>
      <c r="C394" s="429">
        <f t="shared" si="43"/>
        <v>7826</v>
      </c>
      <c r="D394" s="430" t="str">
        <f t="shared" si="38"/>
        <v/>
      </c>
      <c r="E394" s="430" t="e">
        <f>VLOOKUP(D394,'RCLIPS송신(이지론플러스)_최종'!$B:$E,4,0)</f>
        <v>#N/A</v>
      </c>
      <c r="F394" s="430" t="e">
        <f>VLOOKUP($D394,'RCLIPS송신(이지론플러스)_최종'!$B:$D,2,0)</f>
        <v>#N/A</v>
      </c>
      <c r="G394" s="430" t="e">
        <f>VLOOKUP($D394,'RCLIPS송신(이지론플러스)_최종'!$B:$D,3,0)</f>
        <v>#N/A</v>
      </c>
      <c r="H394" s="430" t="str">
        <f t="shared" si="39"/>
        <v/>
      </c>
      <c r="I394" s="263" t="str">
        <f t="shared" si="40"/>
        <v/>
      </c>
      <c r="J394" s="263"/>
      <c r="K394" s="263"/>
      <c r="L394" s="263"/>
      <c r="M394" s="263" t="str">
        <f t="shared" si="41"/>
        <v/>
      </c>
    </row>
    <row r="395" spans="1:13">
      <c r="A395" s="263"/>
      <c r="B395" s="429">
        <f t="shared" si="42"/>
        <v>7841</v>
      </c>
      <c r="C395" s="429">
        <f t="shared" si="43"/>
        <v>7846</v>
      </c>
      <c r="D395" s="430" t="str">
        <f t="shared" si="38"/>
        <v/>
      </c>
      <c r="E395" s="430" t="e">
        <f>VLOOKUP(D395,'RCLIPS송신(이지론플러스)_최종'!$B:$E,4,0)</f>
        <v>#N/A</v>
      </c>
      <c r="F395" s="430" t="e">
        <f>VLOOKUP($D395,'RCLIPS송신(이지론플러스)_최종'!$B:$D,2,0)</f>
        <v>#N/A</v>
      </c>
      <c r="G395" s="430" t="e">
        <f>VLOOKUP($D395,'RCLIPS송신(이지론플러스)_최종'!$B:$D,3,0)</f>
        <v>#N/A</v>
      </c>
      <c r="H395" s="430" t="str">
        <f t="shared" si="39"/>
        <v/>
      </c>
      <c r="I395" s="263" t="str">
        <f t="shared" si="40"/>
        <v/>
      </c>
      <c r="J395" s="263"/>
      <c r="K395" s="263"/>
      <c r="L395" s="263"/>
      <c r="M395" s="263" t="str">
        <f t="shared" si="41"/>
        <v/>
      </c>
    </row>
    <row r="396" spans="1:13">
      <c r="A396" s="263"/>
      <c r="B396" s="429">
        <f t="shared" si="42"/>
        <v>7861</v>
      </c>
      <c r="C396" s="429">
        <f t="shared" si="43"/>
        <v>7866</v>
      </c>
      <c r="D396" s="430" t="str">
        <f t="shared" si="38"/>
        <v/>
      </c>
      <c r="E396" s="430" t="e">
        <f>VLOOKUP(D396,'RCLIPS송신(이지론플러스)_최종'!$B:$E,4,0)</f>
        <v>#N/A</v>
      </c>
      <c r="F396" s="430" t="e">
        <f>VLOOKUP($D396,'RCLIPS송신(이지론플러스)_최종'!$B:$D,2,0)</f>
        <v>#N/A</v>
      </c>
      <c r="G396" s="430" t="e">
        <f>VLOOKUP($D396,'RCLIPS송신(이지론플러스)_최종'!$B:$D,3,0)</f>
        <v>#N/A</v>
      </c>
      <c r="H396" s="430" t="str">
        <f t="shared" si="39"/>
        <v/>
      </c>
      <c r="I396" s="263" t="str">
        <f t="shared" si="40"/>
        <v/>
      </c>
      <c r="J396" s="263"/>
      <c r="K396" s="263"/>
      <c r="L396" s="263"/>
      <c r="M396" s="263" t="str">
        <f t="shared" si="41"/>
        <v/>
      </c>
    </row>
    <row r="397" spans="1:13">
      <c r="A397" s="263"/>
      <c r="B397" s="429">
        <f t="shared" si="42"/>
        <v>7881</v>
      </c>
      <c r="C397" s="429">
        <f t="shared" si="43"/>
        <v>7886</v>
      </c>
      <c r="D397" s="430" t="str">
        <f t="shared" si="38"/>
        <v/>
      </c>
      <c r="E397" s="430" t="e">
        <f>VLOOKUP(D397,'RCLIPS송신(이지론플러스)_최종'!$B:$E,4,0)</f>
        <v>#N/A</v>
      </c>
      <c r="F397" s="430" t="e">
        <f>VLOOKUP($D397,'RCLIPS송신(이지론플러스)_최종'!$B:$D,2,0)</f>
        <v>#N/A</v>
      </c>
      <c r="G397" s="430" t="e">
        <f>VLOOKUP($D397,'RCLIPS송신(이지론플러스)_최종'!$B:$D,3,0)</f>
        <v>#N/A</v>
      </c>
      <c r="H397" s="430" t="str">
        <f t="shared" si="39"/>
        <v/>
      </c>
      <c r="I397" s="263" t="str">
        <f t="shared" si="40"/>
        <v/>
      </c>
      <c r="J397" s="263"/>
      <c r="K397" s="263"/>
      <c r="L397" s="263"/>
      <c r="M397" s="263" t="str">
        <f t="shared" si="41"/>
        <v/>
      </c>
    </row>
    <row r="398" spans="1:13">
      <c r="A398" s="263"/>
      <c r="B398" s="429">
        <f t="shared" si="42"/>
        <v>7901</v>
      </c>
      <c r="C398" s="429">
        <f t="shared" si="43"/>
        <v>7906</v>
      </c>
      <c r="D398" s="430" t="str">
        <f t="shared" si="38"/>
        <v/>
      </c>
      <c r="E398" s="430" t="e">
        <f>VLOOKUP(D398,'RCLIPS송신(이지론플러스)_최종'!$B:$E,4,0)</f>
        <v>#N/A</v>
      </c>
      <c r="F398" s="430" t="e">
        <f>VLOOKUP($D398,'RCLIPS송신(이지론플러스)_최종'!$B:$D,2,0)</f>
        <v>#N/A</v>
      </c>
      <c r="G398" s="430" t="e">
        <f>VLOOKUP($D398,'RCLIPS송신(이지론플러스)_최종'!$B:$D,3,0)</f>
        <v>#N/A</v>
      </c>
      <c r="H398" s="430" t="str">
        <f t="shared" si="39"/>
        <v/>
      </c>
      <c r="I398" s="263" t="str">
        <f t="shared" si="40"/>
        <v/>
      </c>
      <c r="J398" s="263"/>
      <c r="K398" s="263"/>
      <c r="L398" s="263"/>
      <c r="M398" s="263" t="str">
        <f t="shared" si="41"/>
        <v/>
      </c>
    </row>
    <row r="399" spans="1:13">
      <c r="A399" s="263"/>
      <c r="B399" s="429">
        <f t="shared" si="42"/>
        <v>7921</v>
      </c>
      <c r="C399" s="429">
        <f t="shared" si="43"/>
        <v>7926</v>
      </c>
      <c r="D399" s="430" t="str">
        <f t="shared" si="38"/>
        <v/>
      </c>
      <c r="E399" s="430" t="e">
        <f>VLOOKUP(D399,'RCLIPS송신(이지론플러스)_최종'!$B:$E,4,0)</f>
        <v>#N/A</v>
      </c>
      <c r="F399" s="430" t="e">
        <f>VLOOKUP($D399,'RCLIPS송신(이지론플러스)_최종'!$B:$D,2,0)</f>
        <v>#N/A</v>
      </c>
      <c r="G399" s="430" t="e">
        <f>VLOOKUP($D399,'RCLIPS송신(이지론플러스)_최종'!$B:$D,3,0)</f>
        <v>#N/A</v>
      </c>
      <c r="H399" s="430" t="str">
        <f t="shared" si="39"/>
        <v/>
      </c>
      <c r="I399" s="263" t="str">
        <f t="shared" si="40"/>
        <v/>
      </c>
      <c r="J399" s="263"/>
      <c r="K399" s="263"/>
      <c r="L399" s="263"/>
      <c r="M399" s="263" t="str">
        <f t="shared" si="41"/>
        <v/>
      </c>
    </row>
    <row r="400" spans="1:13">
      <c r="A400" s="263"/>
      <c r="B400" s="429">
        <f t="shared" si="42"/>
        <v>7941</v>
      </c>
      <c r="C400" s="429">
        <f t="shared" si="43"/>
        <v>7946</v>
      </c>
      <c r="D400" s="430" t="str">
        <f t="shared" si="38"/>
        <v/>
      </c>
      <c r="E400" s="430" t="e">
        <f>VLOOKUP(D400,'RCLIPS송신(이지론플러스)_최종'!$B:$E,4,0)</f>
        <v>#N/A</v>
      </c>
      <c r="F400" s="430" t="e">
        <f>VLOOKUP($D400,'RCLIPS송신(이지론플러스)_최종'!$B:$D,2,0)</f>
        <v>#N/A</v>
      </c>
      <c r="G400" s="430" t="e">
        <f>VLOOKUP($D400,'RCLIPS송신(이지론플러스)_최종'!$B:$D,3,0)</f>
        <v>#N/A</v>
      </c>
      <c r="H400" s="430" t="str">
        <f t="shared" si="39"/>
        <v/>
      </c>
      <c r="I400" s="263" t="str">
        <f t="shared" si="40"/>
        <v/>
      </c>
      <c r="J400" s="263"/>
      <c r="K400" s="263"/>
      <c r="L400" s="263"/>
      <c r="M400" s="263" t="str">
        <f t="shared" si="41"/>
        <v/>
      </c>
    </row>
    <row r="401" spans="1:13">
      <c r="A401" s="263"/>
      <c r="B401" s="429">
        <f t="shared" si="42"/>
        <v>7961</v>
      </c>
      <c r="C401" s="429">
        <f t="shared" si="43"/>
        <v>7966</v>
      </c>
      <c r="D401" s="430" t="str">
        <f t="shared" si="38"/>
        <v/>
      </c>
      <c r="E401" s="430" t="e">
        <f>VLOOKUP(D401,'RCLIPS송신(이지론플러스)_최종'!$B:$E,4,0)</f>
        <v>#N/A</v>
      </c>
      <c r="F401" s="430" t="e">
        <f>VLOOKUP($D401,'RCLIPS송신(이지론플러스)_최종'!$B:$D,2,0)</f>
        <v>#N/A</v>
      </c>
      <c r="G401" s="430" t="e">
        <f>VLOOKUP($D401,'RCLIPS송신(이지론플러스)_최종'!$B:$D,3,0)</f>
        <v>#N/A</v>
      </c>
      <c r="H401" s="430" t="str">
        <f t="shared" si="39"/>
        <v/>
      </c>
      <c r="I401" s="263" t="str">
        <f t="shared" si="40"/>
        <v/>
      </c>
      <c r="J401" s="263"/>
      <c r="K401" s="263"/>
      <c r="L401" s="263"/>
      <c r="M401" s="263" t="str">
        <f t="shared" si="41"/>
        <v/>
      </c>
    </row>
    <row r="402" spans="1:13">
      <c r="A402" s="263"/>
      <c r="B402" s="429">
        <f t="shared" si="42"/>
        <v>7981</v>
      </c>
      <c r="C402" s="429">
        <f t="shared" si="43"/>
        <v>7986</v>
      </c>
      <c r="D402" s="430" t="str">
        <f t="shared" si="38"/>
        <v/>
      </c>
      <c r="E402" s="430" t="e">
        <f>VLOOKUP(D402,'RCLIPS송신(이지론플러스)_최종'!$B:$E,4,0)</f>
        <v>#N/A</v>
      </c>
      <c r="F402" s="430" t="e">
        <f>VLOOKUP($D402,'RCLIPS송신(이지론플러스)_최종'!$B:$D,2,0)</f>
        <v>#N/A</v>
      </c>
      <c r="G402" s="430" t="e">
        <f>VLOOKUP($D402,'RCLIPS송신(이지론플러스)_최종'!$B:$D,3,0)</f>
        <v>#N/A</v>
      </c>
      <c r="H402" s="430" t="str">
        <f t="shared" si="39"/>
        <v/>
      </c>
      <c r="I402" s="263" t="str">
        <f t="shared" si="40"/>
        <v/>
      </c>
      <c r="J402" s="263"/>
      <c r="K402" s="263"/>
      <c r="L402" s="263"/>
      <c r="M402" s="263" t="str">
        <f t="shared" si="41"/>
        <v/>
      </c>
    </row>
    <row r="403" spans="1:13">
      <c r="A403" s="263"/>
      <c r="B403" s="429">
        <f t="shared" si="42"/>
        <v>8001</v>
      </c>
      <c r="C403" s="429">
        <f t="shared" si="43"/>
        <v>8006</v>
      </c>
      <c r="D403" s="430" t="str">
        <f t="shared" si="38"/>
        <v/>
      </c>
      <c r="E403" s="430" t="e">
        <f>VLOOKUP(D403,'RCLIPS송신(이지론플러스)_최종'!$B:$E,4,0)</f>
        <v>#N/A</v>
      </c>
      <c r="F403" s="430" t="e">
        <f>VLOOKUP($D403,'RCLIPS송신(이지론플러스)_최종'!$B:$D,2,0)</f>
        <v>#N/A</v>
      </c>
      <c r="G403" s="430" t="e">
        <f>VLOOKUP($D403,'RCLIPS송신(이지론플러스)_최종'!$B:$D,3,0)</f>
        <v>#N/A</v>
      </c>
      <c r="H403" s="430" t="str">
        <f t="shared" si="39"/>
        <v/>
      </c>
      <c r="I403" s="263" t="str">
        <f t="shared" si="40"/>
        <v/>
      </c>
      <c r="J403" s="263"/>
      <c r="K403" s="263"/>
      <c r="L403" s="263"/>
      <c r="M403" s="263" t="str">
        <f t="shared" si="41"/>
        <v/>
      </c>
    </row>
    <row r="404" spans="1:13">
      <c r="A404" s="263"/>
      <c r="B404" s="429">
        <f t="shared" si="42"/>
        <v>8021</v>
      </c>
      <c r="C404" s="429">
        <f t="shared" si="43"/>
        <v>8026</v>
      </c>
      <c r="D404" s="430" t="str">
        <f t="shared" si="38"/>
        <v/>
      </c>
      <c r="E404" s="430" t="e">
        <f>VLOOKUP(D404,'RCLIPS송신(이지론플러스)_최종'!$B:$E,4,0)</f>
        <v>#N/A</v>
      </c>
      <c r="F404" s="430" t="e">
        <f>VLOOKUP($D404,'RCLIPS송신(이지론플러스)_최종'!$B:$D,2,0)</f>
        <v>#N/A</v>
      </c>
      <c r="G404" s="430" t="e">
        <f>VLOOKUP($D404,'RCLIPS송신(이지론플러스)_최종'!$B:$D,3,0)</f>
        <v>#N/A</v>
      </c>
      <c r="H404" s="430" t="str">
        <f t="shared" si="39"/>
        <v/>
      </c>
      <c r="I404" s="263" t="str">
        <f t="shared" si="40"/>
        <v/>
      </c>
      <c r="J404" s="263"/>
      <c r="K404" s="263"/>
      <c r="L404" s="263"/>
      <c r="M404" s="263" t="str">
        <f t="shared" si="41"/>
        <v/>
      </c>
    </row>
    <row r="405" spans="1:13">
      <c r="A405" s="263"/>
      <c r="B405" s="429">
        <f t="shared" si="42"/>
        <v>8041</v>
      </c>
      <c r="C405" s="429">
        <f t="shared" si="43"/>
        <v>8046</v>
      </c>
      <c r="D405" s="430" t="str">
        <f t="shared" si="38"/>
        <v/>
      </c>
      <c r="E405" s="430" t="e">
        <f>VLOOKUP(D405,'RCLIPS송신(이지론플러스)_최종'!$B:$E,4,0)</f>
        <v>#N/A</v>
      </c>
      <c r="F405" s="430" t="e">
        <f>VLOOKUP($D405,'RCLIPS송신(이지론플러스)_최종'!$B:$D,2,0)</f>
        <v>#N/A</v>
      </c>
      <c r="G405" s="430" t="e">
        <f>VLOOKUP($D405,'RCLIPS송신(이지론플러스)_최종'!$B:$D,3,0)</f>
        <v>#N/A</v>
      </c>
      <c r="H405" s="430" t="str">
        <f t="shared" si="39"/>
        <v/>
      </c>
      <c r="I405" s="263" t="str">
        <f t="shared" si="40"/>
        <v/>
      </c>
      <c r="J405" s="263"/>
      <c r="K405" s="263"/>
      <c r="L405" s="263"/>
      <c r="M405" s="263" t="str">
        <f t="shared" si="41"/>
        <v/>
      </c>
    </row>
    <row r="406" spans="1:13">
      <c r="A406" s="263"/>
      <c r="B406" s="429">
        <f t="shared" si="42"/>
        <v>8061</v>
      </c>
      <c r="C406" s="429">
        <f t="shared" si="43"/>
        <v>8066</v>
      </c>
      <c r="D406" s="430" t="str">
        <f t="shared" si="38"/>
        <v/>
      </c>
      <c r="E406" s="430" t="e">
        <f>VLOOKUP(D406,'RCLIPS송신(이지론플러스)_최종'!$B:$E,4,0)</f>
        <v>#N/A</v>
      </c>
      <c r="F406" s="430" t="e">
        <f>VLOOKUP($D406,'RCLIPS송신(이지론플러스)_최종'!$B:$D,2,0)</f>
        <v>#N/A</v>
      </c>
      <c r="G406" s="430" t="e">
        <f>VLOOKUP($D406,'RCLIPS송신(이지론플러스)_최종'!$B:$D,3,0)</f>
        <v>#N/A</v>
      </c>
      <c r="H406" s="430" t="str">
        <f t="shared" si="39"/>
        <v/>
      </c>
      <c r="I406" s="263" t="str">
        <f t="shared" si="40"/>
        <v/>
      </c>
      <c r="J406" s="263"/>
      <c r="K406" s="263"/>
      <c r="L406" s="263"/>
      <c r="M406" s="263" t="str">
        <f t="shared" si="41"/>
        <v/>
      </c>
    </row>
    <row r="407" spans="1:13">
      <c r="A407" s="263"/>
      <c r="B407" s="429">
        <f t="shared" si="42"/>
        <v>8081</v>
      </c>
      <c r="C407" s="429">
        <f t="shared" si="43"/>
        <v>8086</v>
      </c>
      <c r="D407" s="430" t="str">
        <f t="shared" si="38"/>
        <v/>
      </c>
      <c r="E407" s="430" t="e">
        <f>VLOOKUP(D407,'RCLIPS송신(이지론플러스)_최종'!$B:$E,4,0)</f>
        <v>#N/A</v>
      </c>
      <c r="F407" s="430" t="e">
        <f>VLOOKUP($D407,'RCLIPS송신(이지론플러스)_최종'!$B:$D,2,0)</f>
        <v>#N/A</v>
      </c>
      <c r="G407" s="430" t="e">
        <f>VLOOKUP($D407,'RCLIPS송신(이지론플러스)_최종'!$B:$D,3,0)</f>
        <v>#N/A</v>
      </c>
      <c r="H407" s="430" t="str">
        <f t="shared" si="39"/>
        <v/>
      </c>
      <c r="I407" s="263" t="str">
        <f t="shared" si="40"/>
        <v/>
      </c>
      <c r="J407" s="263"/>
      <c r="K407" s="263"/>
      <c r="L407" s="263"/>
      <c r="M407" s="263" t="str">
        <f t="shared" si="41"/>
        <v/>
      </c>
    </row>
    <row r="408" spans="1:13">
      <c r="A408" s="263"/>
      <c r="B408" s="429">
        <f t="shared" si="42"/>
        <v>8101</v>
      </c>
      <c r="C408" s="429">
        <f t="shared" si="43"/>
        <v>8106</v>
      </c>
      <c r="D408" s="430" t="str">
        <f t="shared" si="38"/>
        <v/>
      </c>
      <c r="E408" s="430" t="e">
        <f>VLOOKUP(D408,'RCLIPS송신(이지론플러스)_최종'!$B:$E,4,0)</f>
        <v>#N/A</v>
      </c>
      <c r="F408" s="430" t="e">
        <f>VLOOKUP($D408,'RCLIPS송신(이지론플러스)_최종'!$B:$D,2,0)</f>
        <v>#N/A</v>
      </c>
      <c r="G408" s="430" t="e">
        <f>VLOOKUP($D408,'RCLIPS송신(이지론플러스)_최종'!$B:$D,3,0)</f>
        <v>#N/A</v>
      </c>
      <c r="H408" s="430" t="str">
        <f t="shared" si="39"/>
        <v/>
      </c>
      <c r="I408" s="263" t="str">
        <f t="shared" si="40"/>
        <v/>
      </c>
      <c r="J408" s="263"/>
      <c r="K408" s="263"/>
      <c r="L408" s="263"/>
      <c r="M408" s="263" t="str">
        <f t="shared" si="41"/>
        <v/>
      </c>
    </row>
    <row r="409" spans="1:13">
      <c r="A409" s="263"/>
      <c r="B409" s="429">
        <f t="shared" si="42"/>
        <v>8121</v>
      </c>
      <c r="C409" s="429">
        <f t="shared" si="43"/>
        <v>8126</v>
      </c>
      <c r="D409" s="430" t="str">
        <f t="shared" si="38"/>
        <v/>
      </c>
      <c r="E409" s="430" t="e">
        <f>VLOOKUP(D409,'RCLIPS송신(이지론플러스)_최종'!$B:$E,4,0)</f>
        <v>#N/A</v>
      </c>
      <c r="F409" s="430" t="e">
        <f>VLOOKUP($D409,'RCLIPS송신(이지론플러스)_최종'!$B:$D,2,0)</f>
        <v>#N/A</v>
      </c>
      <c r="G409" s="430" t="e">
        <f>VLOOKUP($D409,'RCLIPS송신(이지론플러스)_최종'!$B:$D,3,0)</f>
        <v>#N/A</v>
      </c>
      <c r="H409" s="430" t="str">
        <f t="shared" si="39"/>
        <v/>
      </c>
      <c r="I409" s="263" t="str">
        <f t="shared" si="40"/>
        <v/>
      </c>
      <c r="J409" s="263"/>
      <c r="K409" s="263"/>
      <c r="L409" s="263"/>
      <c r="M409" s="263" t="str">
        <f t="shared" si="41"/>
        <v/>
      </c>
    </row>
    <row r="410" spans="1:13">
      <c r="A410" s="263"/>
      <c r="B410" s="429">
        <f t="shared" si="42"/>
        <v>8141</v>
      </c>
      <c r="C410" s="429">
        <f t="shared" si="43"/>
        <v>8146</v>
      </c>
      <c r="D410" s="430" t="str">
        <f t="shared" si="38"/>
        <v/>
      </c>
      <c r="E410" s="430" t="e">
        <f>VLOOKUP(D410,'RCLIPS송신(이지론플러스)_최종'!$B:$E,4,0)</f>
        <v>#N/A</v>
      </c>
      <c r="F410" s="430" t="e">
        <f>VLOOKUP($D410,'RCLIPS송신(이지론플러스)_최종'!$B:$D,2,0)</f>
        <v>#N/A</v>
      </c>
      <c r="G410" s="430" t="e">
        <f>VLOOKUP($D410,'RCLIPS송신(이지론플러스)_최종'!$B:$D,3,0)</f>
        <v>#N/A</v>
      </c>
      <c r="H410" s="430" t="str">
        <f t="shared" si="39"/>
        <v/>
      </c>
      <c r="I410" s="263" t="str">
        <f t="shared" si="40"/>
        <v/>
      </c>
      <c r="J410" s="263"/>
      <c r="K410" s="263"/>
      <c r="L410" s="263"/>
      <c r="M410" s="263" t="str">
        <f t="shared" si="41"/>
        <v/>
      </c>
    </row>
    <row r="411" spans="1:13">
      <c r="A411" s="263"/>
      <c r="B411" s="429">
        <f t="shared" si="42"/>
        <v>8161</v>
      </c>
      <c r="C411" s="429">
        <f t="shared" si="43"/>
        <v>8166</v>
      </c>
      <c r="D411" s="430" t="str">
        <f t="shared" si="38"/>
        <v/>
      </c>
      <c r="E411" s="430" t="e">
        <f>VLOOKUP(D411,'RCLIPS송신(이지론플러스)_최종'!$B:$E,4,0)</f>
        <v>#N/A</v>
      </c>
      <c r="F411" s="430" t="e">
        <f>VLOOKUP($D411,'RCLIPS송신(이지론플러스)_최종'!$B:$D,2,0)</f>
        <v>#N/A</v>
      </c>
      <c r="G411" s="430" t="e">
        <f>VLOOKUP($D411,'RCLIPS송신(이지론플러스)_최종'!$B:$D,3,0)</f>
        <v>#N/A</v>
      </c>
      <c r="H411" s="430" t="str">
        <f t="shared" si="39"/>
        <v/>
      </c>
      <c r="I411" s="263" t="str">
        <f t="shared" si="40"/>
        <v/>
      </c>
      <c r="J411" s="263"/>
      <c r="K411" s="263"/>
      <c r="L411" s="263"/>
      <c r="M411" s="263" t="str">
        <f t="shared" si="41"/>
        <v/>
      </c>
    </row>
    <row r="412" spans="1:13">
      <c r="A412" s="263"/>
      <c r="B412" s="429">
        <f t="shared" si="42"/>
        <v>8181</v>
      </c>
      <c r="C412" s="429">
        <f t="shared" si="43"/>
        <v>8186</v>
      </c>
      <c r="D412" s="430" t="str">
        <f t="shared" si="38"/>
        <v/>
      </c>
      <c r="E412" s="430" t="e">
        <f>VLOOKUP(D412,'RCLIPS송신(이지론플러스)_최종'!$B:$E,4,0)</f>
        <v>#N/A</v>
      </c>
      <c r="F412" s="430" t="e">
        <f>VLOOKUP($D412,'RCLIPS송신(이지론플러스)_최종'!$B:$D,2,0)</f>
        <v>#N/A</v>
      </c>
      <c r="G412" s="430" t="e">
        <f>VLOOKUP($D412,'RCLIPS송신(이지론플러스)_최종'!$B:$D,3,0)</f>
        <v>#N/A</v>
      </c>
      <c r="H412" s="430" t="str">
        <f t="shared" si="39"/>
        <v/>
      </c>
      <c r="I412" s="263" t="str">
        <f t="shared" si="40"/>
        <v/>
      </c>
      <c r="J412" s="263"/>
      <c r="K412" s="263"/>
      <c r="L412" s="263"/>
      <c r="M412" s="263" t="str">
        <f t="shared" si="41"/>
        <v/>
      </c>
    </row>
    <row r="413" spans="1:13">
      <c r="A413" s="263"/>
      <c r="B413" s="429">
        <f t="shared" si="42"/>
        <v>8201</v>
      </c>
      <c r="C413" s="429">
        <f t="shared" si="43"/>
        <v>8206</v>
      </c>
      <c r="D413" s="430" t="str">
        <f t="shared" si="38"/>
        <v/>
      </c>
      <c r="E413" s="430" t="e">
        <f>VLOOKUP(D413,'RCLIPS송신(이지론플러스)_최종'!$B:$E,4,0)</f>
        <v>#N/A</v>
      </c>
      <c r="F413" s="430" t="e">
        <f>VLOOKUP($D413,'RCLIPS송신(이지론플러스)_최종'!$B:$D,2,0)</f>
        <v>#N/A</v>
      </c>
      <c r="G413" s="430" t="e">
        <f>VLOOKUP($D413,'RCLIPS송신(이지론플러스)_최종'!$B:$D,3,0)</f>
        <v>#N/A</v>
      </c>
      <c r="H413" s="430" t="str">
        <f t="shared" si="39"/>
        <v/>
      </c>
      <c r="I413" s="263" t="str">
        <f t="shared" si="40"/>
        <v/>
      </c>
      <c r="J413" s="263"/>
      <c r="K413" s="263"/>
      <c r="L413" s="263"/>
      <c r="M413" s="263" t="str">
        <f t="shared" si="41"/>
        <v/>
      </c>
    </row>
    <row r="414" spans="1:13">
      <c r="A414" s="263"/>
      <c r="B414" s="429">
        <f t="shared" si="42"/>
        <v>8221</v>
      </c>
      <c r="C414" s="429">
        <f t="shared" si="43"/>
        <v>8226</v>
      </c>
      <c r="D414" s="430" t="str">
        <f t="shared" si="38"/>
        <v/>
      </c>
      <c r="E414" s="430" t="e">
        <f>VLOOKUP(D414,'RCLIPS송신(이지론플러스)_최종'!$B:$E,4,0)</f>
        <v>#N/A</v>
      </c>
      <c r="F414" s="430" t="e">
        <f>VLOOKUP($D414,'RCLIPS송신(이지론플러스)_최종'!$B:$D,2,0)</f>
        <v>#N/A</v>
      </c>
      <c r="G414" s="430" t="e">
        <f>VLOOKUP($D414,'RCLIPS송신(이지론플러스)_최종'!$B:$D,3,0)</f>
        <v>#N/A</v>
      </c>
      <c r="H414" s="430" t="str">
        <f t="shared" si="39"/>
        <v/>
      </c>
      <c r="I414" s="263" t="str">
        <f t="shared" si="40"/>
        <v/>
      </c>
      <c r="J414" s="263"/>
      <c r="K414" s="263"/>
      <c r="L414" s="263"/>
      <c r="M414" s="263" t="str">
        <f t="shared" si="41"/>
        <v/>
      </c>
    </row>
    <row r="415" spans="1:13">
      <c r="A415" s="263"/>
      <c r="B415" s="429">
        <f t="shared" si="42"/>
        <v>8241</v>
      </c>
      <c r="C415" s="429">
        <f t="shared" si="43"/>
        <v>8246</v>
      </c>
      <c r="D415" s="430" t="str">
        <f t="shared" si="38"/>
        <v/>
      </c>
      <c r="E415" s="430" t="e">
        <f>VLOOKUP(D415,'RCLIPS송신(이지론플러스)_최종'!$B:$E,4,0)</f>
        <v>#N/A</v>
      </c>
      <c r="F415" s="430" t="e">
        <f>VLOOKUP($D415,'RCLIPS송신(이지론플러스)_최종'!$B:$D,2,0)</f>
        <v>#N/A</v>
      </c>
      <c r="G415" s="430" t="e">
        <f>VLOOKUP($D415,'RCLIPS송신(이지론플러스)_최종'!$B:$D,3,0)</f>
        <v>#N/A</v>
      </c>
      <c r="H415" s="430" t="str">
        <f t="shared" si="39"/>
        <v/>
      </c>
      <c r="I415" s="263" t="str">
        <f t="shared" si="40"/>
        <v/>
      </c>
      <c r="J415" s="263"/>
      <c r="K415" s="263"/>
      <c r="L415" s="263"/>
      <c r="M415" s="263" t="str">
        <f t="shared" si="41"/>
        <v/>
      </c>
    </row>
  </sheetData>
  <mergeCells count="2">
    <mergeCell ref="D1:H1"/>
    <mergeCell ref="I1:M1"/>
  </mergeCells>
  <phoneticPr fontId="2" type="noConversion"/>
  <hyperlinks>
    <hyperlink ref="A1" location="목록!A1" display="목록으로" xr:uid="{0B20A22C-B6E5-4396-A11C-E1DF942072E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EDAF-47EC-4177-BFAE-EBF7376894CE}">
  <sheetPr>
    <tabColor rgb="FF00B0F0"/>
  </sheetPr>
  <dimension ref="A1:N534"/>
  <sheetViews>
    <sheetView zoomScale="90" zoomScaleNormal="90" workbookViewId="0">
      <selection activeCell="I8" sqref="I8"/>
    </sheetView>
  </sheetViews>
  <sheetFormatPr defaultRowHeight="11.25"/>
  <cols>
    <col min="1" max="1" width="9" style="178"/>
    <col min="2" max="2" width="30.375" style="178" customWidth="1"/>
    <col min="3" max="3" width="34.25" style="178" customWidth="1"/>
    <col min="4" max="4" width="0" style="178" hidden="1" customWidth="1"/>
    <col min="5" max="5" width="7.5" style="178" customWidth="1"/>
    <col min="6" max="6" width="23.375" style="178" customWidth="1"/>
    <col min="7" max="7" width="4.75" style="178" customWidth="1"/>
    <col min="8" max="8" width="8.625" style="178" customWidth="1"/>
    <col min="9" max="9" width="30.5" style="178" customWidth="1"/>
    <col min="10" max="10" width="22.125" style="178" customWidth="1"/>
    <col min="11" max="11" width="8.625" style="178" hidden="1" customWidth="1"/>
    <col min="12" max="12" width="6.5" style="178" customWidth="1"/>
    <col min="13" max="13" width="26.5" style="178" customWidth="1"/>
    <col min="14" max="16384" width="9" style="178"/>
  </cols>
  <sheetData>
    <row r="1" spans="1:14">
      <c r="E1" s="178" t="s">
        <v>5889</v>
      </c>
    </row>
    <row r="2" spans="1:14">
      <c r="A2" s="207" t="s">
        <v>2960</v>
      </c>
      <c r="B2" s="192" t="s">
        <v>3200</v>
      </c>
      <c r="C2" s="192" t="s">
        <v>3201</v>
      </c>
      <c r="D2" s="207" t="s">
        <v>2960</v>
      </c>
      <c r="E2" s="178" t="s">
        <v>5886</v>
      </c>
      <c r="F2" s="178" t="s">
        <v>5887</v>
      </c>
      <c r="H2" s="260" t="s">
        <v>2960</v>
      </c>
      <c r="I2" s="261" t="s">
        <v>3200</v>
      </c>
      <c r="J2" s="261" t="s">
        <v>3201</v>
      </c>
      <c r="K2" s="260" t="s">
        <v>2960</v>
      </c>
      <c r="L2" s="178" t="s">
        <v>5888</v>
      </c>
    </row>
    <row r="3" spans="1:14">
      <c r="A3" s="178" t="s">
        <v>2116</v>
      </c>
      <c r="B3" s="178" t="s">
        <v>5430</v>
      </c>
      <c r="C3" s="178" t="s">
        <v>1576</v>
      </c>
      <c r="D3" s="178" t="s">
        <v>2116</v>
      </c>
      <c r="E3" s="178" t="e">
        <f>VLOOKUP(C3,$J$5:$K$601,2,FALSE)</f>
        <v>#N/A</v>
      </c>
      <c r="H3" s="263" t="s">
        <v>3128</v>
      </c>
      <c r="I3" s="263"/>
      <c r="J3" s="263"/>
      <c r="K3" s="263" t="s">
        <v>3128</v>
      </c>
      <c r="L3" s="178" t="e">
        <f>VLOOKUP(J3,$C$3:$D$463,2,FALSE)</f>
        <v>#N/A</v>
      </c>
      <c r="M3" s="178" t="e">
        <f>VLOOKUP(L3,$A$3:$B$463,2,FALSE)</f>
        <v>#N/A</v>
      </c>
      <c r="N3" s="178" t="e">
        <f>IF(M3=I3,1,0)</f>
        <v>#N/A</v>
      </c>
    </row>
    <row r="4" spans="1:14">
      <c r="A4" s="181" t="s">
        <v>2573</v>
      </c>
      <c r="B4" s="181" t="s">
        <v>517</v>
      </c>
      <c r="C4" s="181" t="s">
        <v>517</v>
      </c>
      <c r="D4" s="181" t="s">
        <v>2573</v>
      </c>
      <c r="E4" s="178" t="e">
        <f t="shared" ref="E4:E67" si="0">VLOOKUP(C4,$J$5:$K$601,2,FALSE)</f>
        <v>#N/A</v>
      </c>
      <c r="H4" s="263" t="s">
        <v>3129</v>
      </c>
      <c r="I4" s="263"/>
      <c r="J4" s="263"/>
      <c r="K4" s="263" t="s">
        <v>3129</v>
      </c>
      <c r="L4" s="178" t="e">
        <f t="shared" ref="L4:L67" si="1">VLOOKUP(J4,$C$3:$D$463,2,FALSE)</f>
        <v>#N/A</v>
      </c>
      <c r="M4" s="178" t="e">
        <f t="shared" ref="M4:M67" si="2">VLOOKUP(L4,$A$3:$B$463,2,FALSE)</f>
        <v>#N/A</v>
      </c>
      <c r="N4" s="178" t="e">
        <f t="shared" ref="N4:N67" si="3">IF(M4=I4,1,0)</f>
        <v>#N/A</v>
      </c>
    </row>
    <row r="5" spans="1:14">
      <c r="A5" s="181" t="s">
        <v>2574</v>
      </c>
      <c r="B5" s="181" t="s">
        <v>517</v>
      </c>
      <c r="C5" s="181" t="s">
        <v>517</v>
      </c>
      <c r="D5" s="181" t="s">
        <v>2574</v>
      </c>
      <c r="E5" s="178" t="e">
        <f t="shared" si="0"/>
        <v>#N/A</v>
      </c>
      <c r="H5" s="263" t="s">
        <v>2572</v>
      </c>
      <c r="I5" s="263" t="s">
        <v>5831</v>
      </c>
      <c r="J5" s="263" t="s">
        <v>50</v>
      </c>
      <c r="K5" s="263" t="s">
        <v>2572</v>
      </c>
      <c r="L5" s="178" t="str">
        <f t="shared" si="1"/>
        <v>A1006</v>
      </c>
      <c r="M5" s="178" t="str">
        <f t="shared" si="2"/>
        <v>i신용대출RCLIPS전문조립C</v>
      </c>
      <c r="N5" s="178">
        <f t="shared" si="3"/>
        <v>0</v>
      </c>
    </row>
    <row r="6" spans="1:14">
      <c r="A6" s="178" t="s">
        <v>2117</v>
      </c>
      <c r="B6" s="178" t="s">
        <v>3063</v>
      </c>
      <c r="C6" s="178" t="s">
        <v>3064</v>
      </c>
      <c r="D6" s="178" t="s">
        <v>2117</v>
      </c>
      <c r="E6" s="178" t="str">
        <f t="shared" si="0"/>
        <v>A0003</v>
      </c>
      <c r="F6" s="178" t="str">
        <f>VLOOKUP(E6,$H$5:$I$601,2,FALSE)</f>
        <v>i이지론플러스대출RCLIPS전문조립C</v>
      </c>
      <c r="G6" s="178">
        <f>IF(B6=F6,1,0)</f>
        <v>0</v>
      </c>
      <c r="H6" s="263" t="s">
        <v>2570</v>
      </c>
      <c r="I6" s="263" t="s">
        <v>5831</v>
      </c>
      <c r="J6" s="263" t="s">
        <v>445</v>
      </c>
      <c r="K6" s="263" t="s">
        <v>2570</v>
      </c>
      <c r="L6" s="178" t="e">
        <f t="shared" si="1"/>
        <v>#N/A</v>
      </c>
      <c r="M6" s="178" t="e">
        <f t="shared" si="2"/>
        <v>#N/A</v>
      </c>
      <c r="N6" s="178" t="e">
        <f t="shared" si="3"/>
        <v>#N/A</v>
      </c>
    </row>
    <row r="7" spans="1:14">
      <c r="A7" s="178" t="s">
        <v>2118</v>
      </c>
      <c r="B7" s="263" t="s">
        <v>5435</v>
      </c>
      <c r="C7" s="263" t="s">
        <v>3065</v>
      </c>
      <c r="D7" s="178" t="s">
        <v>2118</v>
      </c>
      <c r="E7" s="178" t="str">
        <f t="shared" si="0"/>
        <v>A0004</v>
      </c>
      <c r="F7" s="178" t="str">
        <f t="shared" ref="F7:F70" si="4">VLOOKUP(E7,$H$5:$I$601,2,FALSE)</f>
        <v>현재일자기준대출심사모형사전조회출력Dto</v>
      </c>
      <c r="G7" s="178">
        <f t="shared" ref="G7:G70" si="5">IF(B7=F7,1,0)</f>
        <v>1</v>
      </c>
      <c r="H7" s="263" t="s">
        <v>2571</v>
      </c>
      <c r="I7" s="263" t="s">
        <v>5831</v>
      </c>
      <c r="J7" s="263" t="s">
        <v>3064</v>
      </c>
      <c r="K7" s="263" t="s">
        <v>2571</v>
      </c>
      <c r="L7" s="178" t="str">
        <f t="shared" si="1"/>
        <v>A1004</v>
      </c>
      <c r="M7" s="178" t="str">
        <f t="shared" si="2"/>
        <v>i신용대출RCLIPS전문조립C</v>
      </c>
      <c r="N7" s="178">
        <f t="shared" si="3"/>
        <v>0</v>
      </c>
    </row>
    <row r="8" spans="1:14">
      <c r="A8" s="178" t="s">
        <v>2575</v>
      </c>
      <c r="B8" s="178" t="s">
        <v>3063</v>
      </c>
      <c r="C8" s="178" t="s">
        <v>50</v>
      </c>
      <c r="D8" s="178" t="s">
        <v>2575</v>
      </c>
      <c r="E8" s="178" t="str">
        <f t="shared" si="0"/>
        <v>A0001</v>
      </c>
      <c r="F8" s="178" t="str">
        <f t="shared" si="4"/>
        <v>i이지론플러스대출RCLIPS전문조립C</v>
      </c>
      <c r="G8" s="178">
        <f t="shared" si="5"/>
        <v>0</v>
      </c>
      <c r="H8" s="263" t="s">
        <v>5778</v>
      </c>
      <c r="I8" s="263" t="s">
        <v>5435</v>
      </c>
      <c r="J8" s="263" t="s">
        <v>3065</v>
      </c>
      <c r="K8" s="263" t="s">
        <v>5778</v>
      </c>
      <c r="L8" s="178" t="str">
        <f t="shared" si="1"/>
        <v>A1005</v>
      </c>
      <c r="M8" s="178" t="str">
        <f t="shared" si="2"/>
        <v>현재일자기준대출심사모형사전조회출력Dto</v>
      </c>
      <c r="N8" s="178">
        <f t="shared" si="3"/>
        <v>1</v>
      </c>
    </row>
    <row r="9" spans="1:14">
      <c r="A9" s="178" t="s">
        <v>2120</v>
      </c>
      <c r="B9" s="263" t="s">
        <v>5435</v>
      </c>
      <c r="C9" s="436" t="s">
        <v>5834</v>
      </c>
      <c r="D9" s="178" t="s">
        <v>2120</v>
      </c>
      <c r="E9" s="178" t="str">
        <f t="shared" si="0"/>
        <v>A1001</v>
      </c>
      <c r="F9" s="178" t="str">
        <f t="shared" si="4"/>
        <v>현재일자기준대출심사모형사전조회출력Dto</v>
      </c>
      <c r="G9" s="178">
        <f t="shared" si="5"/>
        <v>1</v>
      </c>
      <c r="H9" s="263" t="s">
        <v>5779</v>
      </c>
      <c r="I9" s="263" t="s">
        <v>5833</v>
      </c>
      <c r="J9" s="263" t="s">
        <v>5830</v>
      </c>
      <c r="K9" s="263" t="s">
        <v>5779</v>
      </c>
      <c r="L9" s="178" t="e">
        <f t="shared" si="1"/>
        <v>#N/A</v>
      </c>
      <c r="M9" s="178" t="e">
        <f t="shared" si="2"/>
        <v>#N/A</v>
      </c>
      <c r="N9" s="178" t="e">
        <f t="shared" si="3"/>
        <v>#N/A</v>
      </c>
    </row>
    <row r="10" spans="1:14">
      <c r="A10" s="178" t="s">
        <v>2121</v>
      </c>
      <c r="B10" s="263" t="s">
        <v>5435</v>
      </c>
      <c r="C10" s="436" t="s">
        <v>3588</v>
      </c>
      <c r="D10" s="178" t="s">
        <v>2121</v>
      </c>
      <c r="E10" s="178" t="str">
        <f t="shared" si="0"/>
        <v>A1002</v>
      </c>
      <c r="F10" s="178" t="str">
        <f t="shared" si="4"/>
        <v>현재일자기준대출심사모형사전조회출력Dto</v>
      </c>
      <c r="G10" s="178">
        <f t="shared" si="5"/>
        <v>1</v>
      </c>
      <c r="H10" s="263" t="s">
        <v>2116</v>
      </c>
      <c r="I10" s="263" t="s">
        <v>5435</v>
      </c>
      <c r="J10" s="436" t="s">
        <v>5834</v>
      </c>
      <c r="K10" s="263" t="s">
        <v>2116</v>
      </c>
      <c r="L10" s="178" t="str">
        <f t="shared" si="1"/>
        <v>A2001</v>
      </c>
      <c r="M10" s="178" t="str">
        <f t="shared" si="2"/>
        <v>현재일자기준대출심사모형사전조회출력Dto</v>
      </c>
      <c r="N10" s="178">
        <f t="shared" si="3"/>
        <v>1</v>
      </c>
    </row>
    <row r="11" spans="1:14">
      <c r="A11" s="178" t="s">
        <v>2122</v>
      </c>
      <c r="B11" s="263" t="s">
        <v>5435</v>
      </c>
      <c r="C11" s="436" t="s">
        <v>3589</v>
      </c>
      <c r="D11" s="178" t="s">
        <v>2122</v>
      </c>
      <c r="E11" s="178" t="str">
        <f t="shared" si="0"/>
        <v>A1003</v>
      </c>
      <c r="F11" s="178" t="str">
        <f t="shared" si="4"/>
        <v>현재일자기준대출심사모형사전조회출력Dto</v>
      </c>
      <c r="G11" s="178">
        <f t="shared" si="5"/>
        <v>1</v>
      </c>
      <c r="H11" s="263" t="s">
        <v>2573</v>
      </c>
      <c r="I11" s="263" t="s">
        <v>5435</v>
      </c>
      <c r="J11" s="436" t="s">
        <v>5838</v>
      </c>
      <c r="K11" s="263" t="s">
        <v>2573</v>
      </c>
      <c r="L11" s="178" t="str">
        <f t="shared" si="1"/>
        <v>A2002</v>
      </c>
      <c r="M11" s="178" t="str">
        <f t="shared" si="2"/>
        <v>현재일자기준대출심사모형사전조회출력Dto</v>
      </c>
      <c r="N11" s="178">
        <f t="shared" si="3"/>
        <v>1</v>
      </c>
    </row>
    <row r="12" spans="1:14">
      <c r="A12" s="178" t="s">
        <v>2605</v>
      </c>
      <c r="B12" s="263" t="s">
        <v>5435</v>
      </c>
      <c r="C12" s="436" t="s">
        <v>5880</v>
      </c>
      <c r="D12" s="178" t="s">
        <v>2605</v>
      </c>
      <c r="E12" s="178" t="e">
        <f t="shared" si="0"/>
        <v>#N/A</v>
      </c>
      <c r="F12" s="178" t="e">
        <f t="shared" si="4"/>
        <v>#N/A</v>
      </c>
      <c r="G12" s="178" t="e">
        <f t="shared" si="5"/>
        <v>#N/A</v>
      </c>
      <c r="H12" s="263" t="s">
        <v>2574</v>
      </c>
      <c r="I12" s="263" t="s">
        <v>5435</v>
      </c>
      <c r="J12" s="436" t="s">
        <v>5835</v>
      </c>
      <c r="K12" s="263" t="s">
        <v>2574</v>
      </c>
      <c r="L12" s="178" t="str">
        <f t="shared" si="1"/>
        <v>A2003</v>
      </c>
      <c r="M12" s="178" t="str">
        <f t="shared" si="2"/>
        <v>현재일자기준대출심사모형사전조회출력Dto</v>
      </c>
      <c r="N12" s="178">
        <f t="shared" si="3"/>
        <v>1</v>
      </c>
    </row>
    <row r="13" spans="1:14">
      <c r="A13" s="178" t="s">
        <v>2606</v>
      </c>
      <c r="B13" s="263" t="s">
        <v>5435</v>
      </c>
      <c r="C13" s="436" t="s">
        <v>5881</v>
      </c>
      <c r="D13" s="178" t="s">
        <v>2606</v>
      </c>
      <c r="E13" s="178" t="e">
        <f t="shared" si="0"/>
        <v>#N/A</v>
      </c>
      <c r="F13" s="178" t="e">
        <f t="shared" si="4"/>
        <v>#N/A</v>
      </c>
      <c r="G13" s="178" t="e">
        <f t="shared" si="5"/>
        <v>#N/A</v>
      </c>
      <c r="H13" s="263" t="s">
        <v>2117</v>
      </c>
      <c r="I13" s="263" t="s">
        <v>5435</v>
      </c>
      <c r="J13" s="436" t="s">
        <v>5839</v>
      </c>
      <c r="K13" s="263" t="s">
        <v>2117</v>
      </c>
      <c r="L13" s="178" t="str">
        <f t="shared" si="1"/>
        <v>A2006</v>
      </c>
      <c r="M13" s="178" t="str">
        <f t="shared" si="2"/>
        <v>현재일자기준대출심사모형사전조회출력Dto</v>
      </c>
      <c r="N13" s="178">
        <f t="shared" si="3"/>
        <v>1</v>
      </c>
    </row>
    <row r="14" spans="1:14">
      <c r="A14" s="178" t="s">
        <v>2123</v>
      </c>
      <c r="B14" s="263" t="s">
        <v>5435</v>
      </c>
      <c r="C14" s="436" t="s">
        <v>3590</v>
      </c>
      <c r="D14" s="178" t="s">
        <v>2123</v>
      </c>
      <c r="E14" s="178" t="str">
        <f t="shared" si="0"/>
        <v>A1004</v>
      </c>
      <c r="F14" s="178" t="str">
        <f t="shared" si="4"/>
        <v>현재일자기준대출심사모형사전조회출력Dto</v>
      </c>
      <c r="G14" s="178">
        <f t="shared" si="5"/>
        <v>1</v>
      </c>
      <c r="H14" s="263" t="s">
        <v>2118</v>
      </c>
      <c r="I14" s="263" t="s">
        <v>5435</v>
      </c>
      <c r="J14" s="436" t="s">
        <v>5840</v>
      </c>
      <c r="K14" s="263" t="s">
        <v>2118</v>
      </c>
      <c r="L14" s="178" t="str">
        <f t="shared" si="1"/>
        <v>A2007</v>
      </c>
      <c r="M14" s="178" t="str">
        <f t="shared" si="2"/>
        <v>현재일자기준대출심사모형사전조회출력Dto</v>
      </c>
      <c r="N14" s="178">
        <f t="shared" si="3"/>
        <v>1</v>
      </c>
    </row>
    <row r="15" spans="1:14">
      <c r="A15" s="178" t="s">
        <v>2124</v>
      </c>
      <c r="B15" s="263" t="s">
        <v>5435</v>
      </c>
      <c r="C15" s="436" t="s">
        <v>3591</v>
      </c>
      <c r="D15" s="178" t="s">
        <v>2124</v>
      </c>
      <c r="E15" s="178" t="str">
        <f t="shared" si="0"/>
        <v>A1005</v>
      </c>
      <c r="F15" s="178" t="str">
        <f t="shared" si="4"/>
        <v>현재일자기준대출심사모형사전조회출력Dto</v>
      </c>
      <c r="G15" s="178">
        <f t="shared" si="5"/>
        <v>1</v>
      </c>
      <c r="H15" s="263" t="s">
        <v>2575</v>
      </c>
      <c r="I15" s="263" t="s">
        <v>5435</v>
      </c>
      <c r="J15" s="436" t="s">
        <v>5841</v>
      </c>
      <c r="K15" s="263" t="s">
        <v>2575</v>
      </c>
      <c r="L15" s="178" t="str">
        <f t="shared" si="1"/>
        <v>A2008</v>
      </c>
      <c r="M15" s="178" t="str">
        <f t="shared" si="2"/>
        <v>현재일자기준대출심사모형사전조회출력Dto</v>
      </c>
      <c r="N15" s="178">
        <f t="shared" si="3"/>
        <v>1</v>
      </c>
    </row>
    <row r="16" spans="1:14">
      <c r="A16" s="178" t="s">
        <v>2125</v>
      </c>
      <c r="B16" s="263" t="s">
        <v>5435</v>
      </c>
      <c r="C16" s="436" t="s">
        <v>3592</v>
      </c>
      <c r="D16" s="178" t="s">
        <v>2125</v>
      </c>
      <c r="E16" s="178" t="str">
        <f t="shared" si="0"/>
        <v>A1006</v>
      </c>
      <c r="F16" s="178" t="str">
        <f t="shared" si="4"/>
        <v>현재일자기준대출심사모형사전조회출력Dto</v>
      </c>
      <c r="G16" s="178">
        <f t="shared" si="5"/>
        <v>1</v>
      </c>
      <c r="H16" s="263" t="s">
        <v>2576</v>
      </c>
      <c r="I16" s="263" t="s">
        <v>5435</v>
      </c>
      <c r="J16" s="436" t="s">
        <v>5842</v>
      </c>
      <c r="K16" s="263" t="s">
        <v>2576</v>
      </c>
      <c r="L16" s="178" t="str">
        <f t="shared" si="1"/>
        <v>A2009</v>
      </c>
      <c r="M16" s="178" t="str">
        <f t="shared" si="2"/>
        <v>현재일자기준대출심사모형사전조회출력Dto</v>
      </c>
      <c r="N16" s="178">
        <f t="shared" si="3"/>
        <v>1</v>
      </c>
    </row>
    <row r="17" spans="1:14">
      <c r="A17" s="178" t="s">
        <v>2126</v>
      </c>
      <c r="B17" s="263" t="s">
        <v>5435</v>
      </c>
      <c r="C17" s="436" t="s">
        <v>3593</v>
      </c>
      <c r="D17" s="178" t="s">
        <v>2126</v>
      </c>
      <c r="E17" s="178" t="str">
        <f t="shared" si="0"/>
        <v>A1007</v>
      </c>
      <c r="F17" s="178" t="str">
        <f t="shared" si="4"/>
        <v>현재일자기준대출심사모형사전조회출력Dto</v>
      </c>
      <c r="G17" s="178">
        <f t="shared" si="5"/>
        <v>1</v>
      </c>
      <c r="H17" s="263" t="s">
        <v>2577</v>
      </c>
      <c r="I17" s="263" t="s">
        <v>5435</v>
      </c>
      <c r="J17" s="436" t="s">
        <v>5843</v>
      </c>
      <c r="K17" s="263" t="s">
        <v>2577</v>
      </c>
      <c r="L17" s="178" t="str">
        <f t="shared" si="1"/>
        <v>A2010</v>
      </c>
      <c r="M17" s="178" t="str">
        <f t="shared" si="2"/>
        <v>현재일자기준대출심사모형사전조회출력Dto</v>
      </c>
      <c r="N17" s="178">
        <f t="shared" si="3"/>
        <v>1</v>
      </c>
    </row>
    <row r="18" spans="1:14">
      <c r="A18" s="178" t="s">
        <v>2127</v>
      </c>
      <c r="B18" s="263" t="s">
        <v>5435</v>
      </c>
      <c r="C18" s="436" t="s">
        <v>3594</v>
      </c>
      <c r="D18" s="178" t="s">
        <v>2127</v>
      </c>
      <c r="E18" s="178" t="str">
        <f t="shared" si="0"/>
        <v>A1008</v>
      </c>
      <c r="F18" s="178" t="str">
        <f t="shared" si="4"/>
        <v>현재일자기준대출심사모형사전조회출력Dto</v>
      </c>
      <c r="G18" s="178">
        <f t="shared" si="5"/>
        <v>1</v>
      </c>
      <c r="H18" s="263" t="s">
        <v>2578</v>
      </c>
      <c r="I18" s="263" t="s">
        <v>5435</v>
      </c>
      <c r="J18" s="436" t="s">
        <v>5844</v>
      </c>
      <c r="K18" s="263" t="s">
        <v>2578</v>
      </c>
      <c r="L18" s="178" t="str">
        <f t="shared" si="1"/>
        <v>A2011</v>
      </c>
      <c r="M18" s="178" t="str">
        <f t="shared" si="2"/>
        <v>현재일자기준대출심사모형사전조회출력Dto</v>
      </c>
      <c r="N18" s="178">
        <f t="shared" si="3"/>
        <v>1</v>
      </c>
    </row>
    <row r="19" spans="1:14">
      <c r="A19" s="178" t="s">
        <v>2128</v>
      </c>
      <c r="B19" s="263" t="s">
        <v>5435</v>
      </c>
      <c r="C19" s="436" t="s">
        <v>5844</v>
      </c>
      <c r="D19" s="178" t="s">
        <v>2128</v>
      </c>
      <c r="E19" s="178" t="str">
        <f t="shared" si="0"/>
        <v>A1009</v>
      </c>
      <c r="F19" s="178" t="str">
        <f t="shared" si="4"/>
        <v>현재일자기준대출심사모형사전조회출력Dto</v>
      </c>
      <c r="G19" s="178">
        <f t="shared" si="5"/>
        <v>1</v>
      </c>
      <c r="H19" s="263" t="s">
        <v>2579</v>
      </c>
      <c r="I19" s="263" t="s">
        <v>5435</v>
      </c>
      <c r="J19" s="436" t="s">
        <v>5836</v>
      </c>
      <c r="K19" s="263" t="s">
        <v>2579</v>
      </c>
      <c r="L19" s="178" t="str">
        <f t="shared" si="1"/>
        <v>A2012</v>
      </c>
      <c r="M19" s="178" t="str">
        <f t="shared" si="2"/>
        <v>현재일자기준대출심사모형사전조회출력Dto</v>
      </c>
      <c r="N19" s="178">
        <f t="shared" si="3"/>
        <v>1</v>
      </c>
    </row>
    <row r="20" spans="1:14">
      <c r="A20" s="178" t="s">
        <v>2129</v>
      </c>
      <c r="B20" s="263" t="s">
        <v>5435</v>
      </c>
      <c r="C20" s="436" t="s">
        <v>5836</v>
      </c>
      <c r="D20" s="178" t="s">
        <v>2129</v>
      </c>
      <c r="E20" s="178" t="str">
        <f t="shared" si="0"/>
        <v>A1010</v>
      </c>
      <c r="F20" s="178" t="str">
        <f t="shared" si="4"/>
        <v>현재일자기준대출심사모형사전조회출력Dto</v>
      </c>
      <c r="G20" s="178">
        <f t="shared" si="5"/>
        <v>1</v>
      </c>
      <c r="H20" s="263" t="s">
        <v>2580</v>
      </c>
      <c r="I20" s="263" t="s">
        <v>5435</v>
      </c>
      <c r="J20" s="436" t="s">
        <v>5837</v>
      </c>
      <c r="K20" s="263" t="s">
        <v>2580</v>
      </c>
      <c r="L20" s="178" t="str">
        <f t="shared" si="1"/>
        <v>A2013</v>
      </c>
      <c r="M20" s="178" t="str">
        <f t="shared" si="2"/>
        <v>현재일자기준대출심사모형사전조회출력Dto</v>
      </c>
      <c r="N20" s="178">
        <f t="shared" si="3"/>
        <v>1</v>
      </c>
    </row>
    <row r="21" spans="1:14">
      <c r="A21" s="178" t="s">
        <v>2130</v>
      </c>
      <c r="B21" s="263" t="s">
        <v>5435</v>
      </c>
      <c r="C21" s="436" t="s">
        <v>5837</v>
      </c>
      <c r="D21" s="178" t="s">
        <v>2130</v>
      </c>
      <c r="E21" s="178" t="str">
        <f t="shared" si="0"/>
        <v>A1011</v>
      </c>
      <c r="F21" s="178" t="str">
        <f t="shared" si="4"/>
        <v>현재일자기준대출심사모형사전조회출력Dto</v>
      </c>
      <c r="G21" s="178">
        <f t="shared" si="5"/>
        <v>1</v>
      </c>
      <c r="H21" s="263" t="s">
        <v>2581</v>
      </c>
      <c r="I21" s="263" t="s">
        <v>5435</v>
      </c>
      <c r="J21" s="436" t="s">
        <v>174</v>
      </c>
      <c r="K21" s="263" t="s">
        <v>2581</v>
      </c>
      <c r="L21" s="178" t="str">
        <f t="shared" si="1"/>
        <v>A2020</v>
      </c>
      <c r="M21" s="178" t="str">
        <f t="shared" si="2"/>
        <v>현재일자기준대출심사모형사전조회출력Dto</v>
      </c>
      <c r="N21" s="178">
        <f t="shared" si="3"/>
        <v>1</v>
      </c>
    </row>
    <row r="22" spans="1:14">
      <c r="A22" s="178" t="s">
        <v>2138</v>
      </c>
      <c r="B22" s="178" t="s">
        <v>5435</v>
      </c>
      <c r="C22" s="178" t="s">
        <v>177</v>
      </c>
      <c r="D22" s="178" t="s">
        <v>2138</v>
      </c>
      <c r="E22" s="178" t="str">
        <f t="shared" si="0"/>
        <v>A1019</v>
      </c>
      <c r="F22" s="178" t="str">
        <f t="shared" si="4"/>
        <v>현재일자기준대출심사모형사전조회출력Dto</v>
      </c>
      <c r="G22" s="178">
        <f t="shared" si="5"/>
        <v>1</v>
      </c>
      <c r="H22" s="263" t="s">
        <v>2582</v>
      </c>
      <c r="I22" s="263" t="s">
        <v>5435</v>
      </c>
      <c r="J22" s="436" t="s">
        <v>173</v>
      </c>
      <c r="K22" s="263" t="s">
        <v>2582</v>
      </c>
      <c r="L22" s="178" t="str">
        <f t="shared" si="1"/>
        <v>A2021</v>
      </c>
      <c r="M22" s="178" t="str">
        <f t="shared" si="2"/>
        <v>현재일자기준대출심사모형사전조회출력Dto</v>
      </c>
      <c r="N22" s="178">
        <f t="shared" si="3"/>
        <v>1</v>
      </c>
    </row>
    <row r="23" spans="1:14">
      <c r="A23" s="178" t="s">
        <v>2139</v>
      </c>
      <c r="B23" s="178" t="s">
        <v>5435</v>
      </c>
      <c r="C23" s="178" t="s">
        <v>178</v>
      </c>
      <c r="D23" s="178" t="s">
        <v>2139</v>
      </c>
      <c r="E23" s="178" t="str">
        <f t="shared" si="0"/>
        <v>A1020</v>
      </c>
      <c r="F23" s="178" t="str">
        <f t="shared" si="4"/>
        <v>현재일자기준대출심사모형사전조회출력Dto</v>
      </c>
      <c r="G23" s="178">
        <f t="shared" si="5"/>
        <v>1</v>
      </c>
      <c r="H23" s="263" t="s">
        <v>2583</v>
      </c>
      <c r="I23" s="263" t="s">
        <v>5435</v>
      </c>
      <c r="J23" s="263" t="s">
        <v>175</v>
      </c>
      <c r="K23" s="263" t="s">
        <v>2583</v>
      </c>
      <c r="L23" s="178" t="str">
        <f t="shared" si="1"/>
        <v>A2022</v>
      </c>
      <c r="M23" s="178" t="str">
        <f t="shared" si="2"/>
        <v>현재일자기준대출심사모형사전조회출력Dto</v>
      </c>
      <c r="N23" s="178">
        <f t="shared" si="3"/>
        <v>1</v>
      </c>
    </row>
    <row r="24" spans="1:14">
      <c r="A24" s="178" t="s">
        <v>2140</v>
      </c>
      <c r="B24" s="178" t="s">
        <v>5435</v>
      </c>
      <c r="C24" s="178" t="s">
        <v>179</v>
      </c>
      <c r="D24" s="178" t="s">
        <v>2140</v>
      </c>
      <c r="E24" s="178" t="str">
        <f t="shared" si="0"/>
        <v>A1021</v>
      </c>
      <c r="F24" s="178" t="str">
        <f t="shared" si="4"/>
        <v>현재일자기준대출심사모형사전조회출력Dto</v>
      </c>
      <c r="G24" s="178">
        <f t="shared" si="5"/>
        <v>1</v>
      </c>
      <c r="H24" s="263" t="s">
        <v>2584</v>
      </c>
      <c r="I24" s="263" t="s">
        <v>5435</v>
      </c>
      <c r="J24" s="263" t="s">
        <v>176</v>
      </c>
      <c r="K24" s="263" t="s">
        <v>2584</v>
      </c>
      <c r="L24" s="178" t="str">
        <f t="shared" si="1"/>
        <v>A2023</v>
      </c>
      <c r="M24" s="178" t="str">
        <f t="shared" si="2"/>
        <v>현재일자기준대출심사모형사전조회출력Dto</v>
      </c>
      <c r="N24" s="178">
        <f t="shared" si="3"/>
        <v>1</v>
      </c>
    </row>
    <row r="25" spans="1:14">
      <c r="A25" s="178" t="s">
        <v>2141</v>
      </c>
      <c r="B25" s="178" t="s">
        <v>5435</v>
      </c>
      <c r="C25" s="178" t="s">
        <v>180</v>
      </c>
      <c r="D25" s="178" t="s">
        <v>2141</v>
      </c>
      <c r="E25" s="178" t="str">
        <f t="shared" si="0"/>
        <v>A1022</v>
      </c>
      <c r="F25" s="178" t="str">
        <f t="shared" si="4"/>
        <v>현재일자기준대출심사모형사전조회출력Dto</v>
      </c>
      <c r="G25" s="178">
        <f t="shared" si="5"/>
        <v>1</v>
      </c>
      <c r="H25" s="263" t="s">
        <v>2585</v>
      </c>
      <c r="I25" s="263" t="s">
        <v>5435</v>
      </c>
      <c r="J25" s="263" t="s">
        <v>181</v>
      </c>
      <c r="K25" s="263" t="s">
        <v>2585</v>
      </c>
      <c r="L25" s="178" t="str">
        <f t="shared" si="1"/>
        <v>A2024</v>
      </c>
      <c r="M25" s="178" t="str">
        <f t="shared" si="2"/>
        <v>현재일자기준대출심사모형사전조회출력Dto</v>
      </c>
      <c r="N25" s="178">
        <f t="shared" si="3"/>
        <v>1</v>
      </c>
    </row>
    <row r="26" spans="1:14">
      <c r="A26" s="178" t="s">
        <v>2142</v>
      </c>
      <c r="B26" s="178" t="s">
        <v>5435</v>
      </c>
      <c r="C26" s="178" t="s">
        <v>3080</v>
      </c>
      <c r="D26" s="178" t="s">
        <v>2142</v>
      </c>
      <c r="E26" s="178" t="str">
        <f t="shared" si="0"/>
        <v>A1023</v>
      </c>
      <c r="F26" s="178" t="str">
        <f t="shared" si="4"/>
        <v>현재일자기준대출심사모형사전조회출력Dto</v>
      </c>
      <c r="G26" s="178">
        <f t="shared" si="5"/>
        <v>1</v>
      </c>
      <c r="H26" s="263" t="s">
        <v>2586</v>
      </c>
      <c r="I26" s="263" t="s">
        <v>5435</v>
      </c>
      <c r="J26" s="263" t="s">
        <v>1316</v>
      </c>
      <c r="K26" s="263" t="s">
        <v>2586</v>
      </c>
      <c r="L26" s="178" t="e">
        <f t="shared" si="1"/>
        <v>#N/A</v>
      </c>
      <c r="M26" s="178" t="e">
        <f t="shared" si="2"/>
        <v>#N/A</v>
      </c>
      <c r="N26" s="178" t="e">
        <f t="shared" si="3"/>
        <v>#N/A</v>
      </c>
    </row>
    <row r="27" spans="1:14">
      <c r="A27" s="178" t="s">
        <v>2144</v>
      </c>
      <c r="B27" s="178" t="s">
        <v>5435</v>
      </c>
      <c r="C27" s="178" t="s">
        <v>5845</v>
      </c>
      <c r="D27" s="178" t="s">
        <v>2144</v>
      </c>
      <c r="E27" s="178" t="str">
        <f t="shared" si="0"/>
        <v>A1025</v>
      </c>
      <c r="F27" s="178" t="str">
        <f t="shared" si="4"/>
        <v>현재일자기준대출심사모형사전조회출력Dto</v>
      </c>
      <c r="G27" s="178">
        <f t="shared" si="5"/>
        <v>1</v>
      </c>
      <c r="H27" s="263" t="s">
        <v>2587</v>
      </c>
      <c r="I27" s="263" t="s">
        <v>5435</v>
      </c>
      <c r="J27" s="263" t="s">
        <v>1317</v>
      </c>
      <c r="K27" s="263" t="s">
        <v>2587</v>
      </c>
      <c r="L27" s="178" t="str">
        <f t="shared" si="1"/>
        <v>A2026</v>
      </c>
      <c r="M27" s="178" t="str">
        <f t="shared" si="2"/>
        <v>현재일자기준대출심사모형사전조회출력Dto</v>
      </c>
      <c r="N27" s="178">
        <f t="shared" si="3"/>
        <v>1</v>
      </c>
    </row>
    <row r="28" spans="1:14">
      <c r="A28" s="178" t="s">
        <v>2131</v>
      </c>
      <c r="B28" s="178" t="s">
        <v>5435</v>
      </c>
      <c r="C28" s="178" t="s">
        <v>174</v>
      </c>
      <c r="D28" s="178" t="s">
        <v>2131</v>
      </c>
      <c r="E28" s="178" t="str">
        <f t="shared" si="0"/>
        <v>A1012</v>
      </c>
      <c r="F28" s="178" t="str">
        <f t="shared" si="4"/>
        <v>현재일자기준대출심사모형사전조회출력Dto</v>
      </c>
      <c r="G28" s="178">
        <f t="shared" si="5"/>
        <v>1</v>
      </c>
      <c r="H28" s="263" t="s">
        <v>2588</v>
      </c>
      <c r="I28" s="263" t="s">
        <v>5435</v>
      </c>
      <c r="J28" s="263" t="s">
        <v>177</v>
      </c>
      <c r="K28" s="263" t="s">
        <v>2588</v>
      </c>
      <c r="L28" s="178" t="str">
        <f t="shared" si="1"/>
        <v>A2014</v>
      </c>
      <c r="M28" s="178" t="str">
        <f t="shared" si="2"/>
        <v>현재일자기준대출심사모형사전조회출력Dto</v>
      </c>
      <c r="N28" s="178">
        <f t="shared" si="3"/>
        <v>1</v>
      </c>
    </row>
    <row r="29" spans="1:14">
      <c r="A29" s="178" t="s">
        <v>2132</v>
      </c>
      <c r="B29" s="178" t="s">
        <v>5435</v>
      </c>
      <c r="C29" s="178" t="s">
        <v>173</v>
      </c>
      <c r="D29" s="178" t="s">
        <v>2132</v>
      </c>
      <c r="E29" s="178" t="str">
        <f t="shared" si="0"/>
        <v>A1013</v>
      </c>
      <c r="F29" s="178" t="str">
        <f t="shared" si="4"/>
        <v>현재일자기준대출심사모형사전조회출력Dto</v>
      </c>
      <c r="G29" s="178">
        <f t="shared" si="5"/>
        <v>1</v>
      </c>
      <c r="H29" s="263" t="s">
        <v>2589</v>
      </c>
      <c r="I29" s="263" t="s">
        <v>5435</v>
      </c>
      <c r="J29" s="263" t="s">
        <v>178</v>
      </c>
      <c r="K29" s="263" t="s">
        <v>2589</v>
      </c>
      <c r="L29" s="178" t="str">
        <f t="shared" si="1"/>
        <v>A2015</v>
      </c>
      <c r="M29" s="178" t="str">
        <f t="shared" si="2"/>
        <v>현재일자기준대출심사모형사전조회출력Dto</v>
      </c>
      <c r="N29" s="178">
        <f t="shared" si="3"/>
        <v>1</v>
      </c>
    </row>
    <row r="30" spans="1:14">
      <c r="A30" s="178" t="s">
        <v>2133</v>
      </c>
      <c r="B30" s="178" t="s">
        <v>5435</v>
      </c>
      <c r="C30" s="178" t="s">
        <v>175</v>
      </c>
      <c r="D30" s="178" t="s">
        <v>2133</v>
      </c>
      <c r="E30" s="178" t="str">
        <f t="shared" si="0"/>
        <v>A1014</v>
      </c>
      <c r="F30" s="178" t="str">
        <f t="shared" si="4"/>
        <v>현재일자기준대출심사모형사전조회출력Dto</v>
      </c>
      <c r="G30" s="178">
        <f t="shared" si="5"/>
        <v>1</v>
      </c>
      <c r="H30" s="263" t="s">
        <v>2590</v>
      </c>
      <c r="I30" s="263" t="s">
        <v>5435</v>
      </c>
      <c r="J30" s="263" t="s">
        <v>179</v>
      </c>
      <c r="K30" s="263" t="s">
        <v>2590</v>
      </c>
      <c r="L30" s="178" t="str">
        <f t="shared" si="1"/>
        <v>A2016</v>
      </c>
      <c r="M30" s="178" t="str">
        <f t="shared" si="2"/>
        <v>현재일자기준대출심사모형사전조회출력Dto</v>
      </c>
      <c r="N30" s="178">
        <f t="shared" si="3"/>
        <v>1</v>
      </c>
    </row>
    <row r="31" spans="1:14">
      <c r="A31" s="178" t="s">
        <v>2134</v>
      </c>
      <c r="B31" s="178" t="s">
        <v>5435</v>
      </c>
      <c r="C31" s="178" t="s">
        <v>176</v>
      </c>
      <c r="D31" s="178" t="s">
        <v>2134</v>
      </c>
      <c r="E31" s="178" t="str">
        <f t="shared" si="0"/>
        <v>A1015</v>
      </c>
      <c r="F31" s="178" t="str">
        <f t="shared" si="4"/>
        <v>현재일자기준대출심사모형사전조회출력Dto</v>
      </c>
      <c r="G31" s="178">
        <f t="shared" si="5"/>
        <v>1</v>
      </c>
      <c r="H31" s="263" t="s">
        <v>2591</v>
      </c>
      <c r="I31" s="263" t="s">
        <v>5435</v>
      </c>
      <c r="J31" s="263" t="s">
        <v>180</v>
      </c>
      <c r="K31" s="263" t="s">
        <v>2591</v>
      </c>
      <c r="L31" s="178" t="str">
        <f t="shared" si="1"/>
        <v>A2017</v>
      </c>
      <c r="M31" s="178" t="str">
        <f t="shared" si="2"/>
        <v>현재일자기준대출심사모형사전조회출력Dto</v>
      </c>
      <c r="N31" s="178">
        <f t="shared" si="3"/>
        <v>1</v>
      </c>
    </row>
    <row r="32" spans="1:14">
      <c r="A32" s="178" t="s">
        <v>2135</v>
      </c>
      <c r="B32" s="178" t="s">
        <v>5435</v>
      </c>
      <c r="C32" s="178" t="s">
        <v>181</v>
      </c>
      <c r="D32" s="178" t="s">
        <v>2135</v>
      </c>
      <c r="E32" s="178" t="str">
        <f t="shared" si="0"/>
        <v>A1016</v>
      </c>
      <c r="F32" s="178" t="str">
        <f t="shared" si="4"/>
        <v>현재일자기준대출심사모형사전조회출력Dto</v>
      </c>
      <c r="G32" s="178">
        <f t="shared" si="5"/>
        <v>1</v>
      </c>
      <c r="H32" s="263" t="s">
        <v>2592</v>
      </c>
      <c r="I32" s="263" t="s">
        <v>5435</v>
      </c>
      <c r="J32" s="263" t="s">
        <v>3080</v>
      </c>
      <c r="K32" s="263" t="s">
        <v>2592</v>
      </c>
      <c r="L32" s="178" t="str">
        <f t="shared" si="1"/>
        <v>A2018</v>
      </c>
      <c r="M32" s="178" t="str">
        <f t="shared" si="2"/>
        <v>현재일자기준대출심사모형사전조회출력Dto</v>
      </c>
      <c r="N32" s="178">
        <f t="shared" si="3"/>
        <v>1</v>
      </c>
    </row>
    <row r="33" spans="1:14">
      <c r="A33" s="181" t="s">
        <v>2136</v>
      </c>
      <c r="B33" s="181" t="s">
        <v>3081</v>
      </c>
      <c r="C33" s="181" t="s">
        <v>3081</v>
      </c>
      <c r="D33" s="181" t="s">
        <v>2136</v>
      </c>
      <c r="E33" s="178" t="e">
        <f t="shared" si="0"/>
        <v>#N/A</v>
      </c>
      <c r="F33" s="178" t="e">
        <f t="shared" si="4"/>
        <v>#N/A</v>
      </c>
      <c r="G33" s="178" t="e">
        <f t="shared" si="5"/>
        <v>#N/A</v>
      </c>
      <c r="H33" s="263" t="s">
        <v>2593</v>
      </c>
      <c r="I33" s="263" t="s">
        <v>5435</v>
      </c>
      <c r="J33" s="263" t="s">
        <v>3089</v>
      </c>
      <c r="K33" s="263" t="s">
        <v>2593</v>
      </c>
      <c r="L33" s="178" t="str">
        <f t="shared" si="1"/>
        <v>A2032</v>
      </c>
      <c r="M33" s="178" t="str">
        <f t="shared" si="2"/>
        <v>현재일자기준대출심사모형사전조회출력Dto</v>
      </c>
      <c r="N33" s="178">
        <f t="shared" si="3"/>
        <v>1</v>
      </c>
    </row>
    <row r="34" spans="1:14">
      <c r="A34" s="178" t="s">
        <v>2137</v>
      </c>
      <c r="B34" s="178" t="s">
        <v>5435</v>
      </c>
      <c r="C34" s="178" t="s">
        <v>1317</v>
      </c>
      <c r="D34" s="178" t="s">
        <v>2137</v>
      </c>
      <c r="E34" s="178" t="str">
        <f t="shared" si="0"/>
        <v>A1018</v>
      </c>
      <c r="F34" s="178" t="str">
        <f t="shared" si="4"/>
        <v>현재일자기준대출심사모형사전조회출력Dto</v>
      </c>
      <c r="G34" s="178">
        <f t="shared" si="5"/>
        <v>1</v>
      </c>
      <c r="H34" s="263" t="s">
        <v>2594</v>
      </c>
      <c r="I34" s="263" t="s">
        <v>5435</v>
      </c>
      <c r="J34" s="263" t="s">
        <v>5845</v>
      </c>
      <c r="K34" s="263" t="s">
        <v>2594</v>
      </c>
      <c r="L34" s="178" t="str">
        <f t="shared" si="1"/>
        <v>A2019</v>
      </c>
      <c r="M34" s="178" t="str">
        <f t="shared" si="2"/>
        <v>현재일자기준대출심사모형사전조회출력Dto</v>
      </c>
      <c r="N34" s="178">
        <f t="shared" si="3"/>
        <v>1</v>
      </c>
    </row>
    <row r="35" spans="1:14">
      <c r="A35" s="178" t="s">
        <v>2145</v>
      </c>
      <c r="B35" s="178" t="s">
        <v>5435</v>
      </c>
      <c r="C35" s="178" t="s">
        <v>5846</v>
      </c>
      <c r="D35" s="178" t="s">
        <v>2145</v>
      </c>
      <c r="E35" s="178" t="str">
        <f t="shared" si="0"/>
        <v>A1026</v>
      </c>
      <c r="F35" s="178" t="str">
        <f t="shared" si="4"/>
        <v>현재일자기준대출심사모형사전조회출력Dto</v>
      </c>
      <c r="G35" s="178">
        <f t="shared" si="5"/>
        <v>1</v>
      </c>
      <c r="H35" s="263" t="s">
        <v>2595</v>
      </c>
      <c r="I35" s="263" t="s">
        <v>5435</v>
      </c>
      <c r="J35" s="263" t="s">
        <v>5846</v>
      </c>
      <c r="K35" s="263" t="s">
        <v>2595</v>
      </c>
      <c r="L35" s="178" t="str">
        <f t="shared" si="1"/>
        <v>A2027</v>
      </c>
      <c r="M35" s="178" t="str">
        <f t="shared" si="2"/>
        <v>현재일자기준대출심사모형사전조회출력Dto</v>
      </c>
      <c r="N35" s="178">
        <f t="shared" si="3"/>
        <v>1</v>
      </c>
    </row>
    <row r="36" spans="1:14">
      <c r="A36" s="178" t="s">
        <v>2146</v>
      </c>
      <c r="B36" s="178" t="s">
        <v>5435</v>
      </c>
      <c r="C36" s="178" t="s">
        <v>3086</v>
      </c>
      <c r="D36" s="178" t="s">
        <v>2146</v>
      </c>
      <c r="E36" s="178" t="str">
        <f t="shared" si="0"/>
        <v>A1027</v>
      </c>
      <c r="F36" s="178" t="str">
        <f t="shared" si="4"/>
        <v>현재일자기준대출심사모형사전조회출력Dto</v>
      </c>
      <c r="G36" s="178">
        <f t="shared" si="5"/>
        <v>1</v>
      </c>
      <c r="H36" s="263" t="s">
        <v>2596</v>
      </c>
      <c r="I36" s="263" t="s">
        <v>5435</v>
      </c>
      <c r="J36" s="263" t="s">
        <v>3086</v>
      </c>
      <c r="K36" s="263" t="s">
        <v>2596</v>
      </c>
      <c r="L36" s="178" t="str">
        <f t="shared" si="1"/>
        <v>A2028</v>
      </c>
      <c r="M36" s="178" t="str">
        <f t="shared" si="2"/>
        <v>현재일자기준대출심사모형사전조회출력Dto</v>
      </c>
      <c r="N36" s="178">
        <f t="shared" si="3"/>
        <v>1</v>
      </c>
    </row>
    <row r="37" spans="1:14">
      <c r="A37" s="178" t="s">
        <v>2147</v>
      </c>
      <c r="B37" s="178" t="s">
        <v>5435</v>
      </c>
      <c r="C37" s="178" t="s">
        <v>3087</v>
      </c>
      <c r="D37" s="178" t="s">
        <v>2147</v>
      </c>
      <c r="E37" s="178" t="str">
        <f t="shared" si="0"/>
        <v>A1028</v>
      </c>
      <c r="F37" s="178" t="str">
        <f t="shared" si="4"/>
        <v>현재일자기준대출심사모형사전조회출력Dto</v>
      </c>
      <c r="G37" s="178">
        <f t="shared" si="5"/>
        <v>1</v>
      </c>
      <c r="H37" s="263" t="s">
        <v>2597</v>
      </c>
      <c r="I37" s="263" t="s">
        <v>5435</v>
      </c>
      <c r="J37" s="263" t="s">
        <v>3087</v>
      </c>
      <c r="K37" s="263" t="s">
        <v>2597</v>
      </c>
      <c r="L37" s="178" t="str">
        <f t="shared" si="1"/>
        <v>A2029</v>
      </c>
      <c r="M37" s="178" t="str">
        <f t="shared" si="2"/>
        <v>현재일자기준대출심사모형사전조회출력Dto</v>
      </c>
      <c r="N37" s="178">
        <f t="shared" si="3"/>
        <v>1</v>
      </c>
    </row>
    <row r="38" spans="1:14">
      <c r="A38" s="178" t="s">
        <v>2143</v>
      </c>
      <c r="B38" s="178" t="s">
        <v>5435</v>
      </c>
      <c r="C38" s="178" t="s">
        <v>1326</v>
      </c>
      <c r="D38" s="178" t="s">
        <v>2143</v>
      </c>
      <c r="E38" s="178" t="str">
        <f t="shared" si="0"/>
        <v>A1029</v>
      </c>
      <c r="F38" s="178" t="str">
        <f t="shared" si="4"/>
        <v>현재일자기준대출심사모형사전조회출력Dto</v>
      </c>
      <c r="G38" s="178">
        <f t="shared" si="5"/>
        <v>1</v>
      </c>
      <c r="H38" s="263" t="s">
        <v>2598</v>
      </c>
      <c r="I38" s="263" t="s">
        <v>5435</v>
      </c>
      <c r="J38" s="263" t="s">
        <v>1326</v>
      </c>
      <c r="K38" s="263" t="s">
        <v>2598</v>
      </c>
      <c r="L38" s="178" t="str">
        <f t="shared" si="1"/>
        <v>A2030</v>
      </c>
      <c r="M38" s="178" t="str">
        <f t="shared" si="2"/>
        <v>현재일자기준대출심사모형사전조회출력Dto</v>
      </c>
      <c r="N38" s="178">
        <f t="shared" si="3"/>
        <v>1</v>
      </c>
    </row>
    <row r="39" spans="1:14">
      <c r="A39" s="178" t="s">
        <v>2148</v>
      </c>
      <c r="B39" s="263" t="s">
        <v>5435</v>
      </c>
      <c r="C39" s="178" t="s">
        <v>739</v>
      </c>
      <c r="D39" s="178" t="s">
        <v>2148</v>
      </c>
      <c r="E39" s="178" t="str">
        <f t="shared" si="0"/>
        <v>A1030</v>
      </c>
      <c r="F39" s="178" t="str">
        <f t="shared" si="4"/>
        <v>현재일자기준대출심사모형사전조회출력Dto</v>
      </c>
      <c r="G39" s="178">
        <f t="shared" si="5"/>
        <v>1</v>
      </c>
      <c r="H39" s="263" t="s">
        <v>2599</v>
      </c>
      <c r="I39" s="263" t="s">
        <v>5435</v>
      </c>
      <c r="J39" s="263" t="s">
        <v>739</v>
      </c>
      <c r="K39" s="263" t="s">
        <v>2599</v>
      </c>
      <c r="L39" s="178" t="str">
        <f t="shared" si="1"/>
        <v>A2031</v>
      </c>
      <c r="M39" s="178" t="str">
        <f t="shared" si="2"/>
        <v>현재일자기준대출심사모형사전조회출력Dto</v>
      </c>
      <c r="N39" s="178">
        <f t="shared" si="3"/>
        <v>1</v>
      </c>
    </row>
    <row r="40" spans="1:14">
      <c r="A40" s="178" t="s">
        <v>2149</v>
      </c>
      <c r="B40" s="178" t="s">
        <v>5435</v>
      </c>
      <c r="C40" s="178" t="s">
        <v>3089</v>
      </c>
      <c r="D40" s="178" t="s">
        <v>2149</v>
      </c>
      <c r="E40" s="178" t="str">
        <f t="shared" si="0"/>
        <v>A1024</v>
      </c>
      <c r="F40" s="178" t="str">
        <f t="shared" si="4"/>
        <v>현재일자기준대출심사모형사전조회출력Dto</v>
      </c>
      <c r="G40" s="178">
        <f t="shared" si="5"/>
        <v>1</v>
      </c>
      <c r="H40" s="263" t="s">
        <v>2600</v>
      </c>
      <c r="I40" s="263" t="s">
        <v>5890</v>
      </c>
      <c r="J40" s="263" t="s">
        <v>5891</v>
      </c>
      <c r="K40" s="263" t="s">
        <v>2600</v>
      </c>
      <c r="L40" s="178" t="e">
        <f t="shared" si="1"/>
        <v>#N/A</v>
      </c>
      <c r="M40" s="178" t="e">
        <f t="shared" si="2"/>
        <v>#N/A</v>
      </c>
      <c r="N40" s="178" t="e">
        <f t="shared" si="3"/>
        <v>#N/A</v>
      </c>
    </row>
    <row r="41" spans="1:14">
      <c r="A41" s="178" t="s">
        <v>2150</v>
      </c>
      <c r="B41" s="178" t="s">
        <v>5430</v>
      </c>
      <c r="C41" s="178" t="s">
        <v>651</v>
      </c>
      <c r="D41" s="178" t="s">
        <v>2150</v>
      </c>
      <c r="E41" s="178" t="str">
        <f t="shared" si="0"/>
        <v>A1034</v>
      </c>
      <c r="F41" s="178" t="str">
        <f t="shared" si="4"/>
        <v>i이지론플러스대출RCLIPS전문조립C</v>
      </c>
      <c r="G41" s="178">
        <f t="shared" si="5"/>
        <v>0</v>
      </c>
      <c r="H41" s="263" t="s">
        <v>2601</v>
      </c>
      <c r="I41" s="263" t="s">
        <v>5890</v>
      </c>
      <c r="J41" s="263" t="s">
        <v>5891</v>
      </c>
      <c r="K41" s="263" t="s">
        <v>2601</v>
      </c>
      <c r="L41" s="178" t="e">
        <f t="shared" si="1"/>
        <v>#N/A</v>
      </c>
      <c r="M41" s="178" t="e">
        <f t="shared" si="2"/>
        <v>#N/A</v>
      </c>
      <c r="N41" s="178" t="e">
        <f t="shared" si="3"/>
        <v>#N/A</v>
      </c>
    </row>
    <row r="42" spans="1:14">
      <c r="A42" s="178" t="s">
        <v>2151</v>
      </c>
      <c r="B42" s="178" t="s">
        <v>5430</v>
      </c>
      <c r="C42" s="178" t="s">
        <v>3062</v>
      </c>
      <c r="D42" s="178" t="s">
        <v>2151</v>
      </c>
      <c r="E42" s="178" t="str">
        <f t="shared" si="0"/>
        <v>A1035</v>
      </c>
      <c r="F42" s="178" t="str">
        <f t="shared" si="4"/>
        <v>i이지론플러스대출RCLIPS전문조립C</v>
      </c>
      <c r="G42" s="178">
        <f t="shared" si="5"/>
        <v>0</v>
      </c>
      <c r="H42" s="263" t="s">
        <v>2602</v>
      </c>
      <c r="I42" s="263"/>
      <c r="J42" s="263" t="s">
        <v>1328</v>
      </c>
      <c r="K42" s="263" t="s">
        <v>2602</v>
      </c>
      <c r="L42" s="178" t="e">
        <f t="shared" si="1"/>
        <v>#N/A</v>
      </c>
      <c r="M42" s="178" t="e">
        <f t="shared" si="2"/>
        <v>#N/A</v>
      </c>
      <c r="N42" s="178" t="e">
        <f t="shared" si="3"/>
        <v>#N/A</v>
      </c>
    </row>
    <row r="43" spans="1:14">
      <c r="A43" s="328" t="s">
        <v>2152</v>
      </c>
      <c r="B43" s="178" t="s">
        <v>5435</v>
      </c>
      <c r="C43" s="328" t="s">
        <v>3509</v>
      </c>
      <c r="D43" s="328" t="s">
        <v>2152</v>
      </c>
      <c r="E43" s="178" t="str">
        <f t="shared" si="0"/>
        <v>A2000</v>
      </c>
      <c r="F43" s="178" t="str">
        <f t="shared" si="4"/>
        <v>현재일자기준대출심사모형사전조회출력Dto</v>
      </c>
      <c r="G43" s="178">
        <f t="shared" si="5"/>
        <v>1</v>
      </c>
      <c r="H43" s="263" t="s">
        <v>2603</v>
      </c>
      <c r="I43" s="263" t="s">
        <v>5831</v>
      </c>
      <c r="J43" s="263" t="s">
        <v>741</v>
      </c>
      <c r="K43" s="263" t="s">
        <v>2603</v>
      </c>
      <c r="L43" s="178" t="str">
        <f t="shared" si="1"/>
        <v>A2033</v>
      </c>
      <c r="M43" s="178" t="str">
        <f t="shared" si="2"/>
        <v>i신용대출RCLIPS전문조립C</v>
      </c>
      <c r="N43" s="178">
        <f t="shared" si="3"/>
        <v>0</v>
      </c>
    </row>
    <row r="44" spans="1:14">
      <c r="A44" s="178" t="s">
        <v>2153</v>
      </c>
      <c r="B44" s="178" t="s">
        <v>5437</v>
      </c>
      <c r="C44" s="178" t="s">
        <v>5850</v>
      </c>
      <c r="D44" s="178" t="s">
        <v>2153</v>
      </c>
      <c r="E44" s="178" t="str">
        <f t="shared" si="0"/>
        <v>A1044</v>
      </c>
      <c r="F44" s="178" t="str">
        <f t="shared" si="4"/>
        <v>r스크래핑건강보험최종소득금액조회E</v>
      </c>
      <c r="G44" s="178">
        <f t="shared" si="5"/>
        <v>1</v>
      </c>
      <c r="H44" s="263" t="s">
        <v>2604</v>
      </c>
      <c r="I44" s="263" t="s">
        <v>5831</v>
      </c>
      <c r="J44" s="263" t="s">
        <v>3062</v>
      </c>
      <c r="K44" s="263" t="s">
        <v>2604</v>
      </c>
      <c r="L44" s="178" t="str">
        <f t="shared" si="1"/>
        <v>A2034</v>
      </c>
      <c r="M44" s="178" t="str">
        <f t="shared" si="2"/>
        <v>i신용대출RCLIPS전문조립C</v>
      </c>
      <c r="N44" s="178">
        <f t="shared" si="3"/>
        <v>0</v>
      </c>
    </row>
    <row r="45" spans="1:14">
      <c r="A45" s="178" t="s">
        <v>2154</v>
      </c>
      <c r="B45" s="349" t="s">
        <v>5848</v>
      </c>
      <c r="C45" s="349" t="s">
        <v>5849</v>
      </c>
      <c r="D45" s="178" t="s">
        <v>2154</v>
      </c>
      <c r="E45" s="178" t="str">
        <f t="shared" si="0"/>
        <v>A1043</v>
      </c>
      <c r="F45" s="178" t="str">
        <f t="shared" si="4"/>
        <v>r스크래핑국세청최종소득금액조회E</v>
      </c>
      <c r="G45" s="178">
        <f t="shared" si="5"/>
        <v>1</v>
      </c>
      <c r="H45" s="339" t="s">
        <v>3520</v>
      </c>
      <c r="I45" s="197" t="s">
        <v>5435</v>
      </c>
      <c r="J45" s="197" t="s">
        <v>296</v>
      </c>
      <c r="K45" s="339" t="s">
        <v>3520</v>
      </c>
      <c r="L45" s="178" t="e">
        <f t="shared" si="1"/>
        <v>#N/A</v>
      </c>
      <c r="M45" s="178" t="e">
        <f t="shared" si="2"/>
        <v>#N/A</v>
      </c>
      <c r="N45" s="178" t="e">
        <f t="shared" si="3"/>
        <v>#N/A</v>
      </c>
    </row>
    <row r="46" spans="1:14">
      <c r="A46" s="178" t="s">
        <v>2155</v>
      </c>
      <c r="B46" s="439" t="s">
        <v>5142</v>
      </c>
      <c r="C46" s="349" t="s">
        <v>3636</v>
      </c>
      <c r="D46" s="178" t="s">
        <v>2155</v>
      </c>
      <c r="E46" s="178" t="e">
        <f t="shared" si="0"/>
        <v>#N/A</v>
      </c>
      <c r="F46" s="178" t="e">
        <f t="shared" si="4"/>
        <v>#N/A</v>
      </c>
      <c r="G46" s="178" t="e">
        <f t="shared" si="5"/>
        <v>#N/A</v>
      </c>
      <c r="H46" s="339" t="s">
        <v>3527</v>
      </c>
      <c r="I46" s="197" t="s">
        <v>5435</v>
      </c>
      <c r="J46" s="197" t="s">
        <v>3532</v>
      </c>
      <c r="K46" s="339" t="s">
        <v>3527</v>
      </c>
      <c r="L46" s="178" t="e">
        <f t="shared" si="1"/>
        <v>#N/A</v>
      </c>
      <c r="M46" s="178" t="e">
        <f t="shared" si="2"/>
        <v>#N/A</v>
      </c>
      <c r="N46" s="178" t="e">
        <f t="shared" si="3"/>
        <v>#N/A</v>
      </c>
    </row>
    <row r="47" spans="1:14">
      <c r="A47" s="178" t="s">
        <v>3628</v>
      </c>
      <c r="B47" s="439" t="s">
        <v>5142</v>
      </c>
      <c r="C47" s="440" t="s">
        <v>3619</v>
      </c>
      <c r="D47" s="178" t="s">
        <v>3628</v>
      </c>
      <c r="E47" s="178" t="str">
        <f t="shared" si="0"/>
        <v>A7002</v>
      </c>
      <c r="F47" s="178" t="str">
        <f t="shared" si="4"/>
        <v>r한국신용정보대출현금서비스DSR정보조회C</v>
      </c>
      <c r="G47" s="178">
        <f t="shared" si="5"/>
        <v>1</v>
      </c>
      <c r="H47" s="339" t="s">
        <v>3528</v>
      </c>
      <c r="I47" s="197" t="s">
        <v>5435</v>
      </c>
      <c r="J47" s="197" t="s">
        <v>3533</v>
      </c>
      <c r="K47" s="339" t="s">
        <v>3528</v>
      </c>
      <c r="L47" s="178" t="e">
        <f t="shared" si="1"/>
        <v>#N/A</v>
      </c>
      <c r="M47" s="178" t="e">
        <f t="shared" si="2"/>
        <v>#N/A</v>
      </c>
      <c r="N47" s="178" t="e">
        <f t="shared" si="3"/>
        <v>#N/A</v>
      </c>
    </row>
    <row r="48" spans="1:14">
      <c r="A48" s="178" t="s">
        <v>2157</v>
      </c>
      <c r="B48" s="439" t="s">
        <v>5142</v>
      </c>
      <c r="C48" s="440" t="s">
        <v>5184</v>
      </c>
      <c r="D48" s="178" t="s">
        <v>2157</v>
      </c>
      <c r="E48" s="178" t="e">
        <f t="shared" si="0"/>
        <v>#N/A</v>
      </c>
      <c r="F48" s="178" t="e">
        <f t="shared" si="4"/>
        <v>#N/A</v>
      </c>
      <c r="G48" s="178" t="e">
        <f t="shared" si="5"/>
        <v>#N/A</v>
      </c>
      <c r="H48" s="339" t="s">
        <v>3529</v>
      </c>
      <c r="I48" s="197" t="s">
        <v>5435</v>
      </c>
      <c r="J48" s="197" t="s">
        <v>3534</v>
      </c>
      <c r="K48" s="339" t="s">
        <v>3529</v>
      </c>
      <c r="L48" s="178" t="e">
        <f t="shared" si="1"/>
        <v>#N/A</v>
      </c>
      <c r="M48" s="178" t="e">
        <f t="shared" si="2"/>
        <v>#N/A</v>
      </c>
      <c r="N48" s="178" t="e">
        <f t="shared" si="3"/>
        <v>#N/A</v>
      </c>
    </row>
    <row r="49" spans="1:14">
      <c r="A49" s="178" t="s">
        <v>2158</v>
      </c>
      <c r="B49" s="439" t="s">
        <v>5435</v>
      </c>
      <c r="C49" s="440" t="s">
        <v>5089</v>
      </c>
      <c r="D49" s="178" t="s">
        <v>2158</v>
      </c>
      <c r="E49" s="178" t="e">
        <f t="shared" si="0"/>
        <v>#N/A</v>
      </c>
      <c r="F49" s="178" t="e">
        <f t="shared" si="4"/>
        <v>#N/A</v>
      </c>
      <c r="G49" s="178" t="e">
        <f t="shared" si="5"/>
        <v>#N/A</v>
      </c>
      <c r="H49" s="339" t="s">
        <v>3530</v>
      </c>
      <c r="I49" s="197" t="s">
        <v>5435</v>
      </c>
      <c r="J49" s="197" t="s">
        <v>3535</v>
      </c>
      <c r="K49" s="339" t="s">
        <v>3530</v>
      </c>
      <c r="L49" s="178" t="e">
        <f t="shared" si="1"/>
        <v>#N/A</v>
      </c>
      <c r="M49" s="178" t="e">
        <f t="shared" si="2"/>
        <v>#N/A</v>
      </c>
      <c r="N49" s="178" t="e">
        <f t="shared" si="3"/>
        <v>#N/A</v>
      </c>
    </row>
    <row r="50" spans="1:14">
      <c r="A50" s="178" t="s">
        <v>2159</v>
      </c>
      <c r="B50" s="178" t="s">
        <v>5430</v>
      </c>
      <c r="C50" s="440" t="s">
        <v>5882</v>
      </c>
      <c r="D50" s="178" t="s">
        <v>2159</v>
      </c>
      <c r="E50" s="178" t="e">
        <f t="shared" si="0"/>
        <v>#N/A</v>
      </c>
      <c r="F50" s="178" t="e">
        <f t="shared" si="4"/>
        <v>#N/A</v>
      </c>
      <c r="G50" s="178" t="e">
        <f t="shared" si="5"/>
        <v>#N/A</v>
      </c>
      <c r="H50" s="339" t="s">
        <v>3531</v>
      </c>
      <c r="I50" s="197" t="s">
        <v>5435</v>
      </c>
      <c r="J50" s="197" t="s">
        <v>3536</v>
      </c>
      <c r="K50" s="339" t="s">
        <v>3531</v>
      </c>
      <c r="L50" s="178" t="e">
        <f t="shared" si="1"/>
        <v>#N/A</v>
      </c>
      <c r="M50" s="178" t="e">
        <f t="shared" si="2"/>
        <v>#N/A</v>
      </c>
      <c r="N50" s="178" t="e">
        <f t="shared" si="3"/>
        <v>#N/A</v>
      </c>
    </row>
    <row r="51" spans="1:14">
      <c r="A51" s="178" t="s">
        <v>2607</v>
      </c>
      <c r="B51" s="439" t="s">
        <v>5438</v>
      </c>
      <c r="C51" s="440" t="s">
        <v>5439</v>
      </c>
      <c r="D51" s="178" t="s">
        <v>2607</v>
      </c>
      <c r="E51" s="178" t="e">
        <f t="shared" si="0"/>
        <v>#N/A</v>
      </c>
      <c r="F51" s="178" t="e">
        <f t="shared" si="4"/>
        <v>#N/A</v>
      </c>
      <c r="G51" s="178" t="e">
        <f t="shared" si="5"/>
        <v>#N/A</v>
      </c>
      <c r="H51" s="263" t="s">
        <v>5168</v>
      </c>
      <c r="I51" s="263" t="s">
        <v>5848</v>
      </c>
      <c r="J51" s="263" t="s">
        <v>5849</v>
      </c>
      <c r="K51" s="263" t="s">
        <v>5168</v>
      </c>
      <c r="L51" s="178" t="str">
        <f t="shared" si="1"/>
        <v>A2037</v>
      </c>
      <c r="M51" s="178" t="str">
        <f t="shared" si="2"/>
        <v>r스크래핑국세청최종소득금액조회E</v>
      </c>
      <c r="N51" s="178">
        <f t="shared" si="3"/>
        <v>1</v>
      </c>
    </row>
    <row r="52" spans="1:14">
      <c r="A52" s="178" t="s">
        <v>2608</v>
      </c>
      <c r="B52" s="439" t="s">
        <v>5438</v>
      </c>
      <c r="C52" s="178" t="s">
        <v>4397</v>
      </c>
      <c r="D52" s="178" t="s">
        <v>2608</v>
      </c>
      <c r="E52" s="178" t="e">
        <f t="shared" si="0"/>
        <v>#N/A</v>
      </c>
      <c r="F52" s="178" t="e">
        <f t="shared" si="4"/>
        <v>#N/A</v>
      </c>
      <c r="G52" s="178" t="e">
        <f t="shared" si="5"/>
        <v>#N/A</v>
      </c>
      <c r="H52" s="263" t="s">
        <v>5169</v>
      </c>
      <c r="I52" s="263" t="s">
        <v>5437</v>
      </c>
      <c r="J52" s="263" t="s">
        <v>5850</v>
      </c>
      <c r="K52" s="263" t="s">
        <v>5169</v>
      </c>
      <c r="L52" s="178" t="str">
        <f t="shared" si="1"/>
        <v>A2036</v>
      </c>
      <c r="M52" s="178" t="str">
        <f t="shared" si="2"/>
        <v>r스크래핑건강보험최종소득금액조회E</v>
      </c>
      <c r="N52" s="178">
        <f t="shared" si="3"/>
        <v>1</v>
      </c>
    </row>
    <row r="53" spans="1:14">
      <c r="A53" s="178" t="s">
        <v>2609</v>
      </c>
      <c r="B53" s="439" t="s">
        <v>5438</v>
      </c>
      <c r="C53" s="178" t="s">
        <v>4398</v>
      </c>
      <c r="D53" s="178" t="s">
        <v>2609</v>
      </c>
      <c r="E53" s="178" t="e">
        <f t="shared" si="0"/>
        <v>#N/A</v>
      </c>
      <c r="F53" s="178" t="e">
        <f t="shared" si="4"/>
        <v>#N/A</v>
      </c>
      <c r="G53" s="178" t="e">
        <f t="shared" si="5"/>
        <v>#N/A</v>
      </c>
      <c r="H53" s="263" t="s">
        <v>5170</v>
      </c>
      <c r="I53" s="263" t="s">
        <v>5851</v>
      </c>
      <c r="J53" s="263" t="s">
        <v>5852</v>
      </c>
      <c r="K53" s="263" t="s">
        <v>5170</v>
      </c>
      <c r="L53" s="178" t="e">
        <f t="shared" si="1"/>
        <v>#N/A</v>
      </c>
      <c r="M53" s="178" t="e">
        <f t="shared" si="2"/>
        <v>#N/A</v>
      </c>
      <c r="N53" s="178" t="e">
        <f t="shared" si="3"/>
        <v>#N/A</v>
      </c>
    </row>
    <row r="54" spans="1:14">
      <c r="A54" s="178" t="s">
        <v>2610</v>
      </c>
      <c r="B54" s="439" t="s">
        <v>5438</v>
      </c>
      <c r="C54" s="178" t="s">
        <v>4399</v>
      </c>
      <c r="D54" s="178" t="s">
        <v>2610</v>
      </c>
      <c r="E54" s="178" t="e">
        <f t="shared" si="0"/>
        <v>#N/A</v>
      </c>
      <c r="F54" s="178" t="e">
        <f t="shared" si="4"/>
        <v>#N/A</v>
      </c>
      <c r="G54" s="178" t="e">
        <f t="shared" si="5"/>
        <v>#N/A</v>
      </c>
      <c r="H54" s="263" t="s">
        <v>5171</v>
      </c>
      <c r="I54" s="263" t="s">
        <v>5853</v>
      </c>
      <c r="J54" s="263" t="s">
        <v>5854</v>
      </c>
      <c r="K54" s="263" t="s">
        <v>5171</v>
      </c>
      <c r="L54" s="178" t="str">
        <f t="shared" si="1"/>
        <v>A2062</v>
      </c>
      <c r="M54" s="178" t="str">
        <f t="shared" si="2"/>
        <v>r대출가능개월수월별원리금조회C</v>
      </c>
      <c r="N54" s="178">
        <f t="shared" si="3"/>
        <v>1</v>
      </c>
    </row>
    <row r="55" spans="1:14">
      <c r="A55" s="178" t="s">
        <v>2611</v>
      </c>
      <c r="B55" s="439" t="s">
        <v>5438</v>
      </c>
      <c r="C55" s="178" t="s">
        <v>4400</v>
      </c>
      <c r="D55" s="178" t="s">
        <v>2611</v>
      </c>
      <c r="E55" s="178" t="e">
        <f t="shared" si="0"/>
        <v>#N/A</v>
      </c>
      <c r="F55" s="178" t="e">
        <f t="shared" si="4"/>
        <v>#N/A</v>
      </c>
      <c r="G55" s="178" t="e">
        <f t="shared" si="5"/>
        <v>#N/A</v>
      </c>
      <c r="H55" s="263" t="s">
        <v>5172</v>
      </c>
      <c r="I55" s="197" t="s">
        <v>5435</v>
      </c>
      <c r="J55" s="263" t="s">
        <v>5111</v>
      </c>
      <c r="K55" s="263" t="s">
        <v>5172</v>
      </c>
      <c r="L55" s="178" t="str">
        <f t="shared" si="1"/>
        <v>A2063</v>
      </c>
      <c r="M55" s="178" t="str">
        <f t="shared" si="2"/>
        <v>현재일자기준대출심사모형사전조회출력Dto</v>
      </c>
      <c r="N55" s="178">
        <f t="shared" si="3"/>
        <v>1</v>
      </c>
    </row>
    <row r="56" spans="1:14">
      <c r="A56" s="178" t="s">
        <v>2612</v>
      </c>
      <c r="B56" s="439" t="s">
        <v>5438</v>
      </c>
      <c r="C56" s="178" t="s">
        <v>4401</v>
      </c>
      <c r="D56" s="178" t="s">
        <v>2612</v>
      </c>
      <c r="E56" s="178" t="e">
        <f t="shared" si="0"/>
        <v>#N/A</v>
      </c>
      <c r="F56" s="178" t="e">
        <f t="shared" si="4"/>
        <v>#N/A</v>
      </c>
      <c r="G56" s="178" t="e">
        <f t="shared" si="5"/>
        <v>#N/A</v>
      </c>
      <c r="H56" s="263" t="s">
        <v>5173</v>
      </c>
      <c r="I56" s="339" t="s">
        <v>5853</v>
      </c>
      <c r="J56" s="263" t="s">
        <v>5855</v>
      </c>
      <c r="K56" s="263" t="s">
        <v>5173</v>
      </c>
      <c r="L56" s="178" t="str">
        <f t="shared" si="1"/>
        <v>A2064</v>
      </c>
      <c r="M56" s="178" t="str">
        <f t="shared" si="2"/>
        <v>r대출가능개월수월별원리금조회C</v>
      </c>
      <c r="N56" s="178">
        <f t="shared" si="3"/>
        <v>1</v>
      </c>
    </row>
    <row r="57" spans="1:14">
      <c r="A57" s="178" t="s">
        <v>2613</v>
      </c>
      <c r="B57" s="439" t="s">
        <v>5438</v>
      </c>
      <c r="C57" s="178" t="s">
        <v>4402</v>
      </c>
      <c r="D57" s="178" t="s">
        <v>2613</v>
      </c>
      <c r="E57" s="178" t="e">
        <f t="shared" si="0"/>
        <v>#N/A</v>
      </c>
      <c r="F57" s="178" t="e">
        <f t="shared" si="4"/>
        <v>#N/A</v>
      </c>
      <c r="G57" s="178" t="e">
        <f t="shared" si="5"/>
        <v>#N/A</v>
      </c>
      <c r="H57" s="263" t="s">
        <v>5174</v>
      </c>
      <c r="I57" s="197" t="s">
        <v>5435</v>
      </c>
      <c r="J57" s="263" t="s">
        <v>5136</v>
      </c>
      <c r="K57" s="263" t="s">
        <v>5174</v>
      </c>
      <c r="L57" s="178" t="str">
        <f t="shared" si="1"/>
        <v>A2065</v>
      </c>
      <c r="M57" s="178" t="str">
        <f t="shared" si="2"/>
        <v>현재일자기준대출심사모형사전조회출력Dto</v>
      </c>
      <c r="N57" s="178">
        <f t="shared" si="3"/>
        <v>1</v>
      </c>
    </row>
    <row r="58" spans="1:14">
      <c r="A58" s="178" t="s">
        <v>2614</v>
      </c>
      <c r="B58" s="439" t="s">
        <v>5438</v>
      </c>
      <c r="C58" s="178" t="s">
        <v>4403</v>
      </c>
      <c r="D58" s="178" t="s">
        <v>2614</v>
      </c>
      <c r="E58" s="178" t="e">
        <f t="shared" si="0"/>
        <v>#N/A</v>
      </c>
      <c r="F58" s="178" t="e">
        <f t="shared" si="4"/>
        <v>#N/A</v>
      </c>
      <c r="G58" s="178" t="e">
        <f t="shared" si="5"/>
        <v>#N/A</v>
      </c>
      <c r="H58" s="263" t="s">
        <v>5382</v>
      </c>
      <c r="I58" s="178" t="s">
        <v>5856</v>
      </c>
      <c r="J58" s="178" t="s">
        <v>5857</v>
      </c>
      <c r="K58" s="263" t="s">
        <v>5382</v>
      </c>
      <c r="L58" s="178" t="str">
        <f t="shared" si="1"/>
        <v>A2074</v>
      </c>
      <c r="M58" s="178" t="str">
        <f t="shared" si="2"/>
        <v>r카드론상환유예건수조회E</v>
      </c>
      <c r="N58" s="178">
        <f t="shared" si="3"/>
        <v>1</v>
      </c>
    </row>
    <row r="59" spans="1:14">
      <c r="A59" s="178" t="s">
        <v>2615</v>
      </c>
      <c r="B59" s="439" t="s">
        <v>5438</v>
      </c>
      <c r="C59" s="178" t="s">
        <v>4404</v>
      </c>
      <c r="D59" s="178" t="s">
        <v>2615</v>
      </c>
      <c r="E59" s="178" t="e">
        <f t="shared" si="0"/>
        <v>#N/A</v>
      </c>
      <c r="F59" s="178" t="e">
        <f t="shared" si="4"/>
        <v>#N/A</v>
      </c>
      <c r="G59" s="178" t="e">
        <f t="shared" si="5"/>
        <v>#N/A</v>
      </c>
      <c r="H59" s="245" t="s">
        <v>3511</v>
      </c>
      <c r="I59" s="197" t="s">
        <v>5435</v>
      </c>
      <c r="J59" s="197" t="s">
        <v>3509</v>
      </c>
      <c r="K59" s="245" t="s">
        <v>3511</v>
      </c>
      <c r="L59" s="178" t="str">
        <f t="shared" si="1"/>
        <v>A2035</v>
      </c>
      <c r="M59" s="178" t="str">
        <f t="shared" si="2"/>
        <v>현재일자기준대출심사모형사전조회출력Dto</v>
      </c>
      <c r="N59" s="178">
        <f t="shared" si="3"/>
        <v>1</v>
      </c>
    </row>
    <row r="60" spans="1:14">
      <c r="A60" s="178" t="s">
        <v>2616</v>
      </c>
      <c r="B60" s="439" t="s">
        <v>5438</v>
      </c>
      <c r="C60" s="178" t="s">
        <v>4405</v>
      </c>
      <c r="D60" s="178" t="s">
        <v>2616</v>
      </c>
      <c r="E60" s="178" t="e">
        <f t="shared" si="0"/>
        <v>#N/A</v>
      </c>
      <c r="F60" s="178" t="e">
        <f t="shared" si="4"/>
        <v>#N/A</v>
      </c>
      <c r="G60" s="178" t="e">
        <f t="shared" si="5"/>
        <v>#N/A</v>
      </c>
      <c r="H60" s="263" t="s">
        <v>2120</v>
      </c>
      <c r="I60" s="263" t="s">
        <v>5427</v>
      </c>
      <c r="J60" s="178" t="s">
        <v>5428</v>
      </c>
      <c r="K60" s="263" t="s">
        <v>2120</v>
      </c>
      <c r="L60" s="178" t="str">
        <f t="shared" si="1"/>
        <v>A2073</v>
      </c>
      <c r="M60" s="178" t="str">
        <f t="shared" si="2"/>
        <v>r체크회원사전대상자내역기간조회E</v>
      </c>
      <c r="N60" s="178">
        <f t="shared" si="3"/>
        <v>1</v>
      </c>
    </row>
    <row r="61" spans="1:14">
      <c r="A61" s="178" t="s">
        <v>2617</v>
      </c>
      <c r="B61" s="439" t="s">
        <v>5438</v>
      </c>
      <c r="C61" s="178" t="s">
        <v>4406</v>
      </c>
      <c r="D61" s="178" t="s">
        <v>2617</v>
      </c>
      <c r="E61" s="178" t="e">
        <f t="shared" si="0"/>
        <v>#N/A</v>
      </c>
      <c r="F61" s="178" t="e">
        <f t="shared" si="4"/>
        <v>#N/A</v>
      </c>
      <c r="G61" s="178" t="e">
        <f t="shared" si="5"/>
        <v>#N/A</v>
      </c>
      <c r="H61" s="263" t="s">
        <v>2121</v>
      </c>
      <c r="I61" s="263" t="s">
        <v>5427</v>
      </c>
      <c r="J61" s="178" t="s">
        <v>2818</v>
      </c>
      <c r="K61" s="263" t="s">
        <v>2121</v>
      </c>
      <c r="L61" s="178" t="e">
        <f t="shared" si="1"/>
        <v>#N/A</v>
      </c>
      <c r="M61" s="178" t="e">
        <f t="shared" si="2"/>
        <v>#N/A</v>
      </c>
      <c r="N61" s="178" t="e">
        <f t="shared" si="3"/>
        <v>#N/A</v>
      </c>
    </row>
    <row r="62" spans="1:14">
      <c r="A62" s="178" t="s">
        <v>2618</v>
      </c>
      <c r="B62" s="439" t="s">
        <v>5438</v>
      </c>
      <c r="C62" s="178" t="s">
        <v>4407</v>
      </c>
      <c r="D62" s="178" t="s">
        <v>2618</v>
      </c>
      <c r="E62" s="178" t="e">
        <f t="shared" si="0"/>
        <v>#N/A</v>
      </c>
      <c r="F62" s="178" t="e">
        <f t="shared" si="4"/>
        <v>#N/A</v>
      </c>
      <c r="G62" s="178" t="e">
        <f t="shared" si="5"/>
        <v>#N/A</v>
      </c>
      <c r="H62" s="263" t="s">
        <v>2122</v>
      </c>
      <c r="I62" s="263" t="s">
        <v>5427</v>
      </c>
      <c r="J62" s="178" t="s">
        <v>2706</v>
      </c>
      <c r="K62" s="263" t="s">
        <v>2122</v>
      </c>
      <c r="L62" s="178" t="e">
        <f t="shared" si="1"/>
        <v>#N/A</v>
      </c>
      <c r="M62" s="178" t="e">
        <f t="shared" si="2"/>
        <v>#N/A</v>
      </c>
      <c r="N62" s="178" t="e">
        <f t="shared" si="3"/>
        <v>#N/A</v>
      </c>
    </row>
    <row r="63" spans="1:14">
      <c r="A63" s="178" t="s">
        <v>2619</v>
      </c>
      <c r="B63" s="439" t="s">
        <v>5435</v>
      </c>
      <c r="C63" s="440" t="s">
        <v>5105</v>
      </c>
      <c r="D63" s="178" t="s">
        <v>2619</v>
      </c>
      <c r="E63" s="178" t="e">
        <f t="shared" si="0"/>
        <v>#N/A</v>
      </c>
      <c r="F63" s="178" t="e">
        <f t="shared" si="4"/>
        <v>#N/A</v>
      </c>
      <c r="G63" s="178" t="e">
        <f t="shared" si="5"/>
        <v>#N/A</v>
      </c>
      <c r="H63" s="263" t="s">
        <v>2605</v>
      </c>
      <c r="I63" s="263" t="s">
        <v>5427</v>
      </c>
      <c r="J63" s="178" t="s">
        <v>2819</v>
      </c>
      <c r="K63" s="263" t="s">
        <v>2605</v>
      </c>
      <c r="L63" s="178" t="e">
        <f t="shared" si="1"/>
        <v>#N/A</v>
      </c>
      <c r="M63" s="178" t="e">
        <f t="shared" si="2"/>
        <v>#N/A</v>
      </c>
      <c r="N63" s="178" t="e">
        <f t="shared" si="3"/>
        <v>#N/A</v>
      </c>
    </row>
    <row r="64" spans="1:14">
      <c r="A64" s="178" t="s">
        <v>2620</v>
      </c>
      <c r="B64" s="439" t="s">
        <v>5430</v>
      </c>
      <c r="C64" s="440" t="s">
        <v>5106</v>
      </c>
      <c r="D64" s="178" t="s">
        <v>2620</v>
      </c>
      <c r="E64" s="178" t="e">
        <f t="shared" si="0"/>
        <v>#N/A</v>
      </c>
      <c r="F64" s="178" t="e">
        <f t="shared" si="4"/>
        <v>#N/A</v>
      </c>
      <c r="G64" s="178" t="e">
        <f t="shared" si="5"/>
        <v>#N/A</v>
      </c>
      <c r="H64" s="263" t="s">
        <v>2606</v>
      </c>
      <c r="I64" s="263" t="s">
        <v>5427</v>
      </c>
      <c r="J64" s="178" t="s">
        <v>2708</v>
      </c>
      <c r="K64" s="263" t="s">
        <v>2606</v>
      </c>
      <c r="L64" s="178" t="e">
        <f t="shared" si="1"/>
        <v>#N/A</v>
      </c>
      <c r="M64" s="178" t="e">
        <f t="shared" si="2"/>
        <v>#N/A</v>
      </c>
      <c r="N64" s="178" t="e">
        <f t="shared" si="3"/>
        <v>#N/A</v>
      </c>
    </row>
    <row r="65" spans="1:14">
      <c r="A65" s="178" t="s">
        <v>2621</v>
      </c>
      <c r="B65" s="439" t="s">
        <v>5437</v>
      </c>
      <c r="C65" s="440" t="s">
        <v>3940</v>
      </c>
      <c r="D65" s="178" t="s">
        <v>2621</v>
      </c>
      <c r="E65" s="178" t="e">
        <f t="shared" si="0"/>
        <v>#N/A</v>
      </c>
      <c r="F65" s="178" t="e">
        <f t="shared" si="4"/>
        <v>#N/A</v>
      </c>
      <c r="G65" s="178" t="e">
        <f t="shared" si="5"/>
        <v>#N/A</v>
      </c>
      <c r="H65" s="264" t="s">
        <v>2123</v>
      </c>
      <c r="I65" s="264" t="s">
        <v>5427</v>
      </c>
      <c r="J65" s="264"/>
      <c r="K65" s="264" t="s">
        <v>2123</v>
      </c>
      <c r="L65" s="178" t="e">
        <f t="shared" si="1"/>
        <v>#N/A</v>
      </c>
      <c r="M65" s="178" t="e">
        <f t="shared" si="2"/>
        <v>#N/A</v>
      </c>
      <c r="N65" s="178" t="e">
        <f t="shared" si="3"/>
        <v>#N/A</v>
      </c>
    </row>
    <row r="66" spans="1:14">
      <c r="A66" s="178" t="s">
        <v>2624</v>
      </c>
      <c r="B66" s="439" t="s">
        <v>5438</v>
      </c>
      <c r="C66" s="440" t="s">
        <v>5440</v>
      </c>
      <c r="D66" s="178" t="s">
        <v>2624</v>
      </c>
      <c r="E66" s="178" t="e">
        <f t="shared" si="0"/>
        <v>#N/A</v>
      </c>
      <c r="F66" s="178" t="e">
        <f t="shared" si="4"/>
        <v>#N/A</v>
      </c>
      <c r="G66" s="178" t="e">
        <f t="shared" si="5"/>
        <v>#N/A</v>
      </c>
      <c r="H66" s="264" t="s">
        <v>2124</v>
      </c>
      <c r="I66" s="264" t="s">
        <v>5427</v>
      </c>
      <c r="J66" s="264"/>
      <c r="K66" s="264" t="s">
        <v>2124</v>
      </c>
      <c r="L66" s="178" t="e">
        <f t="shared" si="1"/>
        <v>#N/A</v>
      </c>
      <c r="M66" s="178" t="e">
        <f t="shared" si="2"/>
        <v>#N/A</v>
      </c>
      <c r="N66" s="178" t="e">
        <f t="shared" si="3"/>
        <v>#N/A</v>
      </c>
    </row>
    <row r="67" spans="1:14">
      <c r="A67" s="178" t="s">
        <v>2625</v>
      </c>
      <c r="B67" s="439" t="s">
        <v>5438</v>
      </c>
      <c r="C67" s="440" t="s">
        <v>5441</v>
      </c>
      <c r="D67" s="178" t="s">
        <v>2625</v>
      </c>
      <c r="E67" s="178" t="e">
        <f t="shared" si="0"/>
        <v>#N/A</v>
      </c>
      <c r="F67" s="178" t="e">
        <f t="shared" si="4"/>
        <v>#N/A</v>
      </c>
      <c r="G67" s="178" t="e">
        <f t="shared" si="5"/>
        <v>#N/A</v>
      </c>
      <c r="H67" s="263" t="s">
        <v>2125</v>
      </c>
      <c r="I67" s="263" t="s">
        <v>5427</v>
      </c>
      <c r="J67" s="178" t="s">
        <v>253</v>
      </c>
      <c r="K67" s="263" t="s">
        <v>2125</v>
      </c>
      <c r="L67" s="178" t="e">
        <f t="shared" si="1"/>
        <v>#N/A</v>
      </c>
      <c r="M67" s="178" t="e">
        <f t="shared" si="2"/>
        <v>#N/A</v>
      </c>
      <c r="N67" s="178" t="e">
        <f t="shared" si="3"/>
        <v>#N/A</v>
      </c>
    </row>
    <row r="68" spans="1:14">
      <c r="A68" s="178" t="s">
        <v>5143</v>
      </c>
      <c r="B68" s="263" t="s">
        <v>5853</v>
      </c>
      <c r="C68" s="263" t="s">
        <v>5854</v>
      </c>
      <c r="D68" s="178" t="s">
        <v>5143</v>
      </c>
      <c r="E68" s="178" t="str">
        <f t="shared" ref="E68:E131" si="6">VLOOKUP(C68,$J$5:$K$601,2,FALSE)</f>
        <v>A1046</v>
      </c>
      <c r="F68" s="178" t="str">
        <f t="shared" si="4"/>
        <v>r대출가능개월수월별원리금조회C</v>
      </c>
      <c r="G68" s="178">
        <f t="shared" si="5"/>
        <v>1</v>
      </c>
      <c r="H68" s="263" t="s">
        <v>2126</v>
      </c>
      <c r="I68" s="263" t="s">
        <v>5427</v>
      </c>
      <c r="J68" s="178" t="s">
        <v>2822</v>
      </c>
      <c r="K68" s="263" t="s">
        <v>2126</v>
      </c>
      <c r="L68" s="178" t="e">
        <f t="shared" ref="L68:L131" si="7">VLOOKUP(J68,$C$3:$D$463,2,FALSE)</f>
        <v>#N/A</v>
      </c>
      <c r="M68" s="178" t="e">
        <f t="shared" ref="M68:M131" si="8">VLOOKUP(L68,$A$3:$B$463,2,FALSE)</f>
        <v>#N/A</v>
      </c>
      <c r="N68" s="178" t="e">
        <f t="shared" ref="N68:N131" si="9">IF(M68=I68,1,0)</f>
        <v>#N/A</v>
      </c>
    </row>
    <row r="69" spans="1:14">
      <c r="A69" s="178" t="s">
        <v>5144</v>
      </c>
      <c r="B69" s="197" t="s">
        <v>5435</v>
      </c>
      <c r="C69" s="263" t="s">
        <v>5111</v>
      </c>
      <c r="D69" s="178" t="s">
        <v>5144</v>
      </c>
      <c r="E69" s="178" t="str">
        <f t="shared" si="6"/>
        <v>A1047</v>
      </c>
      <c r="F69" s="178" t="str">
        <f t="shared" si="4"/>
        <v>현재일자기준대출심사모형사전조회출력Dto</v>
      </c>
      <c r="G69" s="178">
        <f t="shared" si="5"/>
        <v>1</v>
      </c>
      <c r="H69" s="263" t="s">
        <v>2127</v>
      </c>
      <c r="I69" s="263" t="s">
        <v>5427</v>
      </c>
      <c r="J69" s="178" t="s">
        <v>2823</v>
      </c>
      <c r="K69" s="263" t="s">
        <v>2127</v>
      </c>
      <c r="L69" s="178" t="e">
        <f t="shared" si="7"/>
        <v>#N/A</v>
      </c>
      <c r="M69" s="178" t="e">
        <f t="shared" si="8"/>
        <v>#N/A</v>
      </c>
      <c r="N69" s="178" t="e">
        <f t="shared" si="9"/>
        <v>#N/A</v>
      </c>
    </row>
    <row r="70" spans="1:14">
      <c r="A70" s="178" t="s">
        <v>2628</v>
      </c>
      <c r="B70" s="339" t="s">
        <v>5853</v>
      </c>
      <c r="C70" s="263" t="s">
        <v>5855</v>
      </c>
      <c r="D70" s="178" t="s">
        <v>2628</v>
      </c>
      <c r="E70" s="178" t="str">
        <f t="shared" si="6"/>
        <v>A1048</v>
      </c>
      <c r="F70" s="178" t="str">
        <f t="shared" si="4"/>
        <v>r대출가능개월수월별원리금조회C</v>
      </c>
      <c r="G70" s="178">
        <f t="shared" si="5"/>
        <v>1</v>
      </c>
      <c r="H70" s="263" t="s">
        <v>2128</v>
      </c>
      <c r="I70" s="263" t="s">
        <v>5427</v>
      </c>
      <c r="J70" s="178" t="s">
        <v>2824</v>
      </c>
      <c r="K70" s="263" t="s">
        <v>2128</v>
      </c>
      <c r="L70" s="178" t="e">
        <f t="shared" si="7"/>
        <v>#N/A</v>
      </c>
      <c r="M70" s="178" t="e">
        <f t="shared" si="8"/>
        <v>#N/A</v>
      </c>
      <c r="N70" s="178" t="e">
        <f t="shared" si="9"/>
        <v>#N/A</v>
      </c>
    </row>
    <row r="71" spans="1:14">
      <c r="A71" s="178" t="s">
        <v>2629</v>
      </c>
      <c r="B71" s="197" t="s">
        <v>5435</v>
      </c>
      <c r="C71" s="263" t="s">
        <v>5136</v>
      </c>
      <c r="D71" s="178" t="s">
        <v>2629</v>
      </c>
      <c r="E71" s="178" t="str">
        <f t="shared" si="6"/>
        <v>A1049</v>
      </c>
      <c r="F71" s="178" t="str">
        <f t="shared" ref="F71:F134" si="10">VLOOKUP(E71,$H$5:$I$601,2,FALSE)</f>
        <v>현재일자기준대출심사모형사전조회출력Dto</v>
      </c>
      <c r="G71" s="178">
        <f t="shared" ref="G71:G134" si="11">IF(B71=F71,1,0)</f>
        <v>1</v>
      </c>
      <c r="H71" s="263" t="s">
        <v>2129</v>
      </c>
      <c r="I71" s="263" t="s">
        <v>5427</v>
      </c>
      <c r="J71" s="178" t="s">
        <v>2825</v>
      </c>
      <c r="K71" s="263" t="s">
        <v>2129</v>
      </c>
      <c r="L71" s="178" t="e">
        <f t="shared" si="7"/>
        <v>#N/A</v>
      </c>
      <c r="M71" s="178" t="e">
        <f t="shared" si="8"/>
        <v>#N/A</v>
      </c>
      <c r="N71" s="178" t="e">
        <f t="shared" si="9"/>
        <v>#N/A</v>
      </c>
    </row>
    <row r="72" spans="1:14">
      <c r="A72" s="178" t="s">
        <v>2630</v>
      </c>
      <c r="B72" s="439" t="s">
        <v>5430</v>
      </c>
      <c r="C72" s="178" t="s">
        <v>5429</v>
      </c>
      <c r="D72" s="178" t="s">
        <v>2630</v>
      </c>
      <c r="E72" s="178" t="e">
        <f t="shared" si="6"/>
        <v>#N/A</v>
      </c>
      <c r="F72" s="178" t="e">
        <f t="shared" si="10"/>
        <v>#N/A</v>
      </c>
      <c r="G72" s="178" t="e">
        <f t="shared" si="11"/>
        <v>#N/A</v>
      </c>
      <c r="H72" s="263" t="s">
        <v>2130</v>
      </c>
      <c r="I72" s="263" t="s">
        <v>5427</v>
      </c>
      <c r="J72" s="178" t="s">
        <v>2826</v>
      </c>
      <c r="K72" s="263" t="s">
        <v>2130</v>
      </c>
      <c r="L72" s="178" t="e">
        <f t="shared" si="7"/>
        <v>#N/A</v>
      </c>
      <c r="M72" s="178" t="e">
        <f t="shared" si="8"/>
        <v>#N/A</v>
      </c>
      <c r="N72" s="178" t="e">
        <f t="shared" si="9"/>
        <v>#N/A</v>
      </c>
    </row>
    <row r="73" spans="1:14">
      <c r="A73" s="178" t="s">
        <v>2631</v>
      </c>
      <c r="B73" s="439" t="s">
        <v>5141</v>
      </c>
      <c r="C73" s="440" t="s">
        <v>189</v>
      </c>
      <c r="D73" s="178" t="s">
        <v>2631</v>
      </c>
      <c r="E73" s="178" t="e">
        <f t="shared" si="6"/>
        <v>#N/A</v>
      </c>
      <c r="F73" s="178" t="e">
        <f t="shared" si="10"/>
        <v>#N/A</v>
      </c>
      <c r="G73" s="178" t="e">
        <f t="shared" si="11"/>
        <v>#N/A</v>
      </c>
      <c r="H73" s="263" t="s">
        <v>2138</v>
      </c>
      <c r="I73" s="263" t="s">
        <v>5427</v>
      </c>
      <c r="J73" s="178" t="s">
        <v>14</v>
      </c>
      <c r="K73" s="263" t="s">
        <v>2138</v>
      </c>
      <c r="L73" s="178" t="e">
        <f t="shared" si="7"/>
        <v>#N/A</v>
      </c>
      <c r="M73" s="178" t="e">
        <f t="shared" si="8"/>
        <v>#N/A</v>
      </c>
      <c r="N73" s="178" t="e">
        <f t="shared" si="9"/>
        <v>#N/A</v>
      </c>
    </row>
    <row r="74" spans="1:14">
      <c r="A74" s="178" t="s">
        <v>2632</v>
      </c>
      <c r="B74" s="439" t="s">
        <v>5141</v>
      </c>
      <c r="C74" s="440" t="s">
        <v>276</v>
      </c>
      <c r="D74" s="178" t="s">
        <v>2632</v>
      </c>
      <c r="E74" s="178" t="e">
        <f t="shared" si="6"/>
        <v>#N/A</v>
      </c>
      <c r="F74" s="178" t="e">
        <f t="shared" si="10"/>
        <v>#N/A</v>
      </c>
      <c r="G74" s="178" t="e">
        <f t="shared" si="11"/>
        <v>#N/A</v>
      </c>
      <c r="H74" s="263" t="s">
        <v>2139</v>
      </c>
      <c r="I74" s="263" t="s">
        <v>5427</v>
      </c>
      <c r="J74" s="178" t="s">
        <v>2828</v>
      </c>
      <c r="K74" s="263" t="s">
        <v>2139</v>
      </c>
      <c r="L74" s="178" t="e">
        <f t="shared" si="7"/>
        <v>#N/A</v>
      </c>
      <c r="M74" s="178" t="e">
        <f t="shared" si="8"/>
        <v>#N/A</v>
      </c>
      <c r="N74" s="178" t="e">
        <f t="shared" si="9"/>
        <v>#N/A</v>
      </c>
    </row>
    <row r="75" spans="1:14">
      <c r="A75" s="178" t="s">
        <v>2633</v>
      </c>
      <c r="B75" s="439" t="s">
        <v>5141</v>
      </c>
      <c r="C75" s="440" t="s">
        <v>3389</v>
      </c>
      <c r="D75" s="178" t="s">
        <v>2633</v>
      </c>
      <c r="E75" s="178" t="e">
        <f t="shared" si="6"/>
        <v>#N/A</v>
      </c>
      <c r="F75" s="178" t="e">
        <f t="shared" si="10"/>
        <v>#N/A</v>
      </c>
      <c r="G75" s="178" t="e">
        <f t="shared" si="11"/>
        <v>#N/A</v>
      </c>
      <c r="H75" s="263" t="s">
        <v>2140</v>
      </c>
      <c r="I75" s="263" t="s">
        <v>5427</v>
      </c>
      <c r="J75" s="178" t="s">
        <v>2829</v>
      </c>
      <c r="K75" s="263" t="s">
        <v>2140</v>
      </c>
      <c r="L75" s="178" t="e">
        <f t="shared" si="7"/>
        <v>#N/A</v>
      </c>
      <c r="M75" s="178" t="e">
        <f t="shared" si="8"/>
        <v>#N/A</v>
      </c>
      <c r="N75" s="178" t="e">
        <f t="shared" si="9"/>
        <v>#N/A</v>
      </c>
    </row>
    <row r="76" spans="1:14">
      <c r="A76" s="178" t="s">
        <v>2634</v>
      </c>
      <c r="B76" s="439" t="s">
        <v>5141</v>
      </c>
      <c r="C76" s="440" t="s">
        <v>208</v>
      </c>
      <c r="D76" s="178" t="s">
        <v>2634</v>
      </c>
      <c r="E76" s="178" t="e">
        <f t="shared" si="6"/>
        <v>#N/A</v>
      </c>
      <c r="F76" s="178" t="e">
        <f t="shared" si="10"/>
        <v>#N/A</v>
      </c>
      <c r="G76" s="178" t="e">
        <f t="shared" si="11"/>
        <v>#N/A</v>
      </c>
      <c r="H76" s="263" t="s">
        <v>2141</v>
      </c>
      <c r="I76" s="263" t="s">
        <v>5427</v>
      </c>
      <c r="J76" s="178" t="s">
        <v>251</v>
      </c>
      <c r="K76" s="263" t="s">
        <v>2141</v>
      </c>
      <c r="L76" s="178" t="e">
        <f t="shared" si="7"/>
        <v>#N/A</v>
      </c>
      <c r="M76" s="178" t="e">
        <f t="shared" si="8"/>
        <v>#N/A</v>
      </c>
      <c r="N76" s="178" t="e">
        <f t="shared" si="9"/>
        <v>#N/A</v>
      </c>
    </row>
    <row r="77" spans="1:14">
      <c r="A77" s="178" t="s">
        <v>2635</v>
      </c>
      <c r="B77" s="439" t="s">
        <v>5141</v>
      </c>
      <c r="C77" s="440" t="s">
        <v>212</v>
      </c>
      <c r="D77" s="178" t="s">
        <v>2635</v>
      </c>
      <c r="E77" s="178" t="e">
        <f t="shared" si="6"/>
        <v>#N/A</v>
      </c>
      <c r="F77" s="178" t="e">
        <f t="shared" si="10"/>
        <v>#N/A</v>
      </c>
      <c r="G77" s="178" t="e">
        <f t="shared" si="11"/>
        <v>#N/A</v>
      </c>
      <c r="H77" s="263" t="s">
        <v>2142</v>
      </c>
      <c r="I77" s="263" t="s">
        <v>5427</v>
      </c>
      <c r="J77" s="178" t="s">
        <v>2830</v>
      </c>
      <c r="K77" s="263" t="s">
        <v>2142</v>
      </c>
      <c r="L77" s="178" t="e">
        <f t="shared" si="7"/>
        <v>#N/A</v>
      </c>
      <c r="M77" s="178" t="e">
        <f t="shared" si="8"/>
        <v>#N/A</v>
      </c>
      <c r="N77" s="178" t="e">
        <f t="shared" si="9"/>
        <v>#N/A</v>
      </c>
    </row>
    <row r="78" spans="1:14">
      <c r="A78" s="178" t="s">
        <v>2636</v>
      </c>
      <c r="B78" s="439" t="s">
        <v>5427</v>
      </c>
      <c r="C78" s="440" t="s">
        <v>5432</v>
      </c>
      <c r="D78" s="178" t="s">
        <v>2636</v>
      </c>
      <c r="E78" s="178" t="str">
        <f t="shared" si="6"/>
        <v>A2065</v>
      </c>
      <c r="F78" s="178" t="str">
        <f t="shared" si="10"/>
        <v>r체크회원사전대상자내역기간조회E</v>
      </c>
      <c r="G78" s="178">
        <f t="shared" si="11"/>
        <v>1</v>
      </c>
      <c r="H78" s="263" t="s">
        <v>2144</v>
      </c>
      <c r="I78" s="263" t="s">
        <v>5427</v>
      </c>
      <c r="J78" s="178" t="s">
        <v>1298</v>
      </c>
      <c r="K78" s="263" t="s">
        <v>2144</v>
      </c>
      <c r="L78" s="178" t="e">
        <f t="shared" si="7"/>
        <v>#N/A</v>
      </c>
      <c r="M78" s="178" t="e">
        <f t="shared" si="8"/>
        <v>#N/A</v>
      </c>
      <c r="N78" s="178" t="e">
        <f t="shared" si="9"/>
        <v>#N/A</v>
      </c>
    </row>
    <row r="79" spans="1:14">
      <c r="A79" s="178" t="s">
        <v>2637</v>
      </c>
      <c r="B79" s="439" t="s">
        <v>5427</v>
      </c>
      <c r="C79" s="440" t="s">
        <v>5428</v>
      </c>
      <c r="D79" s="178" t="s">
        <v>2637</v>
      </c>
      <c r="E79" s="178" t="str">
        <f t="shared" si="6"/>
        <v>A2001</v>
      </c>
      <c r="F79" s="178" t="str">
        <f t="shared" si="10"/>
        <v>r체크회원사전대상자내역기간조회E</v>
      </c>
      <c r="G79" s="178">
        <f t="shared" si="11"/>
        <v>1</v>
      </c>
      <c r="H79" s="264" t="s">
        <v>2131</v>
      </c>
      <c r="I79" s="264" t="s">
        <v>5427</v>
      </c>
      <c r="J79" s="264"/>
      <c r="K79" s="264" t="s">
        <v>2131</v>
      </c>
      <c r="L79" s="178" t="e">
        <f t="shared" si="7"/>
        <v>#N/A</v>
      </c>
      <c r="M79" s="178" t="e">
        <f t="shared" si="8"/>
        <v>#N/A</v>
      </c>
      <c r="N79" s="178" t="e">
        <f t="shared" si="9"/>
        <v>#N/A</v>
      </c>
    </row>
    <row r="80" spans="1:14">
      <c r="A80" s="178" t="s">
        <v>2638</v>
      </c>
      <c r="B80" s="178" t="s">
        <v>5856</v>
      </c>
      <c r="C80" s="178" t="s">
        <v>5857</v>
      </c>
      <c r="D80" s="178" t="s">
        <v>2638</v>
      </c>
      <c r="E80" s="178" t="str">
        <f t="shared" si="6"/>
        <v>A1050</v>
      </c>
      <c r="F80" s="178" t="str">
        <f t="shared" si="10"/>
        <v>r카드론상환유예건수조회E</v>
      </c>
      <c r="G80" s="178">
        <f t="shared" si="11"/>
        <v>1</v>
      </c>
      <c r="H80" s="264" t="s">
        <v>2132</v>
      </c>
      <c r="I80" s="264" t="s">
        <v>5427</v>
      </c>
      <c r="J80" s="264"/>
      <c r="K80" s="264" t="s">
        <v>2132</v>
      </c>
      <c r="L80" s="178" t="e">
        <f t="shared" si="7"/>
        <v>#N/A</v>
      </c>
      <c r="M80" s="178" t="e">
        <f t="shared" si="8"/>
        <v>#N/A</v>
      </c>
      <c r="N80" s="178" t="e">
        <f t="shared" si="9"/>
        <v>#N/A</v>
      </c>
    </row>
    <row r="81" spans="1:14">
      <c r="A81" s="181" t="s">
        <v>2331</v>
      </c>
      <c r="B81" s="444"/>
      <c r="C81" s="444" t="s">
        <v>1394</v>
      </c>
      <c r="D81" s="181" t="s">
        <v>2331</v>
      </c>
      <c r="E81" s="178" t="e">
        <f t="shared" si="6"/>
        <v>#N/A</v>
      </c>
      <c r="F81" s="178" t="e">
        <f t="shared" si="10"/>
        <v>#N/A</v>
      </c>
      <c r="G81" s="178" t="e">
        <f t="shared" si="11"/>
        <v>#N/A</v>
      </c>
      <c r="H81" s="264" t="s">
        <v>2133</v>
      </c>
      <c r="I81" s="264" t="s">
        <v>5427</v>
      </c>
      <c r="J81" s="264"/>
      <c r="K81" s="264" t="s">
        <v>2133</v>
      </c>
      <c r="L81" s="178" t="e">
        <f t="shared" si="7"/>
        <v>#N/A</v>
      </c>
      <c r="M81" s="178" t="e">
        <f t="shared" si="8"/>
        <v>#N/A</v>
      </c>
      <c r="N81" s="178" t="e">
        <f t="shared" si="9"/>
        <v>#N/A</v>
      </c>
    </row>
    <row r="82" spans="1:14">
      <c r="A82" s="181" t="s">
        <v>2332</v>
      </c>
      <c r="B82" s="181"/>
      <c r="C82" s="181" t="s">
        <v>1397</v>
      </c>
      <c r="D82" s="181" t="s">
        <v>2332</v>
      </c>
      <c r="E82" s="178" t="e">
        <f t="shared" si="6"/>
        <v>#N/A</v>
      </c>
      <c r="F82" s="178" t="e">
        <f t="shared" si="10"/>
        <v>#N/A</v>
      </c>
      <c r="G82" s="178" t="e">
        <f t="shared" si="11"/>
        <v>#N/A</v>
      </c>
      <c r="H82" s="264" t="s">
        <v>2134</v>
      </c>
      <c r="I82" s="264" t="s">
        <v>5427</v>
      </c>
      <c r="J82" s="264"/>
      <c r="K82" s="264" t="s">
        <v>2134</v>
      </c>
      <c r="L82" s="178" t="e">
        <f t="shared" si="7"/>
        <v>#N/A</v>
      </c>
      <c r="M82" s="178" t="e">
        <f t="shared" si="8"/>
        <v>#N/A</v>
      </c>
      <c r="N82" s="178" t="e">
        <f t="shared" si="9"/>
        <v>#N/A</v>
      </c>
    </row>
    <row r="83" spans="1:14">
      <c r="A83" s="181" t="s">
        <v>2333</v>
      </c>
      <c r="B83" s="181"/>
      <c r="C83" s="181" t="s">
        <v>2988</v>
      </c>
      <c r="D83" s="181" t="s">
        <v>2333</v>
      </c>
      <c r="E83" s="178" t="e">
        <f t="shared" si="6"/>
        <v>#N/A</v>
      </c>
      <c r="F83" s="178" t="e">
        <f t="shared" si="10"/>
        <v>#N/A</v>
      </c>
      <c r="G83" s="178" t="e">
        <f t="shared" si="11"/>
        <v>#N/A</v>
      </c>
      <c r="H83" s="264" t="s">
        <v>2135</v>
      </c>
      <c r="I83" s="264" t="s">
        <v>5427</v>
      </c>
      <c r="J83" s="264"/>
      <c r="K83" s="264" t="s">
        <v>2135</v>
      </c>
      <c r="L83" s="178" t="e">
        <f t="shared" si="7"/>
        <v>#N/A</v>
      </c>
      <c r="M83" s="178" t="e">
        <f t="shared" si="8"/>
        <v>#N/A</v>
      </c>
      <c r="N83" s="178" t="e">
        <f t="shared" si="9"/>
        <v>#N/A</v>
      </c>
    </row>
    <row r="84" spans="1:14">
      <c r="A84" s="181" t="s">
        <v>2334</v>
      </c>
      <c r="B84" s="181"/>
      <c r="C84" s="181" t="s">
        <v>1406</v>
      </c>
      <c r="D84" s="181" t="s">
        <v>2334</v>
      </c>
      <c r="E84" s="178" t="e">
        <f t="shared" si="6"/>
        <v>#N/A</v>
      </c>
      <c r="F84" s="178" t="e">
        <f t="shared" si="10"/>
        <v>#N/A</v>
      </c>
      <c r="G84" s="178" t="e">
        <f t="shared" si="11"/>
        <v>#N/A</v>
      </c>
      <c r="H84" s="264" t="s">
        <v>2136</v>
      </c>
      <c r="I84" s="264" t="s">
        <v>5427</v>
      </c>
      <c r="J84" s="264"/>
      <c r="K84" s="264" t="s">
        <v>2136</v>
      </c>
      <c r="L84" s="178" t="e">
        <f t="shared" si="7"/>
        <v>#N/A</v>
      </c>
      <c r="M84" s="178" t="e">
        <f t="shared" si="8"/>
        <v>#N/A</v>
      </c>
      <c r="N84" s="178" t="e">
        <f t="shared" si="9"/>
        <v>#N/A</v>
      </c>
    </row>
    <row r="85" spans="1:14">
      <c r="A85" s="181" t="s">
        <v>2335</v>
      </c>
      <c r="B85" s="181"/>
      <c r="C85" s="181" t="s">
        <v>2989</v>
      </c>
      <c r="D85" s="181" t="s">
        <v>2335</v>
      </c>
      <c r="E85" s="178" t="e">
        <f t="shared" si="6"/>
        <v>#N/A</v>
      </c>
      <c r="F85" s="178" t="e">
        <f t="shared" si="10"/>
        <v>#N/A</v>
      </c>
      <c r="G85" s="178" t="e">
        <f t="shared" si="11"/>
        <v>#N/A</v>
      </c>
      <c r="H85" s="264" t="s">
        <v>2137</v>
      </c>
      <c r="I85" s="264" t="s">
        <v>5427</v>
      </c>
      <c r="J85" s="264"/>
      <c r="K85" s="264" t="s">
        <v>2137</v>
      </c>
      <c r="L85" s="178" t="e">
        <f t="shared" si="7"/>
        <v>#N/A</v>
      </c>
      <c r="M85" s="178" t="e">
        <f t="shared" si="8"/>
        <v>#N/A</v>
      </c>
      <c r="N85" s="178" t="e">
        <f t="shared" si="9"/>
        <v>#N/A</v>
      </c>
    </row>
    <row r="86" spans="1:14">
      <c r="A86" s="181" t="s">
        <v>2336</v>
      </c>
      <c r="B86" s="181"/>
      <c r="C86" s="181" t="s">
        <v>2990</v>
      </c>
      <c r="D86" s="181" t="s">
        <v>2336</v>
      </c>
      <c r="E86" s="178" t="e">
        <f t="shared" si="6"/>
        <v>#N/A</v>
      </c>
      <c r="F86" s="178" t="e">
        <f t="shared" si="10"/>
        <v>#N/A</v>
      </c>
      <c r="G86" s="178" t="e">
        <f t="shared" si="11"/>
        <v>#N/A</v>
      </c>
      <c r="H86" s="264" t="s">
        <v>2145</v>
      </c>
      <c r="I86" s="264" t="s">
        <v>5427</v>
      </c>
      <c r="J86" s="264"/>
      <c r="K86" s="264" t="s">
        <v>2145</v>
      </c>
      <c r="L86" s="178" t="e">
        <f t="shared" si="7"/>
        <v>#N/A</v>
      </c>
      <c r="M86" s="178" t="e">
        <f t="shared" si="8"/>
        <v>#N/A</v>
      </c>
      <c r="N86" s="178" t="e">
        <f t="shared" si="9"/>
        <v>#N/A</v>
      </c>
    </row>
    <row r="87" spans="1:14">
      <c r="A87" s="181" t="s">
        <v>2337</v>
      </c>
      <c r="B87" s="181"/>
      <c r="C87" s="181" t="s">
        <v>2991</v>
      </c>
      <c r="D87" s="181" t="s">
        <v>2337</v>
      </c>
      <c r="E87" s="178" t="e">
        <f t="shared" si="6"/>
        <v>#N/A</v>
      </c>
      <c r="F87" s="178" t="e">
        <f t="shared" si="10"/>
        <v>#N/A</v>
      </c>
      <c r="G87" s="178" t="e">
        <f t="shared" si="11"/>
        <v>#N/A</v>
      </c>
      <c r="H87" s="263" t="s">
        <v>2146</v>
      </c>
      <c r="I87" s="263" t="s">
        <v>5427</v>
      </c>
      <c r="J87" s="178" t="s">
        <v>254</v>
      </c>
      <c r="K87" s="263" t="s">
        <v>2146</v>
      </c>
      <c r="L87" s="178" t="e">
        <f t="shared" si="7"/>
        <v>#N/A</v>
      </c>
      <c r="M87" s="178" t="e">
        <f t="shared" si="8"/>
        <v>#N/A</v>
      </c>
      <c r="N87" s="178" t="e">
        <f t="shared" si="9"/>
        <v>#N/A</v>
      </c>
    </row>
    <row r="88" spans="1:14">
      <c r="A88" s="181" t="s">
        <v>2338</v>
      </c>
      <c r="B88" s="181"/>
      <c r="C88" s="181" t="s">
        <v>2992</v>
      </c>
      <c r="D88" s="181" t="s">
        <v>2338</v>
      </c>
      <c r="E88" s="178" t="e">
        <f t="shared" si="6"/>
        <v>#N/A</v>
      </c>
      <c r="F88" s="178" t="e">
        <f t="shared" si="10"/>
        <v>#N/A</v>
      </c>
      <c r="G88" s="178" t="e">
        <f t="shared" si="11"/>
        <v>#N/A</v>
      </c>
      <c r="H88" s="263" t="s">
        <v>2147</v>
      </c>
      <c r="I88" s="263" t="s">
        <v>5427</v>
      </c>
      <c r="J88" s="178" t="s">
        <v>2838</v>
      </c>
      <c r="K88" s="263" t="s">
        <v>2147</v>
      </c>
      <c r="L88" s="178" t="e">
        <f t="shared" si="7"/>
        <v>#N/A</v>
      </c>
      <c r="M88" s="178" t="e">
        <f t="shared" si="8"/>
        <v>#N/A</v>
      </c>
      <c r="N88" s="178" t="e">
        <f t="shared" si="9"/>
        <v>#N/A</v>
      </c>
    </row>
    <row r="89" spans="1:14">
      <c r="A89" s="181" t="s">
        <v>2339</v>
      </c>
      <c r="B89" s="181"/>
      <c r="C89" s="181" t="s">
        <v>2993</v>
      </c>
      <c r="D89" s="181" t="s">
        <v>2339</v>
      </c>
      <c r="E89" s="178" t="e">
        <f t="shared" si="6"/>
        <v>#N/A</v>
      </c>
      <c r="F89" s="178" t="e">
        <f t="shared" si="10"/>
        <v>#N/A</v>
      </c>
      <c r="G89" s="178" t="e">
        <f t="shared" si="11"/>
        <v>#N/A</v>
      </c>
      <c r="H89" s="264" t="s">
        <v>2143</v>
      </c>
      <c r="I89" s="264" t="s">
        <v>5427</v>
      </c>
      <c r="J89" s="264"/>
      <c r="K89" s="264" t="s">
        <v>2143</v>
      </c>
      <c r="L89" s="178" t="e">
        <f t="shared" si="7"/>
        <v>#N/A</v>
      </c>
      <c r="M89" s="178" t="e">
        <f t="shared" si="8"/>
        <v>#N/A</v>
      </c>
      <c r="N89" s="178" t="e">
        <f t="shared" si="9"/>
        <v>#N/A</v>
      </c>
    </row>
    <row r="90" spans="1:14">
      <c r="A90" s="181" t="s">
        <v>2340</v>
      </c>
      <c r="B90" s="181"/>
      <c r="C90" s="181" t="s">
        <v>2994</v>
      </c>
      <c r="D90" s="181" t="s">
        <v>2340</v>
      </c>
      <c r="E90" s="178" t="e">
        <f t="shared" si="6"/>
        <v>#N/A</v>
      </c>
      <c r="F90" s="178" t="e">
        <f t="shared" si="10"/>
        <v>#N/A</v>
      </c>
      <c r="G90" s="178" t="e">
        <f t="shared" si="11"/>
        <v>#N/A</v>
      </c>
      <c r="H90" s="264" t="s">
        <v>2148</v>
      </c>
      <c r="I90" s="264" t="s">
        <v>5427</v>
      </c>
      <c r="J90" s="264"/>
      <c r="K90" s="264" t="s">
        <v>2148</v>
      </c>
      <c r="L90" s="178" t="e">
        <f t="shared" si="7"/>
        <v>#N/A</v>
      </c>
      <c r="M90" s="178" t="e">
        <f t="shared" si="8"/>
        <v>#N/A</v>
      </c>
      <c r="N90" s="178" t="e">
        <f t="shared" si="9"/>
        <v>#N/A</v>
      </c>
    </row>
    <row r="91" spans="1:14">
      <c r="A91" s="181" t="s">
        <v>2341</v>
      </c>
      <c r="B91" s="181"/>
      <c r="C91" s="181" t="s">
        <v>2995</v>
      </c>
      <c r="D91" s="181" t="s">
        <v>2341</v>
      </c>
      <c r="E91" s="178" t="e">
        <f t="shared" si="6"/>
        <v>#N/A</v>
      </c>
      <c r="F91" s="178" t="e">
        <f t="shared" si="10"/>
        <v>#N/A</v>
      </c>
      <c r="G91" s="178" t="e">
        <f t="shared" si="11"/>
        <v>#N/A</v>
      </c>
      <c r="H91" s="263" t="s">
        <v>2149</v>
      </c>
      <c r="I91" s="263" t="s">
        <v>5427</v>
      </c>
      <c r="J91" s="178" t="s">
        <v>2841</v>
      </c>
      <c r="K91" s="263" t="s">
        <v>2149</v>
      </c>
      <c r="L91" s="178" t="e">
        <f t="shared" si="7"/>
        <v>#N/A</v>
      </c>
      <c r="M91" s="178" t="e">
        <f t="shared" si="8"/>
        <v>#N/A</v>
      </c>
      <c r="N91" s="178" t="e">
        <f t="shared" si="9"/>
        <v>#N/A</v>
      </c>
    </row>
    <row r="92" spans="1:14">
      <c r="A92" s="181" t="s">
        <v>2342</v>
      </c>
      <c r="B92" s="181"/>
      <c r="C92" s="181" t="s">
        <v>2996</v>
      </c>
      <c r="D92" s="181" t="s">
        <v>2342</v>
      </c>
      <c r="E92" s="178" t="e">
        <f t="shared" si="6"/>
        <v>#N/A</v>
      </c>
      <c r="F92" s="178" t="e">
        <f t="shared" si="10"/>
        <v>#N/A</v>
      </c>
      <c r="G92" s="178" t="e">
        <f t="shared" si="11"/>
        <v>#N/A</v>
      </c>
      <c r="H92" s="264" t="s">
        <v>2150</v>
      </c>
      <c r="I92" s="264" t="s">
        <v>5427</v>
      </c>
      <c r="J92" s="181"/>
      <c r="K92" s="264" t="s">
        <v>2150</v>
      </c>
      <c r="L92" s="178" t="e">
        <f t="shared" si="7"/>
        <v>#N/A</v>
      </c>
      <c r="M92" s="178" t="e">
        <f t="shared" si="8"/>
        <v>#N/A</v>
      </c>
      <c r="N92" s="178" t="e">
        <f t="shared" si="9"/>
        <v>#N/A</v>
      </c>
    </row>
    <row r="93" spans="1:14">
      <c r="A93" s="181" t="s">
        <v>2343</v>
      </c>
      <c r="B93" s="181"/>
      <c r="C93" s="181" t="s">
        <v>803</v>
      </c>
      <c r="D93" s="181" t="s">
        <v>2343</v>
      </c>
      <c r="E93" s="178" t="str">
        <f t="shared" si="6"/>
        <v>A3015</v>
      </c>
      <c r="F93" s="178">
        <f t="shared" si="10"/>
        <v>0</v>
      </c>
      <c r="G93" s="178">
        <f t="shared" si="11"/>
        <v>1</v>
      </c>
      <c r="H93" s="263" t="s">
        <v>2151</v>
      </c>
      <c r="I93" s="263" t="s">
        <v>5427</v>
      </c>
      <c r="J93" s="178" t="s">
        <v>2728</v>
      </c>
      <c r="K93" s="263" t="s">
        <v>2151</v>
      </c>
      <c r="L93" s="178" t="e">
        <f t="shared" si="7"/>
        <v>#N/A</v>
      </c>
      <c r="M93" s="178" t="e">
        <f t="shared" si="8"/>
        <v>#N/A</v>
      </c>
      <c r="N93" s="178" t="e">
        <f t="shared" si="9"/>
        <v>#N/A</v>
      </c>
    </row>
    <row r="94" spans="1:14">
      <c r="A94" s="181" t="s">
        <v>2344</v>
      </c>
      <c r="B94" s="181"/>
      <c r="C94" s="181" t="s">
        <v>892</v>
      </c>
      <c r="D94" s="181" t="s">
        <v>2344</v>
      </c>
      <c r="E94" s="178" t="str">
        <f t="shared" si="6"/>
        <v>A3047</v>
      </c>
      <c r="F94" s="178">
        <f t="shared" si="10"/>
        <v>0</v>
      </c>
      <c r="G94" s="178">
        <f t="shared" si="11"/>
        <v>1</v>
      </c>
      <c r="H94" s="264" t="s">
        <v>2152</v>
      </c>
      <c r="I94" s="264" t="s">
        <v>5427</v>
      </c>
      <c r="J94" s="264"/>
      <c r="K94" s="264" t="s">
        <v>2152</v>
      </c>
      <c r="L94" s="178" t="e">
        <f t="shared" si="7"/>
        <v>#N/A</v>
      </c>
      <c r="M94" s="178" t="e">
        <f t="shared" si="8"/>
        <v>#N/A</v>
      </c>
      <c r="N94" s="178" t="e">
        <f t="shared" si="9"/>
        <v>#N/A</v>
      </c>
    </row>
    <row r="95" spans="1:14">
      <c r="A95" s="181" t="s">
        <v>2345</v>
      </c>
      <c r="B95" s="181"/>
      <c r="C95" s="181" t="s">
        <v>2997</v>
      </c>
      <c r="D95" s="181" t="s">
        <v>2345</v>
      </c>
      <c r="E95" s="178" t="e">
        <f t="shared" si="6"/>
        <v>#N/A</v>
      </c>
      <c r="F95" s="178" t="e">
        <f t="shared" si="10"/>
        <v>#N/A</v>
      </c>
      <c r="G95" s="178" t="e">
        <f t="shared" si="11"/>
        <v>#N/A</v>
      </c>
      <c r="H95" s="264" t="s">
        <v>2153</v>
      </c>
      <c r="I95" s="264" t="s">
        <v>5427</v>
      </c>
      <c r="J95" s="264"/>
      <c r="K95" s="264" t="s">
        <v>2153</v>
      </c>
      <c r="L95" s="178" t="e">
        <f t="shared" si="7"/>
        <v>#N/A</v>
      </c>
      <c r="M95" s="178" t="e">
        <f t="shared" si="8"/>
        <v>#N/A</v>
      </c>
      <c r="N95" s="178" t="e">
        <f t="shared" si="9"/>
        <v>#N/A</v>
      </c>
    </row>
    <row r="96" spans="1:14">
      <c r="A96" s="178" t="s">
        <v>2346</v>
      </c>
      <c r="B96" s="178" t="s">
        <v>5673</v>
      </c>
      <c r="C96" s="178" t="s">
        <v>1415</v>
      </c>
      <c r="D96" s="178" t="s">
        <v>2346</v>
      </c>
      <c r="E96" s="178" t="e">
        <f t="shared" si="6"/>
        <v>#N/A</v>
      </c>
      <c r="F96" s="178" t="e">
        <f t="shared" si="10"/>
        <v>#N/A</v>
      </c>
      <c r="G96" s="178" t="e">
        <f t="shared" si="11"/>
        <v>#N/A</v>
      </c>
      <c r="H96" s="264" t="s">
        <v>2154</v>
      </c>
      <c r="I96" s="264" t="s">
        <v>5427</v>
      </c>
      <c r="J96" s="264"/>
      <c r="K96" s="264" t="s">
        <v>2154</v>
      </c>
      <c r="L96" s="178" t="e">
        <f t="shared" si="7"/>
        <v>#N/A</v>
      </c>
      <c r="M96" s="178" t="e">
        <f t="shared" si="8"/>
        <v>#N/A</v>
      </c>
      <c r="N96" s="178" t="e">
        <f t="shared" si="9"/>
        <v>#N/A</v>
      </c>
    </row>
    <row r="97" spans="1:14">
      <c r="A97" s="178" t="s">
        <v>2347</v>
      </c>
      <c r="B97" s="178" t="s">
        <v>5673</v>
      </c>
      <c r="C97" s="178" t="s">
        <v>1416</v>
      </c>
      <c r="D97" s="178" t="s">
        <v>2347</v>
      </c>
      <c r="E97" s="178" t="e">
        <f t="shared" si="6"/>
        <v>#N/A</v>
      </c>
      <c r="F97" s="178" t="e">
        <f t="shared" si="10"/>
        <v>#N/A</v>
      </c>
      <c r="G97" s="178" t="e">
        <f t="shared" si="11"/>
        <v>#N/A</v>
      </c>
      <c r="H97" s="264" t="s">
        <v>2155</v>
      </c>
      <c r="I97" s="264" t="s">
        <v>5427</v>
      </c>
      <c r="J97" s="264"/>
      <c r="K97" s="264" t="s">
        <v>2155</v>
      </c>
      <c r="L97" s="178" t="e">
        <f t="shared" si="7"/>
        <v>#N/A</v>
      </c>
      <c r="M97" s="178" t="e">
        <f t="shared" si="8"/>
        <v>#N/A</v>
      </c>
      <c r="N97" s="178" t="e">
        <f t="shared" si="9"/>
        <v>#N/A</v>
      </c>
    </row>
    <row r="98" spans="1:14">
      <c r="A98" s="178" t="s">
        <v>2348</v>
      </c>
      <c r="B98" s="178" t="s">
        <v>5673</v>
      </c>
      <c r="C98" s="178" t="s">
        <v>1417</v>
      </c>
      <c r="D98" s="178" t="s">
        <v>2348</v>
      </c>
      <c r="E98" s="178" t="e">
        <f t="shared" si="6"/>
        <v>#N/A</v>
      </c>
      <c r="F98" s="178" t="e">
        <f t="shared" si="10"/>
        <v>#N/A</v>
      </c>
      <c r="G98" s="178" t="e">
        <f t="shared" si="11"/>
        <v>#N/A</v>
      </c>
      <c r="H98" s="264" t="s">
        <v>2156</v>
      </c>
      <c r="I98" s="264" t="s">
        <v>5427</v>
      </c>
      <c r="J98" s="264"/>
      <c r="K98" s="264" t="s">
        <v>2156</v>
      </c>
      <c r="L98" s="178" t="e">
        <f t="shared" si="7"/>
        <v>#N/A</v>
      </c>
      <c r="M98" s="178" t="e">
        <f t="shared" si="8"/>
        <v>#N/A</v>
      </c>
      <c r="N98" s="178" t="e">
        <f t="shared" si="9"/>
        <v>#N/A</v>
      </c>
    </row>
    <row r="99" spans="1:14">
      <c r="A99" s="181" t="s">
        <v>2349</v>
      </c>
      <c r="B99" s="181"/>
      <c r="C99" s="181" t="s">
        <v>766</v>
      </c>
      <c r="D99" s="181" t="s">
        <v>2349</v>
      </c>
      <c r="E99" s="178" t="str">
        <f t="shared" si="6"/>
        <v>A3004</v>
      </c>
      <c r="F99" s="178">
        <f t="shared" si="10"/>
        <v>0</v>
      </c>
      <c r="G99" s="178">
        <f t="shared" si="11"/>
        <v>1</v>
      </c>
      <c r="H99" s="264" t="s">
        <v>2157</v>
      </c>
      <c r="I99" s="264" t="s">
        <v>5427</v>
      </c>
      <c r="J99" s="264"/>
      <c r="K99" s="264" t="s">
        <v>2157</v>
      </c>
      <c r="L99" s="178" t="e">
        <f t="shared" si="7"/>
        <v>#N/A</v>
      </c>
      <c r="M99" s="178" t="e">
        <f t="shared" si="8"/>
        <v>#N/A</v>
      </c>
      <c r="N99" s="178" t="e">
        <f t="shared" si="9"/>
        <v>#N/A</v>
      </c>
    </row>
    <row r="100" spans="1:14">
      <c r="A100" s="181" t="s">
        <v>2350</v>
      </c>
      <c r="B100" s="181"/>
      <c r="C100" s="181" t="s">
        <v>2998</v>
      </c>
      <c r="D100" s="181" t="s">
        <v>2350</v>
      </c>
      <c r="E100" s="178" t="e">
        <f t="shared" si="6"/>
        <v>#N/A</v>
      </c>
      <c r="F100" s="178" t="e">
        <f t="shared" si="10"/>
        <v>#N/A</v>
      </c>
      <c r="G100" s="178" t="e">
        <f t="shared" si="11"/>
        <v>#N/A</v>
      </c>
      <c r="H100" s="264" t="s">
        <v>2158</v>
      </c>
      <c r="I100" s="264" t="s">
        <v>5427</v>
      </c>
      <c r="J100" s="264"/>
      <c r="K100" s="264" t="s">
        <v>2158</v>
      </c>
      <c r="L100" s="178" t="e">
        <f t="shared" si="7"/>
        <v>#N/A</v>
      </c>
      <c r="M100" s="178" t="e">
        <f t="shared" si="8"/>
        <v>#N/A</v>
      </c>
      <c r="N100" s="178" t="e">
        <f t="shared" si="9"/>
        <v>#N/A</v>
      </c>
    </row>
    <row r="101" spans="1:14">
      <c r="A101" s="178" t="s">
        <v>2351</v>
      </c>
      <c r="B101" s="178" t="s">
        <v>5613</v>
      </c>
      <c r="C101" s="178" t="s">
        <v>785</v>
      </c>
      <c r="D101" s="178" t="s">
        <v>2351</v>
      </c>
      <c r="E101" s="178" t="str">
        <f t="shared" si="6"/>
        <v>A3011</v>
      </c>
      <c r="F101" s="178" t="str">
        <f t="shared" si="10"/>
        <v>GEA_NICE신용요약정보조회Dto</v>
      </c>
      <c r="G101" s="178">
        <f t="shared" si="11"/>
        <v>1</v>
      </c>
      <c r="H101" s="264" t="s">
        <v>2159</v>
      </c>
      <c r="I101" s="264" t="s">
        <v>5427</v>
      </c>
      <c r="J101" s="264"/>
      <c r="K101" s="264" t="s">
        <v>2159</v>
      </c>
      <c r="L101" s="178" t="e">
        <f t="shared" si="7"/>
        <v>#N/A</v>
      </c>
      <c r="M101" s="178" t="e">
        <f t="shared" si="8"/>
        <v>#N/A</v>
      </c>
      <c r="N101" s="178" t="e">
        <f t="shared" si="9"/>
        <v>#N/A</v>
      </c>
    </row>
    <row r="102" spans="1:14">
      <c r="A102" s="178" t="s">
        <v>2352</v>
      </c>
      <c r="B102" s="178" t="s">
        <v>5613</v>
      </c>
      <c r="C102" s="178" t="s">
        <v>2999</v>
      </c>
      <c r="D102" s="178" t="s">
        <v>2352</v>
      </c>
      <c r="E102" s="178" t="e">
        <f t="shared" si="6"/>
        <v>#N/A</v>
      </c>
      <c r="F102" s="178" t="e">
        <f t="shared" si="10"/>
        <v>#N/A</v>
      </c>
      <c r="G102" s="178" t="e">
        <f t="shared" si="11"/>
        <v>#N/A</v>
      </c>
      <c r="H102" s="264" t="s">
        <v>2607</v>
      </c>
      <c r="I102" s="264" t="s">
        <v>5427</v>
      </c>
      <c r="J102" s="264"/>
      <c r="K102" s="264" t="s">
        <v>2607</v>
      </c>
      <c r="L102" s="178" t="e">
        <f t="shared" si="7"/>
        <v>#N/A</v>
      </c>
      <c r="M102" s="178" t="e">
        <f t="shared" si="8"/>
        <v>#N/A</v>
      </c>
      <c r="N102" s="178" t="e">
        <f t="shared" si="9"/>
        <v>#N/A</v>
      </c>
    </row>
    <row r="103" spans="1:14">
      <c r="A103" s="181" t="s">
        <v>2353</v>
      </c>
      <c r="B103" s="181"/>
      <c r="C103" s="181" t="s">
        <v>3000</v>
      </c>
      <c r="D103" s="181" t="s">
        <v>2353</v>
      </c>
      <c r="E103" s="178" t="e">
        <f t="shared" si="6"/>
        <v>#N/A</v>
      </c>
      <c r="F103" s="178" t="e">
        <f t="shared" si="10"/>
        <v>#N/A</v>
      </c>
      <c r="G103" s="178" t="e">
        <f t="shared" si="11"/>
        <v>#N/A</v>
      </c>
      <c r="H103" s="264" t="s">
        <v>2608</v>
      </c>
      <c r="I103" s="264" t="s">
        <v>5427</v>
      </c>
      <c r="J103" s="264"/>
      <c r="K103" s="264" t="s">
        <v>2608</v>
      </c>
      <c r="L103" s="178" t="e">
        <f t="shared" si="7"/>
        <v>#N/A</v>
      </c>
      <c r="M103" s="178" t="e">
        <f t="shared" si="8"/>
        <v>#N/A</v>
      </c>
      <c r="N103" s="178" t="e">
        <f t="shared" si="9"/>
        <v>#N/A</v>
      </c>
    </row>
    <row r="104" spans="1:14">
      <c r="A104" s="181" t="s">
        <v>2354</v>
      </c>
      <c r="B104" s="181"/>
      <c r="C104" s="181" t="s">
        <v>3001</v>
      </c>
      <c r="D104" s="181" t="s">
        <v>2354</v>
      </c>
      <c r="E104" s="178" t="e">
        <f t="shared" si="6"/>
        <v>#N/A</v>
      </c>
      <c r="F104" s="178" t="e">
        <f t="shared" si="10"/>
        <v>#N/A</v>
      </c>
      <c r="G104" s="178" t="e">
        <f t="shared" si="11"/>
        <v>#N/A</v>
      </c>
      <c r="H104" s="264" t="s">
        <v>2609</v>
      </c>
      <c r="I104" s="264" t="s">
        <v>5427</v>
      </c>
      <c r="J104" s="264"/>
      <c r="K104" s="264" t="s">
        <v>2609</v>
      </c>
      <c r="L104" s="178" t="e">
        <f t="shared" si="7"/>
        <v>#N/A</v>
      </c>
      <c r="M104" s="178" t="e">
        <f t="shared" si="8"/>
        <v>#N/A</v>
      </c>
      <c r="N104" s="178" t="e">
        <f t="shared" si="9"/>
        <v>#N/A</v>
      </c>
    </row>
    <row r="105" spans="1:14">
      <c r="A105" s="181" t="s">
        <v>2355</v>
      </c>
      <c r="B105" s="181"/>
      <c r="C105" s="181" t="s">
        <v>3002</v>
      </c>
      <c r="D105" s="181" t="s">
        <v>2355</v>
      </c>
      <c r="E105" s="178" t="e">
        <f t="shared" si="6"/>
        <v>#N/A</v>
      </c>
      <c r="F105" s="178" t="e">
        <f t="shared" si="10"/>
        <v>#N/A</v>
      </c>
      <c r="G105" s="178" t="e">
        <f t="shared" si="11"/>
        <v>#N/A</v>
      </c>
      <c r="H105" s="263" t="s">
        <v>2610</v>
      </c>
      <c r="I105" s="263" t="s">
        <v>5427</v>
      </c>
      <c r="J105" s="178" t="s">
        <v>2740</v>
      </c>
      <c r="K105" s="263" t="s">
        <v>2610</v>
      </c>
      <c r="L105" s="178" t="e">
        <f t="shared" si="7"/>
        <v>#N/A</v>
      </c>
      <c r="M105" s="178" t="e">
        <f t="shared" si="8"/>
        <v>#N/A</v>
      </c>
      <c r="N105" s="178" t="e">
        <f t="shared" si="9"/>
        <v>#N/A</v>
      </c>
    </row>
    <row r="106" spans="1:14">
      <c r="A106" s="178" t="s">
        <v>2356</v>
      </c>
      <c r="B106" s="178" t="s">
        <v>5613</v>
      </c>
      <c r="C106" s="178" t="s">
        <v>756</v>
      </c>
      <c r="D106" s="178" t="s">
        <v>2356</v>
      </c>
      <c r="E106" s="178" t="str">
        <f t="shared" si="6"/>
        <v>A3001</v>
      </c>
      <c r="F106" s="178">
        <f t="shared" si="10"/>
        <v>0</v>
      </c>
      <c r="G106" s="178">
        <f t="shared" si="11"/>
        <v>0</v>
      </c>
      <c r="H106" s="263" t="s">
        <v>2611</v>
      </c>
      <c r="I106" s="263" t="s">
        <v>5427</v>
      </c>
      <c r="J106" s="178" t="s">
        <v>1027</v>
      </c>
      <c r="K106" s="263" t="s">
        <v>2611</v>
      </c>
      <c r="L106" s="178" t="e">
        <f t="shared" si="7"/>
        <v>#N/A</v>
      </c>
      <c r="M106" s="178" t="e">
        <f t="shared" si="8"/>
        <v>#N/A</v>
      </c>
      <c r="N106" s="178" t="e">
        <f t="shared" si="9"/>
        <v>#N/A</v>
      </c>
    </row>
    <row r="107" spans="1:14">
      <c r="A107" s="178" t="s">
        <v>2357</v>
      </c>
      <c r="B107" s="178" t="s">
        <v>5613</v>
      </c>
      <c r="C107" s="178" t="s">
        <v>800</v>
      </c>
      <c r="D107" s="178" t="s">
        <v>2357</v>
      </c>
      <c r="E107" s="178" t="str">
        <f t="shared" si="6"/>
        <v>A3014</v>
      </c>
      <c r="F107" s="178">
        <f t="shared" si="10"/>
        <v>0</v>
      </c>
      <c r="G107" s="178">
        <f t="shared" si="11"/>
        <v>0</v>
      </c>
      <c r="H107" s="263" t="s">
        <v>2612</v>
      </c>
      <c r="I107" s="263" t="s">
        <v>5427</v>
      </c>
      <c r="J107" s="178" t="s">
        <v>2742</v>
      </c>
      <c r="K107" s="263" t="s">
        <v>2612</v>
      </c>
      <c r="L107" s="178" t="e">
        <f t="shared" si="7"/>
        <v>#N/A</v>
      </c>
      <c r="M107" s="178" t="e">
        <f t="shared" si="8"/>
        <v>#N/A</v>
      </c>
      <c r="N107" s="178" t="e">
        <f t="shared" si="9"/>
        <v>#N/A</v>
      </c>
    </row>
    <row r="108" spans="1:14">
      <c r="A108" s="178" t="s">
        <v>2358</v>
      </c>
      <c r="B108" s="178" t="s">
        <v>5613</v>
      </c>
      <c r="C108" s="178" t="s">
        <v>769</v>
      </c>
      <c r="D108" s="178" t="s">
        <v>2358</v>
      </c>
      <c r="E108" s="178" t="str">
        <f t="shared" si="6"/>
        <v>A3005</v>
      </c>
      <c r="F108" s="178">
        <f t="shared" si="10"/>
        <v>0</v>
      </c>
      <c r="G108" s="178">
        <f t="shared" si="11"/>
        <v>0</v>
      </c>
      <c r="H108" s="263" t="s">
        <v>2613</v>
      </c>
      <c r="I108" s="263" t="s">
        <v>5427</v>
      </c>
      <c r="J108" s="178" t="s">
        <v>92</v>
      </c>
      <c r="K108" s="263" t="s">
        <v>2613</v>
      </c>
      <c r="L108" s="178" t="str">
        <f t="shared" si="7"/>
        <v>A3051</v>
      </c>
      <c r="M108" s="178" t="str">
        <f t="shared" si="8"/>
        <v>GEA_NICE신용평점정보조회Dto</v>
      </c>
      <c r="N108" s="178">
        <f t="shared" si="9"/>
        <v>0</v>
      </c>
    </row>
    <row r="109" spans="1:14">
      <c r="A109" s="178" t="s">
        <v>2359</v>
      </c>
      <c r="B109" s="178" t="s">
        <v>5613</v>
      </c>
      <c r="C109" s="178" t="s">
        <v>763</v>
      </c>
      <c r="D109" s="178" t="s">
        <v>2359</v>
      </c>
      <c r="E109" s="178" t="str">
        <f t="shared" si="6"/>
        <v>A3003</v>
      </c>
      <c r="F109" s="178">
        <f t="shared" si="10"/>
        <v>0</v>
      </c>
      <c r="G109" s="178">
        <f t="shared" si="11"/>
        <v>0</v>
      </c>
      <c r="H109" s="264" t="s">
        <v>2614</v>
      </c>
      <c r="I109" s="264" t="s">
        <v>5427</v>
      </c>
      <c r="J109" s="264"/>
      <c r="K109" s="264" t="s">
        <v>2614</v>
      </c>
      <c r="L109" s="178" t="e">
        <f t="shared" si="7"/>
        <v>#N/A</v>
      </c>
      <c r="M109" s="178" t="e">
        <f t="shared" si="8"/>
        <v>#N/A</v>
      </c>
      <c r="N109" s="178" t="e">
        <f t="shared" si="9"/>
        <v>#N/A</v>
      </c>
    </row>
    <row r="110" spans="1:14">
      <c r="A110" s="178" t="s">
        <v>2360</v>
      </c>
      <c r="B110" s="178" t="s">
        <v>5613</v>
      </c>
      <c r="C110" s="178" t="s">
        <v>772</v>
      </c>
      <c r="D110" s="178" t="s">
        <v>2360</v>
      </c>
      <c r="E110" s="178" t="str">
        <f t="shared" si="6"/>
        <v>A3006</v>
      </c>
      <c r="F110" s="178">
        <f t="shared" si="10"/>
        <v>0</v>
      </c>
      <c r="G110" s="178">
        <f t="shared" si="11"/>
        <v>0</v>
      </c>
      <c r="H110" s="264" t="s">
        <v>2615</v>
      </c>
      <c r="I110" s="264" t="s">
        <v>5427</v>
      </c>
      <c r="J110" s="264"/>
      <c r="K110" s="264" t="s">
        <v>2615</v>
      </c>
      <c r="L110" s="178" t="e">
        <f t="shared" si="7"/>
        <v>#N/A</v>
      </c>
      <c r="M110" s="178" t="e">
        <f t="shared" si="8"/>
        <v>#N/A</v>
      </c>
      <c r="N110" s="178" t="e">
        <f t="shared" si="9"/>
        <v>#N/A</v>
      </c>
    </row>
    <row r="111" spans="1:14">
      <c r="A111" s="178" t="s">
        <v>2361</v>
      </c>
      <c r="B111" s="178" t="s">
        <v>5613</v>
      </c>
      <c r="C111" s="178" t="s">
        <v>788</v>
      </c>
      <c r="D111" s="178" t="s">
        <v>2361</v>
      </c>
      <c r="E111" s="178" t="str">
        <f t="shared" si="6"/>
        <v>A3012</v>
      </c>
      <c r="F111" s="178">
        <f t="shared" si="10"/>
        <v>0</v>
      </c>
      <c r="G111" s="178">
        <f t="shared" si="11"/>
        <v>0</v>
      </c>
      <c r="H111" s="263" t="s">
        <v>2616</v>
      </c>
      <c r="I111" s="263" t="s">
        <v>5427</v>
      </c>
      <c r="J111" s="178" t="s">
        <v>3580</v>
      </c>
      <c r="K111" s="263" t="s">
        <v>2616</v>
      </c>
      <c r="L111" s="178" t="e">
        <f t="shared" si="7"/>
        <v>#N/A</v>
      </c>
      <c r="M111" s="178" t="e">
        <f t="shared" si="8"/>
        <v>#N/A</v>
      </c>
      <c r="N111" s="178" t="e">
        <f t="shared" si="9"/>
        <v>#N/A</v>
      </c>
    </row>
    <row r="112" spans="1:14">
      <c r="A112" s="178" t="s">
        <v>2362</v>
      </c>
      <c r="B112" s="178" t="s">
        <v>5613</v>
      </c>
      <c r="C112" s="178" t="s">
        <v>791</v>
      </c>
      <c r="D112" s="178" t="s">
        <v>2362</v>
      </c>
      <c r="E112" s="178" t="str">
        <f t="shared" si="6"/>
        <v>A3013</v>
      </c>
      <c r="F112" s="178">
        <f t="shared" si="10"/>
        <v>0</v>
      </c>
      <c r="G112" s="178">
        <f t="shared" si="11"/>
        <v>0</v>
      </c>
      <c r="H112" s="263" t="s">
        <v>2617</v>
      </c>
      <c r="I112" s="263" t="s">
        <v>5427</v>
      </c>
      <c r="J112" s="178" t="s">
        <v>5859</v>
      </c>
      <c r="K112" s="263" t="s">
        <v>2617</v>
      </c>
      <c r="L112" s="178" t="e">
        <f t="shared" si="7"/>
        <v>#N/A</v>
      </c>
      <c r="M112" s="178" t="e">
        <f t="shared" si="8"/>
        <v>#N/A</v>
      </c>
      <c r="N112" s="178" t="e">
        <f t="shared" si="9"/>
        <v>#N/A</v>
      </c>
    </row>
    <row r="113" spans="1:14">
      <c r="A113" s="178" t="s">
        <v>2363</v>
      </c>
      <c r="B113" s="178" t="s">
        <v>5613</v>
      </c>
      <c r="C113" s="178" t="s">
        <v>797</v>
      </c>
      <c r="D113" s="178" t="s">
        <v>2363</v>
      </c>
      <c r="E113" s="178">
        <f t="shared" si="6"/>
        <v>0</v>
      </c>
      <c r="F113" s="178" t="e">
        <f t="shared" si="10"/>
        <v>#N/A</v>
      </c>
      <c r="G113" s="178" t="e">
        <f t="shared" si="11"/>
        <v>#N/A</v>
      </c>
      <c r="H113" s="263" t="s">
        <v>2618</v>
      </c>
      <c r="I113" s="263" t="s">
        <v>5427</v>
      </c>
      <c r="J113" s="178" t="s">
        <v>5860</v>
      </c>
      <c r="K113" s="263" t="s">
        <v>2618</v>
      </c>
      <c r="L113" s="178" t="e">
        <f t="shared" si="7"/>
        <v>#N/A</v>
      </c>
      <c r="M113" s="178" t="e">
        <f t="shared" si="8"/>
        <v>#N/A</v>
      </c>
      <c r="N113" s="178" t="e">
        <f t="shared" si="9"/>
        <v>#N/A</v>
      </c>
    </row>
    <row r="114" spans="1:14">
      <c r="A114" s="178" t="s">
        <v>2364</v>
      </c>
      <c r="B114" s="178" t="s">
        <v>5613</v>
      </c>
      <c r="C114" s="178" t="s">
        <v>794</v>
      </c>
      <c r="D114" s="178" t="s">
        <v>2364</v>
      </c>
      <c r="E114" s="178">
        <f t="shared" si="6"/>
        <v>0</v>
      </c>
      <c r="F114" s="178" t="e">
        <f t="shared" si="10"/>
        <v>#N/A</v>
      </c>
      <c r="G114" s="178" t="e">
        <f t="shared" si="11"/>
        <v>#N/A</v>
      </c>
      <c r="H114" s="264" t="s">
        <v>2619</v>
      </c>
      <c r="I114" s="264" t="s">
        <v>5427</v>
      </c>
      <c r="J114" s="181"/>
      <c r="K114" s="264" t="s">
        <v>2619</v>
      </c>
      <c r="L114" s="178" t="e">
        <f t="shared" si="7"/>
        <v>#N/A</v>
      </c>
      <c r="M114" s="178" t="e">
        <f t="shared" si="8"/>
        <v>#N/A</v>
      </c>
      <c r="N114" s="178" t="e">
        <f t="shared" si="9"/>
        <v>#N/A</v>
      </c>
    </row>
    <row r="115" spans="1:14">
      <c r="A115" s="178" t="s">
        <v>2365</v>
      </c>
      <c r="B115" s="178" t="s">
        <v>5613</v>
      </c>
      <c r="C115" s="178" t="s">
        <v>857</v>
      </c>
      <c r="D115" s="178" t="s">
        <v>2365</v>
      </c>
      <c r="E115" s="178" t="str">
        <f t="shared" si="6"/>
        <v>A3033</v>
      </c>
      <c r="F115" s="178" t="str">
        <f t="shared" si="10"/>
        <v>GEA_NICE신용요약정보조회Dto</v>
      </c>
      <c r="G115" s="178">
        <f t="shared" si="11"/>
        <v>1</v>
      </c>
      <c r="H115" s="263" t="s">
        <v>2620</v>
      </c>
      <c r="I115" s="263" t="s">
        <v>5427</v>
      </c>
      <c r="J115" s="178" t="s">
        <v>5861</v>
      </c>
      <c r="K115" s="263" t="s">
        <v>2620</v>
      </c>
      <c r="L115" s="178" t="e">
        <f t="shared" si="7"/>
        <v>#N/A</v>
      </c>
      <c r="M115" s="178" t="e">
        <f t="shared" si="8"/>
        <v>#N/A</v>
      </c>
      <c r="N115" s="178" t="e">
        <f t="shared" si="9"/>
        <v>#N/A</v>
      </c>
    </row>
    <row r="116" spans="1:14">
      <c r="A116" s="178" t="s">
        <v>2366</v>
      </c>
      <c r="B116" s="178" t="s">
        <v>5613</v>
      </c>
      <c r="C116" s="178" t="s">
        <v>1336</v>
      </c>
      <c r="D116" s="178" t="s">
        <v>2366</v>
      </c>
      <c r="E116" s="178" t="e">
        <f t="shared" si="6"/>
        <v>#N/A</v>
      </c>
      <c r="F116" s="178" t="e">
        <f t="shared" si="10"/>
        <v>#N/A</v>
      </c>
      <c r="G116" s="178" t="e">
        <f t="shared" si="11"/>
        <v>#N/A</v>
      </c>
      <c r="H116" s="263" t="s">
        <v>2621</v>
      </c>
      <c r="I116" s="263" t="s">
        <v>5427</v>
      </c>
      <c r="J116" s="178" t="s">
        <v>2748</v>
      </c>
      <c r="K116" s="263" t="s">
        <v>2621</v>
      </c>
      <c r="L116" s="178" t="e">
        <f t="shared" si="7"/>
        <v>#N/A</v>
      </c>
      <c r="M116" s="178" t="e">
        <f t="shared" si="8"/>
        <v>#N/A</v>
      </c>
      <c r="N116" s="178" t="e">
        <f t="shared" si="9"/>
        <v>#N/A</v>
      </c>
    </row>
    <row r="117" spans="1:14">
      <c r="A117" s="178" t="s">
        <v>2367</v>
      </c>
      <c r="B117" s="178" t="s">
        <v>5613</v>
      </c>
      <c r="C117" s="178" t="s">
        <v>873</v>
      </c>
      <c r="D117" s="178" t="s">
        <v>2367</v>
      </c>
      <c r="E117" s="178" t="str">
        <f t="shared" si="6"/>
        <v>A3039</v>
      </c>
      <c r="F117" s="178" t="str">
        <f t="shared" si="10"/>
        <v>GEA_NICE신용요약정보조회Dto</v>
      </c>
      <c r="G117" s="178">
        <f t="shared" si="11"/>
        <v>1</v>
      </c>
      <c r="H117" s="264" t="s">
        <v>2622</v>
      </c>
      <c r="I117" s="264" t="s">
        <v>5427</v>
      </c>
      <c r="J117" s="181"/>
      <c r="K117" s="264" t="s">
        <v>2622</v>
      </c>
      <c r="L117" s="178" t="e">
        <f t="shared" si="7"/>
        <v>#N/A</v>
      </c>
      <c r="M117" s="178" t="e">
        <f t="shared" si="8"/>
        <v>#N/A</v>
      </c>
      <c r="N117" s="178" t="e">
        <f t="shared" si="9"/>
        <v>#N/A</v>
      </c>
    </row>
    <row r="118" spans="1:14">
      <c r="A118" s="178" t="s">
        <v>2368</v>
      </c>
      <c r="B118" s="178" t="s">
        <v>5613</v>
      </c>
      <c r="C118" s="178" t="s">
        <v>3004</v>
      </c>
      <c r="D118" s="178" t="s">
        <v>2368</v>
      </c>
      <c r="E118" s="178" t="e">
        <f t="shared" si="6"/>
        <v>#N/A</v>
      </c>
      <c r="F118" s="178" t="e">
        <f t="shared" si="10"/>
        <v>#N/A</v>
      </c>
      <c r="G118" s="178" t="e">
        <f t="shared" si="11"/>
        <v>#N/A</v>
      </c>
      <c r="H118" s="264" t="s">
        <v>2623</v>
      </c>
      <c r="I118" s="264" t="s">
        <v>5427</v>
      </c>
      <c r="J118" s="181"/>
      <c r="K118" s="264" t="s">
        <v>2623</v>
      </c>
      <c r="L118" s="178" t="e">
        <f t="shared" si="7"/>
        <v>#N/A</v>
      </c>
      <c r="M118" s="178" t="e">
        <f t="shared" si="8"/>
        <v>#N/A</v>
      </c>
      <c r="N118" s="178" t="e">
        <f t="shared" si="9"/>
        <v>#N/A</v>
      </c>
    </row>
    <row r="119" spans="1:14">
      <c r="A119" s="178" t="s">
        <v>2369</v>
      </c>
      <c r="B119" s="178" t="s">
        <v>5613</v>
      </c>
      <c r="C119" s="178" t="s">
        <v>774</v>
      </c>
      <c r="D119" s="178" t="s">
        <v>2369</v>
      </c>
      <c r="E119" s="178" t="str">
        <f t="shared" si="6"/>
        <v>A3007</v>
      </c>
      <c r="F119" s="178">
        <f t="shared" si="10"/>
        <v>0</v>
      </c>
      <c r="G119" s="178">
        <f t="shared" si="11"/>
        <v>0</v>
      </c>
      <c r="H119" s="263" t="s">
        <v>2624</v>
      </c>
      <c r="I119" s="263" t="s">
        <v>5427</v>
      </c>
      <c r="J119" s="178" t="s">
        <v>5862</v>
      </c>
      <c r="K119" s="263" t="s">
        <v>2624</v>
      </c>
      <c r="L119" s="178" t="e">
        <f t="shared" si="7"/>
        <v>#N/A</v>
      </c>
      <c r="M119" s="178" t="e">
        <f t="shared" si="8"/>
        <v>#N/A</v>
      </c>
      <c r="N119" s="178" t="e">
        <f t="shared" si="9"/>
        <v>#N/A</v>
      </c>
    </row>
    <row r="120" spans="1:14">
      <c r="A120" s="178" t="s">
        <v>2370</v>
      </c>
      <c r="B120" s="178" t="s">
        <v>5613</v>
      </c>
      <c r="C120" s="178" t="s">
        <v>3005</v>
      </c>
      <c r="D120" s="178" t="s">
        <v>2370</v>
      </c>
      <c r="E120" s="178" t="e">
        <f t="shared" si="6"/>
        <v>#N/A</v>
      </c>
      <c r="F120" s="178" t="e">
        <f t="shared" si="10"/>
        <v>#N/A</v>
      </c>
      <c r="G120" s="178" t="e">
        <f t="shared" si="11"/>
        <v>#N/A</v>
      </c>
      <c r="H120" s="263" t="s">
        <v>2625</v>
      </c>
      <c r="I120" s="263" t="s">
        <v>5427</v>
      </c>
      <c r="J120" s="178" t="s">
        <v>2855</v>
      </c>
      <c r="K120" s="263" t="s">
        <v>2625</v>
      </c>
      <c r="L120" s="178" t="e">
        <f t="shared" si="7"/>
        <v>#N/A</v>
      </c>
      <c r="M120" s="178" t="e">
        <f t="shared" si="8"/>
        <v>#N/A</v>
      </c>
      <c r="N120" s="178" t="e">
        <f t="shared" si="9"/>
        <v>#N/A</v>
      </c>
    </row>
    <row r="121" spans="1:14">
      <c r="A121" s="178" t="s">
        <v>2371</v>
      </c>
      <c r="B121" s="178" t="s">
        <v>5613</v>
      </c>
      <c r="C121" s="178" t="s">
        <v>3006</v>
      </c>
      <c r="D121" s="178" t="s">
        <v>2371</v>
      </c>
      <c r="E121" s="178" t="e">
        <f t="shared" si="6"/>
        <v>#N/A</v>
      </c>
      <c r="F121" s="178" t="e">
        <f t="shared" si="10"/>
        <v>#N/A</v>
      </c>
      <c r="G121" s="178" t="e">
        <f t="shared" si="11"/>
        <v>#N/A</v>
      </c>
      <c r="H121" s="263" t="s">
        <v>2626</v>
      </c>
      <c r="I121" s="263" t="s">
        <v>5427</v>
      </c>
      <c r="J121" s="178" t="s">
        <v>2856</v>
      </c>
      <c r="K121" s="263" t="s">
        <v>2626</v>
      </c>
      <c r="L121" s="178" t="e">
        <f t="shared" si="7"/>
        <v>#N/A</v>
      </c>
      <c r="M121" s="178" t="e">
        <f t="shared" si="8"/>
        <v>#N/A</v>
      </c>
      <c r="N121" s="178" t="e">
        <f t="shared" si="9"/>
        <v>#N/A</v>
      </c>
    </row>
    <row r="122" spans="1:14">
      <c r="A122" s="181" t="s">
        <v>2372</v>
      </c>
      <c r="B122" s="181"/>
      <c r="C122" s="181" t="s">
        <v>3007</v>
      </c>
      <c r="D122" s="181" t="s">
        <v>2372</v>
      </c>
      <c r="E122" s="178" t="e">
        <f t="shared" si="6"/>
        <v>#N/A</v>
      </c>
      <c r="F122" s="178" t="e">
        <f t="shared" si="10"/>
        <v>#N/A</v>
      </c>
      <c r="G122" s="178" t="e">
        <f t="shared" si="11"/>
        <v>#N/A</v>
      </c>
      <c r="H122" s="263" t="s">
        <v>2627</v>
      </c>
      <c r="I122" s="263" t="s">
        <v>5427</v>
      </c>
      <c r="J122" s="178" t="s">
        <v>2857</v>
      </c>
      <c r="K122" s="263" t="s">
        <v>2627</v>
      </c>
      <c r="L122" s="178" t="e">
        <f t="shared" si="7"/>
        <v>#N/A</v>
      </c>
      <c r="M122" s="178" t="e">
        <f t="shared" si="8"/>
        <v>#N/A</v>
      </c>
      <c r="N122" s="178" t="e">
        <f t="shared" si="9"/>
        <v>#N/A</v>
      </c>
    </row>
    <row r="123" spans="1:14">
      <c r="A123" s="181" t="s">
        <v>2373</v>
      </c>
      <c r="B123" s="181"/>
      <c r="C123" s="181" t="s">
        <v>2875</v>
      </c>
      <c r="D123" s="181" t="s">
        <v>2373</v>
      </c>
      <c r="E123" s="178" t="e">
        <f t="shared" si="6"/>
        <v>#N/A</v>
      </c>
      <c r="F123" s="178" t="e">
        <f t="shared" si="10"/>
        <v>#N/A</v>
      </c>
      <c r="G123" s="178" t="e">
        <f t="shared" si="11"/>
        <v>#N/A</v>
      </c>
      <c r="H123" s="263" t="s">
        <v>2628</v>
      </c>
      <c r="I123" s="263" t="s">
        <v>5427</v>
      </c>
      <c r="J123" s="178" t="s">
        <v>2858</v>
      </c>
      <c r="K123" s="263" t="s">
        <v>2628</v>
      </c>
      <c r="L123" s="178" t="e">
        <f t="shared" si="7"/>
        <v>#N/A</v>
      </c>
      <c r="M123" s="178" t="e">
        <f t="shared" si="8"/>
        <v>#N/A</v>
      </c>
      <c r="N123" s="178" t="e">
        <f t="shared" si="9"/>
        <v>#N/A</v>
      </c>
    </row>
    <row r="124" spans="1:14">
      <c r="A124" s="178" t="s">
        <v>2374</v>
      </c>
      <c r="B124" s="178" t="s">
        <v>5613</v>
      </c>
      <c r="C124" s="178" t="s">
        <v>3008</v>
      </c>
      <c r="D124" s="178" t="s">
        <v>2374</v>
      </c>
      <c r="E124" s="178" t="e">
        <f t="shared" si="6"/>
        <v>#N/A</v>
      </c>
      <c r="F124" s="178" t="e">
        <f t="shared" si="10"/>
        <v>#N/A</v>
      </c>
      <c r="G124" s="178" t="e">
        <f t="shared" si="11"/>
        <v>#N/A</v>
      </c>
      <c r="H124" s="263" t="s">
        <v>2629</v>
      </c>
      <c r="I124" s="263" t="s">
        <v>5427</v>
      </c>
      <c r="J124" s="178" t="s">
        <v>5432</v>
      </c>
      <c r="K124" s="263" t="s">
        <v>2629</v>
      </c>
      <c r="L124" s="178" t="str">
        <f t="shared" si="7"/>
        <v>A2072</v>
      </c>
      <c r="M124" s="178" t="str">
        <f t="shared" si="8"/>
        <v>r체크회원사전대상자내역기간조회E</v>
      </c>
      <c r="N124" s="178">
        <f t="shared" si="9"/>
        <v>1</v>
      </c>
    </row>
    <row r="125" spans="1:14">
      <c r="A125" s="178" t="s">
        <v>2375</v>
      </c>
      <c r="B125" s="178" t="s">
        <v>5613</v>
      </c>
      <c r="C125" s="178" t="s">
        <v>3009</v>
      </c>
      <c r="D125" s="178" t="s">
        <v>2375</v>
      </c>
      <c r="E125" s="178" t="e">
        <f t="shared" si="6"/>
        <v>#N/A</v>
      </c>
      <c r="F125" s="178" t="e">
        <f t="shared" si="10"/>
        <v>#N/A</v>
      </c>
      <c r="G125" s="178" t="e">
        <f t="shared" si="11"/>
        <v>#N/A</v>
      </c>
      <c r="H125" s="264" t="s">
        <v>2630</v>
      </c>
      <c r="I125" s="264" t="s">
        <v>5427</v>
      </c>
      <c r="J125" s="181"/>
      <c r="K125" s="264" t="s">
        <v>2630</v>
      </c>
      <c r="L125" s="178" t="e">
        <f t="shared" si="7"/>
        <v>#N/A</v>
      </c>
      <c r="M125" s="178" t="e">
        <f t="shared" si="8"/>
        <v>#N/A</v>
      </c>
      <c r="N125" s="178" t="e">
        <f t="shared" si="9"/>
        <v>#N/A</v>
      </c>
    </row>
    <row r="126" spans="1:14">
      <c r="A126" s="178" t="s">
        <v>2376</v>
      </c>
      <c r="B126" s="178" t="s">
        <v>5613</v>
      </c>
      <c r="C126" s="178" t="s">
        <v>761</v>
      </c>
      <c r="D126" s="178" t="s">
        <v>2376</v>
      </c>
      <c r="E126" s="178" t="str">
        <f t="shared" si="6"/>
        <v>A3002</v>
      </c>
      <c r="F126" s="178">
        <f t="shared" si="10"/>
        <v>0</v>
      </c>
      <c r="G126" s="178">
        <f t="shared" si="11"/>
        <v>0</v>
      </c>
      <c r="H126" s="263" t="s">
        <v>2631</v>
      </c>
      <c r="I126" s="263" t="s">
        <v>5427</v>
      </c>
      <c r="J126" s="178" t="s">
        <v>2753</v>
      </c>
      <c r="K126" s="263" t="s">
        <v>2631</v>
      </c>
      <c r="L126" s="178" t="e">
        <f t="shared" si="7"/>
        <v>#N/A</v>
      </c>
      <c r="M126" s="178" t="e">
        <f t="shared" si="8"/>
        <v>#N/A</v>
      </c>
      <c r="N126" s="178" t="e">
        <f t="shared" si="9"/>
        <v>#N/A</v>
      </c>
    </row>
    <row r="127" spans="1:14">
      <c r="A127" s="178" t="s">
        <v>2377</v>
      </c>
      <c r="B127" s="178" t="s">
        <v>5613</v>
      </c>
      <c r="C127" s="178" t="s">
        <v>3010</v>
      </c>
      <c r="D127" s="178" t="s">
        <v>2377</v>
      </c>
      <c r="E127" s="178" t="e">
        <f t="shared" si="6"/>
        <v>#N/A</v>
      </c>
      <c r="F127" s="178" t="e">
        <f t="shared" si="10"/>
        <v>#N/A</v>
      </c>
      <c r="G127" s="178" t="e">
        <f t="shared" si="11"/>
        <v>#N/A</v>
      </c>
      <c r="H127" s="264" t="s">
        <v>2632</v>
      </c>
      <c r="I127" s="264" t="s">
        <v>5427</v>
      </c>
      <c r="J127" s="181"/>
      <c r="K127" s="264" t="s">
        <v>2632</v>
      </c>
      <c r="L127" s="178" t="e">
        <f t="shared" si="7"/>
        <v>#N/A</v>
      </c>
      <c r="M127" s="178" t="e">
        <f t="shared" si="8"/>
        <v>#N/A</v>
      </c>
      <c r="N127" s="178" t="e">
        <f t="shared" si="9"/>
        <v>#N/A</v>
      </c>
    </row>
    <row r="128" spans="1:14">
      <c r="A128" s="178" t="s">
        <v>2378</v>
      </c>
      <c r="B128" s="178" t="s">
        <v>5613</v>
      </c>
      <c r="C128" s="178" t="s">
        <v>3011</v>
      </c>
      <c r="D128" s="178" t="s">
        <v>2378</v>
      </c>
      <c r="E128" s="178" t="e">
        <f t="shared" si="6"/>
        <v>#N/A</v>
      </c>
      <c r="F128" s="178" t="e">
        <f t="shared" si="10"/>
        <v>#N/A</v>
      </c>
      <c r="G128" s="178" t="e">
        <f t="shared" si="11"/>
        <v>#N/A</v>
      </c>
      <c r="H128" s="264" t="s">
        <v>2633</v>
      </c>
      <c r="I128" s="264" t="s">
        <v>5427</v>
      </c>
      <c r="J128" s="181"/>
      <c r="K128" s="264" t="s">
        <v>2633</v>
      </c>
      <c r="L128" s="178" t="e">
        <f t="shared" si="7"/>
        <v>#N/A</v>
      </c>
      <c r="M128" s="178" t="e">
        <f t="shared" si="8"/>
        <v>#N/A</v>
      </c>
      <c r="N128" s="178" t="e">
        <f t="shared" si="9"/>
        <v>#N/A</v>
      </c>
    </row>
    <row r="129" spans="1:14">
      <c r="A129" s="178" t="s">
        <v>2379</v>
      </c>
      <c r="B129" s="178" t="s">
        <v>5613</v>
      </c>
      <c r="C129" s="178" t="s">
        <v>865</v>
      </c>
      <c r="D129" s="178" t="s">
        <v>2379</v>
      </c>
      <c r="E129" s="178" t="str">
        <f t="shared" si="6"/>
        <v>A3036</v>
      </c>
      <c r="F129" s="178">
        <f t="shared" si="10"/>
        <v>0</v>
      </c>
      <c r="G129" s="178">
        <f t="shared" si="11"/>
        <v>0</v>
      </c>
      <c r="H129" s="263" t="s">
        <v>2634</v>
      </c>
      <c r="I129" s="263" t="s">
        <v>5427</v>
      </c>
      <c r="J129" s="178" t="s">
        <v>7</v>
      </c>
      <c r="K129" s="263" t="s">
        <v>2634</v>
      </c>
      <c r="L129" s="178" t="e">
        <f t="shared" si="7"/>
        <v>#N/A</v>
      </c>
      <c r="M129" s="178" t="e">
        <f t="shared" si="8"/>
        <v>#N/A</v>
      </c>
      <c r="N129" s="178" t="e">
        <f t="shared" si="9"/>
        <v>#N/A</v>
      </c>
    </row>
    <row r="130" spans="1:14">
      <c r="A130" s="178" t="s">
        <v>2380</v>
      </c>
      <c r="B130" s="178" t="s">
        <v>5613</v>
      </c>
      <c r="C130" s="178" t="s">
        <v>895</v>
      </c>
      <c r="D130" s="178" t="s">
        <v>2380</v>
      </c>
      <c r="E130" s="178" t="str">
        <f t="shared" si="6"/>
        <v>A3048</v>
      </c>
      <c r="F130" s="178">
        <f t="shared" si="10"/>
        <v>0</v>
      </c>
      <c r="G130" s="178">
        <f t="shared" si="11"/>
        <v>0</v>
      </c>
      <c r="H130" s="264" t="s">
        <v>2635</v>
      </c>
      <c r="I130" s="264" t="s">
        <v>5427</v>
      </c>
      <c r="J130" s="181"/>
      <c r="K130" s="264" t="s">
        <v>2635</v>
      </c>
      <c r="L130" s="178" t="e">
        <f t="shared" si="7"/>
        <v>#N/A</v>
      </c>
      <c r="M130" s="178" t="e">
        <f t="shared" si="8"/>
        <v>#N/A</v>
      </c>
      <c r="N130" s="178" t="e">
        <f t="shared" si="9"/>
        <v>#N/A</v>
      </c>
    </row>
    <row r="131" spans="1:14">
      <c r="A131" s="178" t="s">
        <v>2381</v>
      </c>
      <c r="B131" s="178" t="s">
        <v>5673</v>
      </c>
      <c r="C131" s="178" t="s">
        <v>92</v>
      </c>
      <c r="D131" s="178" t="s">
        <v>2381</v>
      </c>
      <c r="E131" s="178" t="str">
        <f t="shared" si="6"/>
        <v>A2049</v>
      </c>
      <c r="F131" s="178" t="str">
        <f t="shared" si="10"/>
        <v>r체크회원사전대상자내역기간조회E</v>
      </c>
      <c r="G131" s="178">
        <f t="shared" si="11"/>
        <v>0</v>
      </c>
      <c r="H131" s="263" t="s">
        <v>2636</v>
      </c>
      <c r="I131" s="263" t="s">
        <v>5427</v>
      </c>
      <c r="J131" s="178" t="s">
        <v>2861</v>
      </c>
      <c r="K131" s="263" t="s">
        <v>2636</v>
      </c>
      <c r="L131" s="178" t="e">
        <f t="shared" si="7"/>
        <v>#N/A</v>
      </c>
      <c r="M131" s="178" t="e">
        <f t="shared" si="8"/>
        <v>#N/A</v>
      </c>
      <c r="N131" s="178" t="e">
        <f t="shared" si="9"/>
        <v>#N/A</v>
      </c>
    </row>
    <row r="132" spans="1:14">
      <c r="A132" s="178" t="s">
        <v>2382</v>
      </c>
      <c r="B132" s="178" t="s">
        <v>5673</v>
      </c>
      <c r="C132" s="178" t="s">
        <v>3013</v>
      </c>
      <c r="D132" s="178" t="s">
        <v>2382</v>
      </c>
      <c r="E132" s="178" t="e">
        <f t="shared" ref="E132:E195" si="12">VLOOKUP(C132,$J$5:$K$601,2,FALSE)</f>
        <v>#N/A</v>
      </c>
      <c r="F132" s="178" t="e">
        <f t="shared" si="10"/>
        <v>#N/A</v>
      </c>
      <c r="G132" s="178" t="e">
        <f t="shared" si="11"/>
        <v>#N/A</v>
      </c>
      <c r="H132" s="263" t="s">
        <v>2637</v>
      </c>
      <c r="I132" s="263" t="s">
        <v>5427</v>
      </c>
      <c r="J132" s="178" t="s">
        <v>2862</v>
      </c>
      <c r="K132" s="263" t="s">
        <v>2637</v>
      </c>
      <c r="L132" s="178" t="e">
        <f t="shared" ref="L132:L195" si="13">VLOOKUP(J132,$C$3:$D$463,2,FALSE)</f>
        <v>#N/A</v>
      </c>
      <c r="M132" s="178" t="e">
        <f t="shared" ref="M132:M195" si="14">VLOOKUP(L132,$A$3:$B$463,2,FALSE)</f>
        <v>#N/A</v>
      </c>
      <c r="N132" s="178" t="e">
        <f t="shared" ref="N132:N195" si="15">IF(M132=I132,1,0)</f>
        <v>#N/A</v>
      </c>
    </row>
    <row r="133" spans="1:14">
      <c r="A133" s="178" t="s">
        <v>2383</v>
      </c>
      <c r="B133" s="178" t="s">
        <v>5673</v>
      </c>
      <c r="C133" s="178" t="s">
        <v>3014</v>
      </c>
      <c r="D133" s="178" t="s">
        <v>2383</v>
      </c>
      <c r="E133" s="178" t="e">
        <f t="shared" si="12"/>
        <v>#N/A</v>
      </c>
      <c r="F133" s="178" t="e">
        <f t="shared" si="10"/>
        <v>#N/A</v>
      </c>
      <c r="G133" s="178" t="e">
        <f t="shared" si="11"/>
        <v>#N/A</v>
      </c>
      <c r="H133" s="264" t="s">
        <v>2638</v>
      </c>
      <c r="I133" s="264" t="s">
        <v>5427</v>
      </c>
      <c r="J133" s="181"/>
      <c r="K133" s="264" t="s">
        <v>2638</v>
      </c>
      <c r="L133" s="178" t="e">
        <f t="shared" si="13"/>
        <v>#N/A</v>
      </c>
      <c r="M133" s="178" t="e">
        <f t="shared" si="14"/>
        <v>#N/A</v>
      </c>
      <c r="N133" s="178" t="e">
        <f t="shared" si="15"/>
        <v>#N/A</v>
      </c>
    </row>
    <row r="134" spans="1:14">
      <c r="A134" s="178" t="s">
        <v>2384</v>
      </c>
      <c r="B134" s="178" t="s">
        <v>5673</v>
      </c>
      <c r="C134" s="178" t="s">
        <v>2736</v>
      </c>
      <c r="D134" s="178" t="s">
        <v>2384</v>
      </c>
      <c r="E134" s="178" t="e">
        <f t="shared" si="12"/>
        <v>#N/A</v>
      </c>
      <c r="F134" s="178" t="e">
        <f t="shared" si="10"/>
        <v>#N/A</v>
      </c>
      <c r="G134" s="178" t="e">
        <f t="shared" si="11"/>
        <v>#N/A</v>
      </c>
      <c r="H134" s="264" t="s">
        <v>2639</v>
      </c>
      <c r="I134" s="264" t="s">
        <v>5427</v>
      </c>
      <c r="J134" s="181"/>
      <c r="K134" s="264" t="s">
        <v>2639</v>
      </c>
      <c r="L134" s="178" t="e">
        <f t="shared" si="13"/>
        <v>#N/A</v>
      </c>
      <c r="M134" s="178" t="e">
        <f t="shared" si="14"/>
        <v>#N/A</v>
      </c>
      <c r="N134" s="178" t="e">
        <f t="shared" si="15"/>
        <v>#N/A</v>
      </c>
    </row>
    <row r="135" spans="1:14">
      <c r="A135" s="178" t="s">
        <v>2385</v>
      </c>
      <c r="B135" s="178" t="s">
        <v>5673</v>
      </c>
      <c r="C135" s="178" t="s">
        <v>3015</v>
      </c>
      <c r="D135" s="178" t="s">
        <v>2385</v>
      </c>
      <c r="E135" s="178" t="e">
        <f t="shared" si="12"/>
        <v>#N/A</v>
      </c>
      <c r="F135" s="178" t="e">
        <f t="shared" ref="F135:F198" si="16">VLOOKUP(E135,$H$5:$I$601,2,FALSE)</f>
        <v>#N/A</v>
      </c>
      <c r="G135" s="178" t="e">
        <f t="shared" ref="G135:G198" si="17">IF(B135=F135,1,0)</f>
        <v>#N/A</v>
      </c>
      <c r="H135" s="263" t="s">
        <v>2640</v>
      </c>
      <c r="I135" s="263" t="s">
        <v>5427</v>
      </c>
      <c r="J135" s="178" t="s">
        <v>2864</v>
      </c>
      <c r="K135" s="263" t="s">
        <v>2640</v>
      </c>
      <c r="L135" s="178" t="e">
        <f t="shared" si="13"/>
        <v>#N/A</v>
      </c>
      <c r="M135" s="178" t="e">
        <f t="shared" si="14"/>
        <v>#N/A</v>
      </c>
      <c r="N135" s="178" t="e">
        <f t="shared" si="15"/>
        <v>#N/A</v>
      </c>
    </row>
    <row r="136" spans="1:14" ht="22.5">
      <c r="A136" s="178" t="s">
        <v>2386</v>
      </c>
      <c r="B136" s="179" t="s">
        <v>3027</v>
      </c>
      <c r="C136" s="178" t="s">
        <v>3016</v>
      </c>
      <c r="D136" s="178" t="s">
        <v>2386</v>
      </c>
      <c r="E136" s="178" t="e">
        <f t="shared" si="12"/>
        <v>#N/A</v>
      </c>
      <c r="F136" s="178" t="e">
        <f t="shared" si="16"/>
        <v>#N/A</v>
      </c>
      <c r="G136" s="178" t="e">
        <f t="shared" si="17"/>
        <v>#N/A</v>
      </c>
      <c r="H136" s="263" t="s">
        <v>2641</v>
      </c>
      <c r="I136" s="263" t="s">
        <v>5427</v>
      </c>
      <c r="J136" s="178" t="s">
        <v>5863</v>
      </c>
      <c r="K136" s="263" t="s">
        <v>2641</v>
      </c>
      <c r="L136" s="178" t="e">
        <f t="shared" si="13"/>
        <v>#N/A</v>
      </c>
      <c r="M136" s="178" t="e">
        <f t="shared" si="14"/>
        <v>#N/A</v>
      </c>
      <c r="N136" s="178" t="e">
        <f t="shared" si="15"/>
        <v>#N/A</v>
      </c>
    </row>
    <row r="137" spans="1:14">
      <c r="A137" s="178" t="s">
        <v>2387</v>
      </c>
      <c r="B137" s="178" t="s">
        <v>5613</v>
      </c>
      <c r="C137" s="178" t="s">
        <v>191</v>
      </c>
      <c r="D137" s="178" t="s">
        <v>2387</v>
      </c>
      <c r="E137" s="178" t="str">
        <f t="shared" si="12"/>
        <v>A3034</v>
      </c>
      <c r="F137" s="178" t="str">
        <f t="shared" si="16"/>
        <v>GEA_NICE신용요약정보조회Dto</v>
      </c>
      <c r="G137" s="178">
        <f t="shared" si="17"/>
        <v>1</v>
      </c>
      <c r="H137" s="263" t="s">
        <v>2642</v>
      </c>
      <c r="I137" s="263" t="s">
        <v>5427</v>
      </c>
      <c r="J137" s="178" t="s">
        <v>5864</v>
      </c>
      <c r="K137" s="263" t="s">
        <v>2642</v>
      </c>
      <c r="L137" s="178" t="e">
        <f t="shared" si="13"/>
        <v>#N/A</v>
      </c>
      <c r="M137" s="178" t="e">
        <f t="shared" si="14"/>
        <v>#N/A</v>
      </c>
      <c r="N137" s="178" t="e">
        <f t="shared" si="15"/>
        <v>#N/A</v>
      </c>
    </row>
    <row r="138" spans="1:14">
      <c r="A138" s="181" t="s">
        <v>2388</v>
      </c>
      <c r="B138" s="181"/>
      <c r="C138" s="181" t="s">
        <v>842</v>
      </c>
      <c r="D138" s="181" t="s">
        <v>2388</v>
      </c>
      <c r="E138" s="178" t="e">
        <f t="shared" si="12"/>
        <v>#N/A</v>
      </c>
      <c r="F138" s="178" t="e">
        <f t="shared" si="16"/>
        <v>#N/A</v>
      </c>
      <c r="G138" s="178" t="e">
        <f t="shared" si="17"/>
        <v>#N/A</v>
      </c>
      <c r="H138" s="263" t="s">
        <v>2643</v>
      </c>
      <c r="I138" s="263" t="s">
        <v>5427</v>
      </c>
      <c r="J138" s="178" t="s">
        <v>2865</v>
      </c>
      <c r="K138" s="263" t="s">
        <v>2643</v>
      </c>
      <c r="L138" s="178" t="e">
        <f t="shared" si="13"/>
        <v>#N/A</v>
      </c>
      <c r="M138" s="178" t="e">
        <f t="shared" si="14"/>
        <v>#N/A</v>
      </c>
      <c r="N138" s="178" t="e">
        <f t="shared" si="15"/>
        <v>#N/A</v>
      </c>
    </row>
    <row r="139" spans="1:14">
      <c r="A139" s="181" t="s">
        <v>2389</v>
      </c>
      <c r="B139" s="181"/>
      <c r="C139" s="181" t="s">
        <v>1419</v>
      </c>
      <c r="D139" s="181" t="s">
        <v>2389</v>
      </c>
      <c r="E139" s="178" t="e">
        <f t="shared" si="12"/>
        <v>#N/A</v>
      </c>
      <c r="F139" s="178" t="e">
        <f t="shared" si="16"/>
        <v>#N/A</v>
      </c>
      <c r="G139" s="178" t="e">
        <f t="shared" si="17"/>
        <v>#N/A</v>
      </c>
      <c r="H139" s="263" t="s">
        <v>2644</v>
      </c>
      <c r="I139" s="263" t="s">
        <v>5427</v>
      </c>
      <c r="J139" s="178" t="s">
        <v>2866</v>
      </c>
      <c r="K139" s="263" t="s">
        <v>2644</v>
      </c>
      <c r="L139" s="178" t="e">
        <f t="shared" si="13"/>
        <v>#N/A</v>
      </c>
      <c r="M139" s="178" t="e">
        <f t="shared" si="14"/>
        <v>#N/A</v>
      </c>
      <c r="N139" s="178" t="e">
        <f t="shared" si="15"/>
        <v>#N/A</v>
      </c>
    </row>
    <row r="140" spans="1:14">
      <c r="A140" s="181" t="s">
        <v>2390</v>
      </c>
      <c r="B140" s="181"/>
      <c r="C140" s="181" t="s">
        <v>924</v>
      </c>
      <c r="D140" s="181" t="s">
        <v>2390</v>
      </c>
      <c r="E140" s="178" t="str">
        <f t="shared" si="12"/>
        <v>A3058</v>
      </c>
      <c r="F140" s="178">
        <f t="shared" si="16"/>
        <v>0</v>
      </c>
      <c r="G140" s="178">
        <f t="shared" si="17"/>
        <v>1</v>
      </c>
      <c r="H140" s="263" t="s">
        <v>2645</v>
      </c>
      <c r="I140" s="263" t="s">
        <v>5427</v>
      </c>
      <c r="J140" s="178" t="s">
        <v>96</v>
      </c>
      <c r="K140" s="263" t="s">
        <v>2645</v>
      </c>
      <c r="L140" s="178" t="e">
        <f t="shared" si="13"/>
        <v>#N/A</v>
      </c>
      <c r="M140" s="178" t="e">
        <f t="shared" si="14"/>
        <v>#N/A</v>
      </c>
      <c r="N140" s="178" t="e">
        <f t="shared" si="15"/>
        <v>#N/A</v>
      </c>
    </row>
    <row r="141" spans="1:14">
      <c r="A141" s="181" t="s">
        <v>2391</v>
      </c>
      <c r="B141" s="181"/>
      <c r="C141" s="181" t="s">
        <v>1421</v>
      </c>
      <c r="D141" s="181" t="s">
        <v>2391</v>
      </c>
      <c r="E141" s="178" t="e">
        <f t="shared" si="12"/>
        <v>#N/A</v>
      </c>
      <c r="F141" s="178" t="e">
        <f t="shared" si="16"/>
        <v>#N/A</v>
      </c>
      <c r="G141" s="178" t="e">
        <f t="shared" si="17"/>
        <v>#N/A</v>
      </c>
      <c r="H141" s="263" t="s">
        <v>2646</v>
      </c>
      <c r="I141" s="263" t="s">
        <v>5427</v>
      </c>
      <c r="J141" s="178" t="s">
        <v>97</v>
      </c>
      <c r="K141" s="263" t="s">
        <v>2646</v>
      </c>
      <c r="L141" s="178" t="e">
        <f t="shared" si="13"/>
        <v>#N/A</v>
      </c>
      <c r="M141" s="178" t="e">
        <f t="shared" si="14"/>
        <v>#N/A</v>
      </c>
      <c r="N141" s="178" t="e">
        <f t="shared" si="15"/>
        <v>#N/A</v>
      </c>
    </row>
    <row r="142" spans="1:14">
      <c r="A142" s="181" t="s">
        <v>2519</v>
      </c>
      <c r="B142" s="181"/>
      <c r="C142" s="181" t="s">
        <v>1423</v>
      </c>
      <c r="D142" s="181" t="s">
        <v>2519</v>
      </c>
      <c r="E142" s="178" t="e">
        <f t="shared" si="12"/>
        <v>#N/A</v>
      </c>
      <c r="F142" s="178" t="e">
        <f t="shared" si="16"/>
        <v>#N/A</v>
      </c>
      <c r="G142" s="178" t="e">
        <f t="shared" si="17"/>
        <v>#N/A</v>
      </c>
      <c r="H142" s="263" t="s">
        <v>2647</v>
      </c>
      <c r="I142" s="263" t="s">
        <v>5427</v>
      </c>
      <c r="J142" s="178" t="s">
        <v>98</v>
      </c>
      <c r="K142" s="263" t="s">
        <v>2647</v>
      </c>
      <c r="L142" s="178" t="e">
        <f t="shared" si="13"/>
        <v>#N/A</v>
      </c>
      <c r="M142" s="178" t="e">
        <f t="shared" si="14"/>
        <v>#N/A</v>
      </c>
      <c r="N142" s="178" t="e">
        <f t="shared" si="15"/>
        <v>#N/A</v>
      </c>
    </row>
    <row r="143" spans="1:14">
      <c r="A143" s="181" t="s">
        <v>2961</v>
      </c>
      <c r="B143" s="181"/>
      <c r="C143" s="181" t="s">
        <v>1425</v>
      </c>
      <c r="D143" s="181" t="s">
        <v>2961</v>
      </c>
      <c r="E143" s="178" t="e">
        <f t="shared" si="12"/>
        <v>#N/A</v>
      </c>
      <c r="F143" s="178" t="e">
        <f t="shared" si="16"/>
        <v>#N/A</v>
      </c>
      <c r="G143" s="178" t="e">
        <f t="shared" si="17"/>
        <v>#N/A</v>
      </c>
      <c r="H143" s="263" t="s">
        <v>2648</v>
      </c>
      <c r="I143" s="263" t="s">
        <v>5427</v>
      </c>
      <c r="J143" s="178" t="s">
        <v>2766</v>
      </c>
      <c r="K143" s="263" t="s">
        <v>2648</v>
      </c>
      <c r="L143" s="178" t="e">
        <f t="shared" si="13"/>
        <v>#N/A</v>
      </c>
      <c r="M143" s="178" t="e">
        <f t="shared" si="14"/>
        <v>#N/A</v>
      </c>
      <c r="N143" s="178" t="e">
        <f t="shared" si="15"/>
        <v>#N/A</v>
      </c>
    </row>
    <row r="144" spans="1:14">
      <c r="A144" s="178" t="s">
        <v>2962</v>
      </c>
      <c r="B144" s="178" t="s">
        <v>5673</v>
      </c>
      <c r="C144" s="178" t="s">
        <v>3017</v>
      </c>
      <c r="D144" s="178" t="s">
        <v>2962</v>
      </c>
      <c r="E144" s="178" t="e">
        <f t="shared" si="12"/>
        <v>#N/A</v>
      </c>
      <c r="F144" s="178" t="e">
        <f t="shared" si="16"/>
        <v>#N/A</v>
      </c>
      <c r="G144" s="178" t="e">
        <f t="shared" si="17"/>
        <v>#N/A</v>
      </c>
      <c r="H144" s="263" t="s">
        <v>2649</v>
      </c>
      <c r="I144" s="263" t="s">
        <v>5427</v>
      </c>
      <c r="J144" s="178" t="s">
        <v>2867</v>
      </c>
      <c r="K144" s="263" t="s">
        <v>2649</v>
      </c>
      <c r="L144" s="178" t="e">
        <f t="shared" si="13"/>
        <v>#N/A</v>
      </c>
      <c r="M144" s="178" t="e">
        <f t="shared" si="14"/>
        <v>#N/A</v>
      </c>
      <c r="N144" s="178" t="e">
        <f t="shared" si="15"/>
        <v>#N/A</v>
      </c>
    </row>
    <row r="145" spans="1:14">
      <c r="A145" s="178" t="s">
        <v>3643</v>
      </c>
      <c r="B145" s="178" t="s">
        <v>5669</v>
      </c>
      <c r="C145" s="178" t="s">
        <v>5874</v>
      </c>
      <c r="D145" s="178" t="s">
        <v>3643</v>
      </c>
      <c r="E145" s="178" t="str">
        <f t="shared" si="12"/>
        <v>A3062</v>
      </c>
      <c r="F145" s="178" t="str">
        <f t="shared" si="16"/>
        <v>GEA_NICE동시대출건수조회Dto</v>
      </c>
      <c r="G145" s="178">
        <f t="shared" si="17"/>
        <v>1</v>
      </c>
      <c r="H145" s="263" t="s">
        <v>2650</v>
      </c>
      <c r="I145" s="263" t="s">
        <v>5427</v>
      </c>
      <c r="J145" s="178" t="s">
        <v>2868</v>
      </c>
      <c r="K145" s="263" t="s">
        <v>2650</v>
      </c>
      <c r="L145" s="178" t="e">
        <f t="shared" si="13"/>
        <v>#N/A</v>
      </c>
      <c r="M145" s="178" t="e">
        <f t="shared" si="14"/>
        <v>#N/A</v>
      </c>
      <c r="N145" s="178" t="e">
        <f t="shared" si="15"/>
        <v>#N/A</v>
      </c>
    </row>
    <row r="146" spans="1:14">
      <c r="A146" s="178" t="s">
        <v>3644</v>
      </c>
      <c r="B146" s="178" t="s">
        <v>5613</v>
      </c>
      <c r="C146" s="178" t="s">
        <v>5670</v>
      </c>
      <c r="D146" s="178" t="s">
        <v>3644</v>
      </c>
      <c r="E146" s="178" t="e">
        <f t="shared" si="12"/>
        <v>#N/A</v>
      </c>
      <c r="F146" s="178" t="e">
        <f t="shared" si="16"/>
        <v>#N/A</v>
      </c>
      <c r="G146" s="178" t="e">
        <f t="shared" si="17"/>
        <v>#N/A</v>
      </c>
      <c r="H146" s="264" t="s">
        <v>2651</v>
      </c>
      <c r="I146" s="264" t="s">
        <v>5427</v>
      </c>
      <c r="J146" s="181"/>
      <c r="K146" s="264" t="s">
        <v>2651</v>
      </c>
      <c r="L146" s="178" t="e">
        <f t="shared" si="13"/>
        <v>#N/A</v>
      </c>
      <c r="M146" s="178" t="e">
        <f t="shared" si="14"/>
        <v>#N/A</v>
      </c>
      <c r="N146" s="178" t="e">
        <f t="shared" si="15"/>
        <v>#N/A</v>
      </c>
    </row>
    <row r="147" spans="1:14">
      <c r="A147" s="181" t="s">
        <v>3645</v>
      </c>
      <c r="B147" s="181"/>
      <c r="C147" s="181"/>
      <c r="D147" s="181" t="s">
        <v>3645</v>
      </c>
      <c r="E147" s="178" t="e">
        <f t="shared" si="12"/>
        <v>#N/A</v>
      </c>
      <c r="F147" s="178" t="e">
        <f t="shared" si="16"/>
        <v>#N/A</v>
      </c>
      <c r="G147" s="178" t="e">
        <f t="shared" si="17"/>
        <v>#N/A</v>
      </c>
      <c r="H147" s="264" t="s">
        <v>2652</v>
      </c>
      <c r="I147" s="264" t="s">
        <v>5427</v>
      </c>
      <c r="J147" s="181"/>
      <c r="K147" s="264" t="s">
        <v>2652</v>
      </c>
      <c r="L147" s="178" t="e">
        <f t="shared" si="13"/>
        <v>#N/A</v>
      </c>
      <c r="M147" s="178" t="e">
        <f t="shared" si="14"/>
        <v>#N/A</v>
      </c>
      <c r="N147" s="178" t="e">
        <f t="shared" si="15"/>
        <v>#N/A</v>
      </c>
    </row>
    <row r="148" spans="1:14">
      <c r="A148" s="181" t="s">
        <v>3646</v>
      </c>
      <c r="B148" s="181"/>
      <c r="C148" s="181"/>
      <c r="D148" s="181" t="s">
        <v>3646</v>
      </c>
      <c r="E148" s="178" t="e">
        <f t="shared" si="12"/>
        <v>#N/A</v>
      </c>
      <c r="F148" s="178" t="e">
        <f t="shared" si="16"/>
        <v>#N/A</v>
      </c>
      <c r="G148" s="178" t="e">
        <f t="shared" si="17"/>
        <v>#N/A</v>
      </c>
      <c r="H148" s="264" t="s">
        <v>2653</v>
      </c>
      <c r="I148" s="264" t="s">
        <v>5427</v>
      </c>
      <c r="J148" s="181"/>
      <c r="K148" s="264" t="s">
        <v>2653</v>
      </c>
      <c r="L148" s="178" t="e">
        <f t="shared" si="13"/>
        <v>#N/A</v>
      </c>
      <c r="M148" s="178" t="e">
        <f t="shared" si="14"/>
        <v>#N/A</v>
      </c>
      <c r="N148" s="178" t="e">
        <f t="shared" si="15"/>
        <v>#N/A</v>
      </c>
    </row>
    <row r="149" spans="1:14">
      <c r="A149" s="181" t="s">
        <v>3647</v>
      </c>
      <c r="B149" s="181"/>
      <c r="C149" s="181"/>
      <c r="D149" s="181" t="s">
        <v>3647</v>
      </c>
      <c r="E149" s="178" t="e">
        <f t="shared" si="12"/>
        <v>#N/A</v>
      </c>
      <c r="F149" s="178" t="e">
        <f t="shared" si="16"/>
        <v>#N/A</v>
      </c>
      <c r="G149" s="178" t="e">
        <f t="shared" si="17"/>
        <v>#N/A</v>
      </c>
      <c r="H149" s="264" t="s">
        <v>2654</v>
      </c>
      <c r="I149" s="264" t="s">
        <v>5427</v>
      </c>
      <c r="J149" s="181"/>
      <c r="K149" s="264" t="s">
        <v>2654</v>
      </c>
      <c r="L149" s="178" t="e">
        <f t="shared" si="13"/>
        <v>#N/A</v>
      </c>
      <c r="M149" s="178" t="e">
        <f t="shared" si="14"/>
        <v>#N/A</v>
      </c>
      <c r="N149" s="178" t="e">
        <f t="shared" si="15"/>
        <v>#N/A</v>
      </c>
    </row>
    <row r="150" spans="1:14">
      <c r="A150" s="178" t="s">
        <v>3648</v>
      </c>
      <c r="B150" s="178" t="s">
        <v>5613</v>
      </c>
      <c r="C150" s="178" t="s">
        <v>5671</v>
      </c>
      <c r="D150" s="178" t="s">
        <v>3648</v>
      </c>
      <c r="E150" s="178" t="e">
        <f t="shared" si="12"/>
        <v>#N/A</v>
      </c>
      <c r="F150" s="178" t="e">
        <f t="shared" si="16"/>
        <v>#N/A</v>
      </c>
      <c r="G150" s="178" t="e">
        <f t="shared" si="17"/>
        <v>#N/A</v>
      </c>
      <c r="H150" s="264" t="s">
        <v>2655</v>
      </c>
      <c r="I150" s="264" t="s">
        <v>5427</v>
      </c>
      <c r="J150" s="181"/>
      <c r="K150" s="264" t="s">
        <v>2655</v>
      </c>
      <c r="L150" s="178" t="e">
        <f t="shared" si="13"/>
        <v>#N/A</v>
      </c>
      <c r="M150" s="178" t="e">
        <f t="shared" si="14"/>
        <v>#N/A</v>
      </c>
      <c r="N150" s="178" t="e">
        <f t="shared" si="15"/>
        <v>#N/A</v>
      </c>
    </row>
    <row r="151" spans="1:14">
      <c r="A151" s="178" t="s">
        <v>3649</v>
      </c>
      <c r="B151" s="178" t="s">
        <v>5673</v>
      </c>
      <c r="C151" s="178" t="s">
        <v>926</v>
      </c>
      <c r="D151" s="178" t="s">
        <v>3649</v>
      </c>
      <c r="E151" s="178" t="str">
        <f t="shared" si="12"/>
        <v>A3059</v>
      </c>
      <c r="F151" s="178" t="str">
        <f t="shared" si="16"/>
        <v>GEA_NICE신용평점정보조회Dto</v>
      </c>
      <c r="G151" s="178">
        <f t="shared" si="17"/>
        <v>1</v>
      </c>
      <c r="H151" s="264" t="s">
        <v>2656</v>
      </c>
      <c r="I151" s="264" t="s">
        <v>5427</v>
      </c>
      <c r="J151" s="181"/>
      <c r="K151" s="264" t="s">
        <v>2656</v>
      </c>
      <c r="L151" s="178" t="e">
        <f t="shared" si="13"/>
        <v>#N/A</v>
      </c>
      <c r="M151" s="178" t="e">
        <f t="shared" si="14"/>
        <v>#N/A</v>
      </c>
      <c r="N151" s="178" t="e">
        <f t="shared" si="15"/>
        <v>#N/A</v>
      </c>
    </row>
    <row r="152" spans="1:14">
      <c r="A152" s="178" t="s">
        <v>3650</v>
      </c>
      <c r="B152" s="178" t="s">
        <v>5673</v>
      </c>
      <c r="C152" s="178" t="s">
        <v>900</v>
      </c>
      <c r="D152" s="178" t="s">
        <v>3650</v>
      </c>
      <c r="E152" s="178" t="str">
        <f t="shared" si="12"/>
        <v>A3050</v>
      </c>
      <c r="F152" s="178" t="str">
        <f t="shared" si="16"/>
        <v>GEA_NICE신용평점정보조회Dto</v>
      </c>
      <c r="G152" s="178">
        <f t="shared" si="17"/>
        <v>1</v>
      </c>
      <c r="H152" s="264" t="s">
        <v>2657</v>
      </c>
      <c r="I152" s="264" t="s">
        <v>5427</v>
      </c>
      <c r="J152" s="181"/>
      <c r="K152" s="264" t="s">
        <v>2657</v>
      </c>
      <c r="L152" s="178" t="e">
        <f t="shared" si="13"/>
        <v>#N/A</v>
      </c>
      <c r="M152" s="178" t="e">
        <f t="shared" si="14"/>
        <v>#N/A</v>
      </c>
      <c r="N152" s="178" t="e">
        <f t="shared" si="15"/>
        <v>#N/A</v>
      </c>
    </row>
    <row r="153" spans="1:14">
      <c r="A153" s="178" t="s">
        <v>3651</v>
      </c>
      <c r="B153" s="178" t="s">
        <v>5673</v>
      </c>
      <c r="C153" s="178" t="s">
        <v>5197</v>
      </c>
      <c r="D153" s="178" t="s">
        <v>3651</v>
      </c>
      <c r="E153" s="178" t="str">
        <f t="shared" si="12"/>
        <v>A3074</v>
      </c>
      <c r="F153" s="178" t="str">
        <f t="shared" si="16"/>
        <v>GEA_NICE신용평점정보조회Dto</v>
      </c>
      <c r="G153" s="178">
        <f t="shared" si="17"/>
        <v>1</v>
      </c>
      <c r="H153" s="264" t="s">
        <v>2658</v>
      </c>
      <c r="I153" s="264" t="s">
        <v>5427</v>
      </c>
      <c r="J153" s="181"/>
      <c r="K153" s="264" t="s">
        <v>2658</v>
      </c>
      <c r="L153" s="178" t="e">
        <f t="shared" si="13"/>
        <v>#N/A</v>
      </c>
      <c r="M153" s="178" t="e">
        <f t="shared" si="14"/>
        <v>#N/A</v>
      </c>
      <c r="N153" s="178" t="e">
        <f t="shared" si="15"/>
        <v>#N/A</v>
      </c>
    </row>
    <row r="154" spans="1:14">
      <c r="A154" s="178" t="s">
        <v>3712</v>
      </c>
      <c r="B154" s="178" t="s">
        <v>5673</v>
      </c>
      <c r="C154" s="178" t="s">
        <v>5675</v>
      </c>
      <c r="D154" s="178" t="s">
        <v>3712</v>
      </c>
      <c r="E154" s="178" t="e">
        <f t="shared" si="12"/>
        <v>#N/A</v>
      </c>
      <c r="F154" s="178" t="e">
        <f t="shared" si="16"/>
        <v>#N/A</v>
      </c>
      <c r="G154" s="178" t="e">
        <f t="shared" si="17"/>
        <v>#N/A</v>
      </c>
      <c r="H154" s="264" t="s">
        <v>2659</v>
      </c>
      <c r="I154" s="264" t="s">
        <v>5427</v>
      </c>
      <c r="J154" s="181"/>
      <c r="K154" s="264" t="s">
        <v>2659</v>
      </c>
      <c r="L154" s="178" t="e">
        <f t="shared" si="13"/>
        <v>#N/A</v>
      </c>
      <c r="M154" s="178" t="e">
        <f t="shared" si="14"/>
        <v>#N/A</v>
      </c>
      <c r="N154" s="178" t="e">
        <f t="shared" si="15"/>
        <v>#N/A</v>
      </c>
    </row>
    <row r="155" spans="1:14">
      <c r="A155" s="178" t="s">
        <v>3713</v>
      </c>
      <c r="B155" s="178" t="s">
        <v>5673</v>
      </c>
      <c r="C155" s="178" t="s">
        <v>5404</v>
      </c>
      <c r="D155" s="178" t="s">
        <v>3713</v>
      </c>
      <c r="E155" s="178" t="str">
        <f t="shared" si="12"/>
        <v>A3075</v>
      </c>
      <c r="F155" s="178" t="str">
        <f t="shared" si="16"/>
        <v>GEA_NICE신용평점정보조회Dto</v>
      </c>
      <c r="G155" s="178">
        <f t="shared" si="17"/>
        <v>1</v>
      </c>
      <c r="H155" s="264" t="s">
        <v>2660</v>
      </c>
      <c r="I155" s="264" t="s">
        <v>5427</v>
      </c>
      <c r="J155" s="181"/>
      <c r="K155" s="264" t="s">
        <v>2660</v>
      </c>
      <c r="L155" s="178" t="e">
        <f t="shared" si="13"/>
        <v>#N/A</v>
      </c>
      <c r="M155" s="178" t="e">
        <f t="shared" si="14"/>
        <v>#N/A</v>
      </c>
      <c r="N155" s="178" t="e">
        <f t="shared" si="15"/>
        <v>#N/A</v>
      </c>
    </row>
    <row r="156" spans="1:14">
      <c r="A156" s="178" t="s">
        <v>4305</v>
      </c>
      <c r="B156" s="178" t="s">
        <v>5613</v>
      </c>
      <c r="C156" s="178" t="s">
        <v>884</v>
      </c>
      <c r="D156" s="178" t="s">
        <v>4305</v>
      </c>
      <c r="E156" s="178" t="str">
        <f t="shared" si="12"/>
        <v>A3044</v>
      </c>
      <c r="F156" s="178">
        <f t="shared" si="16"/>
        <v>0</v>
      </c>
      <c r="G156" s="178">
        <f t="shared" si="17"/>
        <v>0</v>
      </c>
      <c r="H156" s="263" t="s">
        <v>2661</v>
      </c>
      <c r="I156" s="263" t="s">
        <v>5427</v>
      </c>
      <c r="J156" s="178" t="s">
        <v>2878</v>
      </c>
      <c r="K156" s="263" t="s">
        <v>2661</v>
      </c>
      <c r="L156" s="178" t="e">
        <f t="shared" si="13"/>
        <v>#N/A</v>
      </c>
      <c r="M156" s="178" t="e">
        <f t="shared" si="14"/>
        <v>#N/A</v>
      </c>
      <c r="N156" s="178" t="e">
        <f t="shared" si="15"/>
        <v>#N/A</v>
      </c>
    </row>
    <row r="157" spans="1:14">
      <c r="A157" s="178" t="s">
        <v>4306</v>
      </c>
      <c r="B157" s="178" t="s">
        <v>5613</v>
      </c>
      <c r="C157" s="178" t="s">
        <v>5681</v>
      </c>
      <c r="D157" s="178" t="s">
        <v>4306</v>
      </c>
      <c r="E157" s="178" t="e">
        <f t="shared" si="12"/>
        <v>#N/A</v>
      </c>
      <c r="F157" s="178" t="e">
        <f t="shared" si="16"/>
        <v>#N/A</v>
      </c>
      <c r="G157" s="178" t="e">
        <f t="shared" si="17"/>
        <v>#N/A</v>
      </c>
      <c r="H157" s="264" t="s">
        <v>2662</v>
      </c>
      <c r="I157" s="264" t="s">
        <v>5427</v>
      </c>
      <c r="J157" s="181"/>
      <c r="K157" s="264" t="s">
        <v>2662</v>
      </c>
      <c r="L157" s="178" t="e">
        <f t="shared" si="13"/>
        <v>#N/A</v>
      </c>
      <c r="M157" s="178" t="e">
        <f t="shared" si="14"/>
        <v>#N/A</v>
      </c>
      <c r="N157" s="178" t="e">
        <f t="shared" si="15"/>
        <v>#N/A</v>
      </c>
    </row>
    <row r="158" spans="1:14">
      <c r="A158" s="178" t="s">
        <v>4307</v>
      </c>
      <c r="B158" s="178" t="s">
        <v>5613</v>
      </c>
      <c r="C158" s="178" t="s">
        <v>5683</v>
      </c>
      <c r="D158" s="178" t="s">
        <v>4307</v>
      </c>
      <c r="E158" s="178" t="e">
        <f t="shared" si="12"/>
        <v>#N/A</v>
      </c>
      <c r="F158" s="178" t="e">
        <f t="shared" si="16"/>
        <v>#N/A</v>
      </c>
      <c r="G158" s="178" t="e">
        <f t="shared" si="17"/>
        <v>#N/A</v>
      </c>
      <c r="H158" s="264" t="s">
        <v>2663</v>
      </c>
      <c r="I158" s="264" t="s">
        <v>5427</v>
      </c>
      <c r="J158" s="181"/>
      <c r="K158" s="264" t="s">
        <v>2663</v>
      </c>
      <c r="L158" s="178" t="e">
        <f t="shared" si="13"/>
        <v>#N/A</v>
      </c>
      <c r="M158" s="178" t="e">
        <f t="shared" si="14"/>
        <v>#N/A</v>
      </c>
      <c r="N158" s="178" t="e">
        <f t="shared" si="15"/>
        <v>#N/A</v>
      </c>
    </row>
    <row r="159" spans="1:14">
      <c r="A159" s="178" t="s">
        <v>4308</v>
      </c>
      <c r="B159" s="178" t="s">
        <v>5613</v>
      </c>
      <c r="C159" s="178" t="s">
        <v>5685</v>
      </c>
      <c r="D159" s="178" t="s">
        <v>4308</v>
      </c>
      <c r="E159" s="178" t="e">
        <f t="shared" si="12"/>
        <v>#N/A</v>
      </c>
      <c r="F159" s="178" t="e">
        <f t="shared" si="16"/>
        <v>#N/A</v>
      </c>
      <c r="G159" s="178" t="e">
        <f t="shared" si="17"/>
        <v>#N/A</v>
      </c>
      <c r="H159" s="263" t="s">
        <v>2664</v>
      </c>
      <c r="I159" s="263" t="s">
        <v>5427</v>
      </c>
      <c r="J159" s="178" t="s">
        <v>3353</v>
      </c>
      <c r="K159" s="263" t="s">
        <v>2664</v>
      </c>
      <c r="L159" s="178" t="e">
        <f t="shared" si="13"/>
        <v>#N/A</v>
      </c>
      <c r="M159" s="178" t="e">
        <f t="shared" si="14"/>
        <v>#N/A</v>
      </c>
      <c r="N159" s="178" t="e">
        <f t="shared" si="15"/>
        <v>#N/A</v>
      </c>
    </row>
    <row r="160" spans="1:14">
      <c r="A160" s="178" t="s">
        <v>4309</v>
      </c>
      <c r="B160" s="178" t="s">
        <v>5613</v>
      </c>
      <c r="C160" s="178" t="s">
        <v>5687</v>
      </c>
      <c r="D160" s="178" t="s">
        <v>4309</v>
      </c>
      <c r="E160" s="178" t="e">
        <f t="shared" si="12"/>
        <v>#N/A</v>
      </c>
      <c r="F160" s="178" t="e">
        <f t="shared" si="16"/>
        <v>#N/A</v>
      </c>
      <c r="G160" s="178" t="e">
        <f t="shared" si="17"/>
        <v>#N/A</v>
      </c>
      <c r="H160" s="263" t="s">
        <v>2665</v>
      </c>
      <c r="I160" s="263" t="s">
        <v>5427</v>
      </c>
      <c r="J160" s="178" t="s">
        <v>249</v>
      </c>
      <c r="K160" s="263" t="s">
        <v>2665</v>
      </c>
      <c r="L160" s="178" t="e">
        <f t="shared" si="13"/>
        <v>#N/A</v>
      </c>
      <c r="M160" s="178" t="e">
        <f t="shared" si="14"/>
        <v>#N/A</v>
      </c>
      <c r="N160" s="178" t="e">
        <f t="shared" si="15"/>
        <v>#N/A</v>
      </c>
    </row>
    <row r="161" spans="1:14">
      <c r="A161" s="178" t="s">
        <v>4310</v>
      </c>
      <c r="B161" s="178" t="s">
        <v>5613</v>
      </c>
      <c r="C161" s="178" t="s">
        <v>5689</v>
      </c>
      <c r="D161" s="178" t="s">
        <v>4310</v>
      </c>
      <c r="E161" s="178" t="e">
        <f t="shared" si="12"/>
        <v>#N/A</v>
      </c>
      <c r="F161" s="178" t="e">
        <f t="shared" si="16"/>
        <v>#N/A</v>
      </c>
      <c r="G161" s="178" t="e">
        <f t="shared" si="17"/>
        <v>#N/A</v>
      </c>
      <c r="H161" s="263" t="s">
        <v>2666</v>
      </c>
      <c r="I161" s="263" t="s">
        <v>5427</v>
      </c>
      <c r="J161" s="178" t="s">
        <v>2239</v>
      </c>
      <c r="K161" s="263" t="s">
        <v>2666</v>
      </c>
      <c r="L161" s="178" t="e">
        <f t="shared" si="13"/>
        <v>#N/A</v>
      </c>
      <c r="M161" s="178" t="e">
        <f t="shared" si="14"/>
        <v>#N/A</v>
      </c>
      <c r="N161" s="178" t="e">
        <f t="shared" si="15"/>
        <v>#N/A</v>
      </c>
    </row>
    <row r="162" spans="1:14">
      <c r="A162" s="178" t="s">
        <v>4311</v>
      </c>
      <c r="B162" s="178" t="s">
        <v>5613</v>
      </c>
      <c r="C162" s="178" t="s">
        <v>5692</v>
      </c>
      <c r="D162" s="178" t="s">
        <v>4311</v>
      </c>
      <c r="E162" s="178" t="e">
        <f t="shared" si="12"/>
        <v>#N/A</v>
      </c>
      <c r="F162" s="178" t="e">
        <f t="shared" si="16"/>
        <v>#N/A</v>
      </c>
      <c r="G162" s="178" t="e">
        <f t="shared" si="17"/>
        <v>#N/A</v>
      </c>
      <c r="H162" s="264" t="s">
        <v>2667</v>
      </c>
      <c r="I162" s="264" t="s">
        <v>5427</v>
      </c>
      <c r="J162" s="181"/>
      <c r="K162" s="264" t="s">
        <v>2667</v>
      </c>
      <c r="L162" s="178" t="e">
        <f t="shared" si="13"/>
        <v>#N/A</v>
      </c>
      <c r="M162" s="178" t="e">
        <f t="shared" si="14"/>
        <v>#N/A</v>
      </c>
      <c r="N162" s="178" t="e">
        <f t="shared" si="15"/>
        <v>#N/A</v>
      </c>
    </row>
    <row r="163" spans="1:14">
      <c r="A163" s="178" t="s">
        <v>4312</v>
      </c>
      <c r="B163" s="178" t="s">
        <v>5613</v>
      </c>
      <c r="C163" s="178" t="s">
        <v>5695</v>
      </c>
      <c r="D163" s="178" t="s">
        <v>4312</v>
      </c>
      <c r="E163" s="178" t="e">
        <f t="shared" si="12"/>
        <v>#N/A</v>
      </c>
      <c r="F163" s="178" t="e">
        <f t="shared" si="16"/>
        <v>#N/A</v>
      </c>
      <c r="G163" s="178" t="e">
        <f t="shared" si="17"/>
        <v>#N/A</v>
      </c>
      <c r="H163" s="263" t="s">
        <v>2668</v>
      </c>
      <c r="I163" s="263" t="s">
        <v>5427</v>
      </c>
      <c r="J163" s="178" t="s">
        <v>5865</v>
      </c>
      <c r="K163" s="263" t="s">
        <v>2668</v>
      </c>
      <c r="L163" s="178" t="e">
        <f t="shared" si="13"/>
        <v>#N/A</v>
      </c>
      <c r="M163" s="178" t="e">
        <f t="shared" si="14"/>
        <v>#N/A</v>
      </c>
      <c r="N163" s="178" t="e">
        <f t="shared" si="15"/>
        <v>#N/A</v>
      </c>
    </row>
    <row r="164" spans="1:14">
      <c r="A164" s="178" t="s">
        <v>4313</v>
      </c>
      <c r="B164" s="178" t="s">
        <v>5613</v>
      </c>
      <c r="C164" s="178" t="s">
        <v>5698</v>
      </c>
      <c r="D164" s="178" t="s">
        <v>4313</v>
      </c>
      <c r="E164" s="178" t="e">
        <f t="shared" si="12"/>
        <v>#N/A</v>
      </c>
      <c r="F164" s="178" t="e">
        <f t="shared" si="16"/>
        <v>#N/A</v>
      </c>
      <c r="G164" s="178" t="e">
        <f t="shared" si="17"/>
        <v>#N/A</v>
      </c>
      <c r="H164" s="264" t="s">
        <v>2669</v>
      </c>
      <c r="I164" s="264" t="s">
        <v>5427</v>
      </c>
      <c r="J164" s="181"/>
      <c r="K164" s="264" t="s">
        <v>2669</v>
      </c>
      <c r="L164" s="178" t="e">
        <f t="shared" si="13"/>
        <v>#N/A</v>
      </c>
      <c r="M164" s="178" t="e">
        <f t="shared" si="14"/>
        <v>#N/A</v>
      </c>
      <c r="N164" s="178" t="e">
        <f t="shared" si="15"/>
        <v>#N/A</v>
      </c>
    </row>
    <row r="165" spans="1:14">
      <c r="A165" s="178" t="s">
        <v>4314</v>
      </c>
      <c r="B165" s="178" t="s">
        <v>5613</v>
      </c>
      <c r="C165" s="178" t="s">
        <v>5700</v>
      </c>
      <c r="D165" s="178" t="s">
        <v>4314</v>
      </c>
      <c r="E165" s="178" t="e">
        <f t="shared" si="12"/>
        <v>#N/A</v>
      </c>
      <c r="F165" s="178" t="e">
        <f t="shared" si="16"/>
        <v>#N/A</v>
      </c>
      <c r="G165" s="178" t="e">
        <f t="shared" si="17"/>
        <v>#N/A</v>
      </c>
      <c r="H165" s="264" t="s">
        <v>2670</v>
      </c>
      <c r="I165" s="264" t="s">
        <v>5427</v>
      </c>
      <c r="J165" s="181"/>
      <c r="K165" s="264" t="s">
        <v>2670</v>
      </c>
      <c r="L165" s="178" t="e">
        <f t="shared" si="13"/>
        <v>#N/A</v>
      </c>
      <c r="M165" s="178" t="e">
        <f t="shared" si="14"/>
        <v>#N/A</v>
      </c>
      <c r="N165" s="178" t="e">
        <f t="shared" si="15"/>
        <v>#N/A</v>
      </c>
    </row>
    <row r="166" spans="1:14">
      <c r="A166" s="178" t="s">
        <v>5701</v>
      </c>
      <c r="B166" s="178" t="s">
        <v>5613</v>
      </c>
      <c r="C166" s="178" t="s">
        <v>5704</v>
      </c>
      <c r="D166" s="178" t="s">
        <v>5701</v>
      </c>
      <c r="E166" s="178" t="e">
        <f t="shared" si="12"/>
        <v>#N/A</v>
      </c>
      <c r="F166" s="178" t="e">
        <f t="shared" si="16"/>
        <v>#N/A</v>
      </c>
      <c r="G166" s="178" t="e">
        <f t="shared" si="17"/>
        <v>#N/A</v>
      </c>
      <c r="H166" s="263" t="s">
        <v>2671</v>
      </c>
      <c r="I166" s="263" t="s">
        <v>5427</v>
      </c>
      <c r="J166" s="178" t="s">
        <v>3359</v>
      </c>
      <c r="K166" s="263" t="s">
        <v>2671</v>
      </c>
      <c r="L166" s="178" t="e">
        <f t="shared" si="13"/>
        <v>#N/A</v>
      </c>
      <c r="M166" s="178" t="e">
        <f t="shared" si="14"/>
        <v>#N/A</v>
      </c>
      <c r="N166" s="178" t="e">
        <f t="shared" si="15"/>
        <v>#N/A</v>
      </c>
    </row>
    <row r="167" spans="1:14">
      <c r="A167" s="178" t="s">
        <v>5705</v>
      </c>
      <c r="B167" s="178" t="s">
        <v>5613</v>
      </c>
      <c r="C167" s="178" t="s">
        <v>5707</v>
      </c>
      <c r="D167" s="178" t="s">
        <v>5705</v>
      </c>
      <c r="E167" s="178" t="e">
        <f t="shared" si="12"/>
        <v>#N/A</v>
      </c>
      <c r="F167" s="178" t="e">
        <f t="shared" si="16"/>
        <v>#N/A</v>
      </c>
      <c r="G167" s="178" t="e">
        <f t="shared" si="17"/>
        <v>#N/A</v>
      </c>
      <c r="H167" s="264" t="s">
        <v>2672</v>
      </c>
      <c r="I167" s="264" t="s">
        <v>5427</v>
      </c>
      <c r="J167" s="181"/>
      <c r="K167" s="264" t="s">
        <v>2672</v>
      </c>
      <c r="L167" s="178" t="e">
        <f t="shared" si="13"/>
        <v>#N/A</v>
      </c>
      <c r="M167" s="178" t="e">
        <f t="shared" si="14"/>
        <v>#N/A</v>
      </c>
      <c r="N167" s="178" t="e">
        <f t="shared" si="15"/>
        <v>#N/A</v>
      </c>
    </row>
    <row r="168" spans="1:14">
      <c r="A168" s="178" t="s">
        <v>5708</v>
      </c>
      <c r="B168" s="178" t="s">
        <v>5613</v>
      </c>
      <c r="C168" s="178" t="s">
        <v>5711</v>
      </c>
      <c r="D168" s="178" t="s">
        <v>5708</v>
      </c>
      <c r="E168" s="178" t="e">
        <f t="shared" si="12"/>
        <v>#N/A</v>
      </c>
      <c r="F168" s="178" t="e">
        <f t="shared" si="16"/>
        <v>#N/A</v>
      </c>
      <c r="G168" s="178" t="e">
        <f t="shared" si="17"/>
        <v>#N/A</v>
      </c>
      <c r="H168" s="263" t="s">
        <v>2673</v>
      </c>
      <c r="I168" s="263" t="s">
        <v>5427</v>
      </c>
      <c r="J168" s="178" t="s">
        <v>2884</v>
      </c>
      <c r="K168" s="263" t="s">
        <v>2673</v>
      </c>
      <c r="L168" s="178" t="e">
        <f t="shared" si="13"/>
        <v>#N/A</v>
      </c>
      <c r="M168" s="178" t="e">
        <f t="shared" si="14"/>
        <v>#N/A</v>
      </c>
      <c r="N168" s="178" t="e">
        <f t="shared" si="15"/>
        <v>#N/A</v>
      </c>
    </row>
    <row r="169" spans="1:14">
      <c r="A169" s="178" t="s">
        <v>5712</v>
      </c>
      <c r="B169" s="178" t="s">
        <v>5613</v>
      </c>
      <c r="C169" s="178" t="s">
        <v>5715</v>
      </c>
      <c r="D169" s="178" t="s">
        <v>5712</v>
      </c>
      <c r="E169" s="178" t="e">
        <f t="shared" si="12"/>
        <v>#N/A</v>
      </c>
      <c r="F169" s="178" t="e">
        <f t="shared" si="16"/>
        <v>#N/A</v>
      </c>
      <c r="G169" s="178" t="e">
        <f t="shared" si="17"/>
        <v>#N/A</v>
      </c>
      <c r="H169" s="263" t="s">
        <v>2674</v>
      </c>
      <c r="I169" s="263" t="s">
        <v>5427</v>
      </c>
      <c r="J169" s="178" t="s">
        <v>2885</v>
      </c>
      <c r="K169" s="263" t="s">
        <v>2674</v>
      </c>
      <c r="L169" s="178" t="e">
        <f t="shared" si="13"/>
        <v>#N/A</v>
      </c>
      <c r="M169" s="178" t="e">
        <f t="shared" si="14"/>
        <v>#N/A</v>
      </c>
      <c r="N169" s="178" t="e">
        <f t="shared" si="15"/>
        <v>#N/A</v>
      </c>
    </row>
    <row r="170" spans="1:14">
      <c r="A170" s="178" t="s">
        <v>5716</v>
      </c>
      <c r="B170" s="178" t="s">
        <v>5613</v>
      </c>
      <c r="C170" s="178" t="s">
        <v>5719</v>
      </c>
      <c r="D170" s="178" t="s">
        <v>5716</v>
      </c>
      <c r="E170" s="178" t="e">
        <f t="shared" si="12"/>
        <v>#N/A</v>
      </c>
      <c r="F170" s="178" t="e">
        <f t="shared" si="16"/>
        <v>#N/A</v>
      </c>
      <c r="G170" s="178" t="e">
        <f t="shared" si="17"/>
        <v>#N/A</v>
      </c>
      <c r="H170" s="264" t="s">
        <v>2675</v>
      </c>
      <c r="I170" s="264" t="s">
        <v>5427</v>
      </c>
      <c r="J170" s="181"/>
      <c r="K170" s="264" t="s">
        <v>2675</v>
      </c>
      <c r="L170" s="178" t="e">
        <f t="shared" si="13"/>
        <v>#N/A</v>
      </c>
      <c r="M170" s="178" t="e">
        <f t="shared" si="14"/>
        <v>#N/A</v>
      </c>
      <c r="N170" s="178" t="e">
        <f t="shared" si="15"/>
        <v>#N/A</v>
      </c>
    </row>
    <row r="171" spans="1:14">
      <c r="A171" s="178" t="s">
        <v>5720</v>
      </c>
      <c r="B171" s="178" t="s">
        <v>5613</v>
      </c>
      <c r="C171" s="178" t="s">
        <v>5723</v>
      </c>
      <c r="D171" s="178" t="s">
        <v>5720</v>
      </c>
      <c r="E171" s="178" t="e">
        <f t="shared" si="12"/>
        <v>#N/A</v>
      </c>
      <c r="F171" s="178" t="e">
        <f t="shared" si="16"/>
        <v>#N/A</v>
      </c>
      <c r="G171" s="178" t="e">
        <f t="shared" si="17"/>
        <v>#N/A</v>
      </c>
      <c r="H171" s="264" t="s">
        <v>2676</v>
      </c>
      <c r="I171" s="264" t="s">
        <v>5427</v>
      </c>
      <c r="J171" s="181"/>
      <c r="K171" s="264" t="s">
        <v>2676</v>
      </c>
      <c r="L171" s="178" t="e">
        <f t="shared" si="13"/>
        <v>#N/A</v>
      </c>
      <c r="M171" s="178" t="e">
        <f t="shared" si="14"/>
        <v>#N/A</v>
      </c>
      <c r="N171" s="178" t="e">
        <f t="shared" si="15"/>
        <v>#N/A</v>
      </c>
    </row>
    <row r="172" spans="1:14">
      <c r="A172" s="178" t="s">
        <v>5724</v>
      </c>
      <c r="B172" s="178" t="s">
        <v>5613</v>
      </c>
      <c r="C172" s="178" t="s">
        <v>5727</v>
      </c>
      <c r="D172" s="178" t="s">
        <v>5724</v>
      </c>
      <c r="E172" s="178" t="e">
        <f t="shared" si="12"/>
        <v>#N/A</v>
      </c>
      <c r="F172" s="178" t="e">
        <f t="shared" si="16"/>
        <v>#N/A</v>
      </c>
      <c r="G172" s="178" t="e">
        <f t="shared" si="17"/>
        <v>#N/A</v>
      </c>
      <c r="H172" s="264" t="s">
        <v>2677</v>
      </c>
      <c r="I172" s="264" t="s">
        <v>5427</v>
      </c>
      <c r="J172" s="181"/>
      <c r="K172" s="264" t="s">
        <v>2677</v>
      </c>
      <c r="L172" s="178" t="e">
        <f t="shared" si="13"/>
        <v>#N/A</v>
      </c>
      <c r="M172" s="178" t="e">
        <f t="shared" si="14"/>
        <v>#N/A</v>
      </c>
      <c r="N172" s="178" t="e">
        <f t="shared" si="15"/>
        <v>#N/A</v>
      </c>
    </row>
    <row r="173" spans="1:14">
      <c r="A173" s="178" t="s">
        <v>5728</v>
      </c>
      <c r="B173" s="178" t="s">
        <v>5613</v>
      </c>
      <c r="C173" s="178" t="s">
        <v>5731</v>
      </c>
      <c r="D173" s="178" t="s">
        <v>5728</v>
      </c>
      <c r="E173" s="178" t="e">
        <f t="shared" si="12"/>
        <v>#N/A</v>
      </c>
      <c r="F173" s="178" t="e">
        <f t="shared" si="16"/>
        <v>#N/A</v>
      </c>
      <c r="G173" s="178" t="e">
        <f t="shared" si="17"/>
        <v>#N/A</v>
      </c>
      <c r="H173" s="264" t="s">
        <v>2678</v>
      </c>
      <c r="I173" s="264" t="s">
        <v>5427</v>
      </c>
      <c r="J173" s="181"/>
      <c r="K173" s="264" t="s">
        <v>2678</v>
      </c>
      <c r="L173" s="178" t="e">
        <f t="shared" si="13"/>
        <v>#N/A</v>
      </c>
      <c r="M173" s="178" t="e">
        <f t="shared" si="14"/>
        <v>#N/A</v>
      </c>
      <c r="N173" s="178" t="e">
        <f t="shared" si="15"/>
        <v>#N/A</v>
      </c>
    </row>
    <row r="174" spans="1:14">
      <c r="A174" s="178" t="s">
        <v>5732</v>
      </c>
      <c r="B174" s="178" t="s">
        <v>5613</v>
      </c>
      <c r="C174" s="178" t="s">
        <v>5735</v>
      </c>
      <c r="D174" s="178" t="s">
        <v>5732</v>
      </c>
      <c r="E174" s="178" t="e">
        <f t="shared" si="12"/>
        <v>#N/A</v>
      </c>
      <c r="F174" s="178" t="e">
        <f t="shared" si="16"/>
        <v>#N/A</v>
      </c>
      <c r="G174" s="178" t="e">
        <f t="shared" si="17"/>
        <v>#N/A</v>
      </c>
      <c r="H174" s="264" t="s">
        <v>2679</v>
      </c>
      <c r="I174" s="264" t="s">
        <v>5427</v>
      </c>
      <c r="J174" s="181"/>
      <c r="K174" s="264" t="s">
        <v>2679</v>
      </c>
      <c r="L174" s="178" t="e">
        <f t="shared" si="13"/>
        <v>#N/A</v>
      </c>
      <c r="M174" s="178" t="e">
        <f t="shared" si="14"/>
        <v>#N/A</v>
      </c>
      <c r="N174" s="178" t="e">
        <f t="shared" si="15"/>
        <v>#N/A</v>
      </c>
    </row>
    <row r="175" spans="1:14">
      <c r="A175" s="178" t="s">
        <v>5736</v>
      </c>
      <c r="B175" s="178" t="s">
        <v>5613</v>
      </c>
      <c r="C175" s="178" t="s">
        <v>5737</v>
      </c>
      <c r="D175" s="178" t="s">
        <v>5736</v>
      </c>
      <c r="E175" s="178" t="e">
        <f t="shared" si="12"/>
        <v>#N/A</v>
      </c>
      <c r="F175" s="178" t="e">
        <f t="shared" si="16"/>
        <v>#N/A</v>
      </c>
      <c r="G175" s="178" t="e">
        <f t="shared" si="17"/>
        <v>#N/A</v>
      </c>
      <c r="H175" s="264" t="s">
        <v>2680</v>
      </c>
      <c r="I175" s="264" t="s">
        <v>5427</v>
      </c>
      <c r="J175" s="181"/>
      <c r="K175" s="264" t="s">
        <v>2680</v>
      </c>
      <c r="L175" s="178" t="e">
        <f t="shared" si="13"/>
        <v>#N/A</v>
      </c>
      <c r="M175" s="178" t="e">
        <f t="shared" si="14"/>
        <v>#N/A</v>
      </c>
      <c r="N175" s="178" t="e">
        <f t="shared" si="15"/>
        <v>#N/A</v>
      </c>
    </row>
    <row r="176" spans="1:14">
      <c r="A176" s="178" t="s">
        <v>5738</v>
      </c>
      <c r="B176" s="178" t="s">
        <v>5613</v>
      </c>
      <c r="C176" s="178" t="s">
        <v>5741</v>
      </c>
      <c r="D176" s="178" t="s">
        <v>5738</v>
      </c>
      <c r="E176" s="178" t="e">
        <f t="shared" si="12"/>
        <v>#N/A</v>
      </c>
      <c r="F176" s="178" t="e">
        <f t="shared" si="16"/>
        <v>#N/A</v>
      </c>
      <c r="G176" s="178" t="e">
        <f t="shared" si="17"/>
        <v>#N/A</v>
      </c>
      <c r="H176" s="263" t="s">
        <v>2681</v>
      </c>
      <c r="I176" s="263" t="s">
        <v>5427</v>
      </c>
      <c r="J176" s="178" t="s">
        <v>2890</v>
      </c>
      <c r="K176" s="263" t="s">
        <v>2681</v>
      </c>
      <c r="L176" s="178" t="e">
        <f t="shared" si="13"/>
        <v>#N/A</v>
      </c>
      <c r="M176" s="178" t="e">
        <f t="shared" si="14"/>
        <v>#N/A</v>
      </c>
      <c r="N176" s="178" t="e">
        <f t="shared" si="15"/>
        <v>#N/A</v>
      </c>
    </row>
    <row r="177" spans="1:14">
      <c r="A177" s="178" t="s">
        <v>2392</v>
      </c>
      <c r="B177" s="178" t="s">
        <v>5453</v>
      </c>
      <c r="C177" s="178" t="s">
        <v>5876</v>
      </c>
      <c r="D177" s="178" t="s">
        <v>2392</v>
      </c>
      <c r="E177" s="178" t="str">
        <f t="shared" si="12"/>
        <v>A4033</v>
      </c>
      <c r="F177" s="178" t="str">
        <f t="shared" si="16"/>
        <v>GEA_KCB신용요약정보조회Dto</v>
      </c>
      <c r="G177" s="178">
        <f t="shared" si="17"/>
        <v>1</v>
      </c>
      <c r="H177" s="264" t="s">
        <v>2682</v>
      </c>
      <c r="I177" s="264" t="s">
        <v>5427</v>
      </c>
      <c r="J177" s="181"/>
      <c r="K177" s="264" t="s">
        <v>2682</v>
      </c>
      <c r="L177" s="178" t="e">
        <f t="shared" si="13"/>
        <v>#N/A</v>
      </c>
      <c r="M177" s="178" t="e">
        <f t="shared" si="14"/>
        <v>#N/A</v>
      </c>
      <c r="N177" s="178" t="e">
        <f t="shared" si="15"/>
        <v>#N/A</v>
      </c>
    </row>
    <row r="178" spans="1:14">
      <c r="A178" s="178" t="s">
        <v>2393</v>
      </c>
      <c r="C178" s="178" t="s">
        <v>5883</v>
      </c>
      <c r="D178" s="178" t="s">
        <v>2393</v>
      </c>
      <c r="E178" s="178" t="e">
        <f t="shared" si="12"/>
        <v>#N/A</v>
      </c>
      <c r="F178" s="178" t="e">
        <f t="shared" si="16"/>
        <v>#N/A</v>
      </c>
      <c r="G178" s="178" t="e">
        <f t="shared" si="17"/>
        <v>#N/A</v>
      </c>
      <c r="H178" s="264" t="s">
        <v>2683</v>
      </c>
      <c r="I178" s="264" t="s">
        <v>5427</v>
      </c>
      <c r="J178" s="181"/>
      <c r="K178" s="264" t="s">
        <v>2683</v>
      </c>
      <c r="L178" s="178" t="e">
        <f t="shared" si="13"/>
        <v>#N/A</v>
      </c>
      <c r="M178" s="178" t="e">
        <f t="shared" si="14"/>
        <v>#N/A</v>
      </c>
      <c r="N178" s="178" t="e">
        <f t="shared" si="15"/>
        <v>#N/A</v>
      </c>
    </row>
    <row r="179" spans="1:14">
      <c r="A179" s="178" t="s">
        <v>2394</v>
      </c>
      <c r="B179" s="178" t="s">
        <v>5453</v>
      </c>
      <c r="C179" s="178" t="s">
        <v>989</v>
      </c>
      <c r="D179" s="178" t="s">
        <v>2394</v>
      </c>
      <c r="E179" s="178" t="str">
        <f t="shared" si="12"/>
        <v>A4021</v>
      </c>
      <c r="F179" s="178">
        <f t="shared" si="16"/>
        <v>0</v>
      </c>
      <c r="G179" s="178">
        <f t="shared" si="17"/>
        <v>0</v>
      </c>
      <c r="H179" s="263" t="s">
        <v>2684</v>
      </c>
      <c r="I179" s="263" t="s">
        <v>5427</v>
      </c>
      <c r="J179" s="178" t="s">
        <v>2893</v>
      </c>
      <c r="K179" s="263" t="s">
        <v>2684</v>
      </c>
      <c r="L179" s="178" t="e">
        <f t="shared" si="13"/>
        <v>#N/A</v>
      </c>
      <c r="M179" s="178" t="e">
        <f t="shared" si="14"/>
        <v>#N/A</v>
      </c>
      <c r="N179" s="178" t="e">
        <f t="shared" si="15"/>
        <v>#N/A</v>
      </c>
    </row>
    <row r="180" spans="1:14">
      <c r="A180" s="178" t="s">
        <v>2395</v>
      </c>
      <c r="B180" s="178" t="s">
        <v>5453</v>
      </c>
      <c r="C180" s="178" t="s">
        <v>981</v>
      </c>
      <c r="D180" s="178" t="s">
        <v>2395</v>
      </c>
      <c r="E180" s="178" t="str">
        <f t="shared" si="12"/>
        <v>A4018</v>
      </c>
      <c r="F180" s="178" t="str">
        <f t="shared" si="16"/>
        <v>GEA_KCB신용요약정보조회Dto</v>
      </c>
      <c r="G180" s="178">
        <f t="shared" si="17"/>
        <v>1</v>
      </c>
      <c r="H180" s="264" t="s">
        <v>2685</v>
      </c>
      <c r="I180" s="264" t="s">
        <v>5427</v>
      </c>
      <c r="J180" s="181"/>
      <c r="K180" s="264" t="s">
        <v>2685</v>
      </c>
      <c r="L180" s="178" t="e">
        <f t="shared" si="13"/>
        <v>#N/A</v>
      </c>
      <c r="M180" s="178" t="e">
        <f t="shared" si="14"/>
        <v>#N/A</v>
      </c>
      <c r="N180" s="178" t="e">
        <f t="shared" si="15"/>
        <v>#N/A</v>
      </c>
    </row>
    <row r="181" spans="1:14">
      <c r="A181" s="178" t="s">
        <v>2396</v>
      </c>
      <c r="B181" s="178" t="s">
        <v>5453</v>
      </c>
      <c r="C181" s="178" t="s">
        <v>983</v>
      </c>
      <c r="D181" s="178" t="s">
        <v>2396</v>
      </c>
      <c r="E181" s="178" t="str">
        <f t="shared" si="12"/>
        <v>A4019</v>
      </c>
      <c r="F181" s="178" t="str">
        <f t="shared" si="16"/>
        <v>GEA_KCB신용요약정보조회Dto</v>
      </c>
      <c r="G181" s="178">
        <f t="shared" si="17"/>
        <v>1</v>
      </c>
      <c r="H181" s="264" t="s">
        <v>2686</v>
      </c>
      <c r="I181" s="264" t="s">
        <v>5427</v>
      </c>
      <c r="J181" s="181"/>
      <c r="K181" s="264" t="s">
        <v>2686</v>
      </c>
      <c r="L181" s="178" t="e">
        <f t="shared" si="13"/>
        <v>#N/A</v>
      </c>
      <c r="M181" s="178" t="e">
        <f t="shared" si="14"/>
        <v>#N/A</v>
      </c>
      <c r="N181" s="178" t="e">
        <f t="shared" si="15"/>
        <v>#N/A</v>
      </c>
    </row>
    <row r="182" spans="1:14">
      <c r="A182" s="178" t="s">
        <v>2397</v>
      </c>
      <c r="B182" s="178" t="s">
        <v>5453</v>
      </c>
      <c r="C182" s="178" t="s">
        <v>963</v>
      </c>
      <c r="D182" s="178" t="s">
        <v>2397</v>
      </c>
      <c r="E182" s="178" t="str">
        <f t="shared" si="12"/>
        <v>A4012</v>
      </c>
      <c r="F182" s="178">
        <f t="shared" si="16"/>
        <v>0</v>
      </c>
      <c r="G182" s="178">
        <f t="shared" si="17"/>
        <v>0</v>
      </c>
      <c r="H182" s="264" t="s">
        <v>2687</v>
      </c>
      <c r="I182" s="264" t="s">
        <v>5427</v>
      </c>
      <c r="J182" s="181"/>
      <c r="K182" s="264" t="s">
        <v>2687</v>
      </c>
      <c r="L182" s="178" t="e">
        <f t="shared" si="13"/>
        <v>#N/A</v>
      </c>
      <c r="M182" s="178" t="e">
        <f t="shared" si="14"/>
        <v>#N/A</v>
      </c>
      <c r="N182" s="178" t="e">
        <f t="shared" si="15"/>
        <v>#N/A</v>
      </c>
    </row>
    <row r="183" spans="1:14">
      <c r="A183" s="178" t="s">
        <v>2398</v>
      </c>
      <c r="B183" s="178" t="s">
        <v>5453</v>
      </c>
      <c r="C183" s="178" t="s">
        <v>966</v>
      </c>
      <c r="D183" s="178" t="s">
        <v>2398</v>
      </c>
      <c r="E183" s="178" t="str">
        <f t="shared" si="12"/>
        <v>A4013</v>
      </c>
      <c r="F183" s="178">
        <f t="shared" si="16"/>
        <v>0</v>
      </c>
      <c r="G183" s="178">
        <f t="shared" si="17"/>
        <v>0</v>
      </c>
      <c r="H183" s="264" t="s">
        <v>2688</v>
      </c>
      <c r="I183" s="264" t="s">
        <v>5427</v>
      </c>
      <c r="J183" s="181"/>
      <c r="K183" s="264" t="s">
        <v>2688</v>
      </c>
      <c r="L183" s="178" t="e">
        <f t="shared" si="13"/>
        <v>#N/A</v>
      </c>
      <c r="M183" s="178" t="e">
        <f t="shared" si="14"/>
        <v>#N/A</v>
      </c>
      <c r="N183" s="178" t="e">
        <f t="shared" si="15"/>
        <v>#N/A</v>
      </c>
    </row>
    <row r="184" spans="1:14">
      <c r="A184" s="178" t="s">
        <v>2399</v>
      </c>
      <c r="B184" s="178" t="s">
        <v>5453</v>
      </c>
      <c r="C184" s="178" t="s">
        <v>2839</v>
      </c>
      <c r="D184" s="178" t="s">
        <v>2399</v>
      </c>
      <c r="E184" s="178" t="e">
        <f t="shared" si="12"/>
        <v>#N/A</v>
      </c>
      <c r="F184" s="178" t="e">
        <f t="shared" si="16"/>
        <v>#N/A</v>
      </c>
      <c r="G184" s="178" t="e">
        <f t="shared" si="17"/>
        <v>#N/A</v>
      </c>
      <c r="H184" s="264" t="s">
        <v>2689</v>
      </c>
      <c r="I184" s="264" t="s">
        <v>5427</v>
      </c>
      <c r="J184" s="181"/>
      <c r="K184" s="264" t="s">
        <v>2689</v>
      </c>
      <c r="L184" s="178" t="e">
        <f t="shared" si="13"/>
        <v>#N/A</v>
      </c>
      <c r="M184" s="178" t="e">
        <f t="shared" si="14"/>
        <v>#N/A</v>
      </c>
      <c r="N184" s="178" t="e">
        <f t="shared" si="15"/>
        <v>#N/A</v>
      </c>
    </row>
    <row r="185" spans="1:14">
      <c r="A185" s="181" t="s">
        <v>2400</v>
      </c>
      <c r="B185" s="181" t="s">
        <v>3019</v>
      </c>
      <c r="C185" s="181" t="s">
        <v>1052</v>
      </c>
      <c r="D185" s="181" t="s">
        <v>2400</v>
      </c>
      <c r="E185" s="178" t="str">
        <f t="shared" si="12"/>
        <v>A4042</v>
      </c>
      <c r="F185" s="178" t="str">
        <f t="shared" si="16"/>
        <v>GEA_KCB신용요약정보조회Dto</v>
      </c>
      <c r="G185" s="178">
        <f t="shared" si="17"/>
        <v>0</v>
      </c>
      <c r="H185" s="264" t="s">
        <v>2690</v>
      </c>
      <c r="I185" s="264" t="s">
        <v>5427</v>
      </c>
      <c r="J185" s="181"/>
      <c r="K185" s="264" t="s">
        <v>2690</v>
      </c>
      <c r="L185" s="178" t="e">
        <f t="shared" si="13"/>
        <v>#N/A</v>
      </c>
      <c r="M185" s="178" t="e">
        <f t="shared" si="14"/>
        <v>#N/A</v>
      </c>
      <c r="N185" s="178" t="e">
        <f t="shared" si="15"/>
        <v>#N/A</v>
      </c>
    </row>
    <row r="186" spans="1:14">
      <c r="A186" s="181" t="s">
        <v>2401</v>
      </c>
      <c r="B186" s="181" t="s">
        <v>3019</v>
      </c>
      <c r="C186" s="181" t="s">
        <v>3020</v>
      </c>
      <c r="D186" s="181" t="s">
        <v>2401</v>
      </c>
      <c r="E186" s="178" t="e">
        <f t="shared" si="12"/>
        <v>#N/A</v>
      </c>
      <c r="F186" s="178" t="e">
        <f t="shared" si="16"/>
        <v>#N/A</v>
      </c>
      <c r="G186" s="178" t="e">
        <f t="shared" si="17"/>
        <v>#N/A</v>
      </c>
      <c r="H186" s="264" t="s">
        <v>2691</v>
      </c>
      <c r="I186" s="264" t="s">
        <v>5427</v>
      </c>
      <c r="J186" s="181"/>
      <c r="K186" s="264" t="s">
        <v>2691</v>
      </c>
      <c r="L186" s="178" t="e">
        <f t="shared" si="13"/>
        <v>#N/A</v>
      </c>
      <c r="M186" s="178" t="e">
        <f t="shared" si="14"/>
        <v>#N/A</v>
      </c>
      <c r="N186" s="178" t="e">
        <f t="shared" si="15"/>
        <v>#N/A</v>
      </c>
    </row>
    <row r="187" spans="1:14">
      <c r="A187" s="181" t="s">
        <v>2402</v>
      </c>
      <c r="B187" s="181" t="s">
        <v>3019</v>
      </c>
      <c r="C187" s="181" t="s">
        <v>3021</v>
      </c>
      <c r="D187" s="181" t="s">
        <v>2402</v>
      </c>
      <c r="E187" s="178" t="e">
        <f t="shared" si="12"/>
        <v>#N/A</v>
      </c>
      <c r="F187" s="178" t="e">
        <f t="shared" si="16"/>
        <v>#N/A</v>
      </c>
      <c r="G187" s="178" t="e">
        <f t="shared" si="17"/>
        <v>#N/A</v>
      </c>
      <c r="H187" s="264" t="s">
        <v>2692</v>
      </c>
      <c r="I187" s="264" t="s">
        <v>5427</v>
      </c>
      <c r="J187" s="181"/>
      <c r="K187" s="264" t="s">
        <v>2692</v>
      </c>
      <c r="L187" s="178" t="e">
        <f t="shared" si="13"/>
        <v>#N/A</v>
      </c>
      <c r="M187" s="178" t="e">
        <f t="shared" si="14"/>
        <v>#N/A</v>
      </c>
      <c r="N187" s="178" t="e">
        <f t="shared" si="15"/>
        <v>#N/A</v>
      </c>
    </row>
    <row r="188" spans="1:14">
      <c r="A188" s="181" t="s">
        <v>2403</v>
      </c>
      <c r="B188" s="181" t="s">
        <v>3019</v>
      </c>
      <c r="C188" s="181" t="s">
        <v>3022</v>
      </c>
      <c r="D188" s="181" t="s">
        <v>2403</v>
      </c>
      <c r="E188" s="178" t="e">
        <f t="shared" si="12"/>
        <v>#N/A</v>
      </c>
      <c r="F188" s="178" t="e">
        <f t="shared" si="16"/>
        <v>#N/A</v>
      </c>
      <c r="G188" s="178" t="e">
        <f t="shared" si="17"/>
        <v>#N/A</v>
      </c>
      <c r="H188" s="264" t="s">
        <v>2693</v>
      </c>
      <c r="I188" s="264" t="s">
        <v>5427</v>
      </c>
      <c r="J188" s="181"/>
      <c r="K188" s="264" t="s">
        <v>2693</v>
      </c>
      <c r="L188" s="178" t="e">
        <f t="shared" si="13"/>
        <v>#N/A</v>
      </c>
      <c r="M188" s="178" t="e">
        <f t="shared" si="14"/>
        <v>#N/A</v>
      </c>
      <c r="N188" s="178" t="e">
        <f t="shared" si="15"/>
        <v>#N/A</v>
      </c>
    </row>
    <row r="189" spans="1:14">
      <c r="A189" s="181" t="s">
        <v>2404</v>
      </c>
      <c r="B189" s="181" t="s">
        <v>3019</v>
      </c>
      <c r="C189" s="181" t="s">
        <v>3023</v>
      </c>
      <c r="D189" s="181" t="s">
        <v>2404</v>
      </c>
      <c r="E189" s="178" t="e">
        <f t="shared" si="12"/>
        <v>#N/A</v>
      </c>
      <c r="F189" s="178" t="e">
        <f t="shared" si="16"/>
        <v>#N/A</v>
      </c>
      <c r="G189" s="178" t="e">
        <f t="shared" si="17"/>
        <v>#N/A</v>
      </c>
      <c r="H189" s="264" t="s">
        <v>2694</v>
      </c>
      <c r="I189" s="264" t="s">
        <v>5427</v>
      </c>
      <c r="J189" s="181"/>
      <c r="K189" s="264" t="s">
        <v>2694</v>
      </c>
      <c r="L189" s="178" t="e">
        <f t="shared" si="13"/>
        <v>#N/A</v>
      </c>
      <c r="M189" s="178" t="e">
        <f t="shared" si="14"/>
        <v>#N/A</v>
      </c>
      <c r="N189" s="178" t="e">
        <f t="shared" si="15"/>
        <v>#N/A</v>
      </c>
    </row>
    <row r="190" spans="1:14">
      <c r="A190" s="178" t="s">
        <v>2405</v>
      </c>
      <c r="B190" s="263" t="s">
        <v>5878</v>
      </c>
      <c r="C190" s="263" t="s">
        <v>5874</v>
      </c>
      <c r="D190" s="178" t="s">
        <v>2405</v>
      </c>
      <c r="E190" s="178" t="str">
        <f t="shared" si="12"/>
        <v>A3062</v>
      </c>
      <c r="F190" s="178" t="str">
        <f t="shared" si="16"/>
        <v>GEA_NICE동시대출건수조회Dto</v>
      </c>
      <c r="G190" s="178">
        <f t="shared" si="17"/>
        <v>0</v>
      </c>
      <c r="H190" s="264" t="s">
        <v>2695</v>
      </c>
      <c r="I190" s="264" t="s">
        <v>5427</v>
      </c>
      <c r="J190" s="181"/>
      <c r="K190" s="264" t="s">
        <v>2695</v>
      </c>
      <c r="L190" s="178" t="e">
        <f t="shared" si="13"/>
        <v>#N/A</v>
      </c>
      <c r="M190" s="178" t="e">
        <f t="shared" si="14"/>
        <v>#N/A</v>
      </c>
      <c r="N190" s="178" t="e">
        <f t="shared" si="15"/>
        <v>#N/A</v>
      </c>
    </row>
    <row r="191" spans="1:14">
      <c r="A191" s="178" t="s">
        <v>2406</v>
      </c>
      <c r="B191" s="178" t="s">
        <v>5453</v>
      </c>
      <c r="C191" s="178" t="s">
        <v>5456</v>
      </c>
      <c r="D191" s="178" t="s">
        <v>2406</v>
      </c>
      <c r="E191" s="178" t="e">
        <f t="shared" si="12"/>
        <v>#N/A</v>
      </c>
      <c r="F191" s="178" t="e">
        <f t="shared" si="16"/>
        <v>#N/A</v>
      </c>
      <c r="G191" s="178" t="e">
        <f t="shared" si="17"/>
        <v>#N/A</v>
      </c>
      <c r="H191" s="264" t="s">
        <v>2696</v>
      </c>
      <c r="I191" s="264" t="s">
        <v>5427</v>
      </c>
      <c r="J191" s="181"/>
      <c r="K191" s="264" t="s">
        <v>2696</v>
      </c>
      <c r="L191" s="178" t="e">
        <f t="shared" si="13"/>
        <v>#N/A</v>
      </c>
      <c r="M191" s="178" t="e">
        <f t="shared" si="14"/>
        <v>#N/A</v>
      </c>
      <c r="N191" s="178" t="e">
        <f t="shared" si="15"/>
        <v>#N/A</v>
      </c>
    </row>
    <row r="192" spans="1:14">
      <c r="A192" s="178" t="s">
        <v>2407</v>
      </c>
      <c r="B192" s="178" t="s">
        <v>5453</v>
      </c>
      <c r="C192" s="178" t="s">
        <v>5457</v>
      </c>
      <c r="D192" s="178" t="s">
        <v>2407</v>
      </c>
      <c r="E192" s="178" t="e">
        <f t="shared" si="12"/>
        <v>#N/A</v>
      </c>
      <c r="F192" s="178" t="e">
        <f t="shared" si="16"/>
        <v>#N/A</v>
      </c>
      <c r="G192" s="178" t="e">
        <f t="shared" si="17"/>
        <v>#N/A</v>
      </c>
      <c r="H192" s="264" t="s">
        <v>2697</v>
      </c>
      <c r="I192" s="264" t="s">
        <v>5427</v>
      </c>
      <c r="J192" s="181"/>
      <c r="K192" s="264" t="s">
        <v>2697</v>
      </c>
      <c r="L192" s="178" t="e">
        <f t="shared" si="13"/>
        <v>#N/A</v>
      </c>
      <c r="M192" s="178" t="e">
        <f t="shared" si="14"/>
        <v>#N/A</v>
      </c>
      <c r="N192" s="178" t="e">
        <f t="shared" si="15"/>
        <v>#N/A</v>
      </c>
    </row>
    <row r="193" spans="1:14">
      <c r="A193" s="178" t="s">
        <v>2408</v>
      </c>
      <c r="B193" s="178" t="s">
        <v>5453</v>
      </c>
      <c r="C193" s="178" t="s">
        <v>5458</v>
      </c>
      <c r="D193" s="178" t="s">
        <v>2408</v>
      </c>
      <c r="E193" s="178" t="e">
        <f t="shared" si="12"/>
        <v>#N/A</v>
      </c>
      <c r="F193" s="178" t="e">
        <f t="shared" si="16"/>
        <v>#N/A</v>
      </c>
      <c r="G193" s="178" t="e">
        <f t="shared" si="17"/>
        <v>#N/A</v>
      </c>
      <c r="H193" s="264" t="s">
        <v>2698</v>
      </c>
      <c r="I193" s="264" t="s">
        <v>5427</v>
      </c>
      <c r="J193" s="181"/>
      <c r="K193" s="264" t="s">
        <v>2698</v>
      </c>
      <c r="L193" s="178" t="e">
        <f t="shared" si="13"/>
        <v>#N/A</v>
      </c>
      <c r="M193" s="178" t="e">
        <f t="shared" si="14"/>
        <v>#N/A</v>
      </c>
      <c r="N193" s="178" t="e">
        <f t="shared" si="15"/>
        <v>#N/A</v>
      </c>
    </row>
    <row r="194" spans="1:14">
      <c r="A194" s="178" t="s">
        <v>2409</v>
      </c>
      <c r="B194" s="178" t="s">
        <v>5453</v>
      </c>
      <c r="C194" s="178" t="s">
        <v>5459</v>
      </c>
      <c r="D194" s="178" t="s">
        <v>2409</v>
      </c>
      <c r="E194" s="178" t="e">
        <f t="shared" si="12"/>
        <v>#N/A</v>
      </c>
      <c r="F194" s="178" t="e">
        <f t="shared" si="16"/>
        <v>#N/A</v>
      </c>
      <c r="G194" s="178" t="e">
        <f t="shared" si="17"/>
        <v>#N/A</v>
      </c>
      <c r="H194" s="264" t="s">
        <v>2699</v>
      </c>
      <c r="I194" s="264" t="s">
        <v>5427</v>
      </c>
      <c r="J194" s="181"/>
      <c r="K194" s="264" t="s">
        <v>2699</v>
      </c>
      <c r="L194" s="178" t="e">
        <f t="shared" si="13"/>
        <v>#N/A</v>
      </c>
      <c r="M194" s="178" t="e">
        <f t="shared" si="14"/>
        <v>#N/A</v>
      </c>
      <c r="N194" s="178" t="e">
        <f t="shared" si="15"/>
        <v>#N/A</v>
      </c>
    </row>
    <row r="195" spans="1:14">
      <c r="A195" s="178" t="s">
        <v>2410</v>
      </c>
      <c r="B195" s="178" t="s">
        <v>5453</v>
      </c>
      <c r="C195" s="178" t="s">
        <v>5460</v>
      </c>
      <c r="D195" s="178" t="s">
        <v>2410</v>
      </c>
      <c r="E195" s="178" t="str">
        <f t="shared" si="12"/>
        <v>A4053</v>
      </c>
      <c r="F195" s="178" t="str">
        <f t="shared" si="16"/>
        <v>GEA_KCB신용요약정보조회Dto</v>
      </c>
      <c r="G195" s="178">
        <f t="shared" si="17"/>
        <v>1</v>
      </c>
      <c r="H195" s="263" t="s">
        <v>2700</v>
      </c>
      <c r="I195" s="263" t="s">
        <v>5427</v>
      </c>
      <c r="J195" s="178" t="s">
        <v>2907</v>
      </c>
      <c r="K195" s="263" t="s">
        <v>2700</v>
      </c>
      <c r="L195" s="178" t="e">
        <f t="shared" si="13"/>
        <v>#N/A</v>
      </c>
      <c r="M195" s="178" t="e">
        <f t="shared" si="14"/>
        <v>#N/A</v>
      </c>
      <c r="N195" s="178" t="e">
        <f t="shared" si="15"/>
        <v>#N/A</v>
      </c>
    </row>
    <row r="196" spans="1:14">
      <c r="A196" s="359" t="s">
        <v>2412</v>
      </c>
      <c r="B196" s="178" t="s">
        <v>5453</v>
      </c>
      <c r="C196" s="178" t="s">
        <v>1064</v>
      </c>
      <c r="D196" s="359" t="s">
        <v>2412</v>
      </c>
      <c r="E196" s="178" t="str">
        <f t="shared" ref="E196:E259" si="18">VLOOKUP(C196,$J$5:$K$601,2,FALSE)</f>
        <v>A4046</v>
      </c>
      <c r="F196" s="178" t="str">
        <f t="shared" si="16"/>
        <v>GEA_KCB신용요약정보조회Dto</v>
      </c>
      <c r="G196" s="178">
        <f t="shared" si="17"/>
        <v>1</v>
      </c>
      <c r="H196" s="263" t="s">
        <v>2701</v>
      </c>
      <c r="I196" s="263" t="s">
        <v>5427</v>
      </c>
      <c r="J196" s="178" t="s">
        <v>2908</v>
      </c>
      <c r="K196" s="263" t="s">
        <v>2701</v>
      </c>
      <c r="L196" s="178" t="e">
        <f t="shared" ref="L196:L259" si="19">VLOOKUP(J196,$C$3:$D$463,2,FALSE)</f>
        <v>#N/A</v>
      </c>
      <c r="M196" s="178" t="e">
        <f t="shared" ref="M196:M259" si="20">VLOOKUP(L196,$A$3:$B$463,2,FALSE)</f>
        <v>#N/A</v>
      </c>
      <c r="N196" s="178" t="e">
        <f t="shared" ref="N196:N259" si="21">IF(M196=I196,1,0)</f>
        <v>#N/A</v>
      </c>
    </row>
    <row r="197" spans="1:14">
      <c r="A197" s="359" t="s">
        <v>2413</v>
      </c>
      <c r="B197" s="178" t="s">
        <v>5453</v>
      </c>
      <c r="C197" s="178" t="s">
        <v>1067</v>
      </c>
      <c r="D197" s="359" t="s">
        <v>2413</v>
      </c>
      <c r="E197" s="178" t="str">
        <f t="shared" si="18"/>
        <v>A4047</v>
      </c>
      <c r="F197" s="178" t="str">
        <f t="shared" si="16"/>
        <v>GEA_KCB신용요약정보조회Dto</v>
      </c>
      <c r="G197" s="178">
        <f t="shared" si="17"/>
        <v>1</v>
      </c>
      <c r="H197" s="263" t="s">
        <v>2702</v>
      </c>
      <c r="I197" s="263" t="s">
        <v>5427</v>
      </c>
      <c r="J197" s="178" t="s">
        <v>2799</v>
      </c>
      <c r="K197" s="263" t="s">
        <v>2702</v>
      </c>
      <c r="L197" s="178" t="e">
        <f t="shared" si="19"/>
        <v>#N/A</v>
      </c>
      <c r="M197" s="178" t="e">
        <f t="shared" si="20"/>
        <v>#N/A</v>
      </c>
      <c r="N197" s="178" t="e">
        <f t="shared" si="21"/>
        <v>#N/A</v>
      </c>
    </row>
    <row r="198" spans="1:14">
      <c r="A198" s="359" t="s">
        <v>2414</v>
      </c>
      <c r="B198" s="178" t="s">
        <v>5453</v>
      </c>
      <c r="C198" s="178" t="s">
        <v>1061</v>
      </c>
      <c r="D198" s="359" t="s">
        <v>2414</v>
      </c>
      <c r="E198" s="178" t="str">
        <f t="shared" si="18"/>
        <v>A4045</v>
      </c>
      <c r="F198" s="178" t="str">
        <f t="shared" si="16"/>
        <v>GEA_KCB신용요약정보조회Dto</v>
      </c>
      <c r="G198" s="178">
        <f t="shared" si="17"/>
        <v>1</v>
      </c>
      <c r="H198" s="263" t="s">
        <v>2703</v>
      </c>
      <c r="I198" s="263" t="s">
        <v>5427</v>
      </c>
      <c r="J198" s="178" t="s">
        <v>2909</v>
      </c>
      <c r="K198" s="263" t="s">
        <v>2703</v>
      </c>
      <c r="L198" s="178" t="e">
        <f t="shared" si="19"/>
        <v>#N/A</v>
      </c>
      <c r="M198" s="178" t="e">
        <f t="shared" si="20"/>
        <v>#N/A</v>
      </c>
      <c r="N198" s="178" t="e">
        <f t="shared" si="21"/>
        <v>#N/A</v>
      </c>
    </row>
    <row r="199" spans="1:14">
      <c r="A199" s="359" t="s">
        <v>2415</v>
      </c>
      <c r="B199" s="178" t="s">
        <v>5453</v>
      </c>
      <c r="C199" s="178" t="s">
        <v>1033</v>
      </c>
      <c r="D199" s="359" t="s">
        <v>2415</v>
      </c>
      <c r="E199" s="178" t="str">
        <f t="shared" si="18"/>
        <v>A4035</v>
      </c>
      <c r="F199" s="178" t="str">
        <f t="shared" ref="F199:F262" si="22">VLOOKUP(E199,$H$5:$I$601,2,FALSE)</f>
        <v>GEA_KCB신용요약정보조회Dto</v>
      </c>
      <c r="G199" s="178">
        <f t="shared" ref="G199:G262" si="23">IF(B199=F199,1,0)</f>
        <v>1</v>
      </c>
      <c r="H199" s="263" t="s">
        <v>2704</v>
      </c>
      <c r="I199" s="263" t="s">
        <v>5427</v>
      </c>
      <c r="J199" s="178" t="s">
        <v>2910</v>
      </c>
      <c r="K199" s="263" t="s">
        <v>2704</v>
      </c>
      <c r="L199" s="178" t="e">
        <f t="shared" si="19"/>
        <v>#N/A</v>
      </c>
      <c r="M199" s="178" t="e">
        <f t="shared" si="20"/>
        <v>#N/A</v>
      </c>
      <c r="N199" s="178" t="e">
        <f t="shared" si="21"/>
        <v>#N/A</v>
      </c>
    </row>
    <row r="200" spans="1:14">
      <c r="A200" s="359" t="s">
        <v>2416</v>
      </c>
      <c r="B200" s="178" t="s">
        <v>5453</v>
      </c>
      <c r="C200" s="178" t="s">
        <v>3338</v>
      </c>
      <c r="D200" s="359" t="s">
        <v>2416</v>
      </c>
      <c r="E200" s="178" t="e">
        <f t="shared" si="18"/>
        <v>#N/A</v>
      </c>
      <c r="F200" s="178" t="e">
        <f t="shared" si="22"/>
        <v>#N/A</v>
      </c>
      <c r="G200" s="178" t="e">
        <f t="shared" si="23"/>
        <v>#N/A</v>
      </c>
      <c r="H200" s="339" t="s">
        <v>3204</v>
      </c>
      <c r="I200" s="263" t="s">
        <v>5427</v>
      </c>
      <c r="J200" s="178" t="s">
        <v>252</v>
      </c>
      <c r="K200" s="339" t="s">
        <v>3204</v>
      </c>
      <c r="L200" s="178" t="e">
        <f t="shared" si="19"/>
        <v>#N/A</v>
      </c>
      <c r="M200" s="178" t="e">
        <f t="shared" si="20"/>
        <v>#N/A</v>
      </c>
      <c r="N200" s="178" t="e">
        <f t="shared" si="21"/>
        <v>#N/A</v>
      </c>
    </row>
    <row r="201" spans="1:14">
      <c r="A201" s="359" t="s">
        <v>2417</v>
      </c>
      <c r="B201" s="178" t="s">
        <v>5453</v>
      </c>
      <c r="C201" s="178" t="s">
        <v>1045</v>
      </c>
      <c r="D201" s="359" t="s">
        <v>2417</v>
      </c>
      <c r="E201" s="178" t="str">
        <f t="shared" si="18"/>
        <v>A4039</v>
      </c>
      <c r="F201" s="178" t="str">
        <f t="shared" si="22"/>
        <v>GEA_KCB신용요약정보조회Dto</v>
      </c>
      <c r="G201" s="178">
        <f t="shared" si="23"/>
        <v>1</v>
      </c>
      <c r="H201" s="339" t="s">
        <v>3205</v>
      </c>
      <c r="I201" s="263" t="s">
        <v>5427</v>
      </c>
      <c r="J201" s="178" t="s">
        <v>3565</v>
      </c>
      <c r="K201" s="339" t="s">
        <v>3205</v>
      </c>
      <c r="L201" s="178" t="e">
        <f t="shared" si="19"/>
        <v>#N/A</v>
      </c>
      <c r="M201" s="178" t="e">
        <f t="shared" si="20"/>
        <v>#N/A</v>
      </c>
      <c r="N201" s="178" t="e">
        <f t="shared" si="21"/>
        <v>#N/A</v>
      </c>
    </row>
    <row r="202" spans="1:14">
      <c r="A202" s="359" t="s">
        <v>2418</v>
      </c>
      <c r="B202" s="178" t="s">
        <v>5453</v>
      </c>
      <c r="C202" s="178" t="s">
        <v>1048</v>
      </c>
      <c r="D202" s="359" t="s">
        <v>2418</v>
      </c>
      <c r="E202" s="178" t="str">
        <f t="shared" si="18"/>
        <v>A4040</v>
      </c>
      <c r="F202" s="178" t="str">
        <f t="shared" si="22"/>
        <v>GEA_KCB신용요약정보조회Dto</v>
      </c>
      <c r="G202" s="178">
        <f t="shared" si="23"/>
        <v>1</v>
      </c>
      <c r="H202" s="339" t="s">
        <v>3206</v>
      </c>
      <c r="I202" s="263" t="s">
        <v>5427</v>
      </c>
      <c r="J202" s="178" t="s">
        <v>3576</v>
      </c>
      <c r="K202" s="339" t="s">
        <v>3206</v>
      </c>
      <c r="L202" s="178" t="e">
        <f t="shared" si="19"/>
        <v>#N/A</v>
      </c>
      <c r="M202" s="178" t="e">
        <f t="shared" si="20"/>
        <v>#N/A</v>
      </c>
      <c r="N202" s="178" t="e">
        <f t="shared" si="21"/>
        <v>#N/A</v>
      </c>
    </row>
    <row r="203" spans="1:14">
      <c r="A203" s="359" t="s">
        <v>2419</v>
      </c>
      <c r="B203" s="178" t="s">
        <v>5453</v>
      </c>
      <c r="C203" s="178" t="s">
        <v>5469</v>
      </c>
      <c r="D203" s="359" t="s">
        <v>2419</v>
      </c>
      <c r="E203" s="178" t="str">
        <f t="shared" si="18"/>
        <v>A4058</v>
      </c>
      <c r="F203" s="178" t="str">
        <f t="shared" si="22"/>
        <v>GEA_KCB신용요약정보조회Dto</v>
      </c>
      <c r="G203" s="178">
        <f t="shared" si="23"/>
        <v>1</v>
      </c>
      <c r="H203" s="245" t="s">
        <v>3414</v>
      </c>
      <c r="I203" s="263" t="s">
        <v>5427</v>
      </c>
      <c r="J203" s="178" t="s">
        <v>3486</v>
      </c>
      <c r="K203" s="245" t="s">
        <v>3414</v>
      </c>
      <c r="L203" s="178" t="e">
        <f t="shared" si="19"/>
        <v>#N/A</v>
      </c>
      <c r="M203" s="178" t="e">
        <f t="shared" si="20"/>
        <v>#N/A</v>
      </c>
      <c r="N203" s="178" t="e">
        <f t="shared" si="21"/>
        <v>#N/A</v>
      </c>
    </row>
    <row r="204" spans="1:14">
      <c r="A204" s="359" t="s">
        <v>2420</v>
      </c>
      <c r="B204" s="178" t="s">
        <v>5453</v>
      </c>
      <c r="C204" s="178" t="s">
        <v>1055</v>
      </c>
      <c r="D204" s="359" t="s">
        <v>2420</v>
      </c>
      <c r="E204" s="178" t="str">
        <f t="shared" si="18"/>
        <v>A2149</v>
      </c>
      <c r="F204" s="178" t="str">
        <f t="shared" si="22"/>
        <v>r체크회원사전대상자내역기간조회E</v>
      </c>
      <c r="G204" s="178">
        <f t="shared" si="23"/>
        <v>0</v>
      </c>
      <c r="H204" s="245" t="s">
        <v>3415</v>
      </c>
      <c r="I204" s="263" t="s">
        <v>5427</v>
      </c>
      <c r="J204" s="178" t="s">
        <v>3476</v>
      </c>
      <c r="K204" s="245" t="s">
        <v>3415</v>
      </c>
      <c r="L204" s="178" t="e">
        <f t="shared" si="19"/>
        <v>#N/A</v>
      </c>
      <c r="M204" s="178" t="e">
        <f t="shared" si="20"/>
        <v>#N/A</v>
      </c>
      <c r="N204" s="178" t="e">
        <f t="shared" si="21"/>
        <v>#N/A</v>
      </c>
    </row>
    <row r="205" spans="1:14">
      <c r="A205" s="359" t="s">
        <v>2421</v>
      </c>
      <c r="B205" s="178" t="s">
        <v>5453</v>
      </c>
      <c r="C205" s="178" t="s">
        <v>5470</v>
      </c>
      <c r="D205" s="359" t="s">
        <v>2421</v>
      </c>
      <c r="E205" s="178" t="str">
        <f t="shared" si="18"/>
        <v>A4049</v>
      </c>
      <c r="F205" s="178" t="str">
        <f t="shared" si="22"/>
        <v>GEA_KCB신용요약정보조회Dto</v>
      </c>
      <c r="G205" s="178">
        <f t="shared" si="23"/>
        <v>1</v>
      </c>
      <c r="H205" s="245" t="s">
        <v>3416</v>
      </c>
      <c r="I205" s="263" t="s">
        <v>5427</v>
      </c>
      <c r="J205" s="178" t="s">
        <v>3577</v>
      </c>
      <c r="K205" s="245" t="s">
        <v>3416</v>
      </c>
      <c r="L205" s="178" t="e">
        <f t="shared" si="19"/>
        <v>#N/A</v>
      </c>
      <c r="M205" s="178" t="e">
        <f t="shared" si="20"/>
        <v>#N/A</v>
      </c>
      <c r="N205" s="178" t="e">
        <f t="shared" si="21"/>
        <v>#N/A</v>
      </c>
    </row>
    <row r="206" spans="1:14">
      <c r="A206" s="359" t="s">
        <v>2422</v>
      </c>
      <c r="B206" s="178" t="s">
        <v>5453</v>
      </c>
      <c r="C206" s="178" t="s">
        <v>5471</v>
      </c>
      <c r="D206" s="359" t="s">
        <v>2422</v>
      </c>
      <c r="E206" s="178" t="str">
        <f t="shared" si="18"/>
        <v>A4050</v>
      </c>
      <c r="F206" s="178" t="str">
        <f t="shared" si="22"/>
        <v>GEA_KCB신용요약정보조회Dto</v>
      </c>
      <c r="G206" s="178">
        <f t="shared" si="23"/>
        <v>1</v>
      </c>
      <c r="H206" s="245" t="s">
        <v>3559</v>
      </c>
      <c r="I206" s="263" t="s">
        <v>5427</v>
      </c>
      <c r="J206" s="178" t="s">
        <v>3569</v>
      </c>
      <c r="K206" s="245" t="s">
        <v>3559</v>
      </c>
      <c r="L206" s="178" t="e">
        <f t="shared" si="19"/>
        <v>#N/A</v>
      </c>
      <c r="M206" s="178" t="e">
        <f t="shared" si="20"/>
        <v>#N/A</v>
      </c>
      <c r="N206" s="178" t="e">
        <f t="shared" si="21"/>
        <v>#N/A</v>
      </c>
    </row>
    <row r="207" spans="1:14">
      <c r="A207" s="359" t="s">
        <v>2423</v>
      </c>
      <c r="B207" s="178" t="s">
        <v>5453</v>
      </c>
      <c r="C207" s="178" t="s">
        <v>5472</v>
      </c>
      <c r="D207" s="359" t="s">
        <v>2423</v>
      </c>
      <c r="E207" s="178" t="str">
        <f t="shared" si="18"/>
        <v>A4051</v>
      </c>
      <c r="F207" s="178" t="str">
        <f t="shared" si="22"/>
        <v>GEA_KCB신용요약정보조회Dto</v>
      </c>
      <c r="G207" s="178">
        <f t="shared" si="23"/>
        <v>1</v>
      </c>
      <c r="H207" s="245" t="s">
        <v>3560</v>
      </c>
      <c r="I207" s="263" t="s">
        <v>5427</v>
      </c>
      <c r="J207" s="178" t="s">
        <v>3578</v>
      </c>
      <c r="K207" s="245" t="s">
        <v>3560</v>
      </c>
      <c r="L207" s="178" t="e">
        <f t="shared" si="19"/>
        <v>#N/A</v>
      </c>
      <c r="M207" s="178" t="e">
        <f t="shared" si="20"/>
        <v>#N/A</v>
      </c>
      <c r="N207" s="178" t="e">
        <f t="shared" si="21"/>
        <v>#N/A</v>
      </c>
    </row>
    <row r="208" spans="1:14">
      <c r="A208" s="359" t="s">
        <v>2425</v>
      </c>
      <c r="B208" s="178" t="s">
        <v>5453</v>
      </c>
      <c r="C208" s="178" t="s">
        <v>3924</v>
      </c>
      <c r="D208" s="359" t="s">
        <v>2425</v>
      </c>
      <c r="E208" s="178" t="str">
        <f t="shared" si="18"/>
        <v>A4059</v>
      </c>
      <c r="F208" s="178" t="str">
        <f t="shared" si="22"/>
        <v>GEA_KCB신용요약정보조회Dto</v>
      </c>
      <c r="G208" s="178">
        <f t="shared" si="23"/>
        <v>1</v>
      </c>
      <c r="H208" s="245" t="s">
        <v>3561</v>
      </c>
      <c r="I208" s="263" t="s">
        <v>5427</v>
      </c>
      <c r="J208" s="178" t="s">
        <v>1055</v>
      </c>
      <c r="K208" s="245" t="s">
        <v>3561</v>
      </c>
      <c r="L208" s="178" t="str">
        <f t="shared" si="19"/>
        <v>A4029</v>
      </c>
      <c r="M208" s="178" t="str">
        <f t="shared" si="20"/>
        <v>GEA_KCB신용요약정보조회Dto</v>
      </c>
      <c r="N208" s="178">
        <f t="shared" si="21"/>
        <v>0</v>
      </c>
    </row>
    <row r="209" spans="1:14">
      <c r="A209" s="359" t="s">
        <v>2427</v>
      </c>
      <c r="B209" s="178" t="s">
        <v>5453</v>
      </c>
      <c r="C209" s="178" t="s">
        <v>5473</v>
      </c>
      <c r="D209" s="359" t="s">
        <v>2427</v>
      </c>
      <c r="E209" s="178" t="e">
        <f t="shared" si="18"/>
        <v>#N/A</v>
      </c>
      <c r="F209" s="178" t="e">
        <f t="shared" si="22"/>
        <v>#N/A</v>
      </c>
      <c r="G209" s="178" t="e">
        <f t="shared" si="23"/>
        <v>#N/A</v>
      </c>
      <c r="H209" s="245" t="s">
        <v>3562</v>
      </c>
      <c r="I209" s="263" t="s">
        <v>5427</v>
      </c>
      <c r="J209" s="178" t="s">
        <v>3579</v>
      </c>
      <c r="K209" s="245" t="s">
        <v>3562</v>
      </c>
      <c r="L209" s="178" t="e">
        <f t="shared" si="19"/>
        <v>#N/A</v>
      </c>
      <c r="M209" s="178" t="e">
        <f t="shared" si="20"/>
        <v>#N/A</v>
      </c>
      <c r="N209" s="178" t="e">
        <f t="shared" si="21"/>
        <v>#N/A</v>
      </c>
    </row>
    <row r="210" spans="1:14">
      <c r="A210" s="359" t="s">
        <v>2428</v>
      </c>
      <c r="B210" s="178" t="s">
        <v>5453</v>
      </c>
      <c r="C210" s="178" t="s">
        <v>3899</v>
      </c>
      <c r="D210" s="359" t="s">
        <v>2428</v>
      </c>
      <c r="E210" s="178" t="e">
        <f t="shared" si="18"/>
        <v>#N/A</v>
      </c>
      <c r="F210" s="178" t="e">
        <f t="shared" si="22"/>
        <v>#N/A</v>
      </c>
      <c r="G210" s="178" t="e">
        <f t="shared" si="23"/>
        <v>#N/A</v>
      </c>
      <c r="H210" s="263" t="s">
        <v>5782</v>
      </c>
      <c r="I210" s="263" t="s">
        <v>5427</v>
      </c>
      <c r="J210" s="178" t="s">
        <v>5784</v>
      </c>
      <c r="K210" s="263" t="s">
        <v>5782</v>
      </c>
      <c r="L210" s="178" t="e">
        <f t="shared" si="19"/>
        <v>#N/A</v>
      </c>
      <c r="M210" s="178" t="e">
        <f t="shared" si="20"/>
        <v>#N/A</v>
      </c>
      <c r="N210" s="178" t="e">
        <f t="shared" si="21"/>
        <v>#N/A</v>
      </c>
    </row>
    <row r="211" spans="1:14">
      <c r="A211" s="359" t="s">
        <v>2429</v>
      </c>
      <c r="B211" s="178" t="s">
        <v>5453</v>
      </c>
      <c r="C211" s="178" t="s">
        <v>5474</v>
      </c>
      <c r="D211" s="359" t="s">
        <v>2429</v>
      </c>
      <c r="E211" s="178" t="e">
        <f t="shared" si="18"/>
        <v>#N/A</v>
      </c>
      <c r="F211" s="178" t="e">
        <f t="shared" si="22"/>
        <v>#N/A</v>
      </c>
      <c r="G211" s="178" t="e">
        <f t="shared" si="23"/>
        <v>#N/A</v>
      </c>
      <c r="H211" s="263" t="s">
        <v>5785</v>
      </c>
      <c r="I211" s="263" t="s">
        <v>5427</v>
      </c>
      <c r="J211" s="178" t="s">
        <v>5787</v>
      </c>
      <c r="K211" s="263" t="s">
        <v>5785</v>
      </c>
      <c r="L211" s="178" t="e">
        <f t="shared" si="19"/>
        <v>#N/A</v>
      </c>
      <c r="M211" s="178" t="e">
        <f t="shared" si="20"/>
        <v>#N/A</v>
      </c>
      <c r="N211" s="178" t="e">
        <f t="shared" si="21"/>
        <v>#N/A</v>
      </c>
    </row>
    <row r="212" spans="1:14">
      <c r="A212" s="359" t="s">
        <v>2430</v>
      </c>
      <c r="B212" s="178" t="s">
        <v>5453</v>
      </c>
      <c r="C212" s="178" t="s">
        <v>5475</v>
      </c>
      <c r="D212" s="359" t="s">
        <v>2430</v>
      </c>
      <c r="E212" s="178" t="e">
        <f t="shared" si="18"/>
        <v>#N/A</v>
      </c>
      <c r="F212" s="178" t="e">
        <f t="shared" si="22"/>
        <v>#N/A</v>
      </c>
      <c r="G212" s="178" t="e">
        <f t="shared" si="23"/>
        <v>#N/A</v>
      </c>
      <c r="H212" s="263" t="s">
        <v>5788</v>
      </c>
      <c r="I212" s="263" t="s">
        <v>5427</v>
      </c>
      <c r="J212" s="178" t="s">
        <v>854</v>
      </c>
      <c r="K212" s="263" t="s">
        <v>5788</v>
      </c>
      <c r="L212" s="178" t="e">
        <f t="shared" si="19"/>
        <v>#N/A</v>
      </c>
      <c r="M212" s="178" t="e">
        <f t="shared" si="20"/>
        <v>#N/A</v>
      </c>
      <c r="N212" s="178" t="e">
        <f t="shared" si="21"/>
        <v>#N/A</v>
      </c>
    </row>
    <row r="213" spans="1:14">
      <c r="A213" s="359" t="s">
        <v>2431</v>
      </c>
      <c r="B213" s="178" t="s">
        <v>5453</v>
      </c>
      <c r="C213" s="178" t="s">
        <v>5476</v>
      </c>
      <c r="D213" s="359" t="s">
        <v>2431</v>
      </c>
      <c r="E213" s="178" t="e">
        <f t="shared" si="18"/>
        <v>#N/A</v>
      </c>
      <c r="F213" s="178" t="e">
        <f t="shared" si="22"/>
        <v>#N/A</v>
      </c>
      <c r="G213" s="178" t="e">
        <f t="shared" si="23"/>
        <v>#N/A</v>
      </c>
      <c r="H213" s="263" t="s">
        <v>5790</v>
      </c>
      <c r="I213" s="263" t="s">
        <v>5427</v>
      </c>
      <c r="J213" s="178" t="s">
        <v>3483</v>
      </c>
      <c r="K213" s="263" t="s">
        <v>5790</v>
      </c>
      <c r="L213" s="178" t="e">
        <f t="shared" si="19"/>
        <v>#N/A</v>
      </c>
      <c r="M213" s="178" t="e">
        <f t="shared" si="20"/>
        <v>#N/A</v>
      </c>
      <c r="N213" s="178" t="e">
        <f t="shared" si="21"/>
        <v>#N/A</v>
      </c>
    </row>
    <row r="214" spans="1:14">
      <c r="A214" s="359" t="s">
        <v>2432</v>
      </c>
      <c r="B214" s="178" t="s">
        <v>5453</v>
      </c>
      <c r="C214" s="178" t="s">
        <v>5477</v>
      </c>
      <c r="D214" s="359" t="s">
        <v>2432</v>
      </c>
      <c r="E214" s="178" t="e">
        <f t="shared" si="18"/>
        <v>#N/A</v>
      </c>
      <c r="F214" s="178" t="e">
        <f t="shared" si="22"/>
        <v>#N/A</v>
      </c>
      <c r="G214" s="178" t="e">
        <f t="shared" si="23"/>
        <v>#N/A</v>
      </c>
      <c r="H214" s="263" t="s">
        <v>5792</v>
      </c>
      <c r="I214" s="263" t="s">
        <v>5427</v>
      </c>
      <c r="J214" s="178" t="s">
        <v>5794</v>
      </c>
      <c r="K214" s="263" t="s">
        <v>5792</v>
      </c>
      <c r="L214" s="178" t="e">
        <f t="shared" si="19"/>
        <v>#N/A</v>
      </c>
      <c r="M214" s="178" t="e">
        <f t="shared" si="20"/>
        <v>#N/A</v>
      </c>
      <c r="N214" s="178" t="e">
        <f t="shared" si="21"/>
        <v>#N/A</v>
      </c>
    </row>
    <row r="215" spans="1:14">
      <c r="A215" s="359" t="s">
        <v>2433</v>
      </c>
      <c r="B215" s="178" t="s">
        <v>5453</v>
      </c>
      <c r="C215" s="178" t="s">
        <v>3903</v>
      </c>
      <c r="D215" s="359" t="s">
        <v>2433</v>
      </c>
      <c r="E215" s="178" t="e">
        <f t="shared" si="18"/>
        <v>#N/A</v>
      </c>
      <c r="F215" s="178" t="e">
        <f t="shared" si="22"/>
        <v>#N/A</v>
      </c>
      <c r="G215" s="178" t="e">
        <f t="shared" si="23"/>
        <v>#N/A</v>
      </c>
      <c r="H215" s="263" t="s">
        <v>5795</v>
      </c>
      <c r="I215" s="263" t="s">
        <v>5427</v>
      </c>
      <c r="J215" s="178" t="s">
        <v>5797</v>
      </c>
      <c r="K215" s="263" t="s">
        <v>5795</v>
      </c>
      <c r="L215" s="178" t="e">
        <f t="shared" si="19"/>
        <v>#N/A</v>
      </c>
      <c r="M215" s="178" t="e">
        <f t="shared" si="20"/>
        <v>#N/A</v>
      </c>
      <c r="N215" s="178" t="e">
        <f t="shared" si="21"/>
        <v>#N/A</v>
      </c>
    </row>
    <row r="216" spans="1:14">
      <c r="A216" s="359" t="s">
        <v>2434</v>
      </c>
      <c r="B216" s="178" t="s">
        <v>5453</v>
      </c>
      <c r="C216" s="178" t="s">
        <v>3905</v>
      </c>
      <c r="D216" s="359" t="s">
        <v>2434</v>
      </c>
      <c r="E216" s="178" t="e">
        <f t="shared" si="18"/>
        <v>#N/A</v>
      </c>
      <c r="F216" s="178" t="e">
        <f t="shared" si="22"/>
        <v>#N/A</v>
      </c>
      <c r="G216" s="178" t="e">
        <f t="shared" si="23"/>
        <v>#N/A</v>
      </c>
      <c r="H216" s="263" t="s">
        <v>5799</v>
      </c>
      <c r="I216" s="263" t="s">
        <v>5427</v>
      </c>
      <c r="J216" s="178" t="s">
        <v>5801</v>
      </c>
      <c r="K216" s="263" t="s">
        <v>5799</v>
      </c>
      <c r="L216" s="178" t="e">
        <f t="shared" si="19"/>
        <v>#N/A</v>
      </c>
      <c r="M216" s="178" t="e">
        <f t="shared" si="20"/>
        <v>#N/A</v>
      </c>
      <c r="N216" s="178" t="e">
        <f t="shared" si="21"/>
        <v>#N/A</v>
      </c>
    </row>
    <row r="217" spans="1:14">
      <c r="A217" s="359" t="s">
        <v>2435</v>
      </c>
      <c r="B217" s="178" t="s">
        <v>5453</v>
      </c>
      <c r="C217" s="178" t="s">
        <v>3907</v>
      </c>
      <c r="D217" s="359" t="s">
        <v>2435</v>
      </c>
      <c r="E217" s="178" t="e">
        <f t="shared" si="18"/>
        <v>#N/A</v>
      </c>
      <c r="F217" s="178" t="e">
        <f t="shared" si="22"/>
        <v>#N/A</v>
      </c>
      <c r="G217" s="178" t="e">
        <f t="shared" si="23"/>
        <v>#N/A</v>
      </c>
      <c r="H217" s="263" t="s">
        <v>5803</v>
      </c>
      <c r="I217" s="263" t="s">
        <v>5427</v>
      </c>
      <c r="J217" s="178" t="s">
        <v>5805</v>
      </c>
      <c r="K217" s="263" t="s">
        <v>5803</v>
      </c>
      <c r="L217" s="178" t="e">
        <f t="shared" si="19"/>
        <v>#N/A</v>
      </c>
      <c r="M217" s="178" t="e">
        <f t="shared" si="20"/>
        <v>#N/A</v>
      </c>
      <c r="N217" s="178" t="e">
        <f t="shared" si="21"/>
        <v>#N/A</v>
      </c>
    </row>
    <row r="218" spans="1:14">
      <c r="A218" s="359" t="s">
        <v>2436</v>
      </c>
      <c r="B218" s="178" t="s">
        <v>5453</v>
      </c>
      <c r="C218" s="178" t="s">
        <v>5478</v>
      </c>
      <c r="D218" s="359" t="s">
        <v>2436</v>
      </c>
      <c r="E218" s="178" t="e">
        <f t="shared" si="18"/>
        <v>#N/A</v>
      </c>
      <c r="F218" s="178" t="e">
        <f t="shared" si="22"/>
        <v>#N/A</v>
      </c>
      <c r="G218" s="178" t="e">
        <f t="shared" si="23"/>
        <v>#N/A</v>
      </c>
      <c r="H218" s="263" t="s">
        <v>5806</v>
      </c>
      <c r="I218" s="263" t="s">
        <v>5427</v>
      </c>
      <c r="J218" s="178" t="s">
        <v>5808</v>
      </c>
      <c r="K218" s="263" t="s">
        <v>5806</v>
      </c>
      <c r="L218" s="178" t="e">
        <f t="shared" si="19"/>
        <v>#N/A</v>
      </c>
      <c r="M218" s="178" t="e">
        <f t="shared" si="20"/>
        <v>#N/A</v>
      </c>
      <c r="N218" s="178" t="e">
        <f t="shared" si="21"/>
        <v>#N/A</v>
      </c>
    </row>
    <row r="219" spans="1:14">
      <c r="A219" s="359" t="s">
        <v>2437</v>
      </c>
      <c r="B219" s="178" t="s">
        <v>5453</v>
      </c>
      <c r="C219" s="178" t="s">
        <v>5479</v>
      </c>
      <c r="D219" s="359" t="s">
        <v>2437</v>
      </c>
      <c r="E219" s="178" t="e">
        <f t="shared" si="18"/>
        <v>#N/A</v>
      </c>
      <c r="F219" s="178" t="e">
        <f t="shared" si="22"/>
        <v>#N/A</v>
      </c>
      <c r="G219" s="178" t="e">
        <f t="shared" si="23"/>
        <v>#N/A</v>
      </c>
      <c r="H219" s="263" t="s">
        <v>5809</v>
      </c>
      <c r="I219" s="263" t="s">
        <v>5427</v>
      </c>
      <c r="J219" s="178" t="s">
        <v>5866</v>
      </c>
      <c r="K219" s="263" t="s">
        <v>5809</v>
      </c>
      <c r="L219" s="178" t="e">
        <f t="shared" si="19"/>
        <v>#N/A</v>
      </c>
      <c r="M219" s="178" t="e">
        <f t="shared" si="20"/>
        <v>#N/A</v>
      </c>
      <c r="N219" s="178" t="e">
        <f t="shared" si="21"/>
        <v>#N/A</v>
      </c>
    </row>
    <row r="220" spans="1:14">
      <c r="A220" s="359" t="s">
        <v>2438</v>
      </c>
      <c r="B220" s="178" t="s">
        <v>5453</v>
      </c>
      <c r="C220" s="178" t="s">
        <v>5480</v>
      </c>
      <c r="D220" s="359" t="s">
        <v>2438</v>
      </c>
      <c r="E220" s="178" t="e">
        <f t="shared" si="18"/>
        <v>#N/A</v>
      </c>
      <c r="F220" s="178" t="e">
        <f t="shared" si="22"/>
        <v>#N/A</v>
      </c>
      <c r="G220" s="178" t="e">
        <f t="shared" si="23"/>
        <v>#N/A</v>
      </c>
      <c r="H220" s="263" t="s">
        <v>5811</v>
      </c>
      <c r="I220" s="263" t="s">
        <v>5427</v>
      </c>
      <c r="J220" s="178" t="s">
        <v>5813</v>
      </c>
      <c r="K220" s="263" t="s">
        <v>5811</v>
      </c>
      <c r="L220" s="178" t="e">
        <f t="shared" si="19"/>
        <v>#N/A</v>
      </c>
      <c r="M220" s="178" t="e">
        <f t="shared" si="20"/>
        <v>#N/A</v>
      </c>
      <c r="N220" s="178" t="e">
        <f t="shared" si="21"/>
        <v>#N/A</v>
      </c>
    </row>
    <row r="221" spans="1:14">
      <c r="A221" s="359" t="s">
        <v>2439</v>
      </c>
      <c r="B221" s="178" t="s">
        <v>5453</v>
      </c>
      <c r="C221" s="178" t="s">
        <v>3901</v>
      </c>
      <c r="D221" s="359" t="s">
        <v>2439</v>
      </c>
      <c r="E221" s="178" t="e">
        <f t="shared" si="18"/>
        <v>#N/A</v>
      </c>
      <c r="F221" s="178" t="e">
        <f t="shared" si="22"/>
        <v>#N/A</v>
      </c>
      <c r="G221" s="178" t="e">
        <f t="shared" si="23"/>
        <v>#N/A</v>
      </c>
      <c r="H221" s="263" t="s">
        <v>5814</v>
      </c>
      <c r="I221" s="263" t="s">
        <v>5427</v>
      </c>
      <c r="J221" s="178" t="s">
        <v>5867</v>
      </c>
      <c r="K221" s="263" t="s">
        <v>5814</v>
      </c>
      <c r="L221" s="178" t="e">
        <f t="shared" si="19"/>
        <v>#N/A</v>
      </c>
      <c r="M221" s="178" t="e">
        <f t="shared" si="20"/>
        <v>#N/A</v>
      </c>
      <c r="N221" s="178" t="e">
        <f t="shared" si="21"/>
        <v>#N/A</v>
      </c>
    </row>
    <row r="222" spans="1:14">
      <c r="A222" s="359" t="s">
        <v>2440</v>
      </c>
      <c r="B222" s="178" t="s">
        <v>5453</v>
      </c>
      <c r="C222" s="178" t="s">
        <v>5481</v>
      </c>
      <c r="D222" s="359" t="s">
        <v>2440</v>
      </c>
      <c r="E222" s="178" t="e">
        <f t="shared" si="18"/>
        <v>#N/A</v>
      </c>
      <c r="F222" s="178" t="e">
        <f t="shared" si="22"/>
        <v>#N/A</v>
      </c>
      <c r="G222" s="178" t="e">
        <f t="shared" si="23"/>
        <v>#N/A</v>
      </c>
      <c r="H222" s="263" t="s">
        <v>5815</v>
      </c>
      <c r="I222" s="263" t="s">
        <v>5427</v>
      </c>
      <c r="J222" s="178" t="s">
        <v>5868</v>
      </c>
      <c r="K222" s="263" t="s">
        <v>5815</v>
      </c>
      <c r="L222" s="178" t="e">
        <f t="shared" si="19"/>
        <v>#N/A</v>
      </c>
      <c r="M222" s="178" t="e">
        <f t="shared" si="20"/>
        <v>#N/A</v>
      </c>
      <c r="N222" s="178" t="e">
        <f t="shared" si="21"/>
        <v>#N/A</v>
      </c>
    </row>
    <row r="223" spans="1:14">
      <c r="A223" s="359" t="s">
        <v>2520</v>
      </c>
      <c r="B223" s="178" t="s">
        <v>5453</v>
      </c>
      <c r="C223" s="178" t="s">
        <v>995</v>
      </c>
      <c r="D223" s="359" t="s">
        <v>2520</v>
      </c>
      <c r="E223" s="178" t="str">
        <f t="shared" si="18"/>
        <v>A4023</v>
      </c>
      <c r="F223" s="178">
        <f t="shared" si="22"/>
        <v>0</v>
      </c>
      <c r="G223" s="178">
        <f t="shared" si="23"/>
        <v>0</v>
      </c>
      <c r="H223" s="264" t="s">
        <v>2331</v>
      </c>
      <c r="I223" s="264"/>
      <c r="J223" s="264" t="s">
        <v>756</v>
      </c>
      <c r="K223" s="264" t="s">
        <v>2331</v>
      </c>
      <c r="L223" s="178" t="str">
        <f t="shared" si="19"/>
        <v>A3026</v>
      </c>
      <c r="M223" s="178" t="str">
        <f t="shared" si="20"/>
        <v>GEA_NICE신용요약정보조회Dto</v>
      </c>
      <c r="N223" s="178">
        <f t="shared" si="21"/>
        <v>0</v>
      </c>
    </row>
    <row r="224" spans="1:14">
      <c r="A224" s="359" t="s">
        <v>3422</v>
      </c>
      <c r="B224" s="178" t="s">
        <v>5453</v>
      </c>
      <c r="C224" s="178" t="s">
        <v>5409</v>
      </c>
      <c r="D224" s="359" t="s">
        <v>3422</v>
      </c>
      <c r="E224" s="178" t="e">
        <f t="shared" si="18"/>
        <v>#N/A</v>
      </c>
      <c r="F224" s="178" t="e">
        <f t="shared" si="22"/>
        <v>#N/A</v>
      </c>
      <c r="G224" s="178" t="e">
        <f t="shared" si="23"/>
        <v>#N/A</v>
      </c>
      <c r="H224" s="264" t="s">
        <v>2332</v>
      </c>
      <c r="I224" s="264"/>
      <c r="J224" s="264" t="s">
        <v>761</v>
      </c>
      <c r="K224" s="264" t="s">
        <v>2332</v>
      </c>
      <c r="L224" s="178" t="str">
        <f t="shared" si="19"/>
        <v>A3046</v>
      </c>
      <c r="M224" s="178" t="str">
        <f t="shared" si="20"/>
        <v>GEA_NICE신용요약정보조회Dto</v>
      </c>
      <c r="N224" s="178">
        <f t="shared" si="21"/>
        <v>0</v>
      </c>
    </row>
    <row r="225" spans="1:14">
      <c r="A225" s="359" t="s">
        <v>3423</v>
      </c>
      <c r="B225" s="178" t="s">
        <v>5453</v>
      </c>
      <c r="C225" s="178" t="s">
        <v>5482</v>
      </c>
      <c r="D225" s="359" t="s">
        <v>3423</v>
      </c>
      <c r="E225" s="178" t="e">
        <f t="shared" si="18"/>
        <v>#N/A</v>
      </c>
      <c r="F225" s="178" t="e">
        <f t="shared" si="22"/>
        <v>#N/A</v>
      </c>
      <c r="G225" s="178" t="e">
        <f t="shared" si="23"/>
        <v>#N/A</v>
      </c>
      <c r="H225" s="264" t="s">
        <v>2333</v>
      </c>
      <c r="I225" s="264"/>
      <c r="J225" s="264" t="s">
        <v>763</v>
      </c>
      <c r="K225" s="264" t="s">
        <v>2333</v>
      </c>
      <c r="L225" s="178" t="str">
        <f t="shared" si="19"/>
        <v>A3029</v>
      </c>
      <c r="M225" s="178" t="str">
        <f t="shared" si="20"/>
        <v>GEA_NICE신용요약정보조회Dto</v>
      </c>
      <c r="N225" s="178">
        <f t="shared" si="21"/>
        <v>0</v>
      </c>
    </row>
    <row r="226" spans="1:14">
      <c r="A226" s="359" t="s">
        <v>3424</v>
      </c>
      <c r="B226" s="178" t="s">
        <v>5453</v>
      </c>
      <c r="C226" s="178" t="s">
        <v>5271</v>
      </c>
      <c r="D226" s="359" t="s">
        <v>3424</v>
      </c>
      <c r="E226" s="178" t="e">
        <f t="shared" si="18"/>
        <v>#N/A</v>
      </c>
      <c r="F226" s="178" t="e">
        <f t="shared" si="22"/>
        <v>#N/A</v>
      </c>
      <c r="G226" s="178" t="e">
        <f t="shared" si="23"/>
        <v>#N/A</v>
      </c>
      <c r="H226" s="264" t="s">
        <v>2334</v>
      </c>
      <c r="I226" s="264"/>
      <c r="J226" s="264" t="s">
        <v>766</v>
      </c>
      <c r="K226" s="264" t="s">
        <v>2334</v>
      </c>
      <c r="L226" s="178" t="str">
        <f t="shared" si="19"/>
        <v>A3019</v>
      </c>
      <c r="M226" s="178">
        <f t="shared" si="20"/>
        <v>0</v>
      </c>
      <c r="N226" s="178">
        <f t="shared" si="21"/>
        <v>1</v>
      </c>
    </row>
    <row r="227" spans="1:14">
      <c r="A227" s="359" t="s">
        <v>5272</v>
      </c>
      <c r="B227" s="178" t="s">
        <v>5453</v>
      </c>
      <c r="C227" s="178" t="s">
        <v>5273</v>
      </c>
      <c r="D227" s="359" t="s">
        <v>5272</v>
      </c>
      <c r="E227" s="178" t="e">
        <f t="shared" si="18"/>
        <v>#N/A</v>
      </c>
      <c r="F227" s="178" t="e">
        <f t="shared" si="22"/>
        <v>#N/A</v>
      </c>
      <c r="G227" s="178" t="e">
        <f t="shared" si="23"/>
        <v>#N/A</v>
      </c>
      <c r="H227" s="264" t="s">
        <v>2335</v>
      </c>
      <c r="I227" s="264"/>
      <c r="J227" s="264" t="s">
        <v>769</v>
      </c>
      <c r="K227" s="264" t="s">
        <v>2335</v>
      </c>
      <c r="L227" s="178" t="str">
        <f t="shared" si="19"/>
        <v>A3028</v>
      </c>
      <c r="M227" s="178" t="str">
        <f t="shared" si="20"/>
        <v>GEA_NICE신용요약정보조회Dto</v>
      </c>
      <c r="N227" s="178">
        <f t="shared" si="21"/>
        <v>0</v>
      </c>
    </row>
    <row r="228" spans="1:14">
      <c r="A228" s="359" t="s">
        <v>5274</v>
      </c>
      <c r="B228" s="178" t="s">
        <v>5453</v>
      </c>
      <c r="C228" s="178" t="s">
        <v>992</v>
      </c>
      <c r="D228" s="359" t="s">
        <v>5274</v>
      </c>
      <c r="E228" s="178" t="str">
        <f t="shared" si="18"/>
        <v>A4022</v>
      </c>
      <c r="F228" s="178">
        <f t="shared" si="22"/>
        <v>0</v>
      </c>
      <c r="G228" s="178">
        <f t="shared" si="23"/>
        <v>0</v>
      </c>
      <c r="H228" s="264" t="s">
        <v>2336</v>
      </c>
      <c r="I228" s="264"/>
      <c r="J228" s="264" t="s">
        <v>772</v>
      </c>
      <c r="K228" s="264" t="s">
        <v>2336</v>
      </c>
      <c r="L228" s="178" t="str">
        <f t="shared" si="19"/>
        <v>A3030</v>
      </c>
      <c r="M228" s="178" t="str">
        <f t="shared" si="20"/>
        <v>GEA_NICE신용요약정보조회Dto</v>
      </c>
      <c r="N228" s="178">
        <f t="shared" si="21"/>
        <v>0</v>
      </c>
    </row>
    <row r="229" spans="1:14">
      <c r="A229" s="359" t="s">
        <v>5276</v>
      </c>
      <c r="B229" s="178" t="s">
        <v>5453</v>
      </c>
      <c r="C229" s="178" t="s">
        <v>5483</v>
      </c>
      <c r="D229" s="359" t="s">
        <v>5276</v>
      </c>
      <c r="E229" s="178" t="e">
        <f t="shared" si="18"/>
        <v>#N/A</v>
      </c>
      <c r="F229" s="178" t="e">
        <f t="shared" si="22"/>
        <v>#N/A</v>
      </c>
      <c r="G229" s="178" t="e">
        <f t="shared" si="23"/>
        <v>#N/A</v>
      </c>
      <c r="H229" s="264" t="s">
        <v>2337</v>
      </c>
      <c r="I229" s="264"/>
      <c r="J229" s="264" t="s">
        <v>774</v>
      </c>
      <c r="K229" s="264" t="s">
        <v>2337</v>
      </c>
      <c r="L229" s="178" t="str">
        <f t="shared" si="19"/>
        <v>A3039</v>
      </c>
      <c r="M229" s="178" t="str">
        <f t="shared" si="20"/>
        <v>GEA_NICE신용요약정보조회Dto</v>
      </c>
      <c r="N229" s="178">
        <f t="shared" si="21"/>
        <v>0</v>
      </c>
    </row>
    <row r="230" spans="1:14">
      <c r="A230" s="359" t="s">
        <v>5405</v>
      </c>
      <c r="B230" s="178" t="s">
        <v>5453</v>
      </c>
      <c r="C230" s="178" t="s">
        <v>5484</v>
      </c>
      <c r="D230" s="359" t="s">
        <v>5405</v>
      </c>
      <c r="E230" s="178" t="e">
        <f t="shared" si="18"/>
        <v>#N/A</v>
      </c>
      <c r="F230" s="178" t="e">
        <f t="shared" si="22"/>
        <v>#N/A</v>
      </c>
      <c r="G230" s="178" t="e">
        <f t="shared" si="23"/>
        <v>#N/A</v>
      </c>
      <c r="H230" s="264" t="s">
        <v>2338</v>
      </c>
      <c r="I230" s="264"/>
      <c r="J230" s="264" t="s">
        <v>777</v>
      </c>
      <c r="K230" s="264" t="s">
        <v>2338</v>
      </c>
      <c r="L230" s="178" t="e">
        <f t="shared" si="19"/>
        <v>#N/A</v>
      </c>
      <c r="M230" s="178" t="e">
        <f t="shared" si="20"/>
        <v>#N/A</v>
      </c>
      <c r="N230" s="178" t="e">
        <f t="shared" si="21"/>
        <v>#N/A</v>
      </c>
    </row>
    <row r="231" spans="1:14">
      <c r="A231" s="359" t="s">
        <v>3676</v>
      </c>
      <c r="B231" s="178" t="s">
        <v>5453</v>
      </c>
      <c r="C231" s="178" t="s">
        <v>5485</v>
      </c>
      <c r="D231" s="359" t="s">
        <v>3676</v>
      </c>
      <c r="E231" s="178" t="e">
        <f t="shared" si="18"/>
        <v>#N/A</v>
      </c>
      <c r="F231" s="178" t="e">
        <f t="shared" si="22"/>
        <v>#N/A</v>
      </c>
      <c r="G231" s="178" t="e">
        <f t="shared" si="23"/>
        <v>#N/A</v>
      </c>
      <c r="H231" s="264" t="s">
        <v>2339</v>
      </c>
      <c r="I231" s="264"/>
      <c r="J231" s="264" t="s">
        <v>779</v>
      </c>
      <c r="K231" s="264" t="s">
        <v>2339</v>
      </c>
      <c r="L231" s="178" t="e">
        <f t="shared" si="19"/>
        <v>#N/A</v>
      </c>
      <c r="M231" s="178" t="e">
        <f t="shared" si="20"/>
        <v>#N/A</v>
      </c>
      <c r="N231" s="178" t="e">
        <f t="shared" si="21"/>
        <v>#N/A</v>
      </c>
    </row>
    <row r="232" spans="1:14">
      <c r="A232" s="359" t="s">
        <v>3677</v>
      </c>
      <c r="B232" s="178" t="s">
        <v>5453</v>
      </c>
      <c r="C232" s="178" t="s">
        <v>5486</v>
      </c>
      <c r="D232" s="359" t="s">
        <v>3677</v>
      </c>
      <c r="E232" s="178" t="e">
        <f t="shared" si="18"/>
        <v>#N/A</v>
      </c>
      <c r="F232" s="178" t="e">
        <f t="shared" si="22"/>
        <v>#N/A</v>
      </c>
      <c r="G232" s="178" t="e">
        <f t="shared" si="23"/>
        <v>#N/A</v>
      </c>
      <c r="H232" s="264" t="s">
        <v>2340</v>
      </c>
      <c r="I232" s="264"/>
      <c r="J232" s="264" t="s">
        <v>782</v>
      </c>
      <c r="K232" s="264" t="s">
        <v>2340</v>
      </c>
      <c r="L232" s="178" t="e">
        <f t="shared" si="19"/>
        <v>#N/A</v>
      </c>
      <c r="M232" s="178" t="e">
        <f t="shared" si="20"/>
        <v>#N/A</v>
      </c>
      <c r="N232" s="178" t="e">
        <f t="shared" si="21"/>
        <v>#N/A</v>
      </c>
    </row>
    <row r="233" spans="1:14">
      <c r="A233" s="359" t="s">
        <v>4927</v>
      </c>
      <c r="B233" s="178" t="s">
        <v>5453</v>
      </c>
      <c r="C233" s="178" t="s">
        <v>5487</v>
      </c>
      <c r="D233" s="359" t="s">
        <v>4927</v>
      </c>
      <c r="E233" s="178" t="str">
        <f t="shared" si="18"/>
        <v>A4069</v>
      </c>
      <c r="F233" s="178" t="str">
        <f t="shared" si="22"/>
        <v>GEA_KCB신용요약정보조회Dto</v>
      </c>
      <c r="G233" s="178">
        <f t="shared" si="23"/>
        <v>1</v>
      </c>
      <c r="H233" s="263" t="s">
        <v>2341</v>
      </c>
      <c r="I233" s="263" t="s">
        <v>5613</v>
      </c>
      <c r="J233" s="263" t="s">
        <v>785</v>
      </c>
      <c r="K233" s="263" t="s">
        <v>2341</v>
      </c>
      <c r="L233" s="178" t="str">
        <f t="shared" si="19"/>
        <v>A3021</v>
      </c>
      <c r="M233" s="178" t="str">
        <f t="shared" si="20"/>
        <v>GEA_NICE신용요약정보조회Dto</v>
      </c>
      <c r="N233" s="178">
        <f t="shared" si="21"/>
        <v>1</v>
      </c>
    </row>
    <row r="234" spans="1:14">
      <c r="A234" s="359" t="s">
        <v>3923</v>
      </c>
      <c r="B234" s="178" t="s">
        <v>5453</v>
      </c>
      <c r="C234" s="178" t="s">
        <v>5488</v>
      </c>
      <c r="D234" s="359" t="s">
        <v>3923</v>
      </c>
      <c r="E234" s="178" t="str">
        <f t="shared" si="18"/>
        <v>A4070</v>
      </c>
      <c r="F234" s="178" t="str">
        <f t="shared" si="22"/>
        <v>GEA_KCB신용요약정보조회Dto</v>
      </c>
      <c r="G234" s="178">
        <f t="shared" si="23"/>
        <v>1</v>
      </c>
      <c r="H234" s="264" t="s">
        <v>2342</v>
      </c>
      <c r="I234" s="264"/>
      <c r="J234" s="264" t="s">
        <v>788</v>
      </c>
      <c r="K234" s="264" t="s">
        <v>2342</v>
      </c>
      <c r="L234" s="178" t="str">
        <f t="shared" si="19"/>
        <v>A3031</v>
      </c>
      <c r="M234" s="178" t="str">
        <f t="shared" si="20"/>
        <v>GEA_NICE신용요약정보조회Dto</v>
      </c>
      <c r="N234" s="178">
        <f t="shared" si="21"/>
        <v>0</v>
      </c>
    </row>
    <row r="235" spans="1:14">
      <c r="A235" s="359" t="s">
        <v>5279</v>
      </c>
      <c r="B235" s="178" t="s">
        <v>5453</v>
      </c>
      <c r="C235" s="178" t="s">
        <v>5496</v>
      </c>
      <c r="D235" s="359" t="s">
        <v>5279</v>
      </c>
      <c r="E235" s="178" t="e">
        <f t="shared" si="18"/>
        <v>#N/A</v>
      </c>
      <c r="F235" s="178" t="e">
        <f t="shared" si="22"/>
        <v>#N/A</v>
      </c>
      <c r="G235" s="178" t="e">
        <f t="shared" si="23"/>
        <v>#N/A</v>
      </c>
      <c r="H235" s="264" t="s">
        <v>2343</v>
      </c>
      <c r="I235" s="264"/>
      <c r="J235" s="264" t="s">
        <v>791</v>
      </c>
      <c r="K235" s="264" t="s">
        <v>2343</v>
      </c>
      <c r="L235" s="178" t="str">
        <f t="shared" si="19"/>
        <v>A3032</v>
      </c>
      <c r="M235" s="178" t="str">
        <f t="shared" si="20"/>
        <v>GEA_NICE신용요약정보조회Dto</v>
      </c>
      <c r="N235" s="178">
        <f t="shared" si="21"/>
        <v>0</v>
      </c>
    </row>
    <row r="236" spans="1:14">
      <c r="A236" s="359" t="s">
        <v>5281</v>
      </c>
      <c r="B236" s="178" t="s">
        <v>5453</v>
      </c>
      <c r="C236" s="178" t="s">
        <v>5498</v>
      </c>
      <c r="D236" s="359" t="s">
        <v>5281</v>
      </c>
      <c r="E236" s="178" t="e">
        <f t="shared" si="18"/>
        <v>#N/A</v>
      </c>
      <c r="F236" s="178" t="e">
        <f t="shared" si="22"/>
        <v>#N/A</v>
      </c>
      <c r="G236" s="178" t="e">
        <f t="shared" si="23"/>
        <v>#N/A</v>
      </c>
      <c r="H236" s="264"/>
      <c r="I236" s="264"/>
      <c r="J236" s="264" t="s">
        <v>794</v>
      </c>
      <c r="K236" s="264"/>
      <c r="L236" s="178" t="str">
        <f t="shared" si="19"/>
        <v>A3034</v>
      </c>
      <c r="M236" s="178" t="str">
        <f t="shared" si="20"/>
        <v>GEA_NICE신용요약정보조회Dto</v>
      </c>
      <c r="N236" s="178">
        <f t="shared" si="21"/>
        <v>0</v>
      </c>
    </row>
    <row r="237" spans="1:14">
      <c r="A237" s="359" t="s">
        <v>5283</v>
      </c>
      <c r="B237" s="178" t="s">
        <v>5453</v>
      </c>
      <c r="C237" s="178" t="s">
        <v>5500</v>
      </c>
      <c r="D237" s="359" t="s">
        <v>5283</v>
      </c>
      <c r="E237" s="178" t="e">
        <f t="shared" si="18"/>
        <v>#N/A</v>
      </c>
      <c r="F237" s="178" t="e">
        <f t="shared" si="22"/>
        <v>#N/A</v>
      </c>
      <c r="G237" s="178" t="e">
        <f t="shared" si="23"/>
        <v>#N/A</v>
      </c>
      <c r="H237" s="264"/>
      <c r="I237" s="264"/>
      <c r="J237" s="264" t="s">
        <v>797</v>
      </c>
      <c r="K237" s="264"/>
      <c r="L237" s="178" t="str">
        <f t="shared" si="19"/>
        <v>A3033</v>
      </c>
      <c r="M237" s="178" t="str">
        <f t="shared" si="20"/>
        <v>GEA_NICE신용요약정보조회Dto</v>
      </c>
      <c r="N237" s="178">
        <f t="shared" si="21"/>
        <v>0</v>
      </c>
    </row>
    <row r="238" spans="1:14">
      <c r="A238" s="359" t="s">
        <v>5285</v>
      </c>
      <c r="B238" s="178" t="s">
        <v>5453</v>
      </c>
      <c r="C238" s="178" t="s">
        <v>5502</v>
      </c>
      <c r="D238" s="359" t="s">
        <v>5285</v>
      </c>
      <c r="E238" s="178" t="e">
        <f t="shared" si="18"/>
        <v>#N/A</v>
      </c>
      <c r="F238" s="178" t="e">
        <f t="shared" si="22"/>
        <v>#N/A</v>
      </c>
      <c r="G238" s="178" t="e">
        <f t="shared" si="23"/>
        <v>#N/A</v>
      </c>
      <c r="H238" s="264" t="s">
        <v>2344</v>
      </c>
      <c r="I238" s="264"/>
      <c r="J238" s="264" t="s">
        <v>800</v>
      </c>
      <c r="K238" s="264" t="s">
        <v>2344</v>
      </c>
      <c r="L238" s="178" t="str">
        <f t="shared" si="19"/>
        <v>A3027</v>
      </c>
      <c r="M238" s="178" t="str">
        <f t="shared" si="20"/>
        <v>GEA_NICE신용요약정보조회Dto</v>
      </c>
      <c r="N238" s="178">
        <f t="shared" si="21"/>
        <v>0</v>
      </c>
    </row>
    <row r="239" spans="1:14">
      <c r="A239" s="359" t="s">
        <v>5287</v>
      </c>
      <c r="B239" s="178" t="s">
        <v>5453</v>
      </c>
      <c r="C239" s="178" t="s">
        <v>5504</v>
      </c>
      <c r="D239" s="359" t="s">
        <v>5287</v>
      </c>
      <c r="E239" s="178" t="e">
        <f t="shared" si="18"/>
        <v>#N/A</v>
      </c>
      <c r="F239" s="178" t="e">
        <f t="shared" si="22"/>
        <v>#N/A</v>
      </c>
      <c r="G239" s="178" t="e">
        <f t="shared" si="23"/>
        <v>#N/A</v>
      </c>
      <c r="H239" s="264" t="s">
        <v>2345</v>
      </c>
      <c r="I239" s="264"/>
      <c r="J239" s="264" t="s">
        <v>803</v>
      </c>
      <c r="K239" s="264" t="s">
        <v>2345</v>
      </c>
      <c r="L239" s="178" t="str">
        <f t="shared" si="19"/>
        <v>A3013</v>
      </c>
      <c r="M239" s="178">
        <f t="shared" si="20"/>
        <v>0</v>
      </c>
      <c r="N239" s="178">
        <f t="shared" si="21"/>
        <v>1</v>
      </c>
    </row>
    <row r="240" spans="1:14">
      <c r="A240" s="359" t="s">
        <v>5289</v>
      </c>
      <c r="B240" s="178" t="s">
        <v>5453</v>
      </c>
      <c r="C240" s="178" t="s">
        <v>5506</v>
      </c>
      <c r="D240" s="359" t="s">
        <v>5289</v>
      </c>
      <c r="E240" s="178" t="e">
        <f t="shared" si="18"/>
        <v>#N/A</v>
      </c>
      <c r="F240" s="178" t="e">
        <f t="shared" si="22"/>
        <v>#N/A</v>
      </c>
      <c r="G240" s="178" t="e">
        <f t="shared" si="23"/>
        <v>#N/A</v>
      </c>
      <c r="H240" s="263" t="s">
        <v>2346</v>
      </c>
      <c r="I240" s="263" t="s">
        <v>5613</v>
      </c>
      <c r="J240" s="263" t="s">
        <v>806</v>
      </c>
      <c r="K240" s="263" t="s">
        <v>2346</v>
      </c>
      <c r="L240" s="178" t="e">
        <f t="shared" si="19"/>
        <v>#N/A</v>
      </c>
      <c r="M240" s="178" t="e">
        <f t="shared" si="20"/>
        <v>#N/A</v>
      </c>
      <c r="N240" s="178" t="e">
        <f t="shared" si="21"/>
        <v>#N/A</v>
      </c>
    </row>
    <row r="241" spans="1:14">
      <c r="A241" s="359" t="s">
        <v>5291</v>
      </c>
      <c r="B241" s="178" t="s">
        <v>5453</v>
      </c>
      <c r="C241" s="178" t="s">
        <v>5508</v>
      </c>
      <c r="D241" s="359" t="s">
        <v>5291</v>
      </c>
      <c r="E241" s="178" t="e">
        <f t="shared" si="18"/>
        <v>#N/A</v>
      </c>
      <c r="F241" s="178" t="e">
        <f t="shared" si="22"/>
        <v>#N/A</v>
      </c>
      <c r="G241" s="178" t="e">
        <f t="shared" si="23"/>
        <v>#N/A</v>
      </c>
      <c r="H241" s="263" t="s">
        <v>2347</v>
      </c>
      <c r="I241" s="263" t="s">
        <v>5613</v>
      </c>
      <c r="J241" s="263" t="s">
        <v>809</v>
      </c>
      <c r="K241" s="263" t="s">
        <v>2347</v>
      </c>
      <c r="L241" s="178" t="e">
        <f t="shared" si="19"/>
        <v>#N/A</v>
      </c>
      <c r="M241" s="178" t="e">
        <f t="shared" si="20"/>
        <v>#N/A</v>
      </c>
      <c r="N241" s="178" t="e">
        <f t="shared" si="21"/>
        <v>#N/A</v>
      </c>
    </row>
    <row r="242" spans="1:14">
      <c r="A242" s="359" t="s">
        <v>5293</v>
      </c>
      <c r="B242" s="178" t="s">
        <v>5453</v>
      </c>
      <c r="C242" s="178" t="s">
        <v>5510</v>
      </c>
      <c r="D242" s="359" t="s">
        <v>5293</v>
      </c>
      <c r="E242" s="178" t="e">
        <f t="shared" si="18"/>
        <v>#N/A</v>
      </c>
      <c r="F242" s="178" t="e">
        <f t="shared" si="22"/>
        <v>#N/A</v>
      </c>
      <c r="G242" s="178" t="e">
        <f t="shared" si="23"/>
        <v>#N/A</v>
      </c>
      <c r="H242" s="263" t="s">
        <v>2348</v>
      </c>
      <c r="I242" s="263" t="s">
        <v>5613</v>
      </c>
      <c r="J242" s="263" t="s">
        <v>812</v>
      </c>
      <c r="K242" s="263" t="s">
        <v>2348</v>
      </c>
      <c r="L242" s="178" t="e">
        <f t="shared" si="19"/>
        <v>#N/A</v>
      </c>
      <c r="M242" s="178" t="e">
        <f t="shared" si="20"/>
        <v>#N/A</v>
      </c>
      <c r="N242" s="178" t="e">
        <f t="shared" si="21"/>
        <v>#N/A</v>
      </c>
    </row>
    <row r="243" spans="1:14">
      <c r="A243" s="359" t="s">
        <v>5295</v>
      </c>
      <c r="B243" s="178" t="s">
        <v>5453</v>
      </c>
      <c r="C243" s="178" t="s">
        <v>5512</v>
      </c>
      <c r="D243" s="359" t="s">
        <v>5295</v>
      </c>
      <c r="E243" s="178" t="e">
        <f t="shared" si="18"/>
        <v>#N/A</v>
      </c>
      <c r="F243" s="178" t="e">
        <f t="shared" si="22"/>
        <v>#N/A</v>
      </c>
      <c r="G243" s="178" t="e">
        <f t="shared" si="23"/>
        <v>#N/A</v>
      </c>
      <c r="H243" s="263" t="s">
        <v>2349</v>
      </c>
      <c r="I243" s="263" t="s">
        <v>5613</v>
      </c>
      <c r="J243" s="263" t="s">
        <v>815</v>
      </c>
      <c r="K243" s="263" t="s">
        <v>2349</v>
      </c>
      <c r="L243" s="178" t="e">
        <f t="shared" si="19"/>
        <v>#N/A</v>
      </c>
      <c r="M243" s="178" t="e">
        <f t="shared" si="20"/>
        <v>#N/A</v>
      </c>
      <c r="N243" s="178" t="e">
        <f t="shared" si="21"/>
        <v>#N/A</v>
      </c>
    </row>
    <row r="244" spans="1:14">
      <c r="A244" s="359" t="s">
        <v>5297</v>
      </c>
      <c r="B244" s="178" t="s">
        <v>5453</v>
      </c>
      <c r="C244" s="178" t="s">
        <v>5514</v>
      </c>
      <c r="D244" s="359" t="s">
        <v>5297</v>
      </c>
      <c r="E244" s="178" t="e">
        <f t="shared" si="18"/>
        <v>#N/A</v>
      </c>
      <c r="F244" s="178" t="e">
        <f t="shared" si="22"/>
        <v>#N/A</v>
      </c>
      <c r="G244" s="178" t="e">
        <f t="shared" si="23"/>
        <v>#N/A</v>
      </c>
      <c r="H244" s="263" t="s">
        <v>2350</v>
      </c>
      <c r="I244" s="263" t="s">
        <v>5613</v>
      </c>
      <c r="J244" s="263" t="s">
        <v>818</v>
      </c>
      <c r="K244" s="263" t="s">
        <v>2350</v>
      </c>
      <c r="L244" s="178" t="e">
        <f t="shared" si="19"/>
        <v>#N/A</v>
      </c>
      <c r="M244" s="178" t="e">
        <f t="shared" si="20"/>
        <v>#N/A</v>
      </c>
      <c r="N244" s="178" t="e">
        <f t="shared" si="21"/>
        <v>#N/A</v>
      </c>
    </row>
    <row r="245" spans="1:14">
      <c r="A245" s="242" t="s">
        <v>2441</v>
      </c>
      <c r="B245" s="248" t="s">
        <v>3325</v>
      </c>
      <c r="C245" s="248" t="s">
        <v>1070</v>
      </c>
      <c r="D245" s="242" t="s">
        <v>2441</v>
      </c>
      <c r="E245" s="178" t="str">
        <f t="shared" si="18"/>
        <v>A5001</v>
      </c>
      <c r="F245" s="178">
        <f t="shared" si="22"/>
        <v>0</v>
      </c>
      <c r="G245" s="178">
        <f t="shared" si="23"/>
        <v>0</v>
      </c>
      <c r="H245" s="263" t="s">
        <v>2351</v>
      </c>
      <c r="I245" s="263" t="s">
        <v>5613</v>
      </c>
      <c r="J245" s="263" t="s">
        <v>821</v>
      </c>
      <c r="K245" s="263" t="s">
        <v>2351</v>
      </c>
      <c r="L245" s="178" t="e">
        <f t="shared" si="19"/>
        <v>#N/A</v>
      </c>
      <c r="M245" s="178" t="e">
        <f t="shared" si="20"/>
        <v>#N/A</v>
      </c>
      <c r="N245" s="178" t="e">
        <f t="shared" si="21"/>
        <v>#N/A</v>
      </c>
    </row>
    <row r="246" spans="1:14">
      <c r="A246" s="242" t="s">
        <v>2442</v>
      </c>
      <c r="B246" s="248" t="s">
        <v>3325</v>
      </c>
      <c r="C246" s="248" t="s">
        <v>3211</v>
      </c>
      <c r="D246" s="242" t="s">
        <v>2442</v>
      </c>
      <c r="E246" s="178" t="str">
        <f t="shared" si="18"/>
        <v>A5002</v>
      </c>
      <c r="F246" s="178">
        <f t="shared" si="22"/>
        <v>0</v>
      </c>
      <c r="G246" s="178">
        <f t="shared" si="23"/>
        <v>0</v>
      </c>
      <c r="H246" s="263" t="s">
        <v>2352</v>
      </c>
      <c r="I246" s="263" t="s">
        <v>5613</v>
      </c>
      <c r="J246" s="263" t="s">
        <v>824</v>
      </c>
      <c r="K246" s="263" t="s">
        <v>2352</v>
      </c>
      <c r="L246" s="178" t="e">
        <f t="shared" si="19"/>
        <v>#N/A</v>
      </c>
      <c r="M246" s="178" t="e">
        <f t="shared" si="20"/>
        <v>#N/A</v>
      </c>
      <c r="N246" s="178" t="e">
        <f t="shared" si="21"/>
        <v>#N/A</v>
      </c>
    </row>
    <row r="247" spans="1:14">
      <c r="A247" s="242" t="s">
        <v>2443</v>
      </c>
      <c r="B247" s="248" t="s">
        <v>3325</v>
      </c>
      <c r="C247" s="248" t="s">
        <v>3212</v>
      </c>
      <c r="D247" s="242" t="s">
        <v>2443</v>
      </c>
      <c r="E247" s="178" t="str">
        <f t="shared" si="18"/>
        <v>A5003</v>
      </c>
      <c r="F247" s="178">
        <f t="shared" si="22"/>
        <v>0</v>
      </c>
      <c r="G247" s="178">
        <f t="shared" si="23"/>
        <v>0</v>
      </c>
      <c r="H247" s="263" t="s">
        <v>2353</v>
      </c>
      <c r="I247" s="263" t="s">
        <v>5613</v>
      </c>
      <c r="J247" s="263" t="s">
        <v>827</v>
      </c>
      <c r="K247" s="263" t="s">
        <v>2353</v>
      </c>
      <c r="L247" s="178" t="e">
        <f t="shared" si="19"/>
        <v>#N/A</v>
      </c>
      <c r="M247" s="178" t="e">
        <f t="shared" si="20"/>
        <v>#N/A</v>
      </c>
      <c r="N247" s="178" t="e">
        <f t="shared" si="21"/>
        <v>#N/A</v>
      </c>
    </row>
    <row r="248" spans="1:14">
      <c r="A248" s="242" t="s">
        <v>2444</v>
      </c>
      <c r="B248" s="248" t="s">
        <v>3325</v>
      </c>
      <c r="C248" s="248" t="s">
        <v>3213</v>
      </c>
      <c r="D248" s="242" t="s">
        <v>2444</v>
      </c>
      <c r="E248" s="178" t="str">
        <f t="shared" si="18"/>
        <v>A5004</v>
      </c>
      <c r="F248" s="178">
        <f t="shared" si="22"/>
        <v>0</v>
      </c>
      <c r="G248" s="178">
        <f t="shared" si="23"/>
        <v>0</v>
      </c>
      <c r="H248" s="263" t="s">
        <v>2354</v>
      </c>
      <c r="I248" s="263" t="s">
        <v>5613</v>
      </c>
      <c r="J248" s="263" t="s">
        <v>830</v>
      </c>
      <c r="K248" s="263" t="s">
        <v>2354</v>
      </c>
      <c r="L248" s="178" t="e">
        <f t="shared" si="19"/>
        <v>#N/A</v>
      </c>
      <c r="M248" s="178" t="e">
        <f t="shared" si="20"/>
        <v>#N/A</v>
      </c>
      <c r="N248" s="178" t="e">
        <f t="shared" si="21"/>
        <v>#N/A</v>
      </c>
    </row>
    <row r="249" spans="1:14">
      <c r="A249" s="242" t="s">
        <v>2445</v>
      </c>
      <c r="B249" s="248" t="s">
        <v>3325</v>
      </c>
      <c r="C249" s="248" t="s">
        <v>1078</v>
      </c>
      <c r="D249" s="242" t="s">
        <v>2445</v>
      </c>
      <c r="E249" s="178" t="str">
        <f t="shared" si="18"/>
        <v>A5005</v>
      </c>
      <c r="F249" s="178">
        <f t="shared" si="22"/>
        <v>0</v>
      </c>
      <c r="G249" s="178">
        <f t="shared" si="23"/>
        <v>0</v>
      </c>
      <c r="H249" s="263" t="s">
        <v>2355</v>
      </c>
      <c r="I249" s="263" t="s">
        <v>5613</v>
      </c>
      <c r="J249" s="263" t="s">
        <v>833</v>
      </c>
      <c r="K249" s="263" t="s">
        <v>2355</v>
      </c>
      <c r="L249" s="178" t="e">
        <f t="shared" si="19"/>
        <v>#N/A</v>
      </c>
      <c r="M249" s="178" t="e">
        <f t="shared" si="20"/>
        <v>#N/A</v>
      </c>
      <c r="N249" s="178" t="e">
        <f t="shared" si="21"/>
        <v>#N/A</v>
      </c>
    </row>
    <row r="250" spans="1:14">
      <c r="A250" s="242" t="s">
        <v>2446</v>
      </c>
      <c r="B250" s="248" t="s">
        <v>3325</v>
      </c>
      <c r="C250" s="248" t="s">
        <v>1081</v>
      </c>
      <c r="D250" s="242" t="s">
        <v>2446</v>
      </c>
      <c r="E250" s="178" t="str">
        <f t="shared" si="18"/>
        <v>A5006</v>
      </c>
      <c r="F250" s="178">
        <f t="shared" si="22"/>
        <v>0</v>
      </c>
      <c r="G250" s="178">
        <f t="shared" si="23"/>
        <v>0</v>
      </c>
      <c r="H250" s="263" t="s">
        <v>2356</v>
      </c>
      <c r="I250" s="263" t="s">
        <v>5613</v>
      </c>
      <c r="J250" s="263" t="s">
        <v>836</v>
      </c>
      <c r="K250" s="263" t="s">
        <v>2356</v>
      </c>
      <c r="L250" s="178" t="e">
        <f t="shared" si="19"/>
        <v>#N/A</v>
      </c>
      <c r="M250" s="178" t="e">
        <f t="shared" si="20"/>
        <v>#N/A</v>
      </c>
      <c r="N250" s="178" t="e">
        <f t="shared" si="21"/>
        <v>#N/A</v>
      </c>
    </row>
    <row r="251" spans="1:14">
      <c r="A251" s="242" t="s">
        <v>2447</v>
      </c>
      <c r="B251" s="248" t="s">
        <v>3325</v>
      </c>
      <c r="C251" s="248" t="s">
        <v>1084</v>
      </c>
      <c r="D251" s="242" t="s">
        <v>2447</v>
      </c>
      <c r="E251" s="178" t="str">
        <f t="shared" si="18"/>
        <v>A5007</v>
      </c>
      <c r="F251" s="178">
        <f t="shared" si="22"/>
        <v>0</v>
      </c>
      <c r="G251" s="178">
        <f t="shared" si="23"/>
        <v>0</v>
      </c>
      <c r="H251" s="263" t="s">
        <v>2357</v>
      </c>
      <c r="I251" s="263" t="s">
        <v>5613</v>
      </c>
      <c r="J251" s="263" t="s">
        <v>839</v>
      </c>
      <c r="K251" s="263" t="s">
        <v>2357</v>
      </c>
      <c r="L251" s="178" t="e">
        <f t="shared" si="19"/>
        <v>#N/A</v>
      </c>
      <c r="M251" s="178" t="e">
        <f t="shared" si="20"/>
        <v>#N/A</v>
      </c>
      <c r="N251" s="178" t="e">
        <f t="shared" si="21"/>
        <v>#N/A</v>
      </c>
    </row>
    <row r="252" spans="1:14">
      <c r="A252" s="242" t="s">
        <v>2448</v>
      </c>
      <c r="B252" s="248" t="s">
        <v>3325</v>
      </c>
      <c r="C252" s="248" t="s">
        <v>1087</v>
      </c>
      <c r="D252" s="242" t="s">
        <v>2448</v>
      </c>
      <c r="E252" s="178" t="str">
        <f t="shared" si="18"/>
        <v>A5008</v>
      </c>
      <c r="F252" s="178">
        <f t="shared" si="22"/>
        <v>0</v>
      </c>
      <c r="G252" s="178">
        <f t="shared" si="23"/>
        <v>0</v>
      </c>
      <c r="H252" s="263" t="s">
        <v>2358</v>
      </c>
      <c r="I252" s="263" t="s">
        <v>5613</v>
      </c>
      <c r="J252" s="263" t="s">
        <v>3637</v>
      </c>
      <c r="K252" s="263" t="s">
        <v>2358</v>
      </c>
      <c r="L252" s="178" t="e">
        <f t="shared" si="19"/>
        <v>#N/A</v>
      </c>
      <c r="M252" s="178" t="e">
        <f t="shared" si="20"/>
        <v>#N/A</v>
      </c>
      <c r="N252" s="178" t="e">
        <f t="shared" si="21"/>
        <v>#N/A</v>
      </c>
    </row>
    <row r="253" spans="1:14">
      <c r="A253" s="242" t="s">
        <v>2449</v>
      </c>
      <c r="B253" s="248" t="s">
        <v>3325</v>
      </c>
      <c r="C253" s="248" t="s">
        <v>1090</v>
      </c>
      <c r="D253" s="242" t="s">
        <v>2449</v>
      </c>
      <c r="E253" s="178" t="str">
        <f t="shared" si="18"/>
        <v>A5009</v>
      </c>
      <c r="F253" s="178">
        <f t="shared" si="22"/>
        <v>0</v>
      </c>
      <c r="G253" s="178">
        <f t="shared" si="23"/>
        <v>0</v>
      </c>
      <c r="H253" s="263" t="s">
        <v>2359</v>
      </c>
      <c r="I253" s="263" t="s">
        <v>5613</v>
      </c>
      <c r="J253" s="263" t="s">
        <v>845</v>
      </c>
      <c r="K253" s="263" t="s">
        <v>2359</v>
      </c>
      <c r="L253" s="178" t="e">
        <f t="shared" si="19"/>
        <v>#N/A</v>
      </c>
      <c r="M253" s="178" t="e">
        <f t="shared" si="20"/>
        <v>#N/A</v>
      </c>
      <c r="N253" s="178" t="e">
        <f t="shared" si="21"/>
        <v>#N/A</v>
      </c>
    </row>
    <row r="254" spans="1:14">
      <c r="A254" s="242" t="s">
        <v>2450</v>
      </c>
      <c r="B254" s="248" t="s">
        <v>3325</v>
      </c>
      <c r="C254" s="248" t="s">
        <v>1093</v>
      </c>
      <c r="D254" s="242" t="s">
        <v>2450</v>
      </c>
      <c r="E254" s="178" t="str">
        <f t="shared" si="18"/>
        <v>A5010</v>
      </c>
      <c r="F254" s="178">
        <f t="shared" si="22"/>
        <v>0</v>
      </c>
      <c r="G254" s="178">
        <f t="shared" si="23"/>
        <v>0</v>
      </c>
      <c r="H254" s="263" t="s">
        <v>2360</v>
      </c>
      <c r="I254" s="263" t="s">
        <v>5613</v>
      </c>
      <c r="J254" s="263" t="s">
        <v>848</v>
      </c>
      <c r="K254" s="263" t="s">
        <v>2360</v>
      </c>
      <c r="L254" s="178" t="e">
        <f t="shared" si="19"/>
        <v>#N/A</v>
      </c>
      <c r="M254" s="178" t="e">
        <f t="shared" si="20"/>
        <v>#N/A</v>
      </c>
      <c r="N254" s="178" t="e">
        <f t="shared" si="21"/>
        <v>#N/A</v>
      </c>
    </row>
    <row r="255" spans="1:14">
      <c r="A255" s="242" t="s">
        <v>2451</v>
      </c>
      <c r="B255" s="248" t="s">
        <v>3325</v>
      </c>
      <c r="C255" s="248" t="s">
        <v>1096</v>
      </c>
      <c r="D255" s="242" t="s">
        <v>2451</v>
      </c>
      <c r="E255" s="178" t="str">
        <f t="shared" si="18"/>
        <v>A5011</v>
      </c>
      <c r="F255" s="178">
        <f t="shared" si="22"/>
        <v>0</v>
      </c>
      <c r="G255" s="178">
        <f t="shared" si="23"/>
        <v>0</v>
      </c>
      <c r="H255" s="263" t="s">
        <v>2361</v>
      </c>
      <c r="I255" s="263" t="s">
        <v>5613</v>
      </c>
      <c r="J255" s="263" t="s">
        <v>851</v>
      </c>
      <c r="K255" s="263" t="s">
        <v>2361</v>
      </c>
      <c r="L255" s="178" t="e">
        <f t="shared" si="19"/>
        <v>#N/A</v>
      </c>
      <c r="M255" s="178" t="e">
        <f t="shared" si="20"/>
        <v>#N/A</v>
      </c>
      <c r="N255" s="178" t="e">
        <f t="shared" si="21"/>
        <v>#N/A</v>
      </c>
    </row>
    <row r="256" spans="1:14">
      <c r="A256" s="242" t="s">
        <v>2452</v>
      </c>
      <c r="B256" s="248" t="s">
        <v>3325</v>
      </c>
      <c r="C256" s="248" t="s">
        <v>1099</v>
      </c>
      <c r="D256" s="242" t="s">
        <v>2452</v>
      </c>
      <c r="E256" s="178" t="str">
        <f t="shared" si="18"/>
        <v>A5012</v>
      </c>
      <c r="F256" s="178">
        <f t="shared" si="22"/>
        <v>0</v>
      </c>
      <c r="G256" s="178">
        <f t="shared" si="23"/>
        <v>0</v>
      </c>
      <c r="H256" s="263" t="s">
        <v>2362</v>
      </c>
      <c r="I256" s="263" t="s">
        <v>5613</v>
      </c>
      <c r="J256" s="263" t="s">
        <v>854</v>
      </c>
      <c r="K256" s="263" t="s">
        <v>2362</v>
      </c>
      <c r="L256" s="178" t="e">
        <f t="shared" si="19"/>
        <v>#N/A</v>
      </c>
      <c r="M256" s="178" t="e">
        <f t="shared" si="20"/>
        <v>#N/A</v>
      </c>
      <c r="N256" s="178" t="e">
        <f t="shared" si="21"/>
        <v>#N/A</v>
      </c>
    </row>
    <row r="257" spans="1:14">
      <c r="A257" s="242" t="s">
        <v>2453</v>
      </c>
      <c r="B257" s="248" t="s">
        <v>3325</v>
      </c>
      <c r="C257" s="248" t="s">
        <v>1102</v>
      </c>
      <c r="D257" s="242" t="s">
        <v>2453</v>
      </c>
      <c r="E257" s="178" t="str">
        <f t="shared" si="18"/>
        <v>A5013</v>
      </c>
      <c r="F257" s="178">
        <f t="shared" si="22"/>
        <v>0</v>
      </c>
      <c r="G257" s="178">
        <f t="shared" si="23"/>
        <v>0</v>
      </c>
      <c r="H257" s="263" t="s">
        <v>2363</v>
      </c>
      <c r="I257" s="263" t="s">
        <v>5613</v>
      </c>
      <c r="J257" s="263" t="s">
        <v>857</v>
      </c>
      <c r="K257" s="263" t="s">
        <v>2363</v>
      </c>
      <c r="L257" s="178" t="str">
        <f t="shared" si="19"/>
        <v>A3035</v>
      </c>
      <c r="M257" s="178" t="str">
        <f t="shared" si="20"/>
        <v>GEA_NICE신용요약정보조회Dto</v>
      </c>
      <c r="N257" s="178">
        <f t="shared" si="21"/>
        <v>1</v>
      </c>
    </row>
    <row r="258" spans="1:14">
      <c r="A258" s="242" t="s">
        <v>2454</v>
      </c>
      <c r="B258" s="248" t="s">
        <v>3325</v>
      </c>
      <c r="C258" s="248" t="s">
        <v>1105</v>
      </c>
      <c r="D258" s="242" t="s">
        <v>2454</v>
      </c>
      <c r="E258" s="178" t="str">
        <f t="shared" si="18"/>
        <v>A5014</v>
      </c>
      <c r="F258" s="178">
        <f t="shared" si="22"/>
        <v>0</v>
      </c>
      <c r="G258" s="178">
        <f t="shared" si="23"/>
        <v>0</v>
      </c>
      <c r="H258" s="263" t="s">
        <v>2364</v>
      </c>
      <c r="I258" s="263" t="s">
        <v>5613</v>
      </c>
      <c r="J258" s="263" t="s">
        <v>191</v>
      </c>
      <c r="K258" s="263" t="s">
        <v>2364</v>
      </c>
      <c r="L258" s="178" t="str">
        <f t="shared" si="19"/>
        <v>A3057</v>
      </c>
      <c r="M258" s="178" t="str">
        <f t="shared" si="20"/>
        <v>GEA_NICE신용요약정보조회Dto</v>
      </c>
      <c r="N258" s="178">
        <f t="shared" si="21"/>
        <v>1</v>
      </c>
    </row>
    <row r="259" spans="1:14">
      <c r="A259" s="242" t="s">
        <v>2455</v>
      </c>
      <c r="B259" s="248" t="s">
        <v>3325</v>
      </c>
      <c r="C259" s="248" t="s">
        <v>1108</v>
      </c>
      <c r="D259" s="242" t="s">
        <v>2455</v>
      </c>
      <c r="E259" s="178" t="str">
        <f t="shared" si="18"/>
        <v>A5015</v>
      </c>
      <c r="F259" s="178">
        <f t="shared" si="22"/>
        <v>0</v>
      </c>
      <c r="G259" s="178">
        <f t="shared" si="23"/>
        <v>0</v>
      </c>
      <c r="H259" s="263" t="s">
        <v>2365</v>
      </c>
      <c r="I259" s="263" t="s">
        <v>5613</v>
      </c>
      <c r="J259" s="263" t="s">
        <v>862</v>
      </c>
      <c r="K259" s="263" t="s">
        <v>2365</v>
      </c>
      <c r="L259" s="178" t="e">
        <f t="shared" si="19"/>
        <v>#N/A</v>
      </c>
      <c r="M259" s="178" t="e">
        <f t="shared" si="20"/>
        <v>#N/A</v>
      </c>
      <c r="N259" s="178" t="e">
        <f t="shared" si="21"/>
        <v>#N/A</v>
      </c>
    </row>
    <row r="260" spans="1:14">
      <c r="A260" s="242" t="s">
        <v>2456</v>
      </c>
      <c r="B260" s="248" t="s">
        <v>3325</v>
      </c>
      <c r="C260" s="248" t="s">
        <v>1111</v>
      </c>
      <c r="D260" s="242" t="s">
        <v>2456</v>
      </c>
      <c r="E260" s="178" t="str">
        <f t="shared" ref="E260:E323" si="24">VLOOKUP(C260,$J$5:$K$601,2,FALSE)</f>
        <v>A5016</v>
      </c>
      <c r="F260" s="178">
        <f t="shared" si="22"/>
        <v>0</v>
      </c>
      <c r="G260" s="178">
        <f t="shared" si="23"/>
        <v>0</v>
      </c>
      <c r="H260" s="264" t="s">
        <v>2366</v>
      </c>
      <c r="I260" s="264"/>
      <c r="J260" s="264" t="s">
        <v>865</v>
      </c>
      <c r="K260" s="264" t="s">
        <v>2366</v>
      </c>
      <c r="L260" s="178" t="str">
        <f t="shared" ref="L260:L323" si="25">VLOOKUP(J260,$C$3:$D$463,2,FALSE)</f>
        <v>A3049</v>
      </c>
      <c r="M260" s="178" t="str">
        <f t="shared" ref="M260:M323" si="26">VLOOKUP(L260,$A$3:$B$463,2,FALSE)</f>
        <v>GEA_NICE신용요약정보조회Dto</v>
      </c>
      <c r="N260" s="178">
        <f t="shared" ref="N260:N323" si="27">IF(M260=I260,1,0)</f>
        <v>0</v>
      </c>
    </row>
    <row r="261" spans="1:14">
      <c r="A261" s="242" t="s">
        <v>2457</v>
      </c>
      <c r="B261" s="248" t="s">
        <v>3325</v>
      </c>
      <c r="C261" s="248" t="s">
        <v>1114</v>
      </c>
      <c r="D261" s="242" t="s">
        <v>2457</v>
      </c>
      <c r="E261" s="178" t="str">
        <f t="shared" si="24"/>
        <v>A5017</v>
      </c>
      <c r="F261" s="178">
        <f t="shared" si="22"/>
        <v>0</v>
      </c>
      <c r="G261" s="178">
        <f t="shared" si="23"/>
        <v>0</v>
      </c>
      <c r="H261" s="264" t="s">
        <v>2367</v>
      </c>
      <c r="I261" s="264"/>
      <c r="J261" s="264" t="s">
        <v>761</v>
      </c>
      <c r="K261" s="264" t="s">
        <v>2367</v>
      </c>
      <c r="L261" s="178" t="str">
        <f t="shared" si="25"/>
        <v>A3046</v>
      </c>
      <c r="M261" s="178" t="str">
        <f t="shared" si="26"/>
        <v>GEA_NICE신용요약정보조회Dto</v>
      </c>
      <c r="N261" s="178">
        <f t="shared" si="27"/>
        <v>0</v>
      </c>
    </row>
    <row r="262" spans="1:14">
      <c r="A262" s="242" t="s">
        <v>2458</v>
      </c>
      <c r="B262" s="248" t="s">
        <v>3325</v>
      </c>
      <c r="C262" s="248" t="s">
        <v>1117</v>
      </c>
      <c r="D262" s="242" t="s">
        <v>2458</v>
      </c>
      <c r="E262" s="178" t="str">
        <f t="shared" si="24"/>
        <v>A5018</v>
      </c>
      <c r="F262" s="178">
        <f t="shared" si="22"/>
        <v>0</v>
      </c>
      <c r="G262" s="178">
        <f t="shared" si="23"/>
        <v>0</v>
      </c>
      <c r="H262" s="264" t="s">
        <v>2368</v>
      </c>
      <c r="I262" s="264"/>
      <c r="J262" s="264" t="s">
        <v>870</v>
      </c>
      <c r="K262" s="264" t="s">
        <v>2368</v>
      </c>
      <c r="L262" s="178" t="e">
        <f t="shared" si="25"/>
        <v>#N/A</v>
      </c>
      <c r="M262" s="178" t="e">
        <f t="shared" si="26"/>
        <v>#N/A</v>
      </c>
      <c r="N262" s="178" t="e">
        <f t="shared" si="27"/>
        <v>#N/A</v>
      </c>
    </row>
    <row r="263" spans="1:14">
      <c r="A263" s="242" t="s">
        <v>2459</v>
      </c>
      <c r="B263" s="248" t="s">
        <v>3325</v>
      </c>
      <c r="C263" s="248" t="s">
        <v>1120</v>
      </c>
      <c r="D263" s="242" t="s">
        <v>2459</v>
      </c>
      <c r="E263" s="178" t="str">
        <f t="shared" si="24"/>
        <v>A5019</v>
      </c>
      <c r="F263" s="178">
        <f t="shared" ref="F263:F326" si="28">VLOOKUP(E263,$H$5:$I$601,2,FALSE)</f>
        <v>0</v>
      </c>
      <c r="G263" s="178">
        <f t="shared" ref="G263:G326" si="29">IF(B263=F263,1,0)</f>
        <v>0</v>
      </c>
      <c r="H263" s="263" t="s">
        <v>2369</v>
      </c>
      <c r="I263" s="263" t="s">
        <v>5613</v>
      </c>
      <c r="J263" s="263" t="s">
        <v>873</v>
      </c>
      <c r="K263" s="263" t="s">
        <v>2369</v>
      </c>
      <c r="L263" s="178" t="str">
        <f t="shared" si="25"/>
        <v>A3037</v>
      </c>
      <c r="M263" s="178" t="str">
        <f t="shared" si="26"/>
        <v>GEA_NICE신용요약정보조회Dto</v>
      </c>
      <c r="N263" s="178">
        <f t="shared" si="27"/>
        <v>1</v>
      </c>
    </row>
    <row r="264" spans="1:14">
      <c r="A264" s="242" t="s">
        <v>2460</v>
      </c>
      <c r="B264" s="248" t="s">
        <v>3325</v>
      </c>
      <c r="C264" s="248" t="s">
        <v>1123</v>
      </c>
      <c r="D264" s="242" t="s">
        <v>2460</v>
      </c>
      <c r="E264" s="178" t="str">
        <f t="shared" si="24"/>
        <v>A5020</v>
      </c>
      <c r="F264" s="178">
        <f t="shared" si="28"/>
        <v>0</v>
      </c>
      <c r="G264" s="178">
        <f t="shared" si="29"/>
        <v>0</v>
      </c>
      <c r="H264" s="264" t="s">
        <v>2370</v>
      </c>
      <c r="I264" s="264"/>
      <c r="J264" s="264" t="s">
        <v>876</v>
      </c>
      <c r="K264" s="264" t="s">
        <v>2370</v>
      </c>
      <c r="L264" s="178" t="e">
        <f t="shared" si="25"/>
        <v>#N/A</v>
      </c>
      <c r="M264" s="178" t="e">
        <f t="shared" si="26"/>
        <v>#N/A</v>
      </c>
      <c r="N264" s="178" t="e">
        <f t="shared" si="27"/>
        <v>#N/A</v>
      </c>
    </row>
    <row r="265" spans="1:14">
      <c r="A265" s="242" t="s">
        <v>2461</v>
      </c>
      <c r="B265" s="248" t="s">
        <v>3325</v>
      </c>
      <c r="C265" s="248" t="s">
        <v>1126</v>
      </c>
      <c r="D265" s="242" t="s">
        <v>2461</v>
      </c>
      <c r="E265" s="178" t="str">
        <f t="shared" si="24"/>
        <v>A5021</v>
      </c>
      <c r="F265" s="178">
        <f t="shared" si="28"/>
        <v>0</v>
      </c>
      <c r="G265" s="178">
        <f t="shared" si="29"/>
        <v>0</v>
      </c>
      <c r="H265" s="264" t="s">
        <v>2371</v>
      </c>
      <c r="I265" s="264"/>
      <c r="J265" s="264" t="s">
        <v>877</v>
      </c>
      <c r="K265" s="264" t="s">
        <v>2371</v>
      </c>
      <c r="L265" s="178" t="e">
        <f t="shared" si="25"/>
        <v>#N/A</v>
      </c>
      <c r="M265" s="178" t="e">
        <f t="shared" si="26"/>
        <v>#N/A</v>
      </c>
      <c r="N265" s="178" t="e">
        <f t="shared" si="27"/>
        <v>#N/A</v>
      </c>
    </row>
    <row r="266" spans="1:14">
      <c r="A266" s="242" t="s">
        <v>2462</v>
      </c>
      <c r="B266" s="248" t="s">
        <v>3325</v>
      </c>
      <c r="C266" s="248" t="s">
        <v>1129</v>
      </c>
      <c r="D266" s="242" t="s">
        <v>2462</v>
      </c>
      <c r="E266" s="178" t="str">
        <f t="shared" si="24"/>
        <v>A5022</v>
      </c>
      <c r="F266" s="178">
        <f t="shared" si="28"/>
        <v>0</v>
      </c>
      <c r="G266" s="178">
        <f t="shared" si="29"/>
        <v>0</v>
      </c>
      <c r="H266" s="264" t="s">
        <v>2372</v>
      </c>
      <c r="I266" s="264"/>
      <c r="J266" s="264" t="s">
        <v>881</v>
      </c>
      <c r="K266" s="264" t="s">
        <v>2372</v>
      </c>
      <c r="L266" s="178" t="e">
        <f t="shared" si="25"/>
        <v>#N/A</v>
      </c>
      <c r="M266" s="178" t="e">
        <f t="shared" si="26"/>
        <v>#N/A</v>
      </c>
      <c r="N266" s="178" t="e">
        <f t="shared" si="27"/>
        <v>#N/A</v>
      </c>
    </row>
    <row r="267" spans="1:14">
      <c r="A267" s="242" t="s">
        <v>2463</v>
      </c>
      <c r="B267" s="248" t="s">
        <v>3325</v>
      </c>
      <c r="C267" s="248" t="s">
        <v>1132</v>
      </c>
      <c r="D267" s="242" t="s">
        <v>2463</v>
      </c>
      <c r="E267" s="178" t="str">
        <f t="shared" si="24"/>
        <v>A5023</v>
      </c>
      <c r="F267" s="178">
        <f t="shared" si="28"/>
        <v>0</v>
      </c>
      <c r="G267" s="178">
        <f t="shared" si="29"/>
        <v>0</v>
      </c>
      <c r="H267" s="264" t="s">
        <v>2373</v>
      </c>
      <c r="I267" s="264"/>
      <c r="J267" s="264" t="s">
        <v>882</v>
      </c>
      <c r="K267" s="264" t="s">
        <v>2373</v>
      </c>
      <c r="L267" s="178" t="e">
        <f t="shared" si="25"/>
        <v>#N/A</v>
      </c>
      <c r="M267" s="178" t="e">
        <f t="shared" si="26"/>
        <v>#N/A</v>
      </c>
      <c r="N267" s="178" t="e">
        <f t="shared" si="27"/>
        <v>#N/A</v>
      </c>
    </row>
    <row r="268" spans="1:14">
      <c r="A268" s="242" t="s">
        <v>2464</v>
      </c>
      <c r="B268" s="248" t="s">
        <v>3325</v>
      </c>
      <c r="C268" s="248" t="s">
        <v>1135</v>
      </c>
      <c r="D268" s="242" t="s">
        <v>2464</v>
      </c>
      <c r="E268" s="178" t="str">
        <f t="shared" si="24"/>
        <v>A5024</v>
      </c>
      <c r="F268" s="178">
        <f t="shared" si="28"/>
        <v>0</v>
      </c>
      <c r="G268" s="178">
        <f t="shared" si="29"/>
        <v>0</v>
      </c>
      <c r="H268" s="264" t="s">
        <v>2374</v>
      </c>
      <c r="I268" s="264"/>
      <c r="J268" s="264" t="s">
        <v>884</v>
      </c>
      <c r="K268" s="264" t="s">
        <v>2374</v>
      </c>
      <c r="L268" s="178" t="str">
        <f t="shared" si="25"/>
        <v>A3076</v>
      </c>
      <c r="M268" s="178" t="str">
        <f t="shared" si="26"/>
        <v>GEA_NICE신용요약정보조회Dto</v>
      </c>
      <c r="N268" s="178">
        <f t="shared" si="27"/>
        <v>0</v>
      </c>
    </row>
    <row r="269" spans="1:14">
      <c r="A269" s="242" t="s">
        <v>2465</v>
      </c>
      <c r="B269" s="248" t="s">
        <v>3325</v>
      </c>
      <c r="C269" s="248" t="s">
        <v>1138</v>
      </c>
      <c r="D269" s="242" t="s">
        <v>2465</v>
      </c>
      <c r="E269" s="178" t="str">
        <f t="shared" si="24"/>
        <v>A5025</v>
      </c>
      <c r="F269" s="178">
        <f t="shared" si="28"/>
        <v>0</v>
      </c>
      <c r="G269" s="178">
        <f t="shared" si="29"/>
        <v>0</v>
      </c>
      <c r="H269" s="264" t="s">
        <v>2375</v>
      </c>
      <c r="I269" s="264"/>
      <c r="J269" s="264" t="s">
        <v>888</v>
      </c>
      <c r="K269" s="264" t="s">
        <v>2375</v>
      </c>
      <c r="L269" s="178" t="e">
        <f t="shared" si="25"/>
        <v>#N/A</v>
      </c>
      <c r="M269" s="178" t="e">
        <f t="shared" si="26"/>
        <v>#N/A</v>
      </c>
      <c r="N269" s="178" t="e">
        <f t="shared" si="27"/>
        <v>#N/A</v>
      </c>
    </row>
    <row r="270" spans="1:14">
      <c r="A270" s="242" t="s">
        <v>2466</v>
      </c>
      <c r="B270" s="248" t="s">
        <v>3325</v>
      </c>
      <c r="C270" s="248" t="s">
        <v>1141</v>
      </c>
      <c r="D270" s="242" t="s">
        <v>2466</v>
      </c>
      <c r="E270" s="178" t="str">
        <f t="shared" si="24"/>
        <v>A5026</v>
      </c>
      <c r="F270" s="178">
        <f t="shared" si="28"/>
        <v>0</v>
      </c>
      <c r="G270" s="178">
        <f t="shared" si="29"/>
        <v>0</v>
      </c>
      <c r="H270" s="264" t="s">
        <v>2376</v>
      </c>
      <c r="I270" s="264"/>
      <c r="J270" s="264" t="s">
        <v>889</v>
      </c>
      <c r="K270" s="264" t="s">
        <v>2376</v>
      </c>
      <c r="L270" s="178" t="e">
        <f t="shared" si="25"/>
        <v>#N/A</v>
      </c>
      <c r="M270" s="178" t="e">
        <f t="shared" si="26"/>
        <v>#N/A</v>
      </c>
      <c r="N270" s="178" t="e">
        <f t="shared" si="27"/>
        <v>#N/A</v>
      </c>
    </row>
    <row r="271" spans="1:14">
      <c r="A271" s="242" t="s">
        <v>2467</v>
      </c>
      <c r="B271" s="248" t="s">
        <v>3325</v>
      </c>
      <c r="C271" s="248" t="s">
        <v>1144</v>
      </c>
      <c r="D271" s="242" t="s">
        <v>2467</v>
      </c>
      <c r="E271" s="178" t="str">
        <f t="shared" si="24"/>
        <v>A5027</v>
      </c>
      <c r="F271" s="178">
        <f t="shared" si="28"/>
        <v>0</v>
      </c>
      <c r="G271" s="178">
        <f t="shared" si="29"/>
        <v>0</v>
      </c>
      <c r="H271" s="264" t="s">
        <v>2377</v>
      </c>
      <c r="I271" s="264"/>
      <c r="J271" s="264" t="s">
        <v>892</v>
      </c>
      <c r="K271" s="264" t="s">
        <v>2377</v>
      </c>
      <c r="L271" s="178" t="str">
        <f t="shared" si="25"/>
        <v>A3014</v>
      </c>
      <c r="M271" s="178">
        <f t="shared" si="26"/>
        <v>0</v>
      </c>
      <c r="N271" s="178">
        <f t="shared" si="27"/>
        <v>1</v>
      </c>
    </row>
    <row r="272" spans="1:14">
      <c r="A272" s="242" t="s">
        <v>2468</v>
      </c>
      <c r="B272" s="248" t="s">
        <v>3325</v>
      </c>
      <c r="C272" s="248" t="s">
        <v>1147</v>
      </c>
      <c r="D272" s="242" t="s">
        <v>2468</v>
      </c>
      <c r="E272" s="178" t="str">
        <f t="shared" si="24"/>
        <v>A5028</v>
      </c>
      <c r="F272" s="178">
        <f t="shared" si="28"/>
        <v>0</v>
      </c>
      <c r="G272" s="178">
        <f t="shared" si="29"/>
        <v>0</v>
      </c>
      <c r="H272" s="264" t="s">
        <v>2378</v>
      </c>
      <c r="I272" s="264"/>
      <c r="J272" s="264" t="s">
        <v>895</v>
      </c>
      <c r="K272" s="264" t="s">
        <v>2378</v>
      </c>
      <c r="L272" s="178" t="str">
        <f t="shared" si="25"/>
        <v>A3050</v>
      </c>
      <c r="M272" s="178" t="str">
        <f t="shared" si="26"/>
        <v>GEA_NICE신용요약정보조회Dto</v>
      </c>
      <c r="N272" s="178">
        <f t="shared" si="27"/>
        <v>0</v>
      </c>
    </row>
    <row r="273" spans="1:14">
      <c r="A273" s="242" t="s">
        <v>2469</v>
      </c>
      <c r="B273" s="248" t="s">
        <v>3325</v>
      </c>
      <c r="C273" s="248" t="s">
        <v>1150</v>
      </c>
      <c r="D273" s="242" t="s">
        <v>2469</v>
      </c>
      <c r="E273" s="178" t="str">
        <f t="shared" si="24"/>
        <v>A5029</v>
      </c>
      <c r="F273" s="178">
        <f t="shared" si="28"/>
        <v>0</v>
      </c>
      <c r="G273" s="178">
        <f t="shared" si="29"/>
        <v>0</v>
      </c>
      <c r="H273" s="264" t="s">
        <v>2379</v>
      </c>
      <c r="I273" s="264"/>
      <c r="J273" s="264" t="s">
        <v>898</v>
      </c>
      <c r="K273" s="264" t="s">
        <v>2379</v>
      </c>
      <c r="L273" s="178" t="e">
        <f t="shared" si="25"/>
        <v>#N/A</v>
      </c>
      <c r="M273" s="178" t="e">
        <f t="shared" si="26"/>
        <v>#N/A</v>
      </c>
      <c r="N273" s="178" t="e">
        <f t="shared" si="27"/>
        <v>#N/A</v>
      </c>
    </row>
    <row r="274" spans="1:14">
      <c r="A274" s="242" t="s">
        <v>2470</v>
      </c>
      <c r="B274" s="248" t="s">
        <v>3325</v>
      </c>
      <c r="C274" s="248" t="s">
        <v>1153</v>
      </c>
      <c r="D274" s="242" t="s">
        <v>2470</v>
      </c>
      <c r="E274" s="178" t="str">
        <f t="shared" si="24"/>
        <v>A5030</v>
      </c>
      <c r="F274" s="178">
        <f t="shared" si="28"/>
        <v>0</v>
      </c>
      <c r="G274" s="178">
        <f t="shared" si="29"/>
        <v>0</v>
      </c>
      <c r="H274" s="263" t="s">
        <v>2380</v>
      </c>
      <c r="I274" s="263" t="s">
        <v>5673</v>
      </c>
      <c r="J274" s="263" t="s">
        <v>900</v>
      </c>
      <c r="K274" s="263" t="s">
        <v>2380</v>
      </c>
      <c r="L274" s="178" t="str">
        <f t="shared" si="25"/>
        <v>A3072</v>
      </c>
      <c r="M274" s="178" t="str">
        <f t="shared" si="26"/>
        <v>GEA_NICE신용평점정보조회Dto</v>
      </c>
      <c r="N274" s="178">
        <f t="shared" si="27"/>
        <v>1</v>
      </c>
    </row>
    <row r="275" spans="1:14">
      <c r="A275" s="242" t="s">
        <v>2471</v>
      </c>
      <c r="B275" s="248" t="s">
        <v>3325</v>
      </c>
      <c r="C275" s="248" t="s">
        <v>1156</v>
      </c>
      <c r="D275" s="242" t="s">
        <v>2471</v>
      </c>
      <c r="E275" s="178" t="str">
        <f t="shared" si="24"/>
        <v>A5031</v>
      </c>
      <c r="F275" s="178">
        <f t="shared" si="28"/>
        <v>0</v>
      </c>
      <c r="G275" s="178">
        <f t="shared" si="29"/>
        <v>0</v>
      </c>
      <c r="H275" s="263" t="s">
        <v>2381</v>
      </c>
      <c r="I275" s="263" t="s">
        <v>5673</v>
      </c>
      <c r="J275" s="263" t="s">
        <v>904</v>
      </c>
      <c r="K275" s="263" t="s">
        <v>2381</v>
      </c>
      <c r="L275" s="178" t="e">
        <f t="shared" si="25"/>
        <v>#N/A</v>
      </c>
      <c r="M275" s="178" t="e">
        <f t="shared" si="26"/>
        <v>#N/A</v>
      </c>
      <c r="N275" s="178" t="e">
        <f t="shared" si="27"/>
        <v>#N/A</v>
      </c>
    </row>
    <row r="276" spans="1:14">
      <c r="A276" s="242" t="s">
        <v>2472</v>
      </c>
      <c r="B276" s="248" t="s">
        <v>3325</v>
      </c>
      <c r="C276" s="248" t="s">
        <v>1159</v>
      </c>
      <c r="D276" s="242" t="s">
        <v>2472</v>
      </c>
      <c r="E276" s="178" t="str">
        <f t="shared" si="24"/>
        <v>A5032</v>
      </c>
      <c r="F276" s="178">
        <f t="shared" si="28"/>
        <v>0</v>
      </c>
      <c r="G276" s="178">
        <f t="shared" si="29"/>
        <v>0</v>
      </c>
      <c r="H276" s="263" t="s">
        <v>2382</v>
      </c>
      <c r="I276" s="263" t="s">
        <v>5673</v>
      </c>
      <c r="J276" s="263" t="s">
        <v>907</v>
      </c>
      <c r="K276" s="263" t="s">
        <v>2382</v>
      </c>
      <c r="L276" s="178" t="e">
        <f t="shared" si="25"/>
        <v>#N/A</v>
      </c>
      <c r="M276" s="178" t="e">
        <f t="shared" si="26"/>
        <v>#N/A</v>
      </c>
      <c r="N276" s="178" t="e">
        <f t="shared" si="27"/>
        <v>#N/A</v>
      </c>
    </row>
    <row r="277" spans="1:14">
      <c r="A277" s="242" t="s">
        <v>2473</v>
      </c>
      <c r="B277" s="248" t="s">
        <v>3325</v>
      </c>
      <c r="C277" s="248" t="s">
        <v>3326</v>
      </c>
      <c r="D277" s="242" t="s">
        <v>2473</v>
      </c>
      <c r="E277" s="178" t="e">
        <f t="shared" si="24"/>
        <v>#N/A</v>
      </c>
      <c r="F277" s="178" t="e">
        <f t="shared" si="28"/>
        <v>#N/A</v>
      </c>
      <c r="G277" s="178" t="e">
        <f t="shared" si="29"/>
        <v>#N/A</v>
      </c>
      <c r="H277" s="263" t="s">
        <v>2383</v>
      </c>
      <c r="I277" s="263" t="s">
        <v>5673</v>
      </c>
      <c r="J277" s="263" t="s">
        <v>910</v>
      </c>
      <c r="K277" s="263" t="s">
        <v>2383</v>
      </c>
      <c r="L277" s="178" t="e">
        <f t="shared" si="25"/>
        <v>#N/A</v>
      </c>
      <c r="M277" s="178" t="e">
        <f t="shared" si="26"/>
        <v>#N/A</v>
      </c>
      <c r="N277" s="178" t="e">
        <f t="shared" si="27"/>
        <v>#N/A</v>
      </c>
    </row>
    <row r="278" spans="1:14">
      <c r="A278" s="242" t="s">
        <v>2474</v>
      </c>
      <c r="B278" s="248" t="s">
        <v>3325</v>
      </c>
      <c r="C278" s="248" t="s">
        <v>1164</v>
      </c>
      <c r="D278" s="242" t="s">
        <v>2474</v>
      </c>
      <c r="E278" s="178" t="str">
        <f t="shared" si="24"/>
        <v>A5034</v>
      </c>
      <c r="F278" s="178">
        <f t="shared" si="28"/>
        <v>0</v>
      </c>
      <c r="G278" s="178">
        <f t="shared" si="29"/>
        <v>0</v>
      </c>
      <c r="H278" s="263" t="s">
        <v>2384</v>
      </c>
      <c r="I278" s="263" t="s">
        <v>5673</v>
      </c>
      <c r="J278" s="263" t="s">
        <v>913</v>
      </c>
      <c r="K278" s="263" t="s">
        <v>2384</v>
      </c>
      <c r="L278" s="178" t="e">
        <f t="shared" si="25"/>
        <v>#N/A</v>
      </c>
      <c r="M278" s="178" t="e">
        <f t="shared" si="26"/>
        <v>#N/A</v>
      </c>
      <c r="N278" s="178" t="e">
        <f t="shared" si="27"/>
        <v>#N/A</v>
      </c>
    </row>
    <row r="279" spans="1:14">
      <c r="A279" s="242" t="s">
        <v>2475</v>
      </c>
      <c r="B279" s="248" t="s">
        <v>3325</v>
      </c>
      <c r="C279" s="248" t="s">
        <v>1167</v>
      </c>
      <c r="D279" s="242" t="s">
        <v>2475</v>
      </c>
      <c r="E279" s="178" t="str">
        <f t="shared" si="24"/>
        <v>A5035</v>
      </c>
      <c r="F279" s="178">
        <f t="shared" si="28"/>
        <v>0</v>
      </c>
      <c r="G279" s="178">
        <f t="shared" si="29"/>
        <v>0</v>
      </c>
      <c r="H279" s="263" t="s">
        <v>2385</v>
      </c>
      <c r="I279" s="263" t="s">
        <v>5673</v>
      </c>
      <c r="J279" s="263" t="s">
        <v>916</v>
      </c>
      <c r="K279" s="263" t="s">
        <v>2385</v>
      </c>
      <c r="L279" s="178" t="e">
        <f t="shared" si="25"/>
        <v>#N/A</v>
      </c>
      <c r="M279" s="178" t="e">
        <f t="shared" si="26"/>
        <v>#N/A</v>
      </c>
      <c r="N279" s="178" t="e">
        <f t="shared" si="27"/>
        <v>#N/A</v>
      </c>
    </row>
    <row r="280" spans="1:14">
      <c r="A280" s="242" t="s">
        <v>2476</v>
      </c>
      <c r="B280" s="248" t="s">
        <v>3325</v>
      </c>
      <c r="C280" s="248" t="s">
        <v>1170</v>
      </c>
      <c r="D280" s="242" t="s">
        <v>2476</v>
      </c>
      <c r="E280" s="178" t="str">
        <f t="shared" si="24"/>
        <v>A5036</v>
      </c>
      <c r="F280" s="178">
        <f t="shared" si="28"/>
        <v>0</v>
      </c>
      <c r="G280" s="178">
        <f t="shared" si="29"/>
        <v>0</v>
      </c>
      <c r="H280" s="339" t="s">
        <v>2386</v>
      </c>
      <c r="I280" s="263" t="s">
        <v>5877</v>
      </c>
      <c r="J280" s="339" t="s">
        <v>12</v>
      </c>
      <c r="K280" s="339" t="s">
        <v>2386</v>
      </c>
      <c r="L280" s="178" t="e">
        <f t="shared" si="25"/>
        <v>#N/A</v>
      </c>
      <c r="M280" s="178" t="e">
        <f t="shared" si="26"/>
        <v>#N/A</v>
      </c>
      <c r="N280" s="178" t="e">
        <f t="shared" si="27"/>
        <v>#N/A</v>
      </c>
    </row>
    <row r="281" spans="1:14">
      <c r="A281" s="242" t="s">
        <v>2477</v>
      </c>
      <c r="B281" s="248" t="s">
        <v>3325</v>
      </c>
      <c r="C281" s="248" t="s">
        <v>1173</v>
      </c>
      <c r="D281" s="242" t="s">
        <v>2477</v>
      </c>
      <c r="E281" s="178" t="str">
        <f t="shared" si="24"/>
        <v>A5037</v>
      </c>
      <c r="F281" s="178">
        <f t="shared" si="28"/>
        <v>0</v>
      </c>
      <c r="G281" s="178">
        <f t="shared" si="29"/>
        <v>0</v>
      </c>
      <c r="H281" s="339" t="s">
        <v>2387</v>
      </c>
      <c r="I281" s="263" t="s">
        <v>5673</v>
      </c>
      <c r="J281" s="339" t="s">
        <v>921</v>
      </c>
      <c r="K281" s="339" t="s">
        <v>2387</v>
      </c>
      <c r="L281" s="178" t="e">
        <f t="shared" si="25"/>
        <v>#N/A</v>
      </c>
      <c r="M281" s="178" t="e">
        <f t="shared" si="26"/>
        <v>#N/A</v>
      </c>
      <c r="N281" s="178" t="e">
        <f t="shared" si="27"/>
        <v>#N/A</v>
      </c>
    </row>
    <row r="282" spans="1:14">
      <c r="A282" s="242" t="s">
        <v>2478</v>
      </c>
      <c r="B282" s="248" t="s">
        <v>3325</v>
      </c>
      <c r="C282" s="248" t="s">
        <v>1176</v>
      </c>
      <c r="D282" s="242" t="s">
        <v>2478</v>
      </c>
      <c r="E282" s="178" t="str">
        <f t="shared" si="24"/>
        <v>A5038</v>
      </c>
      <c r="F282" s="178">
        <f t="shared" si="28"/>
        <v>0</v>
      </c>
      <c r="G282" s="178">
        <f t="shared" si="29"/>
        <v>0</v>
      </c>
      <c r="H282" s="264" t="s">
        <v>2388</v>
      </c>
      <c r="I282" s="264"/>
      <c r="J282" s="264" t="s">
        <v>924</v>
      </c>
      <c r="K282" s="264" t="s">
        <v>2388</v>
      </c>
      <c r="L282" s="178" t="str">
        <f t="shared" si="25"/>
        <v>A3060</v>
      </c>
      <c r="M282" s="178">
        <f t="shared" si="26"/>
        <v>0</v>
      </c>
      <c r="N282" s="178">
        <f t="shared" si="27"/>
        <v>1</v>
      </c>
    </row>
    <row r="283" spans="1:14">
      <c r="A283" s="242" t="s">
        <v>2479</v>
      </c>
      <c r="B283" s="248" t="s">
        <v>3325</v>
      </c>
      <c r="C283" s="248" t="s">
        <v>1179</v>
      </c>
      <c r="D283" s="242" t="s">
        <v>2479</v>
      </c>
      <c r="E283" s="178" t="str">
        <f t="shared" si="24"/>
        <v>A5039</v>
      </c>
      <c r="F283" s="178">
        <f t="shared" si="28"/>
        <v>0</v>
      </c>
      <c r="G283" s="178">
        <f t="shared" si="29"/>
        <v>0</v>
      </c>
      <c r="H283" s="263" t="s">
        <v>2389</v>
      </c>
      <c r="I283" s="263" t="s">
        <v>5673</v>
      </c>
      <c r="J283" s="263" t="s">
        <v>926</v>
      </c>
      <c r="K283" s="263" t="s">
        <v>2389</v>
      </c>
      <c r="L283" s="178" t="str">
        <f t="shared" si="25"/>
        <v>A3071</v>
      </c>
      <c r="M283" s="178" t="str">
        <f t="shared" si="26"/>
        <v>GEA_NICE신용평점정보조회Dto</v>
      </c>
      <c r="N283" s="178">
        <f t="shared" si="27"/>
        <v>1</v>
      </c>
    </row>
    <row r="284" spans="1:14">
      <c r="A284" s="242" t="s">
        <v>2480</v>
      </c>
      <c r="B284" s="248" t="s">
        <v>3325</v>
      </c>
      <c r="C284" s="248" t="s">
        <v>1182</v>
      </c>
      <c r="D284" s="242" t="s">
        <v>2480</v>
      </c>
      <c r="E284" s="178" t="str">
        <f t="shared" si="24"/>
        <v>A5040</v>
      </c>
      <c r="F284" s="178">
        <f t="shared" si="28"/>
        <v>0</v>
      </c>
      <c r="G284" s="178">
        <f t="shared" si="29"/>
        <v>0</v>
      </c>
      <c r="H284" s="264" t="s">
        <v>2390</v>
      </c>
      <c r="I284" s="264"/>
      <c r="J284" s="264" t="s">
        <v>192</v>
      </c>
      <c r="K284" s="264" t="s">
        <v>2390</v>
      </c>
      <c r="L284" s="178" t="e">
        <f t="shared" si="25"/>
        <v>#N/A</v>
      </c>
      <c r="M284" s="178" t="e">
        <f t="shared" si="26"/>
        <v>#N/A</v>
      </c>
      <c r="N284" s="178" t="e">
        <f t="shared" si="27"/>
        <v>#N/A</v>
      </c>
    </row>
    <row r="285" spans="1:14">
      <c r="A285" s="242" t="s">
        <v>2481</v>
      </c>
      <c r="B285" s="248" t="s">
        <v>3341</v>
      </c>
      <c r="C285" s="248" t="s">
        <v>1185</v>
      </c>
      <c r="D285" s="242" t="s">
        <v>2481</v>
      </c>
      <c r="E285" s="178" t="str">
        <f t="shared" si="24"/>
        <v>A6001</v>
      </c>
      <c r="F285" s="178">
        <f t="shared" si="28"/>
        <v>0</v>
      </c>
      <c r="G285" s="178">
        <f t="shared" si="29"/>
        <v>0</v>
      </c>
      <c r="H285" s="263" t="s">
        <v>2391</v>
      </c>
      <c r="I285" s="263" t="s">
        <v>5673</v>
      </c>
      <c r="J285" s="263" t="s">
        <v>3210</v>
      </c>
      <c r="K285" s="263" t="s">
        <v>2391</v>
      </c>
      <c r="L285" s="178" t="e">
        <f t="shared" si="25"/>
        <v>#N/A</v>
      </c>
      <c r="M285" s="178" t="e">
        <f t="shared" si="26"/>
        <v>#N/A</v>
      </c>
      <c r="N285" s="178" t="e">
        <f t="shared" si="27"/>
        <v>#N/A</v>
      </c>
    </row>
    <row r="286" spans="1:14">
      <c r="A286" s="242" t="s">
        <v>2482</v>
      </c>
      <c r="B286" s="248" t="s">
        <v>3341</v>
      </c>
      <c r="C286" s="248" t="s">
        <v>1188</v>
      </c>
      <c r="D286" s="242" t="s">
        <v>2482</v>
      </c>
      <c r="E286" s="178" t="str">
        <f t="shared" si="24"/>
        <v>A6002</v>
      </c>
      <c r="F286" s="178">
        <f t="shared" si="28"/>
        <v>0</v>
      </c>
      <c r="G286" s="178">
        <f t="shared" si="29"/>
        <v>0</v>
      </c>
      <c r="H286" s="263" t="s">
        <v>2519</v>
      </c>
      <c r="I286" s="263" t="s">
        <v>5669</v>
      </c>
      <c r="J286" s="263" t="s">
        <v>5874</v>
      </c>
      <c r="K286" s="263" t="s">
        <v>2519</v>
      </c>
      <c r="L286" s="178" t="str">
        <f t="shared" si="25"/>
        <v>A3065</v>
      </c>
      <c r="M286" s="178" t="str">
        <f t="shared" si="26"/>
        <v>GEA_NICE동시대출건수조회Dto</v>
      </c>
      <c r="N286" s="178">
        <f t="shared" si="27"/>
        <v>1</v>
      </c>
    </row>
    <row r="287" spans="1:14">
      <c r="A287" s="242" t="s">
        <v>2483</v>
      </c>
      <c r="B287" s="248" t="s">
        <v>3341</v>
      </c>
      <c r="C287" s="248" t="s">
        <v>1191</v>
      </c>
      <c r="D287" s="242" t="s">
        <v>2483</v>
      </c>
      <c r="E287" s="178" t="str">
        <f t="shared" si="24"/>
        <v>A6003</v>
      </c>
      <c r="F287" s="178">
        <f t="shared" si="28"/>
        <v>0</v>
      </c>
      <c r="G287" s="178">
        <f t="shared" si="29"/>
        <v>0</v>
      </c>
      <c r="H287" s="263" t="s">
        <v>2961</v>
      </c>
      <c r="I287" s="263" t="s">
        <v>5870</v>
      </c>
      <c r="J287" s="263" t="s">
        <v>5871</v>
      </c>
      <c r="K287" s="263" t="s">
        <v>2961</v>
      </c>
      <c r="L287" s="178" t="e">
        <f t="shared" si="25"/>
        <v>#N/A</v>
      </c>
      <c r="M287" s="178" t="e">
        <f t="shared" si="26"/>
        <v>#N/A</v>
      </c>
      <c r="N287" s="178" t="e">
        <f t="shared" si="27"/>
        <v>#N/A</v>
      </c>
    </row>
    <row r="288" spans="1:14">
      <c r="A288" s="242" t="s">
        <v>2484</v>
      </c>
      <c r="B288" s="248" t="s">
        <v>3341</v>
      </c>
      <c r="C288" s="248" t="s">
        <v>1194</v>
      </c>
      <c r="D288" s="242" t="s">
        <v>2484</v>
      </c>
      <c r="E288" s="178" t="str">
        <f t="shared" si="24"/>
        <v>A6004</v>
      </c>
      <c r="F288" s="178">
        <f t="shared" si="28"/>
        <v>0</v>
      </c>
      <c r="G288" s="178">
        <f t="shared" si="29"/>
        <v>0</v>
      </c>
      <c r="H288" s="263" t="s">
        <v>2962</v>
      </c>
      <c r="I288" s="263" t="s">
        <v>5613</v>
      </c>
      <c r="J288" s="263" t="s">
        <v>5385</v>
      </c>
      <c r="K288" s="263" t="s">
        <v>2962</v>
      </c>
      <c r="L288" s="178" t="e">
        <f t="shared" si="25"/>
        <v>#N/A</v>
      </c>
      <c r="M288" s="178" t="e">
        <f t="shared" si="26"/>
        <v>#N/A</v>
      </c>
      <c r="N288" s="178" t="e">
        <f t="shared" si="27"/>
        <v>#N/A</v>
      </c>
    </row>
    <row r="289" spans="1:14">
      <c r="A289" s="242" t="s">
        <v>2485</v>
      </c>
      <c r="B289" s="248" t="s">
        <v>3341</v>
      </c>
      <c r="C289" s="248" t="s">
        <v>1197</v>
      </c>
      <c r="D289" s="242" t="s">
        <v>2485</v>
      </c>
      <c r="E289" s="178" t="str">
        <f t="shared" si="24"/>
        <v>A6005</v>
      </c>
      <c r="F289" s="178">
        <f t="shared" si="28"/>
        <v>0</v>
      </c>
      <c r="G289" s="178">
        <f t="shared" si="29"/>
        <v>0</v>
      </c>
      <c r="H289" s="263" t="s">
        <v>3643</v>
      </c>
      <c r="I289" s="263" t="s">
        <v>5613</v>
      </c>
      <c r="J289" s="263" t="s">
        <v>5386</v>
      </c>
      <c r="K289" s="263" t="s">
        <v>3643</v>
      </c>
      <c r="L289" s="178" t="e">
        <f t="shared" si="25"/>
        <v>#N/A</v>
      </c>
      <c r="M289" s="178" t="e">
        <f t="shared" si="26"/>
        <v>#N/A</v>
      </c>
      <c r="N289" s="178" t="e">
        <f t="shared" si="27"/>
        <v>#N/A</v>
      </c>
    </row>
    <row r="290" spans="1:14">
      <c r="A290" s="242" t="s">
        <v>2486</v>
      </c>
      <c r="B290" s="248" t="s">
        <v>3341</v>
      </c>
      <c r="C290" s="248" t="s">
        <v>1200</v>
      </c>
      <c r="D290" s="242" t="s">
        <v>2486</v>
      </c>
      <c r="E290" s="178" t="str">
        <f t="shared" si="24"/>
        <v>A6006</v>
      </c>
      <c r="F290" s="178">
        <f t="shared" si="28"/>
        <v>0</v>
      </c>
      <c r="G290" s="178">
        <f t="shared" si="29"/>
        <v>0</v>
      </c>
      <c r="H290" s="263" t="s">
        <v>3644</v>
      </c>
      <c r="I290" s="263" t="s">
        <v>5613</v>
      </c>
      <c r="J290" s="263" t="s">
        <v>5387</v>
      </c>
      <c r="K290" s="263" t="s">
        <v>3644</v>
      </c>
      <c r="L290" s="178" t="e">
        <f t="shared" si="25"/>
        <v>#N/A</v>
      </c>
      <c r="M290" s="178" t="e">
        <f t="shared" si="26"/>
        <v>#N/A</v>
      </c>
      <c r="N290" s="178" t="e">
        <f t="shared" si="27"/>
        <v>#N/A</v>
      </c>
    </row>
    <row r="291" spans="1:14">
      <c r="A291" s="242" t="s">
        <v>2487</v>
      </c>
      <c r="B291" s="248" t="s">
        <v>3341</v>
      </c>
      <c r="C291" s="248" t="s">
        <v>1203</v>
      </c>
      <c r="D291" s="242" t="s">
        <v>2487</v>
      </c>
      <c r="E291" s="178" t="str">
        <f t="shared" si="24"/>
        <v>A6007</v>
      </c>
      <c r="F291" s="178">
        <f t="shared" si="28"/>
        <v>0</v>
      </c>
      <c r="G291" s="178">
        <f t="shared" si="29"/>
        <v>0</v>
      </c>
      <c r="H291" s="263" t="s">
        <v>3645</v>
      </c>
      <c r="I291" s="263" t="s">
        <v>5613</v>
      </c>
      <c r="J291" s="263" t="s">
        <v>5388</v>
      </c>
      <c r="K291" s="263" t="s">
        <v>3645</v>
      </c>
      <c r="L291" s="178" t="e">
        <f t="shared" si="25"/>
        <v>#N/A</v>
      </c>
      <c r="M291" s="178" t="e">
        <f t="shared" si="26"/>
        <v>#N/A</v>
      </c>
      <c r="N291" s="178" t="e">
        <f t="shared" si="27"/>
        <v>#N/A</v>
      </c>
    </row>
    <row r="292" spans="1:14">
      <c r="A292" s="242" t="s">
        <v>2488</v>
      </c>
      <c r="B292" s="248" t="s">
        <v>3341</v>
      </c>
      <c r="C292" s="248" t="s">
        <v>1206</v>
      </c>
      <c r="D292" s="242" t="s">
        <v>2488</v>
      </c>
      <c r="E292" s="178" t="str">
        <f t="shared" si="24"/>
        <v>A6008</v>
      </c>
      <c r="F292" s="178">
        <f t="shared" si="28"/>
        <v>0</v>
      </c>
      <c r="G292" s="178">
        <f t="shared" si="29"/>
        <v>0</v>
      </c>
      <c r="H292" s="263" t="s">
        <v>3646</v>
      </c>
      <c r="I292" s="263" t="s">
        <v>5613</v>
      </c>
      <c r="J292" s="263" t="s">
        <v>5389</v>
      </c>
      <c r="K292" s="263" t="s">
        <v>3646</v>
      </c>
      <c r="L292" s="178" t="e">
        <f t="shared" si="25"/>
        <v>#N/A</v>
      </c>
      <c r="M292" s="178" t="e">
        <f t="shared" si="26"/>
        <v>#N/A</v>
      </c>
      <c r="N292" s="178" t="e">
        <f t="shared" si="27"/>
        <v>#N/A</v>
      </c>
    </row>
    <row r="293" spans="1:14">
      <c r="A293" s="242" t="s">
        <v>2489</v>
      </c>
      <c r="B293" s="248" t="s">
        <v>3341</v>
      </c>
      <c r="C293" s="248" t="s">
        <v>1209</v>
      </c>
      <c r="D293" s="242" t="s">
        <v>2489</v>
      </c>
      <c r="E293" s="178" t="str">
        <f t="shared" si="24"/>
        <v>A6009</v>
      </c>
      <c r="F293" s="178">
        <f t="shared" si="28"/>
        <v>0</v>
      </c>
      <c r="G293" s="178">
        <f t="shared" si="29"/>
        <v>0</v>
      </c>
      <c r="H293" s="263" t="s">
        <v>3647</v>
      </c>
      <c r="I293" s="263" t="s">
        <v>5613</v>
      </c>
      <c r="J293" s="263" t="s">
        <v>5390</v>
      </c>
      <c r="K293" s="263" t="s">
        <v>3647</v>
      </c>
      <c r="L293" s="178" t="e">
        <f t="shared" si="25"/>
        <v>#N/A</v>
      </c>
      <c r="M293" s="178" t="e">
        <f t="shared" si="26"/>
        <v>#N/A</v>
      </c>
      <c r="N293" s="178" t="e">
        <f t="shared" si="27"/>
        <v>#N/A</v>
      </c>
    </row>
    <row r="294" spans="1:14">
      <c r="A294" s="242" t="s">
        <v>2490</v>
      </c>
      <c r="B294" s="248" t="s">
        <v>3341</v>
      </c>
      <c r="C294" s="248" t="s">
        <v>1212</v>
      </c>
      <c r="D294" s="242" t="s">
        <v>2490</v>
      </c>
      <c r="E294" s="178" t="str">
        <f t="shared" si="24"/>
        <v>A6010</v>
      </c>
      <c r="F294" s="178">
        <f t="shared" si="28"/>
        <v>0</v>
      </c>
      <c r="G294" s="178">
        <f t="shared" si="29"/>
        <v>0</v>
      </c>
      <c r="H294" s="263" t="s">
        <v>3648</v>
      </c>
      <c r="I294" s="263" t="s">
        <v>5613</v>
      </c>
      <c r="J294" s="263" t="s">
        <v>5391</v>
      </c>
      <c r="K294" s="263" t="s">
        <v>3648</v>
      </c>
      <c r="L294" s="178" t="e">
        <f t="shared" si="25"/>
        <v>#N/A</v>
      </c>
      <c r="M294" s="178" t="e">
        <f t="shared" si="26"/>
        <v>#N/A</v>
      </c>
      <c r="N294" s="178" t="e">
        <f t="shared" si="27"/>
        <v>#N/A</v>
      </c>
    </row>
    <row r="295" spans="1:14">
      <c r="A295" s="242" t="s">
        <v>2491</v>
      </c>
      <c r="B295" s="248" t="s">
        <v>3341</v>
      </c>
      <c r="C295" s="248" t="s">
        <v>1215</v>
      </c>
      <c r="D295" s="242" t="s">
        <v>2491</v>
      </c>
      <c r="E295" s="178" t="str">
        <f t="shared" si="24"/>
        <v>A6011</v>
      </c>
      <c r="F295" s="178">
        <f t="shared" si="28"/>
        <v>0</v>
      </c>
      <c r="G295" s="178">
        <f t="shared" si="29"/>
        <v>0</v>
      </c>
      <c r="H295" s="263" t="s">
        <v>3649</v>
      </c>
      <c r="I295" s="263" t="s">
        <v>5613</v>
      </c>
      <c r="J295" s="263" t="s">
        <v>5392</v>
      </c>
      <c r="K295" s="263" t="s">
        <v>3649</v>
      </c>
      <c r="L295" s="178" t="e">
        <f t="shared" si="25"/>
        <v>#N/A</v>
      </c>
      <c r="M295" s="178" t="e">
        <f t="shared" si="26"/>
        <v>#N/A</v>
      </c>
      <c r="N295" s="178" t="e">
        <f t="shared" si="27"/>
        <v>#N/A</v>
      </c>
    </row>
    <row r="296" spans="1:14">
      <c r="A296" s="242" t="s">
        <v>2492</v>
      </c>
      <c r="B296" s="248" t="s">
        <v>3341</v>
      </c>
      <c r="C296" s="248" t="s">
        <v>1218</v>
      </c>
      <c r="D296" s="242" t="s">
        <v>2492</v>
      </c>
      <c r="E296" s="178" t="str">
        <f t="shared" si="24"/>
        <v>A6012</v>
      </c>
      <c r="F296" s="178">
        <f t="shared" si="28"/>
        <v>0</v>
      </c>
      <c r="G296" s="178">
        <f t="shared" si="29"/>
        <v>0</v>
      </c>
      <c r="H296" s="263" t="s">
        <v>3650</v>
      </c>
      <c r="I296" s="263" t="s">
        <v>5613</v>
      </c>
      <c r="J296" s="263" t="s">
        <v>5393</v>
      </c>
      <c r="K296" s="263" t="s">
        <v>3650</v>
      </c>
      <c r="L296" s="178" t="e">
        <f t="shared" si="25"/>
        <v>#N/A</v>
      </c>
      <c r="M296" s="178" t="e">
        <f t="shared" si="26"/>
        <v>#N/A</v>
      </c>
      <c r="N296" s="178" t="e">
        <f t="shared" si="27"/>
        <v>#N/A</v>
      </c>
    </row>
    <row r="297" spans="1:14">
      <c r="A297" s="242" t="s">
        <v>2493</v>
      </c>
      <c r="B297" s="248" t="s">
        <v>3341</v>
      </c>
      <c r="C297" s="248" t="s">
        <v>1221</v>
      </c>
      <c r="D297" s="242" t="s">
        <v>2493</v>
      </c>
      <c r="E297" s="178" t="str">
        <f t="shared" si="24"/>
        <v>A6013</v>
      </c>
      <c r="F297" s="178">
        <f t="shared" si="28"/>
        <v>0</v>
      </c>
      <c r="G297" s="178">
        <f t="shared" si="29"/>
        <v>0</v>
      </c>
      <c r="H297" s="263" t="s">
        <v>3651</v>
      </c>
      <c r="I297" s="263" t="s">
        <v>5613</v>
      </c>
      <c r="J297" s="263" t="s">
        <v>5394</v>
      </c>
      <c r="K297" s="263" t="s">
        <v>3651</v>
      </c>
      <c r="L297" s="178" t="e">
        <f t="shared" si="25"/>
        <v>#N/A</v>
      </c>
      <c r="M297" s="178" t="e">
        <f t="shared" si="26"/>
        <v>#N/A</v>
      </c>
      <c r="N297" s="178" t="e">
        <f t="shared" si="27"/>
        <v>#N/A</v>
      </c>
    </row>
    <row r="298" spans="1:14">
      <c r="A298" s="242" t="s">
        <v>2494</v>
      </c>
      <c r="B298" s="248" t="s">
        <v>3341</v>
      </c>
      <c r="C298" s="248" t="s">
        <v>1224</v>
      </c>
      <c r="D298" s="242" t="s">
        <v>2494</v>
      </c>
      <c r="E298" s="178" t="str">
        <f t="shared" si="24"/>
        <v>A6014</v>
      </c>
      <c r="F298" s="178">
        <f t="shared" si="28"/>
        <v>0</v>
      </c>
      <c r="G298" s="178">
        <f t="shared" si="29"/>
        <v>0</v>
      </c>
      <c r="H298" s="263" t="s">
        <v>3712</v>
      </c>
      <c r="I298" s="263" t="s">
        <v>5673</v>
      </c>
      <c r="J298" s="263" t="s">
        <v>5197</v>
      </c>
      <c r="K298" s="263" t="s">
        <v>3712</v>
      </c>
      <c r="L298" s="178" t="str">
        <f t="shared" si="25"/>
        <v>A3073</v>
      </c>
      <c r="M298" s="178" t="str">
        <f t="shared" si="26"/>
        <v>GEA_NICE신용평점정보조회Dto</v>
      </c>
      <c r="N298" s="178">
        <f t="shared" si="27"/>
        <v>1</v>
      </c>
    </row>
    <row r="299" spans="1:14">
      <c r="A299" s="242" t="s">
        <v>2495</v>
      </c>
      <c r="B299" s="248" t="s">
        <v>3341</v>
      </c>
      <c r="C299" s="248" t="s">
        <v>1227</v>
      </c>
      <c r="D299" s="242" t="s">
        <v>2495</v>
      </c>
      <c r="E299" s="178" t="str">
        <f t="shared" si="24"/>
        <v>A6015</v>
      </c>
      <c r="F299" s="178">
        <f t="shared" si="28"/>
        <v>0</v>
      </c>
      <c r="G299" s="178">
        <f t="shared" si="29"/>
        <v>0</v>
      </c>
      <c r="H299" s="263" t="s">
        <v>3713</v>
      </c>
      <c r="I299" s="263" t="s">
        <v>5673</v>
      </c>
      <c r="J299" s="263" t="s">
        <v>5404</v>
      </c>
      <c r="K299" s="263" t="s">
        <v>3713</v>
      </c>
      <c r="L299" s="178" t="str">
        <f t="shared" si="25"/>
        <v>A3075</v>
      </c>
      <c r="M299" s="178" t="str">
        <f t="shared" si="26"/>
        <v>GEA_NICE신용평점정보조회Dto</v>
      </c>
      <c r="N299" s="178">
        <f t="shared" si="27"/>
        <v>1</v>
      </c>
    </row>
    <row r="300" spans="1:14">
      <c r="A300" s="242" t="s">
        <v>2496</v>
      </c>
      <c r="B300" s="248" t="s">
        <v>3341</v>
      </c>
      <c r="C300" s="248" t="s">
        <v>1230</v>
      </c>
      <c r="D300" s="242" t="s">
        <v>2496</v>
      </c>
      <c r="E300" s="178" t="str">
        <f t="shared" si="24"/>
        <v>A6016</v>
      </c>
      <c r="F300" s="178">
        <f t="shared" si="28"/>
        <v>0</v>
      </c>
      <c r="G300" s="178">
        <f t="shared" si="29"/>
        <v>0</v>
      </c>
      <c r="H300" s="264" t="s">
        <v>2392</v>
      </c>
      <c r="I300" s="264"/>
      <c r="J300" s="264" t="s">
        <v>930</v>
      </c>
      <c r="K300" s="264" t="s">
        <v>2392</v>
      </c>
      <c r="L300" s="178" t="e">
        <f t="shared" si="25"/>
        <v>#N/A</v>
      </c>
      <c r="M300" s="178" t="e">
        <f t="shared" si="26"/>
        <v>#N/A</v>
      </c>
      <c r="N300" s="178" t="e">
        <f t="shared" si="27"/>
        <v>#N/A</v>
      </c>
    </row>
    <row r="301" spans="1:14">
      <c r="A301" s="242" t="s">
        <v>2497</v>
      </c>
      <c r="B301" s="248" t="s">
        <v>3341</v>
      </c>
      <c r="C301" s="248" t="s">
        <v>1233</v>
      </c>
      <c r="D301" s="242" t="s">
        <v>2497</v>
      </c>
      <c r="E301" s="178" t="str">
        <f t="shared" si="24"/>
        <v>A6017</v>
      </c>
      <c r="F301" s="178">
        <f t="shared" si="28"/>
        <v>0</v>
      </c>
      <c r="G301" s="178">
        <f t="shared" si="29"/>
        <v>0</v>
      </c>
      <c r="H301" s="264" t="s">
        <v>2393</v>
      </c>
      <c r="I301" s="264"/>
      <c r="J301" s="264" t="s">
        <v>934</v>
      </c>
      <c r="K301" s="264" t="s">
        <v>2393</v>
      </c>
      <c r="L301" s="178" t="e">
        <f t="shared" si="25"/>
        <v>#N/A</v>
      </c>
      <c r="M301" s="178" t="e">
        <f t="shared" si="26"/>
        <v>#N/A</v>
      </c>
      <c r="N301" s="178" t="e">
        <f t="shared" si="27"/>
        <v>#N/A</v>
      </c>
    </row>
    <row r="302" spans="1:14">
      <c r="A302" s="242" t="s">
        <v>2498</v>
      </c>
      <c r="B302" s="248" t="s">
        <v>3341</v>
      </c>
      <c r="C302" s="248" t="s">
        <v>1236</v>
      </c>
      <c r="D302" s="242" t="s">
        <v>2498</v>
      </c>
      <c r="E302" s="178" t="str">
        <f t="shared" si="24"/>
        <v>A6018</v>
      </c>
      <c r="F302" s="178">
        <f t="shared" si="28"/>
        <v>0</v>
      </c>
      <c r="G302" s="178">
        <f t="shared" si="29"/>
        <v>0</v>
      </c>
      <c r="H302" s="264" t="s">
        <v>2394</v>
      </c>
      <c r="I302" s="264"/>
      <c r="J302" s="264" t="s">
        <v>937</v>
      </c>
      <c r="K302" s="264" t="s">
        <v>2394</v>
      </c>
      <c r="L302" s="178" t="e">
        <f t="shared" si="25"/>
        <v>#N/A</v>
      </c>
      <c r="M302" s="178" t="e">
        <f t="shared" si="26"/>
        <v>#N/A</v>
      </c>
      <c r="N302" s="178" t="e">
        <f t="shared" si="27"/>
        <v>#N/A</v>
      </c>
    </row>
    <row r="303" spans="1:14">
      <c r="A303" s="242" t="s">
        <v>2499</v>
      </c>
      <c r="B303" s="248" t="s">
        <v>3341</v>
      </c>
      <c r="C303" s="248" t="s">
        <v>1239</v>
      </c>
      <c r="D303" s="242" t="s">
        <v>2499</v>
      </c>
      <c r="E303" s="178" t="str">
        <f t="shared" si="24"/>
        <v>A6019</v>
      </c>
      <c r="F303" s="178">
        <f t="shared" si="28"/>
        <v>0</v>
      </c>
      <c r="G303" s="178">
        <f t="shared" si="29"/>
        <v>0</v>
      </c>
      <c r="H303" s="263" t="s">
        <v>2395</v>
      </c>
      <c r="I303" s="263"/>
      <c r="J303" s="263" t="s">
        <v>940</v>
      </c>
      <c r="K303" s="263" t="s">
        <v>2395</v>
      </c>
      <c r="L303" s="178" t="e">
        <f t="shared" si="25"/>
        <v>#N/A</v>
      </c>
      <c r="M303" s="178" t="e">
        <f t="shared" si="26"/>
        <v>#N/A</v>
      </c>
      <c r="N303" s="178" t="e">
        <f t="shared" si="27"/>
        <v>#N/A</v>
      </c>
    </row>
    <row r="304" spans="1:14">
      <c r="A304" s="242" t="s">
        <v>2500</v>
      </c>
      <c r="B304" s="248" t="s">
        <v>3341</v>
      </c>
      <c r="C304" s="248" t="s">
        <v>1242</v>
      </c>
      <c r="D304" s="242" t="s">
        <v>2500</v>
      </c>
      <c r="E304" s="178" t="str">
        <f t="shared" si="24"/>
        <v>A6020</v>
      </c>
      <c r="F304" s="178">
        <f t="shared" si="28"/>
        <v>0</v>
      </c>
      <c r="G304" s="178">
        <f t="shared" si="29"/>
        <v>0</v>
      </c>
      <c r="H304" s="264" t="s">
        <v>2396</v>
      </c>
      <c r="I304" s="264"/>
      <c r="J304" s="264" t="s">
        <v>943</v>
      </c>
      <c r="K304" s="264" t="s">
        <v>2396</v>
      </c>
      <c r="L304" s="178" t="e">
        <f t="shared" si="25"/>
        <v>#N/A</v>
      </c>
      <c r="M304" s="178" t="e">
        <f t="shared" si="26"/>
        <v>#N/A</v>
      </c>
      <c r="N304" s="178" t="e">
        <f t="shared" si="27"/>
        <v>#N/A</v>
      </c>
    </row>
    <row r="305" spans="1:14">
      <c r="A305" s="242" t="s">
        <v>2501</v>
      </c>
      <c r="B305" s="248" t="s">
        <v>3341</v>
      </c>
      <c r="C305" s="248" t="s">
        <v>1245</v>
      </c>
      <c r="D305" s="242" t="s">
        <v>2501</v>
      </c>
      <c r="E305" s="178" t="str">
        <f t="shared" si="24"/>
        <v>A6021</v>
      </c>
      <c r="F305" s="178">
        <f t="shared" si="28"/>
        <v>0</v>
      </c>
      <c r="G305" s="178">
        <f t="shared" si="29"/>
        <v>0</v>
      </c>
      <c r="H305" s="264" t="s">
        <v>2397</v>
      </c>
      <c r="I305" s="264"/>
      <c r="J305" s="264" t="s">
        <v>946</v>
      </c>
      <c r="K305" s="264" t="s">
        <v>2397</v>
      </c>
      <c r="L305" s="178" t="e">
        <f t="shared" si="25"/>
        <v>#N/A</v>
      </c>
      <c r="M305" s="178" t="e">
        <f t="shared" si="26"/>
        <v>#N/A</v>
      </c>
      <c r="N305" s="178" t="e">
        <f t="shared" si="27"/>
        <v>#N/A</v>
      </c>
    </row>
    <row r="306" spans="1:14">
      <c r="A306" s="242" t="s">
        <v>2502</v>
      </c>
      <c r="B306" s="248" t="s">
        <v>3341</v>
      </c>
      <c r="C306" s="248" t="s">
        <v>1248</v>
      </c>
      <c r="D306" s="242" t="s">
        <v>2502</v>
      </c>
      <c r="E306" s="178" t="str">
        <f t="shared" si="24"/>
        <v>A6022</v>
      </c>
      <c r="F306" s="178">
        <f t="shared" si="28"/>
        <v>0</v>
      </c>
      <c r="G306" s="178">
        <f t="shared" si="29"/>
        <v>0</v>
      </c>
      <c r="H306" s="264" t="s">
        <v>2398</v>
      </c>
      <c r="I306" s="264"/>
      <c r="J306" s="264" t="s">
        <v>949</v>
      </c>
      <c r="K306" s="264" t="s">
        <v>2398</v>
      </c>
      <c r="L306" s="178" t="e">
        <f t="shared" si="25"/>
        <v>#N/A</v>
      </c>
      <c r="M306" s="178" t="e">
        <f t="shared" si="26"/>
        <v>#N/A</v>
      </c>
      <c r="N306" s="178" t="e">
        <f t="shared" si="27"/>
        <v>#N/A</v>
      </c>
    </row>
    <row r="307" spans="1:14">
      <c r="A307" s="242" t="s">
        <v>2503</v>
      </c>
      <c r="B307" s="248" t="s">
        <v>3341</v>
      </c>
      <c r="C307" s="248" t="s">
        <v>1251</v>
      </c>
      <c r="D307" s="242" t="s">
        <v>2503</v>
      </c>
      <c r="E307" s="178" t="str">
        <f t="shared" si="24"/>
        <v>A6023</v>
      </c>
      <c r="F307" s="178">
        <f t="shared" si="28"/>
        <v>0</v>
      </c>
      <c r="G307" s="178">
        <f t="shared" si="29"/>
        <v>0</v>
      </c>
      <c r="H307" s="264" t="s">
        <v>2399</v>
      </c>
      <c r="I307" s="264"/>
      <c r="J307" s="264" t="s">
        <v>952</v>
      </c>
      <c r="K307" s="264" t="s">
        <v>2399</v>
      </c>
      <c r="L307" s="178" t="e">
        <f t="shared" si="25"/>
        <v>#N/A</v>
      </c>
      <c r="M307" s="178" t="e">
        <f t="shared" si="26"/>
        <v>#N/A</v>
      </c>
      <c r="N307" s="178" t="e">
        <f t="shared" si="27"/>
        <v>#N/A</v>
      </c>
    </row>
    <row r="308" spans="1:14">
      <c r="A308" s="242" t="s">
        <v>2504</v>
      </c>
      <c r="B308" s="248" t="s">
        <v>3341</v>
      </c>
      <c r="C308" s="248" t="s">
        <v>1254</v>
      </c>
      <c r="D308" s="242" t="s">
        <v>2504</v>
      </c>
      <c r="E308" s="178" t="str">
        <f t="shared" si="24"/>
        <v>A6024</v>
      </c>
      <c r="F308" s="178">
        <f t="shared" si="28"/>
        <v>0</v>
      </c>
      <c r="G308" s="178">
        <f t="shared" si="29"/>
        <v>0</v>
      </c>
      <c r="H308" s="264" t="s">
        <v>2400</v>
      </c>
      <c r="I308" s="264"/>
      <c r="J308" s="264" t="s">
        <v>955</v>
      </c>
      <c r="K308" s="264" t="s">
        <v>2400</v>
      </c>
      <c r="L308" s="178" t="e">
        <f t="shared" si="25"/>
        <v>#N/A</v>
      </c>
      <c r="M308" s="178" t="e">
        <f t="shared" si="26"/>
        <v>#N/A</v>
      </c>
      <c r="N308" s="178" t="e">
        <f t="shared" si="27"/>
        <v>#N/A</v>
      </c>
    </row>
    <row r="309" spans="1:14">
      <c r="A309" s="242" t="s">
        <v>2505</v>
      </c>
      <c r="B309" s="248" t="s">
        <v>3341</v>
      </c>
      <c r="C309" s="248" t="s">
        <v>1257</v>
      </c>
      <c r="D309" s="242" t="s">
        <v>2505</v>
      </c>
      <c r="E309" s="178" t="str">
        <f t="shared" si="24"/>
        <v>A6025</v>
      </c>
      <c r="F309" s="178">
        <f t="shared" si="28"/>
        <v>0</v>
      </c>
      <c r="G309" s="178">
        <f t="shared" si="29"/>
        <v>0</v>
      </c>
      <c r="H309" s="264" t="s">
        <v>2401</v>
      </c>
      <c r="I309" s="264"/>
      <c r="J309" s="264" t="s">
        <v>956</v>
      </c>
      <c r="K309" s="264" t="s">
        <v>2401</v>
      </c>
      <c r="L309" s="178" t="e">
        <f t="shared" si="25"/>
        <v>#N/A</v>
      </c>
      <c r="M309" s="178" t="e">
        <f t="shared" si="26"/>
        <v>#N/A</v>
      </c>
      <c r="N309" s="178" t="e">
        <f t="shared" si="27"/>
        <v>#N/A</v>
      </c>
    </row>
    <row r="310" spans="1:14">
      <c r="A310" s="242" t="s">
        <v>2506</v>
      </c>
      <c r="B310" s="248" t="s">
        <v>3341</v>
      </c>
      <c r="C310" s="248" t="s">
        <v>3214</v>
      </c>
      <c r="D310" s="242" t="s">
        <v>2506</v>
      </c>
      <c r="E310" s="178" t="str">
        <f t="shared" si="24"/>
        <v>A6026</v>
      </c>
      <c r="F310" s="178">
        <f t="shared" si="28"/>
        <v>0</v>
      </c>
      <c r="G310" s="178">
        <f t="shared" si="29"/>
        <v>0</v>
      </c>
      <c r="H310" s="264" t="s">
        <v>2402</v>
      </c>
      <c r="I310" s="264"/>
      <c r="J310" s="264" t="s">
        <v>960</v>
      </c>
      <c r="K310" s="264" t="s">
        <v>2402</v>
      </c>
      <c r="L310" s="178" t="e">
        <f t="shared" si="25"/>
        <v>#N/A</v>
      </c>
      <c r="M310" s="178" t="e">
        <f t="shared" si="26"/>
        <v>#N/A</v>
      </c>
      <c r="N310" s="178" t="e">
        <f t="shared" si="27"/>
        <v>#N/A</v>
      </c>
    </row>
    <row r="311" spans="1:14">
      <c r="A311" s="242" t="s">
        <v>2507</v>
      </c>
      <c r="B311" s="248" t="s">
        <v>3341</v>
      </c>
      <c r="C311" s="248" t="s">
        <v>1262</v>
      </c>
      <c r="D311" s="242" t="s">
        <v>2507</v>
      </c>
      <c r="E311" s="178" t="str">
        <f t="shared" si="24"/>
        <v>A6027</v>
      </c>
      <c r="F311" s="178">
        <f t="shared" si="28"/>
        <v>0</v>
      </c>
      <c r="G311" s="178">
        <f t="shared" si="29"/>
        <v>0</v>
      </c>
      <c r="H311" s="264" t="s">
        <v>2403</v>
      </c>
      <c r="I311" s="264"/>
      <c r="J311" s="264" t="s">
        <v>963</v>
      </c>
      <c r="K311" s="264" t="s">
        <v>2403</v>
      </c>
      <c r="L311" s="178" t="str">
        <f t="shared" si="25"/>
        <v>A4006</v>
      </c>
      <c r="M311" s="178" t="str">
        <f t="shared" si="26"/>
        <v>GEA_KCB신용요약정보조회Dto</v>
      </c>
      <c r="N311" s="178">
        <f t="shared" si="27"/>
        <v>0</v>
      </c>
    </row>
    <row r="312" spans="1:14">
      <c r="A312" s="242" t="s">
        <v>2508</v>
      </c>
      <c r="B312" s="248" t="s">
        <v>3341</v>
      </c>
      <c r="C312" s="248" t="s">
        <v>1265</v>
      </c>
      <c r="D312" s="242" t="s">
        <v>2508</v>
      </c>
      <c r="E312" s="178" t="str">
        <f t="shared" si="24"/>
        <v>A6028</v>
      </c>
      <c r="F312" s="178">
        <f t="shared" si="28"/>
        <v>0</v>
      </c>
      <c r="G312" s="178">
        <f t="shared" si="29"/>
        <v>0</v>
      </c>
      <c r="H312" s="264" t="s">
        <v>2404</v>
      </c>
      <c r="I312" s="264"/>
      <c r="J312" s="264" t="s">
        <v>966</v>
      </c>
      <c r="K312" s="264" t="s">
        <v>2404</v>
      </c>
      <c r="L312" s="178" t="str">
        <f t="shared" si="25"/>
        <v>A4007</v>
      </c>
      <c r="M312" s="178" t="str">
        <f t="shared" si="26"/>
        <v>GEA_KCB신용요약정보조회Dto</v>
      </c>
      <c r="N312" s="178">
        <f t="shared" si="27"/>
        <v>0</v>
      </c>
    </row>
    <row r="313" spans="1:14">
      <c r="A313" s="242" t="s">
        <v>2509</v>
      </c>
      <c r="B313" s="248" t="s">
        <v>3341</v>
      </c>
      <c r="C313" s="248" t="s">
        <v>1268</v>
      </c>
      <c r="D313" s="242" t="s">
        <v>2509</v>
      </c>
      <c r="E313" s="178" t="str">
        <f t="shared" si="24"/>
        <v>A6029</v>
      </c>
      <c r="F313" s="178">
        <f t="shared" si="28"/>
        <v>0</v>
      </c>
      <c r="G313" s="178">
        <f t="shared" si="29"/>
        <v>0</v>
      </c>
      <c r="H313" s="264" t="s">
        <v>2405</v>
      </c>
      <c r="I313" s="264"/>
      <c r="J313" s="264" t="s">
        <v>969</v>
      </c>
      <c r="K313" s="264" t="s">
        <v>2405</v>
      </c>
      <c r="L313" s="178" t="e">
        <f t="shared" si="25"/>
        <v>#N/A</v>
      </c>
      <c r="M313" s="178" t="e">
        <f t="shared" si="26"/>
        <v>#N/A</v>
      </c>
      <c r="N313" s="178" t="e">
        <f t="shared" si="27"/>
        <v>#N/A</v>
      </c>
    </row>
    <row r="314" spans="1:14">
      <c r="A314" s="242" t="s">
        <v>2510</v>
      </c>
      <c r="B314" s="248" t="s">
        <v>3341</v>
      </c>
      <c r="C314" s="248" t="s">
        <v>3215</v>
      </c>
      <c r="D314" s="242" t="s">
        <v>2510</v>
      </c>
      <c r="E314" s="178" t="str">
        <f t="shared" si="24"/>
        <v>A6030</v>
      </c>
      <c r="F314" s="178">
        <f t="shared" si="28"/>
        <v>0</v>
      </c>
      <c r="G314" s="178">
        <f t="shared" si="29"/>
        <v>0</v>
      </c>
      <c r="H314" s="264" t="s">
        <v>2406</v>
      </c>
      <c r="I314" s="264"/>
      <c r="J314" s="264" t="s">
        <v>972</v>
      </c>
      <c r="K314" s="264" t="s">
        <v>2406</v>
      </c>
      <c r="L314" s="178" t="str">
        <f t="shared" si="25"/>
        <v>B4056</v>
      </c>
      <c r="M314" s="178" t="str">
        <f t="shared" si="26"/>
        <v>GEA_KCB신용요약정보조회Dto</v>
      </c>
      <c r="N314" s="178">
        <f t="shared" si="27"/>
        <v>0</v>
      </c>
    </row>
    <row r="315" spans="1:14">
      <c r="A315" s="242" t="s">
        <v>2511</v>
      </c>
      <c r="B315" s="248" t="s">
        <v>3341</v>
      </c>
      <c r="C315" s="248" t="s">
        <v>1273</v>
      </c>
      <c r="D315" s="242" t="s">
        <v>2511</v>
      </c>
      <c r="E315" s="178" t="str">
        <f t="shared" si="24"/>
        <v>A6031</v>
      </c>
      <c r="F315" s="178">
        <f t="shared" si="28"/>
        <v>0</v>
      </c>
      <c r="G315" s="178">
        <f t="shared" si="29"/>
        <v>0</v>
      </c>
      <c r="H315" s="263" t="s">
        <v>2407</v>
      </c>
      <c r="I315" s="263" t="s">
        <v>5453</v>
      </c>
      <c r="J315" s="263" t="s">
        <v>975</v>
      </c>
      <c r="K315" s="263" t="s">
        <v>2407</v>
      </c>
      <c r="L315" s="178" t="str">
        <f t="shared" si="25"/>
        <v>B4055</v>
      </c>
      <c r="M315" s="178" t="str">
        <f t="shared" si="26"/>
        <v>GEA_KCB신용요약정보조회Dto</v>
      </c>
      <c r="N315" s="178">
        <f t="shared" si="27"/>
        <v>1</v>
      </c>
    </row>
    <row r="316" spans="1:14">
      <c r="A316" s="242" t="s">
        <v>2512</v>
      </c>
      <c r="B316" s="248" t="s">
        <v>3341</v>
      </c>
      <c r="C316" s="248" t="s">
        <v>1276</v>
      </c>
      <c r="D316" s="242" t="s">
        <v>2512</v>
      </c>
      <c r="E316" s="178" t="str">
        <f t="shared" si="24"/>
        <v>A6032</v>
      </c>
      <c r="F316" s="178">
        <f t="shared" si="28"/>
        <v>0</v>
      </c>
      <c r="G316" s="178">
        <f t="shared" si="29"/>
        <v>0</v>
      </c>
      <c r="H316" s="263" t="s">
        <v>2408</v>
      </c>
      <c r="I316" s="263" t="s">
        <v>5453</v>
      </c>
      <c r="J316" s="263" t="s">
        <v>978</v>
      </c>
      <c r="K316" s="263" t="s">
        <v>2408</v>
      </c>
      <c r="L316" s="178" t="str">
        <f t="shared" si="25"/>
        <v>B4054</v>
      </c>
      <c r="M316" s="178" t="str">
        <f t="shared" si="26"/>
        <v>GEA_KCB신용요약정보조회Dto</v>
      </c>
      <c r="N316" s="178">
        <f t="shared" si="27"/>
        <v>1</v>
      </c>
    </row>
    <row r="317" spans="1:14">
      <c r="A317" s="242" t="s">
        <v>2513</v>
      </c>
      <c r="B317" s="248" t="s">
        <v>3341</v>
      </c>
      <c r="C317" s="248" t="s">
        <v>1279</v>
      </c>
      <c r="D317" s="242" t="s">
        <v>2513</v>
      </c>
      <c r="E317" s="178" t="str">
        <f t="shared" si="24"/>
        <v>A6033</v>
      </c>
      <c r="F317" s="178">
        <f t="shared" si="28"/>
        <v>0</v>
      </c>
      <c r="G317" s="178">
        <f t="shared" si="29"/>
        <v>0</v>
      </c>
      <c r="H317" s="263" t="s">
        <v>2409</v>
      </c>
      <c r="I317" s="263" t="s">
        <v>5453</v>
      </c>
      <c r="J317" s="263" t="s">
        <v>981</v>
      </c>
      <c r="K317" s="263" t="s">
        <v>2409</v>
      </c>
      <c r="L317" s="178" t="str">
        <f t="shared" si="25"/>
        <v>A4004</v>
      </c>
      <c r="M317" s="178" t="str">
        <f t="shared" si="26"/>
        <v>GEA_KCB신용요약정보조회Dto</v>
      </c>
      <c r="N317" s="178">
        <f t="shared" si="27"/>
        <v>1</v>
      </c>
    </row>
    <row r="318" spans="1:14">
      <c r="A318" s="242" t="s">
        <v>2514</v>
      </c>
      <c r="B318" s="248" t="s">
        <v>3341</v>
      </c>
      <c r="C318" s="248" t="s">
        <v>1282</v>
      </c>
      <c r="D318" s="242" t="s">
        <v>2514</v>
      </c>
      <c r="E318" s="178" t="str">
        <f t="shared" si="24"/>
        <v>A6034</v>
      </c>
      <c r="F318" s="178">
        <f t="shared" si="28"/>
        <v>0</v>
      </c>
      <c r="G318" s="178">
        <f t="shared" si="29"/>
        <v>0</v>
      </c>
      <c r="H318" s="263" t="s">
        <v>2410</v>
      </c>
      <c r="I318" s="263" t="s">
        <v>5453</v>
      </c>
      <c r="J318" s="263" t="s">
        <v>983</v>
      </c>
      <c r="K318" s="263" t="s">
        <v>2410</v>
      </c>
      <c r="L318" s="178" t="str">
        <f t="shared" si="25"/>
        <v>A4005</v>
      </c>
      <c r="M318" s="178" t="str">
        <f t="shared" si="26"/>
        <v>GEA_KCB신용요약정보조회Dto</v>
      </c>
      <c r="N318" s="178">
        <f t="shared" si="27"/>
        <v>1</v>
      </c>
    </row>
    <row r="319" spans="1:14">
      <c r="A319" s="242" t="s">
        <v>2515</v>
      </c>
      <c r="B319" s="248" t="s">
        <v>3341</v>
      </c>
      <c r="C319" s="248" t="s">
        <v>1285</v>
      </c>
      <c r="D319" s="242" t="s">
        <v>2515</v>
      </c>
      <c r="E319" s="178" t="str">
        <f t="shared" si="24"/>
        <v>A6035</v>
      </c>
      <c r="F319" s="178">
        <f t="shared" si="28"/>
        <v>0</v>
      </c>
      <c r="G319" s="178">
        <f t="shared" si="29"/>
        <v>0</v>
      </c>
      <c r="H319" s="264" t="s">
        <v>2411</v>
      </c>
      <c r="I319" s="264"/>
      <c r="J319" s="264" t="s">
        <v>986</v>
      </c>
      <c r="K319" s="264" t="s">
        <v>2411</v>
      </c>
      <c r="L319" s="178" t="e">
        <f t="shared" si="25"/>
        <v>#N/A</v>
      </c>
      <c r="M319" s="178" t="e">
        <f t="shared" si="26"/>
        <v>#N/A</v>
      </c>
      <c r="N319" s="178" t="e">
        <f t="shared" si="27"/>
        <v>#N/A</v>
      </c>
    </row>
    <row r="320" spans="1:14">
      <c r="A320" s="242" t="s">
        <v>2516</v>
      </c>
      <c r="B320" s="248" t="s">
        <v>3341</v>
      </c>
      <c r="C320" s="248" t="s">
        <v>1288</v>
      </c>
      <c r="D320" s="242" t="s">
        <v>2516</v>
      </c>
      <c r="E320" s="178" t="str">
        <f t="shared" si="24"/>
        <v>A6036</v>
      </c>
      <c r="F320" s="178">
        <f t="shared" si="28"/>
        <v>0</v>
      </c>
      <c r="G320" s="178">
        <f t="shared" si="29"/>
        <v>0</v>
      </c>
      <c r="H320" s="264" t="s">
        <v>2412</v>
      </c>
      <c r="I320" s="264"/>
      <c r="J320" s="264" t="s">
        <v>989</v>
      </c>
      <c r="K320" s="264" t="s">
        <v>2412</v>
      </c>
      <c r="L320" s="178" t="str">
        <f t="shared" si="25"/>
        <v>A4003</v>
      </c>
      <c r="M320" s="178" t="str">
        <f t="shared" si="26"/>
        <v>GEA_KCB신용요약정보조회Dto</v>
      </c>
      <c r="N320" s="178">
        <f t="shared" si="27"/>
        <v>0</v>
      </c>
    </row>
    <row r="321" spans="1:14">
      <c r="A321" s="242" t="s">
        <v>2517</v>
      </c>
      <c r="B321" s="248" t="s">
        <v>3341</v>
      </c>
      <c r="C321" s="248" t="s">
        <v>1291</v>
      </c>
      <c r="D321" s="242" t="s">
        <v>2517</v>
      </c>
      <c r="E321" s="178" t="str">
        <f t="shared" si="24"/>
        <v>A6037</v>
      </c>
      <c r="F321" s="178">
        <f t="shared" si="28"/>
        <v>0</v>
      </c>
      <c r="G321" s="178">
        <f t="shared" si="29"/>
        <v>0</v>
      </c>
      <c r="H321" s="264" t="s">
        <v>2413</v>
      </c>
      <c r="I321" s="264"/>
      <c r="J321" s="264" t="s">
        <v>992</v>
      </c>
      <c r="K321" s="264" t="s">
        <v>2413</v>
      </c>
      <c r="L321" s="178" t="str">
        <f t="shared" si="25"/>
        <v>A4053</v>
      </c>
      <c r="M321" s="178" t="str">
        <f t="shared" si="26"/>
        <v>GEA_KCB신용요약정보조회Dto</v>
      </c>
      <c r="N321" s="178">
        <f t="shared" si="27"/>
        <v>0</v>
      </c>
    </row>
    <row r="322" spans="1:14">
      <c r="A322" s="242" t="s">
        <v>2518</v>
      </c>
      <c r="B322" s="248" t="s">
        <v>3341</v>
      </c>
      <c r="C322" s="248" t="s">
        <v>1294</v>
      </c>
      <c r="D322" s="242" t="s">
        <v>2518</v>
      </c>
      <c r="E322" s="178" t="str">
        <f t="shared" si="24"/>
        <v>A6038</v>
      </c>
      <c r="F322" s="178">
        <f t="shared" si="28"/>
        <v>0</v>
      </c>
      <c r="G322" s="178">
        <f t="shared" si="29"/>
        <v>0</v>
      </c>
      <c r="H322" s="264" t="s">
        <v>2414</v>
      </c>
      <c r="I322" s="264"/>
      <c r="J322" s="264" t="s">
        <v>995</v>
      </c>
      <c r="K322" s="264" t="s">
        <v>2414</v>
      </c>
      <c r="L322" s="178" t="str">
        <f t="shared" si="25"/>
        <v>A4048</v>
      </c>
      <c r="M322" s="178" t="str">
        <f t="shared" si="26"/>
        <v>GEA_KCB신용요약정보조회Dto</v>
      </c>
      <c r="N322" s="178">
        <f t="shared" si="27"/>
        <v>0</v>
      </c>
    </row>
    <row r="323" spans="1:14">
      <c r="A323" s="178" t="s">
        <v>3585</v>
      </c>
      <c r="B323" s="178" t="s">
        <v>5444</v>
      </c>
      <c r="C323" s="178" t="s">
        <v>3025</v>
      </c>
      <c r="D323" s="178" t="s">
        <v>3585</v>
      </c>
      <c r="E323" s="178" t="e">
        <f t="shared" si="24"/>
        <v>#N/A</v>
      </c>
      <c r="F323" s="178" t="e">
        <f t="shared" si="28"/>
        <v>#N/A</v>
      </c>
      <c r="G323" s="178" t="e">
        <f t="shared" si="29"/>
        <v>#N/A</v>
      </c>
      <c r="H323" s="264" t="s">
        <v>2415</v>
      </c>
      <c r="I323" s="264"/>
      <c r="J323" s="264" t="s">
        <v>998</v>
      </c>
      <c r="K323" s="264" t="s">
        <v>2415</v>
      </c>
      <c r="L323" s="178" t="e">
        <f t="shared" si="25"/>
        <v>#N/A</v>
      </c>
      <c r="M323" s="178" t="e">
        <f t="shared" si="26"/>
        <v>#N/A</v>
      </c>
      <c r="N323" s="178" t="e">
        <f t="shared" si="27"/>
        <v>#N/A</v>
      </c>
    </row>
    <row r="324" spans="1:14">
      <c r="A324" s="178" t="s">
        <v>3586</v>
      </c>
      <c r="B324" s="178" t="s">
        <v>5444</v>
      </c>
      <c r="C324" s="178" t="s">
        <v>2983</v>
      </c>
      <c r="D324" s="178" t="s">
        <v>3586</v>
      </c>
      <c r="E324" s="178" t="e">
        <f t="shared" ref="E324:E387" si="30">VLOOKUP(C324,$J$5:$K$601,2,FALSE)</f>
        <v>#N/A</v>
      </c>
      <c r="F324" s="178" t="e">
        <f t="shared" si="28"/>
        <v>#N/A</v>
      </c>
      <c r="G324" s="178" t="e">
        <f t="shared" si="29"/>
        <v>#N/A</v>
      </c>
      <c r="H324" s="264" t="s">
        <v>2416</v>
      </c>
      <c r="I324" s="264"/>
      <c r="J324" s="264" t="s">
        <v>1001</v>
      </c>
      <c r="K324" s="264" t="s">
        <v>2416</v>
      </c>
      <c r="L324" s="178" t="e">
        <f t="shared" ref="L324:L387" si="31">VLOOKUP(J324,$C$3:$D$463,2,FALSE)</f>
        <v>#N/A</v>
      </c>
      <c r="M324" s="178" t="e">
        <f t="shared" ref="M324:M387" si="32">VLOOKUP(L324,$A$3:$B$463,2,FALSE)</f>
        <v>#N/A</v>
      </c>
      <c r="N324" s="178" t="e">
        <f t="shared" ref="N324:N387" si="33">IF(M324=I324,1,0)</f>
        <v>#N/A</v>
      </c>
    </row>
    <row r="325" spans="1:14">
      <c r="A325" s="178" t="s">
        <v>3587</v>
      </c>
      <c r="B325" s="178" t="s">
        <v>5444</v>
      </c>
      <c r="C325" s="178" t="s">
        <v>2984</v>
      </c>
      <c r="D325" s="178" t="s">
        <v>3587</v>
      </c>
      <c r="E325" s="178" t="e">
        <f t="shared" si="30"/>
        <v>#N/A</v>
      </c>
      <c r="F325" s="178" t="e">
        <f t="shared" si="28"/>
        <v>#N/A</v>
      </c>
      <c r="G325" s="178" t="e">
        <f t="shared" si="29"/>
        <v>#N/A</v>
      </c>
      <c r="H325" s="264" t="s">
        <v>2417</v>
      </c>
      <c r="I325" s="264"/>
      <c r="J325" s="264" t="s">
        <v>1004</v>
      </c>
      <c r="K325" s="264" t="s">
        <v>2417</v>
      </c>
      <c r="L325" s="178" t="e">
        <f t="shared" si="31"/>
        <v>#N/A</v>
      </c>
      <c r="M325" s="178" t="e">
        <f t="shared" si="32"/>
        <v>#N/A</v>
      </c>
      <c r="N325" s="178" t="e">
        <f t="shared" si="33"/>
        <v>#N/A</v>
      </c>
    </row>
    <row r="326" spans="1:14">
      <c r="A326" s="178" t="s">
        <v>3721</v>
      </c>
      <c r="B326" s="344" t="s">
        <v>5892</v>
      </c>
      <c r="C326" s="178" t="s">
        <v>5182</v>
      </c>
      <c r="D326" s="178" t="s">
        <v>3721</v>
      </c>
      <c r="E326" s="178" t="e">
        <f t="shared" si="30"/>
        <v>#N/A</v>
      </c>
      <c r="F326" s="178" t="e">
        <f t="shared" si="28"/>
        <v>#N/A</v>
      </c>
      <c r="G326" s="178" t="e">
        <f t="shared" si="29"/>
        <v>#N/A</v>
      </c>
      <c r="H326" s="264" t="s">
        <v>2418</v>
      </c>
      <c r="I326" s="264"/>
      <c r="J326" s="264" t="s">
        <v>1007</v>
      </c>
      <c r="K326" s="264" t="s">
        <v>2418</v>
      </c>
      <c r="L326" s="178" t="e">
        <f t="shared" si="31"/>
        <v>#N/A</v>
      </c>
      <c r="M326" s="178" t="e">
        <f t="shared" si="32"/>
        <v>#N/A</v>
      </c>
      <c r="N326" s="178" t="e">
        <f t="shared" si="33"/>
        <v>#N/A</v>
      </c>
    </row>
    <row r="327" spans="1:14">
      <c r="A327" s="178" t="s">
        <v>3722</v>
      </c>
      <c r="B327" s="344" t="s">
        <v>5892</v>
      </c>
      <c r="C327" s="178" t="s">
        <v>5183</v>
      </c>
      <c r="D327" s="178" t="s">
        <v>3722</v>
      </c>
      <c r="E327" s="178" t="e">
        <f t="shared" si="30"/>
        <v>#N/A</v>
      </c>
      <c r="F327" s="178" t="e">
        <f t="shared" ref="F327:F390" si="34">VLOOKUP(E327,$H$5:$I$601,2,FALSE)</f>
        <v>#N/A</v>
      </c>
      <c r="G327" s="178" t="e">
        <f t="shared" ref="G327:G390" si="35">IF(B327=F327,1,0)</f>
        <v>#N/A</v>
      </c>
      <c r="H327" s="264" t="s">
        <v>2419</v>
      </c>
      <c r="I327" s="264"/>
      <c r="J327" s="264" t="s">
        <v>1010</v>
      </c>
      <c r="K327" s="264" t="s">
        <v>2419</v>
      </c>
      <c r="L327" s="178" t="e">
        <f t="shared" si="31"/>
        <v>#N/A</v>
      </c>
      <c r="M327" s="178" t="e">
        <f t="shared" si="32"/>
        <v>#N/A</v>
      </c>
      <c r="N327" s="178" t="e">
        <f t="shared" si="33"/>
        <v>#N/A</v>
      </c>
    </row>
    <row r="328" spans="1:14">
      <c r="A328" s="178" t="s">
        <v>3723</v>
      </c>
      <c r="B328" s="344" t="s">
        <v>5892</v>
      </c>
      <c r="C328" s="178" t="s">
        <v>5184</v>
      </c>
      <c r="D328" s="178" t="s">
        <v>3723</v>
      </c>
      <c r="E328" s="178" t="e">
        <f t="shared" si="30"/>
        <v>#N/A</v>
      </c>
      <c r="F328" s="178" t="e">
        <f t="shared" si="34"/>
        <v>#N/A</v>
      </c>
      <c r="G328" s="178" t="e">
        <f t="shared" si="35"/>
        <v>#N/A</v>
      </c>
      <c r="H328" s="264" t="s">
        <v>2420</v>
      </c>
      <c r="I328" s="264"/>
      <c r="J328" s="264" t="s">
        <v>1013</v>
      </c>
      <c r="K328" s="264" t="s">
        <v>2420</v>
      </c>
      <c r="L328" s="178" t="e">
        <f t="shared" si="31"/>
        <v>#N/A</v>
      </c>
      <c r="M328" s="178" t="e">
        <f t="shared" si="32"/>
        <v>#N/A</v>
      </c>
      <c r="N328" s="178" t="e">
        <f t="shared" si="33"/>
        <v>#N/A</v>
      </c>
    </row>
    <row r="329" spans="1:14">
      <c r="A329" s="178" t="s">
        <v>3724</v>
      </c>
      <c r="B329" s="344" t="s">
        <v>5892</v>
      </c>
      <c r="C329" s="178" t="s">
        <v>5182</v>
      </c>
      <c r="D329" s="178" t="s">
        <v>3724</v>
      </c>
      <c r="E329" s="178" t="e">
        <f t="shared" si="30"/>
        <v>#N/A</v>
      </c>
      <c r="F329" s="178" t="e">
        <f t="shared" si="34"/>
        <v>#N/A</v>
      </c>
      <c r="G329" s="178" t="e">
        <f t="shared" si="35"/>
        <v>#N/A</v>
      </c>
      <c r="H329" s="263" t="s">
        <v>2421</v>
      </c>
      <c r="I329" s="263"/>
      <c r="J329" s="263" t="s">
        <v>1016</v>
      </c>
      <c r="K329" s="263" t="s">
        <v>2421</v>
      </c>
      <c r="L329" s="178" t="e">
        <f t="shared" si="31"/>
        <v>#N/A</v>
      </c>
      <c r="M329" s="178" t="e">
        <f t="shared" si="32"/>
        <v>#N/A</v>
      </c>
      <c r="N329" s="178" t="e">
        <f t="shared" si="33"/>
        <v>#N/A</v>
      </c>
    </row>
    <row r="330" spans="1:14">
      <c r="A330" s="178" t="s">
        <v>3725</v>
      </c>
      <c r="B330" s="344" t="s">
        <v>5892</v>
      </c>
      <c r="C330" s="178" t="s">
        <v>5185</v>
      </c>
      <c r="D330" s="178" t="s">
        <v>3725</v>
      </c>
      <c r="E330" s="178" t="e">
        <f t="shared" si="30"/>
        <v>#N/A</v>
      </c>
      <c r="F330" s="178" t="e">
        <f t="shared" si="34"/>
        <v>#N/A</v>
      </c>
      <c r="G330" s="178" t="e">
        <f t="shared" si="35"/>
        <v>#N/A</v>
      </c>
      <c r="H330" s="264" t="s">
        <v>2422</v>
      </c>
      <c r="I330" s="264"/>
      <c r="J330" s="264" t="s">
        <v>1019</v>
      </c>
      <c r="K330" s="264" t="s">
        <v>2422</v>
      </c>
      <c r="L330" s="178" t="e">
        <f t="shared" si="31"/>
        <v>#N/A</v>
      </c>
      <c r="M330" s="178" t="e">
        <f t="shared" si="32"/>
        <v>#N/A</v>
      </c>
      <c r="N330" s="178" t="e">
        <f t="shared" si="33"/>
        <v>#N/A</v>
      </c>
    </row>
    <row r="331" spans="1:14">
      <c r="A331" s="178" t="s">
        <v>4206</v>
      </c>
      <c r="B331" s="344" t="s">
        <v>5892</v>
      </c>
      <c r="C331" s="178" t="s">
        <v>5186</v>
      </c>
      <c r="D331" s="178" t="s">
        <v>4206</v>
      </c>
      <c r="E331" s="178" t="e">
        <f t="shared" si="30"/>
        <v>#N/A</v>
      </c>
      <c r="F331" s="178" t="e">
        <f t="shared" si="34"/>
        <v>#N/A</v>
      </c>
      <c r="G331" s="178" t="e">
        <f t="shared" si="35"/>
        <v>#N/A</v>
      </c>
      <c r="H331" s="264" t="s">
        <v>2423</v>
      </c>
      <c r="I331" s="264"/>
      <c r="J331" s="264" t="s">
        <v>1022</v>
      </c>
      <c r="K331" s="264" t="s">
        <v>2423</v>
      </c>
      <c r="L331" s="178" t="e">
        <f t="shared" si="31"/>
        <v>#N/A</v>
      </c>
      <c r="M331" s="178" t="e">
        <f t="shared" si="32"/>
        <v>#N/A</v>
      </c>
      <c r="N331" s="178" t="e">
        <f t="shared" si="33"/>
        <v>#N/A</v>
      </c>
    </row>
    <row r="332" spans="1:14">
      <c r="A332" s="178" t="s">
        <v>3726</v>
      </c>
      <c r="B332" s="344" t="s">
        <v>5892</v>
      </c>
      <c r="C332" s="178" t="s">
        <v>5187</v>
      </c>
      <c r="D332" s="178" t="s">
        <v>3726</v>
      </c>
      <c r="E332" s="178" t="e">
        <f t="shared" si="30"/>
        <v>#N/A</v>
      </c>
      <c r="F332" s="178" t="e">
        <f t="shared" si="34"/>
        <v>#N/A</v>
      </c>
      <c r="G332" s="178" t="e">
        <f t="shared" si="35"/>
        <v>#N/A</v>
      </c>
      <c r="H332" s="263" t="s">
        <v>2425</v>
      </c>
      <c r="I332" s="263" t="s">
        <v>5453</v>
      </c>
      <c r="J332" s="263" t="s">
        <v>5876</v>
      </c>
      <c r="K332" s="263" t="s">
        <v>2425</v>
      </c>
      <c r="L332" s="178" t="str">
        <f t="shared" si="31"/>
        <v>A4001</v>
      </c>
      <c r="M332" s="178" t="str">
        <f t="shared" si="32"/>
        <v>GEA_KCB신용요약정보조회Dto</v>
      </c>
      <c r="N332" s="178">
        <f t="shared" si="33"/>
        <v>1</v>
      </c>
    </row>
    <row r="333" spans="1:14">
      <c r="A333" s="178" t="s">
        <v>3727</v>
      </c>
      <c r="B333" s="344" t="s">
        <v>5892</v>
      </c>
      <c r="C333" s="178" t="s">
        <v>5188</v>
      </c>
      <c r="D333" s="178" t="s">
        <v>3727</v>
      </c>
      <c r="E333" s="178" t="e">
        <f t="shared" si="30"/>
        <v>#N/A</v>
      </c>
      <c r="F333" s="178" t="e">
        <f t="shared" si="34"/>
        <v>#N/A</v>
      </c>
      <c r="G333" s="178" t="e">
        <f t="shared" si="35"/>
        <v>#N/A</v>
      </c>
      <c r="H333" s="263" t="s">
        <v>2427</v>
      </c>
      <c r="I333" s="263" t="s">
        <v>5877</v>
      </c>
      <c r="J333" s="263" t="s">
        <v>12</v>
      </c>
      <c r="K333" s="263" t="s">
        <v>2427</v>
      </c>
      <c r="L333" s="178" t="e">
        <f t="shared" si="31"/>
        <v>#N/A</v>
      </c>
      <c r="M333" s="178" t="e">
        <f t="shared" si="32"/>
        <v>#N/A</v>
      </c>
      <c r="N333" s="178" t="e">
        <f t="shared" si="33"/>
        <v>#N/A</v>
      </c>
    </row>
    <row r="334" spans="1:14">
      <c r="A334" s="178" t="s">
        <v>3731</v>
      </c>
      <c r="B334" s="344" t="s">
        <v>5892</v>
      </c>
      <c r="C334" s="178" t="s">
        <v>5189</v>
      </c>
      <c r="D334" s="178" t="s">
        <v>3731</v>
      </c>
      <c r="E334" s="178" t="e">
        <f t="shared" si="30"/>
        <v>#N/A</v>
      </c>
      <c r="F334" s="178" t="e">
        <f t="shared" si="34"/>
        <v>#N/A</v>
      </c>
      <c r="G334" s="178" t="e">
        <f t="shared" si="35"/>
        <v>#N/A</v>
      </c>
      <c r="H334" s="264"/>
      <c r="I334" s="264"/>
      <c r="J334" s="264" t="s">
        <v>1030</v>
      </c>
      <c r="K334" s="264"/>
      <c r="L334" s="178" t="e">
        <f t="shared" si="31"/>
        <v>#N/A</v>
      </c>
      <c r="M334" s="178" t="e">
        <f t="shared" si="32"/>
        <v>#N/A</v>
      </c>
      <c r="N334" s="178" t="e">
        <f t="shared" si="33"/>
        <v>#N/A</v>
      </c>
    </row>
    <row r="335" spans="1:14">
      <c r="A335" s="178" t="s">
        <v>3732</v>
      </c>
      <c r="B335" s="439" t="s">
        <v>5444</v>
      </c>
      <c r="C335" s="178" t="s">
        <v>5445</v>
      </c>
      <c r="D335" s="178" t="s">
        <v>3732</v>
      </c>
      <c r="E335" s="178" t="str">
        <f t="shared" si="30"/>
        <v>A7017</v>
      </c>
      <c r="F335" s="178" t="str">
        <f t="shared" si="34"/>
        <v>r심사사전정보내역조회C</v>
      </c>
      <c r="G335" s="178">
        <f t="shared" si="35"/>
        <v>1</v>
      </c>
      <c r="H335" s="263" t="s">
        <v>2428</v>
      </c>
      <c r="I335" s="263" t="s">
        <v>5453</v>
      </c>
      <c r="J335" s="263" t="s">
        <v>1033</v>
      </c>
      <c r="K335" s="263" t="s">
        <v>2428</v>
      </c>
      <c r="L335" s="178" t="str">
        <f t="shared" si="31"/>
        <v>A4024</v>
      </c>
      <c r="M335" s="178" t="str">
        <f t="shared" si="32"/>
        <v>GEA_KCB신용요약정보조회Dto</v>
      </c>
      <c r="N335" s="178">
        <f t="shared" si="33"/>
        <v>1</v>
      </c>
    </row>
    <row r="336" spans="1:14">
      <c r="A336" s="178" t="s">
        <v>3733</v>
      </c>
      <c r="B336" s="439" t="s">
        <v>5444</v>
      </c>
      <c r="C336" s="178" t="s">
        <v>5446</v>
      </c>
      <c r="D336" s="178" t="s">
        <v>3733</v>
      </c>
      <c r="E336" s="178" t="str">
        <f t="shared" si="30"/>
        <v>A7018</v>
      </c>
      <c r="F336" s="178" t="str">
        <f t="shared" si="34"/>
        <v>r심사사전정보내역조회C</v>
      </c>
      <c r="G336" s="178">
        <f t="shared" si="35"/>
        <v>1</v>
      </c>
      <c r="H336" s="263" t="s">
        <v>2429</v>
      </c>
      <c r="I336" s="263" t="s">
        <v>5453</v>
      </c>
      <c r="J336" s="263" t="s">
        <v>1036</v>
      </c>
      <c r="K336" s="263" t="s">
        <v>2429</v>
      </c>
      <c r="L336" s="178" t="e">
        <f t="shared" si="31"/>
        <v>#N/A</v>
      </c>
      <c r="M336" s="178" t="e">
        <f t="shared" si="32"/>
        <v>#N/A</v>
      </c>
      <c r="N336" s="178" t="e">
        <f t="shared" si="33"/>
        <v>#N/A</v>
      </c>
    </row>
    <row r="337" spans="1:14">
      <c r="A337" s="178" t="s">
        <v>3734</v>
      </c>
      <c r="B337" s="439" t="s">
        <v>5444</v>
      </c>
      <c r="C337" s="178" t="s">
        <v>5447</v>
      </c>
      <c r="D337" s="178" t="s">
        <v>3734</v>
      </c>
      <c r="E337" s="178" t="str">
        <f t="shared" si="30"/>
        <v>A7019</v>
      </c>
      <c r="F337" s="178" t="str">
        <f t="shared" si="34"/>
        <v>r심사사전정보내역조회C</v>
      </c>
      <c r="G337" s="178">
        <f t="shared" si="35"/>
        <v>1</v>
      </c>
      <c r="H337" s="263" t="s">
        <v>2430</v>
      </c>
      <c r="I337" s="263" t="s">
        <v>5453</v>
      </c>
      <c r="J337" s="263" t="s">
        <v>1039</v>
      </c>
      <c r="K337" s="263" t="s">
        <v>2430</v>
      </c>
      <c r="L337" s="178" t="e">
        <f t="shared" si="31"/>
        <v>#N/A</v>
      </c>
      <c r="M337" s="178" t="e">
        <f t="shared" si="32"/>
        <v>#N/A</v>
      </c>
      <c r="N337" s="178" t="e">
        <f t="shared" si="33"/>
        <v>#N/A</v>
      </c>
    </row>
    <row r="338" spans="1:14">
      <c r="A338" s="178" t="s">
        <v>5442</v>
      </c>
      <c r="B338" s="440" t="s">
        <v>5142</v>
      </c>
      <c r="C338" s="178" t="s">
        <v>5449</v>
      </c>
      <c r="D338" s="178" t="s">
        <v>5442</v>
      </c>
      <c r="E338" s="178" t="str">
        <f t="shared" si="30"/>
        <v>A7020</v>
      </c>
      <c r="F338" s="178" t="str">
        <f t="shared" si="34"/>
        <v>r한국신용정보대출현금서비스DSR정보조회C</v>
      </c>
      <c r="G338" s="178">
        <f t="shared" si="35"/>
        <v>1</v>
      </c>
      <c r="H338" s="263" t="s">
        <v>2431</v>
      </c>
      <c r="I338" s="263" t="s">
        <v>5453</v>
      </c>
      <c r="J338" s="263" t="s">
        <v>1042</v>
      </c>
      <c r="K338" s="263" t="s">
        <v>2431</v>
      </c>
      <c r="L338" s="178" t="e">
        <f t="shared" si="31"/>
        <v>#N/A</v>
      </c>
      <c r="M338" s="178" t="e">
        <f t="shared" si="32"/>
        <v>#N/A</v>
      </c>
      <c r="N338" s="178" t="e">
        <f t="shared" si="33"/>
        <v>#N/A</v>
      </c>
    </row>
    <row r="339" spans="1:14">
      <c r="A339" s="178" t="s">
        <v>5443</v>
      </c>
      <c r="B339" s="440" t="s">
        <v>5142</v>
      </c>
      <c r="C339" s="178" t="s">
        <v>5450</v>
      </c>
      <c r="D339" s="178" t="s">
        <v>5443</v>
      </c>
      <c r="E339" s="178" t="str">
        <f t="shared" si="30"/>
        <v>A7021</v>
      </c>
      <c r="F339" s="178" t="str">
        <f t="shared" si="34"/>
        <v>r한국신용정보대출현금서비스DSR정보조회C</v>
      </c>
      <c r="G339" s="178">
        <f t="shared" si="35"/>
        <v>1</v>
      </c>
      <c r="H339" s="263" t="s">
        <v>2432</v>
      </c>
      <c r="I339" s="263" t="s">
        <v>5453</v>
      </c>
      <c r="J339" s="263" t="s">
        <v>1045</v>
      </c>
      <c r="K339" s="263" t="s">
        <v>2432</v>
      </c>
      <c r="L339" s="178" t="str">
        <f t="shared" si="31"/>
        <v>A4026</v>
      </c>
      <c r="M339" s="178" t="str">
        <f t="shared" si="32"/>
        <v>GEA_KCB신용요약정보조회Dto</v>
      </c>
      <c r="N339" s="178">
        <f t="shared" si="33"/>
        <v>1</v>
      </c>
    </row>
    <row r="340" spans="1:14">
      <c r="A340" s="178" t="s">
        <v>5615</v>
      </c>
      <c r="B340" s="440" t="s">
        <v>5430</v>
      </c>
      <c r="C340" s="178" t="s">
        <v>5617</v>
      </c>
      <c r="D340" s="178" t="s">
        <v>5615</v>
      </c>
      <c r="E340" s="178" t="e">
        <f t="shared" si="30"/>
        <v>#N/A</v>
      </c>
      <c r="F340" s="178" t="e">
        <f t="shared" si="34"/>
        <v>#N/A</v>
      </c>
      <c r="G340" s="178" t="e">
        <f t="shared" si="35"/>
        <v>#N/A</v>
      </c>
      <c r="H340" s="263" t="s">
        <v>2433</v>
      </c>
      <c r="I340" s="263" t="s">
        <v>5453</v>
      </c>
      <c r="J340" s="263" t="s">
        <v>1048</v>
      </c>
      <c r="K340" s="263" t="s">
        <v>2433</v>
      </c>
      <c r="L340" s="178" t="str">
        <f t="shared" si="31"/>
        <v>A4027</v>
      </c>
      <c r="M340" s="178" t="str">
        <f t="shared" si="32"/>
        <v>GEA_KCB신용요약정보조회Dto</v>
      </c>
      <c r="N340" s="178">
        <f t="shared" si="33"/>
        <v>1</v>
      </c>
    </row>
    <row r="341" spans="1:14">
      <c r="A341" s="178" t="s">
        <v>5616</v>
      </c>
      <c r="B341" s="439" t="s">
        <v>5619</v>
      </c>
      <c r="C341" s="178" t="s">
        <v>5620</v>
      </c>
      <c r="D341" s="178" t="s">
        <v>5616</v>
      </c>
      <c r="E341" s="178" t="e">
        <f t="shared" si="30"/>
        <v>#N/A</v>
      </c>
      <c r="F341" s="178" t="e">
        <f t="shared" si="34"/>
        <v>#N/A</v>
      </c>
      <c r="G341" s="178" t="e">
        <f t="shared" si="35"/>
        <v>#N/A</v>
      </c>
      <c r="H341" s="263" t="s">
        <v>2434</v>
      </c>
      <c r="I341" s="263" t="s">
        <v>5453</v>
      </c>
      <c r="J341" s="263" t="s">
        <v>1050</v>
      </c>
      <c r="K341" s="263" t="s">
        <v>2434</v>
      </c>
      <c r="L341" s="178" t="e">
        <f t="shared" si="31"/>
        <v>#N/A</v>
      </c>
      <c r="M341" s="178" t="e">
        <f t="shared" si="32"/>
        <v>#N/A</v>
      </c>
      <c r="N341" s="178" t="e">
        <f t="shared" si="33"/>
        <v>#N/A</v>
      </c>
    </row>
    <row r="342" spans="1:14">
      <c r="A342" s="178" t="s">
        <v>2161</v>
      </c>
      <c r="B342" s="439" t="s">
        <v>5619</v>
      </c>
      <c r="C342" s="178" t="s">
        <v>5621</v>
      </c>
      <c r="D342" s="178" t="s">
        <v>2161</v>
      </c>
      <c r="E342" s="178" t="e">
        <f t="shared" si="30"/>
        <v>#N/A</v>
      </c>
      <c r="F342" s="178" t="e">
        <f t="shared" si="34"/>
        <v>#N/A</v>
      </c>
      <c r="G342" s="178" t="e">
        <f t="shared" si="35"/>
        <v>#N/A</v>
      </c>
      <c r="H342" s="263" t="s">
        <v>2435</v>
      </c>
      <c r="I342" s="263" t="s">
        <v>5453</v>
      </c>
      <c r="J342" s="263" t="s">
        <v>1052</v>
      </c>
      <c r="K342" s="263" t="s">
        <v>2435</v>
      </c>
      <c r="L342" s="178" t="str">
        <f t="shared" si="31"/>
        <v>A4009</v>
      </c>
      <c r="M342" s="178" t="str">
        <f t="shared" si="32"/>
        <v>KCB신용정보조회 &gt; GEA_KCB신용요약정보조회</v>
      </c>
      <c r="N342" s="178">
        <f t="shared" si="33"/>
        <v>0</v>
      </c>
    </row>
    <row r="343" spans="1:14">
      <c r="A343" s="178" t="s">
        <v>2162</v>
      </c>
      <c r="B343" s="439" t="s">
        <v>5619</v>
      </c>
      <c r="D343" s="178" t="s">
        <v>2162</v>
      </c>
      <c r="E343" s="178" t="e">
        <f t="shared" si="30"/>
        <v>#N/A</v>
      </c>
      <c r="F343" s="178" t="e">
        <f t="shared" si="34"/>
        <v>#N/A</v>
      </c>
      <c r="G343" s="178" t="e">
        <f t="shared" si="35"/>
        <v>#N/A</v>
      </c>
      <c r="H343" s="263" t="s">
        <v>2436</v>
      </c>
      <c r="I343" s="263" t="s">
        <v>5453</v>
      </c>
      <c r="J343" s="263" t="s">
        <v>1055</v>
      </c>
      <c r="K343" s="263" t="s">
        <v>2436</v>
      </c>
      <c r="L343" s="178" t="str">
        <f t="shared" si="31"/>
        <v>A4029</v>
      </c>
      <c r="M343" s="178" t="str">
        <f t="shared" si="32"/>
        <v>GEA_KCB신용요약정보조회Dto</v>
      </c>
      <c r="N343" s="178">
        <f t="shared" si="33"/>
        <v>1</v>
      </c>
    </row>
    <row r="344" spans="1:14">
      <c r="A344" s="178" t="s">
        <v>2163</v>
      </c>
      <c r="B344" s="440" t="s">
        <v>5625</v>
      </c>
      <c r="C344" s="178" t="s">
        <v>5628</v>
      </c>
      <c r="D344" s="178" t="s">
        <v>2163</v>
      </c>
      <c r="E344" s="178" t="e">
        <f t="shared" si="30"/>
        <v>#N/A</v>
      </c>
      <c r="F344" s="178" t="e">
        <f t="shared" si="34"/>
        <v>#N/A</v>
      </c>
      <c r="G344" s="178" t="e">
        <f t="shared" si="35"/>
        <v>#N/A</v>
      </c>
      <c r="H344" s="263" t="s">
        <v>2437</v>
      </c>
      <c r="I344" s="263" t="s">
        <v>5453</v>
      </c>
      <c r="J344" s="263" t="s">
        <v>1058</v>
      </c>
      <c r="K344" s="263" t="s">
        <v>2437</v>
      </c>
      <c r="L344" s="178" t="e">
        <f t="shared" si="31"/>
        <v>#N/A</v>
      </c>
      <c r="M344" s="178" t="e">
        <f t="shared" si="32"/>
        <v>#N/A</v>
      </c>
      <c r="N344" s="178" t="e">
        <f t="shared" si="33"/>
        <v>#N/A</v>
      </c>
    </row>
    <row r="345" spans="1:14">
      <c r="A345" s="178" t="s">
        <v>2164</v>
      </c>
      <c r="B345" s="440" t="s">
        <v>5625</v>
      </c>
      <c r="C345" s="178" t="s">
        <v>5626</v>
      </c>
      <c r="D345" s="178" t="s">
        <v>2164</v>
      </c>
      <c r="E345" s="178" t="e">
        <f t="shared" si="30"/>
        <v>#N/A</v>
      </c>
      <c r="F345" s="178" t="e">
        <f t="shared" si="34"/>
        <v>#N/A</v>
      </c>
      <c r="G345" s="178" t="e">
        <f t="shared" si="35"/>
        <v>#N/A</v>
      </c>
      <c r="H345" s="263" t="s">
        <v>2438</v>
      </c>
      <c r="I345" s="263" t="s">
        <v>5453</v>
      </c>
      <c r="J345" s="263" t="s">
        <v>1061</v>
      </c>
      <c r="K345" s="263" t="s">
        <v>2438</v>
      </c>
      <c r="L345" s="178" t="str">
        <f t="shared" si="31"/>
        <v>A4023</v>
      </c>
      <c r="M345" s="178" t="str">
        <f t="shared" si="32"/>
        <v>GEA_KCB신용요약정보조회Dto</v>
      </c>
      <c r="N345" s="178">
        <f t="shared" si="33"/>
        <v>1</v>
      </c>
    </row>
    <row r="346" spans="1:14">
      <c r="A346" s="178" t="s">
        <v>2165</v>
      </c>
      <c r="B346" s="439" t="s">
        <v>5619</v>
      </c>
      <c r="C346" s="178" t="s">
        <v>5630</v>
      </c>
      <c r="D346" s="178" t="s">
        <v>2165</v>
      </c>
      <c r="E346" s="178" t="e">
        <f t="shared" si="30"/>
        <v>#N/A</v>
      </c>
      <c r="F346" s="178" t="e">
        <f t="shared" si="34"/>
        <v>#N/A</v>
      </c>
      <c r="G346" s="178" t="e">
        <f t="shared" si="35"/>
        <v>#N/A</v>
      </c>
      <c r="H346" s="263" t="s">
        <v>2439</v>
      </c>
      <c r="I346" s="263" t="s">
        <v>5453</v>
      </c>
      <c r="J346" s="263" t="s">
        <v>1064</v>
      </c>
      <c r="K346" s="263" t="s">
        <v>2439</v>
      </c>
      <c r="L346" s="178" t="str">
        <f t="shared" si="31"/>
        <v>A4021</v>
      </c>
      <c r="M346" s="178" t="str">
        <f t="shared" si="32"/>
        <v>GEA_KCB신용요약정보조회Dto</v>
      </c>
      <c r="N346" s="178">
        <f t="shared" si="33"/>
        <v>1</v>
      </c>
    </row>
    <row r="347" spans="1:14">
      <c r="A347" s="178" t="s">
        <v>2166</v>
      </c>
      <c r="B347" s="439" t="s">
        <v>5619</v>
      </c>
      <c r="C347" s="178" t="s">
        <v>5642</v>
      </c>
      <c r="D347" s="178" t="s">
        <v>2166</v>
      </c>
      <c r="E347" s="178" t="e">
        <f t="shared" si="30"/>
        <v>#N/A</v>
      </c>
      <c r="F347" s="178" t="e">
        <f t="shared" si="34"/>
        <v>#N/A</v>
      </c>
      <c r="G347" s="178" t="e">
        <f t="shared" si="35"/>
        <v>#N/A</v>
      </c>
      <c r="H347" s="263" t="s">
        <v>2440</v>
      </c>
      <c r="I347" s="263" t="s">
        <v>5453</v>
      </c>
      <c r="J347" s="263" t="s">
        <v>1067</v>
      </c>
      <c r="K347" s="263" t="s">
        <v>2440</v>
      </c>
      <c r="L347" s="178" t="str">
        <f t="shared" si="31"/>
        <v>A4022</v>
      </c>
      <c r="M347" s="178" t="str">
        <f t="shared" si="32"/>
        <v>GEA_KCB신용요약정보조회Dto</v>
      </c>
      <c r="N347" s="178">
        <f t="shared" si="33"/>
        <v>1</v>
      </c>
    </row>
    <row r="348" spans="1:14">
      <c r="A348" s="178" t="s">
        <v>2167</v>
      </c>
      <c r="B348" s="439" t="s">
        <v>5619</v>
      </c>
      <c r="C348" s="178" t="s">
        <v>5643</v>
      </c>
      <c r="D348" s="178" t="s">
        <v>2167</v>
      </c>
      <c r="E348" s="178" t="e">
        <f t="shared" si="30"/>
        <v>#N/A</v>
      </c>
      <c r="F348" s="178" t="e">
        <f t="shared" si="34"/>
        <v>#N/A</v>
      </c>
      <c r="G348" s="178" t="e">
        <f t="shared" si="35"/>
        <v>#N/A</v>
      </c>
      <c r="H348" s="263" t="s">
        <v>2520</v>
      </c>
      <c r="I348" s="263" t="s">
        <v>5878</v>
      </c>
      <c r="J348" s="263" t="s">
        <v>5874</v>
      </c>
      <c r="K348" s="263" t="s">
        <v>2520</v>
      </c>
      <c r="L348" s="178" t="str">
        <f t="shared" si="31"/>
        <v>A3065</v>
      </c>
      <c r="M348" s="178" t="str">
        <f t="shared" si="32"/>
        <v>GEA_NICE동시대출건수조회Dto</v>
      </c>
      <c r="N348" s="178">
        <f t="shared" si="33"/>
        <v>0</v>
      </c>
    </row>
    <row r="349" spans="1:14">
      <c r="A349" s="178" t="s">
        <v>2168</v>
      </c>
      <c r="B349" s="439" t="s">
        <v>5619</v>
      </c>
      <c r="C349" s="178" t="s">
        <v>5644</v>
      </c>
      <c r="D349" s="178" t="s">
        <v>2168</v>
      </c>
      <c r="E349" s="178" t="e">
        <f t="shared" si="30"/>
        <v>#N/A</v>
      </c>
      <c r="F349" s="178" t="e">
        <f t="shared" si="34"/>
        <v>#N/A</v>
      </c>
      <c r="G349" s="178" t="e">
        <f t="shared" si="35"/>
        <v>#N/A</v>
      </c>
      <c r="H349" s="239" t="s">
        <v>3422</v>
      </c>
      <c r="I349" s="263" t="s">
        <v>5453</v>
      </c>
      <c r="J349" s="344" t="s">
        <v>3458</v>
      </c>
      <c r="K349" s="239" t="s">
        <v>3422</v>
      </c>
      <c r="L349" s="178" t="str">
        <f t="shared" si="31"/>
        <v>A4030</v>
      </c>
      <c r="M349" s="178" t="str">
        <f t="shared" si="32"/>
        <v>GEA_KCB신용요약정보조회Dto</v>
      </c>
      <c r="N349" s="178">
        <f t="shared" si="33"/>
        <v>1</v>
      </c>
    </row>
    <row r="350" spans="1:14">
      <c r="A350" s="178" t="s">
        <v>2169</v>
      </c>
      <c r="B350" s="439" t="s">
        <v>5619</v>
      </c>
      <c r="C350" s="178" t="s">
        <v>5645</v>
      </c>
      <c r="D350" s="178" t="s">
        <v>2169</v>
      </c>
      <c r="E350" s="178" t="e">
        <f t="shared" si="30"/>
        <v>#N/A</v>
      </c>
      <c r="F350" s="178" t="e">
        <f t="shared" si="34"/>
        <v>#N/A</v>
      </c>
      <c r="G350" s="178" t="e">
        <f t="shared" si="35"/>
        <v>#N/A</v>
      </c>
      <c r="H350" s="239" t="s">
        <v>3423</v>
      </c>
      <c r="I350" s="263" t="s">
        <v>5453</v>
      </c>
      <c r="J350" s="344" t="s">
        <v>3525</v>
      </c>
      <c r="K350" s="239" t="s">
        <v>3423</v>
      </c>
      <c r="L350" s="178" t="str">
        <f t="shared" si="31"/>
        <v>A4031</v>
      </c>
      <c r="M350" s="178" t="str">
        <f t="shared" si="32"/>
        <v>GEA_KCB신용요약정보조회Dto</v>
      </c>
      <c r="N350" s="178">
        <f t="shared" si="33"/>
        <v>1</v>
      </c>
    </row>
    <row r="351" spans="1:14">
      <c r="A351" s="178" t="s">
        <v>2170</v>
      </c>
      <c r="B351" s="439" t="s">
        <v>5619</v>
      </c>
      <c r="C351" s="178" t="s">
        <v>5646</v>
      </c>
      <c r="D351" s="178" t="s">
        <v>2170</v>
      </c>
      <c r="E351" s="178" t="e">
        <f t="shared" si="30"/>
        <v>#N/A</v>
      </c>
      <c r="F351" s="178" t="e">
        <f t="shared" si="34"/>
        <v>#N/A</v>
      </c>
      <c r="G351" s="178" t="e">
        <f t="shared" si="35"/>
        <v>#N/A</v>
      </c>
      <c r="H351" s="239" t="s">
        <v>3424</v>
      </c>
      <c r="I351" s="263" t="s">
        <v>5453</v>
      </c>
      <c r="J351" s="344" t="s">
        <v>3457</v>
      </c>
      <c r="K351" s="239" t="s">
        <v>3424</v>
      </c>
      <c r="L351" s="178" t="str">
        <f t="shared" si="31"/>
        <v>A4032</v>
      </c>
      <c r="M351" s="178" t="str">
        <f t="shared" si="32"/>
        <v>GEA_KCB신용요약정보조회Dto</v>
      </c>
      <c r="N351" s="178">
        <f t="shared" si="33"/>
        <v>1</v>
      </c>
    </row>
    <row r="352" spans="1:14">
      <c r="A352" s="178" t="s">
        <v>2171</v>
      </c>
      <c r="B352" s="439" t="s">
        <v>5619</v>
      </c>
      <c r="C352" s="178" t="s">
        <v>5647</v>
      </c>
      <c r="D352" s="178" t="s">
        <v>2171</v>
      </c>
      <c r="E352" s="178" t="e">
        <f t="shared" si="30"/>
        <v>#N/A</v>
      </c>
      <c r="F352" s="178" t="e">
        <f t="shared" si="34"/>
        <v>#N/A</v>
      </c>
      <c r="G352" s="178" t="e">
        <f t="shared" si="35"/>
        <v>#N/A</v>
      </c>
      <c r="H352" s="239" t="s">
        <v>3462</v>
      </c>
      <c r="I352" s="263" t="s">
        <v>5453</v>
      </c>
      <c r="J352" s="344" t="s">
        <v>3473</v>
      </c>
      <c r="K352" s="239" t="s">
        <v>3462</v>
      </c>
      <c r="L352" s="178" t="e">
        <f t="shared" si="31"/>
        <v>#N/A</v>
      </c>
      <c r="M352" s="178" t="e">
        <f t="shared" si="32"/>
        <v>#N/A</v>
      </c>
      <c r="N352" s="178" t="e">
        <f t="shared" si="33"/>
        <v>#N/A</v>
      </c>
    </row>
    <row r="353" spans="1:14">
      <c r="A353" s="178" t="s">
        <v>2172</v>
      </c>
      <c r="B353" s="439" t="s">
        <v>5619</v>
      </c>
      <c r="C353" s="178" t="s">
        <v>5648</v>
      </c>
      <c r="D353" s="178" t="s">
        <v>2172</v>
      </c>
      <c r="E353" s="178" t="e">
        <f t="shared" si="30"/>
        <v>#N/A</v>
      </c>
      <c r="F353" s="178" t="e">
        <f t="shared" si="34"/>
        <v>#N/A</v>
      </c>
      <c r="G353" s="178" t="e">
        <f t="shared" si="35"/>
        <v>#N/A</v>
      </c>
      <c r="H353" s="239" t="s">
        <v>3463</v>
      </c>
      <c r="I353" s="263" t="s">
        <v>5453</v>
      </c>
      <c r="J353" s="344" t="s">
        <v>3466</v>
      </c>
      <c r="K353" s="239" t="s">
        <v>3463</v>
      </c>
      <c r="L353" s="178" t="str">
        <f t="shared" si="31"/>
        <v>A4019</v>
      </c>
      <c r="M353" s="178" t="str">
        <f t="shared" si="32"/>
        <v>GEA_KCB신용요약정보조회Dto</v>
      </c>
      <c r="N353" s="178">
        <f t="shared" si="33"/>
        <v>1</v>
      </c>
    </row>
    <row r="354" spans="1:14">
      <c r="A354" s="178" t="s">
        <v>2173</v>
      </c>
      <c r="B354" s="439" t="s">
        <v>5619</v>
      </c>
      <c r="C354" s="178" t="s">
        <v>5649</v>
      </c>
      <c r="D354" s="178" t="s">
        <v>2173</v>
      </c>
      <c r="E354" s="178" t="e">
        <f t="shared" si="30"/>
        <v>#N/A</v>
      </c>
      <c r="F354" s="178" t="e">
        <f t="shared" si="34"/>
        <v>#N/A</v>
      </c>
      <c r="G354" s="178" t="e">
        <f t="shared" si="35"/>
        <v>#N/A</v>
      </c>
      <c r="H354" s="320" t="s">
        <v>5276</v>
      </c>
      <c r="I354" s="263" t="s">
        <v>5453</v>
      </c>
      <c r="J354" s="263" t="s">
        <v>1055</v>
      </c>
      <c r="K354" s="320" t="s">
        <v>5276</v>
      </c>
      <c r="L354" s="178" t="str">
        <f t="shared" si="31"/>
        <v>A4029</v>
      </c>
      <c r="M354" s="178" t="str">
        <f t="shared" si="32"/>
        <v>GEA_KCB신용요약정보조회Dto</v>
      </c>
      <c r="N354" s="178">
        <f t="shared" si="33"/>
        <v>1</v>
      </c>
    </row>
    <row r="355" spans="1:14">
      <c r="A355" s="178" t="s">
        <v>2174</v>
      </c>
      <c r="B355" s="439" t="s">
        <v>5619</v>
      </c>
      <c r="C355" s="178" t="s">
        <v>5650</v>
      </c>
      <c r="D355" s="178" t="s">
        <v>2174</v>
      </c>
      <c r="E355" s="178" t="e">
        <f t="shared" si="30"/>
        <v>#N/A</v>
      </c>
      <c r="F355" s="178" t="e">
        <f t="shared" si="34"/>
        <v>#N/A</v>
      </c>
      <c r="G355" s="178" t="e">
        <f t="shared" si="35"/>
        <v>#N/A</v>
      </c>
      <c r="H355" s="320" t="s">
        <v>5405</v>
      </c>
      <c r="I355" s="263" t="s">
        <v>5453</v>
      </c>
      <c r="J355" s="263" t="s">
        <v>1055</v>
      </c>
      <c r="K355" s="320" t="s">
        <v>5405</v>
      </c>
      <c r="L355" s="178" t="str">
        <f t="shared" si="31"/>
        <v>A4029</v>
      </c>
      <c r="M355" s="178" t="str">
        <f t="shared" si="32"/>
        <v>GEA_KCB신용요약정보조회Dto</v>
      </c>
      <c r="N355" s="178">
        <f t="shared" si="33"/>
        <v>1</v>
      </c>
    </row>
    <row r="356" spans="1:14">
      <c r="A356" s="178" t="s">
        <v>2175</v>
      </c>
      <c r="B356" s="439" t="s">
        <v>5619</v>
      </c>
      <c r="C356" s="178" t="s">
        <v>5651</v>
      </c>
      <c r="D356" s="178" t="s">
        <v>2175</v>
      </c>
      <c r="E356" s="178" t="e">
        <f t="shared" si="30"/>
        <v>#N/A</v>
      </c>
      <c r="F356" s="178" t="e">
        <f t="shared" si="34"/>
        <v>#N/A</v>
      </c>
      <c r="G356" s="178" t="e">
        <f t="shared" si="35"/>
        <v>#N/A</v>
      </c>
      <c r="H356" s="320" t="s">
        <v>3676</v>
      </c>
      <c r="I356" s="263" t="s">
        <v>5453</v>
      </c>
      <c r="J356" s="263" t="s">
        <v>1055</v>
      </c>
      <c r="K356" s="320" t="s">
        <v>3676</v>
      </c>
      <c r="L356" s="178" t="str">
        <f t="shared" si="31"/>
        <v>A4029</v>
      </c>
      <c r="M356" s="178" t="str">
        <f t="shared" si="32"/>
        <v>GEA_KCB신용요약정보조회Dto</v>
      </c>
      <c r="N356" s="178">
        <f t="shared" si="33"/>
        <v>1</v>
      </c>
    </row>
    <row r="357" spans="1:14">
      <c r="A357" s="178" t="s">
        <v>2176</v>
      </c>
      <c r="B357" s="439" t="s">
        <v>5619</v>
      </c>
      <c r="C357" s="178" t="s">
        <v>5652</v>
      </c>
      <c r="D357" s="178" t="s">
        <v>2176</v>
      </c>
      <c r="E357" s="178" t="e">
        <f t="shared" si="30"/>
        <v>#N/A</v>
      </c>
      <c r="F357" s="178" t="e">
        <f t="shared" si="34"/>
        <v>#N/A</v>
      </c>
      <c r="G357" s="178" t="e">
        <f t="shared" si="35"/>
        <v>#N/A</v>
      </c>
      <c r="H357" s="320" t="s">
        <v>3677</v>
      </c>
      <c r="I357" s="263" t="s">
        <v>5453</v>
      </c>
      <c r="J357" s="263" t="s">
        <v>1055</v>
      </c>
      <c r="K357" s="320" t="s">
        <v>3677</v>
      </c>
      <c r="L357" s="178" t="str">
        <f t="shared" si="31"/>
        <v>A4029</v>
      </c>
      <c r="M357" s="178" t="str">
        <f t="shared" si="32"/>
        <v>GEA_KCB신용요약정보조회Dto</v>
      </c>
      <c r="N357" s="178">
        <f t="shared" si="33"/>
        <v>1</v>
      </c>
    </row>
    <row r="358" spans="1:14">
      <c r="A358" s="178" t="s">
        <v>3771</v>
      </c>
      <c r="B358" s="439" t="s">
        <v>5141</v>
      </c>
      <c r="C358" s="178" t="s">
        <v>5653</v>
      </c>
      <c r="D358" s="178" t="s">
        <v>3771</v>
      </c>
      <c r="E358" s="178" t="e">
        <f t="shared" si="30"/>
        <v>#N/A</v>
      </c>
      <c r="F358" s="178" t="e">
        <f t="shared" si="34"/>
        <v>#N/A</v>
      </c>
      <c r="G358" s="178" t="e">
        <f t="shared" si="35"/>
        <v>#N/A</v>
      </c>
      <c r="H358" s="263" t="s">
        <v>4927</v>
      </c>
      <c r="I358" s="263" t="s">
        <v>5453</v>
      </c>
      <c r="J358" s="263" t="s">
        <v>5469</v>
      </c>
      <c r="K358" s="263" t="s">
        <v>4927</v>
      </c>
      <c r="L358" s="178" t="str">
        <f t="shared" si="31"/>
        <v>A4028</v>
      </c>
      <c r="M358" s="178" t="str">
        <f t="shared" si="32"/>
        <v>GEA_KCB신용요약정보조회Dto</v>
      </c>
      <c r="N358" s="178">
        <f t="shared" si="33"/>
        <v>1</v>
      </c>
    </row>
    <row r="359" spans="1:14">
      <c r="A359" s="178" t="s">
        <v>3772</v>
      </c>
      <c r="B359" s="439" t="s">
        <v>5141</v>
      </c>
      <c r="C359" s="178" t="s">
        <v>5654</v>
      </c>
      <c r="D359" s="178" t="s">
        <v>3772</v>
      </c>
      <c r="E359" s="178" t="e">
        <f t="shared" si="30"/>
        <v>#N/A</v>
      </c>
      <c r="F359" s="178" t="e">
        <f t="shared" si="34"/>
        <v>#N/A</v>
      </c>
      <c r="G359" s="178" t="e">
        <f t="shared" si="35"/>
        <v>#N/A</v>
      </c>
      <c r="H359" s="263" t="s">
        <v>3923</v>
      </c>
      <c r="I359" s="263" t="s">
        <v>5453</v>
      </c>
      <c r="J359" s="263" t="s">
        <v>3924</v>
      </c>
      <c r="K359" s="263" t="s">
        <v>3923</v>
      </c>
      <c r="L359" s="178" t="str">
        <f t="shared" si="31"/>
        <v>A4033</v>
      </c>
      <c r="M359" s="178" t="str">
        <f t="shared" si="32"/>
        <v>GEA_KCB신용요약정보조회Dto</v>
      </c>
      <c r="N359" s="178">
        <f t="shared" si="33"/>
        <v>1</v>
      </c>
    </row>
    <row r="360" spans="1:14">
      <c r="A360" s="178" t="s">
        <v>3773</v>
      </c>
      <c r="B360" s="439" t="s">
        <v>5141</v>
      </c>
      <c r="C360" s="178" t="s">
        <v>5655</v>
      </c>
      <c r="D360" s="178" t="s">
        <v>3773</v>
      </c>
      <c r="E360" s="178" t="e">
        <f t="shared" si="30"/>
        <v>#N/A</v>
      </c>
      <c r="F360" s="178" t="e">
        <f t="shared" si="34"/>
        <v>#N/A</v>
      </c>
      <c r="G360" s="178" t="e">
        <f t="shared" si="35"/>
        <v>#N/A</v>
      </c>
      <c r="H360" s="320" t="s">
        <v>3925</v>
      </c>
      <c r="I360" s="263" t="s">
        <v>5453</v>
      </c>
      <c r="J360" s="263" t="s">
        <v>1055</v>
      </c>
      <c r="K360" s="320" t="s">
        <v>3925</v>
      </c>
      <c r="L360" s="178" t="str">
        <f t="shared" si="31"/>
        <v>A4029</v>
      </c>
      <c r="M360" s="178" t="str">
        <f t="shared" si="32"/>
        <v>GEA_KCB신용요약정보조회Dto</v>
      </c>
      <c r="N360" s="178">
        <f t="shared" si="33"/>
        <v>1</v>
      </c>
    </row>
    <row r="361" spans="1:14">
      <c r="A361" s="178" t="s">
        <v>3774</v>
      </c>
      <c r="B361" s="439" t="s">
        <v>5141</v>
      </c>
      <c r="C361" s="178" t="s">
        <v>5656</v>
      </c>
      <c r="D361" s="178" t="s">
        <v>3774</v>
      </c>
      <c r="E361" s="178" t="e">
        <f t="shared" si="30"/>
        <v>#N/A</v>
      </c>
      <c r="F361" s="178" t="e">
        <f t="shared" si="34"/>
        <v>#N/A</v>
      </c>
      <c r="G361" s="178" t="e">
        <f t="shared" si="35"/>
        <v>#N/A</v>
      </c>
      <c r="H361" s="320" t="s">
        <v>3927</v>
      </c>
      <c r="I361" s="263" t="s">
        <v>5453</v>
      </c>
      <c r="J361" s="263" t="s">
        <v>1055</v>
      </c>
      <c r="K361" s="320" t="s">
        <v>3927</v>
      </c>
      <c r="L361" s="178" t="str">
        <f t="shared" si="31"/>
        <v>A4029</v>
      </c>
      <c r="M361" s="178" t="str">
        <f t="shared" si="32"/>
        <v>GEA_KCB신용요약정보조회Dto</v>
      </c>
      <c r="N361" s="178">
        <f t="shared" si="33"/>
        <v>1</v>
      </c>
    </row>
    <row r="362" spans="1:14">
      <c r="A362" s="178" t="s">
        <v>3775</v>
      </c>
      <c r="B362" s="439" t="s">
        <v>5141</v>
      </c>
      <c r="C362" s="178" t="s">
        <v>5657</v>
      </c>
      <c r="D362" s="178" t="s">
        <v>3775</v>
      </c>
      <c r="E362" s="178" t="e">
        <f t="shared" si="30"/>
        <v>#N/A</v>
      </c>
      <c r="F362" s="178" t="e">
        <f t="shared" si="34"/>
        <v>#N/A</v>
      </c>
      <c r="G362" s="178" t="e">
        <f t="shared" si="35"/>
        <v>#N/A</v>
      </c>
      <c r="H362" s="320" t="s">
        <v>3929</v>
      </c>
      <c r="I362" s="263" t="s">
        <v>5453</v>
      </c>
      <c r="J362" s="263" t="s">
        <v>1055</v>
      </c>
      <c r="K362" s="320" t="s">
        <v>3929</v>
      </c>
      <c r="L362" s="178" t="str">
        <f t="shared" si="31"/>
        <v>A4029</v>
      </c>
      <c r="M362" s="178" t="str">
        <f t="shared" si="32"/>
        <v>GEA_KCB신용요약정보조회Dto</v>
      </c>
      <c r="N362" s="178">
        <f t="shared" si="33"/>
        <v>1</v>
      </c>
    </row>
    <row r="363" spans="1:14">
      <c r="A363" s="178" t="s">
        <v>3776</v>
      </c>
      <c r="B363" s="439" t="s">
        <v>5141</v>
      </c>
      <c r="C363" s="178" t="s">
        <v>5658</v>
      </c>
      <c r="D363" s="178" t="s">
        <v>3776</v>
      </c>
      <c r="E363" s="178" t="e">
        <f t="shared" si="30"/>
        <v>#N/A</v>
      </c>
      <c r="F363" s="178" t="e">
        <f t="shared" si="34"/>
        <v>#N/A</v>
      </c>
      <c r="G363" s="178" t="e">
        <f t="shared" si="35"/>
        <v>#N/A</v>
      </c>
      <c r="H363" s="320" t="s">
        <v>3931</v>
      </c>
      <c r="I363" s="263" t="s">
        <v>5453</v>
      </c>
      <c r="J363" s="263" t="s">
        <v>1055</v>
      </c>
      <c r="K363" s="320" t="s">
        <v>3931</v>
      </c>
      <c r="L363" s="178" t="str">
        <f t="shared" si="31"/>
        <v>A4029</v>
      </c>
      <c r="M363" s="178" t="str">
        <f t="shared" si="32"/>
        <v>GEA_KCB신용요약정보조회Dto</v>
      </c>
      <c r="N363" s="178">
        <f t="shared" si="33"/>
        <v>1</v>
      </c>
    </row>
    <row r="364" spans="1:14">
      <c r="A364" s="178" t="s">
        <v>3777</v>
      </c>
      <c r="B364" s="439" t="s">
        <v>5141</v>
      </c>
      <c r="C364" s="178" t="s">
        <v>5659</v>
      </c>
      <c r="D364" s="178" t="s">
        <v>3777</v>
      </c>
      <c r="E364" s="178" t="e">
        <f t="shared" si="30"/>
        <v>#N/A</v>
      </c>
      <c r="F364" s="178" t="e">
        <f t="shared" si="34"/>
        <v>#N/A</v>
      </c>
      <c r="G364" s="178" t="e">
        <f t="shared" si="35"/>
        <v>#N/A</v>
      </c>
      <c r="H364" s="320" t="s">
        <v>3933</v>
      </c>
      <c r="I364" s="263" t="s">
        <v>5453</v>
      </c>
      <c r="J364" s="263" t="s">
        <v>1055</v>
      </c>
      <c r="K364" s="320" t="s">
        <v>3933</v>
      </c>
      <c r="L364" s="178" t="str">
        <f t="shared" si="31"/>
        <v>A4029</v>
      </c>
      <c r="M364" s="178" t="str">
        <f t="shared" si="32"/>
        <v>GEA_KCB신용요약정보조회Dto</v>
      </c>
      <c r="N364" s="178">
        <f t="shared" si="33"/>
        <v>1</v>
      </c>
    </row>
    <row r="365" spans="1:14">
      <c r="A365" s="178" t="s">
        <v>3778</v>
      </c>
      <c r="B365" s="439" t="s">
        <v>5141</v>
      </c>
      <c r="C365" s="178" t="s">
        <v>5660</v>
      </c>
      <c r="D365" s="178" t="s">
        <v>3778</v>
      </c>
      <c r="E365" s="178" t="e">
        <f t="shared" si="30"/>
        <v>#N/A</v>
      </c>
      <c r="F365" s="178" t="e">
        <f t="shared" si="34"/>
        <v>#N/A</v>
      </c>
      <c r="G365" s="178" t="e">
        <f t="shared" si="35"/>
        <v>#N/A</v>
      </c>
      <c r="H365" s="339" t="s">
        <v>3935</v>
      </c>
      <c r="I365" s="263" t="s">
        <v>5453</v>
      </c>
      <c r="J365" s="263" t="s">
        <v>1055</v>
      </c>
      <c r="K365" s="339" t="s">
        <v>3935</v>
      </c>
      <c r="L365" s="178" t="str">
        <f t="shared" si="31"/>
        <v>A4029</v>
      </c>
      <c r="M365" s="178" t="str">
        <f t="shared" si="32"/>
        <v>GEA_KCB신용요약정보조회Dto</v>
      </c>
      <c r="N365" s="178">
        <f t="shared" si="33"/>
        <v>1</v>
      </c>
    </row>
    <row r="366" spans="1:14">
      <c r="A366" s="178" t="s">
        <v>3779</v>
      </c>
      <c r="B366" s="439" t="s">
        <v>5141</v>
      </c>
      <c r="C366" s="178" t="s">
        <v>5661</v>
      </c>
      <c r="D366" s="178" t="s">
        <v>3779</v>
      </c>
      <c r="E366" s="178" t="e">
        <f t="shared" si="30"/>
        <v>#N/A</v>
      </c>
      <c r="F366" s="178" t="e">
        <f t="shared" si="34"/>
        <v>#N/A</v>
      </c>
      <c r="G366" s="178" t="e">
        <f t="shared" si="35"/>
        <v>#N/A</v>
      </c>
      <c r="H366" s="263" t="s">
        <v>3937</v>
      </c>
      <c r="I366" s="263" t="s">
        <v>5453</v>
      </c>
      <c r="J366" s="263" t="s">
        <v>1055</v>
      </c>
      <c r="K366" s="263" t="s">
        <v>3937</v>
      </c>
      <c r="L366" s="178" t="str">
        <f t="shared" si="31"/>
        <v>A4029</v>
      </c>
      <c r="M366" s="178" t="str">
        <f t="shared" si="32"/>
        <v>GEA_KCB신용요약정보조회Dto</v>
      </c>
      <c r="N366" s="178">
        <f t="shared" si="33"/>
        <v>1</v>
      </c>
    </row>
    <row r="367" spans="1:14">
      <c r="A367" s="178" t="s">
        <v>3780</v>
      </c>
      <c r="B367" s="439" t="s">
        <v>5141</v>
      </c>
      <c r="C367" s="178" t="s">
        <v>5662</v>
      </c>
      <c r="D367" s="178" t="s">
        <v>3780</v>
      </c>
      <c r="E367" s="178" t="e">
        <f t="shared" si="30"/>
        <v>#N/A</v>
      </c>
      <c r="F367" s="178" t="e">
        <f t="shared" si="34"/>
        <v>#N/A</v>
      </c>
      <c r="G367" s="178" t="e">
        <f t="shared" si="35"/>
        <v>#N/A</v>
      </c>
      <c r="H367" s="263" t="s">
        <v>5406</v>
      </c>
      <c r="I367" s="263" t="s">
        <v>5453</v>
      </c>
      <c r="J367" s="263" t="s">
        <v>1055</v>
      </c>
      <c r="K367" s="263" t="s">
        <v>5406</v>
      </c>
      <c r="L367" s="178" t="str">
        <f t="shared" si="31"/>
        <v>A4029</v>
      </c>
      <c r="M367" s="178" t="str">
        <f t="shared" si="32"/>
        <v>GEA_KCB신용요약정보조회Dto</v>
      </c>
      <c r="N367" s="178">
        <f t="shared" si="33"/>
        <v>1</v>
      </c>
    </row>
    <row r="368" spans="1:14">
      <c r="A368" s="178" t="s">
        <v>3781</v>
      </c>
      <c r="B368" s="439" t="s">
        <v>5141</v>
      </c>
      <c r="C368" s="178" t="s">
        <v>5663</v>
      </c>
      <c r="D368" s="178" t="s">
        <v>3781</v>
      </c>
      <c r="E368" s="178" t="e">
        <f t="shared" si="30"/>
        <v>#N/A</v>
      </c>
      <c r="F368" s="178" t="e">
        <f t="shared" si="34"/>
        <v>#N/A</v>
      </c>
      <c r="G368" s="178" t="e">
        <f t="shared" si="35"/>
        <v>#N/A</v>
      </c>
      <c r="H368" s="263" t="s">
        <v>5820</v>
      </c>
      <c r="I368" s="263" t="s">
        <v>5453</v>
      </c>
      <c r="J368" s="178" t="s">
        <v>5825</v>
      </c>
      <c r="K368" s="263" t="s">
        <v>5820</v>
      </c>
      <c r="L368" s="178" t="e">
        <f t="shared" si="31"/>
        <v>#N/A</v>
      </c>
      <c r="M368" s="178" t="e">
        <f t="shared" si="32"/>
        <v>#N/A</v>
      </c>
      <c r="N368" s="178" t="e">
        <f t="shared" si="33"/>
        <v>#N/A</v>
      </c>
    </row>
    <row r="369" spans="1:14">
      <c r="A369" s="178" t="s">
        <v>3782</v>
      </c>
      <c r="B369" s="439" t="s">
        <v>5141</v>
      </c>
      <c r="C369" s="178" t="s">
        <v>5664</v>
      </c>
      <c r="D369" s="178" t="s">
        <v>3782</v>
      </c>
      <c r="E369" s="178" t="e">
        <f t="shared" si="30"/>
        <v>#N/A</v>
      </c>
      <c r="F369" s="178" t="e">
        <f t="shared" si="34"/>
        <v>#N/A</v>
      </c>
      <c r="G369" s="178" t="e">
        <f t="shared" si="35"/>
        <v>#N/A</v>
      </c>
      <c r="H369" s="263" t="s">
        <v>5821</v>
      </c>
      <c r="I369" s="263" t="s">
        <v>5453</v>
      </c>
      <c r="J369" s="178" t="s">
        <v>5487</v>
      </c>
      <c r="K369" s="263" t="s">
        <v>5821</v>
      </c>
      <c r="L369" s="178" t="str">
        <f t="shared" si="31"/>
        <v>A4058</v>
      </c>
      <c r="M369" s="178" t="str">
        <f t="shared" si="32"/>
        <v>GEA_KCB신용요약정보조회Dto</v>
      </c>
      <c r="N369" s="178">
        <f t="shared" si="33"/>
        <v>1</v>
      </c>
    </row>
    <row r="370" spans="1:14">
      <c r="A370" s="359" t="s">
        <v>3783</v>
      </c>
      <c r="B370" s="178" t="s">
        <v>5613</v>
      </c>
      <c r="C370" s="178" t="s">
        <v>5515</v>
      </c>
      <c r="D370" s="359" t="s">
        <v>3783</v>
      </c>
      <c r="E370" s="178" t="str">
        <f t="shared" si="30"/>
        <v>B3001</v>
      </c>
      <c r="F370" s="178" t="str">
        <f t="shared" si="34"/>
        <v>GEA_NICE신용요약정보조회Dto</v>
      </c>
      <c r="G370" s="178">
        <f t="shared" si="35"/>
        <v>1</v>
      </c>
      <c r="H370" s="263" t="s">
        <v>5822</v>
      </c>
      <c r="I370" s="263" t="s">
        <v>5453</v>
      </c>
      <c r="J370" s="178" t="s">
        <v>5488</v>
      </c>
      <c r="K370" s="263" t="s">
        <v>5822</v>
      </c>
      <c r="L370" s="178" t="str">
        <f t="shared" si="31"/>
        <v>A4059</v>
      </c>
      <c r="M370" s="178" t="str">
        <f t="shared" si="32"/>
        <v>GEA_KCB신용요약정보조회Dto</v>
      </c>
      <c r="N370" s="178">
        <f t="shared" si="33"/>
        <v>1</v>
      </c>
    </row>
    <row r="371" spans="1:14">
      <c r="A371" s="359" t="s">
        <v>3784</v>
      </c>
      <c r="B371" s="178" t="s">
        <v>5613</v>
      </c>
      <c r="C371" s="178" t="s">
        <v>5516</v>
      </c>
      <c r="D371" s="359" t="s">
        <v>3784</v>
      </c>
      <c r="E371" s="178" t="str">
        <f t="shared" si="30"/>
        <v>B3002</v>
      </c>
      <c r="F371" s="178" t="str">
        <f t="shared" si="34"/>
        <v>GEA_NICE신용요약정보조회Dto</v>
      </c>
      <c r="G371" s="178">
        <f t="shared" si="35"/>
        <v>1</v>
      </c>
      <c r="H371" s="263" t="s">
        <v>5823</v>
      </c>
      <c r="I371" s="263" t="s">
        <v>5453</v>
      </c>
      <c r="J371" s="178" t="s">
        <v>5829</v>
      </c>
      <c r="K371" s="263" t="s">
        <v>5823</v>
      </c>
      <c r="L371" s="178" t="e">
        <f t="shared" si="31"/>
        <v>#N/A</v>
      </c>
      <c r="M371" s="178" t="e">
        <f t="shared" si="32"/>
        <v>#N/A</v>
      </c>
      <c r="N371" s="178" t="e">
        <f t="shared" si="33"/>
        <v>#N/A</v>
      </c>
    </row>
    <row r="372" spans="1:14">
      <c r="A372" s="359" t="s">
        <v>3785</v>
      </c>
      <c r="B372" s="178" t="s">
        <v>5613</v>
      </c>
      <c r="C372" s="178" t="s">
        <v>4462</v>
      </c>
      <c r="D372" s="359" t="s">
        <v>3785</v>
      </c>
      <c r="E372" s="178" t="str">
        <f t="shared" si="30"/>
        <v>B3003</v>
      </c>
      <c r="F372" s="178" t="str">
        <f t="shared" si="34"/>
        <v>GEA_NICE신용요약정보조회Dto</v>
      </c>
      <c r="G372" s="178">
        <f t="shared" si="35"/>
        <v>1</v>
      </c>
      <c r="H372" s="264" t="s">
        <v>2441</v>
      </c>
      <c r="I372" s="264"/>
      <c r="J372" s="264" t="s">
        <v>1070</v>
      </c>
      <c r="K372" s="264" t="s">
        <v>2441</v>
      </c>
      <c r="L372" s="178" t="str">
        <f t="shared" si="31"/>
        <v>A5001</v>
      </c>
      <c r="M372" s="178" t="str">
        <f t="shared" si="32"/>
        <v>NICE허위대출조회C &gt; GEA_NICE허위대출규칙정보상세전문조회</v>
      </c>
      <c r="N372" s="178">
        <f t="shared" si="33"/>
        <v>0</v>
      </c>
    </row>
    <row r="373" spans="1:14">
      <c r="A373" s="359" t="s">
        <v>3786</v>
      </c>
      <c r="B373" s="178" t="s">
        <v>5613</v>
      </c>
      <c r="C373" s="178" t="s">
        <v>4464</v>
      </c>
      <c r="D373" s="359" t="s">
        <v>3786</v>
      </c>
      <c r="E373" s="178" t="str">
        <f t="shared" si="30"/>
        <v>B3004</v>
      </c>
      <c r="F373" s="178" t="str">
        <f t="shared" si="34"/>
        <v>GEA_NICE신용요약정보조회Dto</v>
      </c>
      <c r="G373" s="178">
        <f t="shared" si="35"/>
        <v>1</v>
      </c>
      <c r="H373" s="264" t="s">
        <v>2442</v>
      </c>
      <c r="I373" s="264"/>
      <c r="J373" s="264" t="s">
        <v>3211</v>
      </c>
      <c r="K373" s="264" t="s">
        <v>2442</v>
      </c>
      <c r="L373" s="178" t="str">
        <f t="shared" si="31"/>
        <v>A5002</v>
      </c>
      <c r="M373" s="178" t="str">
        <f t="shared" si="32"/>
        <v>NICE허위대출조회C &gt; GEA_NICE허위대출규칙정보상세전문조회</v>
      </c>
      <c r="N373" s="178">
        <f t="shared" si="33"/>
        <v>0</v>
      </c>
    </row>
    <row r="374" spans="1:14">
      <c r="A374" s="359" t="s">
        <v>3787</v>
      </c>
      <c r="B374" s="178" t="s">
        <v>5613</v>
      </c>
      <c r="C374" s="178" t="s">
        <v>5517</v>
      </c>
      <c r="D374" s="359" t="s">
        <v>3787</v>
      </c>
      <c r="E374" s="178" t="str">
        <f t="shared" si="30"/>
        <v>B3005</v>
      </c>
      <c r="F374" s="178" t="str">
        <f t="shared" si="34"/>
        <v>GEA_NICE신용요약정보조회Dto</v>
      </c>
      <c r="G374" s="178">
        <f t="shared" si="35"/>
        <v>1</v>
      </c>
      <c r="H374" s="264" t="s">
        <v>2443</v>
      </c>
      <c r="I374" s="264"/>
      <c r="J374" s="264" t="s">
        <v>3212</v>
      </c>
      <c r="K374" s="264" t="s">
        <v>2443</v>
      </c>
      <c r="L374" s="178" t="str">
        <f t="shared" si="31"/>
        <v>A5003</v>
      </c>
      <c r="M374" s="178" t="str">
        <f t="shared" si="32"/>
        <v>NICE허위대출조회C &gt; GEA_NICE허위대출규칙정보상세전문조회</v>
      </c>
      <c r="N374" s="178">
        <f t="shared" si="33"/>
        <v>0</v>
      </c>
    </row>
    <row r="375" spans="1:14">
      <c r="A375" s="359" t="s">
        <v>3788</v>
      </c>
      <c r="B375" s="178" t="s">
        <v>5613</v>
      </c>
      <c r="C375" s="178" t="s">
        <v>5518</v>
      </c>
      <c r="D375" s="359" t="s">
        <v>3788</v>
      </c>
      <c r="E375" s="178" t="str">
        <f t="shared" si="30"/>
        <v>B3006</v>
      </c>
      <c r="F375" s="178" t="str">
        <f t="shared" si="34"/>
        <v>GEA_NICE신용요약정보조회Dto</v>
      </c>
      <c r="G375" s="178">
        <f t="shared" si="35"/>
        <v>1</v>
      </c>
      <c r="H375" s="264" t="s">
        <v>2444</v>
      </c>
      <c r="I375" s="264"/>
      <c r="J375" s="264" t="s">
        <v>3213</v>
      </c>
      <c r="K375" s="264" t="s">
        <v>2444</v>
      </c>
      <c r="L375" s="178" t="str">
        <f t="shared" si="31"/>
        <v>A5004</v>
      </c>
      <c r="M375" s="178" t="str">
        <f t="shared" si="32"/>
        <v>NICE허위대출조회C &gt; GEA_NICE허위대출규칙정보상세전문조회</v>
      </c>
      <c r="N375" s="178">
        <f t="shared" si="33"/>
        <v>0</v>
      </c>
    </row>
    <row r="376" spans="1:14">
      <c r="A376" s="359" t="s">
        <v>3789</v>
      </c>
      <c r="B376" s="178" t="s">
        <v>5613</v>
      </c>
      <c r="C376" s="178" t="s">
        <v>5519</v>
      </c>
      <c r="D376" s="359" t="s">
        <v>3789</v>
      </c>
      <c r="E376" s="178" t="str">
        <f t="shared" si="30"/>
        <v>B3007</v>
      </c>
      <c r="F376" s="178" t="str">
        <f t="shared" si="34"/>
        <v>GEA_NICE신용요약정보조회Dto</v>
      </c>
      <c r="G376" s="178">
        <f t="shared" si="35"/>
        <v>1</v>
      </c>
      <c r="H376" s="264" t="s">
        <v>2445</v>
      </c>
      <c r="I376" s="264"/>
      <c r="J376" s="264" t="s">
        <v>1078</v>
      </c>
      <c r="K376" s="264" t="s">
        <v>2445</v>
      </c>
      <c r="L376" s="178" t="str">
        <f t="shared" si="31"/>
        <v>A5005</v>
      </c>
      <c r="M376" s="178" t="str">
        <f t="shared" si="32"/>
        <v>NICE허위대출조회C &gt; GEA_NICE허위대출규칙정보상세전문조회</v>
      </c>
      <c r="N376" s="178">
        <f t="shared" si="33"/>
        <v>0</v>
      </c>
    </row>
    <row r="377" spans="1:14">
      <c r="A377" s="359" t="s">
        <v>3790</v>
      </c>
      <c r="B377" s="178" t="s">
        <v>5613</v>
      </c>
      <c r="C377" s="178" t="s">
        <v>4472</v>
      </c>
      <c r="D377" s="359" t="s">
        <v>3790</v>
      </c>
      <c r="E377" s="178" t="str">
        <f t="shared" si="30"/>
        <v>B3008</v>
      </c>
      <c r="F377" s="178" t="str">
        <f t="shared" si="34"/>
        <v>GEA_NICE신용요약정보조회Dto</v>
      </c>
      <c r="G377" s="178">
        <f t="shared" si="35"/>
        <v>1</v>
      </c>
      <c r="H377" s="264" t="s">
        <v>2446</v>
      </c>
      <c r="I377" s="264"/>
      <c r="J377" s="264" t="s">
        <v>1081</v>
      </c>
      <c r="K377" s="264" t="s">
        <v>2446</v>
      </c>
      <c r="L377" s="178" t="str">
        <f t="shared" si="31"/>
        <v>A5006</v>
      </c>
      <c r="M377" s="178" t="str">
        <f t="shared" si="32"/>
        <v>NICE허위대출조회C &gt; GEA_NICE허위대출규칙정보상세전문조회</v>
      </c>
      <c r="N377" s="178">
        <f t="shared" si="33"/>
        <v>0</v>
      </c>
    </row>
    <row r="378" spans="1:14">
      <c r="A378" s="359" t="s">
        <v>3791</v>
      </c>
      <c r="B378" s="178" t="s">
        <v>5613</v>
      </c>
      <c r="C378" s="178" t="s">
        <v>5520</v>
      </c>
      <c r="D378" s="359" t="s">
        <v>3791</v>
      </c>
      <c r="E378" s="178" t="str">
        <f t="shared" si="30"/>
        <v>B3009</v>
      </c>
      <c r="F378" s="178" t="str">
        <f t="shared" si="34"/>
        <v>GEA_NICE신용요약정보조회Dto</v>
      </c>
      <c r="G378" s="178">
        <f t="shared" si="35"/>
        <v>1</v>
      </c>
      <c r="H378" s="264" t="s">
        <v>2447</v>
      </c>
      <c r="I378" s="264"/>
      <c r="J378" s="264" t="s">
        <v>1084</v>
      </c>
      <c r="K378" s="264" t="s">
        <v>2447</v>
      </c>
      <c r="L378" s="178" t="str">
        <f t="shared" si="31"/>
        <v>A5007</v>
      </c>
      <c r="M378" s="178" t="str">
        <f t="shared" si="32"/>
        <v>NICE허위대출조회C &gt; GEA_NICE허위대출규칙정보상세전문조회</v>
      </c>
      <c r="N378" s="178">
        <f t="shared" si="33"/>
        <v>0</v>
      </c>
    </row>
    <row r="379" spans="1:14">
      <c r="A379" s="359" t="s">
        <v>3792</v>
      </c>
      <c r="B379" s="178" t="s">
        <v>5613</v>
      </c>
      <c r="C379" s="178" t="s">
        <v>4476</v>
      </c>
      <c r="D379" s="359" t="s">
        <v>3792</v>
      </c>
      <c r="E379" s="178" t="str">
        <f t="shared" si="30"/>
        <v>B3010</v>
      </c>
      <c r="F379" s="178" t="str">
        <f t="shared" si="34"/>
        <v>GEA_NICE신용요약정보조회Dto</v>
      </c>
      <c r="G379" s="178">
        <f t="shared" si="35"/>
        <v>1</v>
      </c>
      <c r="H379" s="264" t="s">
        <v>2448</v>
      </c>
      <c r="I379" s="264"/>
      <c r="J379" s="264" t="s">
        <v>1087</v>
      </c>
      <c r="K379" s="264" t="s">
        <v>2448</v>
      </c>
      <c r="L379" s="178" t="str">
        <f t="shared" si="31"/>
        <v>A5008</v>
      </c>
      <c r="M379" s="178" t="str">
        <f t="shared" si="32"/>
        <v>NICE허위대출조회C &gt; GEA_NICE허위대출규칙정보상세전문조회</v>
      </c>
      <c r="N379" s="178">
        <f t="shared" si="33"/>
        <v>0</v>
      </c>
    </row>
    <row r="380" spans="1:14">
      <c r="A380" s="359" t="s">
        <v>3793</v>
      </c>
      <c r="B380" s="178" t="s">
        <v>5613</v>
      </c>
      <c r="C380" s="178" t="s">
        <v>5521</v>
      </c>
      <c r="D380" s="359" t="s">
        <v>3793</v>
      </c>
      <c r="E380" s="178" t="str">
        <f t="shared" si="30"/>
        <v>B3011</v>
      </c>
      <c r="F380" s="178" t="str">
        <f t="shared" si="34"/>
        <v>GEA_NICE신용요약정보조회Dto</v>
      </c>
      <c r="G380" s="178">
        <f t="shared" si="35"/>
        <v>1</v>
      </c>
      <c r="H380" s="264" t="s">
        <v>2449</v>
      </c>
      <c r="I380" s="264"/>
      <c r="J380" s="264" t="s">
        <v>1090</v>
      </c>
      <c r="K380" s="264" t="s">
        <v>2449</v>
      </c>
      <c r="L380" s="178" t="str">
        <f t="shared" si="31"/>
        <v>A5009</v>
      </c>
      <c r="M380" s="178" t="str">
        <f t="shared" si="32"/>
        <v>NICE허위대출조회C &gt; GEA_NICE허위대출규칙정보상세전문조회</v>
      </c>
      <c r="N380" s="178">
        <f t="shared" si="33"/>
        <v>0</v>
      </c>
    </row>
    <row r="381" spans="1:14">
      <c r="A381" s="359" t="s">
        <v>4316</v>
      </c>
      <c r="B381" s="178" t="s">
        <v>5613</v>
      </c>
      <c r="C381" s="178" t="s">
        <v>5522</v>
      </c>
      <c r="D381" s="359" t="s">
        <v>4316</v>
      </c>
      <c r="E381" s="178" t="str">
        <f t="shared" si="30"/>
        <v>B3012</v>
      </c>
      <c r="F381" s="178" t="str">
        <f t="shared" si="34"/>
        <v>GEA_NICE신용요약정보조회Dto</v>
      </c>
      <c r="G381" s="178">
        <f t="shared" si="35"/>
        <v>1</v>
      </c>
      <c r="H381" s="264" t="s">
        <v>2450</v>
      </c>
      <c r="I381" s="264"/>
      <c r="J381" s="264" t="s">
        <v>1093</v>
      </c>
      <c r="K381" s="264" t="s">
        <v>2450</v>
      </c>
      <c r="L381" s="178" t="str">
        <f t="shared" si="31"/>
        <v>A5010</v>
      </c>
      <c r="M381" s="178" t="str">
        <f t="shared" si="32"/>
        <v>NICE허위대출조회C &gt; GEA_NICE허위대출규칙정보상세전문조회</v>
      </c>
      <c r="N381" s="178">
        <f t="shared" si="33"/>
        <v>0</v>
      </c>
    </row>
    <row r="382" spans="1:14">
      <c r="A382" s="359" t="s">
        <v>5226</v>
      </c>
      <c r="B382" s="178" t="s">
        <v>5613</v>
      </c>
      <c r="C382" s="178" t="s">
        <v>5523</v>
      </c>
      <c r="D382" s="359" t="s">
        <v>5226</v>
      </c>
      <c r="E382" s="178" t="str">
        <f t="shared" si="30"/>
        <v>B3013</v>
      </c>
      <c r="F382" s="178" t="str">
        <f t="shared" si="34"/>
        <v>GEA_NICE신용요약정보조회Dto</v>
      </c>
      <c r="G382" s="178">
        <f t="shared" si="35"/>
        <v>1</v>
      </c>
      <c r="H382" s="264" t="s">
        <v>2451</v>
      </c>
      <c r="I382" s="264"/>
      <c r="J382" s="264" t="s">
        <v>1096</v>
      </c>
      <c r="K382" s="264" t="s">
        <v>2451</v>
      </c>
      <c r="L382" s="178" t="str">
        <f t="shared" si="31"/>
        <v>A5011</v>
      </c>
      <c r="M382" s="178" t="str">
        <f t="shared" si="32"/>
        <v>NICE허위대출조회C &gt; GEA_NICE허위대출규칙정보상세전문조회</v>
      </c>
      <c r="N382" s="178">
        <f t="shared" si="33"/>
        <v>0</v>
      </c>
    </row>
    <row r="383" spans="1:14">
      <c r="A383" s="359" t="s">
        <v>4318</v>
      </c>
      <c r="B383" s="178" t="s">
        <v>5613</v>
      </c>
      <c r="C383" s="178" t="s">
        <v>5524</v>
      </c>
      <c r="D383" s="359" t="s">
        <v>4318</v>
      </c>
      <c r="E383" s="178" t="str">
        <f t="shared" si="30"/>
        <v>B3014</v>
      </c>
      <c r="F383" s="178" t="str">
        <f t="shared" si="34"/>
        <v>GEA_NICE신용요약정보조회Dto</v>
      </c>
      <c r="G383" s="178">
        <f t="shared" si="35"/>
        <v>1</v>
      </c>
      <c r="H383" s="264" t="s">
        <v>2452</v>
      </c>
      <c r="I383" s="264"/>
      <c r="J383" s="264" t="s">
        <v>1099</v>
      </c>
      <c r="K383" s="264" t="s">
        <v>2452</v>
      </c>
      <c r="L383" s="178" t="str">
        <f t="shared" si="31"/>
        <v>A5012</v>
      </c>
      <c r="M383" s="178" t="str">
        <f t="shared" si="32"/>
        <v>NICE허위대출조회C &gt; GEA_NICE허위대출규칙정보상세전문조회</v>
      </c>
      <c r="N383" s="178">
        <f t="shared" si="33"/>
        <v>0</v>
      </c>
    </row>
    <row r="384" spans="1:14">
      <c r="A384" s="359" t="s">
        <v>5227</v>
      </c>
      <c r="B384" s="178" t="s">
        <v>5613</v>
      </c>
      <c r="C384" s="178" t="s">
        <v>3834</v>
      </c>
      <c r="D384" s="359" t="s">
        <v>5227</v>
      </c>
      <c r="E384" s="178" t="str">
        <f t="shared" si="30"/>
        <v>B3015</v>
      </c>
      <c r="F384" s="178" t="str">
        <f t="shared" si="34"/>
        <v>GEA_NICE신용요약정보조회Dto</v>
      </c>
      <c r="G384" s="178">
        <f t="shared" si="35"/>
        <v>1</v>
      </c>
      <c r="H384" s="264" t="s">
        <v>2453</v>
      </c>
      <c r="I384" s="264"/>
      <c r="J384" s="264" t="s">
        <v>1102</v>
      </c>
      <c r="K384" s="264" t="s">
        <v>2453</v>
      </c>
      <c r="L384" s="178" t="str">
        <f t="shared" si="31"/>
        <v>A5013</v>
      </c>
      <c r="M384" s="178" t="str">
        <f t="shared" si="32"/>
        <v>NICE허위대출조회C &gt; GEA_NICE허위대출규칙정보상세전문조회</v>
      </c>
      <c r="N384" s="178">
        <f t="shared" si="33"/>
        <v>0</v>
      </c>
    </row>
    <row r="385" spans="1:14">
      <c r="A385" s="359" t="s">
        <v>5605</v>
      </c>
      <c r="B385" s="178" t="s">
        <v>5613</v>
      </c>
      <c r="C385" s="178" t="s">
        <v>5526</v>
      </c>
      <c r="D385" s="359" t="s">
        <v>5605</v>
      </c>
      <c r="E385" s="178" t="e">
        <f t="shared" si="30"/>
        <v>#N/A</v>
      </c>
      <c r="F385" s="178" t="e">
        <f t="shared" si="34"/>
        <v>#N/A</v>
      </c>
      <c r="G385" s="178" t="e">
        <f t="shared" si="35"/>
        <v>#N/A</v>
      </c>
      <c r="H385" s="264" t="s">
        <v>2454</v>
      </c>
      <c r="I385" s="264"/>
      <c r="J385" s="264" t="s">
        <v>1105</v>
      </c>
      <c r="K385" s="264" t="s">
        <v>2454</v>
      </c>
      <c r="L385" s="178" t="str">
        <f t="shared" si="31"/>
        <v>A5014</v>
      </c>
      <c r="M385" s="178" t="str">
        <f t="shared" si="32"/>
        <v>NICE허위대출조회C &gt; GEA_NICE허위대출규칙정보상세전문조회</v>
      </c>
      <c r="N385" s="178">
        <f t="shared" si="33"/>
        <v>0</v>
      </c>
    </row>
    <row r="386" spans="1:14">
      <c r="A386" s="359" t="s">
        <v>5606</v>
      </c>
      <c r="B386" s="178" t="s">
        <v>5613</v>
      </c>
      <c r="C386" s="178" t="s">
        <v>5527</v>
      </c>
      <c r="D386" s="359" t="s">
        <v>5606</v>
      </c>
      <c r="E386" s="178" t="e">
        <f t="shared" si="30"/>
        <v>#N/A</v>
      </c>
      <c r="F386" s="178" t="e">
        <f t="shared" si="34"/>
        <v>#N/A</v>
      </c>
      <c r="G386" s="178" t="e">
        <f t="shared" si="35"/>
        <v>#N/A</v>
      </c>
      <c r="H386" s="264" t="s">
        <v>2455</v>
      </c>
      <c r="I386" s="264"/>
      <c r="J386" s="264" t="s">
        <v>1108</v>
      </c>
      <c r="K386" s="264" t="s">
        <v>2455</v>
      </c>
      <c r="L386" s="178" t="str">
        <f t="shared" si="31"/>
        <v>A5015</v>
      </c>
      <c r="M386" s="178" t="str">
        <f t="shared" si="32"/>
        <v>NICE허위대출조회C &gt; GEA_NICE허위대출규칙정보상세전문조회</v>
      </c>
      <c r="N386" s="178">
        <f t="shared" si="33"/>
        <v>0</v>
      </c>
    </row>
    <row r="387" spans="1:14">
      <c r="A387" s="359" t="s">
        <v>5607</v>
      </c>
      <c r="B387" s="178" t="s">
        <v>5613</v>
      </c>
      <c r="C387" s="178" t="s">
        <v>5528</v>
      </c>
      <c r="D387" s="359" t="s">
        <v>5607</v>
      </c>
      <c r="E387" s="178" t="e">
        <f t="shared" si="30"/>
        <v>#N/A</v>
      </c>
      <c r="F387" s="178" t="e">
        <f t="shared" si="34"/>
        <v>#N/A</v>
      </c>
      <c r="G387" s="178" t="e">
        <f t="shared" si="35"/>
        <v>#N/A</v>
      </c>
      <c r="H387" s="264" t="s">
        <v>2456</v>
      </c>
      <c r="I387" s="264"/>
      <c r="J387" s="264" t="s">
        <v>1111</v>
      </c>
      <c r="K387" s="264" t="s">
        <v>2456</v>
      </c>
      <c r="L387" s="178" t="str">
        <f t="shared" si="31"/>
        <v>A5016</v>
      </c>
      <c r="M387" s="178" t="str">
        <f t="shared" si="32"/>
        <v>NICE허위대출조회C &gt; GEA_NICE허위대출규칙정보상세전문조회</v>
      </c>
      <c r="N387" s="178">
        <f t="shared" si="33"/>
        <v>0</v>
      </c>
    </row>
    <row r="388" spans="1:14">
      <c r="A388" s="359" t="s">
        <v>5608</v>
      </c>
      <c r="B388" s="178" t="s">
        <v>5613</v>
      </c>
      <c r="C388" s="178" t="s">
        <v>5529</v>
      </c>
      <c r="D388" s="359" t="s">
        <v>5608</v>
      </c>
      <c r="E388" s="178" t="e">
        <f t="shared" ref="E388:E451" si="36">VLOOKUP(C388,$J$5:$K$601,2,FALSE)</f>
        <v>#N/A</v>
      </c>
      <c r="F388" s="178" t="e">
        <f t="shared" si="34"/>
        <v>#N/A</v>
      </c>
      <c r="G388" s="178" t="e">
        <f t="shared" si="35"/>
        <v>#N/A</v>
      </c>
      <c r="H388" s="264" t="s">
        <v>2457</v>
      </c>
      <c r="I388" s="264"/>
      <c r="J388" s="264" t="s">
        <v>1114</v>
      </c>
      <c r="K388" s="264" t="s">
        <v>2457</v>
      </c>
      <c r="L388" s="178" t="str">
        <f t="shared" ref="L388:L451" si="37">VLOOKUP(J388,$C$3:$D$463,2,FALSE)</f>
        <v>A5017</v>
      </c>
      <c r="M388" s="178" t="str">
        <f t="shared" ref="M388:M451" si="38">VLOOKUP(L388,$A$3:$B$463,2,FALSE)</f>
        <v>NICE허위대출조회C &gt; GEA_NICE허위대출규칙정보상세전문조회</v>
      </c>
      <c r="N388" s="178">
        <f t="shared" ref="N388:N451" si="39">IF(M388=I388,1,0)</f>
        <v>0</v>
      </c>
    </row>
    <row r="389" spans="1:14">
      <c r="A389" s="359" t="s">
        <v>5609</v>
      </c>
      <c r="B389" s="178" t="s">
        <v>5613</v>
      </c>
      <c r="C389" s="178" t="s">
        <v>5530</v>
      </c>
      <c r="D389" s="359" t="s">
        <v>5609</v>
      </c>
      <c r="E389" s="178" t="e">
        <f t="shared" si="36"/>
        <v>#N/A</v>
      </c>
      <c r="F389" s="178" t="e">
        <f t="shared" si="34"/>
        <v>#N/A</v>
      </c>
      <c r="G389" s="178" t="e">
        <f t="shared" si="35"/>
        <v>#N/A</v>
      </c>
      <c r="H389" s="264" t="s">
        <v>2458</v>
      </c>
      <c r="I389" s="264"/>
      <c r="J389" s="264" t="s">
        <v>1117</v>
      </c>
      <c r="K389" s="264" t="s">
        <v>2458</v>
      </c>
      <c r="L389" s="178" t="str">
        <f t="shared" si="37"/>
        <v>A5018</v>
      </c>
      <c r="M389" s="178" t="str">
        <f t="shared" si="38"/>
        <v>NICE허위대출조회C &gt; GEA_NICE허위대출규칙정보상세전문조회</v>
      </c>
      <c r="N389" s="178">
        <f t="shared" si="39"/>
        <v>0</v>
      </c>
    </row>
    <row r="390" spans="1:14">
      <c r="A390" s="359" t="s">
        <v>5610</v>
      </c>
      <c r="B390" s="178" t="s">
        <v>5613</v>
      </c>
      <c r="C390" s="178" t="s">
        <v>5531</v>
      </c>
      <c r="D390" s="359" t="s">
        <v>5610</v>
      </c>
      <c r="E390" s="178" t="e">
        <f t="shared" si="36"/>
        <v>#N/A</v>
      </c>
      <c r="F390" s="178" t="e">
        <f t="shared" si="34"/>
        <v>#N/A</v>
      </c>
      <c r="G390" s="178" t="e">
        <f t="shared" si="35"/>
        <v>#N/A</v>
      </c>
      <c r="H390" s="264" t="s">
        <v>2459</v>
      </c>
      <c r="I390" s="264"/>
      <c r="J390" s="264" t="s">
        <v>1120</v>
      </c>
      <c r="K390" s="264" t="s">
        <v>2459</v>
      </c>
      <c r="L390" s="178" t="str">
        <f t="shared" si="37"/>
        <v>A5019</v>
      </c>
      <c r="M390" s="178" t="str">
        <f t="shared" si="38"/>
        <v>NICE허위대출조회C &gt; GEA_NICE허위대출규칙정보상세전문조회</v>
      </c>
      <c r="N390" s="178">
        <f t="shared" si="39"/>
        <v>0</v>
      </c>
    </row>
    <row r="391" spans="1:14">
      <c r="A391" s="359" t="s">
        <v>5611</v>
      </c>
      <c r="B391" s="178" t="s">
        <v>5613</v>
      </c>
      <c r="C391" s="178" t="s">
        <v>3833</v>
      </c>
      <c r="D391" s="359" t="s">
        <v>5611</v>
      </c>
      <c r="E391" s="178" t="e">
        <f t="shared" si="36"/>
        <v>#N/A</v>
      </c>
      <c r="F391" s="178" t="e">
        <f t="shared" ref="F391:F454" si="40">VLOOKUP(E391,$H$5:$I$601,2,FALSE)</f>
        <v>#N/A</v>
      </c>
      <c r="G391" s="178" t="e">
        <f t="shared" ref="G391:G454" si="41">IF(B391=F391,1,0)</f>
        <v>#N/A</v>
      </c>
      <c r="H391" s="264" t="s">
        <v>2460</v>
      </c>
      <c r="I391" s="264"/>
      <c r="J391" s="264" t="s">
        <v>1123</v>
      </c>
      <c r="K391" s="264" t="s">
        <v>2460</v>
      </c>
      <c r="L391" s="178" t="str">
        <f t="shared" si="37"/>
        <v>A5020</v>
      </c>
      <c r="M391" s="178" t="str">
        <f t="shared" si="38"/>
        <v>NICE허위대출조회C &gt; GEA_NICE허위대출규칙정보상세전문조회</v>
      </c>
      <c r="N391" s="178">
        <f t="shared" si="39"/>
        <v>0</v>
      </c>
    </row>
    <row r="392" spans="1:14">
      <c r="A392" s="359" t="s">
        <v>5612</v>
      </c>
      <c r="B392" s="178" t="s">
        <v>5613</v>
      </c>
      <c r="C392" s="178" t="s">
        <v>5532</v>
      </c>
      <c r="D392" s="359" t="s">
        <v>5612</v>
      </c>
      <c r="E392" s="178" t="e">
        <f t="shared" si="36"/>
        <v>#N/A</v>
      </c>
      <c r="F392" s="178" t="e">
        <f t="shared" si="40"/>
        <v>#N/A</v>
      </c>
      <c r="G392" s="178" t="e">
        <f t="shared" si="41"/>
        <v>#N/A</v>
      </c>
      <c r="H392" s="264" t="s">
        <v>2461</v>
      </c>
      <c r="I392" s="264"/>
      <c r="J392" s="264" t="s">
        <v>1126</v>
      </c>
      <c r="K392" s="264" t="s">
        <v>2461</v>
      </c>
      <c r="L392" s="178" t="str">
        <f t="shared" si="37"/>
        <v>A5021</v>
      </c>
      <c r="M392" s="178" t="str">
        <f t="shared" si="38"/>
        <v>NICE허위대출조회C &gt; GEA_NICE허위대출규칙정보상세전문조회</v>
      </c>
      <c r="N392" s="178">
        <f t="shared" si="39"/>
        <v>0</v>
      </c>
    </row>
    <row r="393" spans="1:14">
      <c r="A393" s="359" t="s">
        <v>3794</v>
      </c>
      <c r="B393" s="178" t="s">
        <v>5453</v>
      </c>
      <c r="C393" s="178" t="s">
        <v>5533</v>
      </c>
      <c r="D393" s="359" t="s">
        <v>3794</v>
      </c>
      <c r="E393" s="178" t="str">
        <f t="shared" si="36"/>
        <v>B4001</v>
      </c>
      <c r="F393" s="178" t="str">
        <f t="shared" si="40"/>
        <v>GEA_KCB신용요약정보조회Dto</v>
      </c>
      <c r="G393" s="178">
        <f t="shared" si="41"/>
        <v>1</v>
      </c>
      <c r="H393" s="264" t="s">
        <v>2462</v>
      </c>
      <c r="I393" s="264"/>
      <c r="J393" s="264" t="s">
        <v>1129</v>
      </c>
      <c r="K393" s="264" t="s">
        <v>2462</v>
      </c>
      <c r="L393" s="178" t="str">
        <f t="shared" si="37"/>
        <v>A5022</v>
      </c>
      <c r="M393" s="178" t="str">
        <f t="shared" si="38"/>
        <v>NICE허위대출조회C &gt; GEA_NICE허위대출규칙정보상세전문조회</v>
      </c>
      <c r="N393" s="178">
        <f t="shared" si="39"/>
        <v>0</v>
      </c>
    </row>
    <row r="394" spans="1:14">
      <c r="A394" s="359" t="s">
        <v>3795</v>
      </c>
      <c r="B394" s="178" t="s">
        <v>5453</v>
      </c>
      <c r="C394" s="178" t="s">
        <v>5534</v>
      </c>
      <c r="D394" s="359" t="s">
        <v>3795</v>
      </c>
      <c r="E394" s="178" t="str">
        <f t="shared" si="36"/>
        <v>B4002</v>
      </c>
      <c r="F394" s="178" t="str">
        <f t="shared" si="40"/>
        <v>GEA_KCB신용요약정보조회Dto</v>
      </c>
      <c r="G394" s="178">
        <f t="shared" si="41"/>
        <v>1</v>
      </c>
      <c r="H394" s="264" t="s">
        <v>2463</v>
      </c>
      <c r="I394" s="264"/>
      <c r="J394" s="264" t="s">
        <v>1132</v>
      </c>
      <c r="K394" s="264" t="s">
        <v>2463</v>
      </c>
      <c r="L394" s="178" t="str">
        <f t="shared" si="37"/>
        <v>A5023</v>
      </c>
      <c r="M394" s="178" t="str">
        <f t="shared" si="38"/>
        <v>NICE허위대출조회C &gt; GEA_NICE허위대출규칙정보상세전문조회</v>
      </c>
      <c r="N394" s="178">
        <f t="shared" si="39"/>
        <v>0</v>
      </c>
    </row>
    <row r="395" spans="1:14">
      <c r="A395" s="359" t="s">
        <v>3796</v>
      </c>
      <c r="B395" s="178" t="s">
        <v>5453</v>
      </c>
      <c r="C395" s="178" t="s">
        <v>5535</v>
      </c>
      <c r="D395" s="359" t="s">
        <v>3796</v>
      </c>
      <c r="E395" s="178" t="str">
        <f t="shared" si="36"/>
        <v>B4003</v>
      </c>
      <c r="F395" s="178" t="str">
        <f t="shared" si="40"/>
        <v>GEA_KCB신용요약정보조회Dto</v>
      </c>
      <c r="G395" s="178">
        <f t="shared" si="41"/>
        <v>1</v>
      </c>
      <c r="H395" s="264" t="s">
        <v>2464</v>
      </c>
      <c r="I395" s="264"/>
      <c r="J395" s="264" t="s">
        <v>1135</v>
      </c>
      <c r="K395" s="264" t="s">
        <v>2464</v>
      </c>
      <c r="L395" s="178" t="str">
        <f t="shared" si="37"/>
        <v>A5024</v>
      </c>
      <c r="M395" s="178" t="str">
        <f t="shared" si="38"/>
        <v>NICE허위대출조회C &gt; GEA_NICE허위대출규칙정보상세전문조회</v>
      </c>
      <c r="N395" s="178">
        <f t="shared" si="39"/>
        <v>0</v>
      </c>
    </row>
    <row r="396" spans="1:14">
      <c r="A396" s="359" t="s">
        <v>3797</v>
      </c>
      <c r="B396" s="178" t="s">
        <v>5453</v>
      </c>
      <c r="C396" s="178" t="s">
        <v>5536</v>
      </c>
      <c r="D396" s="359" t="s">
        <v>3797</v>
      </c>
      <c r="E396" s="178" t="str">
        <f t="shared" si="36"/>
        <v>B4004</v>
      </c>
      <c r="F396" s="178" t="str">
        <f t="shared" si="40"/>
        <v>GEA_KCB신용요약정보조회Dto</v>
      </c>
      <c r="G396" s="178">
        <f t="shared" si="41"/>
        <v>1</v>
      </c>
      <c r="H396" s="264" t="s">
        <v>2465</v>
      </c>
      <c r="I396" s="264"/>
      <c r="J396" s="264" t="s">
        <v>1138</v>
      </c>
      <c r="K396" s="264" t="s">
        <v>2465</v>
      </c>
      <c r="L396" s="178" t="str">
        <f t="shared" si="37"/>
        <v>A5025</v>
      </c>
      <c r="M396" s="178" t="str">
        <f t="shared" si="38"/>
        <v>NICE허위대출조회C &gt; GEA_NICE허위대출규칙정보상세전문조회</v>
      </c>
      <c r="N396" s="178">
        <f t="shared" si="39"/>
        <v>0</v>
      </c>
    </row>
    <row r="397" spans="1:14">
      <c r="A397" s="359" t="s">
        <v>3798</v>
      </c>
      <c r="B397" s="178" t="s">
        <v>5453</v>
      </c>
      <c r="C397" s="178" t="s">
        <v>5537</v>
      </c>
      <c r="D397" s="359" t="s">
        <v>3798</v>
      </c>
      <c r="E397" s="178" t="str">
        <f t="shared" si="36"/>
        <v>B4005</v>
      </c>
      <c r="F397" s="178" t="str">
        <f t="shared" si="40"/>
        <v>GEA_KCB신용요약정보조회Dto</v>
      </c>
      <c r="G397" s="178">
        <f t="shared" si="41"/>
        <v>1</v>
      </c>
      <c r="H397" s="264" t="s">
        <v>2466</v>
      </c>
      <c r="I397" s="264"/>
      <c r="J397" s="264" t="s">
        <v>1141</v>
      </c>
      <c r="K397" s="264" t="s">
        <v>2466</v>
      </c>
      <c r="L397" s="178" t="str">
        <f t="shared" si="37"/>
        <v>A5026</v>
      </c>
      <c r="M397" s="178" t="str">
        <f t="shared" si="38"/>
        <v>NICE허위대출조회C &gt; GEA_NICE허위대출규칙정보상세전문조회</v>
      </c>
      <c r="N397" s="178">
        <f t="shared" si="39"/>
        <v>0</v>
      </c>
    </row>
    <row r="398" spans="1:14">
      <c r="A398" s="359" t="s">
        <v>3799</v>
      </c>
      <c r="B398" s="178" t="s">
        <v>5453</v>
      </c>
      <c r="C398" s="178" t="s">
        <v>2894</v>
      </c>
      <c r="D398" s="359" t="s">
        <v>3799</v>
      </c>
      <c r="E398" s="178" t="str">
        <f t="shared" si="36"/>
        <v>B4006</v>
      </c>
      <c r="F398" s="178" t="str">
        <f t="shared" si="40"/>
        <v>GEA_KCB신용요약정보조회Dto</v>
      </c>
      <c r="G398" s="178">
        <f t="shared" si="41"/>
        <v>1</v>
      </c>
      <c r="H398" s="264" t="s">
        <v>2467</v>
      </c>
      <c r="I398" s="264"/>
      <c r="J398" s="264" t="s">
        <v>1144</v>
      </c>
      <c r="K398" s="264" t="s">
        <v>2467</v>
      </c>
      <c r="L398" s="178" t="str">
        <f t="shared" si="37"/>
        <v>A5027</v>
      </c>
      <c r="M398" s="178" t="str">
        <f t="shared" si="38"/>
        <v>NICE허위대출조회C &gt; GEA_NICE허위대출규칙정보상세전문조회</v>
      </c>
      <c r="N398" s="178">
        <f t="shared" si="39"/>
        <v>0</v>
      </c>
    </row>
    <row r="399" spans="1:14">
      <c r="A399" s="359" t="s">
        <v>4339</v>
      </c>
      <c r="B399" s="178" t="s">
        <v>5453</v>
      </c>
      <c r="C399" s="178" t="s">
        <v>5538</v>
      </c>
      <c r="D399" s="359" t="s">
        <v>4339</v>
      </c>
      <c r="E399" s="178" t="str">
        <f t="shared" si="36"/>
        <v>B4007</v>
      </c>
      <c r="F399" s="178" t="str">
        <f t="shared" si="40"/>
        <v>GEA_KCB신용요약정보조회Dto</v>
      </c>
      <c r="G399" s="178">
        <f t="shared" si="41"/>
        <v>1</v>
      </c>
      <c r="H399" s="264" t="s">
        <v>2468</v>
      </c>
      <c r="I399" s="264"/>
      <c r="J399" s="264" t="s">
        <v>1147</v>
      </c>
      <c r="K399" s="264" t="s">
        <v>2468</v>
      </c>
      <c r="L399" s="178" t="str">
        <f t="shared" si="37"/>
        <v>A5028</v>
      </c>
      <c r="M399" s="178" t="str">
        <f t="shared" si="38"/>
        <v>NICE허위대출조회C &gt; GEA_NICE허위대출규칙정보상세전문조회</v>
      </c>
      <c r="N399" s="178">
        <f t="shared" si="39"/>
        <v>0</v>
      </c>
    </row>
    <row r="400" spans="1:14">
      <c r="A400" s="359" t="s">
        <v>3800</v>
      </c>
      <c r="B400" s="178" t="s">
        <v>5453</v>
      </c>
      <c r="C400" s="178" t="s">
        <v>5539</v>
      </c>
      <c r="D400" s="359" t="s">
        <v>3800</v>
      </c>
      <c r="E400" s="178" t="str">
        <f t="shared" si="36"/>
        <v>B4008</v>
      </c>
      <c r="F400" s="178" t="str">
        <f t="shared" si="40"/>
        <v>GEA_KCB신용요약정보조회Dto</v>
      </c>
      <c r="G400" s="178">
        <f t="shared" si="41"/>
        <v>1</v>
      </c>
      <c r="H400" s="264" t="s">
        <v>2469</v>
      </c>
      <c r="I400" s="264"/>
      <c r="J400" s="264" t="s">
        <v>1150</v>
      </c>
      <c r="K400" s="264" t="s">
        <v>2469</v>
      </c>
      <c r="L400" s="178" t="str">
        <f t="shared" si="37"/>
        <v>A5029</v>
      </c>
      <c r="M400" s="178" t="str">
        <f t="shared" si="38"/>
        <v>NICE허위대출조회C &gt; GEA_NICE허위대출규칙정보상세전문조회</v>
      </c>
      <c r="N400" s="178">
        <f t="shared" si="39"/>
        <v>0</v>
      </c>
    </row>
    <row r="401" spans="1:14">
      <c r="A401" s="359" t="s">
        <v>3801</v>
      </c>
      <c r="B401" s="178" t="s">
        <v>5453</v>
      </c>
      <c r="C401" s="178" t="s">
        <v>5540</v>
      </c>
      <c r="D401" s="359" t="s">
        <v>3801</v>
      </c>
      <c r="E401" s="178" t="str">
        <f t="shared" si="36"/>
        <v>B4009</v>
      </c>
      <c r="F401" s="178" t="str">
        <f t="shared" si="40"/>
        <v>GEA_KCB신용요약정보조회Dto</v>
      </c>
      <c r="G401" s="178">
        <f t="shared" si="41"/>
        <v>1</v>
      </c>
      <c r="H401" s="264" t="s">
        <v>2470</v>
      </c>
      <c r="I401" s="264"/>
      <c r="J401" s="264" t="s">
        <v>1153</v>
      </c>
      <c r="K401" s="264" t="s">
        <v>2470</v>
      </c>
      <c r="L401" s="178" t="str">
        <f t="shared" si="37"/>
        <v>A5030</v>
      </c>
      <c r="M401" s="178" t="str">
        <f t="shared" si="38"/>
        <v>NICE허위대출조회C &gt; GEA_NICE허위대출규칙정보상세전문조회</v>
      </c>
      <c r="N401" s="178">
        <f t="shared" si="39"/>
        <v>0</v>
      </c>
    </row>
    <row r="402" spans="1:14">
      <c r="A402" s="359" t="s">
        <v>3802</v>
      </c>
      <c r="B402" s="178" t="s">
        <v>5453</v>
      </c>
      <c r="C402" s="178" t="s">
        <v>3865</v>
      </c>
      <c r="D402" s="359" t="s">
        <v>3802</v>
      </c>
      <c r="E402" s="178" t="str">
        <f t="shared" si="36"/>
        <v>B4010</v>
      </c>
      <c r="F402" s="178" t="str">
        <f t="shared" si="40"/>
        <v>GEA_KCB신용요약정보조회Dto</v>
      </c>
      <c r="G402" s="178">
        <f t="shared" si="41"/>
        <v>1</v>
      </c>
      <c r="H402" s="264" t="s">
        <v>2471</v>
      </c>
      <c r="I402" s="264"/>
      <c r="J402" s="264" t="s">
        <v>1156</v>
      </c>
      <c r="K402" s="264" t="s">
        <v>2471</v>
      </c>
      <c r="L402" s="178" t="str">
        <f t="shared" si="37"/>
        <v>A5031</v>
      </c>
      <c r="M402" s="178" t="str">
        <f t="shared" si="38"/>
        <v>NICE허위대출조회C &gt; GEA_NICE허위대출규칙정보상세전문조회</v>
      </c>
      <c r="N402" s="178">
        <f t="shared" si="39"/>
        <v>0</v>
      </c>
    </row>
    <row r="403" spans="1:14">
      <c r="A403" s="359" t="s">
        <v>3803</v>
      </c>
      <c r="B403" s="178" t="s">
        <v>5453</v>
      </c>
      <c r="C403" s="178" t="s">
        <v>5541</v>
      </c>
      <c r="D403" s="359" t="s">
        <v>3803</v>
      </c>
      <c r="E403" s="178" t="str">
        <f t="shared" si="36"/>
        <v>B4011</v>
      </c>
      <c r="F403" s="178" t="str">
        <f t="shared" si="40"/>
        <v>GEA_KCB신용요약정보조회Dto</v>
      </c>
      <c r="G403" s="178">
        <f t="shared" si="41"/>
        <v>1</v>
      </c>
      <c r="H403" s="264" t="s">
        <v>2472</v>
      </c>
      <c r="I403" s="264"/>
      <c r="J403" s="264" t="s">
        <v>1159</v>
      </c>
      <c r="K403" s="264" t="s">
        <v>2472</v>
      </c>
      <c r="L403" s="178" t="str">
        <f t="shared" si="37"/>
        <v>A5032</v>
      </c>
      <c r="M403" s="178" t="str">
        <f t="shared" si="38"/>
        <v>NICE허위대출조회C &gt; GEA_NICE허위대출규칙정보상세전문조회</v>
      </c>
      <c r="N403" s="178">
        <f t="shared" si="39"/>
        <v>0</v>
      </c>
    </row>
    <row r="404" spans="1:14">
      <c r="A404" s="359" t="s">
        <v>3804</v>
      </c>
      <c r="B404" s="178" t="s">
        <v>5453</v>
      </c>
      <c r="C404" s="178" t="s">
        <v>5543</v>
      </c>
      <c r="D404" s="359" t="s">
        <v>3804</v>
      </c>
      <c r="E404" s="178" t="str">
        <f t="shared" si="36"/>
        <v>B4012</v>
      </c>
      <c r="F404" s="178" t="str">
        <f t="shared" si="40"/>
        <v>GEA_KCB신용요약정보조회Dto</v>
      </c>
      <c r="G404" s="178">
        <f t="shared" si="41"/>
        <v>1</v>
      </c>
      <c r="H404" s="264" t="s">
        <v>2473</v>
      </c>
      <c r="I404" s="264"/>
      <c r="J404" s="264" t="s">
        <v>1093</v>
      </c>
      <c r="K404" s="264" t="s">
        <v>2473</v>
      </c>
      <c r="L404" s="178" t="str">
        <f t="shared" si="37"/>
        <v>A5010</v>
      </c>
      <c r="M404" s="178" t="str">
        <f t="shared" si="38"/>
        <v>NICE허위대출조회C &gt; GEA_NICE허위대출규칙정보상세전문조회</v>
      </c>
      <c r="N404" s="178">
        <f t="shared" si="39"/>
        <v>0</v>
      </c>
    </row>
    <row r="405" spans="1:14">
      <c r="A405" s="359" t="s">
        <v>3805</v>
      </c>
      <c r="B405" s="178" t="s">
        <v>5453</v>
      </c>
      <c r="C405" s="178" t="s">
        <v>5544</v>
      </c>
      <c r="D405" s="359" t="s">
        <v>3805</v>
      </c>
      <c r="E405" s="178" t="str">
        <f t="shared" si="36"/>
        <v>B4013</v>
      </c>
      <c r="F405" s="178" t="str">
        <f t="shared" si="40"/>
        <v>GEA_KCB신용요약정보조회Dto</v>
      </c>
      <c r="G405" s="178">
        <f t="shared" si="41"/>
        <v>1</v>
      </c>
      <c r="H405" s="264" t="s">
        <v>2474</v>
      </c>
      <c r="I405" s="264"/>
      <c r="J405" s="264" t="s">
        <v>1164</v>
      </c>
      <c r="K405" s="264" t="s">
        <v>2474</v>
      </c>
      <c r="L405" s="178" t="str">
        <f t="shared" si="37"/>
        <v>A5034</v>
      </c>
      <c r="M405" s="178" t="str">
        <f t="shared" si="38"/>
        <v>NICE허위대출조회C &gt; GEA_NICE허위대출규칙정보상세전문조회</v>
      </c>
      <c r="N405" s="178">
        <f t="shared" si="39"/>
        <v>0</v>
      </c>
    </row>
    <row r="406" spans="1:14">
      <c r="A406" s="359" t="s">
        <v>3806</v>
      </c>
      <c r="B406" s="178" t="s">
        <v>5453</v>
      </c>
      <c r="C406" s="178" t="s">
        <v>5234</v>
      </c>
      <c r="D406" s="359" t="s">
        <v>3806</v>
      </c>
      <c r="E406" s="178" t="str">
        <f t="shared" si="36"/>
        <v>B4014</v>
      </c>
      <c r="F406" s="178" t="str">
        <f t="shared" si="40"/>
        <v>GEA_KCB신용요약정보조회Dto</v>
      </c>
      <c r="G406" s="178">
        <f t="shared" si="41"/>
        <v>1</v>
      </c>
      <c r="H406" s="264" t="s">
        <v>2475</v>
      </c>
      <c r="I406" s="264"/>
      <c r="J406" s="264" t="s">
        <v>1167</v>
      </c>
      <c r="K406" s="264" t="s">
        <v>2475</v>
      </c>
      <c r="L406" s="178" t="str">
        <f t="shared" si="37"/>
        <v>A5035</v>
      </c>
      <c r="M406" s="178" t="str">
        <f t="shared" si="38"/>
        <v>NICE허위대출조회C &gt; GEA_NICE허위대출규칙정보상세전문조회</v>
      </c>
      <c r="N406" s="178">
        <f t="shared" si="39"/>
        <v>0</v>
      </c>
    </row>
    <row r="407" spans="1:14">
      <c r="A407" s="359" t="s">
        <v>3807</v>
      </c>
      <c r="B407" s="178" t="s">
        <v>5453</v>
      </c>
      <c r="C407" s="178" t="s">
        <v>5235</v>
      </c>
      <c r="D407" s="359" t="s">
        <v>3807</v>
      </c>
      <c r="E407" s="178" t="str">
        <f t="shared" si="36"/>
        <v>B4015</v>
      </c>
      <c r="F407" s="178" t="str">
        <f t="shared" si="40"/>
        <v>GEA_KCB신용요약정보조회Dto</v>
      </c>
      <c r="G407" s="178">
        <f t="shared" si="41"/>
        <v>1</v>
      </c>
      <c r="H407" s="264" t="s">
        <v>2476</v>
      </c>
      <c r="I407" s="264"/>
      <c r="J407" s="264" t="s">
        <v>1170</v>
      </c>
      <c r="K407" s="264" t="s">
        <v>2476</v>
      </c>
      <c r="L407" s="178" t="str">
        <f t="shared" si="37"/>
        <v>A5036</v>
      </c>
      <c r="M407" s="178" t="str">
        <f t="shared" si="38"/>
        <v>NICE허위대출조회C &gt; GEA_NICE허위대출규칙정보상세전문조회</v>
      </c>
      <c r="N407" s="178">
        <f t="shared" si="39"/>
        <v>0</v>
      </c>
    </row>
    <row r="408" spans="1:14">
      <c r="A408" s="359" t="s">
        <v>3808</v>
      </c>
      <c r="B408" s="178" t="s">
        <v>5453</v>
      </c>
      <c r="C408" s="178" t="s">
        <v>5236</v>
      </c>
      <c r="D408" s="359" t="s">
        <v>3808</v>
      </c>
      <c r="E408" s="178" t="str">
        <f t="shared" si="36"/>
        <v>B4016</v>
      </c>
      <c r="F408" s="178" t="str">
        <f t="shared" si="40"/>
        <v>GEA_KCB신용요약정보조회Dto</v>
      </c>
      <c r="G408" s="178">
        <f t="shared" si="41"/>
        <v>1</v>
      </c>
      <c r="H408" s="264" t="s">
        <v>2477</v>
      </c>
      <c r="I408" s="264"/>
      <c r="J408" s="264" t="s">
        <v>1173</v>
      </c>
      <c r="K408" s="264" t="s">
        <v>2477</v>
      </c>
      <c r="L408" s="178" t="str">
        <f t="shared" si="37"/>
        <v>A5037</v>
      </c>
      <c r="M408" s="178" t="str">
        <f t="shared" si="38"/>
        <v>NICE허위대출조회C &gt; GEA_NICE허위대출규칙정보상세전문조회</v>
      </c>
      <c r="N408" s="178">
        <f t="shared" si="39"/>
        <v>0</v>
      </c>
    </row>
    <row r="409" spans="1:14">
      <c r="A409" s="359" t="s">
        <v>3809</v>
      </c>
      <c r="B409" s="178" t="s">
        <v>5453</v>
      </c>
      <c r="C409" s="178" t="s">
        <v>5545</v>
      </c>
      <c r="D409" s="359" t="s">
        <v>3809</v>
      </c>
      <c r="E409" s="178" t="str">
        <f t="shared" si="36"/>
        <v>B4017</v>
      </c>
      <c r="F409" s="178" t="str">
        <f t="shared" si="40"/>
        <v>GEA_KCB신용요약정보조회Dto</v>
      </c>
      <c r="G409" s="178">
        <f t="shared" si="41"/>
        <v>1</v>
      </c>
      <c r="H409" s="264" t="s">
        <v>2478</v>
      </c>
      <c r="I409" s="264"/>
      <c r="J409" s="264" t="s">
        <v>1176</v>
      </c>
      <c r="K409" s="264" t="s">
        <v>2478</v>
      </c>
      <c r="L409" s="178" t="str">
        <f t="shared" si="37"/>
        <v>A5038</v>
      </c>
      <c r="M409" s="178" t="str">
        <f t="shared" si="38"/>
        <v>NICE허위대출조회C &gt; GEA_NICE허위대출규칙정보상세전문조회</v>
      </c>
      <c r="N409" s="178">
        <f t="shared" si="39"/>
        <v>0</v>
      </c>
    </row>
    <row r="410" spans="1:14">
      <c r="A410" s="359" t="s">
        <v>3810</v>
      </c>
      <c r="B410" s="178" t="s">
        <v>5453</v>
      </c>
      <c r="C410" s="178" t="s">
        <v>5546</v>
      </c>
      <c r="D410" s="359" t="s">
        <v>3810</v>
      </c>
      <c r="E410" s="178" t="str">
        <f t="shared" si="36"/>
        <v>B4018</v>
      </c>
      <c r="F410" s="178" t="str">
        <f t="shared" si="40"/>
        <v>GEA_KCB신용요약정보조회Dto</v>
      </c>
      <c r="G410" s="178">
        <f t="shared" si="41"/>
        <v>1</v>
      </c>
      <c r="H410" s="264" t="s">
        <v>2479</v>
      </c>
      <c r="I410" s="264"/>
      <c r="J410" s="264" t="s">
        <v>1179</v>
      </c>
      <c r="K410" s="264" t="s">
        <v>2479</v>
      </c>
      <c r="L410" s="178" t="str">
        <f t="shared" si="37"/>
        <v>A5039</v>
      </c>
      <c r="M410" s="178" t="str">
        <f t="shared" si="38"/>
        <v>NICE허위대출조회C &gt; GEA_NICE허위대출규칙정보상세전문조회</v>
      </c>
      <c r="N410" s="178">
        <f t="shared" si="39"/>
        <v>0</v>
      </c>
    </row>
    <row r="411" spans="1:14">
      <c r="A411" s="359" t="s">
        <v>3811</v>
      </c>
      <c r="B411" s="178" t="s">
        <v>5453</v>
      </c>
      <c r="C411" s="178" t="s">
        <v>5547</v>
      </c>
      <c r="D411" s="359" t="s">
        <v>3811</v>
      </c>
      <c r="E411" s="178" t="str">
        <f t="shared" si="36"/>
        <v>B4019</v>
      </c>
      <c r="F411" s="178" t="str">
        <f t="shared" si="40"/>
        <v>GEA_KCB신용요약정보조회Dto</v>
      </c>
      <c r="G411" s="178">
        <f t="shared" si="41"/>
        <v>1</v>
      </c>
      <c r="H411" s="264" t="s">
        <v>2480</v>
      </c>
      <c r="I411" s="264"/>
      <c r="J411" s="264" t="s">
        <v>1182</v>
      </c>
      <c r="K411" s="264" t="s">
        <v>2480</v>
      </c>
      <c r="L411" s="178" t="str">
        <f t="shared" si="37"/>
        <v>A5040</v>
      </c>
      <c r="M411" s="178" t="str">
        <f t="shared" si="38"/>
        <v>NICE허위대출조회C &gt; GEA_NICE허위대출규칙정보상세전문조회</v>
      </c>
      <c r="N411" s="178">
        <f t="shared" si="39"/>
        <v>0</v>
      </c>
    </row>
    <row r="412" spans="1:14">
      <c r="A412" s="359" t="s">
        <v>3812</v>
      </c>
      <c r="B412" s="178" t="s">
        <v>5453</v>
      </c>
      <c r="C412" s="178" t="s">
        <v>5548</v>
      </c>
      <c r="D412" s="359" t="s">
        <v>3812</v>
      </c>
      <c r="E412" s="178" t="str">
        <f t="shared" si="36"/>
        <v>B4020</v>
      </c>
      <c r="F412" s="178" t="str">
        <f t="shared" si="40"/>
        <v>GEA_KCB신용요약정보조회Dto</v>
      </c>
      <c r="G412" s="178">
        <f t="shared" si="41"/>
        <v>1</v>
      </c>
      <c r="H412" s="264" t="s">
        <v>2481</v>
      </c>
      <c r="I412" s="264"/>
      <c r="J412" s="264" t="s">
        <v>1185</v>
      </c>
      <c r="K412" s="264" t="s">
        <v>2481</v>
      </c>
      <c r="L412" s="178" t="str">
        <f t="shared" si="37"/>
        <v>A6001</v>
      </c>
      <c r="M412" s="178" t="str">
        <f t="shared" si="38"/>
        <v>KCB허위대출조회 &gt; GEA_KCB허위대출결과상세전문조회</v>
      </c>
      <c r="N412" s="178">
        <f t="shared" si="39"/>
        <v>0</v>
      </c>
    </row>
    <row r="413" spans="1:14">
      <c r="A413" s="359" t="s">
        <v>3813</v>
      </c>
      <c r="B413" s="178" t="s">
        <v>5453</v>
      </c>
      <c r="C413" s="178" t="s">
        <v>5549</v>
      </c>
      <c r="D413" s="359" t="s">
        <v>3813</v>
      </c>
      <c r="E413" s="178" t="str">
        <f t="shared" si="36"/>
        <v>B4021</v>
      </c>
      <c r="F413" s="178" t="str">
        <f t="shared" si="40"/>
        <v>GEA_KCB신용요약정보조회Dto</v>
      </c>
      <c r="G413" s="178">
        <f t="shared" si="41"/>
        <v>1</v>
      </c>
      <c r="H413" s="264" t="s">
        <v>2482</v>
      </c>
      <c r="I413" s="264"/>
      <c r="J413" s="264" t="s">
        <v>1188</v>
      </c>
      <c r="K413" s="264" t="s">
        <v>2482</v>
      </c>
      <c r="L413" s="178" t="str">
        <f t="shared" si="37"/>
        <v>A6002</v>
      </c>
      <c r="M413" s="178" t="str">
        <f t="shared" si="38"/>
        <v>KCB허위대출조회 &gt; GEA_KCB허위대출결과상세전문조회</v>
      </c>
      <c r="N413" s="178">
        <f t="shared" si="39"/>
        <v>0</v>
      </c>
    </row>
    <row r="414" spans="1:14">
      <c r="A414" s="359" t="s">
        <v>3814</v>
      </c>
      <c r="B414" s="178" t="s">
        <v>5453</v>
      </c>
      <c r="C414" s="178" t="s">
        <v>5550</v>
      </c>
      <c r="D414" s="359" t="s">
        <v>3814</v>
      </c>
      <c r="E414" s="178" t="str">
        <f t="shared" si="36"/>
        <v>B4022</v>
      </c>
      <c r="F414" s="178" t="str">
        <f t="shared" si="40"/>
        <v>GEA_KCB신용요약정보조회Dto</v>
      </c>
      <c r="G414" s="178">
        <f t="shared" si="41"/>
        <v>1</v>
      </c>
      <c r="H414" s="264" t="s">
        <v>2483</v>
      </c>
      <c r="I414" s="264"/>
      <c r="J414" s="264" t="s">
        <v>1191</v>
      </c>
      <c r="K414" s="264" t="s">
        <v>2483</v>
      </c>
      <c r="L414" s="178" t="str">
        <f t="shared" si="37"/>
        <v>A6003</v>
      </c>
      <c r="M414" s="178" t="str">
        <f t="shared" si="38"/>
        <v>KCB허위대출조회 &gt; GEA_KCB허위대출결과상세전문조회</v>
      </c>
      <c r="N414" s="178">
        <f t="shared" si="39"/>
        <v>0</v>
      </c>
    </row>
    <row r="415" spans="1:14">
      <c r="A415" s="359" t="s">
        <v>3815</v>
      </c>
      <c r="B415" s="178" t="s">
        <v>5453</v>
      </c>
      <c r="C415" s="178" t="s">
        <v>5551</v>
      </c>
      <c r="D415" s="359" t="s">
        <v>3815</v>
      </c>
      <c r="E415" s="178" t="str">
        <f t="shared" si="36"/>
        <v>B4023</v>
      </c>
      <c r="F415" s="178" t="str">
        <f t="shared" si="40"/>
        <v>GEA_KCB신용요약정보조회Dto</v>
      </c>
      <c r="G415" s="178">
        <f t="shared" si="41"/>
        <v>1</v>
      </c>
      <c r="H415" s="264" t="s">
        <v>2484</v>
      </c>
      <c r="I415" s="264"/>
      <c r="J415" s="264" t="s">
        <v>1194</v>
      </c>
      <c r="K415" s="264" t="s">
        <v>2484</v>
      </c>
      <c r="L415" s="178" t="str">
        <f t="shared" si="37"/>
        <v>A6004</v>
      </c>
      <c r="M415" s="178" t="str">
        <f t="shared" si="38"/>
        <v>KCB허위대출조회 &gt; GEA_KCB허위대출결과상세전문조회</v>
      </c>
      <c r="N415" s="178">
        <f t="shared" si="39"/>
        <v>0</v>
      </c>
    </row>
    <row r="416" spans="1:14">
      <c r="A416" s="359" t="s">
        <v>3816</v>
      </c>
      <c r="B416" s="178" t="s">
        <v>5453</v>
      </c>
      <c r="C416" s="178" t="s">
        <v>5552</v>
      </c>
      <c r="D416" s="359" t="s">
        <v>3816</v>
      </c>
      <c r="E416" s="178" t="str">
        <f t="shared" si="36"/>
        <v>B4024</v>
      </c>
      <c r="F416" s="178" t="str">
        <f t="shared" si="40"/>
        <v>GEA_KCB신용요약정보조회Dto</v>
      </c>
      <c r="G416" s="178">
        <f t="shared" si="41"/>
        <v>1</v>
      </c>
      <c r="H416" s="264" t="s">
        <v>2485</v>
      </c>
      <c r="I416" s="264"/>
      <c r="J416" s="264" t="s">
        <v>1197</v>
      </c>
      <c r="K416" s="264" t="s">
        <v>2485</v>
      </c>
      <c r="L416" s="178" t="str">
        <f t="shared" si="37"/>
        <v>A6005</v>
      </c>
      <c r="M416" s="178" t="str">
        <f t="shared" si="38"/>
        <v>KCB허위대출조회 &gt; GEA_KCB허위대출결과상세전문조회</v>
      </c>
      <c r="N416" s="178">
        <f t="shared" si="39"/>
        <v>0</v>
      </c>
    </row>
    <row r="417" spans="1:14">
      <c r="A417" s="359" t="s">
        <v>3817</v>
      </c>
      <c r="B417" s="178" t="s">
        <v>5453</v>
      </c>
      <c r="C417" s="178" t="s">
        <v>5245</v>
      </c>
      <c r="D417" s="359" t="s">
        <v>3817</v>
      </c>
      <c r="E417" s="178" t="str">
        <f t="shared" si="36"/>
        <v>B4025</v>
      </c>
      <c r="F417" s="178" t="str">
        <f t="shared" si="40"/>
        <v>GEA_KCB신용요약정보조회Dto</v>
      </c>
      <c r="G417" s="178">
        <f t="shared" si="41"/>
        <v>1</v>
      </c>
      <c r="H417" s="264" t="s">
        <v>2486</v>
      </c>
      <c r="I417" s="264"/>
      <c r="J417" s="264" t="s">
        <v>1200</v>
      </c>
      <c r="K417" s="264" t="s">
        <v>2486</v>
      </c>
      <c r="L417" s="178" t="str">
        <f t="shared" si="37"/>
        <v>A6006</v>
      </c>
      <c r="M417" s="178" t="str">
        <f t="shared" si="38"/>
        <v>KCB허위대출조회 &gt; GEA_KCB허위대출결과상세전문조회</v>
      </c>
      <c r="N417" s="178">
        <f t="shared" si="39"/>
        <v>0</v>
      </c>
    </row>
    <row r="418" spans="1:14">
      <c r="A418" s="359" t="s">
        <v>3818</v>
      </c>
      <c r="B418" s="178" t="s">
        <v>5453</v>
      </c>
      <c r="C418" s="178" t="s">
        <v>5246</v>
      </c>
      <c r="D418" s="359" t="s">
        <v>3818</v>
      </c>
      <c r="E418" s="178" t="str">
        <f t="shared" si="36"/>
        <v>B4026</v>
      </c>
      <c r="F418" s="178" t="str">
        <f t="shared" si="40"/>
        <v>GEA_KCB신용요약정보조회Dto</v>
      </c>
      <c r="G418" s="178">
        <f t="shared" si="41"/>
        <v>1</v>
      </c>
      <c r="H418" s="264" t="s">
        <v>2487</v>
      </c>
      <c r="I418" s="264"/>
      <c r="J418" s="264" t="s">
        <v>1203</v>
      </c>
      <c r="K418" s="264" t="s">
        <v>2487</v>
      </c>
      <c r="L418" s="178" t="str">
        <f t="shared" si="37"/>
        <v>A6007</v>
      </c>
      <c r="M418" s="178" t="str">
        <f t="shared" si="38"/>
        <v>KCB허위대출조회 &gt; GEA_KCB허위대출결과상세전문조회</v>
      </c>
      <c r="N418" s="178">
        <f t="shared" si="39"/>
        <v>0</v>
      </c>
    </row>
    <row r="419" spans="1:14">
      <c r="A419" s="359" t="s">
        <v>3819</v>
      </c>
      <c r="B419" s="178" t="s">
        <v>5453</v>
      </c>
      <c r="C419" s="178" t="s">
        <v>5553</v>
      </c>
      <c r="D419" s="359" t="s">
        <v>3819</v>
      </c>
      <c r="E419" s="178" t="str">
        <f t="shared" si="36"/>
        <v>B4027</v>
      </c>
      <c r="F419" s="178" t="str">
        <f t="shared" si="40"/>
        <v>GEA_KCB신용요약정보조회Dto</v>
      </c>
      <c r="G419" s="178">
        <f t="shared" si="41"/>
        <v>1</v>
      </c>
      <c r="H419" s="264" t="s">
        <v>2488</v>
      </c>
      <c r="I419" s="264"/>
      <c r="J419" s="264" t="s">
        <v>1206</v>
      </c>
      <c r="K419" s="264" t="s">
        <v>2488</v>
      </c>
      <c r="L419" s="178" t="str">
        <f t="shared" si="37"/>
        <v>A6008</v>
      </c>
      <c r="M419" s="178" t="str">
        <f t="shared" si="38"/>
        <v>KCB허위대출조회 &gt; GEA_KCB허위대출결과상세전문조회</v>
      </c>
      <c r="N419" s="178">
        <f t="shared" si="39"/>
        <v>0</v>
      </c>
    </row>
    <row r="420" spans="1:14">
      <c r="A420" s="359" t="s">
        <v>3820</v>
      </c>
      <c r="B420" s="178" t="s">
        <v>5453</v>
      </c>
      <c r="C420" s="178" t="s">
        <v>5248</v>
      </c>
      <c r="D420" s="359" t="s">
        <v>3820</v>
      </c>
      <c r="E420" s="178" t="str">
        <f t="shared" si="36"/>
        <v>B4028</v>
      </c>
      <c r="F420" s="178" t="str">
        <f t="shared" si="40"/>
        <v>GEA_KCB신용요약정보조회Dto</v>
      </c>
      <c r="G420" s="178">
        <f t="shared" si="41"/>
        <v>1</v>
      </c>
      <c r="H420" s="264" t="s">
        <v>2489</v>
      </c>
      <c r="I420" s="264"/>
      <c r="J420" s="264" t="s">
        <v>1209</v>
      </c>
      <c r="K420" s="264" t="s">
        <v>2489</v>
      </c>
      <c r="L420" s="178" t="str">
        <f t="shared" si="37"/>
        <v>A6009</v>
      </c>
      <c r="M420" s="178" t="str">
        <f t="shared" si="38"/>
        <v>KCB허위대출조회 &gt; GEA_KCB허위대출결과상세전문조회</v>
      </c>
      <c r="N420" s="178">
        <f t="shared" si="39"/>
        <v>0</v>
      </c>
    </row>
    <row r="421" spans="1:14">
      <c r="A421" s="359" t="s">
        <v>4340</v>
      </c>
      <c r="B421" s="178" t="s">
        <v>5453</v>
      </c>
      <c r="C421" s="178" t="s">
        <v>5554</v>
      </c>
      <c r="D421" s="359" t="s">
        <v>4340</v>
      </c>
      <c r="E421" s="178" t="str">
        <f t="shared" si="36"/>
        <v>B4029</v>
      </c>
      <c r="F421" s="178" t="str">
        <f t="shared" si="40"/>
        <v>GEA_KCB신용요약정보조회Dto</v>
      </c>
      <c r="G421" s="178">
        <f t="shared" si="41"/>
        <v>1</v>
      </c>
      <c r="H421" s="264" t="s">
        <v>2490</v>
      </c>
      <c r="I421" s="264"/>
      <c r="J421" s="264" t="s">
        <v>1212</v>
      </c>
      <c r="K421" s="264" t="s">
        <v>2490</v>
      </c>
      <c r="L421" s="178" t="str">
        <f t="shared" si="37"/>
        <v>A6010</v>
      </c>
      <c r="M421" s="178" t="str">
        <f t="shared" si="38"/>
        <v>KCB허위대출조회 &gt; GEA_KCB허위대출결과상세전문조회</v>
      </c>
      <c r="N421" s="178">
        <f t="shared" si="39"/>
        <v>0</v>
      </c>
    </row>
    <row r="422" spans="1:14">
      <c r="A422" s="359" t="s">
        <v>3821</v>
      </c>
      <c r="B422" s="178" t="s">
        <v>5453</v>
      </c>
      <c r="C422" s="178" t="s">
        <v>5555</v>
      </c>
      <c r="D422" s="359" t="s">
        <v>3821</v>
      </c>
      <c r="E422" s="178" t="str">
        <f t="shared" si="36"/>
        <v>B4030</v>
      </c>
      <c r="F422" s="178" t="str">
        <f t="shared" si="40"/>
        <v>GEA_KCB신용요약정보조회Dto</v>
      </c>
      <c r="G422" s="178">
        <f t="shared" si="41"/>
        <v>1</v>
      </c>
      <c r="H422" s="264" t="s">
        <v>2491</v>
      </c>
      <c r="I422" s="264"/>
      <c r="J422" s="264" t="s">
        <v>1215</v>
      </c>
      <c r="K422" s="264" t="s">
        <v>2491</v>
      </c>
      <c r="L422" s="178" t="str">
        <f t="shared" si="37"/>
        <v>A6011</v>
      </c>
      <c r="M422" s="178" t="str">
        <f t="shared" si="38"/>
        <v>KCB허위대출조회 &gt; GEA_KCB허위대출결과상세전문조회</v>
      </c>
      <c r="N422" s="178">
        <f t="shared" si="39"/>
        <v>0</v>
      </c>
    </row>
    <row r="423" spans="1:14">
      <c r="A423" s="359" t="s">
        <v>3822</v>
      </c>
      <c r="B423" s="178" t="s">
        <v>5453</v>
      </c>
      <c r="C423" s="178" t="s">
        <v>5556</v>
      </c>
      <c r="D423" s="359" t="s">
        <v>3822</v>
      </c>
      <c r="E423" s="178" t="str">
        <f t="shared" si="36"/>
        <v>B4031</v>
      </c>
      <c r="F423" s="178" t="str">
        <f t="shared" si="40"/>
        <v>GEA_KCB신용요약정보조회Dto</v>
      </c>
      <c r="G423" s="178">
        <f t="shared" si="41"/>
        <v>1</v>
      </c>
      <c r="H423" s="264" t="s">
        <v>2492</v>
      </c>
      <c r="I423" s="264"/>
      <c r="J423" s="264" t="s">
        <v>1218</v>
      </c>
      <c r="K423" s="264" t="s">
        <v>2492</v>
      </c>
      <c r="L423" s="178" t="str">
        <f t="shared" si="37"/>
        <v>A6012</v>
      </c>
      <c r="M423" s="178" t="str">
        <f t="shared" si="38"/>
        <v>KCB허위대출조회 &gt; GEA_KCB허위대출결과상세전문조회</v>
      </c>
      <c r="N423" s="178">
        <f t="shared" si="39"/>
        <v>0</v>
      </c>
    </row>
    <row r="424" spans="1:14">
      <c r="A424" s="359" t="s">
        <v>3823</v>
      </c>
      <c r="B424" s="178" t="s">
        <v>5453</v>
      </c>
      <c r="C424" s="178" t="s">
        <v>5557</v>
      </c>
      <c r="D424" s="359" t="s">
        <v>3823</v>
      </c>
      <c r="E424" s="178" t="str">
        <f t="shared" si="36"/>
        <v>B4032</v>
      </c>
      <c r="F424" s="178" t="str">
        <f t="shared" si="40"/>
        <v>GEA_KCB신용요약정보조회Dto</v>
      </c>
      <c r="G424" s="178">
        <f t="shared" si="41"/>
        <v>1</v>
      </c>
      <c r="H424" s="264" t="s">
        <v>2493</v>
      </c>
      <c r="I424" s="264"/>
      <c r="J424" s="264" t="s">
        <v>1221</v>
      </c>
      <c r="K424" s="264" t="s">
        <v>2493</v>
      </c>
      <c r="L424" s="178" t="str">
        <f t="shared" si="37"/>
        <v>A6013</v>
      </c>
      <c r="M424" s="178" t="str">
        <f t="shared" si="38"/>
        <v>KCB허위대출조회 &gt; GEA_KCB허위대출결과상세전문조회</v>
      </c>
      <c r="N424" s="178">
        <f t="shared" si="39"/>
        <v>0</v>
      </c>
    </row>
    <row r="425" spans="1:14">
      <c r="A425" s="359" t="s">
        <v>3824</v>
      </c>
      <c r="B425" s="178" t="s">
        <v>5453</v>
      </c>
      <c r="C425" s="178" t="s">
        <v>5558</v>
      </c>
      <c r="D425" s="359" t="s">
        <v>3824</v>
      </c>
      <c r="E425" s="178" t="str">
        <f t="shared" si="36"/>
        <v>B4033</v>
      </c>
      <c r="F425" s="178" t="str">
        <f t="shared" si="40"/>
        <v>GEA_KCB신용요약정보조회Dto</v>
      </c>
      <c r="G425" s="178">
        <f t="shared" si="41"/>
        <v>1</v>
      </c>
      <c r="H425" s="264" t="s">
        <v>2494</v>
      </c>
      <c r="I425" s="264"/>
      <c r="J425" s="264" t="s">
        <v>1224</v>
      </c>
      <c r="K425" s="264" t="s">
        <v>2494</v>
      </c>
      <c r="L425" s="178" t="str">
        <f t="shared" si="37"/>
        <v>A6014</v>
      </c>
      <c r="M425" s="178" t="str">
        <f t="shared" si="38"/>
        <v>KCB허위대출조회 &gt; GEA_KCB허위대출결과상세전문조회</v>
      </c>
      <c r="N425" s="178">
        <f t="shared" si="39"/>
        <v>0</v>
      </c>
    </row>
    <row r="426" spans="1:14">
      <c r="A426" s="359" t="s">
        <v>4341</v>
      </c>
      <c r="B426" s="178" t="s">
        <v>5453</v>
      </c>
      <c r="C426" s="178" t="s">
        <v>5559</v>
      </c>
      <c r="D426" s="359" t="s">
        <v>4341</v>
      </c>
      <c r="E426" s="178" t="str">
        <f t="shared" si="36"/>
        <v>B4034</v>
      </c>
      <c r="F426" s="178" t="str">
        <f t="shared" si="40"/>
        <v>GEA_KCB신용요약정보조회Dto</v>
      </c>
      <c r="G426" s="178">
        <f t="shared" si="41"/>
        <v>1</v>
      </c>
      <c r="H426" s="264" t="s">
        <v>2495</v>
      </c>
      <c r="I426" s="264"/>
      <c r="J426" s="264" t="s">
        <v>1227</v>
      </c>
      <c r="K426" s="264" t="s">
        <v>2495</v>
      </c>
      <c r="L426" s="178" t="str">
        <f t="shared" si="37"/>
        <v>A6015</v>
      </c>
      <c r="M426" s="178" t="str">
        <f t="shared" si="38"/>
        <v>KCB허위대출조회 &gt; GEA_KCB허위대출결과상세전문조회</v>
      </c>
      <c r="N426" s="178">
        <f t="shared" si="39"/>
        <v>0</v>
      </c>
    </row>
    <row r="427" spans="1:14">
      <c r="A427" s="359" t="s">
        <v>4342</v>
      </c>
      <c r="B427" s="178" t="s">
        <v>5453</v>
      </c>
      <c r="C427" s="178" t="s">
        <v>5560</v>
      </c>
      <c r="D427" s="359" t="s">
        <v>4342</v>
      </c>
      <c r="E427" s="178" t="str">
        <f t="shared" si="36"/>
        <v>B4035</v>
      </c>
      <c r="F427" s="178" t="str">
        <f t="shared" si="40"/>
        <v>GEA_KCB신용요약정보조회Dto</v>
      </c>
      <c r="G427" s="178">
        <f t="shared" si="41"/>
        <v>1</v>
      </c>
      <c r="H427" s="264" t="s">
        <v>2496</v>
      </c>
      <c r="I427" s="264"/>
      <c r="J427" s="264" t="s">
        <v>1230</v>
      </c>
      <c r="K427" s="264" t="s">
        <v>2496</v>
      </c>
      <c r="L427" s="178" t="str">
        <f t="shared" si="37"/>
        <v>A6016</v>
      </c>
      <c r="M427" s="178" t="str">
        <f t="shared" si="38"/>
        <v>KCB허위대출조회 &gt; GEA_KCB허위대출결과상세전문조회</v>
      </c>
      <c r="N427" s="178">
        <f t="shared" si="39"/>
        <v>0</v>
      </c>
    </row>
    <row r="428" spans="1:14">
      <c r="A428" s="359" t="s">
        <v>4343</v>
      </c>
      <c r="B428" s="178" t="s">
        <v>5453</v>
      </c>
      <c r="C428" s="178" t="s">
        <v>5561</v>
      </c>
      <c r="D428" s="359" t="s">
        <v>4343</v>
      </c>
      <c r="E428" s="178" t="str">
        <f t="shared" si="36"/>
        <v>B4036</v>
      </c>
      <c r="F428" s="178" t="str">
        <f t="shared" si="40"/>
        <v>GEA_KCB신용요약정보조회Dto</v>
      </c>
      <c r="G428" s="178">
        <f t="shared" si="41"/>
        <v>1</v>
      </c>
      <c r="H428" s="264" t="s">
        <v>2497</v>
      </c>
      <c r="I428" s="264"/>
      <c r="J428" s="264" t="s">
        <v>1233</v>
      </c>
      <c r="K428" s="264" t="s">
        <v>2497</v>
      </c>
      <c r="L428" s="178" t="str">
        <f t="shared" si="37"/>
        <v>A6017</v>
      </c>
      <c r="M428" s="178" t="str">
        <f t="shared" si="38"/>
        <v>KCB허위대출조회 &gt; GEA_KCB허위대출결과상세전문조회</v>
      </c>
      <c r="N428" s="178">
        <f t="shared" si="39"/>
        <v>0</v>
      </c>
    </row>
    <row r="429" spans="1:14">
      <c r="A429" s="359" t="s">
        <v>4344</v>
      </c>
      <c r="B429" s="178" t="s">
        <v>5453</v>
      </c>
      <c r="C429" s="178" t="s">
        <v>5562</v>
      </c>
      <c r="D429" s="359" t="s">
        <v>4344</v>
      </c>
      <c r="E429" s="178" t="str">
        <f t="shared" si="36"/>
        <v>B4037</v>
      </c>
      <c r="F429" s="178" t="str">
        <f t="shared" si="40"/>
        <v>GEA_KCB신용요약정보조회Dto</v>
      </c>
      <c r="G429" s="178">
        <f t="shared" si="41"/>
        <v>1</v>
      </c>
      <c r="H429" s="264" t="s">
        <v>2498</v>
      </c>
      <c r="I429" s="264"/>
      <c r="J429" s="264" t="s">
        <v>1236</v>
      </c>
      <c r="K429" s="264" t="s">
        <v>2498</v>
      </c>
      <c r="L429" s="178" t="str">
        <f t="shared" si="37"/>
        <v>A6018</v>
      </c>
      <c r="M429" s="178" t="str">
        <f t="shared" si="38"/>
        <v>KCB허위대출조회 &gt; GEA_KCB허위대출결과상세전문조회</v>
      </c>
      <c r="N429" s="178">
        <f t="shared" si="39"/>
        <v>0</v>
      </c>
    </row>
    <row r="430" spans="1:14">
      <c r="A430" s="359" t="s">
        <v>4345</v>
      </c>
      <c r="B430" s="178" t="s">
        <v>5453</v>
      </c>
      <c r="C430" s="178" t="s">
        <v>3846</v>
      </c>
      <c r="D430" s="359" t="s">
        <v>4345</v>
      </c>
      <c r="E430" s="178" t="str">
        <f t="shared" si="36"/>
        <v>B4038</v>
      </c>
      <c r="F430" s="178" t="str">
        <f t="shared" si="40"/>
        <v>GEA_KCB신용요약정보조회Dto</v>
      </c>
      <c r="G430" s="178">
        <f t="shared" si="41"/>
        <v>1</v>
      </c>
      <c r="H430" s="264" t="s">
        <v>2499</v>
      </c>
      <c r="I430" s="264"/>
      <c r="J430" s="264" t="s">
        <v>1239</v>
      </c>
      <c r="K430" s="264" t="s">
        <v>2499</v>
      </c>
      <c r="L430" s="178" t="str">
        <f t="shared" si="37"/>
        <v>A6019</v>
      </c>
      <c r="M430" s="178" t="str">
        <f t="shared" si="38"/>
        <v>KCB허위대출조회 &gt; GEA_KCB허위대출결과상세전문조회</v>
      </c>
      <c r="N430" s="178">
        <f t="shared" si="39"/>
        <v>0</v>
      </c>
    </row>
    <row r="431" spans="1:14">
      <c r="A431" s="359" t="s">
        <v>4346</v>
      </c>
      <c r="B431" s="178" t="s">
        <v>5453</v>
      </c>
      <c r="C431" s="178" t="s">
        <v>5563</v>
      </c>
      <c r="D431" s="359" t="s">
        <v>4346</v>
      </c>
      <c r="E431" s="178" t="str">
        <f t="shared" si="36"/>
        <v>B4039</v>
      </c>
      <c r="F431" s="178" t="str">
        <f t="shared" si="40"/>
        <v>GEA_KCB신용요약정보조회Dto</v>
      </c>
      <c r="G431" s="178">
        <f t="shared" si="41"/>
        <v>1</v>
      </c>
      <c r="H431" s="264" t="s">
        <v>2500</v>
      </c>
      <c r="I431" s="264"/>
      <c r="J431" s="264" t="s">
        <v>1242</v>
      </c>
      <c r="K431" s="264" t="s">
        <v>2500</v>
      </c>
      <c r="L431" s="178" t="str">
        <f t="shared" si="37"/>
        <v>A6020</v>
      </c>
      <c r="M431" s="178" t="str">
        <f t="shared" si="38"/>
        <v>KCB허위대출조회 &gt; GEA_KCB허위대출결과상세전문조회</v>
      </c>
      <c r="N431" s="178">
        <f t="shared" si="39"/>
        <v>0</v>
      </c>
    </row>
    <row r="432" spans="1:14">
      <c r="A432" s="359" t="s">
        <v>4347</v>
      </c>
      <c r="B432" s="178" t="s">
        <v>5453</v>
      </c>
      <c r="C432" s="178" t="s">
        <v>5564</v>
      </c>
      <c r="D432" s="359" t="s">
        <v>4347</v>
      </c>
      <c r="E432" s="178" t="str">
        <f t="shared" si="36"/>
        <v>B4040</v>
      </c>
      <c r="F432" s="178" t="str">
        <f t="shared" si="40"/>
        <v>GEA_KCB신용요약정보조회Dto</v>
      </c>
      <c r="G432" s="178">
        <f t="shared" si="41"/>
        <v>1</v>
      </c>
      <c r="H432" s="264" t="s">
        <v>2501</v>
      </c>
      <c r="I432" s="264"/>
      <c r="J432" s="264" t="s">
        <v>1245</v>
      </c>
      <c r="K432" s="264" t="s">
        <v>2501</v>
      </c>
      <c r="L432" s="178" t="str">
        <f t="shared" si="37"/>
        <v>A6021</v>
      </c>
      <c r="M432" s="178" t="str">
        <f t="shared" si="38"/>
        <v>KCB허위대출조회 &gt; GEA_KCB허위대출결과상세전문조회</v>
      </c>
      <c r="N432" s="178">
        <f t="shared" si="39"/>
        <v>0</v>
      </c>
    </row>
    <row r="433" spans="1:14">
      <c r="A433" s="359" t="s">
        <v>4348</v>
      </c>
      <c r="B433" s="178" t="s">
        <v>5453</v>
      </c>
      <c r="C433" s="178" t="s">
        <v>5565</v>
      </c>
      <c r="D433" s="359" t="s">
        <v>4348</v>
      </c>
      <c r="E433" s="178" t="str">
        <f t="shared" si="36"/>
        <v>B4041</v>
      </c>
      <c r="F433" s="178" t="str">
        <f t="shared" si="40"/>
        <v>GEA_KCB신용요약정보조회Dto</v>
      </c>
      <c r="G433" s="178">
        <f t="shared" si="41"/>
        <v>1</v>
      </c>
      <c r="H433" s="264" t="s">
        <v>2502</v>
      </c>
      <c r="I433" s="264"/>
      <c r="J433" s="264" t="s">
        <v>1248</v>
      </c>
      <c r="K433" s="264" t="s">
        <v>2502</v>
      </c>
      <c r="L433" s="178" t="str">
        <f t="shared" si="37"/>
        <v>A6022</v>
      </c>
      <c r="M433" s="178" t="str">
        <f t="shared" si="38"/>
        <v>KCB허위대출조회 &gt; GEA_KCB허위대출결과상세전문조회</v>
      </c>
      <c r="N433" s="178">
        <f t="shared" si="39"/>
        <v>0</v>
      </c>
    </row>
    <row r="434" spans="1:14">
      <c r="A434" s="359" t="s">
        <v>4349</v>
      </c>
      <c r="B434" s="178" t="s">
        <v>5453</v>
      </c>
      <c r="C434" s="178" t="s">
        <v>5566</v>
      </c>
      <c r="D434" s="359" t="s">
        <v>4349</v>
      </c>
      <c r="E434" s="178" t="str">
        <f t="shared" si="36"/>
        <v>B4042</v>
      </c>
      <c r="F434" s="178" t="str">
        <f t="shared" si="40"/>
        <v>GEA_KCB신용요약정보조회Dto</v>
      </c>
      <c r="G434" s="178">
        <f t="shared" si="41"/>
        <v>1</v>
      </c>
      <c r="H434" s="264" t="s">
        <v>2503</v>
      </c>
      <c r="I434" s="264"/>
      <c r="J434" s="264" t="s">
        <v>1251</v>
      </c>
      <c r="K434" s="264" t="s">
        <v>2503</v>
      </c>
      <c r="L434" s="178" t="str">
        <f t="shared" si="37"/>
        <v>A6023</v>
      </c>
      <c r="M434" s="178" t="str">
        <f t="shared" si="38"/>
        <v>KCB허위대출조회 &gt; GEA_KCB허위대출결과상세전문조회</v>
      </c>
      <c r="N434" s="178">
        <f t="shared" si="39"/>
        <v>0</v>
      </c>
    </row>
    <row r="435" spans="1:14">
      <c r="A435" s="359" t="s">
        <v>4350</v>
      </c>
      <c r="B435" s="178" t="s">
        <v>5453</v>
      </c>
      <c r="C435" s="178" t="s">
        <v>5567</v>
      </c>
      <c r="D435" s="359" t="s">
        <v>4350</v>
      </c>
      <c r="E435" s="178" t="str">
        <f t="shared" si="36"/>
        <v>B4043</v>
      </c>
      <c r="F435" s="178" t="str">
        <f t="shared" si="40"/>
        <v>GEA_KCB신용요약정보조회Dto</v>
      </c>
      <c r="G435" s="178">
        <f t="shared" si="41"/>
        <v>1</v>
      </c>
      <c r="H435" s="264" t="s">
        <v>2504</v>
      </c>
      <c r="I435" s="264"/>
      <c r="J435" s="264" t="s">
        <v>1254</v>
      </c>
      <c r="K435" s="264" t="s">
        <v>2504</v>
      </c>
      <c r="L435" s="178" t="str">
        <f t="shared" si="37"/>
        <v>A6024</v>
      </c>
      <c r="M435" s="178" t="str">
        <f t="shared" si="38"/>
        <v>KCB허위대출조회 &gt; GEA_KCB허위대출결과상세전문조회</v>
      </c>
      <c r="N435" s="178">
        <f t="shared" si="39"/>
        <v>0</v>
      </c>
    </row>
    <row r="436" spans="1:14">
      <c r="A436" s="359" t="s">
        <v>4351</v>
      </c>
      <c r="B436" s="178" t="s">
        <v>5453</v>
      </c>
      <c r="C436" s="178" t="s">
        <v>3854</v>
      </c>
      <c r="D436" s="359" t="s">
        <v>4351</v>
      </c>
      <c r="E436" s="178" t="e">
        <f t="shared" si="36"/>
        <v>#N/A</v>
      </c>
      <c r="F436" s="178" t="e">
        <f t="shared" si="40"/>
        <v>#N/A</v>
      </c>
      <c r="G436" s="178" t="e">
        <f t="shared" si="41"/>
        <v>#N/A</v>
      </c>
      <c r="H436" s="264" t="s">
        <v>2505</v>
      </c>
      <c r="I436" s="264"/>
      <c r="J436" s="264" t="s">
        <v>1257</v>
      </c>
      <c r="K436" s="264" t="s">
        <v>2505</v>
      </c>
      <c r="L436" s="178" t="str">
        <f t="shared" si="37"/>
        <v>A6025</v>
      </c>
      <c r="M436" s="178" t="str">
        <f t="shared" si="38"/>
        <v>KCB허위대출조회 &gt; GEA_KCB허위대출결과상세전문조회</v>
      </c>
      <c r="N436" s="178">
        <f t="shared" si="39"/>
        <v>0</v>
      </c>
    </row>
    <row r="437" spans="1:14">
      <c r="A437" s="359" t="s">
        <v>4352</v>
      </c>
      <c r="B437" s="178" t="s">
        <v>5453</v>
      </c>
      <c r="C437" s="178" t="s">
        <v>3840</v>
      </c>
      <c r="D437" s="359" t="s">
        <v>4352</v>
      </c>
      <c r="E437" s="178" t="str">
        <f t="shared" si="36"/>
        <v>B4045</v>
      </c>
      <c r="F437" s="178" t="str">
        <f t="shared" si="40"/>
        <v>GEA_KCB신용요약정보조회Dto</v>
      </c>
      <c r="G437" s="178">
        <f t="shared" si="41"/>
        <v>1</v>
      </c>
      <c r="H437" s="264" t="s">
        <v>2506</v>
      </c>
      <c r="I437" s="264"/>
      <c r="J437" s="264" t="s">
        <v>3214</v>
      </c>
      <c r="K437" s="264" t="s">
        <v>2506</v>
      </c>
      <c r="L437" s="178" t="str">
        <f t="shared" si="37"/>
        <v>A6026</v>
      </c>
      <c r="M437" s="178" t="str">
        <f t="shared" si="38"/>
        <v>KCB허위대출조회 &gt; GEA_KCB허위대출결과상세전문조회</v>
      </c>
      <c r="N437" s="178">
        <f t="shared" si="39"/>
        <v>0</v>
      </c>
    </row>
    <row r="438" spans="1:14">
      <c r="A438" s="359" t="s">
        <v>4353</v>
      </c>
      <c r="B438" s="178" t="s">
        <v>5453</v>
      </c>
      <c r="C438" s="178" t="s">
        <v>5568</v>
      </c>
      <c r="D438" s="359" t="s">
        <v>4353</v>
      </c>
      <c r="E438" s="178" t="str">
        <f t="shared" si="36"/>
        <v>B4046</v>
      </c>
      <c r="F438" s="178" t="str">
        <f t="shared" si="40"/>
        <v>GEA_KCB신용요약정보조회Dto</v>
      </c>
      <c r="G438" s="178">
        <f t="shared" si="41"/>
        <v>1</v>
      </c>
      <c r="H438" s="264" t="s">
        <v>2507</v>
      </c>
      <c r="I438" s="264"/>
      <c r="J438" s="264" t="s">
        <v>1262</v>
      </c>
      <c r="K438" s="264" t="s">
        <v>2507</v>
      </c>
      <c r="L438" s="178" t="str">
        <f t="shared" si="37"/>
        <v>A6027</v>
      </c>
      <c r="M438" s="178" t="str">
        <f t="shared" si="38"/>
        <v>KCB허위대출조회 &gt; GEA_KCB허위대출결과상세전문조회</v>
      </c>
      <c r="N438" s="178">
        <f t="shared" si="39"/>
        <v>0</v>
      </c>
    </row>
    <row r="439" spans="1:14">
      <c r="A439" s="359" t="s">
        <v>4354</v>
      </c>
      <c r="B439" s="178" t="s">
        <v>5453</v>
      </c>
      <c r="C439" s="178" t="s">
        <v>5569</v>
      </c>
      <c r="D439" s="359" t="s">
        <v>4354</v>
      </c>
      <c r="E439" s="178" t="str">
        <f t="shared" si="36"/>
        <v>B4047</v>
      </c>
      <c r="F439" s="178" t="str">
        <f t="shared" si="40"/>
        <v>GEA_KCB신용요약정보조회Dto</v>
      </c>
      <c r="G439" s="178">
        <f t="shared" si="41"/>
        <v>1</v>
      </c>
      <c r="H439" s="264" t="s">
        <v>2508</v>
      </c>
      <c r="I439" s="264"/>
      <c r="J439" s="264" t="s">
        <v>1265</v>
      </c>
      <c r="K439" s="264" t="s">
        <v>2508</v>
      </c>
      <c r="L439" s="178" t="str">
        <f t="shared" si="37"/>
        <v>A6028</v>
      </c>
      <c r="M439" s="178" t="str">
        <f t="shared" si="38"/>
        <v>KCB허위대출조회 &gt; GEA_KCB허위대출결과상세전문조회</v>
      </c>
      <c r="N439" s="178">
        <f t="shared" si="39"/>
        <v>0</v>
      </c>
    </row>
    <row r="440" spans="1:14">
      <c r="A440" s="359" t="s">
        <v>4355</v>
      </c>
      <c r="B440" s="178" t="s">
        <v>5453</v>
      </c>
      <c r="C440" s="178" t="s">
        <v>5570</v>
      </c>
      <c r="D440" s="359" t="s">
        <v>4355</v>
      </c>
      <c r="E440" s="178" t="str">
        <f t="shared" si="36"/>
        <v>B4048</v>
      </c>
      <c r="F440" s="178" t="str">
        <f t="shared" si="40"/>
        <v>GEA_KCB신용요약정보조회Dto</v>
      </c>
      <c r="G440" s="178">
        <f t="shared" si="41"/>
        <v>1</v>
      </c>
      <c r="H440" s="264" t="s">
        <v>2509</v>
      </c>
      <c r="I440" s="264"/>
      <c r="J440" s="264" t="s">
        <v>1268</v>
      </c>
      <c r="K440" s="264" t="s">
        <v>2509</v>
      </c>
      <c r="L440" s="178" t="str">
        <f t="shared" si="37"/>
        <v>A6029</v>
      </c>
      <c r="M440" s="178" t="str">
        <f t="shared" si="38"/>
        <v>KCB허위대출조회 &gt; GEA_KCB허위대출결과상세전문조회</v>
      </c>
      <c r="N440" s="178">
        <f t="shared" si="39"/>
        <v>0</v>
      </c>
    </row>
    <row r="441" spans="1:14">
      <c r="A441" s="359" t="s">
        <v>4356</v>
      </c>
      <c r="B441" s="178" t="s">
        <v>5453</v>
      </c>
      <c r="C441" s="178" t="s">
        <v>5571</v>
      </c>
      <c r="D441" s="359" t="s">
        <v>4356</v>
      </c>
      <c r="E441" s="178" t="str">
        <f t="shared" si="36"/>
        <v>B4049</v>
      </c>
      <c r="F441" s="178" t="str">
        <f t="shared" si="40"/>
        <v>GEA_KCB신용요약정보조회Dto</v>
      </c>
      <c r="G441" s="178">
        <f t="shared" si="41"/>
        <v>1</v>
      </c>
      <c r="H441" s="264" t="s">
        <v>2510</v>
      </c>
      <c r="I441" s="264"/>
      <c r="J441" s="264" t="s">
        <v>3215</v>
      </c>
      <c r="K441" s="264" t="s">
        <v>2510</v>
      </c>
      <c r="L441" s="178" t="str">
        <f t="shared" si="37"/>
        <v>A6030</v>
      </c>
      <c r="M441" s="178" t="str">
        <f t="shared" si="38"/>
        <v>KCB허위대출조회 &gt; GEA_KCB허위대출결과상세전문조회</v>
      </c>
      <c r="N441" s="178">
        <f t="shared" si="39"/>
        <v>0</v>
      </c>
    </row>
    <row r="442" spans="1:14">
      <c r="A442" s="359" t="s">
        <v>4357</v>
      </c>
      <c r="B442" s="178" t="s">
        <v>5453</v>
      </c>
      <c r="C442" s="178" t="s">
        <v>5572</v>
      </c>
      <c r="D442" s="359" t="s">
        <v>4357</v>
      </c>
      <c r="E442" s="178" t="str">
        <f t="shared" si="36"/>
        <v>B4050</v>
      </c>
      <c r="F442" s="178" t="str">
        <f t="shared" si="40"/>
        <v>GEA_KCB신용요약정보조회Dto</v>
      </c>
      <c r="G442" s="178">
        <f t="shared" si="41"/>
        <v>1</v>
      </c>
      <c r="H442" s="264" t="s">
        <v>2511</v>
      </c>
      <c r="I442" s="264"/>
      <c r="J442" s="264" t="s">
        <v>1273</v>
      </c>
      <c r="K442" s="264" t="s">
        <v>2511</v>
      </c>
      <c r="L442" s="178" t="str">
        <f t="shared" si="37"/>
        <v>A6031</v>
      </c>
      <c r="M442" s="178" t="str">
        <f t="shared" si="38"/>
        <v>KCB허위대출조회 &gt; GEA_KCB허위대출결과상세전문조회</v>
      </c>
      <c r="N442" s="178">
        <f t="shared" si="39"/>
        <v>0</v>
      </c>
    </row>
    <row r="443" spans="1:14">
      <c r="A443" s="359" t="s">
        <v>4358</v>
      </c>
      <c r="B443" s="178" t="s">
        <v>5453</v>
      </c>
      <c r="C443" s="178" t="s">
        <v>5573</v>
      </c>
      <c r="D443" s="359" t="s">
        <v>4358</v>
      </c>
      <c r="E443" s="178" t="str">
        <f t="shared" si="36"/>
        <v>B4051</v>
      </c>
      <c r="F443" s="178" t="str">
        <f t="shared" si="40"/>
        <v>GEA_KCB신용요약정보조회Dto</v>
      </c>
      <c r="G443" s="178">
        <f t="shared" si="41"/>
        <v>1</v>
      </c>
      <c r="H443" s="264" t="s">
        <v>2512</v>
      </c>
      <c r="I443" s="264"/>
      <c r="J443" s="264" t="s">
        <v>1276</v>
      </c>
      <c r="K443" s="264" t="s">
        <v>2512</v>
      </c>
      <c r="L443" s="178" t="str">
        <f t="shared" si="37"/>
        <v>A6032</v>
      </c>
      <c r="M443" s="178" t="str">
        <f t="shared" si="38"/>
        <v>KCB허위대출조회 &gt; GEA_KCB허위대출결과상세전문조회</v>
      </c>
      <c r="N443" s="178">
        <f t="shared" si="39"/>
        <v>0</v>
      </c>
    </row>
    <row r="444" spans="1:14">
      <c r="A444" s="359" t="s">
        <v>4359</v>
      </c>
      <c r="B444" s="178" t="s">
        <v>5453</v>
      </c>
      <c r="C444" s="178" t="s">
        <v>5574</v>
      </c>
      <c r="D444" s="359" t="s">
        <v>4359</v>
      </c>
      <c r="E444" s="178" t="str">
        <f t="shared" si="36"/>
        <v>B4052</v>
      </c>
      <c r="F444" s="178" t="str">
        <f t="shared" si="40"/>
        <v>GEA_KCB신용요약정보조회Dto</v>
      </c>
      <c r="G444" s="178">
        <f t="shared" si="41"/>
        <v>1</v>
      </c>
      <c r="H444" s="264" t="s">
        <v>2513</v>
      </c>
      <c r="I444" s="264"/>
      <c r="J444" s="264" t="s">
        <v>1279</v>
      </c>
      <c r="K444" s="264" t="s">
        <v>2513</v>
      </c>
      <c r="L444" s="178" t="str">
        <f t="shared" si="37"/>
        <v>A6033</v>
      </c>
      <c r="M444" s="178" t="str">
        <f t="shared" si="38"/>
        <v>KCB허위대출조회 &gt; GEA_KCB허위대출결과상세전문조회</v>
      </c>
      <c r="N444" s="178">
        <f t="shared" si="39"/>
        <v>0</v>
      </c>
    </row>
    <row r="445" spans="1:14">
      <c r="A445" s="359" t="s">
        <v>4360</v>
      </c>
      <c r="B445" s="178" t="s">
        <v>5453</v>
      </c>
      <c r="C445" s="178" t="s">
        <v>5575</v>
      </c>
      <c r="D445" s="359" t="s">
        <v>4360</v>
      </c>
      <c r="E445" s="178" t="str">
        <f t="shared" si="36"/>
        <v>B4053</v>
      </c>
      <c r="F445" s="178" t="str">
        <f t="shared" si="40"/>
        <v>GEA_KCB신용요약정보조회Dto</v>
      </c>
      <c r="G445" s="178">
        <f t="shared" si="41"/>
        <v>1</v>
      </c>
      <c r="H445" s="264" t="s">
        <v>2514</v>
      </c>
      <c r="I445" s="264"/>
      <c r="J445" s="264" t="s">
        <v>1282</v>
      </c>
      <c r="K445" s="264" t="s">
        <v>2514</v>
      </c>
      <c r="L445" s="178" t="str">
        <f t="shared" si="37"/>
        <v>A6034</v>
      </c>
      <c r="M445" s="178" t="str">
        <f t="shared" si="38"/>
        <v>KCB허위대출조회 &gt; GEA_KCB허위대출결과상세전문조회</v>
      </c>
      <c r="N445" s="178">
        <f t="shared" si="39"/>
        <v>0</v>
      </c>
    </row>
    <row r="446" spans="1:14">
      <c r="A446" s="359" t="s">
        <v>4361</v>
      </c>
      <c r="B446" s="178" t="s">
        <v>5453</v>
      </c>
      <c r="C446" s="178" t="s">
        <v>978</v>
      </c>
      <c r="D446" s="359" t="s">
        <v>4361</v>
      </c>
      <c r="E446" s="178" t="str">
        <f t="shared" si="36"/>
        <v>A4017</v>
      </c>
      <c r="F446" s="178" t="str">
        <f t="shared" si="40"/>
        <v>GEA_KCB신용요약정보조회Dto</v>
      </c>
      <c r="G446" s="178">
        <f t="shared" si="41"/>
        <v>1</v>
      </c>
      <c r="H446" s="264" t="s">
        <v>2515</v>
      </c>
      <c r="I446" s="264"/>
      <c r="J446" s="264" t="s">
        <v>1285</v>
      </c>
      <c r="K446" s="264" t="s">
        <v>2515</v>
      </c>
      <c r="L446" s="178" t="str">
        <f t="shared" si="37"/>
        <v>A6035</v>
      </c>
      <c r="M446" s="178" t="str">
        <f t="shared" si="38"/>
        <v>KCB허위대출조회 &gt; GEA_KCB허위대출결과상세전문조회</v>
      </c>
      <c r="N446" s="178">
        <f t="shared" si="39"/>
        <v>0</v>
      </c>
    </row>
    <row r="447" spans="1:14">
      <c r="A447" s="359" t="s">
        <v>4362</v>
      </c>
      <c r="B447" s="178" t="s">
        <v>5453</v>
      </c>
      <c r="C447" s="178" t="s">
        <v>975</v>
      </c>
      <c r="D447" s="359" t="s">
        <v>4362</v>
      </c>
      <c r="E447" s="178" t="str">
        <f t="shared" si="36"/>
        <v>A4016</v>
      </c>
      <c r="F447" s="178" t="str">
        <f t="shared" si="40"/>
        <v>GEA_KCB신용요약정보조회Dto</v>
      </c>
      <c r="G447" s="178">
        <f t="shared" si="41"/>
        <v>1</v>
      </c>
      <c r="H447" s="264" t="s">
        <v>2516</v>
      </c>
      <c r="I447" s="264"/>
      <c r="J447" s="264" t="s">
        <v>1288</v>
      </c>
      <c r="K447" s="264" t="s">
        <v>2516</v>
      </c>
      <c r="L447" s="178" t="str">
        <f t="shared" si="37"/>
        <v>A6036</v>
      </c>
      <c r="M447" s="178" t="str">
        <f t="shared" si="38"/>
        <v>KCB허위대출조회 &gt; GEA_KCB허위대출결과상세전문조회</v>
      </c>
      <c r="N447" s="178">
        <f t="shared" si="39"/>
        <v>0</v>
      </c>
    </row>
    <row r="448" spans="1:14">
      <c r="A448" s="359" t="s">
        <v>5589</v>
      </c>
      <c r="B448" s="178" t="s">
        <v>5453</v>
      </c>
      <c r="C448" s="178" t="s">
        <v>972</v>
      </c>
      <c r="D448" s="359" t="s">
        <v>5589</v>
      </c>
      <c r="E448" s="178" t="str">
        <f t="shared" si="36"/>
        <v>A4015</v>
      </c>
      <c r="F448" s="178">
        <f t="shared" si="40"/>
        <v>0</v>
      </c>
      <c r="G448" s="178">
        <f t="shared" si="41"/>
        <v>0</v>
      </c>
      <c r="H448" s="264" t="s">
        <v>2517</v>
      </c>
      <c r="I448" s="264"/>
      <c r="J448" s="264" t="s">
        <v>1291</v>
      </c>
      <c r="K448" s="264" t="s">
        <v>2517</v>
      </c>
      <c r="L448" s="178" t="str">
        <f t="shared" si="37"/>
        <v>A6037</v>
      </c>
      <c r="M448" s="178" t="str">
        <f t="shared" si="38"/>
        <v>KCB허위대출조회 &gt; GEA_KCB허위대출결과상세전문조회</v>
      </c>
      <c r="N448" s="178">
        <f t="shared" si="39"/>
        <v>0</v>
      </c>
    </row>
    <row r="449" spans="1:14">
      <c r="A449" s="359" t="s">
        <v>5590</v>
      </c>
      <c r="B449" s="178" t="s">
        <v>5453</v>
      </c>
      <c r="C449" s="178" t="s">
        <v>5576</v>
      </c>
      <c r="D449" s="359" t="s">
        <v>5590</v>
      </c>
      <c r="E449" s="178" t="e">
        <f t="shared" si="36"/>
        <v>#N/A</v>
      </c>
      <c r="F449" s="178" t="e">
        <f t="shared" si="40"/>
        <v>#N/A</v>
      </c>
      <c r="G449" s="178" t="e">
        <f t="shared" si="41"/>
        <v>#N/A</v>
      </c>
      <c r="H449" s="264" t="s">
        <v>2518</v>
      </c>
      <c r="I449" s="264"/>
      <c r="J449" s="264" t="s">
        <v>1294</v>
      </c>
      <c r="K449" s="264" t="s">
        <v>2518</v>
      </c>
      <c r="L449" s="178" t="str">
        <f t="shared" si="37"/>
        <v>A6038</v>
      </c>
      <c r="M449" s="178" t="str">
        <f t="shared" si="38"/>
        <v>KCB허위대출조회 &gt; GEA_KCB허위대출결과상세전문조회</v>
      </c>
      <c r="N449" s="178">
        <f t="shared" si="39"/>
        <v>0</v>
      </c>
    </row>
    <row r="450" spans="1:14">
      <c r="A450" s="359" t="s">
        <v>5591</v>
      </c>
      <c r="B450" s="178" t="s">
        <v>5453</v>
      </c>
      <c r="C450" s="178" t="s">
        <v>5577</v>
      </c>
      <c r="D450" s="359" t="s">
        <v>5591</v>
      </c>
      <c r="E450" s="178" t="e">
        <f t="shared" si="36"/>
        <v>#N/A</v>
      </c>
      <c r="F450" s="178" t="e">
        <f t="shared" si="40"/>
        <v>#N/A</v>
      </c>
      <c r="G450" s="178" t="e">
        <f t="shared" si="41"/>
        <v>#N/A</v>
      </c>
      <c r="H450" s="320" t="s">
        <v>3107</v>
      </c>
      <c r="I450" s="344" t="s">
        <v>5892</v>
      </c>
      <c r="J450" s="344" t="s">
        <v>3343</v>
      </c>
      <c r="K450" s="320" t="s">
        <v>3107</v>
      </c>
      <c r="L450" s="178" t="e">
        <f t="shared" si="37"/>
        <v>#N/A</v>
      </c>
      <c r="M450" s="178" t="e">
        <f t="shared" si="38"/>
        <v>#N/A</v>
      </c>
      <c r="N450" s="178" t="e">
        <f t="shared" si="39"/>
        <v>#N/A</v>
      </c>
    </row>
    <row r="451" spans="1:14">
      <c r="A451" s="359" t="s">
        <v>5592</v>
      </c>
      <c r="B451" s="178" t="s">
        <v>5453</v>
      </c>
      <c r="C451" s="178" t="s">
        <v>5578</v>
      </c>
      <c r="D451" s="359" t="s">
        <v>5592</v>
      </c>
      <c r="E451" s="178" t="e">
        <f t="shared" si="36"/>
        <v>#N/A</v>
      </c>
      <c r="F451" s="178" t="e">
        <f t="shared" si="40"/>
        <v>#N/A</v>
      </c>
      <c r="G451" s="178" t="e">
        <f t="shared" si="41"/>
        <v>#N/A</v>
      </c>
      <c r="H451" s="320" t="s">
        <v>3618</v>
      </c>
      <c r="I451" s="344" t="s">
        <v>5892</v>
      </c>
      <c r="J451" s="344" t="s">
        <v>3619</v>
      </c>
      <c r="K451" s="320" t="s">
        <v>3618</v>
      </c>
      <c r="L451" s="178" t="str">
        <f t="shared" si="37"/>
        <v>A2039</v>
      </c>
      <c r="M451" s="178" t="str">
        <f t="shared" si="38"/>
        <v>r한국신용정보대출현금서비스DSR정보조회C</v>
      </c>
      <c r="N451" s="178">
        <f t="shared" si="39"/>
        <v>1</v>
      </c>
    </row>
    <row r="452" spans="1:14">
      <c r="A452" s="359" t="s">
        <v>5593</v>
      </c>
      <c r="B452" s="178" t="s">
        <v>5453</v>
      </c>
      <c r="C452" s="178" t="s">
        <v>3841</v>
      </c>
      <c r="D452" s="359" t="s">
        <v>5593</v>
      </c>
      <c r="E452" s="178" t="e">
        <f t="shared" ref="E452:E463" si="42">VLOOKUP(C452,$J$5:$K$601,2,FALSE)</f>
        <v>#N/A</v>
      </c>
      <c r="F452" s="178" t="e">
        <f t="shared" si="40"/>
        <v>#N/A</v>
      </c>
      <c r="G452" s="178" t="e">
        <f t="shared" si="41"/>
        <v>#N/A</v>
      </c>
      <c r="H452" s="320" t="s">
        <v>3720</v>
      </c>
      <c r="I452" s="344" t="s">
        <v>5892</v>
      </c>
      <c r="J452" s="344" t="s">
        <v>5419</v>
      </c>
      <c r="K452" s="320" t="s">
        <v>3720</v>
      </c>
      <c r="L452" s="178" t="e">
        <f t="shared" ref="L452:L515" si="43">VLOOKUP(J452,$C$3:$D$463,2,FALSE)</f>
        <v>#N/A</v>
      </c>
      <c r="M452" s="178" t="e">
        <f t="shared" ref="M452:M515" si="44">VLOOKUP(L452,$A$3:$B$463,2,FALSE)</f>
        <v>#N/A</v>
      </c>
      <c r="N452" s="178" t="e">
        <f t="shared" ref="N452:N515" si="45">IF(M452=I452,1,0)</f>
        <v>#N/A</v>
      </c>
    </row>
    <row r="453" spans="1:14">
      <c r="A453" s="359" t="s">
        <v>5594</v>
      </c>
      <c r="B453" s="178" t="s">
        <v>5453</v>
      </c>
      <c r="C453" s="178" t="s">
        <v>3842</v>
      </c>
      <c r="D453" s="359" t="s">
        <v>5594</v>
      </c>
      <c r="E453" s="178" t="e">
        <f t="shared" si="42"/>
        <v>#N/A</v>
      </c>
      <c r="F453" s="178" t="e">
        <f t="shared" si="40"/>
        <v>#N/A</v>
      </c>
      <c r="G453" s="178" t="e">
        <f t="shared" si="41"/>
        <v>#N/A</v>
      </c>
      <c r="H453" s="320" t="s">
        <v>3721</v>
      </c>
      <c r="I453" s="344" t="s">
        <v>5892</v>
      </c>
      <c r="J453" s="344" t="s">
        <v>5420</v>
      </c>
      <c r="K453" s="320" t="s">
        <v>3721</v>
      </c>
      <c r="L453" s="178" t="e">
        <f t="shared" si="43"/>
        <v>#N/A</v>
      </c>
      <c r="M453" s="178" t="e">
        <f t="shared" si="44"/>
        <v>#N/A</v>
      </c>
      <c r="N453" s="178" t="e">
        <f t="shared" si="45"/>
        <v>#N/A</v>
      </c>
    </row>
    <row r="454" spans="1:14">
      <c r="A454" s="359" t="s">
        <v>5595</v>
      </c>
      <c r="B454" s="178" t="s">
        <v>5453</v>
      </c>
      <c r="C454" s="178" t="s">
        <v>5579</v>
      </c>
      <c r="D454" s="359" t="s">
        <v>5595</v>
      </c>
      <c r="E454" s="178" t="e">
        <f t="shared" si="42"/>
        <v>#N/A</v>
      </c>
      <c r="F454" s="178" t="e">
        <f t="shared" si="40"/>
        <v>#N/A</v>
      </c>
      <c r="G454" s="178" t="e">
        <f t="shared" si="41"/>
        <v>#N/A</v>
      </c>
      <c r="H454" s="320" t="s">
        <v>3722</v>
      </c>
      <c r="I454" s="344" t="s">
        <v>5892</v>
      </c>
      <c r="J454" s="344" t="s">
        <v>5421</v>
      </c>
      <c r="K454" s="320" t="s">
        <v>3722</v>
      </c>
      <c r="L454" s="178" t="e">
        <f t="shared" si="43"/>
        <v>#N/A</v>
      </c>
      <c r="M454" s="178" t="e">
        <f t="shared" si="44"/>
        <v>#N/A</v>
      </c>
      <c r="N454" s="178" t="e">
        <f t="shared" si="45"/>
        <v>#N/A</v>
      </c>
    </row>
    <row r="455" spans="1:14">
      <c r="A455" s="359" t="s">
        <v>5596</v>
      </c>
      <c r="B455" s="178" t="s">
        <v>5453</v>
      </c>
      <c r="C455" s="178" t="s">
        <v>5580</v>
      </c>
      <c r="D455" s="359" t="s">
        <v>5596</v>
      </c>
      <c r="E455" s="178" t="e">
        <f t="shared" si="42"/>
        <v>#N/A</v>
      </c>
      <c r="F455" s="178" t="e">
        <f t="shared" ref="F455:F463" si="46">VLOOKUP(E455,$H$5:$I$601,2,FALSE)</f>
        <v>#N/A</v>
      </c>
      <c r="G455" s="178" t="e">
        <f t="shared" ref="G455:G463" si="47">IF(B455=F455,1,0)</f>
        <v>#N/A</v>
      </c>
      <c r="H455" s="320" t="s">
        <v>3723</v>
      </c>
      <c r="I455" s="344" t="s">
        <v>5892</v>
      </c>
      <c r="J455" s="344" t="s">
        <v>5419</v>
      </c>
      <c r="K455" s="320" t="s">
        <v>3723</v>
      </c>
      <c r="L455" s="178" t="e">
        <f t="shared" si="43"/>
        <v>#N/A</v>
      </c>
      <c r="M455" s="178" t="e">
        <f t="shared" si="44"/>
        <v>#N/A</v>
      </c>
      <c r="N455" s="178" t="e">
        <f t="shared" si="45"/>
        <v>#N/A</v>
      </c>
    </row>
    <row r="456" spans="1:14">
      <c r="A456" s="359" t="s">
        <v>5597</v>
      </c>
      <c r="B456" s="178" t="s">
        <v>5453</v>
      </c>
      <c r="C456" s="178" t="s">
        <v>5581</v>
      </c>
      <c r="D456" s="359" t="s">
        <v>5597</v>
      </c>
      <c r="E456" s="178" t="e">
        <f t="shared" si="42"/>
        <v>#N/A</v>
      </c>
      <c r="F456" s="178" t="e">
        <f t="shared" si="46"/>
        <v>#N/A</v>
      </c>
      <c r="G456" s="178" t="e">
        <f t="shared" si="47"/>
        <v>#N/A</v>
      </c>
      <c r="H456" s="320" t="s">
        <v>3724</v>
      </c>
      <c r="I456" s="344" t="s">
        <v>5892</v>
      </c>
      <c r="J456" s="344" t="s">
        <v>5420</v>
      </c>
      <c r="K456" s="320" t="s">
        <v>3724</v>
      </c>
      <c r="L456" s="178" t="e">
        <f t="shared" si="43"/>
        <v>#N/A</v>
      </c>
      <c r="M456" s="178" t="e">
        <f t="shared" si="44"/>
        <v>#N/A</v>
      </c>
      <c r="N456" s="178" t="e">
        <f t="shared" si="45"/>
        <v>#N/A</v>
      </c>
    </row>
    <row r="457" spans="1:14">
      <c r="A457" s="359" t="s">
        <v>5598</v>
      </c>
      <c r="B457" s="178" t="s">
        <v>5453</v>
      </c>
      <c r="C457" s="178" t="s">
        <v>5582</v>
      </c>
      <c r="D457" s="359" t="s">
        <v>5598</v>
      </c>
      <c r="E457" s="178" t="e">
        <f t="shared" si="42"/>
        <v>#N/A</v>
      </c>
      <c r="F457" s="178" t="e">
        <f t="shared" si="46"/>
        <v>#N/A</v>
      </c>
      <c r="G457" s="178" t="e">
        <f t="shared" si="47"/>
        <v>#N/A</v>
      </c>
      <c r="H457" s="320" t="s">
        <v>3725</v>
      </c>
      <c r="I457" s="344" t="s">
        <v>5892</v>
      </c>
      <c r="J457" s="344" t="s">
        <v>5422</v>
      </c>
      <c r="K457" s="320" t="s">
        <v>3725</v>
      </c>
      <c r="L457" s="178" t="e">
        <f t="shared" si="43"/>
        <v>#N/A</v>
      </c>
      <c r="M457" s="178" t="e">
        <f t="shared" si="44"/>
        <v>#N/A</v>
      </c>
      <c r="N457" s="178" t="e">
        <f t="shared" si="45"/>
        <v>#N/A</v>
      </c>
    </row>
    <row r="458" spans="1:14">
      <c r="A458" s="359" t="s">
        <v>5599</v>
      </c>
      <c r="B458" s="178" t="s">
        <v>5453</v>
      </c>
      <c r="C458" s="178" t="s">
        <v>5583</v>
      </c>
      <c r="D458" s="359" t="s">
        <v>5599</v>
      </c>
      <c r="E458" s="178" t="e">
        <f t="shared" si="42"/>
        <v>#N/A</v>
      </c>
      <c r="F458" s="178" t="e">
        <f t="shared" si="46"/>
        <v>#N/A</v>
      </c>
      <c r="G458" s="178" t="e">
        <f t="shared" si="47"/>
        <v>#N/A</v>
      </c>
      <c r="H458" s="320" t="s">
        <v>4206</v>
      </c>
      <c r="I458" s="344" t="s">
        <v>5892</v>
      </c>
      <c r="J458" s="344" t="s">
        <v>5423</v>
      </c>
      <c r="K458" s="320" t="s">
        <v>4206</v>
      </c>
      <c r="L458" s="178" t="e">
        <f t="shared" si="43"/>
        <v>#N/A</v>
      </c>
      <c r="M458" s="178" t="e">
        <f t="shared" si="44"/>
        <v>#N/A</v>
      </c>
      <c r="N458" s="178" t="e">
        <f t="shared" si="45"/>
        <v>#N/A</v>
      </c>
    </row>
    <row r="459" spans="1:14">
      <c r="A459" s="359" t="s">
        <v>5600</v>
      </c>
      <c r="B459" s="178" t="s">
        <v>5453</v>
      </c>
      <c r="C459" s="178" t="s">
        <v>5584</v>
      </c>
      <c r="D459" s="359" t="s">
        <v>5600</v>
      </c>
      <c r="E459" s="178" t="e">
        <f t="shared" si="42"/>
        <v>#N/A</v>
      </c>
      <c r="F459" s="178" t="e">
        <f t="shared" si="46"/>
        <v>#N/A</v>
      </c>
      <c r="G459" s="178" t="e">
        <f t="shared" si="47"/>
        <v>#N/A</v>
      </c>
      <c r="H459" s="320" t="s">
        <v>3726</v>
      </c>
      <c r="I459" s="344" t="s">
        <v>5892</v>
      </c>
      <c r="J459" s="344" t="s">
        <v>5424</v>
      </c>
      <c r="K459" s="320" t="s">
        <v>3726</v>
      </c>
      <c r="L459" s="178" t="e">
        <f t="shared" si="43"/>
        <v>#N/A</v>
      </c>
      <c r="M459" s="178" t="e">
        <f t="shared" si="44"/>
        <v>#N/A</v>
      </c>
      <c r="N459" s="178" t="e">
        <f t="shared" si="45"/>
        <v>#N/A</v>
      </c>
    </row>
    <row r="460" spans="1:14">
      <c r="A460" s="359" t="s">
        <v>5601</v>
      </c>
      <c r="B460" s="178" t="s">
        <v>5453</v>
      </c>
      <c r="C460" s="178" t="s">
        <v>5585</v>
      </c>
      <c r="D460" s="359" t="s">
        <v>5601</v>
      </c>
      <c r="E460" s="178" t="e">
        <f t="shared" si="42"/>
        <v>#N/A</v>
      </c>
      <c r="F460" s="178" t="e">
        <f t="shared" si="46"/>
        <v>#N/A</v>
      </c>
      <c r="G460" s="178" t="e">
        <f t="shared" si="47"/>
        <v>#N/A</v>
      </c>
      <c r="H460" s="320" t="s">
        <v>3727</v>
      </c>
      <c r="I460" s="344" t="s">
        <v>5892</v>
      </c>
      <c r="J460" s="344" t="s">
        <v>5425</v>
      </c>
      <c r="K460" s="320" t="s">
        <v>3727</v>
      </c>
      <c r="L460" s="178" t="e">
        <f t="shared" si="43"/>
        <v>#N/A</v>
      </c>
      <c r="M460" s="178" t="e">
        <f t="shared" si="44"/>
        <v>#N/A</v>
      </c>
      <c r="N460" s="178" t="e">
        <f t="shared" si="45"/>
        <v>#N/A</v>
      </c>
    </row>
    <row r="461" spans="1:14">
      <c r="A461" s="359" t="s">
        <v>5602</v>
      </c>
      <c r="B461" s="178" t="s">
        <v>5453</v>
      </c>
      <c r="C461" s="178" t="s">
        <v>5586</v>
      </c>
      <c r="D461" s="359" t="s">
        <v>5602</v>
      </c>
      <c r="E461" s="178" t="e">
        <f t="shared" si="42"/>
        <v>#N/A</v>
      </c>
      <c r="F461" s="178" t="e">
        <f t="shared" si="46"/>
        <v>#N/A</v>
      </c>
      <c r="G461" s="178" t="e">
        <f t="shared" si="47"/>
        <v>#N/A</v>
      </c>
      <c r="H461" s="320" t="s">
        <v>3731</v>
      </c>
      <c r="I461" s="344" t="s">
        <v>5892</v>
      </c>
      <c r="J461" s="344" t="s">
        <v>5426</v>
      </c>
      <c r="K461" s="320" t="s">
        <v>3731</v>
      </c>
      <c r="L461" s="178" t="e">
        <f t="shared" si="43"/>
        <v>#N/A</v>
      </c>
      <c r="M461" s="178" t="e">
        <f t="shared" si="44"/>
        <v>#N/A</v>
      </c>
      <c r="N461" s="178" t="e">
        <f t="shared" si="45"/>
        <v>#N/A</v>
      </c>
    </row>
    <row r="462" spans="1:14">
      <c r="A462" s="359" t="s">
        <v>5603</v>
      </c>
      <c r="B462" s="178" t="s">
        <v>5453</v>
      </c>
      <c r="C462" s="178" t="s">
        <v>5587</v>
      </c>
      <c r="D462" s="359" t="s">
        <v>5603</v>
      </c>
      <c r="E462" s="178" t="e">
        <f t="shared" si="42"/>
        <v>#N/A</v>
      </c>
      <c r="F462" s="178" t="e">
        <f t="shared" si="46"/>
        <v>#N/A</v>
      </c>
      <c r="G462" s="178" t="e">
        <f t="shared" si="47"/>
        <v>#N/A</v>
      </c>
      <c r="H462" s="320" t="s">
        <v>3732</v>
      </c>
      <c r="I462" s="344" t="s">
        <v>5444</v>
      </c>
      <c r="J462" s="344" t="s">
        <v>5445</v>
      </c>
      <c r="K462" s="320" t="s">
        <v>3732</v>
      </c>
      <c r="L462" s="178" t="str">
        <f t="shared" si="43"/>
        <v>A7017</v>
      </c>
      <c r="M462" s="178" t="str">
        <f t="shared" si="44"/>
        <v>r심사사전정보내역조회C</v>
      </c>
      <c r="N462" s="178">
        <f t="shared" si="45"/>
        <v>1</v>
      </c>
    </row>
    <row r="463" spans="1:14">
      <c r="A463" s="359" t="s">
        <v>5604</v>
      </c>
      <c r="B463" s="178" t="s">
        <v>5453</v>
      </c>
      <c r="C463" s="178" t="s">
        <v>5588</v>
      </c>
      <c r="D463" s="359" t="s">
        <v>5604</v>
      </c>
      <c r="E463" s="178" t="e">
        <f t="shared" si="42"/>
        <v>#N/A</v>
      </c>
      <c r="F463" s="178" t="e">
        <f t="shared" si="46"/>
        <v>#N/A</v>
      </c>
      <c r="G463" s="178" t="e">
        <f t="shared" si="47"/>
        <v>#N/A</v>
      </c>
      <c r="H463" s="320" t="s">
        <v>3733</v>
      </c>
      <c r="I463" s="344" t="s">
        <v>5444</v>
      </c>
      <c r="J463" s="344" t="s">
        <v>5446</v>
      </c>
      <c r="K463" s="320" t="s">
        <v>3733</v>
      </c>
      <c r="L463" s="178" t="str">
        <f t="shared" si="43"/>
        <v>A7018</v>
      </c>
      <c r="M463" s="178" t="str">
        <f t="shared" si="44"/>
        <v>r심사사전정보내역조회C</v>
      </c>
      <c r="N463" s="178">
        <f t="shared" si="45"/>
        <v>1</v>
      </c>
    </row>
    <row r="464" spans="1:14">
      <c r="H464" s="320" t="s">
        <v>3734</v>
      </c>
      <c r="I464" s="344" t="s">
        <v>5444</v>
      </c>
      <c r="J464" s="344" t="s">
        <v>5447</v>
      </c>
      <c r="K464" s="320" t="s">
        <v>3734</v>
      </c>
      <c r="L464" s="178" t="str">
        <f t="shared" si="43"/>
        <v>A7019</v>
      </c>
      <c r="M464" s="178" t="str">
        <f t="shared" si="44"/>
        <v>r심사사전정보내역조회C</v>
      </c>
      <c r="N464" s="178">
        <f t="shared" si="45"/>
        <v>1</v>
      </c>
    </row>
    <row r="465" spans="8:14">
      <c r="H465" s="320" t="s">
        <v>5442</v>
      </c>
      <c r="I465" s="344" t="s">
        <v>5892</v>
      </c>
      <c r="J465" s="344" t="s">
        <v>5449</v>
      </c>
      <c r="K465" s="320" t="s">
        <v>5442</v>
      </c>
      <c r="L465" s="178" t="str">
        <f t="shared" si="43"/>
        <v>A7020</v>
      </c>
      <c r="M465" s="178" t="str">
        <f t="shared" si="44"/>
        <v>r한국신용정보대출현금서비스DSR정보조회C</v>
      </c>
      <c r="N465" s="178">
        <f t="shared" si="45"/>
        <v>1</v>
      </c>
    </row>
    <row r="466" spans="8:14">
      <c r="H466" s="320" t="s">
        <v>5443</v>
      </c>
      <c r="I466" s="344" t="s">
        <v>5892</v>
      </c>
      <c r="J466" s="344" t="s">
        <v>5450</v>
      </c>
      <c r="K466" s="320" t="s">
        <v>5443</v>
      </c>
      <c r="L466" s="178" t="str">
        <f t="shared" si="43"/>
        <v>A7021</v>
      </c>
      <c r="M466" s="178" t="str">
        <f t="shared" si="44"/>
        <v>r한국신용정보대출현금서비스DSR정보조회C</v>
      </c>
      <c r="N466" s="178">
        <f t="shared" si="45"/>
        <v>1</v>
      </c>
    </row>
    <row r="467" spans="8:14">
      <c r="H467" s="178" t="s">
        <v>3783</v>
      </c>
      <c r="I467" s="178" t="s">
        <v>5613</v>
      </c>
      <c r="J467" s="178" t="s">
        <v>5515</v>
      </c>
      <c r="K467" s="178" t="s">
        <v>3783</v>
      </c>
      <c r="L467" s="178" t="str">
        <f t="shared" si="43"/>
        <v>B3001</v>
      </c>
      <c r="M467" s="178" t="str">
        <f t="shared" si="44"/>
        <v>GEA_NICE신용요약정보조회Dto</v>
      </c>
      <c r="N467" s="178">
        <f t="shared" si="45"/>
        <v>1</v>
      </c>
    </row>
    <row r="468" spans="8:14">
      <c r="H468" s="178" t="s">
        <v>3784</v>
      </c>
      <c r="I468" s="178" t="s">
        <v>5613</v>
      </c>
      <c r="J468" s="178" t="s">
        <v>5516</v>
      </c>
      <c r="K468" s="178" t="s">
        <v>3784</v>
      </c>
      <c r="L468" s="178" t="str">
        <f t="shared" si="43"/>
        <v>B3002</v>
      </c>
      <c r="M468" s="178" t="str">
        <f t="shared" si="44"/>
        <v>GEA_NICE신용요약정보조회Dto</v>
      </c>
      <c r="N468" s="178">
        <f t="shared" si="45"/>
        <v>1</v>
      </c>
    </row>
    <row r="469" spans="8:14">
      <c r="H469" s="178" t="s">
        <v>3785</v>
      </c>
      <c r="I469" s="178" t="s">
        <v>5613</v>
      </c>
      <c r="J469" s="178" t="s">
        <v>4462</v>
      </c>
      <c r="K469" s="178" t="s">
        <v>3785</v>
      </c>
      <c r="L469" s="178" t="str">
        <f t="shared" si="43"/>
        <v>B3003</v>
      </c>
      <c r="M469" s="178" t="str">
        <f t="shared" si="44"/>
        <v>GEA_NICE신용요약정보조회Dto</v>
      </c>
      <c r="N469" s="178">
        <f t="shared" si="45"/>
        <v>1</v>
      </c>
    </row>
    <row r="470" spans="8:14">
      <c r="H470" s="178" t="s">
        <v>3786</v>
      </c>
      <c r="I470" s="178" t="s">
        <v>5613</v>
      </c>
      <c r="J470" s="178" t="s">
        <v>4464</v>
      </c>
      <c r="K470" s="178" t="s">
        <v>3786</v>
      </c>
      <c r="L470" s="178" t="str">
        <f t="shared" si="43"/>
        <v>B3004</v>
      </c>
      <c r="M470" s="178" t="str">
        <f t="shared" si="44"/>
        <v>GEA_NICE신용요약정보조회Dto</v>
      </c>
      <c r="N470" s="178">
        <f t="shared" si="45"/>
        <v>1</v>
      </c>
    </row>
    <row r="471" spans="8:14">
      <c r="H471" s="178" t="s">
        <v>3787</v>
      </c>
      <c r="I471" s="178" t="s">
        <v>5613</v>
      </c>
      <c r="J471" s="178" t="s">
        <v>5517</v>
      </c>
      <c r="K471" s="178" t="s">
        <v>3787</v>
      </c>
      <c r="L471" s="178" t="str">
        <f t="shared" si="43"/>
        <v>B3005</v>
      </c>
      <c r="M471" s="178" t="str">
        <f t="shared" si="44"/>
        <v>GEA_NICE신용요약정보조회Dto</v>
      </c>
      <c r="N471" s="178">
        <f t="shared" si="45"/>
        <v>1</v>
      </c>
    </row>
    <row r="472" spans="8:14">
      <c r="H472" s="178" t="s">
        <v>3788</v>
      </c>
      <c r="I472" s="178" t="s">
        <v>5613</v>
      </c>
      <c r="J472" s="178" t="s">
        <v>5518</v>
      </c>
      <c r="K472" s="178" t="s">
        <v>3788</v>
      </c>
      <c r="L472" s="178" t="str">
        <f t="shared" si="43"/>
        <v>B3006</v>
      </c>
      <c r="M472" s="178" t="str">
        <f t="shared" si="44"/>
        <v>GEA_NICE신용요약정보조회Dto</v>
      </c>
      <c r="N472" s="178">
        <f t="shared" si="45"/>
        <v>1</v>
      </c>
    </row>
    <row r="473" spans="8:14">
      <c r="H473" s="178" t="s">
        <v>3789</v>
      </c>
      <c r="I473" s="178" t="s">
        <v>5613</v>
      </c>
      <c r="J473" s="178" t="s">
        <v>5519</v>
      </c>
      <c r="K473" s="178" t="s">
        <v>3789</v>
      </c>
      <c r="L473" s="178" t="str">
        <f t="shared" si="43"/>
        <v>B3007</v>
      </c>
      <c r="M473" s="178" t="str">
        <f t="shared" si="44"/>
        <v>GEA_NICE신용요약정보조회Dto</v>
      </c>
      <c r="N473" s="178">
        <f t="shared" si="45"/>
        <v>1</v>
      </c>
    </row>
    <row r="474" spans="8:14">
      <c r="H474" s="178" t="s">
        <v>3790</v>
      </c>
      <c r="I474" s="178" t="s">
        <v>5613</v>
      </c>
      <c r="J474" s="178" t="s">
        <v>4472</v>
      </c>
      <c r="K474" s="178" t="s">
        <v>3790</v>
      </c>
      <c r="L474" s="178" t="str">
        <f t="shared" si="43"/>
        <v>B3008</v>
      </c>
      <c r="M474" s="178" t="str">
        <f t="shared" si="44"/>
        <v>GEA_NICE신용요약정보조회Dto</v>
      </c>
      <c r="N474" s="178">
        <f t="shared" si="45"/>
        <v>1</v>
      </c>
    </row>
    <row r="475" spans="8:14">
      <c r="H475" s="178" t="s">
        <v>3791</v>
      </c>
      <c r="I475" s="178" t="s">
        <v>5613</v>
      </c>
      <c r="J475" s="178" t="s">
        <v>5520</v>
      </c>
      <c r="K475" s="178" t="s">
        <v>3791</v>
      </c>
      <c r="L475" s="178" t="str">
        <f t="shared" si="43"/>
        <v>B3009</v>
      </c>
      <c r="M475" s="178" t="str">
        <f t="shared" si="44"/>
        <v>GEA_NICE신용요약정보조회Dto</v>
      </c>
      <c r="N475" s="178">
        <f t="shared" si="45"/>
        <v>1</v>
      </c>
    </row>
    <row r="476" spans="8:14">
      <c r="H476" s="178" t="s">
        <v>3792</v>
      </c>
      <c r="I476" s="178" t="s">
        <v>5613</v>
      </c>
      <c r="J476" s="178" t="s">
        <v>4476</v>
      </c>
      <c r="K476" s="178" t="s">
        <v>3792</v>
      </c>
      <c r="L476" s="178" t="str">
        <f t="shared" si="43"/>
        <v>B3010</v>
      </c>
      <c r="M476" s="178" t="str">
        <f t="shared" si="44"/>
        <v>GEA_NICE신용요약정보조회Dto</v>
      </c>
      <c r="N476" s="178">
        <f t="shared" si="45"/>
        <v>1</v>
      </c>
    </row>
    <row r="477" spans="8:14">
      <c r="H477" s="178" t="s">
        <v>3793</v>
      </c>
      <c r="I477" s="178" t="s">
        <v>5613</v>
      </c>
      <c r="J477" s="178" t="s">
        <v>5521</v>
      </c>
      <c r="K477" s="178" t="s">
        <v>3793</v>
      </c>
      <c r="L477" s="178" t="str">
        <f t="shared" si="43"/>
        <v>B3011</v>
      </c>
      <c r="M477" s="178" t="str">
        <f t="shared" si="44"/>
        <v>GEA_NICE신용요약정보조회Dto</v>
      </c>
      <c r="N477" s="178">
        <f t="shared" si="45"/>
        <v>1</v>
      </c>
    </row>
    <row r="478" spans="8:14">
      <c r="H478" s="178" t="s">
        <v>4316</v>
      </c>
      <c r="I478" s="178" t="s">
        <v>5613</v>
      </c>
      <c r="J478" s="178" t="s">
        <v>5522</v>
      </c>
      <c r="K478" s="178" t="s">
        <v>4316</v>
      </c>
      <c r="L478" s="178" t="str">
        <f t="shared" si="43"/>
        <v>B3012</v>
      </c>
      <c r="M478" s="178" t="str">
        <f t="shared" si="44"/>
        <v>GEA_NICE신용요약정보조회Dto</v>
      </c>
      <c r="N478" s="178">
        <f t="shared" si="45"/>
        <v>1</v>
      </c>
    </row>
    <row r="479" spans="8:14">
      <c r="H479" s="178" t="s">
        <v>5226</v>
      </c>
      <c r="I479" s="178" t="s">
        <v>5613</v>
      </c>
      <c r="J479" s="178" t="s">
        <v>5523</v>
      </c>
      <c r="K479" s="178" t="s">
        <v>5226</v>
      </c>
      <c r="L479" s="178" t="str">
        <f t="shared" si="43"/>
        <v>B3013</v>
      </c>
      <c r="M479" s="178" t="str">
        <f t="shared" si="44"/>
        <v>GEA_NICE신용요약정보조회Dto</v>
      </c>
      <c r="N479" s="178">
        <f t="shared" si="45"/>
        <v>1</v>
      </c>
    </row>
    <row r="480" spans="8:14">
      <c r="H480" s="178" t="s">
        <v>4318</v>
      </c>
      <c r="I480" s="178" t="s">
        <v>5613</v>
      </c>
      <c r="J480" s="178" t="s">
        <v>5524</v>
      </c>
      <c r="K480" s="178" t="s">
        <v>4318</v>
      </c>
      <c r="L480" s="178" t="str">
        <f t="shared" si="43"/>
        <v>B3014</v>
      </c>
      <c r="M480" s="178" t="str">
        <f t="shared" si="44"/>
        <v>GEA_NICE신용요약정보조회Dto</v>
      </c>
      <c r="N480" s="178">
        <f t="shared" si="45"/>
        <v>1</v>
      </c>
    </row>
    <row r="481" spans="8:14">
      <c r="H481" s="178" t="s">
        <v>5227</v>
      </c>
      <c r="I481" s="178" t="s">
        <v>5613</v>
      </c>
      <c r="J481" s="178" t="s">
        <v>3834</v>
      </c>
      <c r="K481" s="178" t="s">
        <v>5227</v>
      </c>
      <c r="L481" s="178" t="str">
        <f t="shared" si="43"/>
        <v>B3015</v>
      </c>
      <c r="M481" s="178" t="str">
        <f t="shared" si="44"/>
        <v>GEA_NICE신용요약정보조회Dto</v>
      </c>
      <c r="N481" s="178">
        <f t="shared" si="45"/>
        <v>1</v>
      </c>
    </row>
    <row r="482" spans="8:14">
      <c r="H482" s="178" t="s">
        <v>3794</v>
      </c>
      <c r="I482" s="178" t="s">
        <v>5453</v>
      </c>
      <c r="J482" s="178" t="s">
        <v>5533</v>
      </c>
      <c r="K482" s="178" t="s">
        <v>3794</v>
      </c>
      <c r="L482" s="178" t="str">
        <f t="shared" si="43"/>
        <v>B4001</v>
      </c>
      <c r="M482" s="178" t="str">
        <f t="shared" si="44"/>
        <v>GEA_KCB신용요약정보조회Dto</v>
      </c>
      <c r="N482" s="178">
        <f t="shared" si="45"/>
        <v>1</v>
      </c>
    </row>
    <row r="483" spans="8:14">
      <c r="H483" s="178" t="s">
        <v>3795</v>
      </c>
      <c r="I483" s="178" t="s">
        <v>5453</v>
      </c>
      <c r="J483" s="178" t="s">
        <v>5534</v>
      </c>
      <c r="K483" s="178" t="s">
        <v>3795</v>
      </c>
      <c r="L483" s="178" t="str">
        <f t="shared" si="43"/>
        <v>B4002</v>
      </c>
      <c r="M483" s="178" t="str">
        <f t="shared" si="44"/>
        <v>GEA_KCB신용요약정보조회Dto</v>
      </c>
      <c r="N483" s="178">
        <f t="shared" si="45"/>
        <v>1</v>
      </c>
    </row>
    <row r="484" spans="8:14">
      <c r="H484" s="178" t="s">
        <v>3796</v>
      </c>
      <c r="I484" s="178" t="s">
        <v>5453</v>
      </c>
      <c r="J484" s="178" t="s">
        <v>5535</v>
      </c>
      <c r="K484" s="178" t="s">
        <v>3796</v>
      </c>
      <c r="L484" s="178" t="str">
        <f t="shared" si="43"/>
        <v>B4003</v>
      </c>
      <c r="M484" s="178" t="str">
        <f t="shared" si="44"/>
        <v>GEA_KCB신용요약정보조회Dto</v>
      </c>
      <c r="N484" s="178">
        <f t="shared" si="45"/>
        <v>1</v>
      </c>
    </row>
    <row r="485" spans="8:14">
      <c r="H485" s="178" t="s">
        <v>3797</v>
      </c>
      <c r="I485" s="178" t="s">
        <v>5453</v>
      </c>
      <c r="J485" s="178" t="s">
        <v>5536</v>
      </c>
      <c r="K485" s="178" t="s">
        <v>3797</v>
      </c>
      <c r="L485" s="178" t="str">
        <f t="shared" si="43"/>
        <v>B4004</v>
      </c>
      <c r="M485" s="178" t="str">
        <f t="shared" si="44"/>
        <v>GEA_KCB신용요약정보조회Dto</v>
      </c>
      <c r="N485" s="178">
        <f t="shared" si="45"/>
        <v>1</v>
      </c>
    </row>
    <row r="486" spans="8:14">
      <c r="H486" s="178" t="s">
        <v>3798</v>
      </c>
      <c r="I486" s="178" t="s">
        <v>5453</v>
      </c>
      <c r="J486" s="178" t="s">
        <v>5537</v>
      </c>
      <c r="K486" s="178" t="s">
        <v>3798</v>
      </c>
      <c r="L486" s="178" t="str">
        <f t="shared" si="43"/>
        <v>B4005</v>
      </c>
      <c r="M486" s="178" t="str">
        <f t="shared" si="44"/>
        <v>GEA_KCB신용요약정보조회Dto</v>
      </c>
      <c r="N486" s="178">
        <f t="shared" si="45"/>
        <v>1</v>
      </c>
    </row>
    <row r="487" spans="8:14">
      <c r="H487" s="178" t="s">
        <v>3799</v>
      </c>
      <c r="I487" s="178" t="s">
        <v>5453</v>
      </c>
      <c r="J487" s="178" t="s">
        <v>2894</v>
      </c>
      <c r="K487" s="178" t="s">
        <v>3799</v>
      </c>
      <c r="L487" s="178" t="str">
        <f t="shared" si="43"/>
        <v>B4006</v>
      </c>
      <c r="M487" s="178" t="str">
        <f t="shared" si="44"/>
        <v>GEA_KCB신용요약정보조회Dto</v>
      </c>
      <c r="N487" s="178">
        <f t="shared" si="45"/>
        <v>1</v>
      </c>
    </row>
    <row r="488" spans="8:14">
      <c r="H488" s="178" t="s">
        <v>4339</v>
      </c>
      <c r="I488" s="178" t="s">
        <v>5453</v>
      </c>
      <c r="J488" s="178" t="s">
        <v>5538</v>
      </c>
      <c r="K488" s="178" t="s">
        <v>4339</v>
      </c>
      <c r="L488" s="178" t="str">
        <f t="shared" si="43"/>
        <v>B4007</v>
      </c>
      <c r="M488" s="178" t="str">
        <f t="shared" si="44"/>
        <v>GEA_KCB신용요약정보조회Dto</v>
      </c>
      <c r="N488" s="178">
        <f t="shared" si="45"/>
        <v>1</v>
      </c>
    </row>
    <row r="489" spans="8:14">
      <c r="H489" s="178" t="s">
        <v>3800</v>
      </c>
      <c r="I489" s="178" t="s">
        <v>5453</v>
      </c>
      <c r="J489" s="178" t="s">
        <v>5539</v>
      </c>
      <c r="K489" s="178" t="s">
        <v>3800</v>
      </c>
      <c r="L489" s="178" t="str">
        <f t="shared" si="43"/>
        <v>B4008</v>
      </c>
      <c r="M489" s="178" t="str">
        <f t="shared" si="44"/>
        <v>GEA_KCB신용요약정보조회Dto</v>
      </c>
      <c r="N489" s="178">
        <f t="shared" si="45"/>
        <v>1</v>
      </c>
    </row>
    <row r="490" spans="8:14">
      <c r="H490" s="178" t="s">
        <v>3801</v>
      </c>
      <c r="I490" s="178" t="s">
        <v>5453</v>
      </c>
      <c r="J490" s="178" t="s">
        <v>5540</v>
      </c>
      <c r="K490" s="178" t="s">
        <v>3801</v>
      </c>
      <c r="L490" s="178" t="str">
        <f t="shared" si="43"/>
        <v>B4009</v>
      </c>
      <c r="M490" s="178" t="str">
        <f t="shared" si="44"/>
        <v>GEA_KCB신용요약정보조회Dto</v>
      </c>
      <c r="N490" s="178">
        <f t="shared" si="45"/>
        <v>1</v>
      </c>
    </row>
    <row r="491" spans="8:14">
      <c r="H491" s="178" t="s">
        <v>3802</v>
      </c>
      <c r="I491" s="178" t="s">
        <v>5453</v>
      </c>
      <c r="J491" s="178" t="s">
        <v>3865</v>
      </c>
      <c r="K491" s="178" t="s">
        <v>3802</v>
      </c>
      <c r="L491" s="178" t="str">
        <f t="shared" si="43"/>
        <v>B4010</v>
      </c>
      <c r="M491" s="178" t="str">
        <f t="shared" si="44"/>
        <v>GEA_KCB신용요약정보조회Dto</v>
      </c>
      <c r="N491" s="178">
        <f t="shared" si="45"/>
        <v>1</v>
      </c>
    </row>
    <row r="492" spans="8:14">
      <c r="H492" s="178" t="s">
        <v>3803</v>
      </c>
      <c r="I492" s="178" t="s">
        <v>5453</v>
      </c>
      <c r="J492" s="178" t="s">
        <v>5541</v>
      </c>
      <c r="K492" s="178" t="s">
        <v>3803</v>
      </c>
      <c r="L492" s="178" t="str">
        <f t="shared" si="43"/>
        <v>B4011</v>
      </c>
      <c r="M492" s="178" t="str">
        <f t="shared" si="44"/>
        <v>GEA_KCB신용요약정보조회Dto</v>
      </c>
      <c r="N492" s="178">
        <f t="shared" si="45"/>
        <v>1</v>
      </c>
    </row>
    <row r="493" spans="8:14">
      <c r="H493" s="178" t="s">
        <v>3804</v>
      </c>
      <c r="I493" s="178" t="s">
        <v>5453</v>
      </c>
      <c r="J493" s="178" t="s">
        <v>5543</v>
      </c>
      <c r="K493" s="178" t="s">
        <v>3804</v>
      </c>
      <c r="L493" s="178" t="str">
        <f t="shared" si="43"/>
        <v>B4012</v>
      </c>
      <c r="M493" s="178" t="str">
        <f t="shared" si="44"/>
        <v>GEA_KCB신용요약정보조회Dto</v>
      </c>
      <c r="N493" s="178">
        <f t="shared" si="45"/>
        <v>1</v>
      </c>
    </row>
    <row r="494" spans="8:14">
      <c r="H494" s="178" t="s">
        <v>3805</v>
      </c>
      <c r="I494" s="178" t="s">
        <v>5453</v>
      </c>
      <c r="J494" s="178" t="s">
        <v>5544</v>
      </c>
      <c r="K494" s="178" t="s">
        <v>3805</v>
      </c>
      <c r="L494" s="178" t="str">
        <f t="shared" si="43"/>
        <v>B4013</v>
      </c>
      <c r="M494" s="178" t="str">
        <f t="shared" si="44"/>
        <v>GEA_KCB신용요약정보조회Dto</v>
      </c>
      <c r="N494" s="178">
        <f t="shared" si="45"/>
        <v>1</v>
      </c>
    </row>
    <row r="495" spans="8:14">
      <c r="H495" s="178" t="s">
        <v>3806</v>
      </c>
      <c r="I495" s="178" t="s">
        <v>5453</v>
      </c>
      <c r="J495" s="178" t="s">
        <v>5234</v>
      </c>
      <c r="K495" s="178" t="s">
        <v>3806</v>
      </c>
      <c r="L495" s="178" t="str">
        <f t="shared" si="43"/>
        <v>B4014</v>
      </c>
      <c r="M495" s="178" t="str">
        <f t="shared" si="44"/>
        <v>GEA_KCB신용요약정보조회Dto</v>
      </c>
      <c r="N495" s="178">
        <f t="shared" si="45"/>
        <v>1</v>
      </c>
    </row>
    <row r="496" spans="8:14">
      <c r="H496" s="178" t="s">
        <v>3807</v>
      </c>
      <c r="I496" s="178" t="s">
        <v>5453</v>
      </c>
      <c r="J496" s="178" t="s">
        <v>5235</v>
      </c>
      <c r="K496" s="178" t="s">
        <v>3807</v>
      </c>
      <c r="L496" s="178" t="str">
        <f t="shared" si="43"/>
        <v>B4015</v>
      </c>
      <c r="M496" s="178" t="str">
        <f t="shared" si="44"/>
        <v>GEA_KCB신용요약정보조회Dto</v>
      </c>
      <c r="N496" s="178">
        <f t="shared" si="45"/>
        <v>1</v>
      </c>
    </row>
    <row r="497" spans="8:14">
      <c r="H497" s="178" t="s">
        <v>3808</v>
      </c>
      <c r="I497" s="178" t="s">
        <v>5453</v>
      </c>
      <c r="J497" s="178" t="s">
        <v>5236</v>
      </c>
      <c r="K497" s="178" t="s">
        <v>3808</v>
      </c>
      <c r="L497" s="178" t="str">
        <f t="shared" si="43"/>
        <v>B4016</v>
      </c>
      <c r="M497" s="178" t="str">
        <f t="shared" si="44"/>
        <v>GEA_KCB신용요약정보조회Dto</v>
      </c>
      <c r="N497" s="178">
        <f t="shared" si="45"/>
        <v>1</v>
      </c>
    </row>
    <row r="498" spans="8:14">
      <c r="H498" s="178" t="s">
        <v>3809</v>
      </c>
      <c r="I498" s="178" t="s">
        <v>5453</v>
      </c>
      <c r="J498" s="178" t="s">
        <v>5545</v>
      </c>
      <c r="K498" s="178" t="s">
        <v>3809</v>
      </c>
      <c r="L498" s="178" t="str">
        <f t="shared" si="43"/>
        <v>B4017</v>
      </c>
      <c r="M498" s="178" t="str">
        <f t="shared" si="44"/>
        <v>GEA_KCB신용요약정보조회Dto</v>
      </c>
      <c r="N498" s="178">
        <f t="shared" si="45"/>
        <v>1</v>
      </c>
    </row>
    <row r="499" spans="8:14">
      <c r="H499" s="178" t="s">
        <v>3810</v>
      </c>
      <c r="I499" s="178" t="s">
        <v>5453</v>
      </c>
      <c r="J499" s="178" t="s">
        <v>5546</v>
      </c>
      <c r="K499" s="178" t="s">
        <v>3810</v>
      </c>
      <c r="L499" s="178" t="str">
        <f t="shared" si="43"/>
        <v>B4018</v>
      </c>
      <c r="M499" s="178" t="str">
        <f t="shared" si="44"/>
        <v>GEA_KCB신용요약정보조회Dto</v>
      </c>
      <c r="N499" s="178">
        <f t="shared" si="45"/>
        <v>1</v>
      </c>
    </row>
    <row r="500" spans="8:14">
      <c r="H500" s="178" t="s">
        <v>3811</v>
      </c>
      <c r="I500" s="178" t="s">
        <v>5453</v>
      </c>
      <c r="J500" s="178" t="s">
        <v>5547</v>
      </c>
      <c r="K500" s="178" t="s">
        <v>3811</v>
      </c>
      <c r="L500" s="178" t="str">
        <f t="shared" si="43"/>
        <v>B4019</v>
      </c>
      <c r="M500" s="178" t="str">
        <f t="shared" si="44"/>
        <v>GEA_KCB신용요약정보조회Dto</v>
      </c>
      <c r="N500" s="178">
        <f t="shared" si="45"/>
        <v>1</v>
      </c>
    </row>
    <row r="501" spans="8:14">
      <c r="H501" s="178" t="s">
        <v>3812</v>
      </c>
      <c r="I501" s="178" t="s">
        <v>5453</v>
      </c>
      <c r="J501" s="178" t="s">
        <v>5548</v>
      </c>
      <c r="K501" s="178" t="s">
        <v>3812</v>
      </c>
      <c r="L501" s="178" t="str">
        <f t="shared" si="43"/>
        <v>B4020</v>
      </c>
      <c r="M501" s="178" t="str">
        <f t="shared" si="44"/>
        <v>GEA_KCB신용요약정보조회Dto</v>
      </c>
      <c r="N501" s="178">
        <f t="shared" si="45"/>
        <v>1</v>
      </c>
    </row>
    <row r="502" spans="8:14">
      <c r="H502" s="178" t="s">
        <v>3813</v>
      </c>
      <c r="I502" s="178" t="s">
        <v>5453</v>
      </c>
      <c r="J502" s="178" t="s">
        <v>5549</v>
      </c>
      <c r="K502" s="178" t="s">
        <v>3813</v>
      </c>
      <c r="L502" s="178" t="str">
        <f t="shared" si="43"/>
        <v>B4021</v>
      </c>
      <c r="M502" s="178" t="str">
        <f t="shared" si="44"/>
        <v>GEA_KCB신용요약정보조회Dto</v>
      </c>
      <c r="N502" s="178">
        <f t="shared" si="45"/>
        <v>1</v>
      </c>
    </row>
    <row r="503" spans="8:14">
      <c r="H503" s="178" t="s">
        <v>3814</v>
      </c>
      <c r="I503" s="178" t="s">
        <v>5453</v>
      </c>
      <c r="J503" s="178" t="s">
        <v>5550</v>
      </c>
      <c r="K503" s="178" t="s">
        <v>3814</v>
      </c>
      <c r="L503" s="178" t="str">
        <f t="shared" si="43"/>
        <v>B4022</v>
      </c>
      <c r="M503" s="178" t="str">
        <f t="shared" si="44"/>
        <v>GEA_KCB신용요약정보조회Dto</v>
      </c>
      <c r="N503" s="178">
        <f t="shared" si="45"/>
        <v>1</v>
      </c>
    </row>
    <row r="504" spans="8:14">
      <c r="H504" s="178" t="s">
        <v>3815</v>
      </c>
      <c r="I504" s="178" t="s">
        <v>5453</v>
      </c>
      <c r="J504" s="178" t="s">
        <v>5551</v>
      </c>
      <c r="K504" s="178" t="s">
        <v>3815</v>
      </c>
      <c r="L504" s="178" t="str">
        <f t="shared" si="43"/>
        <v>B4023</v>
      </c>
      <c r="M504" s="178" t="str">
        <f t="shared" si="44"/>
        <v>GEA_KCB신용요약정보조회Dto</v>
      </c>
      <c r="N504" s="178">
        <f t="shared" si="45"/>
        <v>1</v>
      </c>
    </row>
    <row r="505" spans="8:14">
      <c r="H505" s="178" t="s">
        <v>3816</v>
      </c>
      <c r="I505" s="178" t="s">
        <v>5453</v>
      </c>
      <c r="J505" s="178" t="s">
        <v>5552</v>
      </c>
      <c r="K505" s="178" t="s">
        <v>3816</v>
      </c>
      <c r="L505" s="178" t="str">
        <f t="shared" si="43"/>
        <v>B4024</v>
      </c>
      <c r="M505" s="178" t="str">
        <f t="shared" si="44"/>
        <v>GEA_KCB신용요약정보조회Dto</v>
      </c>
      <c r="N505" s="178">
        <f t="shared" si="45"/>
        <v>1</v>
      </c>
    </row>
    <row r="506" spans="8:14">
      <c r="H506" s="178" t="s">
        <v>3817</v>
      </c>
      <c r="I506" s="178" t="s">
        <v>5453</v>
      </c>
      <c r="J506" s="178" t="s">
        <v>5245</v>
      </c>
      <c r="K506" s="178" t="s">
        <v>3817</v>
      </c>
      <c r="L506" s="178" t="str">
        <f t="shared" si="43"/>
        <v>B4025</v>
      </c>
      <c r="M506" s="178" t="str">
        <f t="shared" si="44"/>
        <v>GEA_KCB신용요약정보조회Dto</v>
      </c>
      <c r="N506" s="178">
        <f t="shared" si="45"/>
        <v>1</v>
      </c>
    </row>
    <row r="507" spans="8:14">
      <c r="H507" s="178" t="s">
        <v>3818</v>
      </c>
      <c r="I507" s="178" t="s">
        <v>5453</v>
      </c>
      <c r="J507" s="178" t="s">
        <v>5246</v>
      </c>
      <c r="K507" s="178" t="s">
        <v>3818</v>
      </c>
      <c r="L507" s="178" t="str">
        <f t="shared" si="43"/>
        <v>B4026</v>
      </c>
      <c r="M507" s="178" t="str">
        <f t="shared" si="44"/>
        <v>GEA_KCB신용요약정보조회Dto</v>
      </c>
      <c r="N507" s="178">
        <f t="shared" si="45"/>
        <v>1</v>
      </c>
    </row>
    <row r="508" spans="8:14">
      <c r="H508" s="178" t="s">
        <v>3819</v>
      </c>
      <c r="I508" s="178" t="s">
        <v>5453</v>
      </c>
      <c r="J508" s="178" t="s">
        <v>5553</v>
      </c>
      <c r="K508" s="178" t="s">
        <v>3819</v>
      </c>
      <c r="L508" s="178" t="str">
        <f t="shared" si="43"/>
        <v>B4027</v>
      </c>
      <c r="M508" s="178" t="str">
        <f t="shared" si="44"/>
        <v>GEA_KCB신용요약정보조회Dto</v>
      </c>
      <c r="N508" s="178">
        <f t="shared" si="45"/>
        <v>1</v>
      </c>
    </row>
    <row r="509" spans="8:14">
      <c r="H509" s="178" t="s">
        <v>3820</v>
      </c>
      <c r="I509" s="178" t="s">
        <v>5453</v>
      </c>
      <c r="J509" s="178" t="s">
        <v>5248</v>
      </c>
      <c r="K509" s="178" t="s">
        <v>3820</v>
      </c>
      <c r="L509" s="178" t="str">
        <f t="shared" si="43"/>
        <v>B4028</v>
      </c>
      <c r="M509" s="178" t="str">
        <f t="shared" si="44"/>
        <v>GEA_KCB신용요약정보조회Dto</v>
      </c>
      <c r="N509" s="178">
        <f t="shared" si="45"/>
        <v>1</v>
      </c>
    </row>
    <row r="510" spans="8:14">
      <c r="H510" s="178" t="s">
        <v>4340</v>
      </c>
      <c r="I510" s="178" t="s">
        <v>5453</v>
      </c>
      <c r="J510" s="178" t="s">
        <v>5554</v>
      </c>
      <c r="K510" s="178" t="s">
        <v>4340</v>
      </c>
      <c r="L510" s="178" t="str">
        <f t="shared" si="43"/>
        <v>B4029</v>
      </c>
      <c r="M510" s="178" t="str">
        <f t="shared" si="44"/>
        <v>GEA_KCB신용요약정보조회Dto</v>
      </c>
      <c r="N510" s="178">
        <f t="shared" si="45"/>
        <v>1</v>
      </c>
    </row>
    <row r="511" spans="8:14">
      <c r="H511" s="178" t="s">
        <v>3821</v>
      </c>
      <c r="I511" s="178" t="s">
        <v>5453</v>
      </c>
      <c r="J511" s="178" t="s">
        <v>5555</v>
      </c>
      <c r="K511" s="178" t="s">
        <v>3821</v>
      </c>
      <c r="L511" s="178" t="str">
        <f t="shared" si="43"/>
        <v>B4030</v>
      </c>
      <c r="M511" s="178" t="str">
        <f t="shared" si="44"/>
        <v>GEA_KCB신용요약정보조회Dto</v>
      </c>
      <c r="N511" s="178">
        <f t="shared" si="45"/>
        <v>1</v>
      </c>
    </row>
    <row r="512" spans="8:14">
      <c r="H512" s="178" t="s">
        <v>3822</v>
      </c>
      <c r="I512" s="178" t="s">
        <v>5453</v>
      </c>
      <c r="J512" s="178" t="s">
        <v>5556</v>
      </c>
      <c r="K512" s="178" t="s">
        <v>3822</v>
      </c>
      <c r="L512" s="178" t="str">
        <f t="shared" si="43"/>
        <v>B4031</v>
      </c>
      <c r="M512" s="178" t="str">
        <f t="shared" si="44"/>
        <v>GEA_KCB신용요약정보조회Dto</v>
      </c>
      <c r="N512" s="178">
        <f t="shared" si="45"/>
        <v>1</v>
      </c>
    </row>
    <row r="513" spans="8:14">
      <c r="H513" s="178" t="s">
        <v>3823</v>
      </c>
      <c r="I513" s="178" t="s">
        <v>5453</v>
      </c>
      <c r="J513" s="178" t="s">
        <v>5557</v>
      </c>
      <c r="K513" s="178" t="s">
        <v>3823</v>
      </c>
      <c r="L513" s="178" t="str">
        <f t="shared" si="43"/>
        <v>B4032</v>
      </c>
      <c r="M513" s="178" t="str">
        <f t="shared" si="44"/>
        <v>GEA_KCB신용요약정보조회Dto</v>
      </c>
      <c r="N513" s="178">
        <f t="shared" si="45"/>
        <v>1</v>
      </c>
    </row>
    <row r="514" spans="8:14">
      <c r="H514" s="178" t="s">
        <v>3824</v>
      </c>
      <c r="I514" s="178" t="s">
        <v>5453</v>
      </c>
      <c r="J514" s="178" t="s">
        <v>5558</v>
      </c>
      <c r="K514" s="178" t="s">
        <v>3824</v>
      </c>
      <c r="L514" s="178" t="str">
        <f t="shared" si="43"/>
        <v>B4033</v>
      </c>
      <c r="M514" s="178" t="str">
        <f t="shared" si="44"/>
        <v>GEA_KCB신용요약정보조회Dto</v>
      </c>
      <c r="N514" s="178">
        <f t="shared" si="45"/>
        <v>1</v>
      </c>
    </row>
    <row r="515" spans="8:14">
      <c r="H515" s="178" t="s">
        <v>4341</v>
      </c>
      <c r="I515" s="178" t="s">
        <v>5453</v>
      </c>
      <c r="J515" s="178" t="s">
        <v>5559</v>
      </c>
      <c r="K515" s="178" t="s">
        <v>4341</v>
      </c>
      <c r="L515" s="178" t="str">
        <f t="shared" si="43"/>
        <v>B4034</v>
      </c>
      <c r="M515" s="178" t="str">
        <f t="shared" si="44"/>
        <v>GEA_KCB신용요약정보조회Dto</v>
      </c>
      <c r="N515" s="178">
        <f t="shared" si="45"/>
        <v>1</v>
      </c>
    </row>
    <row r="516" spans="8:14">
      <c r="H516" s="178" t="s">
        <v>4342</v>
      </c>
      <c r="I516" s="178" t="s">
        <v>5453</v>
      </c>
      <c r="J516" s="178" t="s">
        <v>5560</v>
      </c>
      <c r="K516" s="178" t="s">
        <v>4342</v>
      </c>
      <c r="L516" s="178" t="str">
        <f t="shared" ref="L516:L534" si="48">VLOOKUP(J516,$C$3:$D$463,2,FALSE)</f>
        <v>B4035</v>
      </c>
      <c r="M516" s="178" t="str">
        <f t="shared" ref="M516:M534" si="49">VLOOKUP(L516,$A$3:$B$463,2,FALSE)</f>
        <v>GEA_KCB신용요약정보조회Dto</v>
      </c>
      <c r="N516" s="178">
        <f t="shared" ref="N516:N534" si="50">IF(M516=I516,1,0)</f>
        <v>1</v>
      </c>
    </row>
    <row r="517" spans="8:14">
      <c r="H517" s="178" t="s">
        <v>4343</v>
      </c>
      <c r="I517" s="178" t="s">
        <v>5453</v>
      </c>
      <c r="J517" s="178" t="s">
        <v>5561</v>
      </c>
      <c r="K517" s="178" t="s">
        <v>4343</v>
      </c>
      <c r="L517" s="178" t="str">
        <f t="shared" si="48"/>
        <v>B4036</v>
      </c>
      <c r="M517" s="178" t="str">
        <f t="shared" si="49"/>
        <v>GEA_KCB신용요약정보조회Dto</v>
      </c>
      <c r="N517" s="178">
        <f t="shared" si="50"/>
        <v>1</v>
      </c>
    </row>
    <row r="518" spans="8:14">
      <c r="H518" s="178" t="s">
        <v>4344</v>
      </c>
      <c r="I518" s="178" t="s">
        <v>5453</v>
      </c>
      <c r="J518" s="178" t="s">
        <v>5562</v>
      </c>
      <c r="K518" s="178" t="s">
        <v>4344</v>
      </c>
      <c r="L518" s="178" t="str">
        <f t="shared" si="48"/>
        <v>B4037</v>
      </c>
      <c r="M518" s="178" t="str">
        <f t="shared" si="49"/>
        <v>GEA_KCB신용요약정보조회Dto</v>
      </c>
      <c r="N518" s="178">
        <f t="shared" si="50"/>
        <v>1</v>
      </c>
    </row>
    <row r="519" spans="8:14">
      <c r="H519" s="178" t="s">
        <v>4345</v>
      </c>
      <c r="I519" s="178" t="s">
        <v>5453</v>
      </c>
      <c r="J519" s="178" t="s">
        <v>3846</v>
      </c>
      <c r="K519" s="178" t="s">
        <v>4345</v>
      </c>
      <c r="L519" s="178" t="str">
        <f t="shared" si="48"/>
        <v>B4038</v>
      </c>
      <c r="M519" s="178" t="str">
        <f t="shared" si="49"/>
        <v>GEA_KCB신용요약정보조회Dto</v>
      </c>
      <c r="N519" s="178">
        <f t="shared" si="50"/>
        <v>1</v>
      </c>
    </row>
    <row r="520" spans="8:14">
      <c r="H520" s="178" t="s">
        <v>4346</v>
      </c>
      <c r="I520" s="178" t="s">
        <v>5453</v>
      </c>
      <c r="J520" s="178" t="s">
        <v>5563</v>
      </c>
      <c r="K520" s="178" t="s">
        <v>4346</v>
      </c>
      <c r="L520" s="178" t="str">
        <f t="shared" si="48"/>
        <v>B4039</v>
      </c>
      <c r="M520" s="178" t="str">
        <f t="shared" si="49"/>
        <v>GEA_KCB신용요약정보조회Dto</v>
      </c>
      <c r="N520" s="178">
        <f t="shared" si="50"/>
        <v>1</v>
      </c>
    </row>
    <row r="521" spans="8:14">
      <c r="H521" s="178" t="s">
        <v>4347</v>
      </c>
      <c r="I521" s="178" t="s">
        <v>5453</v>
      </c>
      <c r="J521" s="178" t="s">
        <v>5564</v>
      </c>
      <c r="K521" s="178" t="s">
        <v>4347</v>
      </c>
      <c r="L521" s="178" t="str">
        <f t="shared" si="48"/>
        <v>B4040</v>
      </c>
      <c r="M521" s="178" t="str">
        <f t="shared" si="49"/>
        <v>GEA_KCB신용요약정보조회Dto</v>
      </c>
      <c r="N521" s="178">
        <f t="shared" si="50"/>
        <v>1</v>
      </c>
    </row>
    <row r="522" spans="8:14">
      <c r="H522" s="178" t="s">
        <v>4348</v>
      </c>
      <c r="I522" s="178" t="s">
        <v>5453</v>
      </c>
      <c r="J522" s="178" t="s">
        <v>5565</v>
      </c>
      <c r="K522" s="178" t="s">
        <v>4348</v>
      </c>
      <c r="L522" s="178" t="str">
        <f t="shared" si="48"/>
        <v>B4041</v>
      </c>
      <c r="M522" s="178" t="str">
        <f t="shared" si="49"/>
        <v>GEA_KCB신용요약정보조회Dto</v>
      </c>
      <c r="N522" s="178">
        <f t="shared" si="50"/>
        <v>1</v>
      </c>
    </row>
    <row r="523" spans="8:14">
      <c r="H523" s="178" t="s">
        <v>4349</v>
      </c>
      <c r="I523" s="178" t="s">
        <v>5453</v>
      </c>
      <c r="J523" s="178" t="s">
        <v>5566</v>
      </c>
      <c r="K523" s="178" t="s">
        <v>4349</v>
      </c>
      <c r="L523" s="178" t="str">
        <f t="shared" si="48"/>
        <v>B4042</v>
      </c>
      <c r="M523" s="178" t="str">
        <f t="shared" si="49"/>
        <v>GEA_KCB신용요약정보조회Dto</v>
      </c>
      <c r="N523" s="178">
        <f t="shared" si="50"/>
        <v>1</v>
      </c>
    </row>
    <row r="524" spans="8:14">
      <c r="H524" s="178" t="s">
        <v>4350</v>
      </c>
      <c r="I524" s="178" t="s">
        <v>5453</v>
      </c>
      <c r="J524" s="178" t="s">
        <v>5567</v>
      </c>
      <c r="K524" s="178" t="s">
        <v>4350</v>
      </c>
      <c r="L524" s="178" t="str">
        <f t="shared" si="48"/>
        <v>B4043</v>
      </c>
      <c r="M524" s="178" t="str">
        <f t="shared" si="49"/>
        <v>GEA_KCB신용요약정보조회Dto</v>
      </c>
      <c r="N524" s="178">
        <f t="shared" si="50"/>
        <v>1</v>
      </c>
    </row>
    <row r="525" spans="8:14">
      <c r="H525" s="178" t="s">
        <v>4351</v>
      </c>
      <c r="I525" s="178" t="s">
        <v>5453</v>
      </c>
      <c r="J525" s="178" t="s">
        <v>5818</v>
      </c>
      <c r="K525" s="178" t="s">
        <v>4351</v>
      </c>
      <c r="L525" s="178" t="e">
        <f t="shared" si="48"/>
        <v>#N/A</v>
      </c>
      <c r="M525" s="178" t="e">
        <f t="shared" si="49"/>
        <v>#N/A</v>
      </c>
      <c r="N525" s="178" t="e">
        <f t="shared" si="50"/>
        <v>#N/A</v>
      </c>
    </row>
    <row r="526" spans="8:14">
      <c r="H526" s="178" t="s">
        <v>4352</v>
      </c>
      <c r="I526" s="178" t="s">
        <v>5453</v>
      </c>
      <c r="J526" s="178" t="s">
        <v>3840</v>
      </c>
      <c r="K526" s="178" t="s">
        <v>4352</v>
      </c>
      <c r="L526" s="178" t="str">
        <f t="shared" si="48"/>
        <v>B4045</v>
      </c>
      <c r="M526" s="178" t="str">
        <f t="shared" si="49"/>
        <v>GEA_KCB신용요약정보조회Dto</v>
      </c>
      <c r="N526" s="178">
        <f t="shared" si="50"/>
        <v>1</v>
      </c>
    </row>
    <row r="527" spans="8:14">
      <c r="H527" s="178" t="s">
        <v>4353</v>
      </c>
      <c r="I527" s="178" t="s">
        <v>5453</v>
      </c>
      <c r="J527" s="178" t="s">
        <v>5568</v>
      </c>
      <c r="K527" s="178" t="s">
        <v>4353</v>
      </c>
      <c r="L527" s="178" t="str">
        <f t="shared" si="48"/>
        <v>B4046</v>
      </c>
      <c r="M527" s="178" t="str">
        <f t="shared" si="49"/>
        <v>GEA_KCB신용요약정보조회Dto</v>
      </c>
      <c r="N527" s="178">
        <f t="shared" si="50"/>
        <v>1</v>
      </c>
    </row>
    <row r="528" spans="8:14">
      <c r="H528" s="263" t="s">
        <v>4354</v>
      </c>
      <c r="I528" s="178" t="s">
        <v>5453</v>
      </c>
      <c r="J528" s="263" t="s">
        <v>5569</v>
      </c>
      <c r="K528" s="263" t="s">
        <v>4354</v>
      </c>
      <c r="L528" s="178" t="str">
        <f t="shared" si="48"/>
        <v>B4047</v>
      </c>
      <c r="M528" s="178" t="str">
        <f t="shared" si="49"/>
        <v>GEA_KCB신용요약정보조회Dto</v>
      </c>
      <c r="N528" s="178">
        <f t="shared" si="50"/>
        <v>1</v>
      </c>
    </row>
    <row r="529" spans="8:14">
      <c r="H529" s="263" t="s">
        <v>4355</v>
      </c>
      <c r="I529" s="178" t="s">
        <v>5453</v>
      </c>
      <c r="J529" s="263" t="s">
        <v>5570</v>
      </c>
      <c r="K529" s="263" t="s">
        <v>4355</v>
      </c>
      <c r="L529" s="178" t="str">
        <f t="shared" si="48"/>
        <v>B4048</v>
      </c>
      <c r="M529" s="178" t="str">
        <f t="shared" si="49"/>
        <v>GEA_KCB신용요약정보조회Dto</v>
      </c>
      <c r="N529" s="178">
        <f t="shared" si="50"/>
        <v>1</v>
      </c>
    </row>
    <row r="530" spans="8:14">
      <c r="H530" s="263" t="s">
        <v>4356</v>
      </c>
      <c r="I530" s="178" t="s">
        <v>5453</v>
      </c>
      <c r="J530" s="263" t="s">
        <v>5571</v>
      </c>
      <c r="K530" s="263" t="s">
        <v>4356</v>
      </c>
      <c r="L530" s="178" t="str">
        <f t="shared" si="48"/>
        <v>B4049</v>
      </c>
      <c r="M530" s="178" t="str">
        <f t="shared" si="49"/>
        <v>GEA_KCB신용요약정보조회Dto</v>
      </c>
      <c r="N530" s="178">
        <f t="shared" si="50"/>
        <v>1</v>
      </c>
    </row>
    <row r="531" spans="8:14">
      <c r="H531" s="263" t="s">
        <v>4357</v>
      </c>
      <c r="I531" s="178" t="s">
        <v>5453</v>
      </c>
      <c r="J531" s="263" t="s">
        <v>5572</v>
      </c>
      <c r="K531" s="263" t="s">
        <v>4357</v>
      </c>
      <c r="L531" s="178" t="str">
        <f t="shared" si="48"/>
        <v>B4050</v>
      </c>
      <c r="M531" s="178" t="str">
        <f t="shared" si="49"/>
        <v>GEA_KCB신용요약정보조회Dto</v>
      </c>
      <c r="N531" s="178">
        <f t="shared" si="50"/>
        <v>1</v>
      </c>
    </row>
    <row r="532" spans="8:14">
      <c r="H532" s="263" t="s">
        <v>4358</v>
      </c>
      <c r="I532" s="178" t="s">
        <v>5453</v>
      </c>
      <c r="J532" s="263" t="s">
        <v>5573</v>
      </c>
      <c r="K532" s="263" t="s">
        <v>4358</v>
      </c>
      <c r="L532" s="178" t="str">
        <f t="shared" si="48"/>
        <v>B4051</v>
      </c>
      <c r="M532" s="178" t="str">
        <f t="shared" si="49"/>
        <v>GEA_KCB신용요약정보조회Dto</v>
      </c>
      <c r="N532" s="178">
        <f t="shared" si="50"/>
        <v>1</v>
      </c>
    </row>
    <row r="533" spans="8:14">
      <c r="H533" s="263" t="s">
        <v>4359</v>
      </c>
      <c r="I533" s="178" t="s">
        <v>5453</v>
      </c>
      <c r="J533" s="263" t="s">
        <v>5574</v>
      </c>
      <c r="K533" s="263" t="s">
        <v>4359</v>
      </c>
      <c r="L533" s="178" t="str">
        <f t="shared" si="48"/>
        <v>B4052</v>
      </c>
      <c r="M533" s="178" t="str">
        <f t="shared" si="49"/>
        <v>GEA_KCB신용요약정보조회Dto</v>
      </c>
      <c r="N533" s="178">
        <f t="shared" si="50"/>
        <v>1</v>
      </c>
    </row>
    <row r="534" spans="8:14">
      <c r="H534" s="263" t="s">
        <v>4360</v>
      </c>
      <c r="I534" s="178" t="s">
        <v>5453</v>
      </c>
      <c r="J534" s="263" t="s">
        <v>5575</v>
      </c>
      <c r="K534" s="263" t="s">
        <v>4360</v>
      </c>
      <c r="L534" s="178" t="str">
        <f t="shared" si="48"/>
        <v>B4053</v>
      </c>
      <c r="M534" s="178" t="str">
        <f t="shared" si="49"/>
        <v>GEA_KCB신용요약정보조회Dto</v>
      </c>
      <c r="N534" s="178">
        <f t="shared" si="50"/>
        <v>1</v>
      </c>
    </row>
  </sheetData>
  <phoneticPr fontId="2" type="noConversion"/>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C566-BA9E-4A0C-8DE4-47027E1BF4A1}">
  <sheetPr filterMode="1">
    <tabColor rgb="FF00B0F0"/>
  </sheetPr>
  <dimension ref="A1:N534"/>
  <sheetViews>
    <sheetView topLeftCell="A141" zoomScale="90" zoomScaleNormal="90" workbookViewId="0">
      <selection activeCell="A249" sqref="A249"/>
    </sheetView>
  </sheetViews>
  <sheetFormatPr defaultRowHeight="11.25"/>
  <cols>
    <col min="1" max="1" width="9" style="178"/>
    <col min="2" max="2" width="33.75" style="178" customWidth="1"/>
    <col min="3" max="3" width="31" style="178" customWidth="1"/>
    <col min="4" max="4" width="9" style="178" customWidth="1"/>
    <col min="5" max="5" width="8.5" style="178" customWidth="1"/>
    <col min="6" max="6" width="34" style="178" customWidth="1"/>
    <col min="7" max="7" width="8.875" style="178" customWidth="1"/>
    <col min="8" max="8" width="8.625" style="178" customWidth="1"/>
    <col min="9" max="9" width="29.125" style="178" customWidth="1"/>
    <col min="10" max="10" width="25.375" style="178" customWidth="1"/>
    <col min="11" max="12" width="8.625" style="178" customWidth="1"/>
    <col min="13" max="13" width="26.5" style="178" customWidth="1"/>
    <col min="14" max="16384" width="9" style="178"/>
  </cols>
  <sheetData>
    <row r="1" spans="1:14">
      <c r="E1" s="178" t="s">
        <v>5889</v>
      </c>
      <c r="L1" s="178" t="s">
        <v>5894</v>
      </c>
    </row>
    <row r="2" spans="1:14" hidden="1">
      <c r="A2" s="207" t="s">
        <v>2960</v>
      </c>
      <c r="B2" s="192" t="s">
        <v>3200</v>
      </c>
      <c r="C2" s="192" t="s">
        <v>3201</v>
      </c>
      <c r="D2" s="207" t="s">
        <v>2960</v>
      </c>
      <c r="E2" s="178" t="s">
        <v>5886</v>
      </c>
      <c r="F2" s="178" t="s">
        <v>5887</v>
      </c>
      <c r="H2" s="260" t="s">
        <v>2960</v>
      </c>
      <c r="I2" s="261" t="s">
        <v>3200</v>
      </c>
      <c r="J2" s="261" t="s">
        <v>3201</v>
      </c>
      <c r="K2" s="260" t="s">
        <v>2960</v>
      </c>
      <c r="L2" s="178" t="s">
        <v>5888</v>
      </c>
    </row>
    <row r="3" spans="1:14">
      <c r="A3" s="178" t="s">
        <v>2116</v>
      </c>
      <c r="B3" s="178" t="s">
        <v>5430</v>
      </c>
      <c r="C3" s="178" t="s">
        <v>1576</v>
      </c>
      <c r="D3" s="178" t="s">
        <v>2116</v>
      </c>
      <c r="E3" s="178" t="e">
        <f>VLOOKUP(C3,$J$5:$K$601,2,FALSE)</f>
        <v>#N/A</v>
      </c>
      <c r="H3" s="263" t="s">
        <v>3128</v>
      </c>
      <c r="I3" s="263"/>
      <c r="J3" s="263"/>
      <c r="K3" s="263" t="s">
        <v>3128</v>
      </c>
      <c r="L3" s="178" t="e">
        <f>VLOOKUP(TRIM(J3),$C$3:$D$463,2,FALSE)</f>
        <v>#N/A</v>
      </c>
      <c r="M3" s="178" t="e">
        <f>VLOOKUP(L3,$A$3:$B$463,2,FALSE)</f>
        <v>#N/A</v>
      </c>
      <c r="N3" s="178" t="e">
        <f>IF(M3=I3,1,0)</f>
        <v>#N/A</v>
      </c>
    </row>
    <row r="4" spans="1:14">
      <c r="A4" s="181"/>
      <c r="B4" s="181"/>
      <c r="C4" s="181"/>
      <c r="D4" s="181" t="s">
        <v>2573</v>
      </c>
      <c r="E4" s="178" t="e">
        <f t="shared" ref="E4:E67" si="0">VLOOKUP(C4,$J$5:$K$601,2,FALSE)</f>
        <v>#N/A</v>
      </c>
      <c r="H4" s="263" t="s">
        <v>3129</v>
      </c>
      <c r="I4" s="263"/>
      <c r="J4" s="263"/>
      <c r="K4" s="263" t="s">
        <v>3129</v>
      </c>
      <c r="L4" s="178" t="e">
        <f t="shared" ref="L4:L67" si="1">VLOOKUP(TRIM(J4),$C$3:$D$463,2,FALSE)</f>
        <v>#N/A</v>
      </c>
      <c r="M4" s="178" t="e">
        <f t="shared" ref="M4:M67" si="2">VLOOKUP(L4,$A$3:$B$463,2,FALSE)</f>
        <v>#N/A</v>
      </c>
      <c r="N4" s="178" t="e">
        <f t="shared" ref="N4:N67" si="3">IF(M4=I4,1,0)</f>
        <v>#N/A</v>
      </c>
    </row>
    <row r="5" spans="1:14" hidden="1">
      <c r="A5" s="181"/>
      <c r="B5" s="181"/>
      <c r="C5" s="181"/>
      <c r="D5" s="181" t="s">
        <v>2574</v>
      </c>
      <c r="E5" s="178" t="e">
        <f t="shared" si="0"/>
        <v>#N/A</v>
      </c>
      <c r="H5" s="263" t="s">
        <v>2572</v>
      </c>
      <c r="I5" s="263" t="s">
        <v>5831</v>
      </c>
      <c r="J5" s="263" t="s">
        <v>50</v>
      </c>
      <c r="K5" s="263" t="s">
        <v>2572</v>
      </c>
      <c r="L5" s="178" t="str">
        <f t="shared" si="1"/>
        <v>A1006</v>
      </c>
      <c r="M5" s="178" t="str">
        <f t="shared" si="2"/>
        <v>i신용대출RCLIPS전문조립C</v>
      </c>
      <c r="N5" s="178">
        <f t="shared" si="3"/>
        <v>0</v>
      </c>
    </row>
    <row r="6" spans="1:14">
      <c r="A6" s="178" t="s">
        <v>2117</v>
      </c>
      <c r="B6" s="178" t="s">
        <v>3063</v>
      </c>
      <c r="C6" s="178" t="s">
        <v>3064</v>
      </c>
      <c r="D6" s="178" t="s">
        <v>2117</v>
      </c>
      <c r="E6" s="178" t="str">
        <f t="shared" si="0"/>
        <v>A0003</v>
      </c>
      <c r="F6" s="178" t="str">
        <f>VLOOKUP(E6,$H$5:$I$601,2,FALSE)</f>
        <v>i이지론플러스대출RCLIPS전문조립C</v>
      </c>
      <c r="G6" s="178">
        <f>IF(B6=F6,1,0)</f>
        <v>0</v>
      </c>
      <c r="H6" s="263" t="s">
        <v>2570</v>
      </c>
      <c r="I6" s="263" t="s">
        <v>5831</v>
      </c>
      <c r="J6" s="263" t="s">
        <v>445</v>
      </c>
      <c r="K6" s="263" t="s">
        <v>2570</v>
      </c>
      <c r="L6" s="178" t="e">
        <f t="shared" si="1"/>
        <v>#N/A</v>
      </c>
      <c r="M6" s="178" t="e">
        <f t="shared" si="2"/>
        <v>#N/A</v>
      </c>
      <c r="N6" s="178" t="e">
        <f t="shared" si="3"/>
        <v>#N/A</v>
      </c>
    </row>
    <row r="7" spans="1:14" hidden="1">
      <c r="A7" s="178" t="s">
        <v>2118</v>
      </c>
      <c r="B7" s="263" t="s">
        <v>5435</v>
      </c>
      <c r="C7" s="263" t="s">
        <v>3065</v>
      </c>
      <c r="D7" s="178" t="s">
        <v>2118</v>
      </c>
      <c r="E7" s="178" t="str">
        <f t="shared" si="0"/>
        <v>A0004</v>
      </c>
      <c r="F7" s="178" t="str">
        <f t="shared" ref="F7:F70" si="4">VLOOKUP(E7,$H$5:$I$601,2,FALSE)</f>
        <v>현재일자기준대출심사모형사전조회출력Dto</v>
      </c>
      <c r="G7" s="178">
        <f t="shared" ref="G7:G70" si="5">IF(B7=F7,1,0)</f>
        <v>1</v>
      </c>
      <c r="H7" s="263" t="s">
        <v>2571</v>
      </c>
      <c r="I7" s="263" t="s">
        <v>5831</v>
      </c>
      <c r="J7" s="263" t="s">
        <v>3064</v>
      </c>
      <c r="K7" s="263" t="s">
        <v>2571</v>
      </c>
      <c r="L7" s="178" t="str">
        <f t="shared" si="1"/>
        <v>A1004</v>
      </c>
      <c r="M7" s="178" t="str">
        <f t="shared" si="2"/>
        <v>i신용대출RCLIPS전문조립C</v>
      </c>
      <c r="N7" s="178">
        <f t="shared" si="3"/>
        <v>0</v>
      </c>
    </row>
    <row r="8" spans="1:14" hidden="1">
      <c r="A8" s="178" t="s">
        <v>2575</v>
      </c>
      <c r="B8" s="178" t="s">
        <v>3063</v>
      </c>
      <c r="C8" s="178" t="s">
        <v>50</v>
      </c>
      <c r="D8" s="178" t="s">
        <v>2575</v>
      </c>
      <c r="E8" s="178" t="str">
        <f t="shared" si="0"/>
        <v>A0001</v>
      </c>
      <c r="F8" s="178" t="str">
        <f t="shared" si="4"/>
        <v>i이지론플러스대출RCLIPS전문조립C</v>
      </c>
      <c r="G8" s="178">
        <f t="shared" si="5"/>
        <v>0</v>
      </c>
      <c r="H8" s="263" t="s">
        <v>5778</v>
      </c>
      <c r="I8" s="263" t="s">
        <v>5435</v>
      </c>
      <c r="J8" s="263" t="s">
        <v>3065</v>
      </c>
      <c r="K8" s="263" t="s">
        <v>5778</v>
      </c>
      <c r="L8" s="178" t="str">
        <f t="shared" si="1"/>
        <v>A1005</v>
      </c>
      <c r="M8" s="178" t="str">
        <f t="shared" si="2"/>
        <v>현재일자기준대출심사모형사전조회출력Dto</v>
      </c>
      <c r="N8" s="178">
        <f t="shared" si="3"/>
        <v>1</v>
      </c>
    </row>
    <row r="9" spans="1:14">
      <c r="A9" s="178" t="s">
        <v>2120</v>
      </c>
      <c r="B9" s="263" t="s">
        <v>5435</v>
      </c>
      <c r="C9" s="436" t="s">
        <v>5834</v>
      </c>
      <c r="D9" s="178" t="s">
        <v>2120</v>
      </c>
      <c r="E9" s="178" t="str">
        <f t="shared" si="0"/>
        <v>A1001</v>
      </c>
      <c r="F9" s="178" t="str">
        <f t="shared" si="4"/>
        <v>현재일자기준대출심사모형사전조회출력Dto</v>
      </c>
      <c r="G9" s="178">
        <f t="shared" si="5"/>
        <v>1</v>
      </c>
      <c r="H9" s="263" t="s">
        <v>5779</v>
      </c>
      <c r="I9" s="263" t="s">
        <v>5833</v>
      </c>
      <c r="J9" s="263" t="s">
        <v>5830</v>
      </c>
      <c r="K9" s="263" t="s">
        <v>5779</v>
      </c>
      <c r="L9" s="178" t="e">
        <f t="shared" si="1"/>
        <v>#N/A</v>
      </c>
      <c r="M9" s="178" t="e">
        <f t="shared" si="2"/>
        <v>#N/A</v>
      </c>
      <c r="N9" s="178" t="e">
        <f t="shared" si="3"/>
        <v>#N/A</v>
      </c>
    </row>
    <row r="10" spans="1:14" hidden="1">
      <c r="A10" s="178" t="s">
        <v>2121</v>
      </c>
      <c r="B10" s="263" t="s">
        <v>5435</v>
      </c>
      <c r="C10" s="436" t="s">
        <v>3588</v>
      </c>
      <c r="D10" s="178" t="s">
        <v>2121</v>
      </c>
      <c r="E10" s="178" t="str">
        <f t="shared" si="0"/>
        <v>A1002</v>
      </c>
      <c r="F10" s="178" t="str">
        <f t="shared" si="4"/>
        <v>현재일자기준대출심사모형사전조회출력Dto</v>
      </c>
      <c r="G10" s="178">
        <f t="shared" si="5"/>
        <v>1</v>
      </c>
      <c r="H10" s="263" t="s">
        <v>2116</v>
      </c>
      <c r="I10" s="263" t="s">
        <v>5435</v>
      </c>
      <c r="J10" s="436" t="s">
        <v>5834</v>
      </c>
      <c r="K10" s="263" t="s">
        <v>2116</v>
      </c>
      <c r="L10" s="178" t="str">
        <f t="shared" si="1"/>
        <v>A2001</v>
      </c>
      <c r="M10" s="178" t="str">
        <f t="shared" si="2"/>
        <v>현재일자기준대출심사모형사전조회출력Dto</v>
      </c>
      <c r="N10" s="178">
        <f t="shared" si="3"/>
        <v>1</v>
      </c>
    </row>
    <row r="11" spans="1:14" hidden="1">
      <c r="A11" s="178" t="s">
        <v>2122</v>
      </c>
      <c r="B11" s="263" t="s">
        <v>5435</v>
      </c>
      <c r="C11" s="436" t="s">
        <v>3589</v>
      </c>
      <c r="D11" s="178" t="s">
        <v>2122</v>
      </c>
      <c r="E11" s="178" t="str">
        <f t="shared" si="0"/>
        <v>A1003</v>
      </c>
      <c r="F11" s="178" t="str">
        <f t="shared" si="4"/>
        <v>현재일자기준대출심사모형사전조회출력Dto</v>
      </c>
      <c r="G11" s="178">
        <f t="shared" si="5"/>
        <v>1</v>
      </c>
      <c r="H11" s="263" t="s">
        <v>2573</v>
      </c>
      <c r="I11" s="263" t="s">
        <v>5435</v>
      </c>
      <c r="J11" s="436" t="s">
        <v>5838</v>
      </c>
      <c r="K11" s="263" t="s">
        <v>2573</v>
      </c>
      <c r="L11" s="178" t="str">
        <f t="shared" si="1"/>
        <v>A2002</v>
      </c>
      <c r="M11" s="178" t="str">
        <f t="shared" si="2"/>
        <v>현재일자기준대출심사모형사전조회출력Dto</v>
      </c>
      <c r="N11" s="178">
        <f t="shared" si="3"/>
        <v>1</v>
      </c>
    </row>
    <row r="12" spans="1:14" hidden="1">
      <c r="A12" s="178" t="s">
        <v>2605</v>
      </c>
      <c r="B12" s="263" t="s">
        <v>5435</v>
      </c>
      <c r="C12" s="436" t="s">
        <v>5880</v>
      </c>
      <c r="D12" s="178" t="s">
        <v>2605</v>
      </c>
      <c r="E12" s="178" t="e">
        <f t="shared" si="0"/>
        <v>#N/A</v>
      </c>
      <c r="F12" s="178" t="e">
        <f t="shared" si="4"/>
        <v>#N/A</v>
      </c>
      <c r="G12" s="178" t="e">
        <f t="shared" si="5"/>
        <v>#N/A</v>
      </c>
      <c r="H12" s="263" t="s">
        <v>2574</v>
      </c>
      <c r="I12" s="263" t="s">
        <v>5435</v>
      </c>
      <c r="J12" s="436" t="s">
        <v>5835</v>
      </c>
      <c r="K12" s="263" t="s">
        <v>2574</v>
      </c>
      <c r="L12" s="178" t="str">
        <f t="shared" si="1"/>
        <v>A2003</v>
      </c>
      <c r="M12" s="178" t="str">
        <f t="shared" si="2"/>
        <v>현재일자기준대출심사모형사전조회출력Dto</v>
      </c>
      <c r="N12" s="178">
        <f t="shared" si="3"/>
        <v>1</v>
      </c>
    </row>
    <row r="13" spans="1:14" hidden="1">
      <c r="A13" s="178" t="s">
        <v>2606</v>
      </c>
      <c r="B13" s="263" t="s">
        <v>5435</v>
      </c>
      <c r="C13" s="436" t="s">
        <v>5881</v>
      </c>
      <c r="D13" s="178" t="s">
        <v>2606</v>
      </c>
      <c r="E13" s="178" t="e">
        <f t="shared" si="0"/>
        <v>#N/A</v>
      </c>
      <c r="F13" s="178" t="e">
        <f t="shared" si="4"/>
        <v>#N/A</v>
      </c>
      <c r="G13" s="178" t="e">
        <f t="shared" si="5"/>
        <v>#N/A</v>
      </c>
      <c r="H13" s="263" t="s">
        <v>2117</v>
      </c>
      <c r="I13" s="263" t="s">
        <v>5435</v>
      </c>
      <c r="J13" s="436" t="s">
        <v>5839</v>
      </c>
      <c r="K13" s="263" t="s">
        <v>2117</v>
      </c>
      <c r="L13" s="178" t="str">
        <f t="shared" si="1"/>
        <v>A2006</v>
      </c>
      <c r="M13" s="178" t="str">
        <f t="shared" si="2"/>
        <v>현재일자기준대출심사모형사전조회출력Dto</v>
      </c>
      <c r="N13" s="178">
        <f t="shared" si="3"/>
        <v>1</v>
      </c>
    </row>
    <row r="14" spans="1:14" hidden="1">
      <c r="A14" s="178" t="s">
        <v>2123</v>
      </c>
      <c r="B14" s="263" t="s">
        <v>5435</v>
      </c>
      <c r="C14" s="436" t="s">
        <v>3590</v>
      </c>
      <c r="D14" s="178" t="s">
        <v>2123</v>
      </c>
      <c r="E14" s="178" t="str">
        <f t="shared" si="0"/>
        <v>A1004</v>
      </c>
      <c r="F14" s="178" t="str">
        <f t="shared" si="4"/>
        <v>현재일자기준대출심사모형사전조회출력Dto</v>
      </c>
      <c r="G14" s="178">
        <f t="shared" si="5"/>
        <v>1</v>
      </c>
      <c r="H14" s="263" t="s">
        <v>2118</v>
      </c>
      <c r="I14" s="263" t="s">
        <v>5435</v>
      </c>
      <c r="J14" s="436" t="s">
        <v>5840</v>
      </c>
      <c r="K14" s="263" t="s">
        <v>2118</v>
      </c>
      <c r="L14" s="178" t="str">
        <f t="shared" si="1"/>
        <v>A2007</v>
      </c>
      <c r="M14" s="178" t="str">
        <f t="shared" si="2"/>
        <v>현재일자기준대출심사모형사전조회출력Dto</v>
      </c>
      <c r="N14" s="178">
        <f t="shared" si="3"/>
        <v>1</v>
      </c>
    </row>
    <row r="15" spans="1:14" hidden="1">
      <c r="A15" s="178" t="s">
        <v>2124</v>
      </c>
      <c r="B15" s="263" t="s">
        <v>5435</v>
      </c>
      <c r="C15" s="436" t="s">
        <v>3591</v>
      </c>
      <c r="D15" s="178" t="s">
        <v>2124</v>
      </c>
      <c r="E15" s="178" t="str">
        <f t="shared" si="0"/>
        <v>A1005</v>
      </c>
      <c r="F15" s="178" t="str">
        <f t="shared" si="4"/>
        <v>현재일자기준대출심사모형사전조회출력Dto</v>
      </c>
      <c r="G15" s="178">
        <f t="shared" si="5"/>
        <v>1</v>
      </c>
      <c r="H15" s="263" t="s">
        <v>2575</v>
      </c>
      <c r="I15" s="263" t="s">
        <v>5435</v>
      </c>
      <c r="J15" s="436" t="s">
        <v>5841</v>
      </c>
      <c r="K15" s="263" t="s">
        <v>2575</v>
      </c>
      <c r="L15" s="178" t="str">
        <f t="shared" si="1"/>
        <v>A2008</v>
      </c>
      <c r="M15" s="178" t="str">
        <f t="shared" si="2"/>
        <v>현재일자기준대출심사모형사전조회출력Dto</v>
      </c>
      <c r="N15" s="178">
        <f t="shared" si="3"/>
        <v>1</v>
      </c>
    </row>
    <row r="16" spans="1:14" hidden="1">
      <c r="A16" s="178" t="s">
        <v>2125</v>
      </c>
      <c r="B16" s="263" t="s">
        <v>5435</v>
      </c>
      <c r="C16" s="436" t="s">
        <v>3592</v>
      </c>
      <c r="D16" s="178" t="s">
        <v>2125</v>
      </c>
      <c r="E16" s="178" t="str">
        <f t="shared" si="0"/>
        <v>A1006</v>
      </c>
      <c r="F16" s="178" t="str">
        <f t="shared" si="4"/>
        <v>현재일자기준대출심사모형사전조회출력Dto</v>
      </c>
      <c r="G16" s="178">
        <f t="shared" si="5"/>
        <v>1</v>
      </c>
      <c r="H16" s="263" t="s">
        <v>2576</v>
      </c>
      <c r="I16" s="263" t="s">
        <v>5435</v>
      </c>
      <c r="J16" s="436" t="s">
        <v>5842</v>
      </c>
      <c r="K16" s="263" t="s">
        <v>2576</v>
      </c>
      <c r="L16" s="178" t="str">
        <f t="shared" si="1"/>
        <v>A2009</v>
      </c>
      <c r="M16" s="178" t="str">
        <f t="shared" si="2"/>
        <v>현재일자기준대출심사모형사전조회출력Dto</v>
      </c>
      <c r="N16" s="178">
        <f t="shared" si="3"/>
        <v>1</v>
      </c>
    </row>
    <row r="17" spans="1:14" hidden="1">
      <c r="A17" s="178" t="s">
        <v>2126</v>
      </c>
      <c r="B17" s="263" t="s">
        <v>5435</v>
      </c>
      <c r="C17" s="436" t="s">
        <v>3593</v>
      </c>
      <c r="D17" s="178" t="s">
        <v>2126</v>
      </c>
      <c r="E17" s="178" t="str">
        <f t="shared" si="0"/>
        <v>A1007</v>
      </c>
      <c r="F17" s="178" t="str">
        <f t="shared" si="4"/>
        <v>현재일자기준대출심사모형사전조회출력Dto</v>
      </c>
      <c r="G17" s="178">
        <f t="shared" si="5"/>
        <v>1</v>
      </c>
      <c r="H17" s="263" t="s">
        <v>2577</v>
      </c>
      <c r="I17" s="263" t="s">
        <v>5435</v>
      </c>
      <c r="J17" s="436" t="s">
        <v>5843</v>
      </c>
      <c r="K17" s="263" t="s">
        <v>2577</v>
      </c>
      <c r="L17" s="178" t="str">
        <f t="shared" si="1"/>
        <v>A2010</v>
      </c>
      <c r="M17" s="178" t="str">
        <f t="shared" si="2"/>
        <v>현재일자기준대출심사모형사전조회출력Dto</v>
      </c>
      <c r="N17" s="178">
        <f t="shared" si="3"/>
        <v>1</v>
      </c>
    </row>
    <row r="18" spans="1:14" hidden="1">
      <c r="A18" s="178" t="s">
        <v>2127</v>
      </c>
      <c r="B18" s="263" t="s">
        <v>5435</v>
      </c>
      <c r="C18" s="436" t="s">
        <v>3594</v>
      </c>
      <c r="D18" s="178" t="s">
        <v>2127</v>
      </c>
      <c r="E18" s="178" t="str">
        <f t="shared" si="0"/>
        <v>A1008</v>
      </c>
      <c r="F18" s="178" t="str">
        <f t="shared" si="4"/>
        <v>현재일자기준대출심사모형사전조회출력Dto</v>
      </c>
      <c r="G18" s="178">
        <f t="shared" si="5"/>
        <v>1</v>
      </c>
      <c r="H18" s="263" t="s">
        <v>2578</v>
      </c>
      <c r="I18" s="263" t="s">
        <v>5435</v>
      </c>
      <c r="J18" s="436" t="s">
        <v>5844</v>
      </c>
      <c r="K18" s="263" t="s">
        <v>2578</v>
      </c>
      <c r="L18" s="178" t="str">
        <f t="shared" si="1"/>
        <v>A2011</v>
      </c>
      <c r="M18" s="178" t="str">
        <f t="shared" si="2"/>
        <v>현재일자기준대출심사모형사전조회출력Dto</v>
      </c>
      <c r="N18" s="178">
        <f t="shared" si="3"/>
        <v>1</v>
      </c>
    </row>
    <row r="19" spans="1:14" hidden="1">
      <c r="A19" s="178" t="s">
        <v>2128</v>
      </c>
      <c r="B19" s="263" t="s">
        <v>5435</v>
      </c>
      <c r="C19" s="436" t="s">
        <v>5844</v>
      </c>
      <c r="D19" s="178" t="s">
        <v>2128</v>
      </c>
      <c r="E19" s="178" t="str">
        <f t="shared" si="0"/>
        <v>A1009</v>
      </c>
      <c r="F19" s="178" t="str">
        <f t="shared" si="4"/>
        <v>현재일자기준대출심사모형사전조회출력Dto</v>
      </c>
      <c r="G19" s="178">
        <f t="shared" si="5"/>
        <v>1</v>
      </c>
      <c r="H19" s="263" t="s">
        <v>2579</v>
      </c>
      <c r="I19" s="263" t="s">
        <v>5435</v>
      </c>
      <c r="J19" s="436" t="s">
        <v>5836</v>
      </c>
      <c r="K19" s="263" t="s">
        <v>2579</v>
      </c>
      <c r="L19" s="178" t="str">
        <f t="shared" si="1"/>
        <v>A2012</v>
      </c>
      <c r="M19" s="178" t="str">
        <f t="shared" si="2"/>
        <v>현재일자기준대출심사모형사전조회출력Dto</v>
      </c>
      <c r="N19" s="178">
        <f t="shared" si="3"/>
        <v>1</v>
      </c>
    </row>
    <row r="20" spans="1:14" hidden="1">
      <c r="A20" s="178" t="s">
        <v>2129</v>
      </c>
      <c r="B20" s="263" t="s">
        <v>5435</v>
      </c>
      <c r="C20" s="436" t="s">
        <v>5836</v>
      </c>
      <c r="D20" s="178" t="s">
        <v>2129</v>
      </c>
      <c r="E20" s="178" t="str">
        <f t="shared" si="0"/>
        <v>A1010</v>
      </c>
      <c r="F20" s="178" t="str">
        <f t="shared" si="4"/>
        <v>현재일자기준대출심사모형사전조회출력Dto</v>
      </c>
      <c r="G20" s="178">
        <f t="shared" si="5"/>
        <v>1</v>
      </c>
      <c r="H20" s="263" t="s">
        <v>2580</v>
      </c>
      <c r="I20" s="263" t="s">
        <v>5435</v>
      </c>
      <c r="J20" s="436" t="s">
        <v>5837</v>
      </c>
      <c r="K20" s="263" t="s">
        <v>2580</v>
      </c>
      <c r="L20" s="178" t="str">
        <f t="shared" si="1"/>
        <v>A2013</v>
      </c>
      <c r="M20" s="178" t="str">
        <f t="shared" si="2"/>
        <v>현재일자기준대출심사모형사전조회출력Dto</v>
      </c>
      <c r="N20" s="178">
        <f t="shared" si="3"/>
        <v>1</v>
      </c>
    </row>
    <row r="21" spans="1:14" hidden="1">
      <c r="A21" s="178" t="s">
        <v>2130</v>
      </c>
      <c r="B21" s="263" t="s">
        <v>5435</v>
      </c>
      <c r="C21" s="436" t="s">
        <v>5837</v>
      </c>
      <c r="D21" s="178" t="s">
        <v>2130</v>
      </c>
      <c r="E21" s="178" t="str">
        <f t="shared" si="0"/>
        <v>A1011</v>
      </c>
      <c r="F21" s="178" t="str">
        <f t="shared" si="4"/>
        <v>현재일자기준대출심사모형사전조회출력Dto</v>
      </c>
      <c r="G21" s="178">
        <f t="shared" si="5"/>
        <v>1</v>
      </c>
      <c r="H21" s="263" t="s">
        <v>2581</v>
      </c>
      <c r="I21" s="263" t="s">
        <v>5435</v>
      </c>
      <c r="J21" s="436" t="s">
        <v>174</v>
      </c>
      <c r="K21" s="263" t="s">
        <v>2581</v>
      </c>
      <c r="L21" s="178" t="str">
        <f t="shared" si="1"/>
        <v>A2020</v>
      </c>
      <c r="M21" s="178" t="str">
        <f t="shared" si="2"/>
        <v>현재일자기준대출심사모형사전조회출력Dto</v>
      </c>
      <c r="N21" s="178">
        <f t="shared" si="3"/>
        <v>1</v>
      </c>
    </row>
    <row r="22" spans="1:14" hidden="1">
      <c r="A22" s="178" t="s">
        <v>2138</v>
      </c>
      <c r="B22" s="178" t="s">
        <v>5435</v>
      </c>
      <c r="C22" s="178" t="s">
        <v>177</v>
      </c>
      <c r="D22" s="178" t="s">
        <v>2138</v>
      </c>
      <c r="E22" s="178" t="str">
        <f t="shared" si="0"/>
        <v>A1019</v>
      </c>
      <c r="F22" s="178" t="str">
        <f t="shared" si="4"/>
        <v>현재일자기준대출심사모형사전조회출력Dto</v>
      </c>
      <c r="G22" s="178">
        <f t="shared" si="5"/>
        <v>1</v>
      </c>
      <c r="H22" s="263" t="s">
        <v>2582</v>
      </c>
      <c r="I22" s="263" t="s">
        <v>5435</v>
      </c>
      <c r="J22" s="436" t="s">
        <v>173</v>
      </c>
      <c r="K22" s="263" t="s">
        <v>2582</v>
      </c>
      <c r="L22" s="178" t="str">
        <f t="shared" si="1"/>
        <v>A2021</v>
      </c>
      <c r="M22" s="178" t="str">
        <f t="shared" si="2"/>
        <v>현재일자기준대출심사모형사전조회출력Dto</v>
      </c>
      <c r="N22" s="178">
        <f t="shared" si="3"/>
        <v>1</v>
      </c>
    </row>
    <row r="23" spans="1:14" hidden="1">
      <c r="A23" s="178" t="s">
        <v>2139</v>
      </c>
      <c r="B23" s="178" t="s">
        <v>5435</v>
      </c>
      <c r="C23" s="178" t="s">
        <v>178</v>
      </c>
      <c r="D23" s="178" t="s">
        <v>2139</v>
      </c>
      <c r="E23" s="178" t="str">
        <f>VLOOKUP(C23,$J$5:$K$601,2,FALSE)</f>
        <v>A1020</v>
      </c>
      <c r="F23" s="178" t="str">
        <f t="shared" si="4"/>
        <v>현재일자기준대출심사모형사전조회출력Dto</v>
      </c>
      <c r="G23" s="178">
        <f t="shared" si="5"/>
        <v>1</v>
      </c>
      <c r="H23" s="263" t="s">
        <v>2583</v>
      </c>
      <c r="I23" s="263" t="s">
        <v>5435</v>
      </c>
      <c r="J23" s="263" t="s">
        <v>175</v>
      </c>
      <c r="K23" s="263" t="s">
        <v>2583</v>
      </c>
      <c r="L23" s="178" t="str">
        <f t="shared" si="1"/>
        <v>A2022</v>
      </c>
      <c r="M23" s="178" t="str">
        <f t="shared" si="2"/>
        <v>현재일자기준대출심사모형사전조회출력Dto</v>
      </c>
      <c r="N23" s="178">
        <f t="shared" si="3"/>
        <v>1</v>
      </c>
    </row>
    <row r="24" spans="1:14" hidden="1">
      <c r="A24" s="178" t="s">
        <v>2140</v>
      </c>
      <c r="B24" s="178" t="s">
        <v>5435</v>
      </c>
      <c r="C24" s="178" t="s">
        <v>179</v>
      </c>
      <c r="D24" s="178" t="s">
        <v>2140</v>
      </c>
      <c r="E24" s="178" t="str">
        <f t="shared" si="0"/>
        <v>A1021</v>
      </c>
      <c r="F24" s="178" t="str">
        <f t="shared" si="4"/>
        <v>현재일자기준대출심사모형사전조회출력Dto</v>
      </c>
      <c r="G24" s="178">
        <f t="shared" si="5"/>
        <v>1</v>
      </c>
      <c r="H24" s="263" t="s">
        <v>2584</v>
      </c>
      <c r="I24" s="263" t="s">
        <v>5435</v>
      </c>
      <c r="J24" s="263" t="s">
        <v>176</v>
      </c>
      <c r="K24" s="263" t="s">
        <v>2584</v>
      </c>
      <c r="L24" s="178" t="str">
        <f t="shared" si="1"/>
        <v>A2023</v>
      </c>
      <c r="M24" s="178" t="str">
        <f t="shared" si="2"/>
        <v>현재일자기준대출심사모형사전조회출력Dto</v>
      </c>
      <c r="N24" s="178">
        <f t="shared" si="3"/>
        <v>1</v>
      </c>
    </row>
    <row r="25" spans="1:14" hidden="1">
      <c r="A25" s="178" t="s">
        <v>2141</v>
      </c>
      <c r="B25" s="178" t="s">
        <v>5435</v>
      </c>
      <c r="C25" s="178" t="s">
        <v>180</v>
      </c>
      <c r="D25" s="178" t="s">
        <v>2141</v>
      </c>
      <c r="E25" s="178" t="str">
        <f t="shared" si="0"/>
        <v>A1022</v>
      </c>
      <c r="F25" s="178" t="str">
        <f t="shared" si="4"/>
        <v>현재일자기준대출심사모형사전조회출력Dto</v>
      </c>
      <c r="G25" s="178">
        <f t="shared" si="5"/>
        <v>1</v>
      </c>
      <c r="H25" s="263" t="s">
        <v>2585</v>
      </c>
      <c r="I25" s="263" t="s">
        <v>5435</v>
      </c>
      <c r="J25" s="263" t="s">
        <v>181</v>
      </c>
      <c r="K25" s="263" t="s">
        <v>2585</v>
      </c>
      <c r="L25" s="178" t="str">
        <f t="shared" si="1"/>
        <v>A2024</v>
      </c>
      <c r="M25" s="178" t="str">
        <f t="shared" si="2"/>
        <v>현재일자기준대출심사모형사전조회출력Dto</v>
      </c>
      <c r="N25" s="178">
        <f t="shared" si="3"/>
        <v>1</v>
      </c>
    </row>
    <row r="26" spans="1:14">
      <c r="A26" s="178" t="s">
        <v>2142</v>
      </c>
      <c r="B26" s="178" t="s">
        <v>5435</v>
      </c>
      <c r="C26" s="178" t="s">
        <v>3080</v>
      </c>
      <c r="D26" s="178" t="s">
        <v>2142</v>
      </c>
      <c r="E26" s="178" t="str">
        <f t="shared" si="0"/>
        <v>A1023</v>
      </c>
      <c r="F26" s="178" t="str">
        <f t="shared" si="4"/>
        <v>현재일자기준대출심사모형사전조회출력Dto</v>
      </c>
      <c r="G26" s="178">
        <f t="shared" si="5"/>
        <v>1</v>
      </c>
      <c r="H26" s="263" t="s">
        <v>2586</v>
      </c>
      <c r="I26" s="263" t="s">
        <v>5435</v>
      </c>
      <c r="J26" s="263" t="s">
        <v>1316</v>
      </c>
      <c r="K26" s="263" t="s">
        <v>2586</v>
      </c>
      <c r="L26" s="178" t="e">
        <f t="shared" si="1"/>
        <v>#N/A</v>
      </c>
      <c r="M26" s="178" t="e">
        <f t="shared" si="2"/>
        <v>#N/A</v>
      </c>
      <c r="N26" s="178" t="e">
        <f t="shared" si="3"/>
        <v>#N/A</v>
      </c>
    </row>
    <row r="27" spans="1:14" hidden="1">
      <c r="A27" s="178" t="s">
        <v>2144</v>
      </c>
      <c r="B27" s="178" t="s">
        <v>5435</v>
      </c>
      <c r="C27" s="178" t="s">
        <v>5845</v>
      </c>
      <c r="D27" s="178" t="s">
        <v>2144</v>
      </c>
      <c r="E27" s="178" t="str">
        <f t="shared" si="0"/>
        <v>A1025</v>
      </c>
      <c r="F27" s="178" t="str">
        <f t="shared" si="4"/>
        <v>현재일자기준대출심사모형사전조회출력Dto</v>
      </c>
      <c r="G27" s="178">
        <f t="shared" si="5"/>
        <v>1</v>
      </c>
      <c r="H27" s="263" t="s">
        <v>2587</v>
      </c>
      <c r="I27" s="263" t="s">
        <v>5435</v>
      </c>
      <c r="J27" s="263" t="s">
        <v>1317</v>
      </c>
      <c r="K27" s="263" t="s">
        <v>2587</v>
      </c>
      <c r="L27" s="178" t="str">
        <f t="shared" si="1"/>
        <v>A2026</v>
      </c>
      <c r="M27" s="178" t="str">
        <f t="shared" si="2"/>
        <v>현재일자기준대출심사모형사전조회출력Dto</v>
      </c>
      <c r="N27" s="178">
        <f t="shared" si="3"/>
        <v>1</v>
      </c>
    </row>
    <row r="28" spans="1:14" hidden="1">
      <c r="A28" s="178" t="s">
        <v>2131</v>
      </c>
      <c r="B28" s="178" t="s">
        <v>5435</v>
      </c>
      <c r="C28" s="178" t="s">
        <v>174</v>
      </c>
      <c r="D28" s="178" t="s">
        <v>2131</v>
      </c>
      <c r="E28" s="178" t="str">
        <f t="shared" si="0"/>
        <v>A1012</v>
      </c>
      <c r="F28" s="178" t="str">
        <f t="shared" si="4"/>
        <v>현재일자기준대출심사모형사전조회출력Dto</v>
      </c>
      <c r="G28" s="178">
        <f t="shared" si="5"/>
        <v>1</v>
      </c>
      <c r="H28" s="263" t="s">
        <v>2588</v>
      </c>
      <c r="I28" s="263" t="s">
        <v>5435</v>
      </c>
      <c r="J28" s="263" t="s">
        <v>177</v>
      </c>
      <c r="K28" s="263" t="s">
        <v>2588</v>
      </c>
      <c r="L28" s="178" t="str">
        <f t="shared" si="1"/>
        <v>A2014</v>
      </c>
      <c r="M28" s="178" t="str">
        <f t="shared" si="2"/>
        <v>현재일자기준대출심사모형사전조회출력Dto</v>
      </c>
      <c r="N28" s="178">
        <f t="shared" si="3"/>
        <v>1</v>
      </c>
    </row>
    <row r="29" spans="1:14" hidden="1">
      <c r="A29" s="178" t="s">
        <v>2132</v>
      </c>
      <c r="B29" s="178" t="s">
        <v>5435</v>
      </c>
      <c r="C29" s="178" t="s">
        <v>173</v>
      </c>
      <c r="D29" s="178" t="s">
        <v>2132</v>
      </c>
      <c r="E29" s="178" t="str">
        <f t="shared" si="0"/>
        <v>A1013</v>
      </c>
      <c r="F29" s="178" t="str">
        <f t="shared" si="4"/>
        <v>현재일자기준대출심사모형사전조회출력Dto</v>
      </c>
      <c r="G29" s="178">
        <f t="shared" si="5"/>
        <v>1</v>
      </c>
      <c r="H29" s="263" t="s">
        <v>2589</v>
      </c>
      <c r="I29" s="263" t="s">
        <v>5435</v>
      </c>
      <c r="J29" s="263" t="s">
        <v>178</v>
      </c>
      <c r="K29" s="263" t="s">
        <v>2589</v>
      </c>
      <c r="L29" s="178" t="str">
        <f t="shared" si="1"/>
        <v>A2015</v>
      </c>
      <c r="M29" s="178" t="str">
        <f t="shared" si="2"/>
        <v>현재일자기준대출심사모형사전조회출력Dto</v>
      </c>
      <c r="N29" s="178">
        <f t="shared" si="3"/>
        <v>1</v>
      </c>
    </row>
    <row r="30" spans="1:14" hidden="1">
      <c r="A30" s="178" t="s">
        <v>2133</v>
      </c>
      <c r="B30" s="178" t="s">
        <v>5435</v>
      </c>
      <c r="C30" s="178" t="s">
        <v>175</v>
      </c>
      <c r="D30" s="178" t="s">
        <v>2133</v>
      </c>
      <c r="E30" s="178" t="str">
        <f t="shared" si="0"/>
        <v>A1014</v>
      </c>
      <c r="F30" s="178" t="str">
        <f t="shared" si="4"/>
        <v>현재일자기준대출심사모형사전조회출력Dto</v>
      </c>
      <c r="G30" s="178">
        <f t="shared" si="5"/>
        <v>1</v>
      </c>
      <c r="H30" s="263" t="s">
        <v>2590</v>
      </c>
      <c r="I30" s="263" t="s">
        <v>5435</v>
      </c>
      <c r="J30" s="263" t="s">
        <v>179</v>
      </c>
      <c r="K30" s="263" t="s">
        <v>2590</v>
      </c>
      <c r="L30" s="178" t="str">
        <f t="shared" si="1"/>
        <v>A2016</v>
      </c>
      <c r="M30" s="178" t="str">
        <f t="shared" si="2"/>
        <v>현재일자기준대출심사모형사전조회출력Dto</v>
      </c>
      <c r="N30" s="178">
        <f t="shared" si="3"/>
        <v>1</v>
      </c>
    </row>
    <row r="31" spans="1:14" hidden="1">
      <c r="A31" s="178" t="s">
        <v>2134</v>
      </c>
      <c r="B31" s="178" t="s">
        <v>5435</v>
      </c>
      <c r="C31" s="178" t="s">
        <v>176</v>
      </c>
      <c r="D31" s="178" t="s">
        <v>2134</v>
      </c>
      <c r="E31" s="178" t="str">
        <f t="shared" si="0"/>
        <v>A1015</v>
      </c>
      <c r="F31" s="178" t="str">
        <f t="shared" si="4"/>
        <v>현재일자기준대출심사모형사전조회출력Dto</v>
      </c>
      <c r="G31" s="178">
        <f t="shared" si="5"/>
        <v>1</v>
      </c>
      <c r="H31" s="263" t="s">
        <v>2591</v>
      </c>
      <c r="I31" s="263" t="s">
        <v>5435</v>
      </c>
      <c r="J31" s="263" t="s">
        <v>180</v>
      </c>
      <c r="K31" s="263" t="s">
        <v>2591</v>
      </c>
      <c r="L31" s="178" t="str">
        <f t="shared" si="1"/>
        <v>A2017</v>
      </c>
      <c r="M31" s="178" t="str">
        <f t="shared" si="2"/>
        <v>현재일자기준대출심사모형사전조회출력Dto</v>
      </c>
      <c r="N31" s="178">
        <f t="shared" si="3"/>
        <v>1</v>
      </c>
    </row>
    <row r="32" spans="1:14" hidden="1">
      <c r="A32" s="178" t="s">
        <v>2135</v>
      </c>
      <c r="B32" s="178" t="s">
        <v>5435</v>
      </c>
      <c r="C32" s="178" t="s">
        <v>181</v>
      </c>
      <c r="D32" s="178" t="s">
        <v>2135</v>
      </c>
      <c r="E32" s="178" t="str">
        <f t="shared" si="0"/>
        <v>A1016</v>
      </c>
      <c r="F32" s="178" t="str">
        <f t="shared" si="4"/>
        <v>현재일자기준대출심사모형사전조회출력Dto</v>
      </c>
      <c r="G32" s="178">
        <f t="shared" si="5"/>
        <v>1</v>
      </c>
      <c r="H32" s="263" t="s">
        <v>2592</v>
      </c>
      <c r="I32" s="263" t="s">
        <v>5435</v>
      </c>
      <c r="J32" s="263" t="s">
        <v>3080</v>
      </c>
      <c r="K32" s="263" t="s">
        <v>2592</v>
      </c>
      <c r="L32" s="178" t="str">
        <f t="shared" si="1"/>
        <v>A2018</v>
      </c>
      <c r="M32" s="178" t="str">
        <f t="shared" si="2"/>
        <v>현재일자기준대출심사모형사전조회출력Dto</v>
      </c>
      <c r="N32" s="178">
        <f t="shared" si="3"/>
        <v>1</v>
      </c>
    </row>
    <row r="33" spans="1:14" hidden="1">
      <c r="A33" s="181"/>
      <c r="B33" s="181"/>
      <c r="C33" s="181"/>
      <c r="D33" s="181" t="s">
        <v>2136</v>
      </c>
      <c r="E33" s="178" t="e">
        <f t="shared" si="0"/>
        <v>#N/A</v>
      </c>
      <c r="F33" s="178" t="e">
        <f t="shared" si="4"/>
        <v>#N/A</v>
      </c>
      <c r="G33" s="178" t="e">
        <f t="shared" si="5"/>
        <v>#N/A</v>
      </c>
      <c r="H33" s="263" t="s">
        <v>2593</v>
      </c>
      <c r="I33" s="263" t="s">
        <v>5435</v>
      </c>
      <c r="J33" s="263" t="s">
        <v>3089</v>
      </c>
      <c r="K33" s="263" t="s">
        <v>2593</v>
      </c>
      <c r="L33" s="178" t="str">
        <f t="shared" si="1"/>
        <v>A2032</v>
      </c>
      <c r="M33" s="178" t="str">
        <f t="shared" si="2"/>
        <v>현재일자기준대출심사모형사전조회출력Dto</v>
      </c>
      <c r="N33" s="178">
        <f t="shared" si="3"/>
        <v>1</v>
      </c>
    </row>
    <row r="34" spans="1:14" hidden="1">
      <c r="A34" s="178" t="s">
        <v>2137</v>
      </c>
      <c r="B34" s="178" t="s">
        <v>5435</v>
      </c>
      <c r="C34" s="178" t="s">
        <v>1317</v>
      </c>
      <c r="D34" s="178" t="s">
        <v>2137</v>
      </c>
      <c r="E34" s="178" t="str">
        <f t="shared" si="0"/>
        <v>A1018</v>
      </c>
      <c r="F34" s="178" t="str">
        <f t="shared" si="4"/>
        <v>현재일자기준대출심사모형사전조회출력Dto</v>
      </c>
      <c r="G34" s="178">
        <f t="shared" si="5"/>
        <v>1</v>
      </c>
      <c r="H34" s="263" t="s">
        <v>2594</v>
      </c>
      <c r="I34" s="263" t="s">
        <v>5435</v>
      </c>
      <c r="J34" s="263" t="s">
        <v>5845</v>
      </c>
      <c r="K34" s="263" t="s">
        <v>2594</v>
      </c>
      <c r="L34" s="178" t="str">
        <f t="shared" si="1"/>
        <v>A2019</v>
      </c>
      <c r="M34" s="178" t="str">
        <f t="shared" si="2"/>
        <v>현재일자기준대출심사모형사전조회출력Dto</v>
      </c>
      <c r="N34" s="178">
        <f t="shared" si="3"/>
        <v>1</v>
      </c>
    </row>
    <row r="35" spans="1:14" hidden="1">
      <c r="A35" s="178" t="s">
        <v>2145</v>
      </c>
      <c r="B35" s="178" t="s">
        <v>5435</v>
      </c>
      <c r="C35" s="178" t="s">
        <v>5846</v>
      </c>
      <c r="D35" s="178" t="s">
        <v>2145</v>
      </c>
      <c r="E35" s="178" t="str">
        <f t="shared" si="0"/>
        <v>A1026</v>
      </c>
      <c r="F35" s="178" t="str">
        <f t="shared" si="4"/>
        <v>현재일자기준대출심사모형사전조회출력Dto</v>
      </c>
      <c r="G35" s="178">
        <f t="shared" si="5"/>
        <v>1</v>
      </c>
      <c r="H35" s="263" t="s">
        <v>2595</v>
      </c>
      <c r="I35" s="263" t="s">
        <v>5435</v>
      </c>
      <c r="J35" s="263" t="s">
        <v>5846</v>
      </c>
      <c r="K35" s="263" t="s">
        <v>2595</v>
      </c>
      <c r="L35" s="178" t="str">
        <f t="shared" si="1"/>
        <v>A2027</v>
      </c>
      <c r="M35" s="178" t="str">
        <f t="shared" si="2"/>
        <v>현재일자기준대출심사모형사전조회출력Dto</v>
      </c>
      <c r="N35" s="178">
        <f t="shared" si="3"/>
        <v>1</v>
      </c>
    </row>
    <row r="36" spans="1:14" hidden="1">
      <c r="A36" s="178" t="s">
        <v>2146</v>
      </c>
      <c r="B36" s="178" t="s">
        <v>5435</v>
      </c>
      <c r="C36" s="178" t="s">
        <v>3086</v>
      </c>
      <c r="D36" s="178" t="s">
        <v>2146</v>
      </c>
      <c r="E36" s="178" t="str">
        <f t="shared" si="0"/>
        <v>A1027</v>
      </c>
      <c r="F36" s="178" t="str">
        <f t="shared" si="4"/>
        <v>현재일자기준대출심사모형사전조회출력Dto</v>
      </c>
      <c r="G36" s="178">
        <f t="shared" si="5"/>
        <v>1</v>
      </c>
      <c r="H36" s="263" t="s">
        <v>2596</v>
      </c>
      <c r="I36" s="263" t="s">
        <v>5435</v>
      </c>
      <c r="J36" s="263" t="s">
        <v>3086</v>
      </c>
      <c r="K36" s="263" t="s">
        <v>2596</v>
      </c>
      <c r="L36" s="178" t="str">
        <f t="shared" si="1"/>
        <v>A2028</v>
      </c>
      <c r="M36" s="178" t="str">
        <f t="shared" si="2"/>
        <v>현재일자기준대출심사모형사전조회출력Dto</v>
      </c>
      <c r="N36" s="178">
        <f t="shared" si="3"/>
        <v>1</v>
      </c>
    </row>
    <row r="37" spans="1:14" hidden="1">
      <c r="A37" s="178" t="s">
        <v>2147</v>
      </c>
      <c r="B37" s="178" t="s">
        <v>5435</v>
      </c>
      <c r="C37" s="178" t="s">
        <v>3087</v>
      </c>
      <c r="D37" s="178" t="s">
        <v>2147</v>
      </c>
      <c r="E37" s="178" t="str">
        <f t="shared" si="0"/>
        <v>A1028</v>
      </c>
      <c r="F37" s="178" t="str">
        <f t="shared" si="4"/>
        <v>현재일자기준대출심사모형사전조회출력Dto</v>
      </c>
      <c r="G37" s="178">
        <f t="shared" si="5"/>
        <v>1</v>
      </c>
      <c r="H37" s="263" t="s">
        <v>2597</v>
      </c>
      <c r="I37" s="263" t="s">
        <v>5435</v>
      </c>
      <c r="J37" s="263" t="s">
        <v>3087</v>
      </c>
      <c r="K37" s="263" t="s">
        <v>2597</v>
      </c>
      <c r="L37" s="178" t="str">
        <f t="shared" si="1"/>
        <v>A2029</v>
      </c>
      <c r="M37" s="178" t="str">
        <f t="shared" si="2"/>
        <v>현재일자기준대출심사모형사전조회출력Dto</v>
      </c>
      <c r="N37" s="178">
        <f t="shared" si="3"/>
        <v>1</v>
      </c>
    </row>
    <row r="38" spans="1:14" hidden="1">
      <c r="A38" s="178" t="s">
        <v>2143</v>
      </c>
      <c r="B38" s="178" t="s">
        <v>5435</v>
      </c>
      <c r="C38" s="178" t="s">
        <v>1326</v>
      </c>
      <c r="D38" s="178" t="s">
        <v>2143</v>
      </c>
      <c r="E38" s="178" t="str">
        <f t="shared" si="0"/>
        <v>A1029</v>
      </c>
      <c r="F38" s="178" t="str">
        <f t="shared" si="4"/>
        <v>현재일자기준대출심사모형사전조회출력Dto</v>
      </c>
      <c r="G38" s="178">
        <f t="shared" si="5"/>
        <v>1</v>
      </c>
      <c r="H38" s="263" t="s">
        <v>2598</v>
      </c>
      <c r="I38" s="263" t="s">
        <v>5435</v>
      </c>
      <c r="J38" s="263" t="s">
        <v>1326</v>
      </c>
      <c r="K38" s="263" t="s">
        <v>2598</v>
      </c>
      <c r="L38" s="178" t="str">
        <f t="shared" si="1"/>
        <v>A2030</v>
      </c>
      <c r="M38" s="178" t="str">
        <f t="shared" si="2"/>
        <v>현재일자기준대출심사모형사전조회출력Dto</v>
      </c>
      <c r="N38" s="178">
        <f t="shared" si="3"/>
        <v>1</v>
      </c>
    </row>
    <row r="39" spans="1:14" hidden="1">
      <c r="A39" s="178" t="s">
        <v>2148</v>
      </c>
      <c r="B39" s="263" t="s">
        <v>5435</v>
      </c>
      <c r="C39" s="178" t="s">
        <v>739</v>
      </c>
      <c r="D39" s="178" t="s">
        <v>2148</v>
      </c>
      <c r="E39" s="178" t="str">
        <f t="shared" si="0"/>
        <v>A1030</v>
      </c>
      <c r="F39" s="178" t="str">
        <f t="shared" si="4"/>
        <v>현재일자기준대출심사모형사전조회출력Dto</v>
      </c>
      <c r="G39" s="178">
        <f t="shared" si="5"/>
        <v>1</v>
      </c>
      <c r="H39" s="263" t="s">
        <v>2599</v>
      </c>
      <c r="I39" s="263" t="s">
        <v>5435</v>
      </c>
      <c r="J39" s="263" t="s">
        <v>739</v>
      </c>
      <c r="K39" s="263" t="s">
        <v>2599</v>
      </c>
      <c r="L39" s="178" t="str">
        <f t="shared" si="1"/>
        <v>A2031</v>
      </c>
      <c r="M39" s="178" t="str">
        <f t="shared" si="2"/>
        <v>현재일자기준대출심사모형사전조회출력Dto</v>
      </c>
      <c r="N39" s="178">
        <f t="shared" si="3"/>
        <v>1</v>
      </c>
    </row>
    <row r="40" spans="1:14">
      <c r="A40" s="178" t="s">
        <v>2149</v>
      </c>
      <c r="B40" s="178" t="s">
        <v>5435</v>
      </c>
      <c r="C40" s="178" t="s">
        <v>3089</v>
      </c>
      <c r="D40" s="178" t="s">
        <v>2149</v>
      </c>
      <c r="E40" s="178" t="str">
        <f t="shared" si="0"/>
        <v>A1024</v>
      </c>
      <c r="F40" s="178" t="str">
        <f t="shared" si="4"/>
        <v>현재일자기준대출심사모형사전조회출력Dto</v>
      </c>
      <c r="G40" s="178">
        <f t="shared" si="5"/>
        <v>1</v>
      </c>
      <c r="H40" s="263" t="s">
        <v>2600</v>
      </c>
      <c r="I40" s="263" t="s">
        <v>5890</v>
      </c>
      <c r="J40" s="263" t="s">
        <v>5891</v>
      </c>
      <c r="K40" s="263" t="s">
        <v>2600</v>
      </c>
      <c r="L40" s="178" t="e">
        <f t="shared" si="1"/>
        <v>#N/A</v>
      </c>
      <c r="M40" s="178" t="e">
        <f t="shared" si="2"/>
        <v>#N/A</v>
      </c>
      <c r="N40" s="178" t="e">
        <f t="shared" si="3"/>
        <v>#N/A</v>
      </c>
    </row>
    <row r="41" spans="1:14">
      <c r="A41" s="178" t="s">
        <v>2150</v>
      </c>
      <c r="B41" s="178" t="s">
        <v>5430</v>
      </c>
      <c r="C41" s="178" t="s">
        <v>651</v>
      </c>
      <c r="D41" s="178" t="s">
        <v>2150</v>
      </c>
      <c r="E41" s="178" t="str">
        <f t="shared" si="0"/>
        <v>A1034</v>
      </c>
      <c r="F41" s="178" t="str">
        <f t="shared" si="4"/>
        <v>i이지론플러스대출RCLIPS전문조립C</v>
      </c>
      <c r="G41" s="178">
        <f t="shared" si="5"/>
        <v>0</v>
      </c>
      <c r="H41" s="263" t="s">
        <v>2601</v>
      </c>
      <c r="I41" s="263" t="s">
        <v>5890</v>
      </c>
      <c r="J41" s="263" t="s">
        <v>5891</v>
      </c>
      <c r="K41" s="263" t="s">
        <v>2601</v>
      </c>
      <c r="L41" s="178" t="e">
        <f t="shared" si="1"/>
        <v>#N/A</v>
      </c>
      <c r="M41" s="178" t="e">
        <f t="shared" si="2"/>
        <v>#N/A</v>
      </c>
      <c r="N41" s="178" t="e">
        <f t="shared" si="3"/>
        <v>#N/A</v>
      </c>
    </row>
    <row r="42" spans="1:14">
      <c r="A42" s="178" t="s">
        <v>2151</v>
      </c>
      <c r="B42" s="178" t="s">
        <v>5430</v>
      </c>
      <c r="C42" s="178" t="s">
        <v>3062</v>
      </c>
      <c r="D42" s="178" t="s">
        <v>2151</v>
      </c>
      <c r="E42" s="178" t="str">
        <f t="shared" si="0"/>
        <v>A1035</v>
      </c>
      <c r="F42" s="178" t="str">
        <f t="shared" si="4"/>
        <v>i이지론플러스대출RCLIPS전문조립C</v>
      </c>
      <c r="G42" s="178">
        <f t="shared" si="5"/>
        <v>0</v>
      </c>
      <c r="H42" s="263" t="s">
        <v>2602</v>
      </c>
      <c r="I42" s="263"/>
      <c r="J42" s="263" t="s">
        <v>1328</v>
      </c>
      <c r="K42" s="263" t="s">
        <v>2602</v>
      </c>
      <c r="L42" s="178" t="e">
        <f t="shared" si="1"/>
        <v>#N/A</v>
      </c>
      <c r="M42" s="178" t="e">
        <f t="shared" si="2"/>
        <v>#N/A</v>
      </c>
      <c r="N42" s="178" t="e">
        <f t="shared" si="3"/>
        <v>#N/A</v>
      </c>
    </row>
    <row r="43" spans="1:14" hidden="1">
      <c r="A43" s="328" t="s">
        <v>2152</v>
      </c>
      <c r="B43" s="178" t="s">
        <v>5435</v>
      </c>
      <c r="C43" s="328" t="s">
        <v>3509</v>
      </c>
      <c r="D43" s="328" t="s">
        <v>2152</v>
      </c>
      <c r="E43" s="178" t="str">
        <f>VLOOKUP(C43,$J$5:$K$601,2,FALSE)</f>
        <v>A2000</v>
      </c>
      <c r="F43" s="178" t="str">
        <f t="shared" si="4"/>
        <v>현재일자기준대출심사모형사전조회출력Dto</v>
      </c>
      <c r="G43" s="178">
        <f t="shared" si="5"/>
        <v>1</v>
      </c>
      <c r="H43" s="263" t="s">
        <v>2603</v>
      </c>
      <c r="I43" s="263" t="s">
        <v>5831</v>
      </c>
      <c r="J43" s="263" t="s">
        <v>741</v>
      </c>
      <c r="K43" s="263" t="s">
        <v>2603</v>
      </c>
      <c r="L43" s="178" t="str">
        <f t="shared" si="1"/>
        <v>A2033</v>
      </c>
      <c r="M43" s="178" t="str">
        <f t="shared" si="2"/>
        <v>i신용대출RCLIPS전문조립C</v>
      </c>
      <c r="N43" s="178">
        <f t="shared" si="3"/>
        <v>0</v>
      </c>
    </row>
    <row r="44" spans="1:14" hidden="1">
      <c r="A44" s="178" t="s">
        <v>2153</v>
      </c>
      <c r="B44" s="178" t="s">
        <v>5437</v>
      </c>
      <c r="C44" s="178" t="s">
        <v>5850</v>
      </c>
      <c r="D44" s="178" t="s">
        <v>2153</v>
      </c>
      <c r="E44" s="178" t="str">
        <f t="shared" si="0"/>
        <v>A1044</v>
      </c>
      <c r="F44" s="178" t="str">
        <f t="shared" si="4"/>
        <v>r스크래핑건강보험최종소득금액조회E</v>
      </c>
      <c r="G44" s="178">
        <f t="shared" si="5"/>
        <v>1</v>
      </c>
      <c r="H44" s="263" t="s">
        <v>2604</v>
      </c>
      <c r="I44" s="263" t="s">
        <v>5831</v>
      </c>
      <c r="J44" s="263" t="s">
        <v>3062</v>
      </c>
      <c r="K44" s="263" t="s">
        <v>2604</v>
      </c>
      <c r="L44" s="178" t="str">
        <f t="shared" si="1"/>
        <v>A2034</v>
      </c>
      <c r="M44" s="178" t="str">
        <f t="shared" si="2"/>
        <v>i신용대출RCLIPS전문조립C</v>
      </c>
      <c r="N44" s="178">
        <f t="shared" si="3"/>
        <v>0</v>
      </c>
    </row>
    <row r="45" spans="1:14">
      <c r="A45" s="178" t="s">
        <v>2154</v>
      </c>
      <c r="B45" s="349" t="s">
        <v>5848</v>
      </c>
      <c r="C45" s="349" t="s">
        <v>5849</v>
      </c>
      <c r="D45" s="178" t="s">
        <v>2154</v>
      </c>
      <c r="E45" s="178" t="str">
        <f t="shared" si="0"/>
        <v>A1043</v>
      </c>
      <c r="F45" s="178" t="str">
        <f t="shared" si="4"/>
        <v>r스크래핑국세청최종소득금액조회E</v>
      </c>
      <c r="G45" s="178">
        <f t="shared" si="5"/>
        <v>1</v>
      </c>
      <c r="H45" s="339" t="s">
        <v>3520</v>
      </c>
      <c r="I45" s="197" t="s">
        <v>5435</v>
      </c>
      <c r="J45" s="197" t="s">
        <v>296</v>
      </c>
      <c r="K45" s="339" t="s">
        <v>3520</v>
      </c>
      <c r="L45" s="178" t="e">
        <f t="shared" si="1"/>
        <v>#N/A</v>
      </c>
      <c r="M45" s="178" t="e">
        <f t="shared" si="2"/>
        <v>#N/A</v>
      </c>
      <c r="N45" s="178" t="e">
        <f t="shared" si="3"/>
        <v>#N/A</v>
      </c>
    </row>
    <row r="46" spans="1:14">
      <c r="A46" s="178" t="s">
        <v>2155</v>
      </c>
      <c r="B46" s="439" t="s">
        <v>5142</v>
      </c>
      <c r="C46" s="349" t="s">
        <v>3636</v>
      </c>
      <c r="D46" s="178" t="s">
        <v>2155</v>
      </c>
      <c r="E46" s="178" t="e">
        <f t="shared" si="0"/>
        <v>#N/A</v>
      </c>
      <c r="F46" s="178" t="e">
        <f t="shared" si="4"/>
        <v>#N/A</v>
      </c>
      <c r="G46" s="178" t="e">
        <f t="shared" si="5"/>
        <v>#N/A</v>
      </c>
      <c r="H46" s="339" t="s">
        <v>3527</v>
      </c>
      <c r="I46" s="197" t="s">
        <v>5435</v>
      </c>
      <c r="J46" s="197" t="s">
        <v>3532</v>
      </c>
      <c r="K46" s="339" t="s">
        <v>3527</v>
      </c>
      <c r="L46" s="178" t="e">
        <f t="shared" si="1"/>
        <v>#N/A</v>
      </c>
      <c r="M46" s="178" t="e">
        <f t="shared" si="2"/>
        <v>#N/A</v>
      </c>
      <c r="N46" s="178" t="e">
        <f t="shared" si="3"/>
        <v>#N/A</v>
      </c>
    </row>
    <row r="47" spans="1:14">
      <c r="A47" s="178" t="s">
        <v>3628</v>
      </c>
      <c r="B47" s="439" t="s">
        <v>5142</v>
      </c>
      <c r="C47" s="440" t="s">
        <v>3619</v>
      </c>
      <c r="D47" s="178" t="s">
        <v>3628</v>
      </c>
      <c r="E47" s="178" t="str">
        <f t="shared" si="0"/>
        <v>A7002</v>
      </c>
      <c r="F47" s="178" t="str">
        <f t="shared" si="4"/>
        <v>r한국신용정보대출현금서비스DSR정보조회C</v>
      </c>
      <c r="G47" s="178">
        <f t="shared" si="5"/>
        <v>1</v>
      </c>
      <c r="H47" s="339" t="s">
        <v>3528</v>
      </c>
      <c r="I47" s="197" t="s">
        <v>5435</v>
      </c>
      <c r="J47" s="197" t="s">
        <v>3533</v>
      </c>
      <c r="K47" s="339" t="s">
        <v>3528</v>
      </c>
      <c r="L47" s="178" t="e">
        <f t="shared" si="1"/>
        <v>#N/A</v>
      </c>
      <c r="M47" s="178" t="e">
        <f t="shared" si="2"/>
        <v>#N/A</v>
      </c>
      <c r="N47" s="178" t="e">
        <f t="shared" si="3"/>
        <v>#N/A</v>
      </c>
    </row>
    <row r="48" spans="1:14">
      <c r="A48" s="178" t="s">
        <v>2157</v>
      </c>
      <c r="B48" s="439" t="s">
        <v>5142</v>
      </c>
      <c r="C48" s="440" t="s">
        <v>5184</v>
      </c>
      <c r="D48" s="178" t="s">
        <v>2157</v>
      </c>
      <c r="E48" s="178" t="e">
        <f t="shared" si="0"/>
        <v>#N/A</v>
      </c>
      <c r="F48" s="178" t="e">
        <f t="shared" si="4"/>
        <v>#N/A</v>
      </c>
      <c r="G48" s="178" t="e">
        <f t="shared" si="5"/>
        <v>#N/A</v>
      </c>
      <c r="H48" s="339" t="s">
        <v>3529</v>
      </c>
      <c r="I48" s="197" t="s">
        <v>5435</v>
      </c>
      <c r="J48" s="197" t="s">
        <v>3534</v>
      </c>
      <c r="K48" s="339" t="s">
        <v>3529</v>
      </c>
      <c r="L48" s="178" t="e">
        <f t="shared" si="1"/>
        <v>#N/A</v>
      </c>
      <c r="M48" s="178" t="e">
        <f t="shared" si="2"/>
        <v>#N/A</v>
      </c>
      <c r="N48" s="178" t="e">
        <f t="shared" si="3"/>
        <v>#N/A</v>
      </c>
    </row>
    <row r="49" spans="1:14">
      <c r="A49" s="178" t="s">
        <v>2158</v>
      </c>
      <c r="B49" s="439" t="s">
        <v>5435</v>
      </c>
      <c r="C49" s="440" t="s">
        <v>5089</v>
      </c>
      <c r="D49" s="178" t="s">
        <v>2158</v>
      </c>
      <c r="E49" s="178" t="e">
        <f t="shared" si="0"/>
        <v>#N/A</v>
      </c>
      <c r="F49" s="178" t="e">
        <f t="shared" si="4"/>
        <v>#N/A</v>
      </c>
      <c r="G49" s="178" t="e">
        <f t="shared" si="5"/>
        <v>#N/A</v>
      </c>
      <c r="H49" s="339" t="s">
        <v>3530</v>
      </c>
      <c r="I49" s="197" t="s">
        <v>5435</v>
      </c>
      <c r="J49" s="197" t="s">
        <v>3535</v>
      </c>
      <c r="K49" s="339" t="s">
        <v>3530</v>
      </c>
      <c r="L49" s="178" t="e">
        <f t="shared" si="1"/>
        <v>#N/A</v>
      </c>
      <c r="M49" s="178" t="e">
        <f t="shared" si="2"/>
        <v>#N/A</v>
      </c>
      <c r="N49" s="178" t="e">
        <f t="shared" si="3"/>
        <v>#N/A</v>
      </c>
    </row>
    <row r="50" spans="1:14">
      <c r="A50" s="178" t="s">
        <v>2159</v>
      </c>
      <c r="B50" s="178" t="s">
        <v>5430</v>
      </c>
      <c r="C50" s="440" t="s">
        <v>5882</v>
      </c>
      <c r="D50" s="178" t="s">
        <v>2159</v>
      </c>
      <c r="E50" s="178" t="e">
        <f t="shared" si="0"/>
        <v>#N/A</v>
      </c>
      <c r="F50" s="178" t="e">
        <f t="shared" si="4"/>
        <v>#N/A</v>
      </c>
      <c r="G50" s="178" t="e">
        <f t="shared" si="5"/>
        <v>#N/A</v>
      </c>
      <c r="H50" s="339" t="s">
        <v>3531</v>
      </c>
      <c r="I50" s="197" t="s">
        <v>5435</v>
      </c>
      <c r="J50" s="197" t="s">
        <v>3536</v>
      </c>
      <c r="K50" s="339" t="s">
        <v>3531</v>
      </c>
      <c r="L50" s="178" t="e">
        <f t="shared" si="1"/>
        <v>#N/A</v>
      </c>
      <c r="M50" s="178" t="e">
        <f t="shared" si="2"/>
        <v>#N/A</v>
      </c>
      <c r="N50" s="178" t="e">
        <f t="shared" si="3"/>
        <v>#N/A</v>
      </c>
    </row>
    <row r="51" spans="1:14" hidden="1">
      <c r="A51" s="178" t="s">
        <v>2607</v>
      </c>
      <c r="B51" s="439" t="s">
        <v>5438</v>
      </c>
      <c r="C51" s="440" t="s">
        <v>5439</v>
      </c>
      <c r="D51" s="178" t="s">
        <v>2607</v>
      </c>
      <c r="E51" s="178" t="e">
        <f t="shared" si="0"/>
        <v>#N/A</v>
      </c>
      <c r="F51" s="178" t="e">
        <f t="shared" si="4"/>
        <v>#N/A</v>
      </c>
      <c r="G51" s="178" t="e">
        <f t="shared" si="5"/>
        <v>#N/A</v>
      </c>
      <c r="H51" s="263" t="s">
        <v>5168</v>
      </c>
      <c r="I51" s="263" t="s">
        <v>5848</v>
      </c>
      <c r="J51" s="263" t="s">
        <v>5849</v>
      </c>
      <c r="K51" s="263" t="s">
        <v>5168</v>
      </c>
      <c r="L51" s="178" t="str">
        <f t="shared" si="1"/>
        <v>A2037</v>
      </c>
      <c r="M51" s="178" t="str">
        <f t="shared" si="2"/>
        <v>r스크래핑국세청최종소득금액조회E</v>
      </c>
      <c r="N51" s="178">
        <f t="shared" si="3"/>
        <v>1</v>
      </c>
    </row>
    <row r="52" spans="1:14" hidden="1">
      <c r="A52" s="178" t="s">
        <v>2608</v>
      </c>
      <c r="B52" s="439" t="s">
        <v>5438</v>
      </c>
      <c r="C52" s="178" t="s">
        <v>4397</v>
      </c>
      <c r="D52" s="178" t="s">
        <v>2608</v>
      </c>
      <c r="E52" s="178" t="e">
        <f t="shared" si="0"/>
        <v>#N/A</v>
      </c>
      <c r="F52" s="178" t="e">
        <f t="shared" si="4"/>
        <v>#N/A</v>
      </c>
      <c r="G52" s="178" t="e">
        <f t="shared" si="5"/>
        <v>#N/A</v>
      </c>
      <c r="H52" s="263" t="s">
        <v>5169</v>
      </c>
      <c r="I52" s="263" t="s">
        <v>5437</v>
      </c>
      <c r="J52" s="263" t="s">
        <v>5850</v>
      </c>
      <c r="K52" s="263" t="s">
        <v>5169</v>
      </c>
      <c r="L52" s="178" t="str">
        <f t="shared" si="1"/>
        <v>A2036</v>
      </c>
      <c r="M52" s="178" t="str">
        <f t="shared" si="2"/>
        <v>r스크래핑건강보험최종소득금액조회E</v>
      </c>
      <c r="N52" s="178">
        <f t="shared" si="3"/>
        <v>1</v>
      </c>
    </row>
    <row r="53" spans="1:14">
      <c r="A53" s="178" t="s">
        <v>2609</v>
      </c>
      <c r="B53" s="439" t="s">
        <v>5438</v>
      </c>
      <c r="C53" s="178" t="s">
        <v>4398</v>
      </c>
      <c r="D53" s="178" t="s">
        <v>2609</v>
      </c>
      <c r="E53" s="178" t="e">
        <f t="shared" si="0"/>
        <v>#N/A</v>
      </c>
      <c r="F53" s="178" t="e">
        <f t="shared" si="4"/>
        <v>#N/A</v>
      </c>
      <c r="G53" s="178" t="e">
        <f t="shared" si="5"/>
        <v>#N/A</v>
      </c>
      <c r="H53" s="263" t="s">
        <v>5170</v>
      </c>
      <c r="I53" s="263" t="s">
        <v>5851</v>
      </c>
      <c r="J53" s="263" t="s">
        <v>5852</v>
      </c>
      <c r="K53" s="263" t="s">
        <v>5170</v>
      </c>
      <c r="L53" s="178" t="e">
        <f t="shared" si="1"/>
        <v>#N/A</v>
      </c>
      <c r="M53" s="178" t="e">
        <f t="shared" si="2"/>
        <v>#N/A</v>
      </c>
      <c r="N53" s="178" t="e">
        <f t="shared" si="3"/>
        <v>#N/A</v>
      </c>
    </row>
    <row r="54" spans="1:14" hidden="1">
      <c r="A54" s="178" t="s">
        <v>2610</v>
      </c>
      <c r="B54" s="439" t="s">
        <v>5438</v>
      </c>
      <c r="C54" s="178" t="s">
        <v>4399</v>
      </c>
      <c r="D54" s="178" t="s">
        <v>2610</v>
      </c>
      <c r="E54" s="178" t="e">
        <f t="shared" si="0"/>
        <v>#N/A</v>
      </c>
      <c r="F54" s="178" t="e">
        <f t="shared" si="4"/>
        <v>#N/A</v>
      </c>
      <c r="G54" s="178" t="e">
        <f t="shared" si="5"/>
        <v>#N/A</v>
      </c>
      <c r="H54" s="263" t="s">
        <v>5171</v>
      </c>
      <c r="I54" s="263" t="s">
        <v>5853</v>
      </c>
      <c r="J54" s="263" t="s">
        <v>5854</v>
      </c>
      <c r="K54" s="263" t="s">
        <v>5171</v>
      </c>
      <c r="L54" s="178" t="str">
        <f t="shared" si="1"/>
        <v>A2062</v>
      </c>
      <c r="M54" s="178" t="str">
        <f t="shared" si="2"/>
        <v>r대출가능개월수월별원리금조회C</v>
      </c>
      <c r="N54" s="178">
        <f t="shared" si="3"/>
        <v>1</v>
      </c>
    </row>
    <row r="55" spans="1:14" hidden="1">
      <c r="A55" s="178" t="s">
        <v>2611</v>
      </c>
      <c r="B55" s="439" t="s">
        <v>5438</v>
      </c>
      <c r="C55" s="178" t="s">
        <v>4400</v>
      </c>
      <c r="D55" s="178" t="s">
        <v>2611</v>
      </c>
      <c r="E55" s="178" t="e">
        <f t="shared" si="0"/>
        <v>#N/A</v>
      </c>
      <c r="F55" s="178" t="e">
        <f t="shared" si="4"/>
        <v>#N/A</v>
      </c>
      <c r="G55" s="178" t="e">
        <f t="shared" si="5"/>
        <v>#N/A</v>
      </c>
      <c r="H55" s="263" t="s">
        <v>5172</v>
      </c>
      <c r="I55" s="197" t="s">
        <v>5435</v>
      </c>
      <c r="J55" s="263" t="s">
        <v>5111</v>
      </c>
      <c r="K55" s="263" t="s">
        <v>5172</v>
      </c>
      <c r="L55" s="178" t="str">
        <f t="shared" si="1"/>
        <v>A2063</v>
      </c>
      <c r="M55" s="178" t="str">
        <f t="shared" si="2"/>
        <v>현재일자기준대출심사모형사전조회출력Dto</v>
      </c>
      <c r="N55" s="178">
        <f t="shared" si="3"/>
        <v>1</v>
      </c>
    </row>
    <row r="56" spans="1:14" hidden="1">
      <c r="A56" s="178" t="s">
        <v>2612</v>
      </c>
      <c r="B56" s="439" t="s">
        <v>5438</v>
      </c>
      <c r="C56" s="178" t="s">
        <v>4401</v>
      </c>
      <c r="D56" s="178" t="s">
        <v>2612</v>
      </c>
      <c r="E56" s="178" t="e">
        <f t="shared" si="0"/>
        <v>#N/A</v>
      </c>
      <c r="F56" s="178" t="e">
        <f t="shared" si="4"/>
        <v>#N/A</v>
      </c>
      <c r="G56" s="178" t="e">
        <f t="shared" si="5"/>
        <v>#N/A</v>
      </c>
      <c r="H56" s="263" t="s">
        <v>5173</v>
      </c>
      <c r="I56" s="339" t="s">
        <v>5853</v>
      </c>
      <c r="J56" s="263" t="s">
        <v>5855</v>
      </c>
      <c r="K56" s="263" t="s">
        <v>5173</v>
      </c>
      <c r="L56" s="178" t="str">
        <f t="shared" si="1"/>
        <v>A2064</v>
      </c>
      <c r="M56" s="178" t="str">
        <f t="shared" si="2"/>
        <v>r대출가능개월수월별원리금조회C</v>
      </c>
      <c r="N56" s="178">
        <f t="shared" si="3"/>
        <v>1</v>
      </c>
    </row>
    <row r="57" spans="1:14" hidden="1">
      <c r="A57" s="178" t="s">
        <v>2613</v>
      </c>
      <c r="B57" s="439" t="s">
        <v>5438</v>
      </c>
      <c r="C57" s="178" t="s">
        <v>4402</v>
      </c>
      <c r="D57" s="178" t="s">
        <v>2613</v>
      </c>
      <c r="E57" s="178" t="e">
        <f t="shared" si="0"/>
        <v>#N/A</v>
      </c>
      <c r="F57" s="178" t="e">
        <f t="shared" si="4"/>
        <v>#N/A</v>
      </c>
      <c r="G57" s="178" t="e">
        <f t="shared" si="5"/>
        <v>#N/A</v>
      </c>
      <c r="H57" s="263" t="s">
        <v>5174</v>
      </c>
      <c r="I57" s="197" t="s">
        <v>5435</v>
      </c>
      <c r="J57" s="263" t="s">
        <v>5136</v>
      </c>
      <c r="K57" s="263" t="s">
        <v>5174</v>
      </c>
      <c r="L57" s="178" t="str">
        <f t="shared" si="1"/>
        <v>A2065</v>
      </c>
      <c r="M57" s="178" t="str">
        <f t="shared" si="2"/>
        <v>현재일자기준대출심사모형사전조회출력Dto</v>
      </c>
      <c r="N57" s="178">
        <f t="shared" si="3"/>
        <v>1</v>
      </c>
    </row>
    <row r="58" spans="1:14" hidden="1">
      <c r="A58" s="178" t="s">
        <v>2614</v>
      </c>
      <c r="B58" s="439" t="s">
        <v>5438</v>
      </c>
      <c r="C58" s="178" t="s">
        <v>4403</v>
      </c>
      <c r="D58" s="178" t="s">
        <v>2614</v>
      </c>
      <c r="E58" s="178" t="e">
        <f t="shared" si="0"/>
        <v>#N/A</v>
      </c>
      <c r="F58" s="178" t="e">
        <f t="shared" si="4"/>
        <v>#N/A</v>
      </c>
      <c r="G58" s="178" t="e">
        <f t="shared" si="5"/>
        <v>#N/A</v>
      </c>
      <c r="H58" s="263" t="s">
        <v>5382</v>
      </c>
      <c r="I58" s="178" t="s">
        <v>5856</v>
      </c>
      <c r="J58" s="178" t="s">
        <v>5857</v>
      </c>
      <c r="K58" s="263" t="s">
        <v>5382</v>
      </c>
      <c r="L58" s="178" t="str">
        <f t="shared" si="1"/>
        <v>A2074</v>
      </c>
      <c r="M58" s="178" t="str">
        <f t="shared" si="2"/>
        <v>r카드론상환유예건수조회E</v>
      </c>
      <c r="N58" s="178">
        <f t="shared" si="3"/>
        <v>1</v>
      </c>
    </row>
    <row r="59" spans="1:14" hidden="1">
      <c r="A59" s="178" t="s">
        <v>2615</v>
      </c>
      <c r="B59" s="439" t="s">
        <v>5438</v>
      </c>
      <c r="C59" s="178" t="s">
        <v>4404</v>
      </c>
      <c r="D59" s="178" t="s">
        <v>2615</v>
      </c>
      <c r="E59" s="178" t="e">
        <f t="shared" si="0"/>
        <v>#N/A</v>
      </c>
      <c r="F59" s="178" t="e">
        <f t="shared" si="4"/>
        <v>#N/A</v>
      </c>
      <c r="G59" s="178" t="e">
        <f t="shared" si="5"/>
        <v>#N/A</v>
      </c>
      <c r="H59" s="245" t="s">
        <v>3511</v>
      </c>
      <c r="I59" s="197" t="s">
        <v>5435</v>
      </c>
      <c r="J59" s="197" t="s">
        <v>3509</v>
      </c>
      <c r="K59" s="245" t="s">
        <v>3511</v>
      </c>
      <c r="L59" s="178" t="str">
        <f t="shared" si="1"/>
        <v>A2035</v>
      </c>
      <c r="M59" s="178" t="str">
        <f t="shared" si="2"/>
        <v>현재일자기준대출심사모형사전조회출력Dto</v>
      </c>
      <c r="N59" s="178">
        <f t="shared" si="3"/>
        <v>1</v>
      </c>
    </row>
    <row r="60" spans="1:14" hidden="1">
      <c r="A60" s="178" t="s">
        <v>2616</v>
      </c>
      <c r="B60" s="439" t="s">
        <v>5438</v>
      </c>
      <c r="C60" s="178" t="s">
        <v>4405</v>
      </c>
      <c r="D60" s="178" t="s">
        <v>2616</v>
      </c>
      <c r="E60" s="178" t="e">
        <f t="shared" si="0"/>
        <v>#N/A</v>
      </c>
      <c r="F60" s="178" t="e">
        <f t="shared" si="4"/>
        <v>#N/A</v>
      </c>
      <c r="G60" s="178" t="e">
        <f t="shared" si="5"/>
        <v>#N/A</v>
      </c>
      <c r="H60" s="263" t="s">
        <v>2120</v>
      </c>
      <c r="I60" s="263" t="s">
        <v>5427</v>
      </c>
      <c r="J60" s="178" t="s">
        <v>5428</v>
      </c>
      <c r="K60" s="263" t="s">
        <v>2120</v>
      </c>
      <c r="L60" s="178" t="str">
        <f t="shared" si="1"/>
        <v>A2073</v>
      </c>
      <c r="M60" s="178" t="str">
        <f t="shared" si="2"/>
        <v>r체크회원사전대상자내역기간조회E</v>
      </c>
      <c r="N60" s="178">
        <f t="shared" si="3"/>
        <v>1</v>
      </c>
    </row>
    <row r="61" spans="1:14">
      <c r="A61" s="178" t="s">
        <v>2617</v>
      </c>
      <c r="B61" s="439" t="s">
        <v>5438</v>
      </c>
      <c r="C61" s="178" t="s">
        <v>4406</v>
      </c>
      <c r="D61" s="178" t="s">
        <v>2617</v>
      </c>
      <c r="E61" s="178" t="e">
        <f t="shared" si="0"/>
        <v>#N/A</v>
      </c>
      <c r="F61" s="178" t="e">
        <f t="shared" si="4"/>
        <v>#N/A</v>
      </c>
      <c r="G61" s="178" t="e">
        <f t="shared" si="5"/>
        <v>#N/A</v>
      </c>
      <c r="H61" s="263" t="s">
        <v>2121</v>
      </c>
      <c r="I61" s="263" t="s">
        <v>5427</v>
      </c>
      <c r="J61" s="178" t="s">
        <v>2818</v>
      </c>
      <c r="K61" s="263" t="s">
        <v>2121</v>
      </c>
      <c r="L61" s="178" t="e">
        <f t="shared" si="1"/>
        <v>#N/A</v>
      </c>
      <c r="M61" s="178" t="e">
        <f t="shared" si="2"/>
        <v>#N/A</v>
      </c>
      <c r="N61" s="178" t="e">
        <f t="shared" si="3"/>
        <v>#N/A</v>
      </c>
    </row>
    <row r="62" spans="1:14">
      <c r="A62" s="178" t="s">
        <v>2618</v>
      </c>
      <c r="B62" s="439" t="s">
        <v>5438</v>
      </c>
      <c r="C62" s="178" t="s">
        <v>4407</v>
      </c>
      <c r="D62" s="178" t="s">
        <v>2618</v>
      </c>
      <c r="E62" s="178" t="e">
        <f t="shared" si="0"/>
        <v>#N/A</v>
      </c>
      <c r="F62" s="178" t="e">
        <f t="shared" si="4"/>
        <v>#N/A</v>
      </c>
      <c r="G62" s="178" t="e">
        <f t="shared" si="5"/>
        <v>#N/A</v>
      </c>
      <c r="H62" s="263" t="s">
        <v>2122</v>
      </c>
      <c r="I62" s="263" t="s">
        <v>5427</v>
      </c>
      <c r="J62" s="178" t="s">
        <v>2706</v>
      </c>
      <c r="K62" s="263" t="s">
        <v>2122</v>
      </c>
      <c r="L62" s="178" t="e">
        <f t="shared" si="1"/>
        <v>#N/A</v>
      </c>
      <c r="M62" s="178" t="e">
        <f t="shared" si="2"/>
        <v>#N/A</v>
      </c>
      <c r="N62" s="178" t="e">
        <f t="shared" si="3"/>
        <v>#N/A</v>
      </c>
    </row>
    <row r="63" spans="1:14">
      <c r="A63" s="178" t="s">
        <v>2619</v>
      </c>
      <c r="B63" s="439" t="s">
        <v>5435</v>
      </c>
      <c r="C63" s="440" t="s">
        <v>5105</v>
      </c>
      <c r="D63" s="178" t="s">
        <v>2619</v>
      </c>
      <c r="E63" s="178" t="e">
        <f>VLOOKUP(C63,$J$5:$K$601,2,FALSE)</f>
        <v>#N/A</v>
      </c>
      <c r="F63" s="178" t="e">
        <f t="shared" si="4"/>
        <v>#N/A</v>
      </c>
      <c r="G63" s="178" t="e">
        <f t="shared" si="5"/>
        <v>#N/A</v>
      </c>
      <c r="H63" s="263" t="s">
        <v>2605</v>
      </c>
      <c r="I63" s="263" t="s">
        <v>5427</v>
      </c>
      <c r="J63" s="178" t="s">
        <v>2819</v>
      </c>
      <c r="K63" s="263" t="s">
        <v>2605</v>
      </c>
      <c r="L63" s="178" t="e">
        <f t="shared" si="1"/>
        <v>#N/A</v>
      </c>
      <c r="M63" s="178" t="e">
        <f t="shared" si="2"/>
        <v>#N/A</v>
      </c>
      <c r="N63" s="178" t="e">
        <f t="shared" si="3"/>
        <v>#N/A</v>
      </c>
    </row>
    <row r="64" spans="1:14">
      <c r="A64" s="178" t="s">
        <v>2620</v>
      </c>
      <c r="B64" s="439" t="s">
        <v>5430</v>
      </c>
      <c r="C64" s="440" t="s">
        <v>5106</v>
      </c>
      <c r="D64" s="178" t="s">
        <v>2620</v>
      </c>
      <c r="E64" s="178" t="e">
        <f t="shared" si="0"/>
        <v>#N/A</v>
      </c>
      <c r="F64" s="178" t="e">
        <f t="shared" si="4"/>
        <v>#N/A</v>
      </c>
      <c r="G64" s="178" t="e">
        <f t="shared" si="5"/>
        <v>#N/A</v>
      </c>
      <c r="H64" s="263" t="s">
        <v>2606</v>
      </c>
      <c r="I64" s="263" t="s">
        <v>5427</v>
      </c>
      <c r="J64" s="178" t="s">
        <v>2708</v>
      </c>
      <c r="K64" s="263" t="s">
        <v>2606</v>
      </c>
      <c r="L64" s="178" t="e">
        <f t="shared" si="1"/>
        <v>#N/A</v>
      </c>
      <c r="M64" s="178" t="e">
        <f t="shared" si="2"/>
        <v>#N/A</v>
      </c>
      <c r="N64" s="178" t="e">
        <f t="shared" si="3"/>
        <v>#N/A</v>
      </c>
    </row>
    <row r="65" spans="1:14" hidden="1">
      <c r="A65" s="178" t="s">
        <v>2621</v>
      </c>
      <c r="B65" s="439" t="s">
        <v>5437</v>
      </c>
      <c r="C65" s="440" t="s">
        <v>3940</v>
      </c>
      <c r="D65" s="178" t="s">
        <v>2621</v>
      </c>
      <c r="E65" s="178" t="e">
        <f t="shared" si="0"/>
        <v>#N/A</v>
      </c>
      <c r="F65" s="178" t="e">
        <f t="shared" si="4"/>
        <v>#N/A</v>
      </c>
      <c r="G65" s="178" t="e">
        <f t="shared" si="5"/>
        <v>#N/A</v>
      </c>
      <c r="H65" s="264"/>
      <c r="I65" s="264"/>
      <c r="J65" s="264"/>
      <c r="K65" s="264" t="s">
        <v>2123</v>
      </c>
      <c r="L65" s="178" t="e">
        <f t="shared" si="1"/>
        <v>#N/A</v>
      </c>
      <c r="M65" s="178" t="e">
        <f t="shared" si="2"/>
        <v>#N/A</v>
      </c>
      <c r="N65" s="178" t="e">
        <f t="shared" si="3"/>
        <v>#N/A</v>
      </c>
    </row>
    <row r="66" spans="1:14" hidden="1">
      <c r="A66" s="178" t="s">
        <v>2624</v>
      </c>
      <c r="B66" s="439" t="s">
        <v>5438</v>
      </c>
      <c r="C66" s="440" t="s">
        <v>5440</v>
      </c>
      <c r="D66" s="178" t="s">
        <v>2624</v>
      </c>
      <c r="E66" s="178" t="e">
        <f t="shared" si="0"/>
        <v>#N/A</v>
      </c>
      <c r="F66" s="178" t="e">
        <f t="shared" si="4"/>
        <v>#N/A</v>
      </c>
      <c r="G66" s="178" t="e">
        <f t="shared" si="5"/>
        <v>#N/A</v>
      </c>
      <c r="H66" s="264"/>
      <c r="I66" s="264"/>
      <c r="J66" s="264"/>
      <c r="K66" s="264" t="s">
        <v>2124</v>
      </c>
      <c r="L66" s="178" t="e">
        <f t="shared" si="1"/>
        <v>#N/A</v>
      </c>
      <c r="M66" s="178" t="e">
        <f t="shared" si="2"/>
        <v>#N/A</v>
      </c>
      <c r="N66" s="178" t="e">
        <f t="shared" si="3"/>
        <v>#N/A</v>
      </c>
    </row>
    <row r="67" spans="1:14">
      <c r="A67" s="178" t="s">
        <v>2625</v>
      </c>
      <c r="B67" s="439" t="s">
        <v>5438</v>
      </c>
      <c r="C67" s="440" t="s">
        <v>5441</v>
      </c>
      <c r="D67" s="178" t="s">
        <v>2625</v>
      </c>
      <c r="E67" s="178" t="e">
        <f t="shared" si="0"/>
        <v>#N/A</v>
      </c>
      <c r="F67" s="178" t="e">
        <f t="shared" si="4"/>
        <v>#N/A</v>
      </c>
      <c r="G67" s="178" t="e">
        <f t="shared" si="5"/>
        <v>#N/A</v>
      </c>
      <c r="H67" s="263" t="s">
        <v>2125</v>
      </c>
      <c r="I67" s="263" t="s">
        <v>5427</v>
      </c>
      <c r="J67" s="178" t="s">
        <v>253</v>
      </c>
      <c r="K67" s="263" t="s">
        <v>2125</v>
      </c>
      <c r="L67" s="178" t="e">
        <f t="shared" si="1"/>
        <v>#N/A</v>
      </c>
      <c r="M67" s="178" t="e">
        <f t="shared" si="2"/>
        <v>#N/A</v>
      </c>
      <c r="N67" s="178" t="e">
        <f t="shared" si="3"/>
        <v>#N/A</v>
      </c>
    </row>
    <row r="68" spans="1:14">
      <c r="A68" s="178" t="s">
        <v>5143</v>
      </c>
      <c r="B68" s="263" t="s">
        <v>5853</v>
      </c>
      <c r="C68" s="263" t="s">
        <v>5854</v>
      </c>
      <c r="D68" s="178" t="s">
        <v>5143</v>
      </c>
      <c r="E68" s="178" t="str">
        <f t="shared" ref="E68:E131" si="6">VLOOKUP(C68,$J$5:$K$601,2,FALSE)</f>
        <v>A1046</v>
      </c>
      <c r="F68" s="178" t="str">
        <f t="shared" si="4"/>
        <v>r대출가능개월수월별원리금조회C</v>
      </c>
      <c r="G68" s="178">
        <f t="shared" si="5"/>
        <v>1</v>
      </c>
      <c r="H68" s="263" t="s">
        <v>2126</v>
      </c>
      <c r="I68" s="263" t="s">
        <v>5427</v>
      </c>
      <c r="J68" s="178" t="s">
        <v>2822</v>
      </c>
      <c r="K68" s="263" t="s">
        <v>2126</v>
      </c>
      <c r="L68" s="178" t="e">
        <f t="shared" ref="L68:L131" si="7">VLOOKUP(TRIM(J68),$C$3:$D$463,2,FALSE)</f>
        <v>#N/A</v>
      </c>
      <c r="M68" s="178" t="e">
        <f t="shared" ref="M68:M131" si="8">VLOOKUP(L68,$A$3:$B$463,2,FALSE)</f>
        <v>#N/A</v>
      </c>
      <c r="N68" s="178" t="e">
        <f t="shared" ref="N68:N131" si="9">IF(M68=I68,1,0)</f>
        <v>#N/A</v>
      </c>
    </row>
    <row r="69" spans="1:14">
      <c r="A69" s="178" t="s">
        <v>5144</v>
      </c>
      <c r="B69" s="197" t="s">
        <v>5435</v>
      </c>
      <c r="C69" s="263" t="s">
        <v>5111</v>
      </c>
      <c r="D69" s="178" t="s">
        <v>5144</v>
      </c>
      <c r="E69" s="178" t="str">
        <f t="shared" si="6"/>
        <v>A1047</v>
      </c>
      <c r="F69" s="178" t="str">
        <f t="shared" si="4"/>
        <v>현재일자기준대출심사모형사전조회출력Dto</v>
      </c>
      <c r="G69" s="178">
        <f t="shared" si="5"/>
        <v>1</v>
      </c>
      <c r="H69" s="263" t="s">
        <v>2127</v>
      </c>
      <c r="I69" s="263" t="s">
        <v>5427</v>
      </c>
      <c r="J69" s="178" t="s">
        <v>2823</v>
      </c>
      <c r="K69" s="263" t="s">
        <v>2127</v>
      </c>
      <c r="L69" s="178" t="e">
        <f t="shared" si="7"/>
        <v>#N/A</v>
      </c>
      <c r="M69" s="178" t="e">
        <f t="shared" si="8"/>
        <v>#N/A</v>
      </c>
      <c r="N69" s="178" t="e">
        <f t="shared" si="9"/>
        <v>#N/A</v>
      </c>
    </row>
    <row r="70" spans="1:14">
      <c r="A70" s="178" t="s">
        <v>2628</v>
      </c>
      <c r="B70" s="339" t="s">
        <v>5853</v>
      </c>
      <c r="C70" s="263" t="s">
        <v>5855</v>
      </c>
      <c r="D70" s="178" t="s">
        <v>2628</v>
      </c>
      <c r="E70" s="178" t="str">
        <f t="shared" si="6"/>
        <v>A1048</v>
      </c>
      <c r="F70" s="178" t="str">
        <f t="shared" si="4"/>
        <v>r대출가능개월수월별원리금조회C</v>
      </c>
      <c r="G70" s="178">
        <f t="shared" si="5"/>
        <v>1</v>
      </c>
      <c r="H70" s="263" t="s">
        <v>2128</v>
      </c>
      <c r="I70" s="263" t="s">
        <v>5427</v>
      </c>
      <c r="J70" s="178" t="s">
        <v>2824</v>
      </c>
      <c r="K70" s="263" t="s">
        <v>2128</v>
      </c>
      <c r="L70" s="178" t="e">
        <f t="shared" si="7"/>
        <v>#N/A</v>
      </c>
      <c r="M70" s="178" t="e">
        <f t="shared" si="8"/>
        <v>#N/A</v>
      </c>
      <c r="N70" s="178" t="e">
        <f t="shared" si="9"/>
        <v>#N/A</v>
      </c>
    </row>
    <row r="71" spans="1:14">
      <c r="A71" s="178" t="s">
        <v>2629</v>
      </c>
      <c r="B71" s="197" t="s">
        <v>5435</v>
      </c>
      <c r="C71" s="263" t="s">
        <v>5136</v>
      </c>
      <c r="D71" s="178" t="s">
        <v>2629</v>
      </c>
      <c r="E71" s="178" t="str">
        <f t="shared" si="6"/>
        <v>A1049</v>
      </c>
      <c r="F71" s="178" t="str">
        <f t="shared" ref="F71:F134" si="10">VLOOKUP(E71,$H$5:$I$601,2,FALSE)</f>
        <v>현재일자기준대출심사모형사전조회출력Dto</v>
      </c>
      <c r="G71" s="178">
        <f t="shared" ref="G71:G134" si="11">IF(B71=F71,1,0)</f>
        <v>1</v>
      </c>
      <c r="H71" s="263" t="s">
        <v>2129</v>
      </c>
      <c r="I71" s="263" t="s">
        <v>5427</v>
      </c>
      <c r="J71" s="178" t="s">
        <v>2825</v>
      </c>
      <c r="K71" s="263" t="s">
        <v>2129</v>
      </c>
      <c r="L71" s="178" t="e">
        <f t="shared" si="7"/>
        <v>#N/A</v>
      </c>
      <c r="M71" s="178" t="e">
        <f t="shared" si="8"/>
        <v>#N/A</v>
      </c>
      <c r="N71" s="178" t="e">
        <f t="shared" si="9"/>
        <v>#N/A</v>
      </c>
    </row>
    <row r="72" spans="1:14">
      <c r="A72" s="178" t="s">
        <v>2630</v>
      </c>
      <c r="B72" s="439" t="s">
        <v>5430</v>
      </c>
      <c r="C72" s="178" t="s">
        <v>5429</v>
      </c>
      <c r="D72" s="178" t="s">
        <v>2630</v>
      </c>
      <c r="E72" s="178" t="e">
        <f t="shared" si="6"/>
        <v>#N/A</v>
      </c>
      <c r="F72" s="178" t="e">
        <f t="shared" si="10"/>
        <v>#N/A</v>
      </c>
      <c r="G72" s="178" t="e">
        <f t="shared" si="11"/>
        <v>#N/A</v>
      </c>
      <c r="H72" s="263" t="s">
        <v>2130</v>
      </c>
      <c r="I72" s="263" t="s">
        <v>5427</v>
      </c>
      <c r="J72" s="178" t="s">
        <v>2826</v>
      </c>
      <c r="K72" s="263" t="s">
        <v>2130</v>
      </c>
      <c r="L72" s="178" t="e">
        <f t="shared" si="7"/>
        <v>#N/A</v>
      </c>
      <c r="M72" s="178" t="e">
        <f t="shared" si="8"/>
        <v>#N/A</v>
      </c>
      <c r="N72" s="178" t="e">
        <f t="shared" si="9"/>
        <v>#N/A</v>
      </c>
    </row>
    <row r="73" spans="1:14">
      <c r="A73" s="178" t="s">
        <v>2631</v>
      </c>
      <c r="B73" s="439" t="s">
        <v>5141</v>
      </c>
      <c r="C73" s="440" t="s">
        <v>189</v>
      </c>
      <c r="D73" s="178" t="s">
        <v>2631</v>
      </c>
      <c r="E73" s="178" t="e">
        <f t="shared" si="6"/>
        <v>#N/A</v>
      </c>
      <c r="F73" s="178" t="e">
        <f t="shared" si="10"/>
        <v>#N/A</v>
      </c>
      <c r="G73" s="178" t="e">
        <f t="shared" si="11"/>
        <v>#N/A</v>
      </c>
      <c r="H73" s="263" t="s">
        <v>2138</v>
      </c>
      <c r="I73" s="263" t="s">
        <v>5427</v>
      </c>
      <c r="J73" s="178" t="s">
        <v>14</v>
      </c>
      <c r="K73" s="263" t="s">
        <v>2138</v>
      </c>
      <c r="L73" s="178" t="e">
        <f t="shared" si="7"/>
        <v>#N/A</v>
      </c>
      <c r="M73" s="178" t="e">
        <f t="shared" si="8"/>
        <v>#N/A</v>
      </c>
      <c r="N73" s="178" t="e">
        <f t="shared" si="9"/>
        <v>#N/A</v>
      </c>
    </row>
    <row r="74" spans="1:14">
      <c r="A74" s="178" t="s">
        <v>2632</v>
      </c>
      <c r="B74" s="439" t="s">
        <v>5141</v>
      </c>
      <c r="C74" s="440" t="s">
        <v>276</v>
      </c>
      <c r="D74" s="178" t="s">
        <v>2632</v>
      </c>
      <c r="E74" s="178" t="e">
        <f t="shared" si="6"/>
        <v>#N/A</v>
      </c>
      <c r="F74" s="178" t="e">
        <f t="shared" si="10"/>
        <v>#N/A</v>
      </c>
      <c r="G74" s="178" t="e">
        <f t="shared" si="11"/>
        <v>#N/A</v>
      </c>
      <c r="H74" s="263" t="s">
        <v>2139</v>
      </c>
      <c r="I74" s="263" t="s">
        <v>5427</v>
      </c>
      <c r="J74" s="178" t="s">
        <v>2828</v>
      </c>
      <c r="K74" s="263" t="s">
        <v>2139</v>
      </c>
      <c r="L74" s="178" t="e">
        <f t="shared" si="7"/>
        <v>#N/A</v>
      </c>
      <c r="M74" s="178" t="e">
        <f t="shared" si="8"/>
        <v>#N/A</v>
      </c>
      <c r="N74" s="178" t="e">
        <f t="shared" si="9"/>
        <v>#N/A</v>
      </c>
    </row>
    <row r="75" spans="1:14">
      <c r="A75" s="178" t="s">
        <v>2633</v>
      </c>
      <c r="B75" s="439" t="s">
        <v>5141</v>
      </c>
      <c r="C75" s="440" t="s">
        <v>3389</v>
      </c>
      <c r="D75" s="178" t="s">
        <v>2633</v>
      </c>
      <c r="E75" s="178" t="e">
        <f t="shared" si="6"/>
        <v>#N/A</v>
      </c>
      <c r="F75" s="178" t="e">
        <f t="shared" si="10"/>
        <v>#N/A</v>
      </c>
      <c r="G75" s="178" t="e">
        <f t="shared" si="11"/>
        <v>#N/A</v>
      </c>
      <c r="H75" s="263" t="s">
        <v>2140</v>
      </c>
      <c r="I75" s="263" t="s">
        <v>5427</v>
      </c>
      <c r="J75" s="178" t="s">
        <v>2829</v>
      </c>
      <c r="K75" s="263" t="s">
        <v>2140</v>
      </c>
      <c r="L75" s="178" t="e">
        <f t="shared" si="7"/>
        <v>#N/A</v>
      </c>
      <c r="M75" s="178" t="e">
        <f t="shared" si="8"/>
        <v>#N/A</v>
      </c>
      <c r="N75" s="178" t="e">
        <f t="shared" si="9"/>
        <v>#N/A</v>
      </c>
    </row>
    <row r="76" spans="1:14">
      <c r="A76" s="178" t="s">
        <v>2634</v>
      </c>
      <c r="B76" s="439" t="s">
        <v>5141</v>
      </c>
      <c r="C76" s="440" t="s">
        <v>208</v>
      </c>
      <c r="D76" s="178" t="s">
        <v>2634</v>
      </c>
      <c r="E76" s="178" t="e">
        <f t="shared" si="6"/>
        <v>#N/A</v>
      </c>
      <c r="F76" s="178" t="e">
        <f t="shared" si="10"/>
        <v>#N/A</v>
      </c>
      <c r="G76" s="178" t="e">
        <f t="shared" si="11"/>
        <v>#N/A</v>
      </c>
      <c r="H76" s="263" t="s">
        <v>2141</v>
      </c>
      <c r="I76" s="263" t="s">
        <v>5427</v>
      </c>
      <c r="J76" s="178" t="s">
        <v>251</v>
      </c>
      <c r="K76" s="263" t="s">
        <v>2141</v>
      </c>
      <c r="L76" s="178" t="e">
        <f t="shared" si="7"/>
        <v>#N/A</v>
      </c>
      <c r="M76" s="178" t="e">
        <f t="shared" si="8"/>
        <v>#N/A</v>
      </c>
      <c r="N76" s="178" t="e">
        <f t="shared" si="9"/>
        <v>#N/A</v>
      </c>
    </row>
    <row r="77" spans="1:14">
      <c r="A77" s="178" t="s">
        <v>2635</v>
      </c>
      <c r="B77" s="439" t="s">
        <v>5141</v>
      </c>
      <c r="C77" s="440" t="s">
        <v>212</v>
      </c>
      <c r="D77" s="178" t="s">
        <v>2635</v>
      </c>
      <c r="E77" s="178" t="e">
        <f t="shared" si="6"/>
        <v>#N/A</v>
      </c>
      <c r="F77" s="178" t="e">
        <f t="shared" si="10"/>
        <v>#N/A</v>
      </c>
      <c r="G77" s="178" t="e">
        <f t="shared" si="11"/>
        <v>#N/A</v>
      </c>
      <c r="H77" s="263" t="s">
        <v>2142</v>
      </c>
      <c r="I77" s="263" t="s">
        <v>5427</v>
      </c>
      <c r="J77" s="178" t="s">
        <v>2830</v>
      </c>
      <c r="K77" s="263" t="s">
        <v>2142</v>
      </c>
      <c r="L77" s="178" t="e">
        <f t="shared" si="7"/>
        <v>#N/A</v>
      </c>
      <c r="M77" s="178" t="e">
        <f t="shared" si="8"/>
        <v>#N/A</v>
      </c>
      <c r="N77" s="178" t="e">
        <f t="shared" si="9"/>
        <v>#N/A</v>
      </c>
    </row>
    <row r="78" spans="1:14">
      <c r="A78" s="178" t="s">
        <v>2636</v>
      </c>
      <c r="B78" s="439" t="s">
        <v>5427</v>
      </c>
      <c r="C78" s="440" t="s">
        <v>5432</v>
      </c>
      <c r="D78" s="178" t="s">
        <v>2636</v>
      </c>
      <c r="E78" s="178" t="str">
        <f t="shared" si="6"/>
        <v>A2065</v>
      </c>
      <c r="F78" s="178" t="str">
        <f t="shared" si="10"/>
        <v>r체크회원사전대상자내역기간조회E</v>
      </c>
      <c r="G78" s="178">
        <f t="shared" si="11"/>
        <v>1</v>
      </c>
      <c r="H78" s="263" t="s">
        <v>2144</v>
      </c>
      <c r="I78" s="263" t="s">
        <v>5427</v>
      </c>
      <c r="J78" s="178" t="s">
        <v>1298</v>
      </c>
      <c r="K78" s="263" t="s">
        <v>2144</v>
      </c>
      <c r="L78" s="178" t="e">
        <f t="shared" si="7"/>
        <v>#N/A</v>
      </c>
      <c r="M78" s="178" t="e">
        <f t="shared" si="8"/>
        <v>#N/A</v>
      </c>
      <c r="N78" s="178" t="e">
        <f t="shared" si="9"/>
        <v>#N/A</v>
      </c>
    </row>
    <row r="79" spans="1:14" hidden="1">
      <c r="A79" s="178" t="s">
        <v>2637</v>
      </c>
      <c r="B79" s="439" t="s">
        <v>5427</v>
      </c>
      <c r="C79" s="440" t="s">
        <v>5428</v>
      </c>
      <c r="D79" s="178" t="s">
        <v>2637</v>
      </c>
      <c r="E79" s="178" t="str">
        <f t="shared" si="6"/>
        <v>A2001</v>
      </c>
      <c r="F79" s="178" t="str">
        <f t="shared" si="10"/>
        <v>r체크회원사전대상자내역기간조회E</v>
      </c>
      <c r="G79" s="178">
        <f t="shared" si="11"/>
        <v>1</v>
      </c>
      <c r="H79" s="264"/>
      <c r="I79" s="264"/>
      <c r="J79" s="264"/>
      <c r="K79" s="264" t="s">
        <v>2131</v>
      </c>
      <c r="L79" s="178" t="e">
        <f t="shared" si="7"/>
        <v>#N/A</v>
      </c>
      <c r="M79" s="178" t="e">
        <f t="shared" si="8"/>
        <v>#N/A</v>
      </c>
      <c r="N79" s="178" t="e">
        <f t="shared" si="9"/>
        <v>#N/A</v>
      </c>
    </row>
    <row r="80" spans="1:14" hidden="1">
      <c r="A80" s="178" t="s">
        <v>2638</v>
      </c>
      <c r="B80" s="178" t="s">
        <v>5856</v>
      </c>
      <c r="C80" s="178" t="s">
        <v>5857</v>
      </c>
      <c r="D80" s="178" t="s">
        <v>2638</v>
      </c>
      <c r="E80" s="178" t="str">
        <f t="shared" si="6"/>
        <v>A1050</v>
      </c>
      <c r="F80" s="178" t="str">
        <f t="shared" si="10"/>
        <v>r카드론상환유예건수조회E</v>
      </c>
      <c r="G80" s="178">
        <f t="shared" si="11"/>
        <v>1</v>
      </c>
      <c r="H80" s="264"/>
      <c r="I80" s="264"/>
      <c r="J80" s="264"/>
      <c r="K80" s="264" t="s">
        <v>2132</v>
      </c>
      <c r="L80" s="178" t="e">
        <f t="shared" si="7"/>
        <v>#N/A</v>
      </c>
      <c r="M80" s="178" t="e">
        <f t="shared" si="8"/>
        <v>#N/A</v>
      </c>
      <c r="N80" s="178" t="e">
        <f t="shared" si="9"/>
        <v>#N/A</v>
      </c>
    </row>
    <row r="81" spans="1:14" hidden="1">
      <c r="A81" s="181"/>
      <c r="B81" s="444"/>
      <c r="C81" s="444"/>
      <c r="D81" s="181" t="s">
        <v>2331</v>
      </c>
      <c r="E81" s="178" t="e">
        <f t="shared" si="6"/>
        <v>#N/A</v>
      </c>
      <c r="F81" s="178" t="e">
        <f t="shared" si="10"/>
        <v>#N/A</v>
      </c>
      <c r="G81" s="178" t="e">
        <f t="shared" si="11"/>
        <v>#N/A</v>
      </c>
      <c r="H81" s="264"/>
      <c r="I81" s="264"/>
      <c r="J81" s="264"/>
      <c r="K81" s="264" t="s">
        <v>2133</v>
      </c>
      <c r="L81" s="178" t="e">
        <f t="shared" si="7"/>
        <v>#N/A</v>
      </c>
      <c r="M81" s="178" t="e">
        <f t="shared" si="8"/>
        <v>#N/A</v>
      </c>
      <c r="N81" s="178" t="e">
        <f t="shared" si="9"/>
        <v>#N/A</v>
      </c>
    </row>
    <row r="82" spans="1:14" hidden="1">
      <c r="A82" s="181"/>
      <c r="B82" s="181"/>
      <c r="C82" s="181"/>
      <c r="D82" s="181" t="s">
        <v>2332</v>
      </c>
      <c r="E82" s="178" t="e">
        <f t="shared" si="6"/>
        <v>#N/A</v>
      </c>
      <c r="F82" s="178" t="e">
        <f t="shared" si="10"/>
        <v>#N/A</v>
      </c>
      <c r="G82" s="178" t="e">
        <f t="shared" si="11"/>
        <v>#N/A</v>
      </c>
      <c r="H82" s="264"/>
      <c r="I82" s="264"/>
      <c r="J82" s="264"/>
      <c r="K82" s="264" t="s">
        <v>2134</v>
      </c>
      <c r="L82" s="178" t="e">
        <f t="shared" si="7"/>
        <v>#N/A</v>
      </c>
      <c r="M82" s="178" t="e">
        <f t="shared" si="8"/>
        <v>#N/A</v>
      </c>
      <c r="N82" s="178" t="e">
        <f t="shared" si="9"/>
        <v>#N/A</v>
      </c>
    </row>
    <row r="83" spans="1:14" hidden="1">
      <c r="A83" s="181"/>
      <c r="B83" s="181"/>
      <c r="C83" s="181"/>
      <c r="D83" s="181" t="s">
        <v>2333</v>
      </c>
      <c r="E83" s="178" t="e">
        <f t="shared" si="6"/>
        <v>#N/A</v>
      </c>
      <c r="F83" s="178" t="e">
        <f t="shared" si="10"/>
        <v>#N/A</v>
      </c>
      <c r="G83" s="178" t="e">
        <f t="shared" si="11"/>
        <v>#N/A</v>
      </c>
      <c r="H83" s="264"/>
      <c r="I83" s="264"/>
      <c r="J83" s="264"/>
      <c r="K83" s="264" t="s">
        <v>2135</v>
      </c>
      <c r="L83" s="178" t="e">
        <f t="shared" si="7"/>
        <v>#N/A</v>
      </c>
      <c r="M83" s="178" t="e">
        <f t="shared" si="8"/>
        <v>#N/A</v>
      </c>
      <c r="N83" s="178" t="e">
        <f t="shared" si="9"/>
        <v>#N/A</v>
      </c>
    </row>
    <row r="84" spans="1:14" hidden="1">
      <c r="A84" s="181"/>
      <c r="B84" s="181"/>
      <c r="C84" s="181"/>
      <c r="D84" s="181" t="s">
        <v>2334</v>
      </c>
      <c r="E84" s="178" t="e">
        <f t="shared" si="6"/>
        <v>#N/A</v>
      </c>
      <c r="F84" s="178" t="e">
        <f t="shared" si="10"/>
        <v>#N/A</v>
      </c>
      <c r="G84" s="178" t="e">
        <f t="shared" si="11"/>
        <v>#N/A</v>
      </c>
      <c r="H84" s="264"/>
      <c r="I84" s="264"/>
      <c r="J84" s="264"/>
      <c r="K84" s="264" t="s">
        <v>2136</v>
      </c>
      <c r="L84" s="178" t="e">
        <f t="shared" si="7"/>
        <v>#N/A</v>
      </c>
      <c r="M84" s="178" t="e">
        <f t="shared" si="8"/>
        <v>#N/A</v>
      </c>
      <c r="N84" s="178" t="e">
        <f t="shared" si="9"/>
        <v>#N/A</v>
      </c>
    </row>
    <row r="85" spans="1:14" hidden="1">
      <c r="A85" s="181"/>
      <c r="B85" s="181"/>
      <c r="C85" s="181"/>
      <c r="D85" s="181" t="s">
        <v>2335</v>
      </c>
      <c r="E85" s="178" t="e">
        <f t="shared" si="6"/>
        <v>#N/A</v>
      </c>
      <c r="F85" s="178" t="e">
        <f t="shared" si="10"/>
        <v>#N/A</v>
      </c>
      <c r="G85" s="178" t="e">
        <f t="shared" si="11"/>
        <v>#N/A</v>
      </c>
      <c r="H85" s="264"/>
      <c r="I85" s="264"/>
      <c r="J85" s="264"/>
      <c r="K85" s="264" t="s">
        <v>2137</v>
      </c>
      <c r="L85" s="178" t="e">
        <f t="shared" si="7"/>
        <v>#N/A</v>
      </c>
      <c r="M85" s="178" t="e">
        <f t="shared" si="8"/>
        <v>#N/A</v>
      </c>
      <c r="N85" s="178" t="e">
        <f t="shared" si="9"/>
        <v>#N/A</v>
      </c>
    </row>
    <row r="86" spans="1:14" hidden="1">
      <c r="A86" s="181"/>
      <c r="B86" s="181"/>
      <c r="C86" s="181"/>
      <c r="D86" s="181" t="s">
        <v>2336</v>
      </c>
      <c r="E86" s="178" t="e">
        <f t="shared" si="6"/>
        <v>#N/A</v>
      </c>
      <c r="F86" s="178" t="e">
        <f t="shared" si="10"/>
        <v>#N/A</v>
      </c>
      <c r="G86" s="178" t="e">
        <f t="shared" si="11"/>
        <v>#N/A</v>
      </c>
      <c r="H86" s="264"/>
      <c r="I86" s="264"/>
      <c r="J86" s="264"/>
      <c r="K86" s="264" t="s">
        <v>2145</v>
      </c>
      <c r="L86" s="178" t="e">
        <f t="shared" si="7"/>
        <v>#N/A</v>
      </c>
      <c r="M86" s="178" t="e">
        <f t="shared" si="8"/>
        <v>#N/A</v>
      </c>
      <c r="N86" s="178" t="e">
        <f t="shared" si="9"/>
        <v>#N/A</v>
      </c>
    </row>
    <row r="87" spans="1:14">
      <c r="A87" s="181"/>
      <c r="B87" s="181"/>
      <c r="C87" s="181"/>
      <c r="D87" s="181" t="s">
        <v>2337</v>
      </c>
      <c r="E87" s="178" t="e">
        <f t="shared" si="6"/>
        <v>#N/A</v>
      </c>
      <c r="F87" s="178" t="e">
        <f t="shared" si="10"/>
        <v>#N/A</v>
      </c>
      <c r="G87" s="178" t="e">
        <f t="shared" si="11"/>
        <v>#N/A</v>
      </c>
      <c r="H87" s="263" t="s">
        <v>2146</v>
      </c>
      <c r="I87" s="263" t="s">
        <v>5427</v>
      </c>
      <c r="J87" s="178" t="s">
        <v>254</v>
      </c>
      <c r="K87" s="263" t="s">
        <v>2146</v>
      </c>
      <c r="L87" s="178" t="e">
        <f t="shared" si="7"/>
        <v>#N/A</v>
      </c>
      <c r="M87" s="178" t="e">
        <f t="shared" si="8"/>
        <v>#N/A</v>
      </c>
      <c r="N87" s="178" t="e">
        <f t="shared" si="9"/>
        <v>#N/A</v>
      </c>
    </row>
    <row r="88" spans="1:14">
      <c r="A88" s="181"/>
      <c r="B88" s="181"/>
      <c r="C88" s="181"/>
      <c r="D88" s="181" t="s">
        <v>2338</v>
      </c>
      <c r="E88" s="178" t="e">
        <f t="shared" si="6"/>
        <v>#N/A</v>
      </c>
      <c r="F88" s="178" t="e">
        <f t="shared" si="10"/>
        <v>#N/A</v>
      </c>
      <c r="G88" s="178" t="e">
        <f t="shared" si="11"/>
        <v>#N/A</v>
      </c>
      <c r="H88" s="263" t="s">
        <v>2147</v>
      </c>
      <c r="I88" s="263" t="s">
        <v>5427</v>
      </c>
      <c r="J88" s="178" t="s">
        <v>2838</v>
      </c>
      <c r="K88" s="263" t="s">
        <v>2147</v>
      </c>
      <c r="L88" s="178" t="e">
        <f t="shared" si="7"/>
        <v>#N/A</v>
      </c>
      <c r="M88" s="178" t="e">
        <f t="shared" si="8"/>
        <v>#N/A</v>
      </c>
      <c r="N88" s="178" t="e">
        <f t="shared" si="9"/>
        <v>#N/A</v>
      </c>
    </row>
    <row r="89" spans="1:14" hidden="1">
      <c r="A89" s="181"/>
      <c r="B89" s="181"/>
      <c r="C89" s="181"/>
      <c r="D89" s="181" t="s">
        <v>2339</v>
      </c>
      <c r="E89" s="178" t="e">
        <f t="shared" si="6"/>
        <v>#N/A</v>
      </c>
      <c r="F89" s="178" t="e">
        <f t="shared" si="10"/>
        <v>#N/A</v>
      </c>
      <c r="G89" s="178" t="e">
        <f t="shared" si="11"/>
        <v>#N/A</v>
      </c>
      <c r="H89" s="264"/>
      <c r="I89" s="264"/>
      <c r="J89" s="264"/>
      <c r="K89" s="264" t="s">
        <v>2143</v>
      </c>
      <c r="L89" s="178" t="e">
        <f t="shared" si="7"/>
        <v>#N/A</v>
      </c>
      <c r="M89" s="178" t="e">
        <f t="shared" si="8"/>
        <v>#N/A</v>
      </c>
      <c r="N89" s="178" t="e">
        <f t="shared" si="9"/>
        <v>#N/A</v>
      </c>
    </row>
    <row r="90" spans="1:14" hidden="1">
      <c r="A90" s="181"/>
      <c r="B90" s="181"/>
      <c r="C90" s="181"/>
      <c r="D90" s="181" t="s">
        <v>2340</v>
      </c>
      <c r="E90" s="178" t="e">
        <f t="shared" si="6"/>
        <v>#N/A</v>
      </c>
      <c r="F90" s="178" t="e">
        <f t="shared" si="10"/>
        <v>#N/A</v>
      </c>
      <c r="G90" s="178" t="e">
        <f t="shared" si="11"/>
        <v>#N/A</v>
      </c>
      <c r="H90" s="264"/>
      <c r="I90" s="264"/>
      <c r="J90" s="264"/>
      <c r="K90" s="264" t="s">
        <v>2148</v>
      </c>
      <c r="L90" s="178" t="e">
        <f t="shared" si="7"/>
        <v>#N/A</v>
      </c>
      <c r="M90" s="178" t="e">
        <f t="shared" si="8"/>
        <v>#N/A</v>
      </c>
      <c r="N90" s="178" t="e">
        <f t="shared" si="9"/>
        <v>#N/A</v>
      </c>
    </row>
    <row r="91" spans="1:14">
      <c r="A91" s="181"/>
      <c r="B91" s="181"/>
      <c r="C91" s="181"/>
      <c r="D91" s="181" t="s">
        <v>2341</v>
      </c>
      <c r="E91" s="178" t="e">
        <f t="shared" si="6"/>
        <v>#N/A</v>
      </c>
      <c r="F91" s="178" t="e">
        <f t="shared" si="10"/>
        <v>#N/A</v>
      </c>
      <c r="G91" s="178" t="e">
        <f t="shared" si="11"/>
        <v>#N/A</v>
      </c>
      <c r="H91" s="263" t="s">
        <v>2149</v>
      </c>
      <c r="I91" s="263" t="s">
        <v>5427</v>
      </c>
      <c r="J91" s="178" t="s">
        <v>2841</v>
      </c>
      <c r="K91" s="263" t="s">
        <v>2149</v>
      </c>
      <c r="L91" s="178" t="e">
        <f t="shared" si="7"/>
        <v>#N/A</v>
      </c>
      <c r="M91" s="178" t="e">
        <f t="shared" si="8"/>
        <v>#N/A</v>
      </c>
      <c r="N91" s="178" t="e">
        <f t="shared" si="9"/>
        <v>#N/A</v>
      </c>
    </row>
    <row r="92" spans="1:14" hidden="1">
      <c r="A92" s="181"/>
      <c r="B92" s="181"/>
      <c r="C92" s="181"/>
      <c r="D92" s="181" t="s">
        <v>2342</v>
      </c>
      <c r="E92" s="178" t="e">
        <f t="shared" si="6"/>
        <v>#N/A</v>
      </c>
      <c r="F92" s="178" t="e">
        <f t="shared" si="10"/>
        <v>#N/A</v>
      </c>
      <c r="G92" s="178" t="e">
        <f t="shared" si="11"/>
        <v>#N/A</v>
      </c>
      <c r="H92" s="264"/>
      <c r="I92" s="264"/>
      <c r="J92" s="181"/>
      <c r="K92" s="264" t="s">
        <v>2150</v>
      </c>
      <c r="L92" s="178" t="e">
        <f t="shared" si="7"/>
        <v>#N/A</v>
      </c>
      <c r="M92" s="178" t="e">
        <f t="shared" si="8"/>
        <v>#N/A</v>
      </c>
      <c r="N92" s="178" t="e">
        <f t="shared" si="9"/>
        <v>#N/A</v>
      </c>
    </row>
    <row r="93" spans="1:14">
      <c r="A93" s="181"/>
      <c r="B93" s="181"/>
      <c r="C93" s="181"/>
      <c r="D93" s="181" t="s">
        <v>2343</v>
      </c>
      <c r="E93" s="178" t="e">
        <f t="shared" si="6"/>
        <v>#N/A</v>
      </c>
      <c r="F93" s="178" t="e">
        <f t="shared" si="10"/>
        <v>#N/A</v>
      </c>
      <c r="G93" s="178" t="e">
        <f t="shared" si="11"/>
        <v>#N/A</v>
      </c>
      <c r="H93" s="263" t="s">
        <v>2151</v>
      </c>
      <c r="I93" s="263" t="s">
        <v>5427</v>
      </c>
      <c r="J93" s="178" t="s">
        <v>2728</v>
      </c>
      <c r="K93" s="263" t="s">
        <v>2151</v>
      </c>
      <c r="L93" s="178" t="e">
        <f t="shared" si="7"/>
        <v>#N/A</v>
      </c>
      <c r="M93" s="178" t="e">
        <f t="shared" si="8"/>
        <v>#N/A</v>
      </c>
      <c r="N93" s="178" t="e">
        <f t="shared" si="9"/>
        <v>#N/A</v>
      </c>
    </row>
    <row r="94" spans="1:14" hidden="1">
      <c r="A94" s="181"/>
      <c r="B94" s="181"/>
      <c r="C94" s="181"/>
      <c r="D94" s="181" t="s">
        <v>2344</v>
      </c>
      <c r="E94" s="178" t="e">
        <f t="shared" si="6"/>
        <v>#N/A</v>
      </c>
      <c r="F94" s="178" t="e">
        <f t="shared" si="10"/>
        <v>#N/A</v>
      </c>
      <c r="G94" s="178" t="e">
        <f t="shared" si="11"/>
        <v>#N/A</v>
      </c>
      <c r="H94" s="264"/>
      <c r="I94" s="264"/>
      <c r="J94" s="264"/>
      <c r="K94" s="264" t="s">
        <v>2152</v>
      </c>
      <c r="L94" s="178" t="e">
        <f t="shared" si="7"/>
        <v>#N/A</v>
      </c>
      <c r="M94" s="178" t="e">
        <f t="shared" si="8"/>
        <v>#N/A</v>
      </c>
      <c r="N94" s="178" t="e">
        <f t="shared" si="9"/>
        <v>#N/A</v>
      </c>
    </row>
    <row r="95" spans="1:14" hidden="1">
      <c r="A95" s="181"/>
      <c r="B95" s="181"/>
      <c r="C95" s="181"/>
      <c r="D95" s="181" t="s">
        <v>2345</v>
      </c>
      <c r="E95" s="178" t="e">
        <f t="shared" si="6"/>
        <v>#N/A</v>
      </c>
      <c r="F95" s="178" t="e">
        <f t="shared" si="10"/>
        <v>#N/A</v>
      </c>
      <c r="G95" s="178" t="e">
        <f t="shared" si="11"/>
        <v>#N/A</v>
      </c>
      <c r="H95" s="264"/>
      <c r="I95" s="264"/>
      <c r="J95" s="264"/>
      <c r="K95" s="264" t="s">
        <v>2153</v>
      </c>
      <c r="L95" s="178" t="e">
        <f t="shared" si="7"/>
        <v>#N/A</v>
      </c>
      <c r="M95" s="178" t="e">
        <f t="shared" si="8"/>
        <v>#N/A</v>
      </c>
      <c r="N95" s="178" t="e">
        <f t="shared" si="9"/>
        <v>#N/A</v>
      </c>
    </row>
    <row r="96" spans="1:14" hidden="1">
      <c r="A96" s="178" t="s">
        <v>2346</v>
      </c>
      <c r="B96" s="178" t="s">
        <v>5673</v>
      </c>
      <c r="C96" s="178" t="s">
        <v>1415</v>
      </c>
      <c r="D96" s="178" t="s">
        <v>2346</v>
      </c>
      <c r="E96" s="178" t="e">
        <f t="shared" si="6"/>
        <v>#N/A</v>
      </c>
      <c r="F96" s="178" t="e">
        <f t="shared" si="10"/>
        <v>#N/A</v>
      </c>
      <c r="G96" s="178" t="e">
        <f t="shared" si="11"/>
        <v>#N/A</v>
      </c>
      <c r="H96" s="264"/>
      <c r="I96" s="264"/>
      <c r="J96" s="264"/>
      <c r="K96" s="264" t="s">
        <v>2154</v>
      </c>
      <c r="L96" s="178" t="e">
        <f t="shared" si="7"/>
        <v>#N/A</v>
      </c>
      <c r="M96" s="178" t="e">
        <f t="shared" si="8"/>
        <v>#N/A</v>
      </c>
      <c r="N96" s="178" t="e">
        <f t="shared" si="9"/>
        <v>#N/A</v>
      </c>
    </row>
    <row r="97" spans="1:14" hidden="1">
      <c r="A97" s="178" t="s">
        <v>2347</v>
      </c>
      <c r="B97" s="178" t="s">
        <v>5673</v>
      </c>
      <c r="C97" s="178" t="s">
        <v>1416</v>
      </c>
      <c r="D97" s="178" t="s">
        <v>2347</v>
      </c>
      <c r="E97" s="178" t="e">
        <f t="shared" si="6"/>
        <v>#N/A</v>
      </c>
      <c r="F97" s="178" t="e">
        <f t="shared" si="10"/>
        <v>#N/A</v>
      </c>
      <c r="G97" s="178" t="e">
        <f t="shared" si="11"/>
        <v>#N/A</v>
      </c>
      <c r="H97" s="264"/>
      <c r="I97" s="264"/>
      <c r="J97" s="264"/>
      <c r="K97" s="264" t="s">
        <v>2155</v>
      </c>
      <c r="L97" s="178" t="e">
        <f t="shared" si="7"/>
        <v>#N/A</v>
      </c>
      <c r="M97" s="178" t="e">
        <f t="shared" si="8"/>
        <v>#N/A</v>
      </c>
      <c r="N97" s="178" t="e">
        <f t="shared" si="9"/>
        <v>#N/A</v>
      </c>
    </row>
    <row r="98" spans="1:14" hidden="1">
      <c r="A98" s="178" t="s">
        <v>2348</v>
      </c>
      <c r="B98" s="178" t="s">
        <v>5673</v>
      </c>
      <c r="C98" s="178" t="s">
        <v>1417</v>
      </c>
      <c r="D98" s="178" t="s">
        <v>2348</v>
      </c>
      <c r="E98" s="178" t="e">
        <f t="shared" si="6"/>
        <v>#N/A</v>
      </c>
      <c r="F98" s="178" t="e">
        <f t="shared" si="10"/>
        <v>#N/A</v>
      </c>
      <c r="G98" s="178" t="e">
        <f t="shared" si="11"/>
        <v>#N/A</v>
      </c>
      <c r="H98" s="264"/>
      <c r="I98" s="264"/>
      <c r="J98" s="264"/>
      <c r="K98" s="264" t="s">
        <v>2156</v>
      </c>
      <c r="L98" s="178" t="e">
        <f t="shared" si="7"/>
        <v>#N/A</v>
      </c>
      <c r="M98" s="178" t="e">
        <f t="shared" si="8"/>
        <v>#N/A</v>
      </c>
      <c r="N98" s="178" t="e">
        <f t="shared" si="9"/>
        <v>#N/A</v>
      </c>
    </row>
    <row r="99" spans="1:14" hidden="1">
      <c r="A99" s="181"/>
      <c r="B99" s="181"/>
      <c r="C99" s="181"/>
      <c r="D99" s="181" t="s">
        <v>2349</v>
      </c>
      <c r="E99" s="178" t="e">
        <f t="shared" si="6"/>
        <v>#N/A</v>
      </c>
      <c r="F99" s="178" t="e">
        <f t="shared" si="10"/>
        <v>#N/A</v>
      </c>
      <c r="G99" s="178" t="e">
        <f t="shared" si="11"/>
        <v>#N/A</v>
      </c>
      <c r="H99" s="264"/>
      <c r="I99" s="264"/>
      <c r="J99" s="264"/>
      <c r="K99" s="264" t="s">
        <v>2157</v>
      </c>
      <c r="L99" s="178" t="e">
        <f t="shared" si="7"/>
        <v>#N/A</v>
      </c>
      <c r="M99" s="178" t="e">
        <f t="shared" si="8"/>
        <v>#N/A</v>
      </c>
      <c r="N99" s="178" t="e">
        <f t="shared" si="9"/>
        <v>#N/A</v>
      </c>
    </row>
    <row r="100" spans="1:14" hidden="1">
      <c r="A100" s="181"/>
      <c r="B100" s="181"/>
      <c r="C100" s="181"/>
      <c r="D100" s="181" t="s">
        <v>2350</v>
      </c>
      <c r="E100" s="178" t="e">
        <f t="shared" si="6"/>
        <v>#N/A</v>
      </c>
      <c r="F100" s="178" t="e">
        <f t="shared" si="10"/>
        <v>#N/A</v>
      </c>
      <c r="G100" s="178" t="e">
        <f t="shared" si="11"/>
        <v>#N/A</v>
      </c>
      <c r="H100" s="264"/>
      <c r="I100" s="264"/>
      <c r="J100" s="264"/>
      <c r="K100" s="264" t="s">
        <v>2158</v>
      </c>
      <c r="L100" s="178" t="e">
        <f t="shared" si="7"/>
        <v>#N/A</v>
      </c>
      <c r="M100" s="178" t="e">
        <f t="shared" si="8"/>
        <v>#N/A</v>
      </c>
      <c r="N100" s="178" t="e">
        <f t="shared" si="9"/>
        <v>#N/A</v>
      </c>
    </row>
    <row r="101" spans="1:14" hidden="1">
      <c r="A101" s="178" t="s">
        <v>2351</v>
      </c>
      <c r="B101" s="178" t="s">
        <v>5613</v>
      </c>
      <c r="C101" s="178" t="s">
        <v>785</v>
      </c>
      <c r="D101" s="178" t="s">
        <v>2351</v>
      </c>
      <c r="E101" s="178" t="str">
        <f t="shared" si="6"/>
        <v>A3011</v>
      </c>
      <c r="F101" s="178" t="str">
        <f t="shared" si="10"/>
        <v>GEA_NICE신용요약정보조회Dto</v>
      </c>
      <c r="G101" s="178">
        <f t="shared" si="11"/>
        <v>1</v>
      </c>
      <c r="H101" s="264"/>
      <c r="I101" s="264"/>
      <c r="J101" s="264"/>
      <c r="K101" s="264" t="s">
        <v>2159</v>
      </c>
      <c r="L101" s="178" t="e">
        <f t="shared" si="7"/>
        <v>#N/A</v>
      </c>
      <c r="M101" s="178" t="e">
        <f t="shared" si="8"/>
        <v>#N/A</v>
      </c>
      <c r="N101" s="178" t="e">
        <f t="shared" si="9"/>
        <v>#N/A</v>
      </c>
    </row>
    <row r="102" spans="1:14" hidden="1">
      <c r="A102" s="178" t="s">
        <v>2352</v>
      </c>
      <c r="B102" s="178" t="s">
        <v>5613</v>
      </c>
      <c r="C102" s="178" t="s">
        <v>2999</v>
      </c>
      <c r="D102" s="178" t="s">
        <v>2352</v>
      </c>
      <c r="E102" s="178" t="e">
        <f t="shared" si="6"/>
        <v>#N/A</v>
      </c>
      <c r="F102" s="178" t="e">
        <f t="shared" si="10"/>
        <v>#N/A</v>
      </c>
      <c r="G102" s="178" t="e">
        <f t="shared" si="11"/>
        <v>#N/A</v>
      </c>
      <c r="H102" s="264"/>
      <c r="I102" s="264"/>
      <c r="J102" s="264"/>
      <c r="K102" s="264" t="s">
        <v>2607</v>
      </c>
      <c r="L102" s="178" t="e">
        <f t="shared" si="7"/>
        <v>#N/A</v>
      </c>
      <c r="M102" s="178" t="e">
        <f t="shared" si="8"/>
        <v>#N/A</v>
      </c>
      <c r="N102" s="178" t="e">
        <f t="shared" si="9"/>
        <v>#N/A</v>
      </c>
    </row>
    <row r="103" spans="1:14" hidden="1">
      <c r="A103" s="181"/>
      <c r="B103" s="181"/>
      <c r="C103" s="181"/>
      <c r="D103" s="181" t="s">
        <v>2353</v>
      </c>
      <c r="E103" s="178" t="e">
        <f t="shared" si="6"/>
        <v>#N/A</v>
      </c>
      <c r="F103" s="178" t="e">
        <f t="shared" si="10"/>
        <v>#N/A</v>
      </c>
      <c r="G103" s="178" t="e">
        <f t="shared" si="11"/>
        <v>#N/A</v>
      </c>
      <c r="H103" s="264"/>
      <c r="I103" s="264"/>
      <c r="J103" s="264"/>
      <c r="K103" s="264" t="s">
        <v>2608</v>
      </c>
      <c r="L103" s="178" t="e">
        <f t="shared" si="7"/>
        <v>#N/A</v>
      </c>
      <c r="M103" s="178" t="e">
        <f t="shared" si="8"/>
        <v>#N/A</v>
      </c>
      <c r="N103" s="178" t="e">
        <f t="shared" si="9"/>
        <v>#N/A</v>
      </c>
    </row>
    <row r="104" spans="1:14" hidden="1">
      <c r="A104" s="181"/>
      <c r="B104" s="181"/>
      <c r="C104" s="181"/>
      <c r="D104" s="181" t="s">
        <v>2354</v>
      </c>
      <c r="E104" s="178" t="e">
        <f t="shared" si="6"/>
        <v>#N/A</v>
      </c>
      <c r="F104" s="178" t="e">
        <f t="shared" si="10"/>
        <v>#N/A</v>
      </c>
      <c r="G104" s="178" t="e">
        <f t="shared" si="11"/>
        <v>#N/A</v>
      </c>
      <c r="H104" s="264"/>
      <c r="I104" s="264"/>
      <c r="J104" s="264"/>
      <c r="K104" s="264" t="s">
        <v>2609</v>
      </c>
      <c r="L104" s="178" t="e">
        <f t="shared" si="7"/>
        <v>#N/A</v>
      </c>
      <c r="M104" s="178" t="e">
        <f t="shared" si="8"/>
        <v>#N/A</v>
      </c>
      <c r="N104" s="178" t="e">
        <f t="shared" si="9"/>
        <v>#N/A</v>
      </c>
    </row>
    <row r="105" spans="1:14">
      <c r="A105" s="181"/>
      <c r="B105" s="181"/>
      <c r="C105" s="181"/>
      <c r="D105" s="181" t="s">
        <v>2355</v>
      </c>
      <c r="E105" s="178" t="e">
        <f t="shared" si="6"/>
        <v>#N/A</v>
      </c>
      <c r="F105" s="178" t="e">
        <f t="shared" si="10"/>
        <v>#N/A</v>
      </c>
      <c r="G105" s="178" t="e">
        <f t="shared" si="11"/>
        <v>#N/A</v>
      </c>
      <c r="H105" s="263" t="s">
        <v>2610</v>
      </c>
      <c r="I105" s="263" t="s">
        <v>5427</v>
      </c>
      <c r="J105" s="178" t="s">
        <v>2740</v>
      </c>
      <c r="K105" s="263" t="s">
        <v>2610</v>
      </c>
      <c r="L105" s="178" t="e">
        <f t="shared" si="7"/>
        <v>#N/A</v>
      </c>
      <c r="M105" s="178" t="e">
        <f t="shared" si="8"/>
        <v>#N/A</v>
      </c>
      <c r="N105" s="178" t="e">
        <f t="shared" si="9"/>
        <v>#N/A</v>
      </c>
    </row>
    <row r="106" spans="1:14">
      <c r="A106" s="178" t="s">
        <v>2356</v>
      </c>
      <c r="B106" s="178" t="s">
        <v>5613</v>
      </c>
      <c r="C106" s="178" t="s">
        <v>756</v>
      </c>
      <c r="D106" s="178" t="s">
        <v>2356</v>
      </c>
      <c r="E106" s="178" t="e">
        <f t="shared" si="6"/>
        <v>#N/A</v>
      </c>
      <c r="F106" s="178" t="e">
        <f t="shared" si="10"/>
        <v>#N/A</v>
      </c>
      <c r="G106" s="178" t="e">
        <f t="shared" si="11"/>
        <v>#N/A</v>
      </c>
      <c r="H106" s="263" t="s">
        <v>2611</v>
      </c>
      <c r="I106" s="263" t="s">
        <v>5427</v>
      </c>
      <c r="J106" s="178" t="s">
        <v>1027</v>
      </c>
      <c r="K106" s="263" t="s">
        <v>2611</v>
      </c>
      <c r="L106" s="178" t="e">
        <f t="shared" si="7"/>
        <v>#N/A</v>
      </c>
      <c r="M106" s="178" t="e">
        <f t="shared" si="8"/>
        <v>#N/A</v>
      </c>
      <c r="N106" s="178" t="e">
        <f t="shared" si="9"/>
        <v>#N/A</v>
      </c>
    </row>
    <row r="107" spans="1:14">
      <c r="A107" s="178" t="s">
        <v>2357</v>
      </c>
      <c r="B107" s="178" t="s">
        <v>5613</v>
      </c>
      <c r="C107" s="178" t="s">
        <v>800</v>
      </c>
      <c r="D107" s="178" t="s">
        <v>2357</v>
      </c>
      <c r="E107" s="178" t="e">
        <f t="shared" si="6"/>
        <v>#N/A</v>
      </c>
      <c r="F107" s="178" t="e">
        <f t="shared" si="10"/>
        <v>#N/A</v>
      </c>
      <c r="G107" s="178" t="e">
        <f t="shared" si="11"/>
        <v>#N/A</v>
      </c>
      <c r="H107" s="263" t="s">
        <v>2612</v>
      </c>
      <c r="I107" s="263" t="s">
        <v>5427</v>
      </c>
      <c r="J107" s="178" t="s">
        <v>2742</v>
      </c>
      <c r="K107" s="263" t="s">
        <v>2612</v>
      </c>
      <c r="L107" s="178" t="e">
        <f t="shared" si="7"/>
        <v>#N/A</v>
      </c>
      <c r="M107" s="178" t="e">
        <f t="shared" si="8"/>
        <v>#N/A</v>
      </c>
      <c r="N107" s="178" t="e">
        <f t="shared" si="9"/>
        <v>#N/A</v>
      </c>
    </row>
    <row r="108" spans="1:14" hidden="1">
      <c r="A108" s="178" t="s">
        <v>2358</v>
      </c>
      <c r="B108" s="178" t="s">
        <v>5613</v>
      </c>
      <c r="C108" s="178" t="s">
        <v>769</v>
      </c>
      <c r="D108" s="178" t="s">
        <v>2358</v>
      </c>
      <c r="E108" s="178" t="e">
        <f t="shared" si="6"/>
        <v>#N/A</v>
      </c>
      <c r="F108" s="178" t="e">
        <f t="shared" si="10"/>
        <v>#N/A</v>
      </c>
      <c r="G108" s="178" t="e">
        <f t="shared" si="11"/>
        <v>#N/A</v>
      </c>
      <c r="H108" s="263" t="s">
        <v>2613</v>
      </c>
      <c r="I108" s="445" t="s">
        <v>5427</v>
      </c>
      <c r="J108" s="447" t="s">
        <v>92</v>
      </c>
      <c r="K108" s="263" t="s">
        <v>2613</v>
      </c>
      <c r="L108" s="178" t="str">
        <f t="shared" si="7"/>
        <v>A3051</v>
      </c>
      <c r="M108" s="178" t="str">
        <f t="shared" si="8"/>
        <v>GEA_NICE신용평점정보조회Dto</v>
      </c>
      <c r="N108" s="178">
        <f t="shared" si="9"/>
        <v>0</v>
      </c>
    </row>
    <row r="109" spans="1:14" hidden="1">
      <c r="A109" s="178" t="s">
        <v>2359</v>
      </c>
      <c r="B109" s="178" t="s">
        <v>5613</v>
      </c>
      <c r="C109" s="178" t="s">
        <v>763</v>
      </c>
      <c r="D109" s="178" t="s">
        <v>2359</v>
      </c>
      <c r="E109" s="178" t="e">
        <f t="shared" si="6"/>
        <v>#N/A</v>
      </c>
      <c r="F109" s="178" t="e">
        <f t="shared" si="10"/>
        <v>#N/A</v>
      </c>
      <c r="G109" s="178" t="e">
        <f t="shared" si="11"/>
        <v>#N/A</v>
      </c>
      <c r="H109" s="264"/>
      <c r="I109" s="264"/>
      <c r="J109" s="264"/>
      <c r="K109" s="264" t="s">
        <v>2614</v>
      </c>
      <c r="L109" s="178" t="e">
        <f t="shared" si="7"/>
        <v>#N/A</v>
      </c>
      <c r="M109" s="178" t="e">
        <f t="shared" si="8"/>
        <v>#N/A</v>
      </c>
      <c r="N109" s="178" t="e">
        <f t="shared" si="9"/>
        <v>#N/A</v>
      </c>
    </row>
    <row r="110" spans="1:14" hidden="1">
      <c r="A110" s="178" t="s">
        <v>2360</v>
      </c>
      <c r="B110" s="178" t="s">
        <v>5613</v>
      </c>
      <c r="C110" s="178" t="s">
        <v>772</v>
      </c>
      <c r="D110" s="178" t="s">
        <v>2360</v>
      </c>
      <c r="E110" s="178" t="e">
        <f t="shared" si="6"/>
        <v>#N/A</v>
      </c>
      <c r="F110" s="178" t="e">
        <f t="shared" si="10"/>
        <v>#N/A</v>
      </c>
      <c r="G110" s="178" t="e">
        <f t="shared" si="11"/>
        <v>#N/A</v>
      </c>
      <c r="H110" s="264"/>
      <c r="I110" s="264"/>
      <c r="J110" s="264"/>
      <c r="K110" s="264" t="s">
        <v>2615</v>
      </c>
      <c r="L110" s="178" t="e">
        <f t="shared" si="7"/>
        <v>#N/A</v>
      </c>
      <c r="M110" s="178" t="e">
        <f t="shared" si="8"/>
        <v>#N/A</v>
      </c>
      <c r="N110" s="178" t="e">
        <f t="shared" si="9"/>
        <v>#N/A</v>
      </c>
    </row>
    <row r="111" spans="1:14">
      <c r="A111" s="178" t="s">
        <v>2361</v>
      </c>
      <c r="B111" s="178" t="s">
        <v>5613</v>
      </c>
      <c r="C111" s="178" t="s">
        <v>788</v>
      </c>
      <c r="D111" s="178" t="s">
        <v>2361</v>
      </c>
      <c r="E111" s="178" t="e">
        <f t="shared" si="6"/>
        <v>#N/A</v>
      </c>
      <c r="F111" s="178" t="e">
        <f t="shared" si="10"/>
        <v>#N/A</v>
      </c>
      <c r="G111" s="178" t="e">
        <f t="shared" si="11"/>
        <v>#N/A</v>
      </c>
      <c r="H111" s="263" t="s">
        <v>2616</v>
      </c>
      <c r="I111" s="263" t="s">
        <v>5427</v>
      </c>
      <c r="J111" s="178" t="s">
        <v>3580</v>
      </c>
      <c r="K111" s="263" t="s">
        <v>2616</v>
      </c>
      <c r="L111" s="178" t="e">
        <f t="shared" si="7"/>
        <v>#N/A</v>
      </c>
      <c r="M111" s="178" t="e">
        <f t="shared" si="8"/>
        <v>#N/A</v>
      </c>
      <c r="N111" s="178" t="e">
        <f t="shared" si="9"/>
        <v>#N/A</v>
      </c>
    </row>
    <row r="112" spans="1:14">
      <c r="A112" s="178" t="s">
        <v>2362</v>
      </c>
      <c r="B112" s="178" t="s">
        <v>5613</v>
      </c>
      <c r="C112" s="178" t="s">
        <v>791</v>
      </c>
      <c r="D112" s="178" t="s">
        <v>2362</v>
      </c>
      <c r="E112" s="178" t="e">
        <f t="shared" si="6"/>
        <v>#N/A</v>
      </c>
      <c r="F112" s="178" t="e">
        <f t="shared" si="10"/>
        <v>#N/A</v>
      </c>
      <c r="G112" s="178" t="e">
        <f t="shared" si="11"/>
        <v>#N/A</v>
      </c>
      <c r="H112" s="263" t="s">
        <v>2617</v>
      </c>
      <c r="I112" s="263" t="s">
        <v>5427</v>
      </c>
      <c r="J112" s="178" t="s">
        <v>5859</v>
      </c>
      <c r="K112" s="263" t="s">
        <v>2617</v>
      </c>
      <c r="L112" s="178" t="e">
        <f t="shared" si="7"/>
        <v>#N/A</v>
      </c>
      <c r="M112" s="178" t="e">
        <f t="shared" si="8"/>
        <v>#N/A</v>
      </c>
      <c r="N112" s="178" t="e">
        <f t="shared" si="9"/>
        <v>#N/A</v>
      </c>
    </row>
    <row r="113" spans="1:14">
      <c r="A113" s="178" t="s">
        <v>2363</v>
      </c>
      <c r="B113" s="178" t="s">
        <v>5613</v>
      </c>
      <c r="C113" s="178" t="s">
        <v>797</v>
      </c>
      <c r="D113" s="178" t="s">
        <v>2363</v>
      </c>
      <c r="E113" s="178" t="e">
        <f t="shared" si="6"/>
        <v>#N/A</v>
      </c>
      <c r="F113" s="178" t="e">
        <f t="shared" si="10"/>
        <v>#N/A</v>
      </c>
      <c r="G113" s="178" t="e">
        <f t="shared" si="11"/>
        <v>#N/A</v>
      </c>
      <c r="H113" s="263" t="s">
        <v>2618</v>
      </c>
      <c r="I113" s="263" t="s">
        <v>5427</v>
      </c>
      <c r="J113" s="178" t="s">
        <v>5860</v>
      </c>
      <c r="K113" s="263" t="s">
        <v>2618</v>
      </c>
      <c r="L113" s="178" t="e">
        <f t="shared" si="7"/>
        <v>#N/A</v>
      </c>
      <c r="M113" s="178" t="e">
        <f t="shared" si="8"/>
        <v>#N/A</v>
      </c>
      <c r="N113" s="178" t="e">
        <f t="shared" si="9"/>
        <v>#N/A</v>
      </c>
    </row>
    <row r="114" spans="1:14" hidden="1">
      <c r="A114" s="178" t="s">
        <v>2364</v>
      </c>
      <c r="B114" s="178" t="s">
        <v>5613</v>
      </c>
      <c r="C114" s="178" t="s">
        <v>794</v>
      </c>
      <c r="D114" s="178" t="s">
        <v>2364</v>
      </c>
      <c r="E114" s="178" t="e">
        <f t="shared" si="6"/>
        <v>#N/A</v>
      </c>
      <c r="F114" s="178" t="e">
        <f t="shared" si="10"/>
        <v>#N/A</v>
      </c>
      <c r="G114" s="178" t="e">
        <f t="shared" si="11"/>
        <v>#N/A</v>
      </c>
      <c r="H114" s="264"/>
      <c r="I114" s="264"/>
      <c r="J114" s="181"/>
      <c r="K114" s="264" t="s">
        <v>2619</v>
      </c>
      <c r="L114" s="178" t="e">
        <f t="shared" si="7"/>
        <v>#N/A</v>
      </c>
      <c r="M114" s="178" t="e">
        <f t="shared" si="8"/>
        <v>#N/A</v>
      </c>
      <c r="N114" s="178" t="e">
        <f t="shared" si="9"/>
        <v>#N/A</v>
      </c>
    </row>
    <row r="115" spans="1:14">
      <c r="A115" s="178" t="s">
        <v>2365</v>
      </c>
      <c r="B115" s="178" t="s">
        <v>5613</v>
      </c>
      <c r="C115" s="178" t="s">
        <v>857</v>
      </c>
      <c r="D115" s="178" t="s">
        <v>2365</v>
      </c>
      <c r="E115" s="178" t="str">
        <f t="shared" si="6"/>
        <v>A3033</v>
      </c>
      <c r="F115" s="178" t="str">
        <f t="shared" si="10"/>
        <v>GEA_NICE신용요약정보조회Dto</v>
      </c>
      <c r="G115" s="178">
        <f t="shared" si="11"/>
        <v>1</v>
      </c>
      <c r="H115" s="263" t="s">
        <v>2620</v>
      </c>
      <c r="I115" s="263" t="s">
        <v>5427</v>
      </c>
      <c r="J115" s="178" t="s">
        <v>5861</v>
      </c>
      <c r="K115" s="263" t="s">
        <v>2620</v>
      </c>
      <c r="L115" s="178" t="e">
        <f t="shared" si="7"/>
        <v>#N/A</v>
      </c>
      <c r="M115" s="178" t="e">
        <f t="shared" si="8"/>
        <v>#N/A</v>
      </c>
      <c r="N115" s="178" t="e">
        <f t="shared" si="9"/>
        <v>#N/A</v>
      </c>
    </row>
    <row r="116" spans="1:14">
      <c r="A116" s="178" t="s">
        <v>2366</v>
      </c>
      <c r="B116" s="178" t="s">
        <v>5613</v>
      </c>
      <c r="C116" s="178" t="s">
        <v>1336</v>
      </c>
      <c r="D116" s="178" t="s">
        <v>2366</v>
      </c>
      <c r="E116" s="178" t="e">
        <f t="shared" si="6"/>
        <v>#N/A</v>
      </c>
      <c r="F116" s="178" t="e">
        <f t="shared" si="10"/>
        <v>#N/A</v>
      </c>
      <c r="G116" s="178" t="e">
        <f t="shared" si="11"/>
        <v>#N/A</v>
      </c>
      <c r="H116" s="263" t="s">
        <v>2621</v>
      </c>
      <c r="I116" s="263" t="s">
        <v>5427</v>
      </c>
      <c r="J116" s="178" t="s">
        <v>2748</v>
      </c>
      <c r="K116" s="263" t="s">
        <v>2621</v>
      </c>
      <c r="L116" s="178" t="e">
        <f t="shared" si="7"/>
        <v>#N/A</v>
      </c>
      <c r="M116" s="178" t="e">
        <f t="shared" si="8"/>
        <v>#N/A</v>
      </c>
      <c r="N116" s="178" t="e">
        <f t="shared" si="9"/>
        <v>#N/A</v>
      </c>
    </row>
    <row r="117" spans="1:14" hidden="1">
      <c r="A117" s="178" t="s">
        <v>2367</v>
      </c>
      <c r="B117" s="178" t="s">
        <v>5613</v>
      </c>
      <c r="C117" s="178" t="s">
        <v>873</v>
      </c>
      <c r="D117" s="178" t="s">
        <v>2367</v>
      </c>
      <c r="E117" s="178" t="str">
        <f t="shared" si="6"/>
        <v>A3039</v>
      </c>
      <c r="F117" s="178" t="str">
        <f t="shared" si="10"/>
        <v>GEA_NICE신용요약정보조회Dto</v>
      </c>
      <c r="G117" s="178">
        <f t="shared" si="11"/>
        <v>1</v>
      </c>
      <c r="H117" s="264"/>
      <c r="I117" s="264"/>
      <c r="J117" s="181"/>
      <c r="K117" s="264" t="s">
        <v>2622</v>
      </c>
      <c r="L117" s="178" t="e">
        <f t="shared" si="7"/>
        <v>#N/A</v>
      </c>
      <c r="M117" s="178" t="e">
        <f t="shared" si="8"/>
        <v>#N/A</v>
      </c>
      <c r="N117" s="178" t="e">
        <f t="shared" si="9"/>
        <v>#N/A</v>
      </c>
    </row>
    <row r="118" spans="1:14" hidden="1">
      <c r="A118" s="178" t="s">
        <v>2368</v>
      </c>
      <c r="B118" s="178" t="s">
        <v>5613</v>
      </c>
      <c r="C118" s="178" t="s">
        <v>3004</v>
      </c>
      <c r="D118" s="178" t="s">
        <v>2368</v>
      </c>
      <c r="E118" s="178" t="e">
        <f t="shared" si="6"/>
        <v>#N/A</v>
      </c>
      <c r="F118" s="178" t="e">
        <f t="shared" si="10"/>
        <v>#N/A</v>
      </c>
      <c r="G118" s="178" t="e">
        <f t="shared" si="11"/>
        <v>#N/A</v>
      </c>
      <c r="H118" s="264"/>
      <c r="I118" s="264"/>
      <c r="J118" s="181"/>
      <c r="K118" s="264" t="s">
        <v>2623</v>
      </c>
      <c r="L118" s="178" t="e">
        <f t="shared" si="7"/>
        <v>#N/A</v>
      </c>
      <c r="M118" s="178" t="e">
        <f t="shared" si="8"/>
        <v>#N/A</v>
      </c>
      <c r="N118" s="178" t="e">
        <f t="shared" si="9"/>
        <v>#N/A</v>
      </c>
    </row>
    <row r="119" spans="1:14">
      <c r="A119" s="178" t="s">
        <v>2369</v>
      </c>
      <c r="B119" s="178" t="s">
        <v>5613</v>
      </c>
      <c r="C119" s="178" t="s">
        <v>774</v>
      </c>
      <c r="D119" s="178" t="s">
        <v>2369</v>
      </c>
      <c r="E119" s="178" t="e">
        <f t="shared" si="6"/>
        <v>#N/A</v>
      </c>
      <c r="F119" s="178" t="e">
        <f t="shared" si="10"/>
        <v>#N/A</v>
      </c>
      <c r="G119" s="178" t="e">
        <f t="shared" si="11"/>
        <v>#N/A</v>
      </c>
      <c r="H119" s="263" t="s">
        <v>2624</v>
      </c>
      <c r="I119" s="263" t="s">
        <v>5427</v>
      </c>
      <c r="J119" s="178" t="s">
        <v>5862</v>
      </c>
      <c r="K119" s="263" t="s">
        <v>2624</v>
      </c>
      <c r="L119" s="178" t="e">
        <f t="shared" si="7"/>
        <v>#N/A</v>
      </c>
      <c r="M119" s="178" t="e">
        <f t="shared" si="8"/>
        <v>#N/A</v>
      </c>
      <c r="N119" s="178" t="e">
        <f t="shared" si="9"/>
        <v>#N/A</v>
      </c>
    </row>
    <row r="120" spans="1:14">
      <c r="A120" s="178" t="s">
        <v>2370</v>
      </c>
      <c r="B120" s="178" t="s">
        <v>5613</v>
      </c>
      <c r="C120" s="178" t="s">
        <v>3005</v>
      </c>
      <c r="D120" s="178" t="s">
        <v>2370</v>
      </c>
      <c r="E120" s="178" t="e">
        <f t="shared" si="6"/>
        <v>#N/A</v>
      </c>
      <c r="F120" s="178" t="e">
        <f t="shared" si="10"/>
        <v>#N/A</v>
      </c>
      <c r="G120" s="178" t="e">
        <f t="shared" si="11"/>
        <v>#N/A</v>
      </c>
      <c r="H120" s="263" t="s">
        <v>2625</v>
      </c>
      <c r="I120" s="263" t="s">
        <v>5427</v>
      </c>
      <c r="J120" s="178" t="s">
        <v>2855</v>
      </c>
      <c r="K120" s="263" t="s">
        <v>2625</v>
      </c>
      <c r="L120" s="178" t="e">
        <f t="shared" si="7"/>
        <v>#N/A</v>
      </c>
      <c r="M120" s="178" t="e">
        <f t="shared" si="8"/>
        <v>#N/A</v>
      </c>
      <c r="N120" s="178" t="e">
        <f t="shared" si="9"/>
        <v>#N/A</v>
      </c>
    </row>
    <row r="121" spans="1:14">
      <c r="A121" s="178" t="s">
        <v>2371</v>
      </c>
      <c r="B121" s="178" t="s">
        <v>5613</v>
      </c>
      <c r="C121" s="178" t="s">
        <v>3006</v>
      </c>
      <c r="D121" s="178" t="s">
        <v>2371</v>
      </c>
      <c r="E121" s="178" t="e">
        <f t="shared" si="6"/>
        <v>#N/A</v>
      </c>
      <c r="F121" s="178" t="e">
        <f t="shared" si="10"/>
        <v>#N/A</v>
      </c>
      <c r="G121" s="178" t="e">
        <f t="shared" si="11"/>
        <v>#N/A</v>
      </c>
      <c r="H121" s="263" t="s">
        <v>2626</v>
      </c>
      <c r="I121" s="263" t="s">
        <v>5427</v>
      </c>
      <c r="J121" s="178" t="s">
        <v>2856</v>
      </c>
      <c r="K121" s="263" t="s">
        <v>2626</v>
      </c>
      <c r="L121" s="178" t="e">
        <f t="shared" si="7"/>
        <v>#N/A</v>
      </c>
      <c r="M121" s="178" t="e">
        <f t="shared" si="8"/>
        <v>#N/A</v>
      </c>
      <c r="N121" s="178" t="e">
        <f t="shared" si="9"/>
        <v>#N/A</v>
      </c>
    </row>
    <row r="122" spans="1:14">
      <c r="A122" s="181"/>
      <c r="B122" s="181"/>
      <c r="C122" s="181"/>
      <c r="D122" s="181" t="s">
        <v>2372</v>
      </c>
      <c r="E122" s="178" t="e">
        <f t="shared" si="6"/>
        <v>#N/A</v>
      </c>
      <c r="F122" s="178" t="e">
        <f t="shared" si="10"/>
        <v>#N/A</v>
      </c>
      <c r="G122" s="178" t="e">
        <f t="shared" si="11"/>
        <v>#N/A</v>
      </c>
      <c r="H122" s="263" t="s">
        <v>2627</v>
      </c>
      <c r="I122" s="263" t="s">
        <v>5427</v>
      </c>
      <c r="J122" s="178" t="s">
        <v>2857</v>
      </c>
      <c r="K122" s="263" t="s">
        <v>2627</v>
      </c>
      <c r="L122" s="178" t="e">
        <f t="shared" si="7"/>
        <v>#N/A</v>
      </c>
      <c r="M122" s="178" t="e">
        <f t="shared" si="8"/>
        <v>#N/A</v>
      </c>
      <c r="N122" s="178" t="e">
        <f t="shared" si="9"/>
        <v>#N/A</v>
      </c>
    </row>
    <row r="123" spans="1:14">
      <c r="A123" s="181"/>
      <c r="B123" s="181"/>
      <c r="C123" s="181"/>
      <c r="D123" s="181" t="s">
        <v>2373</v>
      </c>
      <c r="E123" s="178" t="e">
        <f t="shared" si="6"/>
        <v>#N/A</v>
      </c>
      <c r="F123" s="178" t="e">
        <f t="shared" si="10"/>
        <v>#N/A</v>
      </c>
      <c r="G123" s="178" t="e">
        <f t="shared" si="11"/>
        <v>#N/A</v>
      </c>
      <c r="H123" s="263" t="s">
        <v>2628</v>
      </c>
      <c r="I123" s="263" t="s">
        <v>5427</v>
      </c>
      <c r="J123" s="178" t="s">
        <v>2858</v>
      </c>
      <c r="K123" s="263" t="s">
        <v>2628</v>
      </c>
      <c r="L123" s="178" t="e">
        <f t="shared" si="7"/>
        <v>#N/A</v>
      </c>
      <c r="M123" s="178" t="e">
        <f t="shared" si="8"/>
        <v>#N/A</v>
      </c>
      <c r="N123" s="178" t="e">
        <f t="shared" si="9"/>
        <v>#N/A</v>
      </c>
    </row>
    <row r="124" spans="1:14" hidden="1">
      <c r="A124" s="178" t="s">
        <v>2374</v>
      </c>
      <c r="B124" s="178" t="s">
        <v>5613</v>
      </c>
      <c r="C124" s="178" t="s">
        <v>3008</v>
      </c>
      <c r="D124" s="178" t="s">
        <v>2374</v>
      </c>
      <c r="E124" s="178" t="e">
        <f t="shared" si="6"/>
        <v>#N/A</v>
      </c>
      <c r="F124" s="178" t="e">
        <f t="shared" si="10"/>
        <v>#N/A</v>
      </c>
      <c r="G124" s="178" t="e">
        <f t="shared" si="11"/>
        <v>#N/A</v>
      </c>
      <c r="H124" s="263" t="s">
        <v>2629</v>
      </c>
      <c r="I124" s="263" t="s">
        <v>5427</v>
      </c>
      <c r="J124" s="178" t="s">
        <v>5432</v>
      </c>
      <c r="K124" s="263" t="s">
        <v>2629</v>
      </c>
      <c r="L124" s="178" t="str">
        <f t="shared" si="7"/>
        <v>A2072</v>
      </c>
      <c r="M124" s="178" t="str">
        <f t="shared" si="8"/>
        <v>r체크회원사전대상자내역기간조회E</v>
      </c>
      <c r="N124" s="178">
        <f t="shared" si="9"/>
        <v>1</v>
      </c>
    </row>
    <row r="125" spans="1:14" hidden="1">
      <c r="A125" s="178" t="s">
        <v>2375</v>
      </c>
      <c r="B125" s="178" t="s">
        <v>5613</v>
      </c>
      <c r="C125" s="178" t="s">
        <v>3009</v>
      </c>
      <c r="D125" s="178" t="s">
        <v>2375</v>
      </c>
      <c r="E125" s="178" t="e">
        <f t="shared" si="6"/>
        <v>#N/A</v>
      </c>
      <c r="F125" s="178" t="e">
        <f t="shared" si="10"/>
        <v>#N/A</v>
      </c>
      <c r="G125" s="178" t="e">
        <f t="shared" si="11"/>
        <v>#N/A</v>
      </c>
      <c r="H125" s="264"/>
      <c r="I125" s="264"/>
      <c r="J125" s="181"/>
      <c r="K125" s="264" t="s">
        <v>2630</v>
      </c>
      <c r="L125" s="178" t="e">
        <f t="shared" si="7"/>
        <v>#N/A</v>
      </c>
      <c r="M125" s="178" t="e">
        <f t="shared" si="8"/>
        <v>#N/A</v>
      </c>
      <c r="N125" s="178" t="e">
        <f t="shared" si="9"/>
        <v>#N/A</v>
      </c>
    </row>
    <row r="126" spans="1:14">
      <c r="A126" s="178" t="s">
        <v>2376</v>
      </c>
      <c r="B126" s="178" t="s">
        <v>5613</v>
      </c>
      <c r="C126" s="178" t="s">
        <v>761</v>
      </c>
      <c r="D126" s="178" t="s">
        <v>2376</v>
      </c>
      <c r="E126" s="178" t="e">
        <f t="shared" si="6"/>
        <v>#N/A</v>
      </c>
      <c r="F126" s="178" t="e">
        <f t="shared" si="10"/>
        <v>#N/A</v>
      </c>
      <c r="G126" s="178" t="e">
        <f t="shared" si="11"/>
        <v>#N/A</v>
      </c>
      <c r="H126" s="263" t="s">
        <v>2631</v>
      </c>
      <c r="I126" s="263" t="s">
        <v>5427</v>
      </c>
      <c r="J126" s="178" t="s">
        <v>2753</v>
      </c>
      <c r="K126" s="263" t="s">
        <v>2631</v>
      </c>
      <c r="L126" s="178" t="e">
        <f t="shared" si="7"/>
        <v>#N/A</v>
      </c>
      <c r="M126" s="178" t="e">
        <f t="shared" si="8"/>
        <v>#N/A</v>
      </c>
      <c r="N126" s="178" t="e">
        <f t="shared" si="9"/>
        <v>#N/A</v>
      </c>
    </row>
    <row r="127" spans="1:14" hidden="1">
      <c r="A127" s="178" t="s">
        <v>2377</v>
      </c>
      <c r="B127" s="178" t="s">
        <v>5613</v>
      </c>
      <c r="C127" s="178" t="s">
        <v>3010</v>
      </c>
      <c r="D127" s="178" t="s">
        <v>2377</v>
      </c>
      <c r="E127" s="178" t="e">
        <f t="shared" si="6"/>
        <v>#N/A</v>
      </c>
      <c r="F127" s="178" t="e">
        <f t="shared" si="10"/>
        <v>#N/A</v>
      </c>
      <c r="G127" s="178" t="e">
        <f t="shared" si="11"/>
        <v>#N/A</v>
      </c>
      <c r="H127" s="264"/>
      <c r="I127" s="264"/>
      <c r="J127" s="181"/>
      <c r="K127" s="264" t="s">
        <v>2632</v>
      </c>
      <c r="L127" s="178" t="e">
        <f t="shared" si="7"/>
        <v>#N/A</v>
      </c>
      <c r="M127" s="178" t="e">
        <f t="shared" si="8"/>
        <v>#N/A</v>
      </c>
      <c r="N127" s="178" t="e">
        <f t="shared" si="9"/>
        <v>#N/A</v>
      </c>
    </row>
    <row r="128" spans="1:14" hidden="1">
      <c r="A128" s="178" t="s">
        <v>2378</v>
      </c>
      <c r="B128" s="178" t="s">
        <v>5613</v>
      </c>
      <c r="C128" s="178" t="s">
        <v>3011</v>
      </c>
      <c r="D128" s="178" t="s">
        <v>2378</v>
      </c>
      <c r="E128" s="178" t="e">
        <f t="shared" si="6"/>
        <v>#N/A</v>
      </c>
      <c r="F128" s="178" t="e">
        <f t="shared" si="10"/>
        <v>#N/A</v>
      </c>
      <c r="G128" s="178" t="e">
        <f t="shared" si="11"/>
        <v>#N/A</v>
      </c>
      <c r="H128" s="264"/>
      <c r="I128" s="264"/>
      <c r="J128" s="181"/>
      <c r="K128" s="264" t="s">
        <v>2633</v>
      </c>
      <c r="L128" s="178" t="e">
        <f t="shared" si="7"/>
        <v>#N/A</v>
      </c>
      <c r="M128" s="178" t="e">
        <f t="shared" si="8"/>
        <v>#N/A</v>
      </c>
      <c r="N128" s="178" t="e">
        <f t="shared" si="9"/>
        <v>#N/A</v>
      </c>
    </row>
    <row r="129" spans="1:14">
      <c r="A129" s="178" t="s">
        <v>2379</v>
      </c>
      <c r="B129" s="178" t="s">
        <v>5613</v>
      </c>
      <c r="C129" s="178" t="s">
        <v>865</v>
      </c>
      <c r="D129" s="178" t="s">
        <v>2379</v>
      </c>
      <c r="E129" s="178" t="e">
        <f t="shared" si="6"/>
        <v>#N/A</v>
      </c>
      <c r="F129" s="178" t="e">
        <f t="shared" si="10"/>
        <v>#N/A</v>
      </c>
      <c r="G129" s="178" t="e">
        <f t="shared" si="11"/>
        <v>#N/A</v>
      </c>
      <c r="H129" s="263" t="s">
        <v>2634</v>
      </c>
      <c r="I129" s="263" t="s">
        <v>5427</v>
      </c>
      <c r="J129" s="178" t="s">
        <v>7</v>
      </c>
      <c r="K129" s="263" t="s">
        <v>2634</v>
      </c>
      <c r="L129" s="178" t="e">
        <f t="shared" si="7"/>
        <v>#N/A</v>
      </c>
      <c r="M129" s="178" t="e">
        <f t="shared" si="8"/>
        <v>#N/A</v>
      </c>
      <c r="N129" s="178" t="e">
        <f t="shared" si="9"/>
        <v>#N/A</v>
      </c>
    </row>
    <row r="130" spans="1:14" hidden="1">
      <c r="A130" s="178" t="s">
        <v>2380</v>
      </c>
      <c r="B130" s="178" t="s">
        <v>5613</v>
      </c>
      <c r="C130" s="178" t="s">
        <v>895</v>
      </c>
      <c r="D130" s="178" t="s">
        <v>2380</v>
      </c>
      <c r="E130" s="178" t="e">
        <f t="shared" si="6"/>
        <v>#N/A</v>
      </c>
      <c r="F130" s="178" t="e">
        <f t="shared" si="10"/>
        <v>#N/A</v>
      </c>
      <c r="G130" s="178" t="e">
        <f t="shared" si="11"/>
        <v>#N/A</v>
      </c>
      <c r="H130" s="264"/>
      <c r="I130" s="264"/>
      <c r="J130" s="181"/>
      <c r="K130" s="264" t="s">
        <v>2635</v>
      </c>
      <c r="L130" s="178" t="e">
        <f t="shared" si="7"/>
        <v>#N/A</v>
      </c>
      <c r="M130" s="178" t="e">
        <f t="shared" si="8"/>
        <v>#N/A</v>
      </c>
      <c r="N130" s="178" t="e">
        <f t="shared" si="9"/>
        <v>#N/A</v>
      </c>
    </row>
    <row r="131" spans="1:14">
      <c r="A131" s="178" t="s">
        <v>2381</v>
      </c>
      <c r="B131" s="178" t="s">
        <v>5673</v>
      </c>
      <c r="C131" s="178" t="s">
        <v>92</v>
      </c>
      <c r="D131" s="178" t="s">
        <v>2381</v>
      </c>
      <c r="E131" s="447" t="str">
        <f t="shared" si="6"/>
        <v>A2049</v>
      </c>
      <c r="F131" s="447" t="str">
        <f t="shared" si="10"/>
        <v>r체크회원사전대상자내역기간조회E</v>
      </c>
      <c r="G131" s="178">
        <f t="shared" si="11"/>
        <v>0</v>
      </c>
      <c r="H131" s="263" t="s">
        <v>2636</v>
      </c>
      <c r="I131" s="263" t="s">
        <v>5427</v>
      </c>
      <c r="J131" s="178" t="s">
        <v>2861</v>
      </c>
      <c r="K131" s="263" t="s">
        <v>2636</v>
      </c>
      <c r="L131" s="178" t="e">
        <f t="shared" si="7"/>
        <v>#N/A</v>
      </c>
      <c r="M131" s="178" t="e">
        <f t="shared" si="8"/>
        <v>#N/A</v>
      </c>
      <c r="N131" s="178" t="e">
        <f t="shared" si="9"/>
        <v>#N/A</v>
      </c>
    </row>
    <row r="132" spans="1:14">
      <c r="A132" s="178" t="s">
        <v>2382</v>
      </c>
      <c r="B132" s="178" t="s">
        <v>5673</v>
      </c>
      <c r="C132" s="178" t="s">
        <v>3013</v>
      </c>
      <c r="D132" s="178" t="s">
        <v>2382</v>
      </c>
      <c r="E132" s="178" t="e">
        <f t="shared" ref="E132:E195" si="12">VLOOKUP(C132,$J$5:$K$601,2,FALSE)</f>
        <v>#N/A</v>
      </c>
      <c r="F132" s="178" t="e">
        <f t="shared" si="10"/>
        <v>#N/A</v>
      </c>
      <c r="G132" s="178" t="e">
        <f t="shared" si="11"/>
        <v>#N/A</v>
      </c>
      <c r="H132" s="263" t="s">
        <v>2637</v>
      </c>
      <c r="I132" s="263" t="s">
        <v>5427</v>
      </c>
      <c r="J132" s="178" t="s">
        <v>2862</v>
      </c>
      <c r="K132" s="263" t="s">
        <v>2637</v>
      </c>
      <c r="L132" s="178" t="e">
        <f t="shared" ref="L132:L195" si="13">VLOOKUP(TRIM(J132),$C$3:$D$463,2,FALSE)</f>
        <v>#N/A</v>
      </c>
      <c r="M132" s="178" t="e">
        <f t="shared" ref="M132:M195" si="14">VLOOKUP(L132,$A$3:$B$463,2,FALSE)</f>
        <v>#N/A</v>
      </c>
      <c r="N132" s="178" t="e">
        <f t="shared" ref="N132:N195" si="15">IF(M132=I132,1,0)</f>
        <v>#N/A</v>
      </c>
    </row>
    <row r="133" spans="1:14" hidden="1">
      <c r="A133" s="178" t="s">
        <v>2383</v>
      </c>
      <c r="B133" s="178" t="s">
        <v>5673</v>
      </c>
      <c r="C133" s="178" t="s">
        <v>5900</v>
      </c>
      <c r="D133" s="178" t="s">
        <v>2383</v>
      </c>
      <c r="E133" s="178" t="str">
        <f t="shared" si="12"/>
        <v>A3055</v>
      </c>
      <c r="F133" s="178" t="str">
        <f t="shared" si="10"/>
        <v>GEA_NICE신용평점정보조회Dto</v>
      </c>
      <c r="G133" s="178">
        <f t="shared" si="11"/>
        <v>1</v>
      </c>
      <c r="H133" s="264"/>
      <c r="I133" s="264"/>
      <c r="J133" s="181"/>
      <c r="K133" s="264" t="s">
        <v>2638</v>
      </c>
      <c r="L133" s="178" t="e">
        <f t="shared" si="13"/>
        <v>#N/A</v>
      </c>
      <c r="M133" s="178" t="e">
        <f t="shared" si="14"/>
        <v>#N/A</v>
      </c>
      <c r="N133" s="178" t="e">
        <f t="shared" si="15"/>
        <v>#N/A</v>
      </c>
    </row>
    <row r="134" spans="1:14" hidden="1">
      <c r="A134" s="178" t="s">
        <v>2384</v>
      </c>
      <c r="B134" s="178" t="s">
        <v>5673</v>
      </c>
      <c r="C134" s="178" t="s">
        <v>2736</v>
      </c>
      <c r="D134" s="178" t="s">
        <v>2384</v>
      </c>
      <c r="E134" s="178" t="str">
        <f t="shared" si="12"/>
        <v>A3052</v>
      </c>
      <c r="F134" s="178" t="str">
        <f t="shared" si="10"/>
        <v>GEA_NICE신용평점정보조회Dto</v>
      </c>
      <c r="G134" s="178">
        <f t="shared" si="11"/>
        <v>1</v>
      </c>
      <c r="H134" s="264"/>
      <c r="I134" s="264"/>
      <c r="J134" s="181"/>
      <c r="K134" s="264" t="s">
        <v>2639</v>
      </c>
      <c r="L134" s="178" t="e">
        <f t="shared" si="13"/>
        <v>#N/A</v>
      </c>
      <c r="M134" s="178" t="e">
        <f t="shared" si="14"/>
        <v>#N/A</v>
      </c>
      <c r="N134" s="178" t="e">
        <f t="shared" si="15"/>
        <v>#N/A</v>
      </c>
    </row>
    <row r="135" spans="1:14">
      <c r="A135" s="178" t="s">
        <v>2385</v>
      </c>
      <c r="B135" s="178" t="s">
        <v>5673</v>
      </c>
      <c r="C135" s="178" t="s">
        <v>3015</v>
      </c>
      <c r="D135" s="178" t="s">
        <v>2385</v>
      </c>
      <c r="E135" s="178" t="str">
        <f t="shared" si="12"/>
        <v>A3053</v>
      </c>
      <c r="F135" s="178" t="str">
        <f t="shared" ref="F135:F198" si="16">VLOOKUP(E135,$H$5:$I$601,2,FALSE)</f>
        <v>GEA_NICE신용평점정보조회Dto</v>
      </c>
      <c r="G135" s="178">
        <f t="shared" ref="G135:G198" si="17">IF(B135=F135,1,0)</f>
        <v>1</v>
      </c>
      <c r="H135" s="263" t="s">
        <v>2640</v>
      </c>
      <c r="I135" s="263" t="s">
        <v>5427</v>
      </c>
      <c r="J135" s="178" t="s">
        <v>2864</v>
      </c>
      <c r="K135" s="263" t="s">
        <v>2640</v>
      </c>
      <c r="L135" s="178" t="e">
        <f t="shared" si="13"/>
        <v>#N/A</v>
      </c>
      <c r="M135" s="178" t="e">
        <f t="shared" si="14"/>
        <v>#N/A</v>
      </c>
      <c r="N135" s="178" t="e">
        <f t="shared" si="15"/>
        <v>#N/A</v>
      </c>
    </row>
    <row r="136" spans="1:14" ht="22.5">
      <c r="A136" s="178" t="s">
        <v>2386</v>
      </c>
      <c r="B136" s="179" t="s">
        <v>3027</v>
      </c>
      <c r="C136" s="178" t="s">
        <v>3016</v>
      </c>
      <c r="D136" s="178" t="s">
        <v>2386</v>
      </c>
      <c r="E136" s="178" t="e">
        <f t="shared" si="12"/>
        <v>#N/A</v>
      </c>
      <c r="F136" s="178" t="e">
        <f t="shared" si="16"/>
        <v>#N/A</v>
      </c>
      <c r="G136" s="178" t="e">
        <f t="shared" si="17"/>
        <v>#N/A</v>
      </c>
      <c r="H136" s="263" t="s">
        <v>2641</v>
      </c>
      <c r="I136" s="263" t="s">
        <v>5427</v>
      </c>
      <c r="J136" s="178" t="s">
        <v>5863</v>
      </c>
      <c r="K136" s="263" t="s">
        <v>2641</v>
      </c>
      <c r="L136" s="178" t="e">
        <f t="shared" si="13"/>
        <v>#N/A</v>
      </c>
      <c r="M136" s="178" t="e">
        <f t="shared" si="14"/>
        <v>#N/A</v>
      </c>
      <c r="N136" s="178" t="e">
        <f t="shared" si="15"/>
        <v>#N/A</v>
      </c>
    </row>
    <row r="137" spans="1:14">
      <c r="A137" s="178" t="s">
        <v>2387</v>
      </c>
      <c r="B137" s="178" t="s">
        <v>5613</v>
      </c>
      <c r="C137" s="178" t="s">
        <v>191</v>
      </c>
      <c r="D137" s="178" t="s">
        <v>2387</v>
      </c>
      <c r="E137" s="178" t="str">
        <f t="shared" si="12"/>
        <v>A3034</v>
      </c>
      <c r="F137" s="178" t="str">
        <f t="shared" si="16"/>
        <v>GEA_NICE신용요약정보조회Dto</v>
      </c>
      <c r="G137" s="178">
        <f t="shared" si="17"/>
        <v>1</v>
      </c>
      <c r="H137" s="263" t="s">
        <v>2642</v>
      </c>
      <c r="I137" s="263" t="s">
        <v>5427</v>
      </c>
      <c r="J137" s="178" t="s">
        <v>5864</v>
      </c>
      <c r="K137" s="263" t="s">
        <v>2642</v>
      </c>
      <c r="L137" s="178" t="e">
        <f t="shared" si="13"/>
        <v>#N/A</v>
      </c>
      <c r="M137" s="178" t="e">
        <f t="shared" si="14"/>
        <v>#N/A</v>
      </c>
      <c r="N137" s="178" t="e">
        <f t="shared" si="15"/>
        <v>#N/A</v>
      </c>
    </row>
    <row r="138" spans="1:14">
      <c r="A138" s="181"/>
      <c r="B138" s="181"/>
      <c r="C138" s="181"/>
      <c r="D138" s="181" t="s">
        <v>2388</v>
      </c>
      <c r="E138" s="178" t="e">
        <f t="shared" si="12"/>
        <v>#N/A</v>
      </c>
      <c r="F138" s="178" t="e">
        <f t="shared" si="16"/>
        <v>#N/A</v>
      </c>
      <c r="G138" s="178" t="e">
        <f t="shared" si="17"/>
        <v>#N/A</v>
      </c>
      <c r="H138" s="263" t="s">
        <v>2643</v>
      </c>
      <c r="I138" s="263" t="s">
        <v>5427</v>
      </c>
      <c r="J138" s="178" t="s">
        <v>2865</v>
      </c>
      <c r="K138" s="263" t="s">
        <v>2643</v>
      </c>
      <c r="L138" s="178" t="e">
        <f t="shared" si="13"/>
        <v>#N/A</v>
      </c>
      <c r="M138" s="178" t="e">
        <f t="shared" si="14"/>
        <v>#N/A</v>
      </c>
      <c r="N138" s="178" t="e">
        <f t="shared" si="15"/>
        <v>#N/A</v>
      </c>
    </row>
    <row r="139" spans="1:14">
      <c r="A139" s="181"/>
      <c r="B139" s="181"/>
      <c r="C139" s="181"/>
      <c r="D139" s="181" t="s">
        <v>2389</v>
      </c>
      <c r="E139" s="178" t="e">
        <f t="shared" si="12"/>
        <v>#N/A</v>
      </c>
      <c r="F139" s="178" t="e">
        <f t="shared" si="16"/>
        <v>#N/A</v>
      </c>
      <c r="G139" s="178" t="e">
        <f t="shared" si="17"/>
        <v>#N/A</v>
      </c>
      <c r="H139" s="263" t="s">
        <v>2644</v>
      </c>
      <c r="I139" s="263" t="s">
        <v>5427</v>
      </c>
      <c r="J139" s="178" t="s">
        <v>2866</v>
      </c>
      <c r="K139" s="263" t="s">
        <v>2644</v>
      </c>
      <c r="L139" s="178" t="e">
        <f t="shared" si="13"/>
        <v>#N/A</v>
      </c>
      <c r="M139" s="178" t="e">
        <f t="shared" si="14"/>
        <v>#N/A</v>
      </c>
      <c r="N139" s="178" t="e">
        <f t="shared" si="15"/>
        <v>#N/A</v>
      </c>
    </row>
    <row r="140" spans="1:14">
      <c r="A140" s="181"/>
      <c r="B140" s="181"/>
      <c r="C140" s="181"/>
      <c r="D140" s="181" t="s">
        <v>2390</v>
      </c>
      <c r="E140" s="178" t="e">
        <f t="shared" si="12"/>
        <v>#N/A</v>
      </c>
      <c r="F140" s="178" t="e">
        <f t="shared" si="16"/>
        <v>#N/A</v>
      </c>
      <c r="G140" s="178" t="e">
        <f t="shared" si="17"/>
        <v>#N/A</v>
      </c>
      <c r="H140" s="263" t="s">
        <v>2645</v>
      </c>
      <c r="I140" s="263" t="s">
        <v>5427</v>
      </c>
      <c r="J140" s="178" t="s">
        <v>96</v>
      </c>
      <c r="K140" s="263" t="s">
        <v>2645</v>
      </c>
      <c r="L140" s="178" t="e">
        <f t="shared" si="13"/>
        <v>#N/A</v>
      </c>
      <c r="M140" s="178" t="e">
        <f t="shared" si="14"/>
        <v>#N/A</v>
      </c>
      <c r="N140" s="178" t="e">
        <f t="shared" si="15"/>
        <v>#N/A</v>
      </c>
    </row>
    <row r="141" spans="1:14">
      <c r="A141" s="181"/>
      <c r="B141" s="181"/>
      <c r="C141" s="181"/>
      <c r="D141" s="181" t="s">
        <v>2391</v>
      </c>
      <c r="E141" s="178" t="e">
        <f t="shared" si="12"/>
        <v>#N/A</v>
      </c>
      <c r="F141" s="178" t="e">
        <f t="shared" si="16"/>
        <v>#N/A</v>
      </c>
      <c r="G141" s="178" t="e">
        <f t="shared" si="17"/>
        <v>#N/A</v>
      </c>
      <c r="H141" s="263" t="s">
        <v>2646</v>
      </c>
      <c r="I141" s="263" t="s">
        <v>5427</v>
      </c>
      <c r="J141" s="178" t="s">
        <v>97</v>
      </c>
      <c r="K141" s="263" t="s">
        <v>2646</v>
      </c>
      <c r="L141" s="178" t="e">
        <f t="shared" si="13"/>
        <v>#N/A</v>
      </c>
      <c r="M141" s="178" t="e">
        <f t="shared" si="14"/>
        <v>#N/A</v>
      </c>
      <c r="N141" s="178" t="e">
        <f t="shared" si="15"/>
        <v>#N/A</v>
      </c>
    </row>
    <row r="142" spans="1:14">
      <c r="A142" s="181"/>
      <c r="B142" s="181"/>
      <c r="C142" s="181"/>
      <c r="D142" s="181" t="s">
        <v>2519</v>
      </c>
      <c r="E142" s="178" t="e">
        <f t="shared" si="12"/>
        <v>#N/A</v>
      </c>
      <c r="F142" s="178" t="e">
        <f t="shared" si="16"/>
        <v>#N/A</v>
      </c>
      <c r="G142" s="178" t="e">
        <f t="shared" si="17"/>
        <v>#N/A</v>
      </c>
      <c r="H142" s="263" t="s">
        <v>2647</v>
      </c>
      <c r="I142" s="263" t="s">
        <v>5427</v>
      </c>
      <c r="J142" s="178" t="s">
        <v>98</v>
      </c>
      <c r="K142" s="263" t="s">
        <v>2647</v>
      </c>
      <c r="L142" s="178" t="e">
        <f t="shared" si="13"/>
        <v>#N/A</v>
      </c>
      <c r="M142" s="178" t="e">
        <f t="shared" si="14"/>
        <v>#N/A</v>
      </c>
      <c r="N142" s="178" t="e">
        <f t="shared" si="15"/>
        <v>#N/A</v>
      </c>
    </row>
    <row r="143" spans="1:14">
      <c r="A143" s="181"/>
      <c r="B143" s="181"/>
      <c r="C143" s="181"/>
      <c r="D143" s="181" t="s">
        <v>2961</v>
      </c>
      <c r="E143" s="178" t="e">
        <f t="shared" si="12"/>
        <v>#N/A</v>
      </c>
      <c r="F143" s="178" t="e">
        <f t="shared" si="16"/>
        <v>#N/A</v>
      </c>
      <c r="G143" s="178" t="e">
        <f t="shared" si="17"/>
        <v>#N/A</v>
      </c>
      <c r="H143" s="263" t="s">
        <v>2648</v>
      </c>
      <c r="I143" s="263" t="s">
        <v>5427</v>
      </c>
      <c r="J143" s="178" t="s">
        <v>2766</v>
      </c>
      <c r="K143" s="263" t="s">
        <v>2648</v>
      </c>
      <c r="L143" s="178" t="e">
        <f t="shared" si="13"/>
        <v>#N/A</v>
      </c>
      <c r="M143" s="178" t="e">
        <f t="shared" si="14"/>
        <v>#N/A</v>
      </c>
      <c r="N143" s="178" t="e">
        <f t="shared" si="15"/>
        <v>#N/A</v>
      </c>
    </row>
    <row r="144" spans="1:14">
      <c r="A144" s="178" t="s">
        <v>2962</v>
      </c>
      <c r="B144" s="178" t="s">
        <v>5673</v>
      </c>
      <c r="C144" s="178" t="s">
        <v>3017</v>
      </c>
      <c r="D144" s="178" t="s">
        <v>2962</v>
      </c>
      <c r="E144" s="178" t="e">
        <f t="shared" si="12"/>
        <v>#N/A</v>
      </c>
      <c r="F144" s="178" t="e">
        <f t="shared" si="16"/>
        <v>#N/A</v>
      </c>
      <c r="G144" s="178" t="e">
        <f t="shared" si="17"/>
        <v>#N/A</v>
      </c>
      <c r="H144" s="263" t="s">
        <v>2649</v>
      </c>
      <c r="I144" s="263" t="s">
        <v>5427</v>
      </c>
      <c r="J144" s="178" t="s">
        <v>2867</v>
      </c>
      <c r="K144" s="263" t="s">
        <v>2649</v>
      </c>
      <c r="L144" s="178" t="e">
        <f t="shared" si="13"/>
        <v>#N/A</v>
      </c>
      <c r="M144" s="178" t="e">
        <f t="shared" si="14"/>
        <v>#N/A</v>
      </c>
      <c r="N144" s="178" t="e">
        <f t="shared" si="15"/>
        <v>#N/A</v>
      </c>
    </row>
    <row r="145" spans="1:14">
      <c r="A145" s="178" t="s">
        <v>3643</v>
      </c>
      <c r="B145" s="178" t="s">
        <v>5669</v>
      </c>
      <c r="C145" s="178" t="s">
        <v>5874</v>
      </c>
      <c r="D145" s="178" t="s">
        <v>3643</v>
      </c>
      <c r="E145" s="178" t="str">
        <f t="shared" si="12"/>
        <v>A3062</v>
      </c>
      <c r="F145" s="178" t="str">
        <f t="shared" si="16"/>
        <v>GEA_NICE동시대출건수조회Dto</v>
      </c>
      <c r="G145" s="178">
        <f t="shared" si="17"/>
        <v>1</v>
      </c>
      <c r="H145" s="263" t="s">
        <v>2650</v>
      </c>
      <c r="I145" s="263" t="s">
        <v>5427</v>
      </c>
      <c r="J145" s="178" t="s">
        <v>2868</v>
      </c>
      <c r="K145" s="263" t="s">
        <v>2650</v>
      </c>
      <c r="L145" s="178" t="e">
        <f t="shared" si="13"/>
        <v>#N/A</v>
      </c>
      <c r="M145" s="178" t="e">
        <f t="shared" si="14"/>
        <v>#N/A</v>
      </c>
      <c r="N145" s="178" t="e">
        <f t="shared" si="15"/>
        <v>#N/A</v>
      </c>
    </row>
    <row r="146" spans="1:14" hidden="1">
      <c r="A146" s="178" t="s">
        <v>3644</v>
      </c>
      <c r="B146" s="178" t="s">
        <v>5613</v>
      </c>
      <c r="C146" s="178" t="s">
        <v>5897</v>
      </c>
      <c r="D146" s="415" t="s">
        <v>3644</v>
      </c>
      <c r="E146" s="415" t="e">
        <f t="shared" ref="E146" si="18">VLOOKUP(C146,$J$5:$K$601,2,FALSE)</f>
        <v>#N/A</v>
      </c>
      <c r="F146" s="415" t="e">
        <f t="shared" ref="F146" si="19">VLOOKUP(E146,$H$5:$I$601,2,FALSE)</f>
        <v>#N/A</v>
      </c>
      <c r="G146" s="178" t="e">
        <f t="shared" si="17"/>
        <v>#N/A</v>
      </c>
      <c r="H146" s="264"/>
      <c r="I146" s="264"/>
      <c r="J146" s="181"/>
      <c r="K146" s="264" t="s">
        <v>2651</v>
      </c>
      <c r="L146" s="178" t="e">
        <f t="shared" si="13"/>
        <v>#N/A</v>
      </c>
      <c r="M146" s="178" t="e">
        <f t="shared" si="14"/>
        <v>#N/A</v>
      </c>
      <c r="N146" s="178" t="e">
        <f t="shared" si="15"/>
        <v>#N/A</v>
      </c>
    </row>
    <row r="147" spans="1:14" hidden="1">
      <c r="A147" s="181"/>
      <c r="B147" s="181"/>
      <c r="C147" s="181"/>
      <c r="D147" s="181" t="s">
        <v>3645</v>
      </c>
      <c r="E147" s="178" t="e">
        <f t="shared" si="12"/>
        <v>#N/A</v>
      </c>
      <c r="F147" s="178" t="e">
        <f t="shared" si="16"/>
        <v>#N/A</v>
      </c>
      <c r="G147" s="178" t="e">
        <f t="shared" si="17"/>
        <v>#N/A</v>
      </c>
      <c r="H147" s="264"/>
      <c r="I147" s="264"/>
      <c r="J147" s="181"/>
      <c r="K147" s="264" t="s">
        <v>2652</v>
      </c>
      <c r="L147" s="178" t="e">
        <f t="shared" si="13"/>
        <v>#N/A</v>
      </c>
      <c r="M147" s="178" t="e">
        <f t="shared" si="14"/>
        <v>#N/A</v>
      </c>
      <c r="N147" s="178" t="e">
        <f t="shared" si="15"/>
        <v>#N/A</v>
      </c>
    </row>
    <row r="148" spans="1:14" hidden="1">
      <c r="A148" s="181"/>
      <c r="B148" s="181"/>
      <c r="C148" s="181"/>
      <c r="D148" s="181" t="s">
        <v>3646</v>
      </c>
      <c r="E148" s="178" t="e">
        <f t="shared" si="12"/>
        <v>#N/A</v>
      </c>
      <c r="F148" s="178" t="e">
        <f t="shared" si="16"/>
        <v>#N/A</v>
      </c>
      <c r="G148" s="178" t="e">
        <f t="shared" si="17"/>
        <v>#N/A</v>
      </c>
      <c r="H148" s="264"/>
      <c r="I148" s="264"/>
      <c r="J148" s="181"/>
      <c r="K148" s="264" t="s">
        <v>2653</v>
      </c>
      <c r="L148" s="178" t="e">
        <f t="shared" si="13"/>
        <v>#N/A</v>
      </c>
      <c r="M148" s="178" t="e">
        <f t="shared" si="14"/>
        <v>#N/A</v>
      </c>
      <c r="N148" s="178" t="e">
        <f t="shared" si="15"/>
        <v>#N/A</v>
      </c>
    </row>
    <row r="149" spans="1:14" hidden="1">
      <c r="A149" s="181"/>
      <c r="B149" s="181"/>
      <c r="C149" s="181"/>
      <c r="D149" s="181" t="s">
        <v>3647</v>
      </c>
      <c r="E149" s="178" t="e">
        <f t="shared" si="12"/>
        <v>#N/A</v>
      </c>
      <c r="F149" s="178" t="e">
        <f t="shared" si="16"/>
        <v>#N/A</v>
      </c>
      <c r="G149" s="178" t="e">
        <f t="shared" si="17"/>
        <v>#N/A</v>
      </c>
      <c r="H149" s="264"/>
      <c r="I149" s="264"/>
      <c r="J149" s="181"/>
      <c r="K149" s="264" t="s">
        <v>2654</v>
      </c>
      <c r="L149" s="178" t="e">
        <f t="shared" si="13"/>
        <v>#N/A</v>
      </c>
      <c r="M149" s="178" t="e">
        <f t="shared" si="14"/>
        <v>#N/A</v>
      </c>
      <c r="N149" s="178" t="e">
        <f t="shared" si="15"/>
        <v>#N/A</v>
      </c>
    </row>
    <row r="150" spans="1:14" hidden="1">
      <c r="A150" s="178" t="s">
        <v>3648</v>
      </c>
      <c r="B150" s="178" t="s">
        <v>5613</v>
      </c>
      <c r="C150" s="178" t="s">
        <v>5671</v>
      </c>
      <c r="D150" s="178" t="s">
        <v>3648</v>
      </c>
      <c r="E150" s="178" t="e">
        <f t="shared" si="12"/>
        <v>#N/A</v>
      </c>
      <c r="F150" s="178" t="e">
        <f t="shared" si="16"/>
        <v>#N/A</v>
      </c>
      <c r="G150" s="178" t="e">
        <f t="shared" si="17"/>
        <v>#N/A</v>
      </c>
      <c r="H150" s="264"/>
      <c r="I150" s="264"/>
      <c r="J150" s="181"/>
      <c r="K150" s="264" t="s">
        <v>2655</v>
      </c>
      <c r="L150" s="178" t="e">
        <f t="shared" si="13"/>
        <v>#N/A</v>
      </c>
      <c r="M150" s="178" t="e">
        <f t="shared" si="14"/>
        <v>#N/A</v>
      </c>
      <c r="N150" s="178" t="e">
        <f t="shared" si="15"/>
        <v>#N/A</v>
      </c>
    </row>
    <row r="151" spans="1:14" hidden="1">
      <c r="A151" s="178" t="s">
        <v>3649</v>
      </c>
      <c r="B151" s="178" t="s">
        <v>5673</v>
      </c>
      <c r="C151" s="178" t="s">
        <v>926</v>
      </c>
      <c r="D151" s="178" t="s">
        <v>3649</v>
      </c>
      <c r="E151" s="178" t="str">
        <f t="shared" si="12"/>
        <v>A3059</v>
      </c>
      <c r="F151" s="178" t="str">
        <f t="shared" si="16"/>
        <v>GEA_NICE신용평점정보조회Dto</v>
      </c>
      <c r="G151" s="178">
        <f t="shared" si="17"/>
        <v>1</v>
      </c>
      <c r="H151" s="264"/>
      <c r="I151" s="264"/>
      <c r="J151" s="181"/>
      <c r="K151" s="264" t="s">
        <v>2656</v>
      </c>
      <c r="L151" s="178" t="e">
        <f t="shared" si="13"/>
        <v>#N/A</v>
      </c>
      <c r="M151" s="178" t="e">
        <f t="shared" si="14"/>
        <v>#N/A</v>
      </c>
      <c r="N151" s="178" t="e">
        <f t="shared" si="15"/>
        <v>#N/A</v>
      </c>
    </row>
    <row r="152" spans="1:14" hidden="1">
      <c r="A152" s="178" t="s">
        <v>3650</v>
      </c>
      <c r="B152" s="178" t="s">
        <v>5673</v>
      </c>
      <c r="C152" s="178" t="s">
        <v>900</v>
      </c>
      <c r="D152" s="178" t="s">
        <v>3650</v>
      </c>
      <c r="E152" s="178" t="str">
        <f t="shared" si="12"/>
        <v>A3050</v>
      </c>
      <c r="F152" s="178" t="str">
        <f t="shared" si="16"/>
        <v>GEA_NICE신용평점정보조회Dto</v>
      </c>
      <c r="G152" s="178">
        <f t="shared" si="17"/>
        <v>1</v>
      </c>
      <c r="H152" s="264"/>
      <c r="I152" s="264"/>
      <c r="J152" s="181"/>
      <c r="K152" s="264" t="s">
        <v>2657</v>
      </c>
      <c r="L152" s="178" t="e">
        <f t="shared" si="13"/>
        <v>#N/A</v>
      </c>
      <c r="M152" s="178" t="e">
        <f t="shared" si="14"/>
        <v>#N/A</v>
      </c>
      <c r="N152" s="178" t="e">
        <f t="shared" si="15"/>
        <v>#N/A</v>
      </c>
    </row>
    <row r="153" spans="1:14" hidden="1">
      <c r="A153" s="178" t="s">
        <v>3651</v>
      </c>
      <c r="B153" s="178" t="s">
        <v>5673</v>
      </c>
      <c r="C153" s="178" t="s">
        <v>5197</v>
      </c>
      <c r="D153" s="178" t="s">
        <v>3651</v>
      </c>
      <c r="E153" s="178" t="str">
        <f t="shared" si="12"/>
        <v>A3074</v>
      </c>
      <c r="F153" s="178" t="str">
        <f t="shared" si="16"/>
        <v>GEA_NICE신용평점정보조회Dto</v>
      </c>
      <c r="G153" s="178">
        <f t="shared" si="17"/>
        <v>1</v>
      </c>
      <c r="H153" s="264"/>
      <c r="I153" s="264"/>
      <c r="J153" s="181"/>
      <c r="K153" s="264" t="s">
        <v>2658</v>
      </c>
      <c r="L153" s="178" t="e">
        <f t="shared" si="13"/>
        <v>#N/A</v>
      </c>
      <c r="M153" s="178" t="e">
        <f t="shared" si="14"/>
        <v>#N/A</v>
      </c>
      <c r="N153" s="178" t="e">
        <f t="shared" si="15"/>
        <v>#N/A</v>
      </c>
    </row>
    <row r="154" spans="1:14" hidden="1">
      <c r="A154" s="178" t="s">
        <v>3712</v>
      </c>
      <c r="B154" s="178" t="s">
        <v>5673</v>
      </c>
      <c r="C154" s="178" t="s">
        <v>5675</v>
      </c>
      <c r="D154" s="178" t="s">
        <v>3712</v>
      </c>
      <c r="E154" s="178" t="e">
        <f t="shared" si="12"/>
        <v>#N/A</v>
      </c>
      <c r="F154" s="178" t="e">
        <f t="shared" si="16"/>
        <v>#N/A</v>
      </c>
      <c r="G154" s="178" t="e">
        <f t="shared" si="17"/>
        <v>#N/A</v>
      </c>
      <c r="H154" s="264"/>
      <c r="I154" s="264"/>
      <c r="J154" s="181"/>
      <c r="K154" s="264" t="s">
        <v>2659</v>
      </c>
      <c r="L154" s="178" t="e">
        <f t="shared" si="13"/>
        <v>#N/A</v>
      </c>
      <c r="M154" s="178" t="e">
        <f t="shared" si="14"/>
        <v>#N/A</v>
      </c>
      <c r="N154" s="178" t="e">
        <f t="shared" si="15"/>
        <v>#N/A</v>
      </c>
    </row>
    <row r="155" spans="1:14" hidden="1">
      <c r="A155" s="178" t="s">
        <v>3713</v>
      </c>
      <c r="B155" s="178" t="s">
        <v>5673</v>
      </c>
      <c r="C155" s="178" t="s">
        <v>5404</v>
      </c>
      <c r="D155" s="178" t="s">
        <v>3713</v>
      </c>
      <c r="E155" s="178" t="str">
        <f t="shared" si="12"/>
        <v>A3075</v>
      </c>
      <c r="F155" s="178" t="str">
        <f t="shared" si="16"/>
        <v>GEA_NICE신용평점정보조회Dto</v>
      </c>
      <c r="G155" s="178">
        <f t="shared" si="17"/>
        <v>1</v>
      </c>
      <c r="H155" s="264"/>
      <c r="I155" s="264"/>
      <c r="J155" s="181"/>
      <c r="K155" s="264" t="s">
        <v>2660</v>
      </c>
      <c r="L155" s="178" t="e">
        <f t="shared" si="13"/>
        <v>#N/A</v>
      </c>
      <c r="M155" s="178" t="e">
        <f t="shared" si="14"/>
        <v>#N/A</v>
      </c>
      <c r="N155" s="178" t="e">
        <f t="shared" si="15"/>
        <v>#N/A</v>
      </c>
    </row>
    <row r="156" spans="1:14">
      <c r="A156" s="178" t="s">
        <v>4305</v>
      </c>
      <c r="B156" s="178" t="s">
        <v>5613</v>
      </c>
      <c r="C156" s="178" t="s">
        <v>884</v>
      </c>
      <c r="D156" s="178" t="s">
        <v>4305</v>
      </c>
      <c r="E156" s="178" t="e">
        <f t="shared" si="12"/>
        <v>#N/A</v>
      </c>
      <c r="F156" s="178" t="e">
        <f t="shared" si="16"/>
        <v>#N/A</v>
      </c>
      <c r="G156" s="178" t="e">
        <f t="shared" si="17"/>
        <v>#N/A</v>
      </c>
      <c r="H156" s="263" t="s">
        <v>2661</v>
      </c>
      <c r="I156" s="263" t="s">
        <v>5427</v>
      </c>
      <c r="J156" s="178" t="s">
        <v>2878</v>
      </c>
      <c r="K156" s="263" t="s">
        <v>2661</v>
      </c>
      <c r="L156" s="178" t="e">
        <f t="shared" si="13"/>
        <v>#N/A</v>
      </c>
      <c r="M156" s="178" t="e">
        <f t="shared" si="14"/>
        <v>#N/A</v>
      </c>
      <c r="N156" s="178" t="e">
        <f t="shared" si="15"/>
        <v>#N/A</v>
      </c>
    </row>
    <row r="157" spans="1:14" hidden="1">
      <c r="A157" s="178" t="s">
        <v>4306</v>
      </c>
      <c r="B157" s="178" t="s">
        <v>5613</v>
      </c>
      <c r="C157" s="178" t="s">
        <v>5681</v>
      </c>
      <c r="D157" s="178" t="s">
        <v>4306</v>
      </c>
      <c r="E157" s="178" t="e">
        <f t="shared" si="12"/>
        <v>#N/A</v>
      </c>
      <c r="F157" s="178" t="e">
        <f t="shared" si="16"/>
        <v>#N/A</v>
      </c>
      <c r="G157" s="178" t="e">
        <f t="shared" si="17"/>
        <v>#N/A</v>
      </c>
      <c r="H157" s="264"/>
      <c r="I157" s="264"/>
      <c r="J157" s="181"/>
      <c r="K157" s="264" t="s">
        <v>2662</v>
      </c>
      <c r="L157" s="178" t="e">
        <f t="shared" si="13"/>
        <v>#N/A</v>
      </c>
      <c r="M157" s="178" t="e">
        <f t="shared" si="14"/>
        <v>#N/A</v>
      </c>
      <c r="N157" s="178" t="e">
        <f t="shared" si="15"/>
        <v>#N/A</v>
      </c>
    </row>
    <row r="158" spans="1:14" hidden="1">
      <c r="A158" s="178" t="s">
        <v>4307</v>
      </c>
      <c r="B158" s="178" t="s">
        <v>5613</v>
      </c>
      <c r="C158" s="178" t="s">
        <v>5683</v>
      </c>
      <c r="D158" s="178" t="s">
        <v>4307</v>
      </c>
      <c r="E158" s="178" t="e">
        <f t="shared" si="12"/>
        <v>#N/A</v>
      </c>
      <c r="F158" s="178" t="e">
        <f t="shared" si="16"/>
        <v>#N/A</v>
      </c>
      <c r="G158" s="178" t="e">
        <f t="shared" si="17"/>
        <v>#N/A</v>
      </c>
      <c r="H158" s="264"/>
      <c r="I158" s="264"/>
      <c r="J158" s="181"/>
      <c r="K158" s="264" t="s">
        <v>2663</v>
      </c>
      <c r="L158" s="178" t="e">
        <f t="shared" si="13"/>
        <v>#N/A</v>
      </c>
      <c r="M158" s="178" t="e">
        <f t="shared" si="14"/>
        <v>#N/A</v>
      </c>
      <c r="N158" s="178" t="e">
        <f t="shared" si="15"/>
        <v>#N/A</v>
      </c>
    </row>
    <row r="159" spans="1:14">
      <c r="A159" s="178" t="s">
        <v>4308</v>
      </c>
      <c r="B159" s="178" t="s">
        <v>5613</v>
      </c>
      <c r="C159" s="178" t="s">
        <v>5685</v>
      </c>
      <c r="D159" s="178" t="s">
        <v>4308</v>
      </c>
      <c r="E159" s="178" t="e">
        <f t="shared" si="12"/>
        <v>#N/A</v>
      </c>
      <c r="F159" s="178" t="e">
        <f t="shared" si="16"/>
        <v>#N/A</v>
      </c>
      <c r="G159" s="178" t="e">
        <f t="shared" si="17"/>
        <v>#N/A</v>
      </c>
      <c r="H159" s="263" t="s">
        <v>2664</v>
      </c>
      <c r="I159" s="263" t="s">
        <v>5427</v>
      </c>
      <c r="J159" s="178" t="s">
        <v>3353</v>
      </c>
      <c r="K159" s="263" t="s">
        <v>2664</v>
      </c>
      <c r="L159" s="178" t="e">
        <f t="shared" si="13"/>
        <v>#N/A</v>
      </c>
      <c r="M159" s="178" t="e">
        <f t="shared" si="14"/>
        <v>#N/A</v>
      </c>
      <c r="N159" s="178" t="e">
        <f t="shared" si="15"/>
        <v>#N/A</v>
      </c>
    </row>
    <row r="160" spans="1:14">
      <c r="A160" s="178" t="s">
        <v>4309</v>
      </c>
      <c r="B160" s="178" t="s">
        <v>5613</v>
      </c>
      <c r="C160" s="178" t="s">
        <v>5687</v>
      </c>
      <c r="D160" s="178" t="s">
        <v>4309</v>
      </c>
      <c r="E160" s="178" t="e">
        <f t="shared" si="12"/>
        <v>#N/A</v>
      </c>
      <c r="F160" s="178" t="e">
        <f t="shared" si="16"/>
        <v>#N/A</v>
      </c>
      <c r="G160" s="178" t="e">
        <f t="shared" si="17"/>
        <v>#N/A</v>
      </c>
      <c r="H160" s="263" t="s">
        <v>2665</v>
      </c>
      <c r="I160" s="263" t="s">
        <v>5427</v>
      </c>
      <c r="J160" s="178" t="s">
        <v>249</v>
      </c>
      <c r="K160" s="263" t="s">
        <v>2665</v>
      </c>
      <c r="L160" s="178" t="e">
        <f t="shared" si="13"/>
        <v>#N/A</v>
      </c>
      <c r="M160" s="178" t="e">
        <f t="shared" si="14"/>
        <v>#N/A</v>
      </c>
      <c r="N160" s="178" t="e">
        <f t="shared" si="15"/>
        <v>#N/A</v>
      </c>
    </row>
    <row r="161" spans="1:14">
      <c r="A161" s="178" t="s">
        <v>4310</v>
      </c>
      <c r="B161" s="178" t="s">
        <v>5613</v>
      </c>
      <c r="C161" s="178" t="s">
        <v>5689</v>
      </c>
      <c r="D161" s="178" t="s">
        <v>4310</v>
      </c>
      <c r="E161" s="178" t="e">
        <f t="shared" si="12"/>
        <v>#N/A</v>
      </c>
      <c r="F161" s="178" t="e">
        <f t="shared" si="16"/>
        <v>#N/A</v>
      </c>
      <c r="G161" s="178" t="e">
        <f t="shared" si="17"/>
        <v>#N/A</v>
      </c>
      <c r="H161" s="263" t="s">
        <v>2666</v>
      </c>
      <c r="I161" s="263" t="s">
        <v>5427</v>
      </c>
      <c r="J161" s="178" t="s">
        <v>2239</v>
      </c>
      <c r="K161" s="263" t="s">
        <v>2666</v>
      </c>
      <c r="L161" s="178" t="e">
        <f t="shared" si="13"/>
        <v>#N/A</v>
      </c>
      <c r="M161" s="178" t="e">
        <f t="shared" si="14"/>
        <v>#N/A</v>
      </c>
      <c r="N161" s="178" t="e">
        <f t="shared" si="15"/>
        <v>#N/A</v>
      </c>
    </row>
    <row r="162" spans="1:14" hidden="1">
      <c r="A162" s="178" t="s">
        <v>4311</v>
      </c>
      <c r="B162" s="178" t="s">
        <v>5613</v>
      </c>
      <c r="C162" s="178" t="s">
        <v>5692</v>
      </c>
      <c r="D162" s="178" t="s">
        <v>4311</v>
      </c>
      <c r="E162" s="178" t="e">
        <f t="shared" si="12"/>
        <v>#N/A</v>
      </c>
      <c r="F162" s="178" t="e">
        <f t="shared" si="16"/>
        <v>#N/A</v>
      </c>
      <c r="G162" s="178" t="e">
        <f t="shared" si="17"/>
        <v>#N/A</v>
      </c>
      <c r="H162" s="264"/>
      <c r="I162" s="264"/>
      <c r="J162" s="181"/>
      <c r="K162" s="264" t="s">
        <v>2667</v>
      </c>
      <c r="L162" s="178" t="e">
        <f t="shared" si="13"/>
        <v>#N/A</v>
      </c>
      <c r="M162" s="178" t="e">
        <f t="shared" si="14"/>
        <v>#N/A</v>
      </c>
      <c r="N162" s="178" t="e">
        <f t="shared" si="15"/>
        <v>#N/A</v>
      </c>
    </row>
    <row r="163" spans="1:14">
      <c r="A163" s="178" t="s">
        <v>4312</v>
      </c>
      <c r="B163" s="178" t="s">
        <v>5613</v>
      </c>
      <c r="C163" s="178" t="s">
        <v>5695</v>
      </c>
      <c r="D163" s="178" t="s">
        <v>4312</v>
      </c>
      <c r="E163" s="178" t="e">
        <f t="shared" si="12"/>
        <v>#N/A</v>
      </c>
      <c r="F163" s="178" t="e">
        <f t="shared" si="16"/>
        <v>#N/A</v>
      </c>
      <c r="G163" s="178" t="e">
        <f t="shared" si="17"/>
        <v>#N/A</v>
      </c>
      <c r="H163" s="263" t="s">
        <v>2668</v>
      </c>
      <c r="I163" s="263" t="s">
        <v>5427</v>
      </c>
      <c r="J163" s="178" t="s">
        <v>5865</v>
      </c>
      <c r="K163" s="263" t="s">
        <v>2668</v>
      </c>
      <c r="L163" s="178" t="e">
        <f t="shared" si="13"/>
        <v>#N/A</v>
      </c>
      <c r="M163" s="178" t="e">
        <f t="shared" si="14"/>
        <v>#N/A</v>
      </c>
      <c r="N163" s="178" t="e">
        <f t="shared" si="15"/>
        <v>#N/A</v>
      </c>
    </row>
    <row r="164" spans="1:14" hidden="1">
      <c r="A164" s="178" t="s">
        <v>4313</v>
      </c>
      <c r="B164" s="178" t="s">
        <v>5613</v>
      </c>
      <c r="C164" s="178" t="s">
        <v>5698</v>
      </c>
      <c r="D164" s="178" t="s">
        <v>4313</v>
      </c>
      <c r="E164" s="178" t="e">
        <f t="shared" si="12"/>
        <v>#N/A</v>
      </c>
      <c r="F164" s="178" t="e">
        <f t="shared" si="16"/>
        <v>#N/A</v>
      </c>
      <c r="G164" s="178" t="e">
        <f t="shared" si="17"/>
        <v>#N/A</v>
      </c>
      <c r="H164" s="264"/>
      <c r="I164" s="264"/>
      <c r="J164" s="181"/>
      <c r="K164" s="264" t="s">
        <v>2669</v>
      </c>
      <c r="L164" s="178" t="e">
        <f t="shared" si="13"/>
        <v>#N/A</v>
      </c>
      <c r="M164" s="178" t="e">
        <f t="shared" si="14"/>
        <v>#N/A</v>
      </c>
      <c r="N164" s="178" t="e">
        <f t="shared" si="15"/>
        <v>#N/A</v>
      </c>
    </row>
    <row r="165" spans="1:14" hidden="1">
      <c r="A165" s="178" t="s">
        <v>4314</v>
      </c>
      <c r="B165" s="178" t="s">
        <v>5613</v>
      </c>
      <c r="C165" s="178" t="s">
        <v>5700</v>
      </c>
      <c r="D165" s="178" t="s">
        <v>4314</v>
      </c>
      <c r="E165" s="178" t="e">
        <f t="shared" si="12"/>
        <v>#N/A</v>
      </c>
      <c r="F165" s="178" t="e">
        <f t="shared" si="16"/>
        <v>#N/A</v>
      </c>
      <c r="G165" s="178" t="e">
        <f t="shared" si="17"/>
        <v>#N/A</v>
      </c>
      <c r="H165" s="264"/>
      <c r="I165" s="264"/>
      <c r="J165" s="181"/>
      <c r="K165" s="264" t="s">
        <v>2670</v>
      </c>
      <c r="L165" s="178" t="e">
        <f t="shared" si="13"/>
        <v>#N/A</v>
      </c>
      <c r="M165" s="178" t="e">
        <f t="shared" si="14"/>
        <v>#N/A</v>
      </c>
      <c r="N165" s="178" t="e">
        <f t="shared" si="15"/>
        <v>#N/A</v>
      </c>
    </row>
    <row r="166" spans="1:14">
      <c r="A166" s="178" t="s">
        <v>5701</v>
      </c>
      <c r="B166" s="178" t="s">
        <v>5613</v>
      </c>
      <c r="C166" s="178" t="s">
        <v>5704</v>
      </c>
      <c r="D166" s="178" t="s">
        <v>5701</v>
      </c>
      <c r="E166" s="178" t="e">
        <f t="shared" si="12"/>
        <v>#N/A</v>
      </c>
      <c r="F166" s="178" t="e">
        <f t="shared" si="16"/>
        <v>#N/A</v>
      </c>
      <c r="G166" s="178" t="e">
        <f t="shared" si="17"/>
        <v>#N/A</v>
      </c>
      <c r="H166" s="263" t="s">
        <v>2671</v>
      </c>
      <c r="I166" s="263" t="s">
        <v>5427</v>
      </c>
      <c r="J166" s="178" t="s">
        <v>3359</v>
      </c>
      <c r="K166" s="263" t="s">
        <v>2671</v>
      </c>
      <c r="L166" s="178" t="e">
        <f t="shared" si="13"/>
        <v>#N/A</v>
      </c>
      <c r="M166" s="178" t="e">
        <f t="shared" si="14"/>
        <v>#N/A</v>
      </c>
      <c r="N166" s="178" t="e">
        <f t="shared" si="15"/>
        <v>#N/A</v>
      </c>
    </row>
    <row r="167" spans="1:14" hidden="1">
      <c r="A167" s="178" t="s">
        <v>5705</v>
      </c>
      <c r="B167" s="178" t="s">
        <v>5613</v>
      </c>
      <c r="C167" s="178" t="s">
        <v>5707</v>
      </c>
      <c r="D167" s="178" t="s">
        <v>5705</v>
      </c>
      <c r="E167" s="178" t="e">
        <f t="shared" si="12"/>
        <v>#N/A</v>
      </c>
      <c r="F167" s="178" t="e">
        <f t="shared" si="16"/>
        <v>#N/A</v>
      </c>
      <c r="G167" s="178" t="e">
        <f t="shared" si="17"/>
        <v>#N/A</v>
      </c>
      <c r="H167" s="264"/>
      <c r="I167" s="264"/>
      <c r="J167" s="181"/>
      <c r="K167" s="264" t="s">
        <v>2672</v>
      </c>
      <c r="L167" s="178" t="e">
        <f t="shared" si="13"/>
        <v>#N/A</v>
      </c>
      <c r="M167" s="178" t="e">
        <f t="shared" si="14"/>
        <v>#N/A</v>
      </c>
      <c r="N167" s="178" t="e">
        <f t="shared" si="15"/>
        <v>#N/A</v>
      </c>
    </row>
    <row r="168" spans="1:14">
      <c r="A168" s="178" t="s">
        <v>5708</v>
      </c>
      <c r="B168" s="178" t="s">
        <v>5613</v>
      </c>
      <c r="C168" s="178" t="s">
        <v>5711</v>
      </c>
      <c r="D168" s="178" t="s">
        <v>5708</v>
      </c>
      <c r="E168" s="178" t="e">
        <f t="shared" si="12"/>
        <v>#N/A</v>
      </c>
      <c r="F168" s="178" t="e">
        <f t="shared" si="16"/>
        <v>#N/A</v>
      </c>
      <c r="G168" s="178" t="e">
        <f t="shared" si="17"/>
        <v>#N/A</v>
      </c>
      <c r="H168" s="263" t="s">
        <v>2673</v>
      </c>
      <c r="I168" s="263" t="s">
        <v>5427</v>
      </c>
      <c r="J168" s="178" t="s">
        <v>2884</v>
      </c>
      <c r="K168" s="263" t="s">
        <v>2673</v>
      </c>
      <c r="L168" s="178" t="e">
        <f t="shared" si="13"/>
        <v>#N/A</v>
      </c>
      <c r="M168" s="178" t="e">
        <f t="shared" si="14"/>
        <v>#N/A</v>
      </c>
      <c r="N168" s="178" t="e">
        <f t="shared" si="15"/>
        <v>#N/A</v>
      </c>
    </row>
    <row r="169" spans="1:14">
      <c r="A169" s="178" t="s">
        <v>5712</v>
      </c>
      <c r="B169" s="178" t="s">
        <v>5613</v>
      </c>
      <c r="C169" s="178" t="s">
        <v>5715</v>
      </c>
      <c r="D169" s="178" t="s">
        <v>5712</v>
      </c>
      <c r="E169" s="178" t="e">
        <f t="shared" si="12"/>
        <v>#N/A</v>
      </c>
      <c r="F169" s="178" t="e">
        <f t="shared" si="16"/>
        <v>#N/A</v>
      </c>
      <c r="G169" s="178" t="e">
        <f t="shared" si="17"/>
        <v>#N/A</v>
      </c>
      <c r="H169" s="263" t="s">
        <v>2674</v>
      </c>
      <c r="I169" s="263" t="s">
        <v>5427</v>
      </c>
      <c r="J169" s="178" t="s">
        <v>2885</v>
      </c>
      <c r="K169" s="263" t="s">
        <v>2674</v>
      </c>
      <c r="L169" s="178" t="e">
        <f t="shared" si="13"/>
        <v>#N/A</v>
      </c>
      <c r="M169" s="178" t="e">
        <f t="shared" si="14"/>
        <v>#N/A</v>
      </c>
      <c r="N169" s="178" t="e">
        <f t="shared" si="15"/>
        <v>#N/A</v>
      </c>
    </row>
    <row r="170" spans="1:14" hidden="1">
      <c r="A170" s="178" t="s">
        <v>5716</v>
      </c>
      <c r="B170" s="178" t="s">
        <v>5613</v>
      </c>
      <c r="C170" s="178" t="s">
        <v>5719</v>
      </c>
      <c r="D170" s="178" t="s">
        <v>5716</v>
      </c>
      <c r="E170" s="178" t="e">
        <f t="shared" si="12"/>
        <v>#N/A</v>
      </c>
      <c r="F170" s="178" t="e">
        <f t="shared" si="16"/>
        <v>#N/A</v>
      </c>
      <c r="G170" s="178" t="e">
        <f t="shared" si="17"/>
        <v>#N/A</v>
      </c>
      <c r="H170" s="264"/>
      <c r="I170" s="264"/>
      <c r="J170" s="181"/>
      <c r="K170" s="264" t="s">
        <v>2675</v>
      </c>
      <c r="L170" s="178" t="e">
        <f t="shared" si="13"/>
        <v>#N/A</v>
      </c>
      <c r="M170" s="178" t="e">
        <f t="shared" si="14"/>
        <v>#N/A</v>
      </c>
      <c r="N170" s="178" t="e">
        <f t="shared" si="15"/>
        <v>#N/A</v>
      </c>
    </row>
    <row r="171" spans="1:14" hidden="1">
      <c r="A171" s="178" t="s">
        <v>5720</v>
      </c>
      <c r="B171" s="178" t="s">
        <v>5613</v>
      </c>
      <c r="C171" s="178" t="s">
        <v>5723</v>
      </c>
      <c r="D171" s="178" t="s">
        <v>5720</v>
      </c>
      <c r="E171" s="178" t="e">
        <f t="shared" si="12"/>
        <v>#N/A</v>
      </c>
      <c r="F171" s="178" t="e">
        <f t="shared" si="16"/>
        <v>#N/A</v>
      </c>
      <c r="G171" s="178" t="e">
        <f t="shared" si="17"/>
        <v>#N/A</v>
      </c>
      <c r="H171" s="264"/>
      <c r="I171" s="264"/>
      <c r="J171" s="181"/>
      <c r="K171" s="264" t="s">
        <v>2676</v>
      </c>
      <c r="L171" s="178" t="e">
        <f t="shared" si="13"/>
        <v>#N/A</v>
      </c>
      <c r="M171" s="178" t="e">
        <f t="shared" si="14"/>
        <v>#N/A</v>
      </c>
      <c r="N171" s="178" t="e">
        <f t="shared" si="15"/>
        <v>#N/A</v>
      </c>
    </row>
    <row r="172" spans="1:14" hidden="1">
      <c r="A172" s="178" t="s">
        <v>5724</v>
      </c>
      <c r="B172" s="178" t="s">
        <v>5613</v>
      </c>
      <c r="C172" s="178" t="s">
        <v>5727</v>
      </c>
      <c r="D172" s="178" t="s">
        <v>5724</v>
      </c>
      <c r="E172" s="178" t="e">
        <f t="shared" si="12"/>
        <v>#N/A</v>
      </c>
      <c r="F172" s="178" t="e">
        <f t="shared" si="16"/>
        <v>#N/A</v>
      </c>
      <c r="G172" s="178" t="e">
        <f t="shared" si="17"/>
        <v>#N/A</v>
      </c>
      <c r="H172" s="264"/>
      <c r="I172" s="264"/>
      <c r="J172" s="181"/>
      <c r="K172" s="264" t="s">
        <v>2677</v>
      </c>
      <c r="L172" s="178" t="e">
        <f t="shared" si="13"/>
        <v>#N/A</v>
      </c>
      <c r="M172" s="178" t="e">
        <f t="shared" si="14"/>
        <v>#N/A</v>
      </c>
      <c r="N172" s="178" t="e">
        <f t="shared" si="15"/>
        <v>#N/A</v>
      </c>
    </row>
    <row r="173" spans="1:14" hidden="1">
      <c r="A173" s="178" t="s">
        <v>5728</v>
      </c>
      <c r="B173" s="178" t="s">
        <v>5613</v>
      </c>
      <c r="C173" s="178" t="s">
        <v>5731</v>
      </c>
      <c r="D173" s="178" t="s">
        <v>5728</v>
      </c>
      <c r="E173" s="178" t="e">
        <f t="shared" si="12"/>
        <v>#N/A</v>
      </c>
      <c r="F173" s="178" t="e">
        <f t="shared" si="16"/>
        <v>#N/A</v>
      </c>
      <c r="G173" s="178" t="e">
        <f t="shared" si="17"/>
        <v>#N/A</v>
      </c>
      <c r="H173" s="264"/>
      <c r="I173" s="264"/>
      <c r="J173" s="181"/>
      <c r="K173" s="264" t="s">
        <v>2678</v>
      </c>
      <c r="L173" s="178" t="e">
        <f t="shared" si="13"/>
        <v>#N/A</v>
      </c>
      <c r="M173" s="178" t="e">
        <f t="shared" si="14"/>
        <v>#N/A</v>
      </c>
      <c r="N173" s="178" t="e">
        <f t="shared" si="15"/>
        <v>#N/A</v>
      </c>
    </row>
    <row r="174" spans="1:14" hidden="1">
      <c r="A174" s="178" t="s">
        <v>5732</v>
      </c>
      <c r="B174" s="178" t="s">
        <v>5613</v>
      </c>
      <c r="C174" s="178" t="s">
        <v>5735</v>
      </c>
      <c r="D174" s="178" t="s">
        <v>5732</v>
      </c>
      <c r="E174" s="178" t="e">
        <f t="shared" si="12"/>
        <v>#N/A</v>
      </c>
      <c r="F174" s="178" t="e">
        <f t="shared" si="16"/>
        <v>#N/A</v>
      </c>
      <c r="G174" s="178" t="e">
        <f t="shared" si="17"/>
        <v>#N/A</v>
      </c>
      <c r="H174" s="264"/>
      <c r="I174" s="264"/>
      <c r="J174" s="181"/>
      <c r="K174" s="264" t="s">
        <v>2679</v>
      </c>
      <c r="L174" s="178" t="e">
        <f t="shared" si="13"/>
        <v>#N/A</v>
      </c>
      <c r="M174" s="178" t="e">
        <f t="shared" si="14"/>
        <v>#N/A</v>
      </c>
      <c r="N174" s="178" t="e">
        <f t="shared" si="15"/>
        <v>#N/A</v>
      </c>
    </row>
    <row r="175" spans="1:14" hidden="1">
      <c r="A175" s="178" t="s">
        <v>5736</v>
      </c>
      <c r="B175" s="178" t="s">
        <v>5613</v>
      </c>
      <c r="C175" s="178" t="s">
        <v>5737</v>
      </c>
      <c r="D175" s="178" t="s">
        <v>5736</v>
      </c>
      <c r="E175" s="178" t="e">
        <f t="shared" si="12"/>
        <v>#N/A</v>
      </c>
      <c r="F175" s="178" t="e">
        <f t="shared" si="16"/>
        <v>#N/A</v>
      </c>
      <c r="G175" s="178" t="e">
        <f t="shared" si="17"/>
        <v>#N/A</v>
      </c>
      <c r="H175" s="264"/>
      <c r="I175" s="264"/>
      <c r="J175" s="181"/>
      <c r="K175" s="264" t="s">
        <v>2680</v>
      </c>
      <c r="L175" s="178" t="e">
        <f t="shared" si="13"/>
        <v>#N/A</v>
      </c>
      <c r="M175" s="178" t="e">
        <f t="shared" si="14"/>
        <v>#N/A</v>
      </c>
      <c r="N175" s="178" t="e">
        <f t="shared" si="15"/>
        <v>#N/A</v>
      </c>
    </row>
    <row r="176" spans="1:14">
      <c r="A176" s="178" t="s">
        <v>5738</v>
      </c>
      <c r="B176" s="178" t="s">
        <v>5613</v>
      </c>
      <c r="C176" s="178" t="s">
        <v>5741</v>
      </c>
      <c r="D176" s="178" t="s">
        <v>5738</v>
      </c>
      <c r="E176" s="178" t="e">
        <f t="shared" si="12"/>
        <v>#N/A</v>
      </c>
      <c r="F176" s="178" t="e">
        <f t="shared" si="16"/>
        <v>#N/A</v>
      </c>
      <c r="G176" s="178" t="e">
        <f t="shared" si="17"/>
        <v>#N/A</v>
      </c>
      <c r="H176" s="263" t="s">
        <v>2681</v>
      </c>
      <c r="I176" s="263" t="s">
        <v>5427</v>
      </c>
      <c r="J176" s="178" t="s">
        <v>2890</v>
      </c>
      <c r="K176" s="263" t="s">
        <v>2681</v>
      </c>
      <c r="L176" s="178" t="e">
        <f t="shared" si="13"/>
        <v>#N/A</v>
      </c>
      <c r="M176" s="178" t="e">
        <f t="shared" si="14"/>
        <v>#N/A</v>
      </c>
      <c r="N176" s="178" t="e">
        <f t="shared" si="15"/>
        <v>#N/A</v>
      </c>
    </row>
    <row r="177" spans="1:14" hidden="1">
      <c r="A177" s="178" t="s">
        <v>2392</v>
      </c>
      <c r="B177" s="178" t="s">
        <v>5453</v>
      </c>
      <c r="C177" s="178" t="s">
        <v>5876</v>
      </c>
      <c r="D177" s="178" t="s">
        <v>2392</v>
      </c>
      <c r="E177" s="178" t="str">
        <f t="shared" si="12"/>
        <v>A4033</v>
      </c>
      <c r="F177" s="178" t="str">
        <f t="shared" si="16"/>
        <v>GEA_KCB신용요약정보조회Dto</v>
      </c>
      <c r="G177" s="178">
        <f t="shared" si="17"/>
        <v>1</v>
      </c>
      <c r="H177" s="264"/>
      <c r="I177" s="264"/>
      <c r="J177" s="181"/>
      <c r="K177" s="264" t="s">
        <v>2682</v>
      </c>
      <c r="L177" s="178" t="e">
        <f t="shared" si="13"/>
        <v>#N/A</v>
      </c>
      <c r="M177" s="178" t="e">
        <f t="shared" si="14"/>
        <v>#N/A</v>
      </c>
      <c r="N177" s="178" t="e">
        <f t="shared" si="15"/>
        <v>#N/A</v>
      </c>
    </row>
    <row r="178" spans="1:14" hidden="1">
      <c r="A178" s="178" t="s">
        <v>2393</v>
      </c>
      <c r="C178" s="178" t="s">
        <v>5883</v>
      </c>
      <c r="D178" s="178" t="s">
        <v>2393</v>
      </c>
      <c r="E178" s="178" t="e">
        <f t="shared" si="12"/>
        <v>#N/A</v>
      </c>
      <c r="F178" s="178" t="e">
        <f t="shared" si="16"/>
        <v>#N/A</v>
      </c>
      <c r="G178" s="178" t="e">
        <f t="shared" si="17"/>
        <v>#N/A</v>
      </c>
      <c r="H178" s="264"/>
      <c r="I178" s="264"/>
      <c r="J178" s="181"/>
      <c r="K178" s="264" t="s">
        <v>2683</v>
      </c>
      <c r="L178" s="178" t="e">
        <f t="shared" si="13"/>
        <v>#N/A</v>
      </c>
      <c r="M178" s="178" t="e">
        <f t="shared" si="14"/>
        <v>#N/A</v>
      </c>
      <c r="N178" s="178" t="e">
        <f t="shared" si="15"/>
        <v>#N/A</v>
      </c>
    </row>
    <row r="179" spans="1:14">
      <c r="A179" s="178" t="s">
        <v>2394</v>
      </c>
      <c r="B179" s="178" t="s">
        <v>5453</v>
      </c>
      <c r="C179" s="178" t="s">
        <v>989</v>
      </c>
      <c r="D179" s="178" t="s">
        <v>2394</v>
      </c>
      <c r="E179" s="178" t="e">
        <f t="shared" si="12"/>
        <v>#N/A</v>
      </c>
      <c r="F179" s="178" t="e">
        <f t="shared" si="16"/>
        <v>#N/A</v>
      </c>
      <c r="G179" s="178" t="e">
        <f t="shared" si="17"/>
        <v>#N/A</v>
      </c>
      <c r="H179" s="263" t="s">
        <v>2684</v>
      </c>
      <c r="I179" s="263" t="s">
        <v>5427</v>
      </c>
      <c r="J179" s="178" t="s">
        <v>2893</v>
      </c>
      <c r="K179" s="263" t="s">
        <v>2684</v>
      </c>
      <c r="L179" s="178" t="e">
        <f t="shared" si="13"/>
        <v>#N/A</v>
      </c>
      <c r="M179" s="178" t="e">
        <f t="shared" si="14"/>
        <v>#N/A</v>
      </c>
      <c r="N179" s="178" t="e">
        <f t="shared" si="15"/>
        <v>#N/A</v>
      </c>
    </row>
    <row r="180" spans="1:14" hidden="1">
      <c r="A180" s="178" t="s">
        <v>2395</v>
      </c>
      <c r="B180" s="178" t="s">
        <v>5453</v>
      </c>
      <c r="C180" s="178" t="s">
        <v>981</v>
      </c>
      <c r="D180" s="178" t="s">
        <v>2395</v>
      </c>
      <c r="E180" s="178" t="str">
        <f t="shared" si="12"/>
        <v>A4018</v>
      </c>
      <c r="F180" s="178" t="str">
        <f t="shared" si="16"/>
        <v>GEA_KCB신용요약정보조회Dto</v>
      </c>
      <c r="G180" s="178">
        <f t="shared" si="17"/>
        <v>1</v>
      </c>
      <c r="H180" s="264"/>
      <c r="I180" s="264"/>
      <c r="J180" s="181"/>
      <c r="K180" s="264" t="s">
        <v>2685</v>
      </c>
      <c r="L180" s="178" t="e">
        <f t="shared" si="13"/>
        <v>#N/A</v>
      </c>
      <c r="M180" s="178" t="e">
        <f t="shared" si="14"/>
        <v>#N/A</v>
      </c>
      <c r="N180" s="178" t="e">
        <f t="shared" si="15"/>
        <v>#N/A</v>
      </c>
    </row>
    <row r="181" spans="1:14" hidden="1">
      <c r="A181" s="178" t="s">
        <v>2396</v>
      </c>
      <c r="B181" s="178" t="s">
        <v>5453</v>
      </c>
      <c r="C181" s="178" t="s">
        <v>983</v>
      </c>
      <c r="D181" s="178" t="s">
        <v>2396</v>
      </c>
      <c r="E181" s="178" t="str">
        <f t="shared" si="12"/>
        <v>A4019</v>
      </c>
      <c r="F181" s="178" t="str">
        <f t="shared" si="16"/>
        <v>GEA_KCB신용요약정보조회Dto</v>
      </c>
      <c r="G181" s="178">
        <f t="shared" si="17"/>
        <v>1</v>
      </c>
      <c r="H181" s="264"/>
      <c r="I181" s="264"/>
      <c r="J181" s="181"/>
      <c r="K181" s="264" t="s">
        <v>2686</v>
      </c>
      <c r="L181" s="178" t="e">
        <f t="shared" si="13"/>
        <v>#N/A</v>
      </c>
      <c r="M181" s="178" t="e">
        <f t="shared" si="14"/>
        <v>#N/A</v>
      </c>
      <c r="N181" s="178" t="e">
        <f t="shared" si="15"/>
        <v>#N/A</v>
      </c>
    </row>
    <row r="182" spans="1:14" hidden="1">
      <c r="A182" s="178" t="s">
        <v>2397</v>
      </c>
      <c r="B182" s="178" t="s">
        <v>5453</v>
      </c>
      <c r="C182" s="178" t="s">
        <v>963</v>
      </c>
      <c r="D182" s="178" t="s">
        <v>2397</v>
      </c>
      <c r="E182" s="178" t="e">
        <f t="shared" si="12"/>
        <v>#N/A</v>
      </c>
      <c r="F182" s="178" t="e">
        <f t="shared" si="16"/>
        <v>#N/A</v>
      </c>
      <c r="G182" s="178" t="e">
        <f t="shared" si="17"/>
        <v>#N/A</v>
      </c>
      <c r="H182" s="264"/>
      <c r="I182" s="264"/>
      <c r="J182" s="181"/>
      <c r="K182" s="264" t="s">
        <v>2687</v>
      </c>
      <c r="L182" s="178" t="e">
        <f t="shared" si="13"/>
        <v>#N/A</v>
      </c>
      <c r="M182" s="178" t="e">
        <f t="shared" si="14"/>
        <v>#N/A</v>
      </c>
      <c r="N182" s="178" t="e">
        <f t="shared" si="15"/>
        <v>#N/A</v>
      </c>
    </row>
    <row r="183" spans="1:14" hidden="1">
      <c r="A183" s="178" t="s">
        <v>2398</v>
      </c>
      <c r="B183" s="178" t="s">
        <v>5453</v>
      </c>
      <c r="C183" s="178" t="s">
        <v>966</v>
      </c>
      <c r="D183" s="178" t="s">
        <v>2398</v>
      </c>
      <c r="E183" s="178" t="e">
        <f t="shared" si="12"/>
        <v>#N/A</v>
      </c>
      <c r="F183" s="178" t="e">
        <f t="shared" si="16"/>
        <v>#N/A</v>
      </c>
      <c r="G183" s="178" t="e">
        <f t="shared" si="17"/>
        <v>#N/A</v>
      </c>
      <c r="H183" s="264"/>
      <c r="I183" s="264"/>
      <c r="J183" s="181"/>
      <c r="K183" s="264" t="s">
        <v>2688</v>
      </c>
      <c r="L183" s="178" t="e">
        <f t="shared" si="13"/>
        <v>#N/A</v>
      </c>
      <c r="M183" s="178" t="e">
        <f t="shared" si="14"/>
        <v>#N/A</v>
      </c>
      <c r="N183" s="178" t="e">
        <f t="shared" si="15"/>
        <v>#N/A</v>
      </c>
    </row>
    <row r="184" spans="1:14" hidden="1">
      <c r="A184" s="178" t="s">
        <v>2399</v>
      </c>
      <c r="B184" s="178" t="s">
        <v>5453</v>
      </c>
      <c r="C184" s="178" t="s">
        <v>2839</v>
      </c>
      <c r="D184" s="178" t="s">
        <v>2399</v>
      </c>
      <c r="E184" s="178" t="e">
        <f t="shared" si="12"/>
        <v>#N/A</v>
      </c>
      <c r="F184" s="178" t="e">
        <f t="shared" si="16"/>
        <v>#N/A</v>
      </c>
      <c r="G184" s="178" t="e">
        <f t="shared" si="17"/>
        <v>#N/A</v>
      </c>
      <c r="H184" s="264"/>
      <c r="I184" s="264"/>
      <c r="J184" s="181"/>
      <c r="K184" s="264" t="s">
        <v>2689</v>
      </c>
      <c r="L184" s="178" t="e">
        <f t="shared" si="13"/>
        <v>#N/A</v>
      </c>
      <c r="M184" s="178" t="e">
        <f t="shared" si="14"/>
        <v>#N/A</v>
      </c>
      <c r="N184" s="178" t="e">
        <f t="shared" si="15"/>
        <v>#N/A</v>
      </c>
    </row>
    <row r="185" spans="1:14" hidden="1">
      <c r="A185" s="181"/>
      <c r="B185" s="181"/>
      <c r="C185" s="181"/>
      <c r="D185" s="181" t="s">
        <v>2400</v>
      </c>
      <c r="E185" s="178" t="e">
        <f t="shared" si="12"/>
        <v>#N/A</v>
      </c>
      <c r="F185" s="178" t="e">
        <f t="shared" si="16"/>
        <v>#N/A</v>
      </c>
      <c r="G185" s="178" t="e">
        <f t="shared" si="17"/>
        <v>#N/A</v>
      </c>
      <c r="H185" s="264"/>
      <c r="I185" s="264"/>
      <c r="J185" s="181"/>
      <c r="K185" s="264" t="s">
        <v>2690</v>
      </c>
      <c r="L185" s="178" t="e">
        <f t="shared" si="13"/>
        <v>#N/A</v>
      </c>
      <c r="M185" s="178" t="e">
        <f t="shared" si="14"/>
        <v>#N/A</v>
      </c>
      <c r="N185" s="178" t="e">
        <f t="shared" si="15"/>
        <v>#N/A</v>
      </c>
    </row>
    <row r="186" spans="1:14" hidden="1">
      <c r="A186" s="181"/>
      <c r="B186" s="181"/>
      <c r="C186" s="181"/>
      <c r="D186" s="181" t="s">
        <v>2401</v>
      </c>
      <c r="E186" s="178" t="e">
        <f t="shared" si="12"/>
        <v>#N/A</v>
      </c>
      <c r="F186" s="178" t="e">
        <f t="shared" si="16"/>
        <v>#N/A</v>
      </c>
      <c r="G186" s="178" t="e">
        <f t="shared" si="17"/>
        <v>#N/A</v>
      </c>
      <c r="H186" s="264"/>
      <c r="I186" s="264"/>
      <c r="J186" s="181"/>
      <c r="K186" s="264" t="s">
        <v>2691</v>
      </c>
      <c r="L186" s="178" t="e">
        <f t="shared" si="13"/>
        <v>#N/A</v>
      </c>
      <c r="M186" s="178" t="e">
        <f t="shared" si="14"/>
        <v>#N/A</v>
      </c>
      <c r="N186" s="178" t="e">
        <f t="shared" si="15"/>
        <v>#N/A</v>
      </c>
    </row>
    <row r="187" spans="1:14" hidden="1">
      <c r="A187" s="181"/>
      <c r="B187" s="181"/>
      <c r="C187" s="181"/>
      <c r="D187" s="181" t="s">
        <v>2402</v>
      </c>
      <c r="E187" s="178" t="e">
        <f t="shared" si="12"/>
        <v>#N/A</v>
      </c>
      <c r="F187" s="178" t="e">
        <f t="shared" si="16"/>
        <v>#N/A</v>
      </c>
      <c r="G187" s="178" t="e">
        <f t="shared" si="17"/>
        <v>#N/A</v>
      </c>
      <c r="H187" s="264"/>
      <c r="I187" s="264"/>
      <c r="J187" s="181"/>
      <c r="K187" s="264" t="s">
        <v>2692</v>
      </c>
      <c r="L187" s="178" t="e">
        <f t="shared" si="13"/>
        <v>#N/A</v>
      </c>
      <c r="M187" s="178" t="e">
        <f t="shared" si="14"/>
        <v>#N/A</v>
      </c>
      <c r="N187" s="178" t="e">
        <f t="shared" si="15"/>
        <v>#N/A</v>
      </c>
    </row>
    <row r="188" spans="1:14" hidden="1">
      <c r="A188" s="181"/>
      <c r="B188" s="181"/>
      <c r="C188" s="181"/>
      <c r="D188" s="181" t="s">
        <v>2403</v>
      </c>
      <c r="E188" s="178" t="e">
        <f t="shared" si="12"/>
        <v>#N/A</v>
      </c>
      <c r="F188" s="178" t="e">
        <f t="shared" si="16"/>
        <v>#N/A</v>
      </c>
      <c r="G188" s="178" t="e">
        <f t="shared" si="17"/>
        <v>#N/A</v>
      </c>
      <c r="H188" s="264"/>
      <c r="I188" s="264"/>
      <c r="J188" s="181"/>
      <c r="K188" s="264" t="s">
        <v>2693</v>
      </c>
      <c r="L188" s="178" t="e">
        <f t="shared" si="13"/>
        <v>#N/A</v>
      </c>
      <c r="M188" s="178" t="e">
        <f t="shared" si="14"/>
        <v>#N/A</v>
      </c>
      <c r="N188" s="178" t="e">
        <f t="shared" si="15"/>
        <v>#N/A</v>
      </c>
    </row>
    <row r="189" spans="1:14" hidden="1">
      <c r="A189" s="181"/>
      <c r="B189" s="181"/>
      <c r="C189" s="181"/>
      <c r="D189" s="181" t="s">
        <v>2404</v>
      </c>
      <c r="E189" s="178" t="e">
        <f t="shared" si="12"/>
        <v>#N/A</v>
      </c>
      <c r="F189" s="178" t="e">
        <f t="shared" si="16"/>
        <v>#N/A</v>
      </c>
      <c r="G189" s="178" t="e">
        <f t="shared" si="17"/>
        <v>#N/A</v>
      </c>
      <c r="H189" s="264"/>
      <c r="I189" s="264"/>
      <c r="J189" s="181"/>
      <c r="K189" s="264" t="s">
        <v>2694</v>
      </c>
      <c r="L189" s="178" t="e">
        <f t="shared" si="13"/>
        <v>#N/A</v>
      </c>
      <c r="M189" s="178" t="e">
        <f t="shared" si="14"/>
        <v>#N/A</v>
      </c>
      <c r="N189" s="178" t="e">
        <f t="shared" si="15"/>
        <v>#N/A</v>
      </c>
    </row>
    <row r="190" spans="1:14" hidden="1">
      <c r="A190" s="178" t="s">
        <v>2405</v>
      </c>
      <c r="B190" s="263" t="s">
        <v>5878</v>
      </c>
      <c r="C190" s="263" t="s">
        <v>5874</v>
      </c>
      <c r="D190" s="178" t="s">
        <v>2405</v>
      </c>
      <c r="E190" s="447" t="str">
        <f t="shared" si="12"/>
        <v>A3062</v>
      </c>
      <c r="F190" s="447" t="str">
        <f t="shared" si="16"/>
        <v>GEA_NICE동시대출건수조회Dto</v>
      </c>
      <c r="G190" s="178">
        <f t="shared" si="17"/>
        <v>0</v>
      </c>
      <c r="H190" s="264"/>
      <c r="I190" s="264"/>
      <c r="J190" s="181"/>
      <c r="K190" s="264" t="s">
        <v>2695</v>
      </c>
      <c r="L190" s="178" t="e">
        <f t="shared" si="13"/>
        <v>#N/A</v>
      </c>
      <c r="M190" s="178" t="e">
        <f t="shared" si="14"/>
        <v>#N/A</v>
      </c>
      <c r="N190" s="178" t="e">
        <f t="shared" si="15"/>
        <v>#N/A</v>
      </c>
    </row>
    <row r="191" spans="1:14" hidden="1">
      <c r="A191" s="178" t="s">
        <v>2406</v>
      </c>
      <c r="B191" s="178" t="s">
        <v>5453</v>
      </c>
      <c r="C191" s="178" t="s">
        <v>5456</v>
      </c>
      <c r="D191" s="178" t="s">
        <v>2406</v>
      </c>
      <c r="E191" s="178" t="e">
        <f t="shared" si="12"/>
        <v>#N/A</v>
      </c>
      <c r="F191" s="178" t="e">
        <f t="shared" si="16"/>
        <v>#N/A</v>
      </c>
      <c r="G191" s="178" t="e">
        <f t="shared" si="17"/>
        <v>#N/A</v>
      </c>
      <c r="H191" s="264"/>
      <c r="I191" s="264"/>
      <c r="J191" s="181"/>
      <c r="K191" s="264" t="s">
        <v>2696</v>
      </c>
      <c r="L191" s="178" t="e">
        <f t="shared" si="13"/>
        <v>#N/A</v>
      </c>
      <c r="M191" s="178" t="e">
        <f t="shared" si="14"/>
        <v>#N/A</v>
      </c>
      <c r="N191" s="178" t="e">
        <f t="shared" si="15"/>
        <v>#N/A</v>
      </c>
    </row>
    <row r="192" spans="1:14" hidden="1">
      <c r="A192" s="178" t="s">
        <v>2407</v>
      </c>
      <c r="B192" s="178" t="s">
        <v>5453</v>
      </c>
      <c r="C192" s="178" t="s">
        <v>5457</v>
      </c>
      <c r="D192" s="178" t="s">
        <v>2407</v>
      </c>
      <c r="E192" s="178" t="e">
        <f t="shared" si="12"/>
        <v>#N/A</v>
      </c>
      <c r="F192" s="178" t="e">
        <f t="shared" si="16"/>
        <v>#N/A</v>
      </c>
      <c r="G192" s="178" t="e">
        <f t="shared" si="17"/>
        <v>#N/A</v>
      </c>
      <c r="H192" s="264"/>
      <c r="I192" s="264"/>
      <c r="J192" s="181"/>
      <c r="K192" s="264" t="s">
        <v>2697</v>
      </c>
      <c r="L192" s="178" t="e">
        <f t="shared" si="13"/>
        <v>#N/A</v>
      </c>
      <c r="M192" s="178" t="e">
        <f t="shared" si="14"/>
        <v>#N/A</v>
      </c>
      <c r="N192" s="178" t="e">
        <f t="shared" si="15"/>
        <v>#N/A</v>
      </c>
    </row>
    <row r="193" spans="1:14" hidden="1">
      <c r="A193" s="178" t="s">
        <v>2408</v>
      </c>
      <c r="B193" s="178" t="s">
        <v>5453</v>
      </c>
      <c r="C193" s="178" t="s">
        <v>5458</v>
      </c>
      <c r="D193" s="178" t="s">
        <v>2408</v>
      </c>
      <c r="E193" s="178" t="e">
        <f t="shared" si="12"/>
        <v>#N/A</v>
      </c>
      <c r="F193" s="178" t="e">
        <f t="shared" si="16"/>
        <v>#N/A</v>
      </c>
      <c r="G193" s="178" t="e">
        <f t="shared" si="17"/>
        <v>#N/A</v>
      </c>
      <c r="H193" s="264"/>
      <c r="I193" s="264"/>
      <c r="J193" s="181"/>
      <c r="K193" s="264" t="s">
        <v>2698</v>
      </c>
      <c r="L193" s="178" t="e">
        <f t="shared" si="13"/>
        <v>#N/A</v>
      </c>
      <c r="M193" s="178" t="e">
        <f t="shared" si="14"/>
        <v>#N/A</v>
      </c>
      <c r="N193" s="178" t="e">
        <f t="shared" si="15"/>
        <v>#N/A</v>
      </c>
    </row>
    <row r="194" spans="1:14" hidden="1">
      <c r="A194" s="178" t="s">
        <v>2409</v>
      </c>
      <c r="B194" s="178" t="s">
        <v>5453</v>
      </c>
      <c r="C194" s="178" t="s">
        <v>5459</v>
      </c>
      <c r="D194" s="178" t="s">
        <v>2409</v>
      </c>
      <c r="E194" s="178" t="e">
        <f t="shared" si="12"/>
        <v>#N/A</v>
      </c>
      <c r="F194" s="178" t="e">
        <f t="shared" si="16"/>
        <v>#N/A</v>
      </c>
      <c r="G194" s="178" t="e">
        <f t="shared" si="17"/>
        <v>#N/A</v>
      </c>
      <c r="H194" s="264"/>
      <c r="I194" s="264"/>
      <c r="J194" s="181"/>
      <c r="K194" s="264" t="s">
        <v>2699</v>
      </c>
      <c r="L194" s="178" t="e">
        <f t="shared" si="13"/>
        <v>#N/A</v>
      </c>
      <c r="M194" s="178" t="e">
        <f t="shared" si="14"/>
        <v>#N/A</v>
      </c>
      <c r="N194" s="178" t="e">
        <f t="shared" si="15"/>
        <v>#N/A</v>
      </c>
    </row>
    <row r="195" spans="1:14">
      <c r="A195" s="178" t="s">
        <v>2410</v>
      </c>
      <c r="B195" s="178" t="s">
        <v>5453</v>
      </c>
      <c r="C195" s="178" t="s">
        <v>5460</v>
      </c>
      <c r="D195" s="178" t="s">
        <v>2410</v>
      </c>
      <c r="E195" s="178" t="str">
        <f t="shared" si="12"/>
        <v>A4053</v>
      </c>
      <c r="F195" s="178" t="str">
        <f t="shared" si="16"/>
        <v>GEA_KCB신용요약정보조회Dto</v>
      </c>
      <c r="G195" s="178">
        <f t="shared" si="17"/>
        <v>1</v>
      </c>
      <c r="H195" s="263" t="s">
        <v>2700</v>
      </c>
      <c r="I195" s="263" t="s">
        <v>5427</v>
      </c>
      <c r="J195" s="178" t="s">
        <v>2907</v>
      </c>
      <c r="K195" s="263" t="s">
        <v>2700</v>
      </c>
      <c r="L195" s="178" t="e">
        <f t="shared" si="13"/>
        <v>#N/A</v>
      </c>
      <c r="M195" s="178" t="e">
        <f t="shared" si="14"/>
        <v>#N/A</v>
      </c>
      <c r="N195" s="178" t="e">
        <f t="shared" si="15"/>
        <v>#N/A</v>
      </c>
    </row>
    <row r="196" spans="1:14">
      <c r="A196" s="359" t="s">
        <v>2412</v>
      </c>
      <c r="B196" s="178" t="s">
        <v>5453</v>
      </c>
      <c r="C196" s="178" t="s">
        <v>1064</v>
      </c>
      <c r="D196" s="359" t="s">
        <v>2412</v>
      </c>
      <c r="E196" s="178" t="str">
        <f t="shared" ref="E196:E259" si="20">VLOOKUP(C196,$J$5:$K$601,2,FALSE)</f>
        <v>A4046</v>
      </c>
      <c r="F196" s="178" t="str">
        <f t="shared" si="16"/>
        <v>GEA_KCB신용요약정보조회Dto</v>
      </c>
      <c r="G196" s="178">
        <f t="shared" si="17"/>
        <v>1</v>
      </c>
      <c r="H196" s="263" t="s">
        <v>2701</v>
      </c>
      <c r="I196" s="263" t="s">
        <v>5427</v>
      </c>
      <c r="J196" s="178" t="s">
        <v>2908</v>
      </c>
      <c r="K196" s="263" t="s">
        <v>2701</v>
      </c>
      <c r="L196" s="178" t="e">
        <f t="shared" ref="L196:L259" si="21">VLOOKUP(TRIM(J196),$C$3:$D$463,2,FALSE)</f>
        <v>#N/A</v>
      </c>
      <c r="M196" s="178" t="e">
        <f t="shared" ref="M196:M259" si="22">VLOOKUP(L196,$A$3:$B$463,2,FALSE)</f>
        <v>#N/A</v>
      </c>
      <c r="N196" s="178" t="e">
        <f t="shared" ref="N196:N259" si="23">IF(M196=I196,1,0)</f>
        <v>#N/A</v>
      </c>
    </row>
    <row r="197" spans="1:14">
      <c r="A197" s="359" t="s">
        <v>2413</v>
      </c>
      <c r="B197" s="178" t="s">
        <v>5453</v>
      </c>
      <c r="C197" s="178" t="s">
        <v>1067</v>
      </c>
      <c r="D197" s="359" t="s">
        <v>2413</v>
      </c>
      <c r="E197" s="178" t="str">
        <f t="shared" si="20"/>
        <v>A4047</v>
      </c>
      <c r="F197" s="178" t="str">
        <f t="shared" si="16"/>
        <v>GEA_KCB신용요약정보조회Dto</v>
      </c>
      <c r="G197" s="178">
        <f t="shared" si="17"/>
        <v>1</v>
      </c>
      <c r="H197" s="263" t="s">
        <v>2702</v>
      </c>
      <c r="I197" s="263" t="s">
        <v>5427</v>
      </c>
      <c r="J197" s="178" t="s">
        <v>2799</v>
      </c>
      <c r="K197" s="263" t="s">
        <v>2702</v>
      </c>
      <c r="L197" s="178" t="e">
        <f t="shared" si="21"/>
        <v>#N/A</v>
      </c>
      <c r="M197" s="178" t="e">
        <f t="shared" si="22"/>
        <v>#N/A</v>
      </c>
      <c r="N197" s="178" t="e">
        <f t="shared" si="23"/>
        <v>#N/A</v>
      </c>
    </row>
    <row r="198" spans="1:14">
      <c r="A198" s="359" t="s">
        <v>2414</v>
      </c>
      <c r="B198" s="178" t="s">
        <v>5453</v>
      </c>
      <c r="C198" s="178" t="s">
        <v>1061</v>
      </c>
      <c r="D198" s="359" t="s">
        <v>2414</v>
      </c>
      <c r="E198" s="178" t="str">
        <f t="shared" si="20"/>
        <v>A4045</v>
      </c>
      <c r="F198" s="178" t="str">
        <f t="shared" si="16"/>
        <v>GEA_KCB신용요약정보조회Dto</v>
      </c>
      <c r="G198" s="178">
        <f t="shared" si="17"/>
        <v>1</v>
      </c>
      <c r="H198" s="263" t="s">
        <v>2703</v>
      </c>
      <c r="I198" s="263" t="s">
        <v>5427</v>
      </c>
      <c r="J198" s="178" t="s">
        <v>2909</v>
      </c>
      <c r="K198" s="263" t="s">
        <v>2703</v>
      </c>
      <c r="L198" s="178" t="e">
        <f t="shared" si="21"/>
        <v>#N/A</v>
      </c>
      <c r="M198" s="178" t="e">
        <f t="shared" si="22"/>
        <v>#N/A</v>
      </c>
      <c r="N198" s="178" t="e">
        <f t="shared" si="23"/>
        <v>#N/A</v>
      </c>
    </row>
    <row r="199" spans="1:14">
      <c r="A199" s="359" t="s">
        <v>2415</v>
      </c>
      <c r="B199" s="178" t="s">
        <v>5453</v>
      </c>
      <c r="C199" s="178" t="s">
        <v>1033</v>
      </c>
      <c r="D199" s="359" t="s">
        <v>2415</v>
      </c>
      <c r="E199" s="178" t="str">
        <f t="shared" si="20"/>
        <v>A4035</v>
      </c>
      <c r="F199" s="178" t="str">
        <f t="shared" ref="F199:F262" si="24">VLOOKUP(E199,$H$5:$I$601,2,FALSE)</f>
        <v>GEA_KCB신용요약정보조회Dto</v>
      </c>
      <c r="G199" s="178">
        <f t="shared" ref="G199:G262" si="25">IF(B199=F199,1,0)</f>
        <v>1</v>
      </c>
      <c r="H199" s="263" t="s">
        <v>2704</v>
      </c>
      <c r="I199" s="263" t="s">
        <v>5427</v>
      </c>
      <c r="J199" s="178" t="s">
        <v>2910</v>
      </c>
      <c r="K199" s="263" t="s">
        <v>2704</v>
      </c>
      <c r="L199" s="178" t="e">
        <f t="shared" si="21"/>
        <v>#N/A</v>
      </c>
      <c r="M199" s="178" t="e">
        <f t="shared" si="22"/>
        <v>#N/A</v>
      </c>
      <c r="N199" s="178" t="e">
        <f t="shared" si="23"/>
        <v>#N/A</v>
      </c>
    </row>
    <row r="200" spans="1:14">
      <c r="A200" s="359" t="s">
        <v>2416</v>
      </c>
      <c r="B200" s="178" t="s">
        <v>5453</v>
      </c>
      <c r="C200" s="178" t="s">
        <v>3338</v>
      </c>
      <c r="D200" s="359" t="s">
        <v>2416</v>
      </c>
      <c r="E200" s="178" t="e">
        <f t="shared" si="20"/>
        <v>#N/A</v>
      </c>
      <c r="F200" s="178" t="e">
        <f t="shared" si="24"/>
        <v>#N/A</v>
      </c>
      <c r="G200" s="178" t="e">
        <f t="shared" si="25"/>
        <v>#N/A</v>
      </c>
      <c r="H200" s="339" t="s">
        <v>3204</v>
      </c>
      <c r="I200" s="263" t="s">
        <v>5427</v>
      </c>
      <c r="J200" s="178" t="s">
        <v>252</v>
      </c>
      <c r="K200" s="339" t="s">
        <v>3204</v>
      </c>
      <c r="L200" s="178" t="e">
        <f t="shared" si="21"/>
        <v>#N/A</v>
      </c>
      <c r="M200" s="178" t="e">
        <f t="shared" si="22"/>
        <v>#N/A</v>
      </c>
      <c r="N200" s="178" t="e">
        <f t="shared" si="23"/>
        <v>#N/A</v>
      </c>
    </row>
    <row r="201" spans="1:14">
      <c r="A201" s="359" t="s">
        <v>2417</v>
      </c>
      <c r="B201" s="178" t="s">
        <v>5453</v>
      </c>
      <c r="C201" s="178" t="s">
        <v>1045</v>
      </c>
      <c r="D201" s="359" t="s">
        <v>2417</v>
      </c>
      <c r="E201" s="178" t="str">
        <f t="shared" si="20"/>
        <v>A4039</v>
      </c>
      <c r="F201" s="178" t="str">
        <f t="shared" si="24"/>
        <v>GEA_KCB신용요약정보조회Dto</v>
      </c>
      <c r="G201" s="178">
        <f t="shared" si="25"/>
        <v>1</v>
      </c>
      <c r="H201" s="339" t="s">
        <v>3205</v>
      </c>
      <c r="I201" s="263" t="s">
        <v>5427</v>
      </c>
      <c r="J201" s="178" t="s">
        <v>3565</v>
      </c>
      <c r="K201" s="339" t="s">
        <v>3205</v>
      </c>
      <c r="L201" s="178" t="e">
        <f t="shared" si="21"/>
        <v>#N/A</v>
      </c>
      <c r="M201" s="178" t="e">
        <f t="shared" si="22"/>
        <v>#N/A</v>
      </c>
      <c r="N201" s="178" t="e">
        <f t="shared" si="23"/>
        <v>#N/A</v>
      </c>
    </row>
    <row r="202" spans="1:14">
      <c r="A202" s="359" t="s">
        <v>2418</v>
      </c>
      <c r="B202" s="178" t="s">
        <v>5453</v>
      </c>
      <c r="C202" s="178" t="s">
        <v>1048</v>
      </c>
      <c r="D202" s="359" t="s">
        <v>2418</v>
      </c>
      <c r="E202" s="178" t="str">
        <f t="shared" si="20"/>
        <v>A4040</v>
      </c>
      <c r="F202" s="178" t="str">
        <f t="shared" si="24"/>
        <v>GEA_KCB신용요약정보조회Dto</v>
      </c>
      <c r="G202" s="178">
        <f t="shared" si="25"/>
        <v>1</v>
      </c>
      <c r="H202" s="339" t="s">
        <v>3206</v>
      </c>
      <c r="I202" s="263" t="s">
        <v>5427</v>
      </c>
      <c r="J202" s="178" t="s">
        <v>3576</v>
      </c>
      <c r="K202" s="339" t="s">
        <v>3206</v>
      </c>
      <c r="L202" s="178" t="e">
        <f t="shared" si="21"/>
        <v>#N/A</v>
      </c>
      <c r="M202" s="178" t="e">
        <f t="shared" si="22"/>
        <v>#N/A</v>
      </c>
      <c r="N202" s="178" t="e">
        <f t="shared" si="23"/>
        <v>#N/A</v>
      </c>
    </row>
    <row r="203" spans="1:14">
      <c r="A203" s="359" t="s">
        <v>2419</v>
      </c>
      <c r="B203" s="178" t="s">
        <v>5453</v>
      </c>
      <c r="C203" s="178" t="s">
        <v>5469</v>
      </c>
      <c r="D203" s="359" t="s">
        <v>2419</v>
      </c>
      <c r="E203" s="178" t="str">
        <f t="shared" si="20"/>
        <v>A4058</v>
      </c>
      <c r="F203" s="178" t="str">
        <f t="shared" si="24"/>
        <v>GEA_KCB신용요약정보조회Dto</v>
      </c>
      <c r="G203" s="178">
        <f t="shared" si="25"/>
        <v>1</v>
      </c>
      <c r="H203" s="245" t="s">
        <v>3414</v>
      </c>
      <c r="I203" s="263" t="s">
        <v>5427</v>
      </c>
      <c r="J203" s="178" t="s">
        <v>3486</v>
      </c>
      <c r="K203" s="245" t="s">
        <v>3414</v>
      </c>
      <c r="L203" s="178" t="e">
        <f t="shared" si="21"/>
        <v>#N/A</v>
      </c>
      <c r="M203" s="178" t="e">
        <f t="shared" si="22"/>
        <v>#N/A</v>
      </c>
      <c r="N203" s="178" t="e">
        <f t="shared" si="23"/>
        <v>#N/A</v>
      </c>
    </row>
    <row r="204" spans="1:14">
      <c r="A204" s="359" t="s">
        <v>2420</v>
      </c>
      <c r="B204" s="178" t="s">
        <v>5453</v>
      </c>
      <c r="C204" s="178" t="s">
        <v>1055</v>
      </c>
      <c r="D204" s="359" t="s">
        <v>2420</v>
      </c>
      <c r="E204" s="447" t="str">
        <f t="shared" si="20"/>
        <v>A2149</v>
      </c>
      <c r="F204" s="447" t="str">
        <f t="shared" si="24"/>
        <v>r체크회원사전대상자내역기간조회E</v>
      </c>
      <c r="G204" s="178">
        <f t="shared" si="25"/>
        <v>0</v>
      </c>
      <c r="H204" s="245" t="s">
        <v>3415</v>
      </c>
      <c r="I204" s="263" t="s">
        <v>5427</v>
      </c>
      <c r="J204" s="178" t="s">
        <v>3476</v>
      </c>
      <c r="K204" s="245" t="s">
        <v>3415</v>
      </c>
      <c r="L204" s="178" t="e">
        <f t="shared" si="21"/>
        <v>#N/A</v>
      </c>
      <c r="M204" s="178" t="e">
        <f t="shared" si="22"/>
        <v>#N/A</v>
      </c>
      <c r="N204" s="178" t="e">
        <f t="shared" si="23"/>
        <v>#N/A</v>
      </c>
    </row>
    <row r="205" spans="1:14">
      <c r="A205" s="359" t="s">
        <v>2421</v>
      </c>
      <c r="B205" s="178" t="s">
        <v>5453</v>
      </c>
      <c r="C205" s="178" t="s">
        <v>5470</v>
      </c>
      <c r="D205" s="359" t="s">
        <v>2421</v>
      </c>
      <c r="E205" s="178" t="str">
        <f t="shared" si="20"/>
        <v>A4049</v>
      </c>
      <c r="F205" s="178" t="str">
        <f t="shared" si="24"/>
        <v>GEA_KCB신용요약정보조회Dto</v>
      </c>
      <c r="G205" s="178">
        <f t="shared" si="25"/>
        <v>1</v>
      </c>
      <c r="H205" s="245" t="s">
        <v>3416</v>
      </c>
      <c r="I205" s="263" t="s">
        <v>5427</v>
      </c>
      <c r="J205" s="178" t="s">
        <v>3577</v>
      </c>
      <c r="K205" s="245" t="s">
        <v>3416</v>
      </c>
      <c r="L205" s="178" t="e">
        <f t="shared" si="21"/>
        <v>#N/A</v>
      </c>
      <c r="M205" s="178" t="e">
        <f t="shared" si="22"/>
        <v>#N/A</v>
      </c>
      <c r="N205" s="178" t="e">
        <f t="shared" si="23"/>
        <v>#N/A</v>
      </c>
    </row>
    <row r="206" spans="1:14">
      <c r="A206" s="359" t="s">
        <v>2422</v>
      </c>
      <c r="B206" s="178" t="s">
        <v>5453</v>
      </c>
      <c r="C206" s="178" t="s">
        <v>5471</v>
      </c>
      <c r="D206" s="359" t="s">
        <v>2422</v>
      </c>
      <c r="E206" s="178" t="str">
        <f t="shared" si="20"/>
        <v>A4050</v>
      </c>
      <c r="F206" s="178" t="str">
        <f t="shared" si="24"/>
        <v>GEA_KCB신용요약정보조회Dto</v>
      </c>
      <c r="G206" s="178">
        <f t="shared" si="25"/>
        <v>1</v>
      </c>
      <c r="H206" s="245" t="s">
        <v>3559</v>
      </c>
      <c r="I206" s="263" t="s">
        <v>5427</v>
      </c>
      <c r="J206" s="178" t="s">
        <v>3569</v>
      </c>
      <c r="K206" s="245" t="s">
        <v>3559</v>
      </c>
      <c r="L206" s="178" t="e">
        <f t="shared" si="21"/>
        <v>#N/A</v>
      </c>
      <c r="M206" s="178" t="e">
        <f t="shared" si="22"/>
        <v>#N/A</v>
      </c>
      <c r="N206" s="178" t="e">
        <f t="shared" si="23"/>
        <v>#N/A</v>
      </c>
    </row>
    <row r="207" spans="1:14">
      <c r="A207" s="359" t="s">
        <v>2423</v>
      </c>
      <c r="B207" s="178" t="s">
        <v>5453</v>
      </c>
      <c r="C207" s="178" t="s">
        <v>5472</v>
      </c>
      <c r="D207" s="359" t="s">
        <v>2423</v>
      </c>
      <c r="E207" s="178" t="str">
        <f t="shared" si="20"/>
        <v>A4051</v>
      </c>
      <c r="F207" s="178" t="str">
        <f t="shared" si="24"/>
        <v>GEA_KCB신용요약정보조회Dto</v>
      </c>
      <c r="G207" s="178">
        <f t="shared" si="25"/>
        <v>1</v>
      </c>
      <c r="H207" s="245" t="s">
        <v>3560</v>
      </c>
      <c r="I207" s="263" t="s">
        <v>5427</v>
      </c>
      <c r="J207" s="178" t="s">
        <v>3578</v>
      </c>
      <c r="K207" s="245" t="s">
        <v>3560</v>
      </c>
      <c r="L207" s="178" t="e">
        <f t="shared" si="21"/>
        <v>#N/A</v>
      </c>
      <c r="M207" s="178" t="e">
        <f t="shared" si="22"/>
        <v>#N/A</v>
      </c>
      <c r="N207" s="178" t="e">
        <f t="shared" si="23"/>
        <v>#N/A</v>
      </c>
    </row>
    <row r="208" spans="1:14" hidden="1">
      <c r="A208" s="359" t="s">
        <v>2425</v>
      </c>
      <c r="B208" s="178" t="s">
        <v>5453</v>
      </c>
      <c r="C208" s="178" t="s">
        <v>3924</v>
      </c>
      <c r="D208" s="359" t="s">
        <v>2425</v>
      </c>
      <c r="E208" s="178" t="str">
        <f t="shared" si="20"/>
        <v>A4059</v>
      </c>
      <c r="F208" s="178" t="str">
        <f t="shared" si="24"/>
        <v>GEA_KCB신용요약정보조회Dto</v>
      </c>
      <c r="G208" s="178">
        <f t="shared" si="25"/>
        <v>1</v>
      </c>
      <c r="H208" s="245" t="s">
        <v>3561</v>
      </c>
      <c r="I208" s="445" t="s">
        <v>5427</v>
      </c>
      <c r="J208" s="447" t="s">
        <v>1055</v>
      </c>
      <c r="K208" s="245" t="s">
        <v>3561</v>
      </c>
      <c r="L208" s="178" t="str">
        <f t="shared" si="21"/>
        <v>A4029</v>
      </c>
      <c r="M208" s="178" t="str">
        <f t="shared" si="22"/>
        <v>GEA_KCB신용요약정보조회Dto</v>
      </c>
      <c r="N208" s="178">
        <f t="shared" si="23"/>
        <v>0</v>
      </c>
    </row>
    <row r="209" spans="1:14">
      <c r="A209" s="359" t="s">
        <v>2427</v>
      </c>
      <c r="B209" s="178" t="s">
        <v>5453</v>
      </c>
      <c r="C209" s="178" t="s">
        <v>5473</v>
      </c>
      <c r="D209" s="359" t="s">
        <v>2427</v>
      </c>
      <c r="E209" s="178" t="e">
        <f t="shared" si="20"/>
        <v>#N/A</v>
      </c>
      <c r="F209" s="178" t="e">
        <f t="shared" si="24"/>
        <v>#N/A</v>
      </c>
      <c r="G209" s="178" t="e">
        <f t="shared" si="25"/>
        <v>#N/A</v>
      </c>
      <c r="H209" s="245" t="s">
        <v>3562</v>
      </c>
      <c r="I209" s="263" t="s">
        <v>5427</v>
      </c>
      <c r="J209" s="178" t="s">
        <v>3579</v>
      </c>
      <c r="K209" s="245" t="s">
        <v>3562</v>
      </c>
      <c r="L209" s="178" t="e">
        <f t="shared" si="21"/>
        <v>#N/A</v>
      </c>
      <c r="M209" s="178" t="e">
        <f t="shared" si="22"/>
        <v>#N/A</v>
      </c>
      <c r="N209" s="178" t="e">
        <f t="shared" si="23"/>
        <v>#N/A</v>
      </c>
    </row>
    <row r="210" spans="1:14">
      <c r="A210" s="359" t="s">
        <v>2428</v>
      </c>
      <c r="B210" s="178" t="s">
        <v>5453</v>
      </c>
      <c r="C210" s="178" t="s">
        <v>3899</v>
      </c>
      <c r="D210" s="359" t="s">
        <v>2428</v>
      </c>
      <c r="E210" s="178" t="e">
        <f t="shared" si="20"/>
        <v>#N/A</v>
      </c>
      <c r="F210" s="178" t="e">
        <f t="shared" si="24"/>
        <v>#N/A</v>
      </c>
      <c r="G210" s="178" t="e">
        <f t="shared" si="25"/>
        <v>#N/A</v>
      </c>
      <c r="H210" s="263" t="s">
        <v>5782</v>
      </c>
      <c r="I210" s="263" t="s">
        <v>5427</v>
      </c>
      <c r="J210" s="178" t="s">
        <v>5784</v>
      </c>
      <c r="K210" s="263" t="s">
        <v>5782</v>
      </c>
      <c r="L210" s="178" t="e">
        <f t="shared" si="21"/>
        <v>#N/A</v>
      </c>
      <c r="M210" s="178" t="e">
        <f t="shared" si="22"/>
        <v>#N/A</v>
      </c>
      <c r="N210" s="178" t="e">
        <f t="shared" si="23"/>
        <v>#N/A</v>
      </c>
    </row>
    <row r="211" spans="1:14">
      <c r="A211" s="359" t="s">
        <v>2429</v>
      </c>
      <c r="B211" s="178" t="s">
        <v>5453</v>
      </c>
      <c r="C211" s="178" t="s">
        <v>5474</v>
      </c>
      <c r="D211" s="359" t="s">
        <v>2429</v>
      </c>
      <c r="E211" s="178" t="e">
        <f t="shared" si="20"/>
        <v>#N/A</v>
      </c>
      <c r="F211" s="178" t="e">
        <f t="shared" si="24"/>
        <v>#N/A</v>
      </c>
      <c r="G211" s="178" t="e">
        <f t="shared" si="25"/>
        <v>#N/A</v>
      </c>
      <c r="H211" s="263" t="s">
        <v>5785</v>
      </c>
      <c r="I211" s="263" t="s">
        <v>5427</v>
      </c>
      <c r="J211" s="178" t="s">
        <v>5787</v>
      </c>
      <c r="K211" s="263" t="s">
        <v>5785</v>
      </c>
      <c r="L211" s="178" t="e">
        <f t="shared" si="21"/>
        <v>#N/A</v>
      </c>
      <c r="M211" s="178" t="e">
        <f t="shared" si="22"/>
        <v>#N/A</v>
      </c>
      <c r="N211" s="178" t="e">
        <f t="shared" si="23"/>
        <v>#N/A</v>
      </c>
    </row>
    <row r="212" spans="1:14">
      <c r="A212" s="359" t="s">
        <v>2430</v>
      </c>
      <c r="B212" s="178" t="s">
        <v>5453</v>
      </c>
      <c r="C212" s="178" t="s">
        <v>5475</v>
      </c>
      <c r="D212" s="359" t="s">
        <v>2430</v>
      </c>
      <c r="E212" s="178" t="e">
        <f t="shared" si="20"/>
        <v>#N/A</v>
      </c>
      <c r="F212" s="178" t="e">
        <f t="shared" si="24"/>
        <v>#N/A</v>
      </c>
      <c r="G212" s="178" t="e">
        <f t="shared" si="25"/>
        <v>#N/A</v>
      </c>
      <c r="H212" s="263" t="s">
        <v>5788</v>
      </c>
      <c r="I212" s="263" t="s">
        <v>5427</v>
      </c>
      <c r="J212" s="178" t="s">
        <v>854</v>
      </c>
      <c r="K212" s="263" t="s">
        <v>5788</v>
      </c>
      <c r="L212" s="178" t="e">
        <f t="shared" si="21"/>
        <v>#N/A</v>
      </c>
      <c r="M212" s="178" t="e">
        <f t="shared" si="22"/>
        <v>#N/A</v>
      </c>
      <c r="N212" s="178" t="e">
        <f t="shared" si="23"/>
        <v>#N/A</v>
      </c>
    </row>
    <row r="213" spans="1:14">
      <c r="A213" s="359" t="s">
        <v>2431</v>
      </c>
      <c r="B213" s="178" t="s">
        <v>5453</v>
      </c>
      <c r="C213" s="178" t="s">
        <v>5476</v>
      </c>
      <c r="D213" s="359" t="s">
        <v>2431</v>
      </c>
      <c r="E213" s="178" t="e">
        <f t="shared" si="20"/>
        <v>#N/A</v>
      </c>
      <c r="F213" s="178" t="e">
        <f t="shared" si="24"/>
        <v>#N/A</v>
      </c>
      <c r="G213" s="178" t="e">
        <f t="shared" si="25"/>
        <v>#N/A</v>
      </c>
      <c r="H213" s="263" t="s">
        <v>5790</v>
      </c>
      <c r="I213" s="263" t="s">
        <v>5427</v>
      </c>
      <c r="J213" s="178" t="s">
        <v>3483</v>
      </c>
      <c r="K213" s="263" t="s">
        <v>5790</v>
      </c>
      <c r="L213" s="178" t="e">
        <f t="shared" si="21"/>
        <v>#N/A</v>
      </c>
      <c r="M213" s="178" t="e">
        <f t="shared" si="22"/>
        <v>#N/A</v>
      </c>
      <c r="N213" s="178" t="e">
        <f t="shared" si="23"/>
        <v>#N/A</v>
      </c>
    </row>
    <row r="214" spans="1:14">
      <c r="A214" s="359" t="s">
        <v>2432</v>
      </c>
      <c r="B214" s="178" t="s">
        <v>5453</v>
      </c>
      <c r="C214" s="178" t="s">
        <v>5477</v>
      </c>
      <c r="D214" s="359" t="s">
        <v>2432</v>
      </c>
      <c r="E214" s="178" t="e">
        <f t="shared" si="20"/>
        <v>#N/A</v>
      </c>
      <c r="F214" s="178" t="e">
        <f t="shared" si="24"/>
        <v>#N/A</v>
      </c>
      <c r="G214" s="178" t="e">
        <f t="shared" si="25"/>
        <v>#N/A</v>
      </c>
      <c r="H214" s="263" t="s">
        <v>5792</v>
      </c>
      <c r="I214" s="263" t="s">
        <v>5427</v>
      </c>
      <c r="J214" s="178" t="s">
        <v>5794</v>
      </c>
      <c r="K214" s="263" t="s">
        <v>5792</v>
      </c>
      <c r="L214" s="178" t="e">
        <f t="shared" si="21"/>
        <v>#N/A</v>
      </c>
      <c r="M214" s="178" t="e">
        <f t="shared" si="22"/>
        <v>#N/A</v>
      </c>
      <c r="N214" s="178" t="e">
        <f t="shared" si="23"/>
        <v>#N/A</v>
      </c>
    </row>
    <row r="215" spans="1:14">
      <c r="A215" s="359" t="s">
        <v>2433</v>
      </c>
      <c r="B215" s="178" t="s">
        <v>5453</v>
      </c>
      <c r="C215" s="178" t="s">
        <v>3903</v>
      </c>
      <c r="D215" s="359" t="s">
        <v>2433</v>
      </c>
      <c r="E215" s="178" t="e">
        <f t="shared" si="20"/>
        <v>#N/A</v>
      </c>
      <c r="F215" s="178" t="e">
        <f t="shared" si="24"/>
        <v>#N/A</v>
      </c>
      <c r="G215" s="178" t="e">
        <f t="shared" si="25"/>
        <v>#N/A</v>
      </c>
      <c r="H215" s="263" t="s">
        <v>5795</v>
      </c>
      <c r="I215" s="263" t="s">
        <v>5427</v>
      </c>
      <c r="J215" s="178" t="s">
        <v>5797</v>
      </c>
      <c r="K215" s="263" t="s">
        <v>5795</v>
      </c>
      <c r="L215" s="178" t="e">
        <f t="shared" si="21"/>
        <v>#N/A</v>
      </c>
      <c r="M215" s="178" t="e">
        <f t="shared" si="22"/>
        <v>#N/A</v>
      </c>
      <c r="N215" s="178" t="e">
        <f t="shared" si="23"/>
        <v>#N/A</v>
      </c>
    </row>
    <row r="216" spans="1:14">
      <c r="A216" s="359" t="s">
        <v>2434</v>
      </c>
      <c r="B216" s="178" t="s">
        <v>5453</v>
      </c>
      <c r="C216" s="178" t="s">
        <v>3905</v>
      </c>
      <c r="D216" s="359" t="s">
        <v>2434</v>
      </c>
      <c r="E216" s="178" t="e">
        <f t="shared" si="20"/>
        <v>#N/A</v>
      </c>
      <c r="F216" s="178" t="e">
        <f t="shared" si="24"/>
        <v>#N/A</v>
      </c>
      <c r="G216" s="178" t="e">
        <f t="shared" si="25"/>
        <v>#N/A</v>
      </c>
      <c r="H216" s="263" t="s">
        <v>5799</v>
      </c>
      <c r="I216" s="263" t="s">
        <v>5427</v>
      </c>
      <c r="J216" s="178" t="s">
        <v>5801</v>
      </c>
      <c r="K216" s="263" t="s">
        <v>5799</v>
      </c>
      <c r="L216" s="178" t="e">
        <f t="shared" si="21"/>
        <v>#N/A</v>
      </c>
      <c r="M216" s="178" t="e">
        <f t="shared" si="22"/>
        <v>#N/A</v>
      </c>
      <c r="N216" s="178" t="e">
        <f t="shared" si="23"/>
        <v>#N/A</v>
      </c>
    </row>
    <row r="217" spans="1:14">
      <c r="A217" s="359" t="s">
        <v>2435</v>
      </c>
      <c r="B217" s="178" t="s">
        <v>5453</v>
      </c>
      <c r="C217" s="178" t="s">
        <v>3907</v>
      </c>
      <c r="D217" s="359" t="s">
        <v>2435</v>
      </c>
      <c r="E217" s="178" t="e">
        <f t="shared" si="20"/>
        <v>#N/A</v>
      </c>
      <c r="F217" s="178" t="e">
        <f t="shared" si="24"/>
        <v>#N/A</v>
      </c>
      <c r="G217" s="178" t="e">
        <f t="shared" si="25"/>
        <v>#N/A</v>
      </c>
      <c r="H217" s="263" t="s">
        <v>5803</v>
      </c>
      <c r="I217" s="263" t="s">
        <v>5427</v>
      </c>
      <c r="J217" s="178" t="s">
        <v>5805</v>
      </c>
      <c r="K217" s="263" t="s">
        <v>5803</v>
      </c>
      <c r="L217" s="178" t="e">
        <f t="shared" si="21"/>
        <v>#N/A</v>
      </c>
      <c r="M217" s="178" t="e">
        <f t="shared" si="22"/>
        <v>#N/A</v>
      </c>
      <c r="N217" s="178" t="e">
        <f t="shared" si="23"/>
        <v>#N/A</v>
      </c>
    </row>
    <row r="218" spans="1:14">
      <c r="A218" s="359" t="s">
        <v>2436</v>
      </c>
      <c r="B218" s="178" t="s">
        <v>5453</v>
      </c>
      <c r="C218" s="178" t="s">
        <v>5478</v>
      </c>
      <c r="D218" s="359" t="s">
        <v>2436</v>
      </c>
      <c r="E218" s="178" t="e">
        <f t="shared" si="20"/>
        <v>#N/A</v>
      </c>
      <c r="F218" s="178" t="e">
        <f t="shared" si="24"/>
        <v>#N/A</v>
      </c>
      <c r="G218" s="178" t="e">
        <f t="shared" si="25"/>
        <v>#N/A</v>
      </c>
      <c r="H218" s="263" t="s">
        <v>5806</v>
      </c>
      <c r="I218" s="263" t="s">
        <v>5427</v>
      </c>
      <c r="J218" s="178" t="s">
        <v>5808</v>
      </c>
      <c r="K218" s="263" t="s">
        <v>5806</v>
      </c>
      <c r="L218" s="178" t="e">
        <f t="shared" si="21"/>
        <v>#N/A</v>
      </c>
      <c r="M218" s="178" t="e">
        <f t="shared" si="22"/>
        <v>#N/A</v>
      </c>
      <c r="N218" s="178" t="e">
        <f t="shared" si="23"/>
        <v>#N/A</v>
      </c>
    </row>
    <row r="219" spans="1:14">
      <c r="A219" s="359" t="s">
        <v>2437</v>
      </c>
      <c r="B219" s="178" t="s">
        <v>5453</v>
      </c>
      <c r="C219" s="178" t="s">
        <v>5479</v>
      </c>
      <c r="D219" s="359" t="s">
        <v>2437</v>
      </c>
      <c r="E219" s="178" t="e">
        <f t="shared" si="20"/>
        <v>#N/A</v>
      </c>
      <c r="F219" s="178" t="e">
        <f t="shared" si="24"/>
        <v>#N/A</v>
      </c>
      <c r="G219" s="178" t="e">
        <f t="shared" si="25"/>
        <v>#N/A</v>
      </c>
      <c r="H219" s="263" t="s">
        <v>5809</v>
      </c>
      <c r="I219" s="263" t="s">
        <v>5427</v>
      </c>
      <c r="J219" s="178" t="s">
        <v>5866</v>
      </c>
      <c r="K219" s="263" t="s">
        <v>5809</v>
      </c>
      <c r="L219" s="178" t="e">
        <f t="shared" si="21"/>
        <v>#N/A</v>
      </c>
      <c r="M219" s="178" t="e">
        <f t="shared" si="22"/>
        <v>#N/A</v>
      </c>
      <c r="N219" s="178" t="e">
        <f t="shared" si="23"/>
        <v>#N/A</v>
      </c>
    </row>
    <row r="220" spans="1:14">
      <c r="A220" s="359" t="s">
        <v>2438</v>
      </c>
      <c r="B220" s="178" t="s">
        <v>5453</v>
      </c>
      <c r="C220" s="178" t="s">
        <v>5480</v>
      </c>
      <c r="D220" s="359" t="s">
        <v>2438</v>
      </c>
      <c r="E220" s="178" t="e">
        <f t="shared" si="20"/>
        <v>#N/A</v>
      </c>
      <c r="F220" s="178" t="e">
        <f t="shared" si="24"/>
        <v>#N/A</v>
      </c>
      <c r="G220" s="178" t="e">
        <f t="shared" si="25"/>
        <v>#N/A</v>
      </c>
      <c r="H220" s="263" t="s">
        <v>5811</v>
      </c>
      <c r="I220" s="263" t="s">
        <v>5427</v>
      </c>
      <c r="J220" s="178" t="s">
        <v>5813</v>
      </c>
      <c r="K220" s="263" t="s">
        <v>5811</v>
      </c>
      <c r="L220" s="178" t="e">
        <f t="shared" si="21"/>
        <v>#N/A</v>
      </c>
      <c r="M220" s="178" t="e">
        <f t="shared" si="22"/>
        <v>#N/A</v>
      </c>
      <c r="N220" s="178" t="e">
        <f t="shared" si="23"/>
        <v>#N/A</v>
      </c>
    </row>
    <row r="221" spans="1:14">
      <c r="A221" s="359" t="s">
        <v>2439</v>
      </c>
      <c r="B221" s="178" t="s">
        <v>5453</v>
      </c>
      <c r="C221" s="178" t="s">
        <v>3901</v>
      </c>
      <c r="D221" s="359" t="s">
        <v>2439</v>
      </c>
      <c r="E221" s="178" t="e">
        <f t="shared" si="20"/>
        <v>#N/A</v>
      </c>
      <c r="F221" s="178" t="e">
        <f t="shared" si="24"/>
        <v>#N/A</v>
      </c>
      <c r="G221" s="178" t="e">
        <f t="shared" si="25"/>
        <v>#N/A</v>
      </c>
      <c r="H221" s="263" t="s">
        <v>5814</v>
      </c>
      <c r="I221" s="263" t="s">
        <v>5427</v>
      </c>
      <c r="J221" s="178" t="s">
        <v>5867</v>
      </c>
      <c r="K221" s="263" t="s">
        <v>5814</v>
      </c>
      <c r="L221" s="178" t="e">
        <f t="shared" si="21"/>
        <v>#N/A</v>
      </c>
      <c r="M221" s="178" t="e">
        <f t="shared" si="22"/>
        <v>#N/A</v>
      </c>
      <c r="N221" s="178" t="e">
        <f t="shared" si="23"/>
        <v>#N/A</v>
      </c>
    </row>
    <row r="222" spans="1:14">
      <c r="A222" s="359" t="s">
        <v>2440</v>
      </c>
      <c r="B222" s="178" t="s">
        <v>5453</v>
      </c>
      <c r="C222" s="178" t="s">
        <v>5481</v>
      </c>
      <c r="D222" s="359" t="s">
        <v>2440</v>
      </c>
      <c r="E222" s="178" t="e">
        <f t="shared" si="20"/>
        <v>#N/A</v>
      </c>
      <c r="F222" s="178" t="e">
        <f t="shared" si="24"/>
        <v>#N/A</v>
      </c>
      <c r="G222" s="178" t="e">
        <f t="shared" si="25"/>
        <v>#N/A</v>
      </c>
      <c r="H222" s="263" t="s">
        <v>5815</v>
      </c>
      <c r="I222" s="263" t="s">
        <v>5427</v>
      </c>
      <c r="J222" s="178" t="s">
        <v>5868</v>
      </c>
      <c r="K222" s="263" t="s">
        <v>5815</v>
      </c>
      <c r="L222" s="178" t="e">
        <f t="shared" si="21"/>
        <v>#N/A</v>
      </c>
      <c r="M222" s="178" t="e">
        <f t="shared" si="22"/>
        <v>#N/A</v>
      </c>
      <c r="N222" s="178" t="e">
        <f t="shared" si="23"/>
        <v>#N/A</v>
      </c>
    </row>
    <row r="223" spans="1:14" hidden="1">
      <c r="A223" s="359" t="s">
        <v>2520</v>
      </c>
      <c r="B223" s="178" t="s">
        <v>5453</v>
      </c>
      <c r="C223" s="178" t="s">
        <v>995</v>
      </c>
      <c r="D223" s="359" t="s">
        <v>2520</v>
      </c>
      <c r="E223" s="178" t="e">
        <f t="shared" si="20"/>
        <v>#N/A</v>
      </c>
      <c r="F223" s="178" t="e">
        <f t="shared" si="24"/>
        <v>#N/A</v>
      </c>
      <c r="G223" s="178" t="e">
        <f t="shared" si="25"/>
        <v>#N/A</v>
      </c>
      <c r="H223" s="264"/>
      <c r="I223" s="264"/>
      <c r="J223" s="264"/>
      <c r="K223" s="264" t="s">
        <v>2331</v>
      </c>
      <c r="L223" s="178" t="e">
        <f t="shared" si="21"/>
        <v>#N/A</v>
      </c>
      <c r="M223" s="178" t="e">
        <f t="shared" si="22"/>
        <v>#N/A</v>
      </c>
      <c r="N223" s="178" t="e">
        <f t="shared" si="23"/>
        <v>#N/A</v>
      </c>
    </row>
    <row r="224" spans="1:14" hidden="1">
      <c r="A224" s="359" t="s">
        <v>3422</v>
      </c>
      <c r="B224" s="178" t="s">
        <v>5453</v>
      </c>
      <c r="C224" s="178" t="s">
        <v>5409</v>
      </c>
      <c r="D224" s="359" t="s">
        <v>3422</v>
      </c>
      <c r="E224" s="178" t="e">
        <f t="shared" si="20"/>
        <v>#N/A</v>
      </c>
      <c r="F224" s="178" t="e">
        <f t="shared" si="24"/>
        <v>#N/A</v>
      </c>
      <c r="G224" s="178" t="e">
        <f t="shared" si="25"/>
        <v>#N/A</v>
      </c>
      <c r="H224" s="264"/>
      <c r="I224" s="264"/>
      <c r="J224" s="264"/>
      <c r="K224" s="264" t="s">
        <v>2332</v>
      </c>
      <c r="L224" s="178" t="e">
        <f t="shared" si="21"/>
        <v>#N/A</v>
      </c>
      <c r="M224" s="178" t="e">
        <f t="shared" si="22"/>
        <v>#N/A</v>
      </c>
      <c r="N224" s="178" t="e">
        <f t="shared" si="23"/>
        <v>#N/A</v>
      </c>
    </row>
    <row r="225" spans="1:14" hidden="1">
      <c r="A225" s="359" t="s">
        <v>3423</v>
      </c>
      <c r="B225" s="178" t="s">
        <v>5453</v>
      </c>
      <c r="C225" s="178" t="s">
        <v>5482</v>
      </c>
      <c r="D225" s="359" t="s">
        <v>3423</v>
      </c>
      <c r="E225" s="178" t="e">
        <f t="shared" si="20"/>
        <v>#N/A</v>
      </c>
      <c r="F225" s="178" t="e">
        <f t="shared" si="24"/>
        <v>#N/A</v>
      </c>
      <c r="G225" s="178" t="e">
        <f t="shared" si="25"/>
        <v>#N/A</v>
      </c>
      <c r="H225" s="264"/>
      <c r="I225" s="264"/>
      <c r="J225" s="264"/>
      <c r="K225" s="264" t="s">
        <v>2333</v>
      </c>
      <c r="L225" s="178" t="e">
        <f t="shared" si="21"/>
        <v>#N/A</v>
      </c>
      <c r="M225" s="178" t="e">
        <f t="shared" si="22"/>
        <v>#N/A</v>
      </c>
      <c r="N225" s="178" t="e">
        <f t="shared" si="23"/>
        <v>#N/A</v>
      </c>
    </row>
    <row r="226" spans="1:14" hidden="1">
      <c r="A226" s="359" t="s">
        <v>3424</v>
      </c>
      <c r="B226" s="178" t="s">
        <v>5453</v>
      </c>
      <c r="C226" s="178" t="s">
        <v>5271</v>
      </c>
      <c r="D226" s="359" t="s">
        <v>3424</v>
      </c>
      <c r="E226" s="178" t="e">
        <f t="shared" si="20"/>
        <v>#N/A</v>
      </c>
      <c r="F226" s="178" t="e">
        <f t="shared" si="24"/>
        <v>#N/A</v>
      </c>
      <c r="G226" s="178" t="e">
        <f t="shared" si="25"/>
        <v>#N/A</v>
      </c>
      <c r="H226" s="264"/>
      <c r="I226" s="264"/>
      <c r="J226" s="264"/>
      <c r="K226" s="264" t="s">
        <v>2334</v>
      </c>
      <c r="L226" s="178" t="e">
        <f t="shared" si="21"/>
        <v>#N/A</v>
      </c>
      <c r="M226" s="178" t="e">
        <f t="shared" si="22"/>
        <v>#N/A</v>
      </c>
      <c r="N226" s="178" t="e">
        <f t="shared" si="23"/>
        <v>#N/A</v>
      </c>
    </row>
    <row r="227" spans="1:14" hidden="1">
      <c r="A227" s="359" t="s">
        <v>5272</v>
      </c>
      <c r="B227" s="178" t="s">
        <v>5453</v>
      </c>
      <c r="C227" s="178" t="s">
        <v>5273</v>
      </c>
      <c r="D227" s="359" t="s">
        <v>5272</v>
      </c>
      <c r="E227" s="178" t="e">
        <f t="shared" si="20"/>
        <v>#N/A</v>
      </c>
      <c r="F227" s="178" t="e">
        <f t="shared" si="24"/>
        <v>#N/A</v>
      </c>
      <c r="G227" s="178" t="e">
        <f t="shared" si="25"/>
        <v>#N/A</v>
      </c>
      <c r="H227" s="264"/>
      <c r="I227" s="264"/>
      <c r="J227" s="264"/>
      <c r="K227" s="264" t="s">
        <v>2335</v>
      </c>
      <c r="L227" s="178" t="e">
        <f t="shared" si="21"/>
        <v>#N/A</v>
      </c>
      <c r="M227" s="178" t="e">
        <f t="shared" si="22"/>
        <v>#N/A</v>
      </c>
      <c r="N227" s="178" t="e">
        <f t="shared" si="23"/>
        <v>#N/A</v>
      </c>
    </row>
    <row r="228" spans="1:14" hidden="1">
      <c r="A228" s="359" t="s">
        <v>5274</v>
      </c>
      <c r="B228" s="178" t="s">
        <v>5453</v>
      </c>
      <c r="C228" s="178" t="s">
        <v>992</v>
      </c>
      <c r="D228" s="359" t="s">
        <v>5274</v>
      </c>
      <c r="E228" s="178" t="e">
        <f t="shared" si="20"/>
        <v>#N/A</v>
      </c>
      <c r="F228" s="178" t="e">
        <f t="shared" si="24"/>
        <v>#N/A</v>
      </c>
      <c r="G228" s="178" t="e">
        <f t="shared" si="25"/>
        <v>#N/A</v>
      </c>
      <c r="H228" s="264"/>
      <c r="I228" s="264"/>
      <c r="J228" s="264"/>
      <c r="K228" s="264" t="s">
        <v>2336</v>
      </c>
      <c r="L228" s="178" t="e">
        <f t="shared" si="21"/>
        <v>#N/A</v>
      </c>
      <c r="M228" s="178" t="e">
        <f t="shared" si="22"/>
        <v>#N/A</v>
      </c>
      <c r="N228" s="178" t="e">
        <f t="shared" si="23"/>
        <v>#N/A</v>
      </c>
    </row>
    <row r="229" spans="1:14" hidden="1">
      <c r="A229" s="359" t="s">
        <v>5276</v>
      </c>
      <c r="B229" s="178" t="s">
        <v>5453</v>
      </c>
      <c r="C229" s="178" t="s">
        <v>5483</v>
      </c>
      <c r="D229" s="359" t="s">
        <v>5276</v>
      </c>
      <c r="E229" s="178" t="e">
        <f t="shared" si="20"/>
        <v>#N/A</v>
      </c>
      <c r="F229" s="178" t="e">
        <f t="shared" si="24"/>
        <v>#N/A</v>
      </c>
      <c r="G229" s="178" t="e">
        <f t="shared" si="25"/>
        <v>#N/A</v>
      </c>
      <c r="H229" s="264"/>
      <c r="I229" s="264"/>
      <c r="J229" s="264"/>
      <c r="K229" s="264" t="s">
        <v>2337</v>
      </c>
      <c r="L229" s="178" t="e">
        <f t="shared" si="21"/>
        <v>#N/A</v>
      </c>
      <c r="M229" s="178" t="e">
        <f t="shared" si="22"/>
        <v>#N/A</v>
      </c>
      <c r="N229" s="178" t="e">
        <f t="shared" si="23"/>
        <v>#N/A</v>
      </c>
    </row>
    <row r="230" spans="1:14" hidden="1">
      <c r="A230" s="359" t="s">
        <v>5405</v>
      </c>
      <c r="B230" s="178" t="s">
        <v>5453</v>
      </c>
      <c r="C230" s="178" t="s">
        <v>5484</v>
      </c>
      <c r="D230" s="359" t="s">
        <v>5405</v>
      </c>
      <c r="E230" s="178" t="e">
        <f t="shared" si="20"/>
        <v>#N/A</v>
      </c>
      <c r="F230" s="178" t="e">
        <f t="shared" si="24"/>
        <v>#N/A</v>
      </c>
      <c r="G230" s="178" t="e">
        <f t="shared" si="25"/>
        <v>#N/A</v>
      </c>
      <c r="H230" s="264"/>
      <c r="I230" s="264"/>
      <c r="J230" s="264"/>
      <c r="K230" s="264" t="s">
        <v>2338</v>
      </c>
      <c r="L230" s="178" t="e">
        <f t="shared" si="21"/>
        <v>#N/A</v>
      </c>
      <c r="M230" s="178" t="e">
        <f t="shared" si="22"/>
        <v>#N/A</v>
      </c>
      <c r="N230" s="178" t="e">
        <f t="shared" si="23"/>
        <v>#N/A</v>
      </c>
    </row>
    <row r="231" spans="1:14" hidden="1">
      <c r="A231" s="359" t="s">
        <v>3676</v>
      </c>
      <c r="B231" s="178" t="s">
        <v>5453</v>
      </c>
      <c r="C231" s="178" t="s">
        <v>5485</v>
      </c>
      <c r="D231" s="359" t="s">
        <v>3676</v>
      </c>
      <c r="E231" s="178" t="e">
        <f t="shared" si="20"/>
        <v>#N/A</v>
      </c>
      <c r="F231" s="178" t="e">
        <f t="shared" si="24"/>
        <v>#N/A</v>
      </c>
      <c r="G231" s="178" t="e">
        <f t="shared" si="25"/>
        <v>#N/A</v>
      </c>
      <c r="H231" s="264"/>
      <c r="I231" s="264"/>
      <c r="J231" s="264"/>
      <c r="K231" s="264" t="s">
        <v>2339</v>
      </c>
      <c r="L231" s="178" t="e">
        <f t="shared" si="21"/>
        <v>#N/A</v>
      </c>
      <c r="M231" s="178" t="e">
        <f t="shared" si="22"/>
        <v>#N/A</v>
      </c>
      <c r="N231" s="178" t="e">
        <f t="shared" si="23"/>
        <v>#N/A</v>
      </c>
    </row>
    <row r="232" spans="1:14" hidden="1">
      <c r="A232" s="359" t="s">
        <v>3677</v>
      </c>
      <c r="B232" s="178" t="s">
        <v>5453</v>
      </c>
      <c r="C232" s="178" t="s">
        <v>5486</v>
      </c>
      <c r="D232" s="359" t="s">
        <v>3677</v>
      </c>
      <c r="E232" s="178" t="e">
        <f t="shared" si="20"/>
        <v>#N/A</v>
      </c>
      <c r="F232" s="178" t="e">
        <f t="shared" si="24"/>
        <v>#N/A</v>
      </c>
      <c r="G232" s="178" t="e">
        <f t="shared" si="25"/>
        <v>#N/A</v>
      </c>
      <c r="H232" s="264"/>
      <c r="I232" s="264"/>
      <c r="J232" s="264"/>
      <c r="K232" s="264" t="s">
        <v>2340</v>
      </c>
      <c r="L232" s="178" t="e">
        <f t="shared" si="21"/>
        <v>#N/A</v>
      </c>
      <c r="M232" s="178" t="e">
        <f t="shared" si="22"/>
        <v>#N/A</v>
      </c>
      <c r="N232" s="178" t="e">
        <f t="shared" si="23"/>
        <v>#N/A</v>
      </c>
    </row>
    <row r="233" spans="1:14" hidden="1">
      <c r="A233" s="359" t="s">
        <v>4927</v>
      </c>
      <c r="B233" s="178" t="s">
        <v>5453</v>
      </c>
      <c r="C233" s="178" t="s">
        <v>5487</v>
      </c>
      <c r="D233" s="359" t="s">
        <v>4927</v>
      </c>
      <c r="E233" s="178" t="str">
        <f t="shared" si="20"/>
        <v>A4069</v>
      </c>
      <c r="F233" s="178" t="str">
        <f t="shared" si="24"/>
        <v>GEA_KCB신용요약정보조회Dto</v>
      </c>
      <c r="G233" s="178">
        <f t="shared" si="25"/>
        <v>1</v>
      </c>
      <c r="H233" s="263" t="s">
        <v>2341</v>
      </c>
      <c r="I233" s="263" t="s">
        <v>5613</v>
      </c>
      <c r="J233" s="263" t="s">
        <v>785</v>
      </c>
      <c r="K233" s="263" t="s">
        <v>2341</v>
      </c>
      <c r="L233" s="178" t="str">
        <f t="shared" si="21"/>
        <v>A3021</v>
      </c>
      <c r="M233" s="178" t="str">
        <f t="shared" si="22"/>
        <v>GEA_NICE신용요약정보조회Dto</v>
      </c>
      <c r="N233" s="178">
        <f t="shared" si="23"/>
        <v>1</v>
      </c>
    </row>
    <row r="234" spans="1:14" hidden="1">
      <c r="A234" s="359" t="s">
        <v>3923</v>
      </c>
      <c r="B234" s="178" t="s">
        <v>5453</v>
      </c>
      <c r="C234" s="178" t="s">
        <v>5488</v>
      </c>
      <c r="D234" s="359" t="s">
        <v>3923</v>
      </c>
      <c r="E234" s="178" t="str">
        <f t="shared" si="20"/>
        <v>A4070</v>
      </c>
      <c r="F234" s="178" t="str">
        <f t="shared" si="24"/>
        <v>GEA_KCB신용요약정보조회Dto</v>
      </c>
      <c r="G234" s="178">
        <f t="shared" si="25"/>
        <v>1</v>
      </c>
      <c r="H234" s="264"/>
      <c r="I234" s="264"/>
      <c r="J234" s="264"/>
      <c r="K234" s="264" t="s">
        <v>2342</v>
      </c>
      <c r="L234" s="178" t="e">
        <f t="shared" si="21"/>
        <v>#N/A</v>
      </c>
      <c r="M234" s="178" t="e">
        <f t="shared" si="22"/>
        <v>#N/A</v>
      </c>
      <c r="N234" s="178" t="e">
        <f t="shared" si="23"/>
        <v>#N/A</v>
      </c>
    </row>
    <row r="235" spans="1:14" hidden="1">
      <c r="A235" s="359" t="s">
        <v>5279</v>
      </c>
      <c r="B235" s="178" t="s">
        <v>5453</v>
      </c>
      <c r="C235" s="178" t="s">
        <v>5496</v>
      </c>
      <c r="D235" s="359" t="s">
        <v>5279</v>
      </c>
      <c r="E235" s="178" t="e">
        <f t="shared" si="20"/>
        <v>#N/A</v>
      </c>
      <c r="F235" s="178" t="e">
        <f t="shared" si="24"/>
        <v>#N/A</v>
      </c>
      <c r="G235" s="178" t="e">
        <f t="shared" si="25"/>
        <v>#N/A</v>
      </c>
      <c r="H235" s="264"/>
      <c r="I235" s="264"/>
      <c r="J235" s="264"/>
      <c r="K235" s="264" t="s">
        <v>2343</v>
      </c>
      <c r="L235" s="178" t="e">
        <f t="shared" si="21"/>
        <v>#N/A</v>
      </c>
      <c r="M235" s="178" t="e">
        <f t="shared" si="22"/>
        <v>#N/A</v>
      </c>
      <c r="N235" s="178" t="e">
        <f t="shared" si="23"/>
        <v>#N/A</v>
      </c>
    </row>
    <row r="236" spans="1:14" hidden="1">
      <c r="A236" s="359" t="s">
        <v>5281</v>
      </c>
      <c r="B236" s="178" t="s">
        <v>5453</v>
      </c>
      <c r="C236" s="178" t="s">
        <v>5498</v>
      </c>
      <c r="D236" s="359" t="s">
        <v>5281</v>
      </c>
      <c r="E236" s="178" t="e">
        <f t="shared" si="20"/>
        <v>#N/A</v>
      </c>
      <c r="F236" s="178" t="e">
        <f t="shared" si="24"/>
        <v>#N/A</v>
      </c>
      <c r="G236" s="178" t="e">
        <f t="shared" si="25"/>
        <v>#N/A</v>
      </c>
      <c r="H236" s="264"/>
      <c r="I236" s="264"/>
      <c r="J236" s="264"/>
      <c r="K236" s="264"/>
      <c r="L236" s="178" t="e">
        <f t="shared" si="21"/>
        <v>#N/A</v>
      </c>
      <c r="M236" s="178" t="e">
        <f t="shared" si="22"/>
        <v>#N/A</v>
      </c>
      <c r="N236" s="178" t="e">
        <f t="shared" si="23"/>
        <v>#N/A</v>
      </c>
    </row>
    <row r="237" spans="1:14" hidden="1">
      <c r="A237" s="359" t="s">
        <v>5283</v>
      </c>
      <c r="B237" s="178" t="s">
        <v>5453</v>
      </c>
      <c r="C237" s="178" t="s">
        <v>5500</v>
      </c>
      <c r="D237" s="359" t="s">
        <v>5283</v>
      </c>
      <c r="E237" s="178" t="e">
        <f t="shared" si="20"/>
        <v>#N/A</v>
      </c>
      <c r="F237" s="178" t="e">
        <f t="shared" si="24"/>
        <v>#N/A</v>
      </c>
      <c r="G237" s="178" t="e">
        <f t="shared" si="25"/>
        <v>#N/A</v>
      </c>
      <c r="H237" s="264"/>
      <c r="I237" s="264"/>
      <c r="J237" s="264"/>
      <c r="K237" s="264"/>
      <c r="L237" s="178" t="e">
        <f t="shared" si="21"/>
        <v>#N/A</v>
      </c>
      <c r="M237" s="178" t="e">
        <f t="shared" si="22"/>
        <v>#N/A</v>
      </c>
      <c r="N237" s="178" t="e">
        <f t="shared" si="23"/>
        <v>#N/A</v>
      </c>
    </row>
    <row r="238" spans="1:14" hidden="1">
      <c r="A238" s="359" t="s">
        <v>5285</v>
      </c>
      <c r="B238" s="178" t="s">
        <v>5453</v>
      </c>
      <c r="C238" s="178" t="s">
        <v>5502</v>
      </c>
      <c r="D238" s="359" t="s">
        <v>5285</v>
      </c>
      <c r="E238" s="178" t="e">
        <f t="shared" si="20"/>
        <v>#N/A</v>
      </c>
      <c r="F238" s="178" t="e">
        <f t="shared" si="24"/>
        <v>#N/A</v>
      </c>
      <c r="G238" s="178" t="e">
        <f t="shared" si="25"/>
        <v>#N/A</v>
      </c>
      <c r="H238" s="264"/>
      <c r="I238" s="264"/>
      <c r="J238" s="264"/>
      <c r="K238" s="264" t="s">
        <v>2344</v>
      </c>
      <c r="L238" s="178" t="e">
        <f t="shared" si="21"/>
        <v>#N/A</v>
      </c>
      <c r="M238" s="178" t="e">
        <f t="shared" si="22"/>
        <v>#N/A</v>
      </c>
      <c r="N238" s="178" t="e">
        <f t="shared" si="23"/>
        <v>#N/A</v>
      </c>
    </row>
    <row r="239" spans="1:14" hidden="1">
      <c r="A239" s="359" t="s">
        <v>5287</v>
      </c>
      <c r="B239" s="178" t="s">
        <v>5453</v>
      </c>
      <c r="C239" s="178" t="s">
        <v>5504</v>
      </c>
      <c r="D239" s="359" t="s">
        <v>5287</v>
      </c>
      <c r="E239" s="178" t="e">
        <f t="shared" si="20"/>
        <v>#N/A</v>
      </c>
      <c r="F239" s="178" t="e">
        <f t="shared" si="24"/>
        <v>#N/A</v>
      </c>
      <c r="G239" s="178" t="e">
        <f t="shared" si="25"/>
        <v>#N/A</v>
      </c>
      <c r="H239" s="264"/>
      <c r="I239" s="264"/>
      <c r="J239" s="264"/>
      <c r="K239" s="264" t="s">
        <v>2345</v>
      </c>
      <c r="L239" s="178" t="e">
        <f t="shared" si="21"/>
        <v>#N/A</v>
      </c>
      <c r="M239" s="178" t="e">
        <f t="shared" si="22"/>
        <v>#N/A</v>
      </c>
      <c r="N239" s="178" t="e">
        <f t="shared" si="23"/>
        <v>#N/A</v>
      </c>
    </row>
    <row r="240" spans="1:14">
      <c r="A240" s="359" t="s">
        <v>5289</v>
      </c>
      <c r="B240" s="178" t="s">
        <v>5453</v>
      </c>
      <c r="C240" s="178" t="s">
        <v>5506</v>
      </c>
      <c r="D240" s="359" t="s">
        <v>5289</v>
      </c>
      <c r="E240" s="178" t="e">
        <f t="shared" si="20"/>
        <v>#N/A</v>
      </c>
      <c r="F240" s="178" t="e">
        <f t="shared" si="24"/>
        <v>#N/A</v>
      </c>
      <c r="G240" s="178" t="e">
        <f t="shared" si="25"/>
        <v>#N/A</v>
      </c>
      <c r="H240" s="263" t="s">
        <v>2346</v>
      </c>
      <c r="I240" s="263" t="s">
        <v>5613</v>
      </c>
      <c r="J240" s="263" t="s">
        <v>806</v>
      </c>
      <c r="K240" s="263" t="s">
        <v>2346</v>
      </c>
      <c r="L240" s="178" t="e">
        <f t="shared" si="21"/>
        <v>#N/A</v>
      </c>
      <c r="M240" s="178" t="e">
        <f t="shared" si="22"/>
        <v>#N/A</v>
      </c>
      <c r="N240" s="178" t="e">
        <f t="shared" si="23"/>
        <v>#N/A</v>
      </c>
    </row>
    <row r="241" spans="1:14">
      <c r="A241" s="359" t="s">
        <v>5291</v>
      </c>
      <c r="B241" s="178" t="s">
        <v>5453</v>
      </c>
      <c r="C241" s="178" t="s">
        <v>5508</v>
      </c>
      <c r="D241" s="359" t="s">
        <v>5291</v>
      </c>
      <c r="E241" s="178" t="e">
        <f t="shared" si="20"/>
        <v>#N/A</v>
      </c>
      <c r="F241" s="178" t="e">
        <f t="shared" si="24"/>
        <v>#N/A</v>
      </c>
      <c r="G241" s="178" t="e">
        <f t="shared" si="25"/>
        <v>#N/A</v>
      </c>
      <c r="H241" s="263" t="s">
        <v>2347</v>
      </c>
      <c r="I241" s="263" t="s">
        <v>5613</v>
      </c>
      <c r="J241" s="263" t="s">
        <v>809</v>
      </c>
      <c r="K241" s="263" t="s">
        <v>2347</v>
      </c>
      <c r="L241" s="178" t="e">
        <f t="shared" si="21"/>
        <v>#N/A</v>
      </c>
      <c r="M241" s="178" t="e">
        <f t="shared" si="22"/>
        <v>#N/A</v>
      </c>
      <c r="N241" s="178" t="e">
        <f t="shared" si="23"/>
        <v>#N/A</v>
      </c>
    </row>
    <row r="242" spans="1:14">
      <c r="A242" s="359" t="s">
        <v>5293</v>
      </c>
      <c r="B242" s="178" t="s">
        <v>5453</v>
      </c>
      <c r="C242" s="178" t="s">
        <v>5510</v>
      </c>
      <c r="D242" s="359" t="s">
        <v>5293</v>
      </c>
      <c r="E242" s="178" t="e">
        <f t="shared" si="20"/>
        <v>#N/A</v>
      </c>
      <c r="F242" s="178" t="e">
        <f t="shared" si="24"/>
        <v>#N/A</v>
      </c>
      <c r="G242" s="178" t="e">
        <f t="shared" si="25"/>
        <v>#N/A</v>
      </c>
      <c r="H242" s="263" t="s">
        <v>2348</v>
      </c>
      <c r="I242" s="263" t="s">
        <v>5613</v>
      </c>
      <c r="J242" s="263" t="s">
        <v>812</v>
      </c>
      <c r="K242" s="263" t="s">
        <v>2348</v>
      </c>
      <c r="L242" s="178" t="e">
        <f t="shared" si="21"/>
        <v>#N/A</v>
      </c>
      <c r="M242" s="178" t="e">
        <f t="shared" si="22"/>
        <v>#N/A</v>
      </c>
      <c r="N242" s="178" t="e">
        <f t="shared" si="23"/>
        <v>#N/A</v>
      </c>
    </row>
    <row r="243" spans="1:14">
      <c r="A243" s="359" t="s">
        <v>5295</v>
      </c>
      <c r="B243" s="178" t="s">
        <v>5453</v>
      </c>
      <c r="C243" s="178" t="s">
        <v>5512</v>
      </c>
      <c r="D243" s="359" t="s">
        <v>5295</v>
      </c>
      <c r="E243" s="178" t="e">
        <f t="shared" si="20"/>
        <v>#N/A</v>
      </c>
      <c r="F243" s="178" t="e">
        <f t="shared" si="24"/>
        <v>#N/A</v>
      </c>
      <c r="G243" s="178" t="e">
        <f t="shared" si="25"/>
        <v>#N/A</v>
      </c>
      <c r="H243" s="263" t="s">
        <v>2349</v>
      </c>
      <c r="I243" s="263" t="s">
        <v>5613</v>
      </c>
      <c r="J243" s="263" t="s">
        <v>815</v>
      </c>
      <c r="K243" s="263" t="s">
        <v>2349</v>
      </c>
      <c r="L243" s="178" t="e">
        <f t="shared" si="21"/>
        <v>#N/A</v>
      </c>
      <c r="M243" s="178" t="e">
        <f t="shared" si="22"/>
        <v>#N/A</v>
      </c>
      <c r="N243" s="178" t="e">
        <f t="shared" si="23"/>
        <v>#N/A</v>
      </c>
    </row>
    <row r="244" spans="1:14">
      <c r="A244" s="359" t="s">
        <v>5297</v>
      </c>
      <c r="B244" s="178" t="s">
        <v>5453</v>
      </c>
      <c r="C244" s="178" t="s">
        <v>5514</v>
      </c>
      <c r="D244" s="359" t="s">
        <v>5297</v>
      </c>
      <c r="E244" s="178" t="e">
        <f t="shared" si="20"/>
        <v>#N/A</v>
      </c>
      <c r="F244" s="178" t="e">
        <f t="shared" si="24"/>
        <v>#N/A</v>
      </c>
      <c r="G244" s="178" t="e">
        <f t="shared" si="25"/>
        <v>#N/A</v>
      </c>
      <c r="H244" s="263" t="s">
        <v>2350</v>
      </c>
      <c r="I244" s="263" t="s">
        <v>5613</v>
      </c>
      <c r="J244" s="263" t="s">
        <v>818</v>
      </c>
      <c r="K244" s="263" t="s">
        <v>2350</v>
      </c>
      <c r="L244" s="178" t="e">
        <f t="shared" si="21"/>
        <v>#N/A</v>
      </c>
      <c r="M244" s="178" t="e">
        <f t="shared" si="22"/>
        <v>#N/A</v>
      </c>
      <c r="N244" s="178" t="e">
        <f t="shared" si="23"/>
        <v>#N/A</v>
      </c>
    </row>
    <row r="245" spans="1:14">
      <c r="A245" s="242"/>
      <c r="B245" s="248"/>
      <c r="C245" s="248"/>
      <c r="D245" s="242" t="s">
        <v>2441</v>
      </c>
      <c r="E245" s="178" t="e">
        <f t="shared" si="20"/>
        <v>#N/A</v>
      </c>
      <c r="F245" s="178" t="e">
        <f t="shared" si="24"/>
        <v>#N/A</v>
      </c>
      <c r="G245" s="178" t="e">
        <f t="shared" si="25"/>
        <v>#N/A</v>
      </c>
      <c r="H245" s="263" t="s">
        <v>2351</v>
      </c>
      <c r="I245" s="263" t="s">
        <v>5613</v>
      </c>
      <c r="J245" s="263" t="s">
        <v>821</v>
      </c>
      <c r="K245" s="263" t="s">
        <v>2351</v>
      </c>
      <c r="L245" s="178" t="e">
        <f t="shared" si="21"/>
        <v>#N/A</v>
      </c>
      <c r="M245" s="178" t="e">
        <f t="shared" si="22"/>
        <v>#N/A</v>
      </c>
      <c r="N245" s="178" t="e">
        <f t="shared" si="23"/>
        <v>#N/A</v>
      </c>
    </row>
    <row r="246" spans="1:14">
      <c r="A246" s="242"/>
      <c r="B246" s="248"/>
      <c r="C246" s="248"/>
      <c r="D246" s="242" t="s">
        <v>2442</v>
      </c>
      <c r="E246" s="178" t="e">
        <f t="shared" si="20"/>
        <v>#N/A</v>
      </c>
      <c r="F246" s="178" t="e">
        <f t="shared" si="24"/>
        <v>#N/A</v>
      </c>
      <c r="G246" s="178" t="e">
        <f t="shared" si="25"/>
        <v>#N/A</v>
      </c>
      <c r="H246" s="263" t="s">
        <v>2352</v>
      </c>
      <c r="I246" s="263" t="s">
        <v>5613</v>
      </c>
      <c r="J246" s="263" t="s">
        <v>824</v>
      </c>
      <c r="K246" s="263" t="s">
        <v>2352</v>
      </c>
      <c r="L246" s="178" t="e">
        <f t="shared" si="21"/>
        <v>#N/A</v>
      </c>
      <c r="M246" s="178" t="e">
        <f t="shared" si="22"/>
        <v>#N/A</v>
      </c>
      <c r="N246" s="178" t="e">
        <f t="shared" si="23"/>
        <v>#N/A</v>
      </c>
    </row>
    <row r="247" spans="1:14">
      <c r="A247" s="242"/>
      <c r="B247" s="248"/>
      <c r="C247" s="248"/>
      <c r="D247" s="242" t="s">
        <v>2443</v>
      </c>
      <c r="E247" s="178" t="e">
        <f t="shared" si="20"/>
        <v>#N/A</v>
      </c>
      <c r="F247" s="178" t="e">
        <f t="shared" si="24"/>
        <v>#N/A</v>
      </c>
      <c r="G247" s="178" t="e">
        <f t="shared" si="25"/>
        <v>#N/A</v>
      </c>
      <c r="H247" s="263" t="s">
        <v>2353</v>
      </c>
      <c r="I247" s="263" t="s">
        <v>5613</v>
      </c>
      <c r="J247" s="263" t="s">
        <v>827</v>
      </c>
      <c r="K247" s="263" t="s">
        <v>2353</v>
      </c>
      <c r="L247" s="178" t="e">
        <f t="shared" si="21"/>
        <v>#N/A</v>
      </c>
      <c r="M247" s="178" t="e">
        <f t="shared" si="22"/>
        <v>#N/A</v>
      </c>
      <c r="N247" s="178" t="e">
        <f t="shared" si="23"/>
        <v>#N/A</v>
      </c>
    </row>
    <row r="248" spans="1:14">
      <c r="A248" s="242"/>
      <c r="B248" s="248"/>
      <c r="C248" s="248"/>
      <c r="D248" s="242" t="s">
        <v>2444</v>
      </c>
      <c r="E248" s="178" t="e">
        <f t="shared" si="20"/>
        <v>#N/A</v>
      </c>
      <c r="F248" s="178" t="e">
        <f t="shared" si="24"/>
        <v>#N/A</v>
      </c>
      <c r="G248" s="178" t="e">
        <f t="shared" si="25"/>
        <v>#N/A</v>
      </c>
      <c r="H248" s="263" t="s">
        <v>2354</v>
      </c>
      <c r="I248" s="263" t="s">
        <v>5613</v>
      </c>
      <c r="J248" s="263" t="s">
        <v>830</v>
      </c>
      <c r="K248" s="263" t="s">
        <v>2354</v>
      </c>
      <c r="L248" s="178" t="e">
        <f t="shared" si="21"/>
        <v>#N/A</v>
      </c>
      <c r="M248" s="178" t="e">
        <f t="shared" si="22"/>
        <v>#N/A</v>
      </c>
      <c r="N248" s="178" t="e">
        <f t="shared" si="23"/>
        <v>#N/A</v>
      </c>
    </row>
    <row r="249" spans="1:14">
      <c r="A249" s="242"/>
      <c r="B249" s="248"/>
      <c r="C249" s="248"/>
      <c r="D249" s="242" t="s">
        <v>2445</v>
      </c>
      <c r="E249" s="178" t="e">
        <f t="shared" si="20"/>
        <v>#N/A</v>
      </c>
      <c r="F249" s="178" t="e">
        <f t="shared" si="24"/>
        <v>#N/A</v>
      </c>
      <c r="G249" s="178" t="e">
        <f t="shared" si="25"/>
        <v>#N/A</v>
      </c>
      <c r="H249" s="263" t="s">
        <v>2355</v>
      </c>
      <c r="I249" s="263" t="s">
        <v>5613</v>
      </c>
      <c r="J249" s="263" t="s">
        <v>833</v>
      </c>
      <c r="K249" s="263" t="s">
        <v>2355</v>
      </c>
      <c r="L249" s="178" t="e">
        <f t="shared" si="21"/>
        <v>#N/A</v>
      </c>
      <c r="M249" s="178" t="e">
        <f t="shared" si="22"/>
        <v>#N/A</v>
      </c>
      <c r="N249" s="178" t="e">
        <f t="shared" si="23"/>
        <v>#N/A</v>
      </c>
    </row>
    <row r="250" spans="1:14">
      <c r="A250" s="242"/>
      <c r="B250" s="248"/>
      <c r="C250" s="248"/>
      <c r="D250" s="242" t="s">
        <v>2446</v>
      </c>
      <c r="E250" s="178" t="e">
        <f t="shared" si="20"/>
        <v>#N/A</v>
      </c>
      <c r="F250" s="178" t="e">
        <f t="shared" si="24"/>
        <v>#N/A</v>
      </c>
      <c r="G250" s="178" t="e">
        <f t="shared" si="25"/>
        <v>#N/A</v>
      </c>
      <c r="H250" s="263" t="s">
        <v>2356</v>
      </c>
      <c r="I250" s="263" t="s">
        <v>5613</v>
      </c>
      <c r="J250" s="263" t="s">
        <v>836</v>
      </c>
      <c r="K250" s="263" t="s">
        <v>2356</v>
      </c>
      <c r="L250" s="178" t="e">
        <f t="shared" si="21"/>
        <v>#N/A</v>
      </c>
      <c r="M250" s="178" t="e">
        <f t="shared" si="22"/>
        <v>#N/A</v>
      </c>
      <c r="N250" s="178" t="e">
        <f t="shared" si="23"/>
        <v>#N/A</v>
      </c>
    </row>
    <row r="251" spans="1:14">
      <c r="A251" s="242"/>
      <c r="B251" s="248"/>
      <c r="C251" s="248"/>
      <c r="D251" s="242" t="s">
        <v>2447</v>
      </c>
      <c r="E251" s="178" t="e">
        <f t="shared" si="20"/>
        <v>#N/A</v>
      </c>
      <c r="F251" s="178" t="e">
        <f t="shared" si="24"/>
        <v>#N/A</v>
      </c>
      <c r="G251" s="178" t="e">
        <f t="shared" si="25"/>
        <v>#N/A</v>
      </c>
      <c r="H251" s="263" t="s">
        <v>2357</v>
      </c>
      <c r="I251" s="263" t="s">
        <v>5613</v>
      </c>
      <c r="J251" s="263" t="s">
        <v>839</v>
      </c>
      <c r="K251" s="263" t="s">
        <v>2357</v>
      </c>
      <c r="L251" s="178" t="e">
        <f t="shared" si="21"/>
        <v>#N/A</v>
      </c>
      <c r="M251" s="178" t="e">
        <f t="shared" si="22"/>
        <v>#N/A</v>
      </c>
      <c r="N251" s="178" t="e">
        <f t="shared" si="23"/>
        <v>#N/A</v>
      </c>
    </row>
    <row r="252" spans="1:14">
      <c r="A252" s="242"/>
      <c r="B252" s="248"/>
      <c r="C252" s="248"/>
      <c r="D252" s="242" t="s">
        <v>2448</v>
      </c>
      <c r="E252" s="178" t="e">
        <f t="shared" si="20"/>
        <v>#N/A</v>
      </c>
      <c r="F252" s="178" t="e">
        <f t="shared" si="24"/>
        <v>#N/A</v>
      </c>
      <c r="G252" s="178" t="e">
        <f t="shared" si="25"/>
        <v>#N/A</v>
      </c>
      <c r="H252" s="263" t="s">
        <v>2358</v>
      </c>
      <c r="I252" s="263" t="s">
        <v>5613</v>
      </c>
      <c r="J252" s="263" t="s">
        <v>3637</v>
      </c>
      <c r="K252" s="263" t="s">
        <v>2358</v>
      </c>
      <c r="L252" s="178" t="e">
        <f t="shared" si="21"/>
        <v>#N/A</v>
      </c>
      <c r="M252" s="178" t="e">
        <f t="shared" si="22"/>
        <v>#N/A</v>
      </c>
      <c r="N252" s="178" t="e">
        <f t="shared" si="23"/>
        <v>#N/A</v>
      </c>
    </row>
    <row r="253" spans="1:14">
      <c r="A253" s="242"/>
      <c r="B253" s="248"/>
      <c r="C253" s="248"/>
      <c r="D253" s="242" t="s">
        <v>2449</v>
      </c>
      <c r="E253" s="178" t="e">
        <f t="shared" si="20"/>
        <v>#N/A</v>
      </c>
      <c r="F253" s="178" t="e">
        <f t="shared" si="24"/>
        <v>#N/A</v>
      </c>
      <c r="G253" s="178" t="e">
        <f t="shared" si="25"/>
        <v>#N/A</v>
      </c>
      <c r="H253" s="263" t="s">
        <v>2359</v>
      </c>
      <c r="I253" s="263" t="s">
        <v>5613</v>
      </c>
      <c r="J253" s="263" t="s">
        <v>845</v>
      </c>
      <c r="K253" s="263" t="s">
        <v>2359</v>
      </c>
      <c r="L253" s="178" t="e">
        <f t="shared" si="21"/>
        <v>#N/A</v>
      </c>
      <c r="M253" s="178" t="e">
        <f t="shared" si="22"/>
        <v>#N/A</v>
      </c>
      <c r="N253" s="178" t="e">
        <f t="shared" si="23"/>
        <v>#N/A</v>
      </c>
    </row>
    <row r="254" spans="1:14">
      <c r="A254" s="242"/>
      <c r="B254" s="248"/>
      <c r="C254" s="248"/>
      <c r="D254" s="242" t="s">
        <v>2450</v>
      </c>
      <c r="E254" s="178" t="e">
        <f t="shared" si="20"/>
        <v>#N/A</v>
      </c>
      <c r="F254" s="178" t="e">
        <f t="shared" si="24"/>
        <v>#N/A</v>
      </c>
      <c r="G254" s="178" t="e">
        <f t="shared" si="25"/>
        <v>#N/A</v>
      </c>
      <c r="H254" s="263" t="s">
        <v>2360</v>
      </c>
      <c r="I254" s="263" t="s">
        <v>5613</v>
      </c>
      <c r="J254" s="263" t="s">
        <v>848</v>
      </c>
      <c r="K254" s="263" t="s">
        <v>2360</v>
      </c>
      <c r="L254" s="178" t="e">
        <f t="shared" si="21"/>
        <v>#N/A</v>
      </c>
      <c r="M254" s="178" t="e">
        <f t="shared" si="22"/>
        <v>#N/A</v>
      </c>
      <c r="N254" s="178" t="e">
        <f t="shared" si="23"/>
        <v>#N/A</v>
      </c>
    </row>
    <row r="255" spans="1:14">
      <c r="A255" s="242"/>
      <c r="B255" s="248"/>
      <c r="C255" s="248"/>
      <c r="D255" s="242" t="s">
        <v>2451</v>
      </c>
      <c r="E255" s="178" t="e">
        <f t="shared" si="20"/>
        <v>#N/A</v>
      </c>
      <c r="F255" s="178" t="e">
        <f t="shared" si="24"/>
        <v>#N/A</v>
      </c>
      <c r="G255" s="178" t="e">
        <f t="shared" si="25"/>
        <v>#N/A</v>
      </c>
      <c r="H255" s="263" t="s">
        <v>2361</v>
      </c>
      <c r="I255" s="263" t="s">
        <v>5613</v>
      </c>
      <c r="J255" s="263" t="s">
        <v>851</v>
      </c>
      <c r="K255" s="263" t="s">
        <v>2361</v>
      </c>
      <c r="L255" s="178" t="e">
        <f t="shared" si="21"/>
        <v>#N/A</v>
      </c>
      <c r="M255" s="178" t="e">
        <f t="shared" si="22"/>
        <v>#N/A</v>
      </c>
      <c r="N255" s="178" t="e">
        <f t="shared" si="23"/>
        <v>#N/A</v>
      </c>
    </row>
    <row r="256" spans="1:14">
      <c r="A256" s="242"/>
      <c r="B256" s="248"/>
      <c r="C256" s="248"/>
      <c r="D256" s="242" t="s">
        <v>2452</v>
      </c>
      <c r="E256" s="178" t="e">
        <f t="shared" si="20"/>
        <v>#N/A</v>
      </c>
      <c r="F256" s="178" t="e">
        <f t="shared" si="24"/>
        <v>#N/A</v>
      </c>
      <c r="G256" s="178" t="e">
        <f t="shared" si="25"/>
        <v>#N/A</v>
      </c>
      <c r="H256" s="432" t="s">
        <v>2362</v>
      </c>
      <c r="I256" s="432" t="s">
        <v>5613</v>
      </c>
      <c r="J256" s="432" t="s">
        <v>854</v>
      </c>
      <c r="K256" s="432" t="s">
        <v>2362</v>
      </c>
      <c r="L256" s="178" t="e">
        <f t="shared" si="21"/>
        <v>#N/A</v>
      </c>
      <c r="M256" s="178" t="e">
        <f t="shared" si="22"/>
        <v>#N/A</v>
      </c>
      <c r="N256" s="178" t="e">
        <f t="shared" si="23"/>
        <v>#N/A</v>
      </c>
    </row>
    <row r="257" spans="1:14" hidden="1">
      <c r="A257" s="242"/>
      <c r="B257" s="248"/>
      <c r="C257" s="248"/>
      <c r="D257" s="242" t="s">
        <v>2453</v>
      </c>
      <c r="E257" s="178" t="e">
        <f t="shared" si="20"/>
        <v>#N/A</v>
      </c>
      <c r="F257" s="178" t="e">
        <f t="shared" si="24"/>
        <v>#N/A</v>
      </c>
      <c r="G257" s="178" t="e">
        <f t="shared" si="25"/>
        <v>#N/A</v>
      </c>
      <c r="H257" s="263" t="s">
        <v>2363</v>
      </c>
      <c r="I257" s="263" t="s">
        <v>5613</v>
      </c>
      <c r="J257" s="263" t="s">
        <v>857</v>
      </c>
      <c r="K257" s="263" t="s">
        <v>2363</v>
      </c>
      <c r="L257" s="178" t="str">
        <f t="shared" si="21"/>
        <v>A3035</v>
      </c>
      <c r="M257" s="178" t="str">
        <f t="shared" si="22"/>
        <v>GEA_NICE신용요약정보조회Dto</v>
      </c>
      <c r="N257" s="178">
        <f t="shared" si="23"/>
        <v>1</v>
      </c>
    </row>
    <row r="258" spans="1:14" hidden="1">
      <c r="A258" s="242"/>
      <c r="B258" s="248"/>
      <c r="C258" s="248"/>
      <c r="D258" s="242" t="s">
        <v>2454</v>
      </c>
      <c r="E258" s="178" t="e">
        <f t="shared" si="20"/>
        <v>#N/A</v>
      </c>
      <c r="F258" s="178" t="e">
        <f t="shared" si="24"/>
        <v>#N/A</v>
      </c>
      <c r="G258" s="178" t="e">
        <f t="shared" si="25"/>
        <v>#N/A</v>
      </c>
      <c r="H258" s="263" t="s">
        <v>2364</v>
      </c>
      <c r="I258" s="263" t="s">
        <v>5613</v>
      </c>
      <c r="J258" s="263" t="s">
        <v>191</v>
      </c>
      <c r="K258" s="263" t="s">
        <v>2364</v>
      </c>
      <c r="L258" s="178" t="str">
        <f t="shared" si="21"/>
        <v>A3057</v>
      </c>
      <c r="M258" s="178" t="str">
        <f t="shared" si="22"/>
        <v>GEA_NICE신용요약정보조회Dto</v>
      </c>
      <c r="N258" s="178">
        <f t="shared" si="23"/>
        <v>1</v>
      </c>
    </row>
    <row r="259" spans="1:14">
      <c r="A259" s="242"/>
      <c r="B259" s="248"/>
      <c r="C259" s="248"/>
      <c r="D259" s="242" t="s">
        <v>2455</v>
      </c>
      <c r="E259" s="178" t="e">
        <f t="shared" si="20"/>
        <v>#N/A</v>
      </c>
      <c r="F259" s="178" t="e">
        <f t="shared" si="24"/>
        <v>#N/A</v>
      </c>
      <c r="G259" s="178" t="e">
        <f t="shared" si="25"/>
        <v>#N/A</v>
      </c>
      <c r="H259" s="263" t="s">
        <v>2365</v>
      </c>
      <c r="I259" s="263" t="s">
        <v>5613</v>
      </c>
      <c r="J259" s="263" t="s">
        <v>862</v>
      </c>
      <c r="K259" s="263" t="s">
        <v>2365</v>
      </c>
      <c r="L259" s="178" t="e">
        <f t="shared" si="21"/>
        <v>#N/A</v>
      </c>
      <c r="M259" s="178" t="e">
        <f t="shared" si="22"/>
        <v>#N/A</v>
      </c>
      <c r="N259" s="178" t="e">
        <f t="shared" si="23"/>
        <v>#N/A</v>
      </c>
    </row>
    <row r="260" spans="1:14" hidden="1">
      <c r="A260" s="242"/>
      <c r="B260" s="248"/>
      <c r="C260" s="248"/>
      <c r="D260" s="242" t="s">
        <v>2456</v>
      </c>
      <c r="E260" s="178" t="e">
        <f t="shared" ref="E260:E323" si="26">VLOOKUP(C260,$J$5:$K$601,2,FALSE)</f>
        <v>#N/A</v>
      </c>
      <c r="F260" s="178" t="e">
        <f t="shared" si="24"/>
        <v>#N/A</v>
      </c>
      <c r="G260" s="178" t="e">
        <f t="shared" si="25"/>
        <v>#N/A</v>
      </c>
      <c r="H260" s="264"/>
      <c r="I260" s="264"/>
      <c r="J260" s="264"/>
      <c r="K260" s="264" t="s">
        <v>2366</v>
      </c>
      <c r="L260" s="178" t="e">
        <f t="shared" ref="L260:L323" si="27">VLOOKUP(TRIM(J260),$C$3:$D$463,2,FALSE)</f>
        <v>#N/A</v>
      </c>
      <c r="M260" s="178" t="e">
        <f t="shared" ref="M260:M323" si="28">VLOOKUP(L260,$A$3:$B$463,2,FALSE)</f>
        <v>#N/A</v>
      </c>
      <c r="N260" s="178" t="e">
        <f t="shared" ref="N260:N323" si="29">IF(M260=I260,1,0)</f>
        <v>#N/A</v>
      </c>
    </row>
    <row r="261" spans="1:14" hidden="1">
      <c r="A261" s="242"/>
      <c r="B261" s="248"/>
      <c r="C261" s="248"/>
      <c r="D261" s="242" t="s">
        <v>2457</v>
      </c>
      <c r="E261" s="178" t="e">
        <f t="shared" si="26"/>
        <v>#N/A</v>
      </c>
      <c r="F261" s="178" t="e">
        <f t="shared" si="24"/>
        <v>#N/A</v>
      </c>
      <c r="G261" s="178" t="e">
        <f t="shared" si="25"/>
        <v>#N/A</v>
      </c>
      <c r="H261" s="264"/>
      <c r="I261" s="264"/>
      <c r="J261" s="264"/>
      <c r="K261" s="264" t="s">
        <v>2367</v>
      </c>
      <c r="L261" s="178" t="e">
        <f t="shared" si="27"/>
        <v>#N/A</v>
      </c>
      <c r="M261" s="178" t="e">
        <f t="shared" si="28"/>
        <v>#N/A</v>
      </c>
      <c r="N261" s="178" t="e">
        <f t="shared" si="29"/>
        <v>#N/A</v>
      </c>
    </row>
    <row r="262" spans="1:14" hidden="1">
      <c r="A262" s="242"/>
      <c r="B262" s="248"/>
      <c r="C262" s="248"/>
      <c r="D262" s="242" t="s">
        <v>2458</v>
      </c>
      <c r="E262" s="178" t="e">
        <f t="shared" si="26"/>
        <v>#N/A</v>
      </c>
      <c r="F262" s="178" t="e">
        <f t="shared" si="24"/>
        <v>#N/A</v>
      </c>
      <c r="G262" s="178" t="e">
        <f t="shared" si="25"/>
        <v>#N/A</v>
      </c>
      <c r="H262" s="264"/>
      <c r="I262" s="264"/>
      <c r="J262" s="264"/>
      <c r="K262" s="264" t="s">
        <v>2368</v>
      </c>
      <c r="L262" s="178" t="e">
        <f t="shared" si="27"/>
        <v>#N/A</v>
      </c>
      <c r="M262" s="178" t="e">
        <f t="shared" si="28"/>
        <v>#N/A</v>
      </c>
      <c r="N262" s="178" t="e">
        <f t="shared" si="29"/>
        <v>#N/A</v>
      </c>
    </row>
    <row r="263" spans="1:14" hidden="1">
      <c r="A263" s="242"/>
      <c r="B263" s="248"/>
      <c r="C263" s="248"/>
      <c r="D263" s="242" t="s">
        <v>2459</v>
      </c>
      <c r="E263" s="178" t="e">
        <f t="shared" si="26"/>
        <v>#N/A</v>
      </c>
      <c r="F263" s="178" t="e">
        <f t="shared" ref="F263:F326" si="30">VLOOKUP(E263,$H$5:$I$601,2,FALSE)</f>
        <v>#N/A</v>
      </c>
      <c r="G263" s="178" t="e">
        <f t="shared" ref="G263:G326" si="31">IF(B263=F263,1,0)</f>
        <v>#N/A</v>
      </c>
      <c r="H263" s="263" t="s">
        <v>2369</v>
      </c>
      <c r="I263" s="263" t="s">
        <v>5613</v>
      </c>
      <c r="J263" s="263" t="s">
        <v>873</v>
      </c>
      <c r="K263" s="263" t="s">
        <v>2369</v>
      </c>
      <c r="L263" s="178" t="str">
        <f t="shared" si="27"/>
        <v>A3037</v>
      </c>
      <c r="M263" s="178" t="str">
        <f t="shared" si="28"/>
        <v>GEA_NICE신용요약정보조회Dto</v>
      </c>
      <c r="N263" s="178">
        <f t="shared" si="29"/>
        <v>1</v>
      </c>
    </row>
    <row r="264" spans="1:14" hidden="1">
      <c r="A264" s="242"/>
      <c r="B264" s="248"/>
      <c r="C264" s="248"/>
      <c r="D264" s="242" t="s">
        <v>2460</v>
      </c>
      <c r="E264" s="178" t="e">
        <f t="shared" si="26"/>
        <v>#N/A</v>
      </c>
      <c r="F264" s="178" t="e">
        <f t="shared" si="30"/>
        <v>#N/A</v>
      </c>
      <c r="G264" s="178" t="e">
        <f t="shared" si="31"/>
        <v>#N/A</v>
      </c>
      <c r="H264" s="264"/>
      <c r="I264" s="264"/>
      <c r="J264" s="264"/>
      <c r="K264" s="264" t="s">
        <v>2370</v>
      </c>
      <c r="L264" s="178" t="e">
        <f t="shared" si="27"/>
        <v>#N/A</v>
      </c>
      <c r="M264" s="178" t="e">
        <f t="shared" si="28"/>
        <v>#N/A</v>
      </c>
      <c r="N264" s="178" t="e">
        <f t="shared" si="29"/>
        <v>#N/A</v>
      </c>
    </row>
    <row r="265" spans="1:14" hidden="1">
      <c r="A265" s="242"/>
      <c r="B265" s="248"/>
      <c r="C265" s="248"/>
      <c r="D265" s="242" t="s">
        <v>2461</v>
      </c>
      <c r="E265" s="178" t="e">
        <f t="shared" si="26"/>
        <v>#N/A</v>
      </c>
      <c r="F265" s="178" t="e">
        <f t="shared" si="30"/>
        <v>#N/A</v>
      </c>
      <c r="G265" s="178" t="e">
        <f t="shared" si="31"/>
        <v>#N/A</v>
      </c>
      <c r="H265" s="264"/>
      <c r="I265" s="264"/>
      <c r="J265" s="264"/>
      <c r="K265" s="264" t="s">
        <v>2371</v>
      </c>
      <c r="L265" s="178" t="e">
        <f t="shared" si="27"/>
        <v>#N/A</v>
      </c>
      <c r="M265" s="178" t="e">
        <f t="shared" si="28"/>
        <v>#N/A</v>
      </c>
      <c r="N265" s="178" t="e">
        <f t="shared" si="29"/>
        <v>#N/A</v>
      </c>
    </row>
    <row r="266" spans="1:14" hidden="1">
      <c r="A266" s="242"/>
      <c r="B266" s="248"/>
      <c r="C266" s="248"/>
      <c r="D266" s="242" t="s">
        <v>2462</v>
      </c>
      <c r="E266" s="178" t="e">
        <f t="shared" si="26"/>
        <v>#N/A</v>
      </c>
      <c r="F266" s="178" t="e">
        <f t="shared" si="30"/>
        <v>#N/A</v>
      </c>
      <c r="G266" s="178" t="e">
        <f t="shared" si="31"/>
        <v>#N/A</v>
      </c>
      <c r="H266" s="264"/>
      <c r="I266" s="264"/>
      <c r="J266" s="264"/>
      <c r="K266" s="264" t="s">
        <v>2372</v>
      </c>
      <c r="L266" s="178" t="e">
        <f t="shared" si="27"/>
        <v>#N/A</v>
      </c>
      <c r="M266" s="178" t="e">
        <f t="shared" si="28"/>
        <v>#N/A</v>
      </c>
      <c r="N266" s="178" t="e">
        <f t="shared" si="29"/>
        <v>#N/A</v>
      </c>
    </row>
    <row r="267" spans="1:14" hidden="1">
      <c r="A267" s="242"/>
      <c r="B267" s="248"/>
      <c r="C267" s="248"/>
      <c r="D267" s="242" t="s">
        <v>2463</v>
      </c>
      <c r="E267" s="178" t="e">
        <f t="shared" si="26"/>
        <v>#N/A</v>
      </c>
      <c r="F267" s="178" t="e">
        <f t="shared" si="30"/>
        <v>#N/A</v>
      </c>
      <c r="G267" s="178" t="e">
        <f t="shared" si="31"/>
        <v>#N/A</v>
      </c>
      <c r="H267" s="264"/>
      <c r="I267" s="264"/>
      <c r="J267" s="264"/>
      <c r="K267" s="264" t="s">
        <v>2373</v>
      </c>
      <c r="L267" s="178" t="e">
        <f t="shared" si="27"/>
        <v>#N/A</v>
      </c>
      <c r="M267" s="178" t="e">
        <f t="shared" si="28"/>
        <v>#N/A</v>
      </c>
      <c r="N267" s="178" t="e">
        <f t="shared" si="29"/>
        <v>#N/A</v>
      </c>
    </row>
    <row r="268" spans="1:14" hidden="1">
      <c r="A268" s="242"/>
      <c r="B268" s="248"/>
      <c r="C268" s="248"/>
      <c r="D268" s="242" t="s">
        <v>2464</v>
      </c>
      <c r="E268" s="178" t="e">
        <f t="shared" si="26"/>
        <v>#N/A</v>
      </c>
      <c r="F268" s="178" t="e">
        <f t="shared" si="30"/>
        <v>#N/A</v>
      </c>
      <c r="G268" s="178" t="e">
        <f t="shared" si="31"/>
        <v>#N/A</v>
      </c>
      <c r="H268" s="264"/>
      <c r="I268" s="264"/>
      <c r="J268" s="264"/>
      <c r="K268" s="264" t="s">
        <v>2374</v>
      </c>
      <c r="L268" s="178" t="e">
        <f t="shared" si="27"/>
        <v>#N/A</v>
      </c>
      <c r="M268" s="178" t="e">
        <f t="shared" si="28"/>
        <v>#N/A</v>
      </c>
      <c r="N268" s="178" t="e">
        <f t="shared" si="29"/>
        <v>#N/A</v>
      </c>
    </row>
    <row r="269" spans="1:14" hidden="1">
      <c r="A269" s="242"/>
      <c r="B269" s="248"/>
      <c r="C269" s="248"/>
      <c r="D269" s="242" t="s">
        <v>2465</v>
      </c>
      <c r="E269" s="178" t="e">
        <f t="shared" si="26"/>
        <v>#N/A</v>
      </c>
      <c r="F269" s="178" t="e">
        <f t="shared" si="30"/>
        <v>#N/A</v>
      </c>
      <c r="G269" s="178" t="e">
        <f t="shared" si="31"/>
        <v>#N/A</v>
      </c>
      <c r="H269" s="264"/>
      <c r="I269" s="264"/>
      <c r="J269" s="264"/>
      <c r="K269" s="264" t="s">
        <v>2375</v>
      </c>
      <c r="L269" s="178" t="e">
        <f t="shared" si="27"/>
        <v>#N/A</v>
      </c>
      <c r="M269" s="178" t="e">
        <f t="shared" si="28"/>
        <v>#N/A</v>
      </c>
      <c r="N269" s="178" t="e">
        <f t="shared" si="29"/>
        <v>#N/A</v>
      </c>
    </row>
    <row r="270" spans="1:14" hidden="1">
      <c r="A270" s="242"/>
      <c r="B270" s="248"/>
      <c r="C270" s="248"/>
      <c r="D270" s="242" t="s">
        <v>2466</v>
      </c>
      <c r="E270" s="178" t="e">
        <f t="shared" si="26"/>
        <v>#N/A</v>
      </c>
      <c r="F270" s="178" t="e">
        <f t="shared" si="30"/>
        <v>#N/A</v>
      </c>
      <c r="G270" s="178" t="e">
        <f t="shared" si="31"/>
        <v>#N/A</v>
      </c>
      <c r="H270" s="264"/>
      <c r="I270" s="264"/>
      <c r="J270" s="264"/>
      <c r="K270" s="264" t="s">
        <v>2376</v>
      </c>
      <c r="L270" s="178" t="e">
        <f t="shared" si="27"/>
        <v>#N/A</v>
      </c>
      <c r="M270" s="178" t="e">
        <f t="shared" si="28"/>
        <v>#N/A</v>
      </c>
      <c r="N270" s="178" t="e">
        <f t="shared" si="29"/>
        <v>#N/A</v>
      </c>
    </row>
    <row r="271" spans="1:14" hidden="1">
      <c r="A271" s="242"/>
      <c r="B271" s="248"/>
      <c r="C271" s="248"/>
      <c r="D271" s="242" t="s">
        <v>2467</v>
      </c>
      <c r="E271" s="178" t="e">
        <f t="shared" si="26"/>
        <v>#N/A</v>
      </c>
      <c r="F271" s="178" t="e">
        <f t="shared" si="30"/>
        <v>#N/A</v>
      </c>
      <c r="G271" s="178" t="e">
        <f t="shared" si="31"/>
        <v>#N/A</v>
      </c>
      <c r="H271" s="264"/>
      <c r="I271" s="264"/>
      <c r="J271" s="264"/>
      <c r="K271" s="264" t="s">
        <v>2377</v>
      </c>
      <c r="L271" s="178" t="e">
        <f t="shared" si="27"/>
        <v>#N/A</v>
      </c>
      <c r="M271" s="178" t="e">
        <f t="shared" si="28"/>
        <v>#N/A</v>
      </c>
      <c r="N271" s="178" t="e">
        <f t="shared" si="29"/>
        <v>#N/A</v>
      </c>
    </row>
    <row r="272" spans="1:14" hidden="1">
      <c r="A272" s="242"/>
      <c r="B272" s="248"/>
      <c r="C272" s="248"/>
      <c r="D272" s="242" t="s">
        <v>2468</v>
      </c>
      <c r="E272" s="178" t="e">
        <f t="shared" si="26"/>
        <v>#N/A</v>
      </c>
      <c r="F272" s="178" t="e">
        <f t="shared" si="30"/>
        <v>#N/A</v>
      </c>
      <c r="G272" s="178" t="e">
        <f t="shared" si="31"/>
        <v>#N/A</v>
      </c>
      <c r="H272" s="264"/>
      <c r="I272" s="264"/>
      <c r="J272" s="264"/>
      <c r="K272" s="264" t="s">
        <v>2378</v>
      </c>
      <c r="L272" s="178" t="e">
        <f t="shared" si="27"/>
        <v>#N/A</v>
      </c>
      <c r="M272" s="178" t="e">
        <f t="shared" si="28"/>
        <v>#N/A</v>
      </c>
      <c r="N272" s="178" t="e">
        <f t="shared" si="29"/>
        <v>#N/A</v>
      </c>
    </row>
    <row r="273" spans="1:14" hidden="1">
      <c r="A273" s="242"/>
      <c r="B273" s="248"/>
      <c r="C273" s="248"/>
      <c r="D273" s="242" t="s">
        <v>2469</v>
      </c>
      <c r="E273" s="178" t="e">
        <f t="shared" si="26"/>
        <v>#N/A</v>
      </c>
      <c r="F273" s="178" t="e">
        <f t="shared" si="30"/>
        <v>#N/A</v>
      </c>
      <c r="G273" s="178" t="e">
        <f t="shared" si="31"/>
        <v>#N/A</v>
      </c>
      <c r="H273" s="264"/>
      <c r="I273" s="264"/>
      <c r="J273" s="264"/>
      <c r="K273" s="264" t="s">
        <v>2379</v>
      </c>
      <c r="L273" s="178" t="e">
        <f t="shared" si="27"/>
        <v>#N/A</v>
      </c>
      <c r="M273" s="178" t="e">
        <f t="shared" si="28"/>
        <v>#N/A</v>
      </c>
      <c r="N273" s="178" t="e">
        <f t="shared" si="29"/>
        <v>#N/A</v>
      </c>
    </row>
    <row r="274" spans="1:14" hidden="1">
      <c r="A274" s="242"/>
      <c r="B274" s="248"/>
      <c r="C274" s="248"/>
      <c r="D274" s="242" t="s">
        <v>2470</v>
      </c>
      <c r="E274" s="178" t="e">
        <f t="shared" si="26"/>
        <v>#N/A</v>
      </c>
      <c r="F274" s="178" t="e">
        <f t="shared" si="30"/>
        <v>#N/A</v>
      </c>
      <c r="G274" s="178" t="e">
        <f t="shared" si="31"/>
        <v>#N/A</v>
      </c>
      <c r="H274" s="263" t="s">
        <v>2380</v>
      </c>
      <c r="I274" s="263" t="s">
        <v>5673</v>
      </c>
      <c r="J274" s="263" t="s">
        <v>900</v>
      </c>
      <c r="K274" s="263" t="s">
        <v>2380</v>
      </c>
      <c r="L274" s="178" t="str">
        <f t="shared" si="27"/>
        <v>A3072</v>
      </c>
      <c r="M274" s="178" t="str">
        <f t="shared" si="28"/>
        <v>GEA_NICE신용평점정보조회Dto</v>
      </c>
      <c r="N274" s="178">
        <f t="shared" si="29"/>
        <v>1</v>
      </c>
    </row>
    <row r="275" spans="1:14">
      <c r="A275" s="242"/>
      <c r="B275" s="248"/>
      <c r="C275" s="248"/>
      <c r="D275" s="242" t="s">
        <v>2471</v>
      </c>
      <c r="E275" s="178" t="e">
        <f t="shared" si="26"/>
        <v>#N/A</v>
      </c>
      <c r="F275" s="178" t="e">
        <f t="shared" si="30"/>
        <v>#N/A</v>
      </c>
      <c r="G275" s="178" t="e">
        <f t="shared" si="31"/>
        <v>#N/A</v>
      </c>
      <c r="H275" s="263" t="s">
        <v>2381</v>
      </c>
      <c r="I275" s="263" t="s">
        <v>5673</v>
      </c>
      <c r="J275" s="263" t="s">
        <v>904</v>
      </c>
      <c r="K275" s="263" t="s">
        <v>2381</v>
      </c>
      <c r="L275" s="178" t="e">
        <f t="shared" si="27"/>
        <v>#N/A</v>
      </c>
      <c r="M275" s="178" t="e">
        <f t="shared" si="28"/>
        <v>#N/A</v>
      </c>
      <c r="N275" s="178" t="e">
        <f t="shared" si="29"/>
        <v>#N/A</v>
      </c>
    </row>
    <row r="276" spans="1:14" hidden="1">
      <c r="A276" s="242"/>
      <c r="B276" s="248"/>
      <c r="C276" s="248"/>
      <c r="D276" s="242" t="s">
        <v>2472</v>
      </c>
      <c r="E276" s="178" t="e">
        <f t="shared" si="26"/>
        <v>#N/A</v>
      </c>
      <c r="F276" s="178" t="e">
        <f t="shared" si="30"/>
        <v>#N/A</v>
      </c>
      <c r="G276" s="178" t="e">
        <f t="shared" si="31"/>
        <v>#N/A</v>
      </c>
      <c r="H276" s="263" t="s">
        <v>2382</v>
      </c>
      <c r="I276" s="263" t="s">
        <v>5673</v>
      </c>
      <c r="J276" s="263" t="s">
        <v>5898</v>
      </c>
      <c r="K276" s="263" t="s">
        <v>2382</v>
      </c>
      <c r="L276" s="178" t="str">
        <f t="shared" si="27"/>
        <v>A3054</v>
      </c>
      <c r="M276" s="178" t="str">
        <f t="shared" si="28"/>
        <v>GEA_NICE신용평점정보조회Dto</v>
      </c>
      <c r="N276" s="178">
        <f t="shared" si="29"/>
        <v>1</v>
      </c>
    </row>
    <row r="277" spans="1:14" hidden="1">
      <c r="A277" s="242"/>
      <c r="B277" s="248"/>
      <c r="C277" s="248"/>
      <c r="D277" s="242" t="s">
        <v>2473</v>
      </c>
      <c r="E277" s="178" t="e">
        <f t="shared" si="26"/>
        <v>#N/A</v>
      </c>
      <c r="F277" s="178" t="e">
        <f t="shared" si="30"/>
        <v>#N/A</v>
      </c>
      <c r="G277" s="178" t="e">
        <f t="shared" si="31"/>
        <v>#N/A</v>
      </c>
      <c r="H277" s="263" t="s">
        <v>2383</v>
      </c>
      <c r="I277" s="263" t="s">
        <v>5673</v>
      </c>
      <c r="J277" s="263" t="s">
        <v>5899</v>
      </c>
      <c r="K277" s="263" t="s">
        <v>2383</v>
      </c>
      <c r="L277" s="178" t="str">
        <f t="shared" si="27"/>
        <v>A3055</v>
      </c>
      <c r="M277" s="178" t="str">
        <f t="shared" si="28"/>
        <v>GEA_NICE신용평점정보조회Dto</v>
      </c>
      <c r="N277" s="178">
        <f t="shared" si="29"/>
        <v>1</v>
      </c>
    </row>
    <row r="278" spans="1:14">
      <c r="A278" s="242"/>
      <c r="B278" s="248"/>
      <c r="C278" s="248"/>
      <c r="D278" s="242" t="s">
        <v>2474</v>
      </c>
      <c r="E278" s="178" t="e">
        <f t="shared" si="26"/>
        <v>#N/A</v>
      </c>
      <c r="F278" s="178" t="e">
        <f t="shared" si="30"/>
        <v>#N/A</v>
      </c>
      <c r="G278" s="178" t="e">
        <f t="shared" si="31"/>
        <v>#N/A</v>
      </c>
      <c r="H278" s="263" t="s">
        <v>2384</v>
      </c>
      <c r="I278" s="263" t="s">
        <v>5673</v>
      </c>
      <c r="J278" s="263" t="s">
        <v>913</v>
      </c>
      <c r="K278" s="263" t="s">
        <v>2384</v>
      </c>
      <c r="L278" s="178" t="e">
        <f t="shared" si="27"/>
        <v>#N/A</v>
      </c>
      <c r="M278" s="178" t="e">
        <f t="shared" si="28"/>
        <v>#N/A</v>
      </c>
      <c r="N278" s="178" t="e">
        <f t="shared" si="29"/>
        <v>#N/A</v>
      </c>
    </row>
    <row r="279" spans="1:14" hidden="1">
      <c r="A279" s="242"/>
      <c r="B279" s="248"/>
      <c r="C279" s="248"/>
      <c r="D279" s="242" t="s">
        <v>2475</v>
      </c>
      <c r="E279" s="178" t="e">
        <f t="shared" si="26"/>
        <v>#N/A</v>
      </c>
      <c r="F279" s="178" t="e">
        <f t="shared" si="30"/>
        <v>#N/A</v>
      </c>
      <c r="G279" s="178" t="e">
        <f t="shared" si="31"/>
        <v>#N/A</v>
      </c>
      <c r="H279" s="263" t="s">
        <v>2385</v>
      </c>
      <c r="I279" s="263" t="s">
        <v>5673</v>
      </c>
      <c r="J279" s="263" t="s">
        <v>5900</v>
      </c>
      <c r="K279" s="263" t="s">
        <v>2385</v>
      </c>
      <c r="L279" s="178" t="str">
        <f t="shared" si="27"/>
        <v>A3053</v>
      </c>
      <c r="M279" s="178" t="str">
        <f t="shared" si="28"/>
        <v>GEA_NICE신용평점정보조회Dto</v>
      </c>
      <c r="N279" s="178">
        <f t="shared" si="29"/>
        <v>1</v>
      </c>
    </row>
    <row r="280" spans="1:14">
      <c r="A280" s="242"/>
      <c r="B280" s="248"/>
      <c r="C280" s="248"/>
      <c r="D280" s="242" t="s">
        <v>2476</v>
      </c>
      <c r="E280" s="178" t="e">
        <f t="shared" si="26"/>
        <v>#N/A</v>
      </c>
      <c r="F280" s="178" t="e">
        <f t="shared" si="30"/>
        <v>#N/A</v>
      </c>
      <c r="G280" s="178" t="e">
        <f t="shared" si="31"/>
        <v>#N/A</v>
      </c>
      <c r="H280" s="339" t="s">
        <v>2386</v>
      </c>
      <c r="I280" s="263" t="s">
        <v>5877</v>
      </c>
      <c r="J280" s="339" t="s">
        <v>12</v>
      </c>
      <c r="K280" s="339" t="s">
        <v>2386</v>
      </c>
      <c r="L280" s="178" t="e">
        <f t="shared" si="27"/>
        <v>#N/A</v>
      </c>
      <c r="M280" s="178" t="e">
        <f t="shared" si="28"/>
        <v>#N/A</v>
      </c>
      <c r="N280" s="178" t="e">
        <f t="shared" si="29"/>
        <v>#N/A</v>
      </c>
    </row>
    <row r="281" spans="1:14">
      <c r="A281" s="242"/>
      <c r="B281" s="248"/>
      <c r="C281" s="248"/>
      <c r="D281" s="242" t="s">
        <v>2477</v>
      </c>
      <c r="E281" s="178" t="e">
        <f t="shared" si="26"/>
        <v>#N/A</v>
      </c>
      <c r="F281" s="178" t="e">
        <f t="shared" si="30"/>
        <v>#N/A</v>
      </c>
      <c r="G281" s="178" t="e">
        <f t="shared" si="31"/>
        <v>#N/A</v>
      </c>
      <c r="H281" s="339" t="s">
        <v>2387</v>
      </c>
      <c r="I281" s="263" t="s">
        <v>5673</v>
      </c>
      <c r="J281" s="339" t="s">
        <v>5901</v>
      </c>
      <c r="K281" s="339" t="s">
        <v>2387</v>
      </c>
      <c r="L281" s="178" t="e">
        <f t="shared" si="27"/>
        <v>#N/A</v>
      </c>
      <c r="M281" s="178" t="e">
        <f t="shared" si="28"/>
        <v>#N/A</v>
      </c>
      <c r="N281" s="178" t="e">
        <f t="shared" si="29"/>
        <v>#N/A</v>
      </c>
    </row>
    <row r="282" spans="1:14" hidden="1">
      <c r="A282" s="242"/>
      <c r="B282" s="248"/>
      <c r="C282" s="248"/>
      <c r="D282" s="242" t="s">
        <v>2478</v>
      </c>
      <c r="E282" s="178" t="e">
        <f t="shared" si="26"/>
        <v>#N/A</v>
      </c>
      <c r="F282" s="178" t="e">
        <f t="shared" si="30"/>
        <v>#N/A</v>
      </c>
      <c r="G282" s="178" t="e">
        <f t="shared" si="31"/>
        <v>#N/A</v>
      </c>
      <c r="H282" s="264"/>
      <c r="I282" s="264"/>
      <c r="J282" s="264"/>
      <c r="K282" s="264" t="s">
        <v>2388</v>
      </c>
      <c r="L282" s="178" t="e">
        <f t="shared" si="27"/>
        <v>#N/A</v>
      </c>
      <c r="M282" s="178" t="e">
        <f t="shared" si="28"/>
        <v>#N/A</v>
      </c>
      <c r="N282" s="178" t="e">
        <f t="shared" si="29"/>
        <v>#N/A</v>
      </c>
    </row>
    <row r="283" spans="1:14" hidden="1">
      <c r="A283" s="242"/>
      <c r="B283" s="248"/>
      <c r="C283" s="248"/>
      <c r="D283" s="242" t="s">
        <v>2479</v>
      </c>
      <c r="E283" s="178" t="e">
        <f t="shared" si="26"/>
        <v>#N/A</v>
      </c>
      <c r="F283" s="178" t="e">
        <f t="shared" si="30"/>
        <v>#N/A</v>
      </c>
      <c r="G283" s="178" t="e">
        <f t="shared" si="31"/>
        <v>#N/A</v>
      </c>
      <c r="H283" s="263" t="s">
        <v>2389</v>
      </c>
      <c r="I283" s="263" t="s">
        <v>5673</v>
      </c>
      <c r="J283" s="263" t="s">
        <v>926</v>
      </c>
      <c r="K283" s="263" t="s">
        <v>2389</v>
      </c>
      <c r="L283" s="178" t="str">
        <f t="shared" si="27"/>
        <v>A3071</v>
      </c>
      <c r="M283" s="178" t="str">
        <f t="shared" si="28"/>
        <v>GEA_NICE신용평점정보조회Dto</v>
      </c>
      <c r="N283" s="178">
        <f t="shared" si="29"/>
        <v>1</v>
      </c>
    </row>
    <row r="284" spans="1:14" hidden="1">
      <c r="A284" s="242"/>
      <c r="B284" s="248"/>
      <c r="C284" s="248"/>
      <c r="D284" s="242" t="s">
        <v>2480</v>
      </c>
      <c r="E284" s="178" t="e">
        <f t="shared" si="26"/>
        <v>#N/A</v>
      </c>
      <c r="F284" s="178" t="e">
        <f t="shared" si="30"/>
        <v>#N/A</v>
      </c>
      <c r="G284" s="178" t="e">
        <f t="shared" si="31"/>
        <v>#N/A</v>
      </c>
      <c r="H284" s="264"/>
      <c r="I284" s="264"/>
      <c r="J284" s="264"/>
      <c r="K284" s="264" t="s">
        <v>2390</v>
      </c>
      <c r="L284" s="178" t="e">
        <f t="shared" si="27"/>
        <v>#N/A</v>
      </c>
      <c r="M284" s="178" t="e">
        <f t="shared" si="28"/>
        <v>#N/A</v>
      </c>
      <c r="N284" s="178" t="e">
        <f t="shared" si="29"/>
        <v>#N/A</v>
      </c>
    </row>
    <row r="285" spans="1:14">
      <c r="A285" s="242"/>
      <c r="B285" s="248"/>
      <c r="C285" s="248"/>
      <c r="D285" s="242" t="s">
        <v>2481</v>
      </c>
      <c r="E285" s="178" t="e">
        <f t="shared" si="26"/>
        <v>#N/A</v>
      </c>
      <c r="F285" s="178" t="e">
        <f t="shared" si="30"/>
        <v>#N/A</v>
      </c>
      <c r="G285" s="178" t="e">
        <f t="shared" si="31"/>
        <v>#N/A</v>
      </c>
      <c r="H285" s="263" t="s">
        <v>2391</v>
      </c>
      <c r="I285" s="263" t="s">
        <v>5673</v>
      </c>
      <c r="J285" s="263" t="s">
        <v>3210</v>
      </c>
      <c r="K285" s="263" t="s">
        <v>2391</v>
      </c>
      <c r="L285" s="178" t="e">
        <f t="shared" si="27"/>
        <v>#N/A</v>
      </c>
      <c r="M285" s="178" t="e">
        <f t="shared" si="28"/>
        <v>#N/A</v>
      </c>
      <c r="N285" s="178" t="e">
        <f t="shared" si="29"/>
        <v>#N/A</v>
      </c>
    </row>
    <row r="286" spans="1:14" hidden="1">
      <c r="A286" s="242"/>
      <c r="B286" s="248"/>
      <c r="C286" s="248"/>
      <c r="D286" s="242" t="s">
        <v>2482</v>
      </c>
      <c r="E286" s="178" t="e">
        <f t="shared" si="26"/>
        <v>#N/A</v>
      </c>
      <c r="F286" s="178" t="e">
        <f t="shared" si="30"/>
        <v>#N/A</v>
      </c>
      <c r="G286" s="178" t="e">
        <f t="shared" si="31"/>
        <v>#N/A</v>
      </c>
      <c r="H286" s="263" t="s">
        <v>2519</v>
      </c>
      <c r="I286" s="263" t="s">
        <v>5669</v>
      </c>
      <c r="J286" s="263" t="s">
        <v>5874</v>
      </c>
      <c r="K286" s="263" t="s">
        <v>2519</v>
      </c>
      <c r="L286" s="178" t="str">
        <f t="shared" si="27"/>
        <v>A3065</v>
      </c>
      <c r="M286" s="178" t="str">
        <f t="shared" si="28"/>
        <v>GEA_NICE동시대출건수조회Dto</v>
      </c>
      <c r="N286" s="178">
        <f t="shared" si="29"/>
        <v>1</v>
      </c>
    </row>
    <row r="287" spans="1:14">
      <c r="A287" s="242"/>
      <c r="B287" s="248"/>
      <c r="C287" s="248"/>
      <c r="D287" s="242" t="s">
        <v>2483</v>
      </c>
      <c r="E287" s="178" t="e">
        <f t="shared" si="26"/>
        <v>#N/A</v>
      </c>
      <c r="F287" s="178" t="e">
        <f t="shared" si="30"/>
        <v>#N/A</v>
      </c>
      <c r="G287" s="178" t="e">
        <f t="shared" si="31"/>
        <v>#N/A</v>
      </c>
      <c r="H287" s="263" t="s">
        <v>2961</v>
      </c>
      <c r="I287" s="263" t="s">
        <v>5870</v>
      </c>
      <c r="J287" s="263" t="s">
        <v>5871</v>
      </c>
      <c r="K287" s="263" t="s">
        <v>2961</v>
      </c>
      <c r="L287" s="178" t="e">
        <f t="shared" si="27"/>
        <v>#N/A</v>
      </c>
      <c r="M287" s="178" t="e">
        <f t="shared" si="28"/>
        <v>#N/A</v>
      </c>
      <c r="N287" s="178" t="e">
        <f t="shared" si="29"/>
        <v>#N/A</v>
      </c>
    </row>
    <row r="288" spans="1:14">
      <c r="A288" s="242"/>
      <c r="B288" s="248"/>
      <c r="C288" s="248"/>
      <c r="D288" s="242" t="s">
        <v>2484</v>
      </c>
      <c r="E288" s="178" t="e">
        <f t="shared" si="26"/>
        <v>#N/A</v>
      </c>
      <c r="F288" s="178" t="e">
        <f t="shared" si="30"/>
        <v>#N/A</v>
      </c>
      <c r="G288" s="178" t="e">
        <f t="shared" si="31"/>
        <v>#N/A</v>
      </c>
      <c r="H288" s="263" t="s">
        <v>2962</v>
      </c>
      <c r="I288" s="263" t="s">
        <v>5613</v>
      </c>
      <c r="J288" s="263" t="s">
        <v>5385</v>
      </c>
      <c r="K288" s="263" t="s">
        <v>2962</v>
      </c>
      <c r="L288" s="178" t="e">
        <f t="shared" si="27"/>
        <v>#N/A</v>
      </c>
      <c r="M288" s="178" t="e">
        <f t="shared" si="28"/>
        <v>#N/A</v>
      </c>
      <c r="N288" s="178" t="e">
        <f t="shared" si="29"/>
        <v>#N/A</v>
      </c>
    </row>
    <row r="289" spans="1:14">
      <c r="A289" s="242"/>
      <c r="B289" s="248"/>
      <c r="C289" s="248"/>
      <c r="D289" s="242" t="s">
        <v>2485</v>
      </c>
      <c r="E289" s="178" t="e">
        <f t="shared" si="26"/>
        <v>#N/A</v>
      </c>
      <c r="F289" s="178" t="e">
        <f t="shared" si="30"/>
        <v>#N/A</v>
      </c>
      <c r="G289" s="178" t="e">
        <f t="shared" si="31"/>
        <v>#N/A</v>
      </c>
      <c r="H289" s="263" t="s">
        <v>3643</v>
      </c>
      <c r="I289" s="263" t="s">
        <v>5613</v>
      </c>
      <c r="J289" s="263" t="s">
        <v>5386</v>
      </c>
      <c r="K289" s="263" t="s">
        <v>3643</v>
      </c>
      <c r="L289" s="178" t="e">
        <f t="shared" si="27"/>
        <v>#N/A</v>
      </c>
      <c r="M289" s="178" t="e">
        <f t="shared" si="28"/>
        <v>#N/A</v>
      </c>
      <c r="N289" s="178" t="e">
        <f t="shared" si="29"/>
        <v>#N/A</v>
      </c>
    </row>
    <row r="290" spans="1:14">
      <c r="A290" s="242"/>
      <c r="B290" s="248"/>
      <c r="C290" s="248"/>
      <c r="D290" s="242" t="s">
        <v>2486</v>
      </c>
      <c r="E290" s="178" t="e">
        <f t="shared" si="26"/>
        <v>#N/A</v>
      </c>
      <c r="F290" s="178" t="e">
        <f t="shared" si="30"/>
        <v>#N/A</v>
      </c>
      <c r="G290" s="178" t="e">
        <f t="shared" si="31"/>
        <v>#N/A</v>
      </c>
      <c r="H290" s="263" t="s">
        <v>3644</v>
      </c>
      <c r="I290" s="263" t="s">
        <v>5613</v>
      </c>
      <c r="J290" s="263" t="s">
        <v>5387</v>
      </c>
      <c r="K290" s="263" t="s">
        <v>3644</v>
      </c>
      <c r="L290" s="178" t="e">
        <f t="shared" si="27"/>
        <v>#N/A</v>
      </c>
      <c r="M290" s="178" t="e">
        <f t="shared" si="28"/>
        <v>#N/A</v>
      </c>
      <c r="N290" s="178" t="e">
        <f t="shared" si="29"/>
        <v>#N/A</v>
      </c>
    </row>
    <row r="291" spans="1:14">
      <c r="A291" s="242"/>
      <c r="B291" s="248"/>
      <c r="C291" s="248"/>
      <c r="D291" s="242" t="s">
        <v>2487</v>
      </c>
      <c r="E291" s="178" t="e">
        <f t="shared" si="26"/>
        <v>#N/A</v>
      </c>
      <c r="F291" s="178" t="e">
        <f t="shared" si="30"/>
        <v>#N/A</v>
      </c>
      <c r="G291" s="178" t="e">
        <f t="shared" si="31"/>
        <v>#N/A</v>
      </c>
      <c r="H291" s="263" t="s">
        <v>3645</v>
      </c>
      <c r="I291" s="263" t="s">
        <v>5613</v>
      </c>
      <c r="J291" s="263" t="s">
        <v>5388</v>
      </c>
      <c r="K291" s="263" t="s">
        <v>3645</v>
      </c>
      <c r="L291" s="178" t="e">
        <f t="shared" si="27"/>
        <v>#N/A</v>
      </c>
      <c r="M291" s="178" t="e">
        <f t="shared" si="28"/>
        <v>#N/A</v>
      </c>
      <c r="N291" s="178" t="e">
        <f t="shared" si="29"/>
        <v>#N/A</v>
      </c>
    </row>
    <row r="292" spans="1:14">
      <c r="A292" s="242"/>
      <c r="B292" s="248"/>
      <c r="C292" s="248"/>
      <c r="D292" s="242" t="s">
        <v>2488</v>
      </c>
      <c r="E292" s="178" t="e">
        <f t="shared" si="26"/>
        <v>#N/A</v>
      </c>
      <c r="F292" s="178" t="e">
        <f t="shared" si="30"/>
        <v>#N/A</v>
      </c>
      <c r="G292" s="178" t="e">
        <f t="shared" si="31"/>
        <v>#N/A</v>
      </c>
      <c r="H292" s="263" t="s">
        <v>3646</v>
      </c>
      <c r="I292" s="263" t="s">
        <v>5613</v>
      </c>
      <c r="J292" s="263" t="s">
        <v>5389</v>
      </c>
      <c r="K292" s="263" t="s">
        <v>3646</v>
      </c>
      <c r="L292" s="178" t="e">
        <f t="shared" si="27"/>
        <v>#N/A</v>
      </c>
      <c r="M292" s="178" t="e">
        <f t="shared" si="28"/>
        <v>#N/A</v>
      </c>
      <c r="N292" s="178" t="e">
        <f t="shared" si="29"/>
        <v>#N/A</v>
      </c>
    </row>
    <row r="293" spans="1:14">
      <c r="A293" s="242"/>
      <c r="B293" s="248"/>
      <c r="C293" s="248"/>
      <c r="D293" s="242" t="s">
        <v>2489</v>
      </c>
      <c r="E293" s="178" t="e">
        <f t="shared" si="26"/>
        <v>#N/A</v>
      </c>
      <c r="F293" s="178" t="e">
        <f t="shared" si="30"/>
        <v>#N/A</v>
      </c>
      <c r="G293" s="178" t="e">
        <f t="shared" si="31"/>
        <v>#N/A</v>
      </c>
      <c r="H293" s="263" t="s">
        <v>3647</v>
      </c>
      <c r="I293" s="263" t="s">
        <v>5613</v>
      </c>
      <c r="J293" s="263" t="s">
        <v>5390</v>
      </c>
      <c r="K293" s="263" t="s">
        <v>3647</v>
      </c>
      <c r="L293" s="178" t="e">
        <f t="shared" si="27"/>
        <v>#N/A</v>
      </c>
      <c r="M293" s="178" t="e">
        <f t="shared" si="28"/>
        <v>#N/A</v>
      </c>
      <c r="N293" s="178" t="e">
        <f t="shared" si="29"/>
        <v>#N/A</v>
      </c>
    </row>
    <row r="294" spans="1:14">
      <c r="A294" s="242"/>
      <c r="B294" s="248"/>
      <c r="C294" s="248"/>
      <c r="D294" s="242" t="s">
        <v>2490</v>
      </c>
      <c r="E294" s="178" t="e">
        <f t="shared" si="26"/>
        <v>#N/A</v>
      </c>
      <c r="F294" s="178" t="e">
        <f t="shared" si="30"/>
        <v>#N/A</v>
      </c>
      <c r="G294" s="178" t="e">
        <f t="shared" si="31"/>
        <v>#N/A</v>
      </c>
      <c r="H294" s="263" t="s">
        <v>3648</v>
      </c>
      <c r="I294" s="263" t="s">
        <v>5613</v>
      </c>
      <c r="J294" s="263" t="s">
        <v>5391</v>
      </c>
      <c r="K294" s="263" t="s">
        <v>3648</v>
      </c>
      <c r="L294" s="178" t="e">
        <f t="shared" si="27"/>
        <v>#N/A</v>
      </c>
      <c r="M294" s="178" t="e">
        <f t="shared" si="28"/>
        <v>#N/A</v>
      </c>
      <c r="N294" s="178" t="e">
        <f t="shared" si="29"/>
        <v>#N/A</v>
      </c>
    </row>
    <row r="295" spans="1:14">
      <c r="A295" s="242"/>
      <c r="B295" s="248"/>
      <c r="C295" s="248"/>
      <c r="D295" s="242" t="s">
        <v>2491</v>
      </c>
      <c r="E295" s="178" t="e">
        <f t="shared" si="26"/>
        <v>#N/A</v>
      </c>
      <c r="F295" s="178" t="e">
        <f t="shared" si="30"/>
        <v>#N/A</v>
      </c>
      <c r="G295" s="178" t="e">
        <f t="shared" si="31"/>
        <v>#N/A</v>
      </c>
      <c r="H295" s="263" t="s">
        <v>3649</v>
      </c>
      <c r="I295" s="263" t="s">
        <v>5613</v>
      </c>
      <c r="J295" s="263" t="s">
        <v>5392</v>
      </c>
      <c r="K295" s="263" t="s">
        <v>3649</v>
      </c>
      <c r="L295" s="178" t="e">
        <f t="shared" si="27"/>
        <v>#N/A</v>
      </c>
      <c r="M295" s="178" t="e">
        <f t="shared" si="28"/>
        <v>#N/A</v>
      </c>
      <c r="N295" s="178" t="e">
        <f t="shared" si="29"/>
        <v>#N/A</v>
      </c>
    </row>
    <row r="296" spans="1:14">
      <c r="A296" s="242"/>
      <c r="B296" s="248"/>
      <c r="C296" s="248"/>
      <c r="D296" s="242" t="s">
        <v>2492</v>
      </c>
      <c r="E296" s="178" t="e">
        <f t="shared" si="26"/>
        <v>#N/A</v>
      </c>
      <c r="F296" s="178" t="e">
        <f t="shared" si="30"/>
        <v>#N/A</v>
      </c>
      <c r="G296" s="178" t="e">
        <f t="shared" si="31"/>
        <v>#N/A</v>
      </c>
      <c r="H296" s="263" t="s">
        <v>3650</v>
      </c>
      <c r="I296" s="263" t="s">
        <v>5613</v>
      </c>
      <c r="J296" s="263" t="s">
        <v>5393</v>
      </c>
      <c r="K296" s="263" t="s">
        <v>3650</v>
      </c>
      <c r="L296" s="178" t="e">
        <f t="shared" si="27"/>
        <v>#N/A</v>
      </c>
      <c r="M296" s="178" t="e">
        <f t="shared" si="28"/>
        <v>#N/A</v>
      </c>
      <c r="N296" s="178" t="e">
        <f t="shared" si="29"/>
        <v>#N/A</v>
      </c>
    </row>
    <row r="297" spans="1:14">
      <c r="A297" s="242"/>
      <c r="B297" s="248"/>
      <c r="C297" s="248"/>
      <c r="D297" s="242" t="s">
        <v>2493</v>
      </c>
      <c r="E297" s="178" t="e">
        <f t="shared" si="26"/>
        <v>#N/A</v>
      </c>
      <c r="F297" s="178" t="e">
        <f t="shared" si="30"/>
        <v>#N/A</v>
      </c>
      <c r="G297" s="178" t="e">
        <f t="shared" si="31"/>
        <v>#N/A</v>
      </c>
      <c r="H297" s="263" t="s">
        <v>3651</v>
      </c>
      <c r="I297" s="263" t="s">
        <v>5895</v>
      </c>
      <c r="J297" s="263" t="s">
        <v>5394</v>
      </c>
      <c r="K297" s="263" t="s">
        <v>3651</v>
      </c>
      <c r="L297" s="178" t="e">
        <f t="shared" si="27"/>
        <v>#N/A</v>
      </c>
      <c r="M297" s="178" t="e">
        <f t="shared" si="28"/>
        <v>#N/A</v>
      </c>
      <c r="N297" s="178" t="e">
        <f t="shared" si="29"/>
        <v>#N/A</v>
      </c>
    </row>
    <row r="298" spans="1:14" hidden="1">
      <c r="A298" s="242"/>
      <c r="B298" s="248"/>
      <c r="C298" s="248"/>
      <c r="D298" s="242" t="s">
        <v>2494</v>
      </c>
      <c r="E298" s="178" t="e">
        <f t="shared" si="26"/>
        <v>#N/A</v>
      </c>
      <c r="F298" s="178" t="e">
        <f t="shared" si="30"/>
        <v>#N/A</v>
      </c>
      <c r="G298" s="178" t="e">
        <f t="shared" si="31"/>
        <v>#N/A</v>
      </c>
      <c r="H298" s="263" t="s">
        <v>3712</v>
      </c>
      <c r="I298" s="263" t="s">
        <v>5673</v>
      </c>
      <c r="J298" s="263" t="s">
        <v>5197</v>
      </c>
      <c r="K298" s="263" t="s">
        <v>3712</v>
      </c>
      <c r="L298" s="178" t="str">
        <f t="shared" si="27"/>
        <v>A3073</v>
      </c>
      <c r="M298" s="178" t="str">
        <f t="shared" si="28"/>
        <v>GEA_NICE신용평점정보조회Dto</v>
      </c>
      <c r="N298" s="178">
        <f t="shared" si="29"/>
        <v>1</v>
      </c>
    </row>
    <row r="299" spans="1:14" hidden="1">
      <c r="A299" s="242"/>
      <c r="B299" s="248"/>
      <c r="C299" s="248"/>
      <c r="D299" s="242" t="s">
        <v>2495</v>
      </c>
      <c r="E299" s="178" t="e">
        <f t="shared" si="26"/>
        <v>#N/A</v>
      </c>
      <c r="F299" s="178" t="e">
        <f t="shared" si="30"/>
        <v>#N/A</v>
      </c>
      <c r="G299" s="178" t="e">
        <f t="shared" si="31"/>
        <v>#N/A</v>
      </c>
      <c r="H299" s="263" t="s">
        <v>3713</v>
      </c>
      <c r="I299" s="263" t="s">
        <v>5673</v>
      </c>
      <c r="J299" s="263" t="s">
        <v>5404</v>
      </c>
      <c r="K299" s="263" t="s">
        <v>3713</v>
      </c>
      <c r="L299" s="178" t="str">
        <f t="shared" si="27"/>
        <v>A3075</v>
      </c>
      <c r="M299" s="178" t="str">
        <f t="shared" si="28"/>
        <v>GEA_NICE신용평점정보조회Dto</v>
      </c>
      <c r="N299" s="178">
        <f t="shared" si="29"/>
        <v>1</v>
      </c>
    </row>
    <row r="300" spans="1:14" hidden="1">
      <c r="A300" s="242"/>
      <c r="B300" s="248"/>
      <c r="C300" s="248"/>
      <c r="D300" s="242" t="s">
        <v>2496</v>
      </c>
      <c r="E300" s="178" t="e">
        <f t="shared" si="26"/>
        <v>#N/A</v>
      </c>
      <c r="F300" s="178" t="e">
        <f t="shared" si="30"/>
        <v>#N/A</v>
      </c>
      <c r="G300" s="178" t="e">
        <f t="shared" si="31"/>
        <v>#N/A</v>
      </c>
      <c r="H300" s="264"/>
      <c r="I300" s="264"/>
      <c r="J300" s="264"/>
      <c r="K300" s="264" t="s">
        <v>2392</v>
      </c>
      <c r="L300" s="178" t="e">
        <f t="shared" si="27"/>
        <v>#N/A</v>
      </c>
      <c r="M300" s="178" t="e">
        <f t="shared" si="28"/>
        <v>#N/A</v>
      </c>
      <c r="N300" s="178" t="e">
        <f t="shared" si="29"/>
        <v>#N/A</v>
      </c>
    </row>
    <row r="301" spans="1:14" hidden="1">
      <c r="A301" s="242"/>
      <c r="B301" s="248"/>
      <c r="C301" s="248"/>
      <c r="D301" s="242" t="s">
        <v>2497</v>
      </c>
      <c r="E301" s="178" t="e">
        <f t="shared" si="26"/>
        <v>#N/A</v>
      </c>
      <c r="F301" s="178" t="e">
        <f t="shared" si="30"/>
        <v>#N/A</v>
      </c>
      <c r="G301" s="178" t="e">
        <f t="shared" si="31"/>
        <v>#N/A</v>
      </c>
      <c r="H301" s="264"/>
      <c r="I301" s="264"/>
      <c r="J301" s="264"/>
      <c r="K301" s="264" t="s">
        <v>2393</v>
      </c>
      <c r="L301" s="178" t="e">
        <f t="shared" si="27"/>
        <v>#N/A</v>
      </c>
      <c r="M301" s="178" t="e">
        <f t="shared" si="28"/>
        <v>#N/A</v>
      </c>
      <c r="N301" s="178" t="e">
        <f t="shared" si="29"/>
        <v>#N/A</v>
      </c>
    </row>
    <row r="302" spans="1:14" hidden="1">
      <c r="A302" s="242"/>
      <c r="B302" s="248"/>
      <c r="C302" s="248"/>
      <c r="D302" s="242" t="s">
        <v>2498</v>
      </c>
      <c r="E302" s="178" t="e">
        <f t="shared" si="26"/>
        <v>#N/A</v>
      </c>
      <c r="F302" s="178" t="e">
        <f t="shared" si="30"/>
        <v>#N/A</v>
      </c>
      <c r="G302" s="178" t="e">
        <f t="shared" si="31"/>
        <v>#N/A</v>
      </c>
      <c r="H302" s="264"/>
      <c r="I302" s="264"/>
      <c r="J302" s="264"/>
      <c r="K302" s="264" t="s">
        <v>2394</v>
      </c>
      <c r="L302" s="178" t="e">
        <f t="shared" si="27"/>
        <v>#N/A</v>
      </c>
      <c r="M302" s="178" t="e">
        <f t="shared" si="28"/>
        <v>#N/A</v>
      </c>
      <c r="N302" s="178" t="e">
        <f t="shared" si="29"/>
        <v>#N/A</v>
      </c>
    </row>
    <row r="303" spans="1:14">
      <c r="A303" s="242"/>
      <c r="B303" s="248"/>
      <c r="C303" s="248"/>
      <c r="D303" s="242" t="s">
        <v>2499</v>
      </c>
      <c r="E303" s="178" t="e">
        <f t="shared" si="26"/>
        <v>#N/A</v>
      </c>
      <c r="F303" s="178" t="e">
        <f t="shared" si="30"/>
        <v>#N/A</v>
      </c>
      <c r="G303" s="178" t="e">
        <f t="shared" si="31"/>
        <v>#N/A</v>
      </c>
      <c r="H303" s="263" t="s">
        <v>2395</v>
      </c>
      <c r="I303" s="263" t="s">
        <v>5896</v>
      </c>
      <c r="J303" s="263" t="s">
        <v>940</v>
      </c>
      <c r="K303" s="263" t="s">
        <v>2395</v>
      </c>
      <c r="L303" s="178" t="e">
        <f t="shared" si="27"/>
        <v>#N/A</v>
      </c>
      <c r="M303" s="178" t="e">
        <f t="shared" si="28"/>
        <v>#N/A</v>
      </c>
      <c r="N303" s="178" t="e">
        <f t="shared" si="29"/>
        <v>#N/A</v>
      </c>
    </row>
    <row r="304" spans="1:14" hidden="1">
      <c r="A304" s="242"/>
      <c r="B304" s="248"/>
      <c r="C304" s="248"/>
      <c r="D304" s="242" t="s">
        <v>2500</v>
      </c>
      <c r="E304" s="178" t="e">
        <f t="shared" si="26"/>
        <v>#N/A</v>
      </c>
      <c r="F304" s="178" t="e">
        <f t="shared" si="30"/>
        <v>#N/A</v>
      </c>
      <c r="G304" s="178" t="e">
        <f t="shared" si="31"/>
        <v>#N/A</v>
      </c>
      <c r="H304" s="264"/>
      <c r="I304" s="264"/>
      <c r="J304" s="264"/>
      <c r="K304" s="264" t="s">
        <v>2396</v>
      </c>
      <c r="L304" s="178" t="e">
        <f t="shared" si="27"/>
        <v>#N/A</v>
      </c>
      <c r="M304" s="178" t="e">
        <f t="shared" si="28"/>
        <v>#N/A</v>
      </c>
      <c r="N304" s="178" t="e">
        <f t="shared" si="29"/>
        <v>#N/A</v>
      </c>
    </row>
    <row r="305" spans="1:14" hidden="1">
      <c r="A305" s="242"/>
      <c r="B305" s="248"/>
      <c r="C305" s="248"/>
      <c r="D305" s="242" t="s">
        <v>2501</v>
      </c>
      <c r="E305" s="178" t="e">
        <f t="shared" si="26"/>
        <v>#N/A</v>
      </c>
      <c r="F305" s="178" t="e">
        <f t="shared" si="30"/>
        <v>#N/A</v>
      </c>
      <c r="G305" s="178" t="e">
        <f t="shared" si="31"/>
        <v>#N/A</v>
      </c>
      <c r="H305" s="264"/>
      <c r="I305" s="264"/>
      <c r="J305" s="264"/>
      <c r="K305" s="264" t="s">
        <v>2397</v>
      </c>
      <c r="L305" s="178" t="e">
        <f t="shared" si="27"/>
        <v>#N/A</v>
      </c>
      <c r="M305" s="178" t="e">
        <f t="shared" si="28"/>
        <v>#N/A</v>
      </c>
      <c r="N305" s="178" t="e">
        <f t="shared" si="29"/>
        <v>#N/A</v>
      </c>
    </row>
    <row r="306" spans="1:14" hidden="1">
      <c r="A306" s="242"/>
      <c r="B306" s="248"/>
      <c r="C306" s="248"/>
      <c r="D306" s="242" t="s">
        <v>2502</v>
      </c>
      <c r="E306" s="178" t="e">
        <f t="shared" si="26"/>
        <v>#N/A</v>
      </c>
      <c r="F306" s="178" t="e">
        <f t="shared" si="30"/>
        <v>#N/A</v>
      </c>
      <c r="G306" s="178" t="e">
        <f t="shared" si="31"/>
        <v>#N/A</v>
      </c>
      <c r="H306" s="264"/>
      <c r="I306" s="264"/>
      <c r="J306" s="264"/>
      <c r="K306" s="264" t="s">
        <v>2398</v>
      </c>
      <c r="L306" s="178" t="e">
        <f t="shared" si="27"/>
        <v>#N/A</v>
      </c>
      <c r="M306" s="178" t="e">
        <f t="shared" si="28"/>
        <v>#N/A</v>
      </c>
      <c r="N306" s="178" t="e">
        <f t="shared" si="29"/>
        <v>#N/A</v>
      </c>
    </row>
    <row r="307" spans="1:14" hidden="1">
      <c r="A307" s="242"/>
      <c r="B307" s="248"/>
      <c r="C307" s="248"/>
      <c r="D307" s="242" t="s">
        <v>2503</v>
      </c>
      <c r="E307" s="178" t="e">
        <f t="shared" si="26"/>
        <v>#N/A</v>
      </c>
      <c r="F307" s="178" t="e">
        <f t="shared" si="30"/>
        <v>#N/A</v>
      </c>
      <c r="G307" s="178" t="e">
        <f t="shared" si="31"/>
        <v>#N/A</v>
      </c>
      <c r="H307" s="264"/>
      <c r="I307" s="264"/>
      <c r="J307" s="264"/>
      <c r="K307" s="264" t="s">
        <v>2399</v>
      </c>
      <c r="L307" s="178" t="e">
        <f t="shared" si="27"/>
        <v>#N/A</v>
      </c>
      <c r="M307" s="178" t="e">
        <f t="shared" si="28"/>
        <v>#N/A</v>
      </c>
      <c r="N307" s="178" t="e">
        <f t="shared" si="29"/>
        <v>#N/A</v>
      </c>
    </row>
    <row r="308" spans="1:14" hidden="1">
      <c r="A308" s="242"/>
      <c r="B308" s="248"/>
      <c r="C308" s="248"/>
      <c r="D308" s="242" t="s">
        <v>2504</v>
      </c>
      <c r="E308" s="178" t="e">
        <f t="shared" si="26"/>
        <v>#N/A</v>
      </c>
      <c r="F308" s="178" t="e">
        <f t="shared" si="30"/>
        <v>#N/A</v>
      </c>
      <c r="G308" s="178" t="e">
        <f t="shared" si="31"/>
        <v>#N/A</v>
      </c>
      <c r="H308" s="264"/>
      <c r="I308" s="264"/>
      <c r="J308" s="264"/>
      <c r="K308" s="264" t="s">
        <v>2400</v>
      </c>
      <c r="L308" s="178" t="e">
        <f t="shared" si="27"/>
        <v>#N/A</v>
      </c>
      <c r="M308" s="178" t="e">
        <f t="shared" si="28"/>
        <v>#N/A</v>
      </c>
      <c r="N308" s="178" t="e">
        <f t="shared" si="29"/>
        <v>#N/A</v>
      </c>
    </row>
    <row r="309" spans="1:14" hidden="1">
      <c r="A309" s="242"/>
      <c r="B309" s="248"/>
      <c r="C309" s="248"/>
      <c r="D309" s="242" t="s">
        <v>2505</v>
      </c>
      <c r="E309" s="178" t="e">
        <f t="shared" si="26"/>
        <v>#N/A</v>
      </c>
      <c r="F309" s="178" t="e">
        <f t="shared" si="30"/>
        <v>#N/A</v>
      </c>
      <c r="G309" s="178" t="e">
        <f t="shared" si="31"/>
        <v>#N/A</v>
      </c>
      <c r="H309" s="264"/>
      <c r="I309" s="264"/>
      <c r="J309" s="264"/>
      <c r="K309" s="264" t="s">
        <v>2401</v>
      </c>
      <c r="L309" s="178" t="e">
        <f t="shared" si="27"/>
        <v>#N/A</v>
      </c>
      <c r="M309" s="178" t="e">
        <f t="shared" si="28"/>
        <v>#N/A</v>
      </c>
      <c r="N309" s="178" t="e">
        <f t="shared" si="29"/>
        <v>#N/A</v>
      </c>
    </row>
    <row r="310" spans="1:14" hidden="1">
      <c r="A310" s="242"/>
      <c r="B310" s="248"/>
      <c r="C310" s="248"/>
      <c r="D310" s="242" t="s">
        <v>2506</v>
      </c>
      <c r="E310" s="178" t="e">
        <f t="shared" si="26"/>
        <v>#N/A</v>
      </c>
      <c r="F310" s="178" t="e">
        <f t="shared" si="30"/>
        <v>#N/A</v>
      </c>
      <c r="G310" s="178" t="e">
        <f t="shared" si="31"/>
        <v>#N/A</v>
      </c>
      <c r="H310" s="264"/>
      <c r="I310" s="264"/>
      <c r="J310" s="264"/>
      <c r="K310" s="264" t="s">
        <v>2402</v>
      </c>
      <c r="L310" s="178" t="e">
        <f t="shared" si="27"/>
        <v>#N/A</v>
      </c>
      <c r="M310" s="178" t="e">
        <f t="shared" si="28"/>
        <v>#N/A</v>
      </c>
      <c r="N310" s="178" t="e">
        <f t="shared" si="29"/>
        <v>#N/A</v>
      </c>
    </row>
    <row r="311" spans="1:14" hidden="1">
      <c r="A311" s="242"/>
      <c r="B311" s="248"/>
      <c r="C311" s="248"/>
      <c r="D311" s="242" t="s">
        <v>2507</v>
      </c>
      <c r="E311" s="178" t="e">
        <f t="shared" si="26"/>
        <v>#N/A</v>
      </c>
      <c r="F311" s="178" t="e">
        <f t="shared" si="30"/>
        <v>#N/A</v>
      </c>
      <c r="G311" s="178" t="e">
        <f t="shared" si="31"/>
        <v>#N/A</v>
      </c>
      <c r="H311" s="264"/>
      <c r="I311" s="264"/>
      <c r="J311" s="264"/>
      <c r="K311" s="264" t="s">
        <v>2403</v>
      </c>
      <c r="L311" s="178" t="e">
        <f t="shared" si="27"/>
        <v>#N/A</v>
      </c>
      <c r="M311" s="178" t="e">
        <f t="shared" si="28"/>
        <v>#N/A</v>
      </c>
      <c r="N311" s="178" t="e">
        <f t="shared" si="29"/>
        <v>#N/A</v>
      </c>
    </row>
    <row r="312" spans="1:14" hidden="1">
      <c r="A312" s="242"/>
      <c r="B312" s="248"/>
      <c r="C312" s="248"/>
      <c r="D312" s="242" t="s">
        <v>2508</v>
      </c>
      <c r="E312" s="178" t="e">
        <f t="shared" si="26"/>
        <v>#N/A</v>
      </c>
      <c r="F312" s="178" t="e">
        <f t="shared" si="30"/>
        <v>#N/A</v>
      </c>
      <c r="G312" s="178" t="e">
        <f t="shared" si="31"/>
        <v>#N/A</v>
      </c>
      <c r="H312" s="264"/>
      <c r="I312" s="264"/>
      <c r="J312" s="264"/>
      <c r="K312" s="264" t="s">
        <v>2404</v>
      </c>
      <c r="L312" s="178" t="e">
        <f t="shared" si="27"/>
        <v>#N/A</v>
      </c>
      <c r="M312" s="178" t="e">
        <f t="shared" si="28"/>
        <v>#N/A</v>
      </c>
      <c r="N312" s="178" t="e">
        <f t="shared" si="29"/>
        <v>#N/A</v>
      </c>
    </row>
    <row r="313" spans="1:14" hidden="1">
      <c r="A313" s="242"/>
      <c r="B313" s="248"/>
      <c r="C313" s="248"/>
      <c r="D313" s="242" t="s">
        <v>2509</v>
      </c>
      <c r="E313" s="178" t="e">
        <f t="shared" si="26"/>
        <v>#N/A</v>
      </c>
      <c r="F313" s="178" t="e">
        <f t="shared" si="30"/>
        <v>#N/A</v>
      </c>
      <c r="G313" s="178" t="e">
        <f t="shared" si="31"/>
        <v>#N/A</v>
      </c>
      <c r="H313" s="264"/>
      <c r="I313" s="264"/>
      <c r="J313" s="264"/>
      <c r="K313" s="264" t="s">
        <v>2405</v>
      </c>
      <c r="L313" s="178" t="e">
        <f t="shared" si="27"/>
        <v>#N/A</v>
      </c>
      <c r="M313" s="178" t="e">
        <f t="shared" si="28"/>
        <v>#N/A</v>
      </c>
      <c r="N313" s="178" t="e">
        <f t="shared" si="29"/>
        <v>#N/A</v>
      </c>
    </row>
    <row r="314" spans="1:14" hidden="1">
      <c r="A314" s="242"/>
      <c r="B314" s="248"/>
      <c r="C314" s="248"/>
      <c r="D314" s="242" t="s">
        <v>2510</v>
      </c>
      <c r="E314" s="178" t="e">
        <f t="shared" si="26"/>
        <v>#N/A</v>
      </c>
      <c r="F314" s="178" t="e">
        <f t="shared" si="30"/>
        <v>#N/A</v>
      </c>
      <c r="G314" s="178" t="e">
        <f t="shared" si="31"/>
        <v>#N/A</v>
      </c>
      <c r="H314" s="264"/>
      <c r="I314" s="264"/>
      <c r="J314" s="264"/>
      <c r="K314" s="264" t="s">
        <v>2406</v>
      </c>
      <c r="L314" s="178" t="e">
        <f t="shared" si="27"/>
        <v>#N/A</v>
      </c>
      <c r="M314" s="178" t="e">
        <f t="shared" si="28"/>
        <v>#N/A</v>
      </c>
      <c r="N314" s="178" t="e">
        <f t="shared" si="29"/>
        <v>#N/A</v>
      </c>
    </row>
    <row r="315" spans="1:14" hidden="1">
      <c r="A315" s="242"/>
      <c r="B315" s="248"/>
      <c r="C315" s="248"/>
      <c r="D315" s="242" t="s">
        <v>2511</v>
      </c>
      <c r="E315" s="178" t="e">
        <f t="shared" si="26"/>
        <v>#N/A</v>
      </c>
      <c r="F315" s="178" t="e">
        <f t="shared" si="30"/>
        <v>#N/A</v>
      </c>
      <c r="G315" s="178" t="e">
        <f t="shared" si="31"/>
        <v>#N/A</v>
      </c>
      <c r="H315" s="263" t="s">
        <v>2407</v>
      </c>
      <c r="I315" s="263" t="s">
        <v>5453</v>
      </c>
      <c r="J315" s="263" t="s">
        <v>975</v>
      </c>
      <c r="K315" s="263" t="s">
        <v>2407</v>
      </c>
      <c r="L315" s="178" t="str">
        <f t="shared" si="27"/>
        <v>B4055</v>
      </c>
      <c r="M315" s="178" t="str">
        <f t="shared" si="28"/>
        <v>GEA_KCB신용요약정보조회Dto</v>
      </c>
      <c r="N315" s="178">
        <f t="shared" si="29"/>
        <v>1</v>
      </c>
    </row>
    <row r="316" spans="1:14" hidden="1">
      <c r="A316" s="242"/>
      <c r="B316" s="248"/>
      <c r="C316" s="248"/>
      <c r="D316" s="242" t="s">
        <v>2512</v>
      </c>
      <c r="E316" s="178" t="e">
        <f t="shared" si="26"/>
        <v>#N/A</v>
      </c>
      <c r="F316" s="178" t="e">
        <f t="shared" si="30"/>
        <v>#N/A</v>
      </c>
      <c r="G316" s="178" t="e">
        <f t="shared" si="31"/>
        <v>#N/A</v>
      </c>
      <c r="H316" s="263" t="s">
        <v>2408</v>
      </c>
      <c r="I316" s="263" t="s">
        <v>5453</v>
      </c>
      <c r="J316" s="263" t="s">
        <v>978</v>
      </c>
      <c r="K316" s="263" t="s">
        <v>2408</v>
      </c>
      <c r="L316" s="178" t="str">
        <f t="shared" si="27"/>
        <v>B4054</v>
      </c>
      <c r="M316" s="178" t="str">
        <f t="shared" si="28"/>
        <v>GEA_KCB신용요약정보조회Dto</v>
      </c>
      <c r="N316" s="178">
        <f t="shared" si="29"/>
        <v>1</v>
      </c>
    </row>
    <row r="317" spans="1:14" hidden="1">
      <c r="A317" s="242"/>
      <c r="B317" s="248"/>
      <c r="C317" s="248"/>
      <c r="D317" s="242" t="s">
        <v>2513</v>
      </c>
      <c r="E317" s="178" t="e">
        <f t="shared" si="26"/>
        <v>#N/A</v>
      </c>
      <c r="F317" s="178" t="e">
        <f t="shared" si="30"/>
        <v>#N/A</v>
      </c>
      <c r="G317" s="178" t="e">
        <f t="shared" si="31"/>
        <v>#N/A</v>
      </c>
      <c r="H317" s="263" t="s">
        <v>2409</v>
      </c>
      <c r="I317" s="263" t="s">
        <v>5453</v>
      </c>
      <c r="J317" s="263" t="s">
        <v>981</v>
      </c>
      <c r="K317" s="263" t="s">
        <v>2409</v>
      </c>
      <c r="L317" s="178" t="str">
        <f t="shared" si="27"/>
        <v>A4004</v>
      </c>
      <c r="M317" s="178" t="str">
        <f t="shared" si="28"/>
        <v>GEA_KCB신용요약정보조회Dto</v>
      </c>
      <c r="N317" s="178">
        <f t="shared" si="29"/>
        <v>1</v>
      </c>
    </row>
    <row r="318" spans="1:14" hidden="1">
      <c r="A318" s="242"/>
      <c r="B318" s="248"/>
      <c r="C318" s="248"/>
      <c r="D318" s="242" t="s">
        <v>2514</v>
      </c>
      <c r="E318" s="178" t="e">
        <f t="shared" si="26"/>
        <v>#N/A</v>
      </c>
      <c r="F318" s="178" t="e">
        <f t="shared" si="30"/>
        <v>#N/A</v>
      </c>
      <c r="G318" s="178" t="e">
        <f t="shared" si="31"/>
        <v>#N/A</v>
      </c>
      <c r="H318" s="263" t="s">
        <v>2410</v>
      </c>
      <c r="I318" s="263" t="s">
        <v>5453</v>
      </c>
      <c r="J318" s="263" t="s">
        <v>983</v>
      </c>
      <c r="K318" s="263" t="s">
        <v>2410</v>
      </c>
      <c r="L318" s="178" t="str">
        <f t="shared" si="27"/>
        <v>A4005</v>
      </c>
      <c r="M318" s="178" t="str">
        <f t="shared" si="28"/>
        <v>GEA_KCB신용요약정보조회Dto</v>
      </c>
      <c r="N318" s="178">
        <f t="shared" si="29"/>
        <v>1</v>
      </c>
    </row>
    <row r="319" spans="1:14" hidden="1">
      <c r="A319" s="242"/>
      <c r="B319" s="248"/>
      <c r="C319" s="248"/>
      <c r="D319" s="242" t="s">
        <v>2515</v>
      </c>
      <c r="E319" s="178" t="e">
        <f t="shared" si="26"/>
        <v>#N/A</v>
      </c>
      <c r="F319" s="178" t="e">
        <f t="shared" si="30"/>
        <v>#N/A</v>
      </c>
      <c r="G319" s="178" t="e">
        <f t="shared" si="31"/>
        <v>#N/A</v>
      </c>
      <c r="H319" s="264"/>
      <c r="I319" s="264"/>
      <c r="J319" s="264"/>
      <c r="K319" s="264" t="s">
        <v>2411</v>
      </c>
      <c r="L319" s="178" t="e">
        <f t="shared" si="27"/>
        <v>#N/A</v>
      </c>
      <c r="M319" s="178" t="e">
        <f t="shared" si="28"/>
        <v>#N/A</v>
      </c>
      <c r="N319" s="178" t="e">
        <f t="shared" si="29"/>
        <v>#N/A</v>
      </c>
    </row>
    <row r="320" spans="1:14" hidden="1">
      <c r="A320" s="242"/>
      <c r="B320" s="248"/>
      <c r="C320" s="248"/>
      <c r="D320" s="242" t="s">
        <v>2516</v>
      </c>
      <c r="E320" s="178" t="e">
        <f t="shared" si="26"/>
        <v>#N/A</v>
      </c>
      <c r="F320" s="178" t="e">
        <f t="shared" si="30"/>
        <v>#N/A</v>
      </c>
      <c r="G320" s="178" t="e">
        <f t="shared" si="31"/>
        <v>#N/A</v>
      </c>
      <c r="H320" s="264"/>
      <c r="I320" s="264"/>
      <c r="J320" s="264"/>
      <c r="K320" s="264" t="s">
        <v>2412</v>
      </c>
      <c r="L320" s="178" t="e">
        <f t="shared" si="27"/>
        <v>#N/A</v>
      </c>
      <c r="M320" s="178" t="e">
        <f t="shared" si="28"/>
        <v>#N/A</v>
      </c>
      <c r="N320" s="178" t="e">
        <f t="shared" si="29"/>
        <v>#N/A</v>
      </c>
    </row>
    <row r="321" spans="1:14" hidden="1">
      <c r="A321" s="242"/>
      <c r="B321" s="248"/>
      <c r="C321" s="248"/>
      <c r="D321" s="242" t="s">
        <v>2517</v>
      </c>
      <c r="E321" s="178" t="e">
        <f t="shared" si="26"/>
        <v>#N/A</v>
      </c>
      <c r="F321" s="178" t="e">
        <f t="shared" si="30"/>
        <v>#N/A</v>
      </c>
      <c r="G321" s="178" t="e">
        <f t="shared" si="31"/>
        <v>#N/A</v>
      </c>
      <c r="H321" s="264"/>
      <c r="I321" s="264"/>
      <c r="J321" s="264"/>
      <c r="K321" s="264" t="s">
        <v>2413</v>
      </c>
      <c r="L321" s="178" t="e">
        <f t="shared" si="27"/>
        <v>#N/A</v>
      </c>
      <c r="M321" s="178" t="e">
        <f t="shared" si="28"/>
        <v>#N/A</v>
      </c>
      <c r="N321" s="178" t="e">
        <f t="shared" si="29"/>
        <v>#N/A</v>
      </c>
    </row>
    <row r="322" spans="1:14" hidden="1">
      <c r="A322" s="242"/>
      <c r="B322" s="248"/>
      <c r="C322" s="248"/>
      <c r="D322" s="242" t="s">
        <v>2518</v>
      </c>
      <c r="E322" s="178" t="e">
        <f t="shared" si="26"/>
        <v>#N/A</v>
      </c>
      <c r="F322" s="178" t="e">
        <f t="shared" si="30"/>
        <v>#N/A</v>
      </c>
      <c r="G322" s="178" t="e">
        <f t="shared" si="31"/>
        <v>#N/A</v>
      </c>
      <c r="H322" s="264"/>
      <c r="I322" s="264"/>
      <c r="J322" s="264"/>
      <c r="K322" s="264" t="s">
        <v>2414</v>
      </c>
      <c r="L322" s="178" t="e">
        <f t="shared" si="27"/>
        <v>#N/A</v>
      </c>
      <c r="M322" s="178" t="e">
        <f t="shared" si="28"/>
        <v>#N/A</v>
      </c>
      <c r="N322" s="178" t="e">
        <f t="shared" si="29"/>
        <v>#N/A</v>
      </c>
    </row>
    <row r="323" spans="1:14" hidden="1">
      <c r="A323" s="178" t="s">
        <v>3585</v>
      </c>
      <c r="B323" s="178" t="s">
        <v>5444</v>
      </c>
      <c r="C323" s="178" t="s">
        <v>3025</v>
      </c>
      <c r="D323" s="178" t="s">
        <v>3585</v>
      </c>
      <c r="E323" s="178" t="e">
        <f t="shared" si="26"/>
        <v>#N/A</v>
      </c>
      <c r="F323" s="178" t="e">
        <f t="shared" si="30"/>
        <v>#N/A</v>
      </c>
      <c r="G323" s="178" t="e">
        <f t="shared" si="31"/>
        <v>#N/A</v>
      </c>
      <c r="H323" s="264"/>
      <c r="I323" s="264"/>
      <c r="J323" s="264"/>
      <c r="K323" s="264" t="s">
        <v>2415</v>
      </c>
      <c r="L323" s="178" t="e">
        <f t="shared" si="27"/>
        <v>#N/A</v>
      </c>
      <c r="M323" s="178" t="e">
        <f t="shared" si="28"/>
        <v>#N/A</v>
      </c>
      <c r="N323" s="178" t="e">
        <f t="shared" si="29"/>
        <v>#N/A</v>
      </c>
    </row>
    <row r="324" spans="1:14" hidden="1">
      <c r="A324" s="178" t="s">
        <v>3586</v>
      </c>
      <c r="B324" s="178" t="s">
        <v>5444</v>
      </c>
      <c r="C324" s="178" t="s">
        <v>2983</v>
      </c>
      <c r="D324" s="178" t="s">
        <v>3586</v>
      </c>
      <c r="E324" s="178" t="e">
        <f t="shared" ref="E324:E387" si="32">VLOOKUP(C324,$J$5:$K$601,2,FALSE)</f>
        <v>#N/A</v>
      </c>
      <c r="F324" s="178" t="e">
        <f t="shared" si="30"/>
        <v>#N/A</v>
      </c>
      <c r="G324" s="178" t="e">
        <f t="shared" si="31"/>
        <v>#N/A</v>
      </c>
      <c r="H324" s="264"/>
      <c r="I324" s="264"/>
      <c r="J324" s="264"/>
      <c r="K324" s="264" t="s">
        <v>2416</v>
      </c>
      <c r="L324" s="178" t="e">
        <f t="shared" ref="L324:L387" si="33">VLOOKUP(TRIM(J324),$C$3:$D$463,2,FALSE)</f>
        <v>#N/A</v>
      </c>
      <c r="M324" s="178" t="e">
        <f t="shared" ref="M324:M387" si="34">VLOOKUP(L324,$A$3:$B$463,2,FALSE)</f>
        <v>#N/A</v>
      </c>
      <c r="N324" s="178" t="e">
        <f t="shared" ref="N324:N387" si="35">IF(M324=I324,1,0)</f>
        <v>#N/A</v>
      </c>
    </row>
    <row r="325" spans="1:14" hidden="1">
      <c r="A325" s="178" t="s">
        <v>3587</v>
      </c>
      <c r="B325" s="178" t="s">
        <v>5444</v>
      </c>
      <c r="C325" s="178" t="s">
        <v>2984</v>
      </c>
      <c r="D325" s="178" t="s">
        <v>3587</v>
      </c>
      <c r="E325" s="178" t="e">
        <f t="shared" si="32"/>
        <v>#N/A</v>
      </c>
      <c r="F325" s="178" t="e">
        <f t="shared" si="30"/>
        <v>#N/A</v>
      </c>
      <c r="G325" s="178" t="e">
        <f t="shared" si="31"/>
        <v>#N/A</v>
      </c>
      <c r="H325" s="264"/>
      <c r="I325" s="264"/>
      <c r="J325" s="264"/>
      <c r="K325" s="264" t="s">
        <v>2417</v>
      </c>
      <c r="L325" s="178" t="e">
        <f t="shared" si="33"/>
        <v>#N/A</v>
      </c>
      <c r="M325" s="178" t="e">
        <f t="shared" si="34"/>
        <v>#N/A</v>
      </c>
      <c r="N325" s="178" t="e">
        <f t="shared" si="35"/>
        <v>#N/A</v>
      </c>
    </row>
    <row r="326" spans="1:14" hidden="1">
      <c r="A326" s="178" t="s">
        <v>3721</v>
      </c>
      <c r="B326" s="344" t="s">
        <v>5892</v>
      </c>
      <c r="C326" s="178" t="s">
        <v>5182</v>
      </c>
      <c r="D326" s="178" t="s">
        <v>3721</v>
      </c>
      <c r="E326" s="178" t="e">
        <f t="shared" si="32"/>
        <v>#N/A</v>
      </c>
      <c r="F326" s="178" t="e">
        <f t="shared" si="30"/>
        <v>#N/A</v>
      </c>
      <c r="G326" s="178" t="e">
        <f t="shared" si="31"/>
        <v>#N/A</v>
      </c>
      <c r="H326" s="264"/>
      <c r="I326" s="264"/>
      <c r="J326" s="264"/>
      <c r="K326" s="264" t="s">
        <v>2418</v>
      </c>
      <c r="L326" s="178" t="e">
        <f t="shared" si="33"/>
        <v>#N/A</v>
      </c>
      <c r="M326" s="178" t="e">
        <f t="shared" si="34"/>
        <v>#N/A</v>
      </c>
      <c r="N326" s="178" t="e">
        <f t="shared" si="35"/>
        <v>#N/A</v>
      </c>
    </row>
    <row r="327" spans="1:14" hidden="1">
      <c r="A327" s="178" t="s">
        <v>3722</v>
      </c>
      <c r="B327" s="344" t="s">
        <v>5892</v>
      </c>
      <c r="C327" s="178" t="s">
        <v>5183</v>
      </c>
      <c r="D327" s="178" t="s">
        <v>3722</v>
      </c>
      <c r="E327" s="178" t="e">
        <f t="shared" si="32"/>
        <v>#N/A</v>
      </c>
      <c r="F327" s="178" t="e">
        <f t="shared" ref="F327:F390" si="36">VLOOKUP(E327,$H$5:$I$601,2,FALSE)</f>
        <v>#N/A</v>
      </c>
      <c r="G327" s="178" t="e">
        <f t="shared" ref="G327:G390" si="37">IF(B327=F327,1,0)</f>
        <v>#N/A</v>
      </c>
      <c r="H327" s="264"/>
      <c r="I327" s="264"/>
      <c r="J327" s="264"/>
      <c r="K327" s="264" t="s">
        <v>2419</v>
      </c>
      <c r="L327" s="178" t="e">
        <f t="shared" si="33"/>
        <v>#N/A</v>
      </c>
      <c r="M327" s="178" t="e">
        <f t="shared" si="34"/>
        <v>#N/A</v>
      </c>
      <c r="N327" s="178" t="e">
        <f t="shared" si="35"/>
        <v>#N/A</v>
      </c>
    </row>
    <row r="328" spans="1:14" hidden="1">
      <c r="A328" s="178" t="s">
        <v>3723</v>
      </c>
      <c r="B328" s="344" t="s">
        <v>5892</v>
      </c>
      <c r="C328" s="178" t="s">
        <v>5184</v>
      </c>
      <c r="D328" s="178" t="s">
        <v>3723</v>
      </c>
      <c r="E328" s="178" t="e">
        <f t="shared" si="32"/>
        <v>#N/A</v>
      </c>
      <c r="F328" s="178" t="e">
        <f t="shared" si="36"/>
        <v>#N/A</v>
      </c>
      <c r="G328" s="178" t="e">
        <f t="shared" si="37"/>
        <v>#N/A</v>
      </c>
      <c r="H328" s="264"/>
      <c r="I328" s="264"/>
      <c r="J328" s="264"/>
      <c r="K328" s="264" t="s">
        <v>2420</v>
      </c>
      <c r="L328" s="178" t="e">
        <f t="shared" si="33"/>
        <v>#N/A</v>
      </c>
      <c r="M328" s="178" t="e">
        <f t="shared" si="34"/>
        <v>#N/A</v>
      </c>
      <c r="N328" s="178" t="e">
        <f t="shared" si="35"/>
        <v>#N/A</v>
      </c>
    </row>
    <row r="329" spans="1:14" hidden="1">
      <c r="A329" s="178" t="s">
        <v>3724</v>
      </c>
      <c r="B329" s="344" t="s">
        <v>5892</v>
      </c>
      <c r="C329" s="178" t="s">
        <v>5182</v>
      </c>
      <c r="D329" s="178" t="s">
        <v>3724</v>
      </c>
      <c r="E329" s="178" t="e">
        <f t="shared" si="32"/>
        <v>#N/A</v>
      </c>
      <c r="F329" s="178" t="e">
        <f t="shared" si="36"/>
        <v>#N/A</v>
      </c>
      <c r="G329" s="178" t="e">
        <f t="shared" si="37"/>
        <v>#N/A</v>
      </c>
      <c r="H329" s="432"/>
      <c r="I329" s="432"/>
      <c r="J329" s="432"/>
      <c r="K329" s="432" t="s">
        <v>2421</v>
      </c>
      <c r="L329" s="178" t="e">
        <f t="shared" si="33"/>
        <v>#N/A</v>
      </c>
      <c r="M329" s="178" t="e">
        <f t="shared" si="34"/>
        <v>#N/A</v>
      </c>
      <c r="N329" s="178" t="e">
        <f t="shared" si="35"/>
        <v>#N/A</v>
      </c>
    </row>
    <row r="330" spans="1:14" hidden="1">
      <c r="A330" s="178" t="s">
        <v>3725</v>
      </c>
      <c r="B330" s="344" t="s">
        <v>5892</v>
      </c>
      <c r="C330" s="178" t="s">
        <v>5185</v>
      </c>
      <c r="D330" s="178" t="s">
        <v>3725</v>
      </c>
      <c r="E330" s="178" t="e">
        <f t="shared" si="32"/>
        <v>#N/A</v>
      </c>
      <c r="F330" s="178" t="e">
        <f t="shared" si="36"/>
        <v>#N/A</v>
      </c>
      <c r="G330" s="178" t="e">
        <f t="shared" si="37"/>
        <v>#N/A</v>
      </c>
      <c r="H330" s="264"/>
      <c r="I330" s="264"/>
      <c r="J330" s="264"/>
      <c r="K330" s="264" t="s">
        <v>2422</v>
      </c>
      <c r="L330" s="178" t="e">
        <f t="shared" si="33"/>
        <v>#N/A</v>
      </c>
      <c r="M330" s="178" t="e">
        <f t="shared" si="34"/>
        <v>#N/A</v>
      </c>
      <c r="N330" s="178" t="e">
        <f t="shared" si="35"/>
        <v>#N/A</v>
      </c>
    </row>
    <row r="331" spans="1:14" hidden="1">
      <c r="A331" s="178" t="s">
        <v>4206</v>
      </c>
      <c r="B331" s="344" t="s">
        <v>5892</v>
      </c>
      <c r="C331" s="178" t="s">
        <v>5186</v>
      </c>
      <c r="D331" s="178" t="s">
        <v>4206</v>
      </c>
      <c r="E331" s="178" t="e">
        <f t="shared" si="32"/>
        <v>#N/A</v>
      </c>
      <c r="F331" s="178" t="e">
        <f t="shared" si="36"/>
        <v>#N/A</v>
      </c>
      <c r="G331" s="178" t="e">
        <f t="shared" si="37"/>
        <v>#N/A</v>
      </c>
      <c r="H331" s="264"/>
      <c r="I331" s="264"/>
      <c r="J331" s="264"/>
      <c r="K331" s="264" t="s">
        <v>2423</v>
      </c>
      <c r="L331" s="178" t="e">
        <f t="shared" si="33"/>
        <v>#N/A</v>
      </c>
      <c r="M331" s="178" t="e">
        <f t="shared" si="34"/>
        <v>#N/A</v>
      </c>
      <c r="N331" s="178" t="e">
        <f t="shared" si="35"/>
        <v>#N/A</v>
      </c>
    </row>
    <row r="332" spans="1:14" hidden="1">
      <c r="A332" s="178" t="s">
        <v>3726</v>
      </c>
      <c r="B332" s="344" t="s">
        <v>5892</v>
      </c>
      <c r="C332" s="178" t="s">
        <v>5187</v>
      </c>
      <c r="D332" s="178" t="s">
        <v>3726</v>
      </c>
      <c r="E332" s="178" t="e">
        <f t="shared" si="32"/>
        <v>#N/A</v>
      </c>
      <c r="F332" s="178" t="e">
        <f t="shared" si="36"/>
        <v>#N/A</v>
      </c>
      <c r="G332" s="178" t="e">
        <f t="shared" si="37"/>
        <v>#N/A</v>
      </c>
      <c r="H332" s="263" t="s">
        <v>2425</v>
      </c>
      <c r="I332" s="263" t="s">
        <v>5453</v>
      </c>
      <c r="J332" s="263" t="s">
        <v>5876</v>
      </c>
      <c r="K332" s="263" t="s">
        <v>2425</v>
      </c>
      <c r="L332" s="178" t="str">
        <f t="shared" si="33"/>
        <v>A4001</v>
      </c>
      <c r="M332" s="178" t="str">
        <f t="shared" si="34"/>
        <v>GEA_KCB신용요약정보조회Dto</v>
      </c>
      <c r="N332" s="178">
        <f t="shared" si="35"/>
        <v>1</v>
      </c>
    </row>
    <row r="333" spans="1:14">
      <c r="A333" s="178" t="s">
        <v>3727</v>
      </c>
      <c r="B333" s="344" t="s">
        <v>5892</v>
      </c>
      <c r="C333" s="178" t="s">
        <v>5188</v>
      </c>
      <c r="D333" s="178" t="s">
        <v>3727</v>
      </c>
      <c r="E333" s="178" t="e">
        <f t="shared" si="32"/>
        <v>#N/A</v>
      </c>
      <c r="F333" s="178" t="e">
        <f t="shared" si="36"/>
        <v>#N/A</v>
      </c>
      <c r="G333" s="178" t="e">
        <f t="shared" si="37"/>
        <v>#N/A</v>
      </c>
      <c r="H333" s="264" t="s">
        <v>2427</v>
      </c>
      <c r="I333" s="264" t="s">
        <v>5877</v>
      </c>
      <c r="J333" s="264" t="s">
        <v>12</v>
      </c>
      <c r="K333" s="263" t="s">
        <v>2427</v>
      </c>
      <c r="L333" s="178" t="e">
        <f t="shared" si="33"/>
        <v>#N/A</v>
      </c>
      <c r="M333" s="178" t="e">
        <f t="shared" si="34"/>
        <v>#N/A</v>
      </c>
      <c r="N333" s="178" t="e">
        <f t="shared" si="35"/>
        <v>#N/A</v>
      </c>
    </row>
    <row r="334" spans="1:14" hidden="1">
      <c r="A334" s="178" t="s">
        <v>3731</v>
      </c>
      <c r="B334" s="344" t="s">
        <v>5892</v>
      </c>
      <c r="C334" s="178" t="s">
        <v>5189</v>
      </c>
      <c r="D334" s="178" t="s">
        <v>3731</v>
      </c>
      <c r="E334" s="178" t="e">
        <f t="shared" si="32"/>
        <v>#N/A</v>
      </c>
      <c r="F334" s="178" t="e">
        <f t="shared" si="36"/>
        <v>#N/A</v>
      </c>
      <c r="G334" s="178" t="e">
        <f t="shared" si="37"/>
        <v>#N/A</v>
      </c>
      <c r="H334" s="264"/>
      <c r="I334" s="264"/>
      <c r="J334" s="264" t="s">
        <v>1030</v>
      </c>
      <c r="K334" s="264"/>
      <c r="L334" s="178" t="e">
        <f t="shared" si="33"/>
        <v>#N/A</v>
      </c>
      <c r="M334" s="178" t="e">
        <f t="shared" si="34"/>
        <v>#N/A</v>
      </c>
      <c r="N334" s="178" t="e">
        <f t="shared" si="35"/>
        <v>#N/A</v>
      </c>
    </row>
    <row r="335" spans="1:14" hidden="1">
      <c r="A335" s="178" t="s">
        <v>3732</v>
      </c>
      <c r="B335" s="439" t="s">
        <v>5444</v>
      </c>
      <c r="C335" s="178" t="s">
        <v>5445</v>
      </c>
      <c r="D335" s="178" t="s">
        <v>3732</v>
      </c>
      <c r="E335" s="178" t="str">
        <f t="shared" si="32"/>
        <v>A7017</v>
      </c>
      <c r="F335" s="178" t="str">
        <f t="shared" si="36"/>
        <v>r심사사전정보내역조회C</v>
      </c>
      <c r="G335" s="178">
        <f t="shared" si="37"/>
        <v>1</v>
      </c>
      <c r="H335" s="263" t="s">
        <v>2428</v>
      </c>
      <c r="I335" s="263" t="s">
        <v>5453</v>
      </c>
      <c r="J335" s="263" t="s">
        <v>1033</v>
      </c>
      <c r="K335" s="263" t="s">
        <v>2428</v>
      </c>
      <c r="L335" s="178" t="str">
        <f t="shared" si="33"/>
        <v>A4024</v>
      </c>
      <c r="M335" s="178" t="str">
        <f t="shared" si="34"/>
        <v>GEA_KCB신용요약정보조회Dto</v>
      </c>
      <c r="N335" s="178">
        <f t="shared" si="35"/>
        <v>1</v>
      </c>
    </row>
    <row r="336" spans="1:14">
      <c r="A336" s="178" t="s">
        <v>3733</v>
      </c>
      <c r="B336" s="439" t="s">
        <v>5444</v>
      </c>
      <c r="C336" s="178" t="s">
        <v>5446</v>
      </c>
      <c r="D336" s="178" t="s">
        <v>3733</v>
      </c>
      <c r="E336" s="178" t="str">
        <f t="shared" si="32"/>
        <v>A7018</v>
      </c>
      <c r="F336" s="178" t="str">
        <f t="shared" si="36"/>
        <v>r심사사전정보내역조회C</v>
      </c>
      <c r="G336" s="178">
        <f t="shared" si="37"/>
        <v>1</v>
      </c>
      <c r="H336" s="263" t="s">
        <v>2429</v>
      </c>
      <c r="I336" s="263" t="s">
        <v>5896</v>
      </c>
      <c r="J336" s="263" t="s">
        <v>1036</v>
      </c>
      <c r="K336" s="263" t="s">
        <v>2429</v>
      </c>
      <c r="L336" s="178" t="e">
        <f t="shared" si="33"/>
        <v>#N/A</v>
      </c>
      <c r="M336" s="178" t="e">
        <f t="shared" si="34"/>
        <v>#N/A</v>
      </c>
      <c r="N336" s="178" t="e">
        <f t="shared" si="35"/>
        <v>#N/A</v>
      </c>
    </row>
    <row r="337" spans="1:14">
      <c r="A337" s="178" t="s">
        <v>3734</v>
      </c>
      <c r="B337" s="439" t="s">
        <v>5444</v>
      </c>
      <c r="C337" s="178" t="s">
        <v>5447</v>
      </c>
      <c r="D337" s="178" t="s">
        <v>3734</v>
      </c>
      <c r="E337" s="178" t="str">
        <f t="shared" si="32"/>
        <v>A7019</v>
      </c>
      <c r="F337" s="178" t="str">
        <f t="shared" si="36"/>
        <v>r심사사전정보내역조회C</v>
      </c>
      <c r="G337" s="178">
        <f t="shared" si="37"/>
        <v>1</v>
      </c>
      <c r="H337" s="263" t="s">
        <v>2430</v>
      </c>
      <c r="I337" s="263" t="s">
        <v>5453</v>
      </c>
      <c r="J337" s="263" t="s">
        <v>1039</v>
      </c>
      <c r="K337" s="263" t="s">
        <v>2430</v>
      </c>
      <c r="L337" s="178" t="e">
        <f t="shared" si="33"/>
        <v>#N/A</v>
      </c>
      <c r="M337" s="178" t="e">
        <f t="shared" si="34"/>
        <v>#N/A</v>
      </c>
      <c r="N337" s="178" t="e">
        <f t="shared" si="35"/>
        <v>#N/A</v>
      </c>
    </row>
    <row r="338" spans="1:14">
      <c r="A338" s="178" t="s">
        <v>5442</v>
      </c>
      <c r="B338" s="440" t="s">
        <v>5142</v>
      </c>
      <c r="C338" s="178" t="s">
        <v>5449</v>
      </c>
      <c r="D338" s="178" t="s">
        <v>5442</v>
      </c>
      <c r="E338" s="178" t="str">
        <f t="shared" si="32"/>
        <v>A7020</v>
      </c>
      <c r="F338" s="178" t="str">
        <f t="shared" si="36"/>
        <v>r한국신용정보대출현금서비스DSR정보조회C</v>
      </c>
      <c r="G338" s="178">
        <f t="shared" si="37"/>
        <v>1</v>
      </c>
      <c r="H338" s="263" t="s">
        <v>2431</v>
      </c>
      <c r="I338" s="263" t="s">
        <v>5453</v>
      </c>
      <c r="J338" s="263" t="s">
        <v>1042</v>
      </c>
      <c r="K338" s="263" t="s">
        <v>2431</v>
      </c>
      <c r="L338" s="178" t="e">
        <f t="shared" si="33"/>
        <v>#N/A</v>
      </c>
      <c r="M338" s="178" t="e">
        <f t="shared" si="34"/>
        <v>#N/A</v>
      </c>
      <c r="N338" s="178" t="e">
        <f t="shared" si="35"/>
        <v>#N/A</v>
      </c>
    </row>
    <row r="339" spans="1:14" hidden="1">
      <c r="A339" s="178" t="s">
        <v>5443</v>
      </c>
      <c r="B339" s="440" t="s">
        <v>5142</v>
      </c>
      <c r="C339" s="178" t="s">
        <v>5450</v>
      </c>
      <c r="D339" s="178" t="s">
        <v>5443</v>
      </c>
      <c r="E339" s="178" t="str">
        <f t="shared" si="32"/>
        <v>A7021</v>
      </c>
      <c r="F339" s="178" t="str">
        <f t="shared" si="36"/>
        <v>r한국신용정보대출현금서비스DSR정보조회C</v>
      </c>
      <c r="G339" s="178">
        <f t="shared" si="37"/>
        <v>1</v>
      </c>
      <c r="H339" s="263" t="s">
        <v>2432</v>
      </c>
      <c r="I339" s="263" t="s">
        <v>5453</v>
      </c>
      <c r="J339" s="263" t="s">
        <v>1045</v>
      </c>
      <c r="K339" s="263" t="s">
        <v>2432</v>
      </c>
      <c r="L339" s="178" t="str">
        <f t="shared" si="33"/>
        <v>A4026</v>
      </c>
      <c r="M339" s="178" t="str">
        <f t="shared" si="34"/>
        <v>GEA_KCB신용요약정보조회Dto</v>
      </c>
      <c r="N339" s="178">
        <f t="shared" si="35"/>
        <v>1</v>
      </c>
    </row>
    <row r="340" spans="1:14" hidden="1">
      <c r="A340" s="178" t="s">
        <v>5615</v>
      </c>
      <c r="B340" s="440" t="s">
        <v>5430</v>
      </c>
      <c r="C340" s="178" t="s">
        <v>5617</v>
      </c>
      <c r="D340" s="178" t="s">
        <v>5615</v>
      </c>
      <c r="E340" s="178" t="e">
        <f t="shared" si="32"/>
        <v>#N/A</v>
      </c>
      <c r="F340" s="178" t="e">
        <f t="shared" si="36"/>
        <v>#N/A</v>
      </c>
      <c r="G340" s="178" t="e">
        <f t="shared" si="37"/>
        <v>#N/A</v>
      </c>
      <c r="H340" s="263" t="s">
        <v>2433</v>
      </c>
      <c r="I340" s="263" t="s">
        <v>5453</v>
      </c>
      <c r="J340" s="263" t="s">
        <v>1048</v>
      </c>
      <c r="K340" s="263" t="s">
        <v>2433</v>
      </c>
      <c r="L340" s="178" t="str">
        <f t="shared" si="33"/>
        <v>A4027</v>
      </c>
      <c r="M340" s="178" t="str">
        <f t="shared" si="34"/>
        <v>GEA_KCB신용요약정보조회Dto</v>
      </c>
      <c r="N340" s="178">
        <f t="shared" si="35"/>
        <v>1</v>
      </c>
    </row>
    <row r="341" spans="1:14">
      <c r="A341" s="178" t="s">
        <v>5616</v>
      </c>
      <c r="B341" s="439" t="s">
        <v>5619</v>
      </c>
      <c r="C341" s="178" t="s">
        <v>5620</v>
      </c>
      <c r="D341" s="178" t="s">
        <v>5616</v>
      </c>
      <c r="E341" s="178" t="e">
        <f t="shared" si="32"/>
        <v>#N/A</v>
      </c>
      <c r="F341" s="178" t="e">
        <f t="shared" si="36"/>
        <v>#N/A</v>
      </c>
      <c r="G341" s="178" t="e">
        <f t="shared" si="37"/>
        <v>#N/A</v>
      </c>
      <c r="H341" s="263" t="s">
        <v>2434</v>
      </c>
      <c r="I341" s="263" t="s">
        <v>5453</v>
      </c>
      <c r="J341" s="263" t="s">
        <v>1050</v>
      </c>
      <c r="K341" s="263" t="s">
        <v>2434</v>
      </c>
      <c r="L341" s="178" t="e">
        <f t="shared" si="33"/>
        <v>#N/A</v>
      </c>
      <c r="M341" s="178" t="e">
        <f t="shared" si="34"/>
        <v>#N/A</v>
      </c>
      <c r="N341" s="178" t="e">
        <f t="shared" si="35"/>
        <v>#N/A</v>
      </c>
    </row>
    <row r="342" spans="1:14">
      <c r="A342" s="178" t="s">
        <v>2161</v>
      </c>
      <c r="B342" s="439" t="s">
        <v>5619</v>
      </c>
      <c r="C342" s="178" t="s">
        <v>5621</v>
      </c>
      <c r="D342" s="178" t="s">
        <v>2161</v>
      </c>
      <c r="E342" s="178" t="e">
        <f t="shared" si="32"/>
        <v>#N/A</v>
      </c>
      <c r="F342" s="178" t="e">
        <f t="shared" si="36"/>
        <v>#N/A</v>
      </c>
      <c r="G342" s="178" t="e">
        <f t="shared" si="37"/>
        <v>#N/A</v>
      </c>
      <c r="H342" s="263" t="s">
        <v>2435</v>
      </c>
      <c r="I342" s="263" t="s">
        <v>5453</v>
      </c>
      <c r="J342" s="263" t="s">
        <v>1052</v>
      </c>
      <c r="K342" s="263" t="s">
        <v>2435</v>
      </c>
      <c r="L342" s="178" t="e">
        <f t="shared" si="33"/>
        <v>#N/A</v>
      </c>
      <c r="M342" s="178" t="e">
        <f t="shared" si="34"/>
        <v>#N/A</v>
      </c>
      <c r="N342" s="178" t="e">
        <f t="shared" si="35"/>
        <v>#N/A</v>
      </c>
    </row>
    <row r="343" spans="1:14" hidden="1">
      <c r="A343" s="178" t="s">
        <v>2162</v>
      </c>
      <c r="B343" s="439" t="s">
        <v>5619</v>
      </c>
      <c r="D343" s="178" t="s">
        <v>2162</v>
      </c>
      <c r="E343" s="178" t="e">
        <f t="shared" si="32"/>
        <v>#N/A</v>
      </c>
      <c r="F343" s="178" t="e">
        <f t="shared" si="36"/>
        <v>#N/A</v>
      </c>
      <c r="G343" s="178" t="e">
        <f t="shared" si="37"/>
        <v>#N/A</v>
      </c>
      <c r="H343" s="263" t="s">
        <v>2436</v>
      </c>
      <c r="I343" s="263" t="s">
        <v>5453</v>
      </c>
      <c r="J343" s="263" t="s">
        <v>1055</v>
      </c>
      <c r="K343" s="263" t="s">
        <v>2436</v>
      </c>
      <c r="L343" s="178" t="str">
        <f t="shared" si="33"/>
        <v>A4029</v>
      </c>
      <c r="M343" s="178" t="str">
        <f t="shared" si="34"/>
        <v>GEA_KCB신용요약정보조회Dto</v>
      </c>
      <c r="N343" s="178">
        <f t="shared" si="35"/>
        <v>1</v>
      </c>
    </row>
    <row r="344" spans="1:14">
      <c r="A344" s="178" t="s">
        <v>2163</v>
      </c>
      <c r="B344" s="440" t="s">
        <v>5625</v>
      </c>
      <c r="C344" s="178" t="s">
        <v>5628</v>
      </c>
      <c r="D344" s="178" t="s">
        <v>2163</v>
      </c>
      <c r="E344" s="178" t="e">
        <f t="shared" si="32"/>
        <v>#N/A</v>
      </c>
      <c r="F344" s="178" t="e">
        <f t="shared" si="36"/>
        <v>#N/A</v>
      </c>
      <c r="G344" s="178" t="e">
        <f t="shared" si="37"/>
        <v>#N/A</v>
      </c>
      <c r="H344" s="263" t="s">
        <v>2437</v>
      </c>
      <c r="I344" s="263" t="s">
        <v>5453</v>
      </c>
      <c r="J344" s="263" t="s">
        <v>1058</v>
      </c>
      <c r="K344" s="263" t="s">
        <v>2437</v>
      </c>
      <c r="L344" s="178" t="e">
        <f t="shared" si="33"/>
        <v>#N/A</v>
      </c>
      <c r="M344" s="178" t="e">
        <f t="shared" si="34"/>
        <v>#N/A</v>
      </c>
      <c r="N344" s="178" t="e">
        <f t="shared" si="35"/>
        <v>#N/A</v>
      </c>
    </row>
    <row r="345" spans="1:14" hidden="1">
      <c r="A345" s="178" t="s">
        <v>2164</v>
      </c>
      <c r="B345" s="440" t="s">
        <v>5625</v>
      </c>
      <c r="C345" s="178" t="s">
        <v>5626</v>
      </c>
      <c r="D345" s="178" t="s">
        <v>2164</v>
      </c>
      <c r="E345" s="178" t="e">
        <f t="shared" si="32"/>
        <v>#N/A</v>
      </c>
      <c r="F345" s="178" t="e">
        <f t="shared" si="36"/>
        <v>#N/A</v>
      </c>
      <c r="G345" s="178" t="e">
        <f t="shared" si="37"/>
        <v>#N/A</v>
      </c>
      <c r="H345" s="263" t="s">
        <v>2438</v>
      </c>
      <c r="I345" s="263" t="s">
        <v>5453</v>
      </c>
      <c r="J345" s="263" t="s">
        <v>1061</v>
      </c>
      <c r="K345" s="263" t="s">
        <v>2438</v>
      </c>
      <c r="L345" s="178" t="str">
        <f t="shared" si="33"/>
        <v>A4023</v>
      </c>
      <c r="M345" s="178" t="str">
        <f t="shared" si="34"/>
        <v>GEA_KCB신용요약정보조회Dto</v>
      </c>
      <c r="N345" s="178">
        <f t="shared" si="35"/>
        <v>1</v>
      </c>
    </row>
    <row r="346" spans="1:14" hidden="1">
      <c r="A346" s="178" t="s">
        <v>2165</v>
      </c>
      <c r="B346" s="439" t="s">
        <v>5619</v>
      </c>
      <c r="C346" s="178" t="s">
        <v>5630</v>
      </c>
      <c r="D346" s="178" t="s">
        <v>2165</v>
      </c>
      <c r="E346" s="178" t="e">
        <f t="shared" si="32"/>
        <v>#N/A</v>
      </c>
      <c r="F346" s="178" t="e">
        <f t="shared" si="36"/>
        <v>#N/A</v>
      </c>
      <c r="G346" s="178" t="e">
        <f t="shared" si="37"/>
        <v>#N/A</v>
      </c>
      <c r="H346" s="263" t="s">
        <v>2439</v>
      </c>
      <c r="I346" s="263" t="s">
        <v>5453</v>
      </c>
      <c r="J346" s="263" t="s">
        <v>1064</v>
      </c>
      <c r="K346" s="263" t="s">
        <v>2439</v>
      </c>
      <c r="L346" s="178" t="str">
        <f t="shared" si="33"/>
        <v>A4021</v>
      </c>
      <c r="M346" s="178" t="str">
        <f t="shared" si="34"/>
        <v>GEA_KCB신용요약정보조회Dto</v>
      </c>
      <c r="N346" s="178">
        <f t="shared" si="35"/>
        <v>1</v>
      </c>
    </row>
    <row r="347" spans="1:14" hidden="1">
      <c r="A347" s="178" t="s">
        <v>2166</v>
      </c>
      <c r="B347" s="439" t="s">
        <v>5619</v>
      </c>
      <c r="C347" s="178" t="s">
        <v>5642</v>
      </c>
      <c r="D347" s="178" t="s">
        <v>2166</v>
      </c>
      <c r="E347" s="178" t="e">
        <f t="shared" si="32"/>
        <v>#N/A</v>
      </c>
      <c r="F347" s="178" t="e">
        <f t="shared" si="36"/>
        <v>#N/A</v>
      </c>
      <c r="G347" s="178" t="e">
        <f t="shared" si="37"/>
        <v>#N/A</v>
      </c>
      <c r="H347" s="263" t="s">
        <v>2440</v>
      </c>
      <c r="I347" s="263" t="s">
        <v>5453</v>
      </c>
      <c r="J347" s="263" t="s">
        <v>1067</v>
      </c>
      <c r="K347" s="263" t="s">
        <v>2440</v>
      </c>
      <c r="L347" s="178" t="str">
        <f t="shared" si="33"/>
        <v>A4022</v>
      </c>
      <c r="M347" s="178" t="str">
        <f t="shared" si="34"/>
        <v>GEA_KCB신용요약정보조회Dto</v>
      </c>
      <c r="N347" s="178">
        <f t="shared" si="35"/>
        <v>1</v>
      </c>
    </row>
    <row r="348" spans="1:14" hidden="1">
      <c r="A348" s="178" t="s">
        <v>2167</v>
      </c>
      <c r="B348" s="439" t="s">
        <v>5619</v>
      </c>
      <c r="C348" s="178" t="s">
        <v>5643</v>
      </c>
      <c r="D348" s="178" t="s">
        <v>2167</v>
      </c>
      <c r="E348" s="178" t="e">
        <f t="shared" si="32"/>
        <v>#N/A</v>
      </c>
      <c r="F348" s="178" t="e">
        <f t="shared" si="36"/>
        <v>#N/A</v>
      </c>
      <c r="G348" s="178" t="e">
        <f t="shared" si="37"/>
        <v>#N/A</v>
      </c>
      <c r="H348" s="263" t="s">
        <v>2520</v>
      </c>
      <c r="I348" s="445" t="s">
        <v>5878</v>
      </c>
      <c r="J348" s="445" t="s">
        <v>5874</v>
      </c>
      <c r="K348" s="263" t="s">
        <v>2520</v>
      </c>
      <c r="L348" s="178" t="str">
        <f t="shared" si="33"/>
        <v>A3065</v>
      </c>
      <c r="M348" s="178" t="str">
        <f t="shared" si="34"/>
        <v>GEA_NICE동시대출건수조회Dto</v>
      </c>
      <c r="N348" s="178">
        <f t="shared" si="35"/>
        <v>0</v>
      </c>
    </row>
    <row r="349" spans="1:14" hidden="1">
      <c r="A349" s="178" t="s">
        <v>2168</v>
      </c>
      <c r="B349" s="439" t="s">
        <v>5619</v>
      </c>
      <c r="C349" s="178" t="s">
        <v>5644</v>
      </c>
      <c r="D349" s="178" t="s">
        <v>2168</v>
      </c>
      <c r="E349" s="178" t="e">
        <f t="shared" si="32"/>
        <v>#N/A</v>
      </c>
      <c r="F349" s="178" t="e">
        <f t="shared" si="36"/>
        <v>#N/A</v>
      </c>
      <c r="G349" s="178" t="e">
        <f t="shared" si="37"/>
        <v>#N/A</v>
      </c>
      <c r="H349" s="239" t="s">
        <v>3422</v>
      </c>
      <c r="I349" s="263" t="s">
        <v>5453</v>
      </c>
      <c r="J349" s="344" t="s">
        <v>3458</v>
      </c>
      <c r="K349" s="239" t="s">
        <v>3422</v>
      </c>
      <c r="L349" s="178" t="str">
        <f t="shared" si="33"/>
        <v>A4030</v>
      </c>
      <c r="M349" s="178" t="str">
        <f t="shared" si="34"/>
        <v>GEA_KCB신용요약정보조회Dto</v>
      </c>
      <c r="N349" s="178">
        <f t="shared" si="35"/>
        <v>1</v>
      </c>
    </row>
    <row r="350" spans="1:14" hidden="1">
      <c r="A350" s="178" t="s">
        <v>2169</v>
      </c>
      <c r="B350" s="439" t="s">
        <v>5619</v>
      </c>
      <c r="C350" s="178" t="s">
        <v>5645</v>
      </c>
      <c r="D350" s="178" t="s">
        <v>2169</v>
      </c>
      <c r="E350" s="178" t="e">
        <f t="shared" si="32"/>
        <v>#N/A</v>
      </c>
      <c r="F350" s="178" t="e">
        <f t="shared" si="36"/>
        <v>#N/A</v>
      </c>
      <c r="G350" s="178" t="e">
        <f t="shared" si="37"/>
        <v>#N/A</v>
      </c>
      <c r="H350" s="239" t="s">
        <v>3423</v>
      </c>
      <c r="I350" s="263" t="s">
        <v>5453</v>
      </c>
      <c r="J350" s="344" t="s">
        <v>3525</v>
      </c>
      <c r="K350" s="239" t="s">
        <v>3423</v>
      </c>
      <c r="L350" s="178" t="str">
        <f t="shared" si="33"/>
        <v>A4031</v>
      </c>
      <c r="M350" s="178" t="str">
        <f t="shared" si="34"/>
        <v>GEA_KCB신용요약정보조회Dto</v>
      </c>
      <c r="N350" s="178">
        <f t="shared" si="35"/>
        <v>1</v>
      </c>
    </row>
    <row r="351" spans="1:14" hidden="1">
      <c r="A351" s="178" t="s">
        <v>2170</v>
      </c>
      <c r="B351" s="439" t="s">
        <v>5619</v>
      </c>
      <c r="C351" s="178" t="s">
        <v>5646</v>
      </c>
      <c r="D351" s="178" t="s">
        <v>2170</v>
      </c>
      <c r="E351" s="178" t="e">
        <f t="shared" si="32"/>
        <v>#N/A</v>
      </c>
      <c r="F351" s="178" t="e">
        <f t="shared" si="36"/>
        <v>#N/A</v>
      </c>
      <c r="G351" s="178" t="e">
        <f t="shared" si="37"/>
        <v>#N/A</v>
      </c>
      <c r="H351" s="239" t="s">
        <v>3424</v>
      </c>
      <c r="I351" s="263" t="s">
        <v>5453</v>
      </c>
      <c r="J351" s="344" t="s">
        <v>3457</v>
      </c>
      <c r="K351" s="239" t="s">
        <v>3424</v>
      </c>
      <c r="L351" s="178" t="str">
        <f t="shared" si="33"/>
        <v>A4032</v>
      </c>
      <c r="M351" s="178" t="str">
        <f t="shared" si="34"/>
        <v>GEA_KCB신용요약정보조회Dto</v>
      </c>
      <c r="N351" s="178">
        <f t="shared" si="35"/>
        <v>1</v>
      </c>
    </row>
    <row r="352" spans="1:14">
      <c r="A352" s="178" t="s">
        <v>2171</v>
      </c>
      <c r="B352" s="439" t="s">
        <v>5619</v>
      </c>
      <c r="C352" s="178" t="s">
        <v>5647</v>
      </c>
      <c r="D352" s="178" t="s">
        <v>2171</v>
      </c>
      <c r="E352" s="178" t="e">
        <f t="shared" si="32"/>
        <v>#N/A</v>
      </c>
      <c r="F352" s="178" t="e">
        <f t="shared" si="36"/>
        <v>#N/A</v>
      </c>
      <c r="G352" s="178" t="e">
        <f t="shared" si="37"/>
        <v>#N/A</v>
      </c>
      <c r="H352" s="239" t="s">
        <v>3462</v>
      </c>
      <c r="I352" s="263" t="s">
        <v>5453</v>
      </c>
      <c r="J352" s="344" t="s">
        <v>3473</v>
      </c>
      <c r="K352" s="239" t="s">
        <v>3462</v>
      </c>
      <c r="L352" s="178" t="e">
        <f t="shared" si="33"/>
        <v>#N/A</v>
      </c>
      <c r="M352" s="178" t="e">
        <f t="shared" si="34"/>
        <v>#N/A</v>
      </c>
      <c r="N352" s="178" t="e">
        <f t="shared" si="35"/>
        <v>#N/A</v>
      </c>
    </row>
    <row r="353" spans="1:14" hidden="1">
      <c r="A353" s="178" t="s">
        <v>2172</v>
      </c>
      <c r="B353" s="439" t="s">
        <v>5619</v>
      </c>
      <c r="C353" s="178" t="s">
        <v>5648</v>
      </c>
      <c r="D353" s="178" t="s">
        <v>2172</v>
      </c>
      <c r="E353" s="178" t="e">
        <f t="shared" si="32"/>
        <v>#N/A</v>
      </c>
      <c r="F353" s="178" t="e">
        <f t="shared" si="36"/>
        <v>#N/A</v>
      </c>
      <c r="G353" s="178" t="e">
        <f t="shared" si="37"/>
        <v>#N/A</v>
      </c>
      <c r="H353" s="239" t="s">
        <v>3463</v>
      </c>
      <c r="I353" s="263" t="s">
        <v>5453</v>
      </c>
      <c r="J353" s="344" t="s">
        <v>3466</v>
      </c>
      <c r="K353" s="239" t="s">
        <v>3463</v>
      </c>
      <c r="L353" s="178" t="str">
        <f t="shared" si="33"/>
        <v>A4019</v>
      </c>
      <c r="M353" s="178" t="str">
        <f t="shared" si="34"/>
        <v>GEA_KCB신용요약정보조회Dto</v>
      </c>
      <c r="N353" s="178">
        <f t="shared" si="35"/>
        <v>1</v>
      </c>
    </row>
    <row r="354" spans="1:14" hidden="1">
      <c r="A354" s="178" t="s">
        <v>2173</v>
      </c>
      <c r="B354" s="439" t="s">
        <v>5619</v>
      </c>
      <c r="C354" s="178" t="s">
        <v>5649</v>
      </c>
      <c r="D354" s="178" t="s">
        <v>2173</v>
      </c>
      <c r="E354" s="178" t="e">
        <f t="shared" si="32"/>
        <v>#N/A</v>
      </c>
      <c r="F354" s="178" t="e">
        <f t="shared" si="36"/>
        <v>#N/A</v>
      </c>
      <c r="G354" s="178" t="e">
        <f t="shared" si="37"/>
        <v>#N/A</v>
      </c>
      <c r="H354" s="320" t="s">
        <v>5276</v>
      </c>
      <c r="I354" s="263" t="s">
        <v>5453</v>
      </c>
      <c r="J354" s="263" t="s">
        <v>1055</v>
      </c>
      <c r="K354" s="320" t="s">
        <v>5276</v>
      </c>
      <c r="L354" s="178" t="str">
        <f t="shared" si="33"/>
        <v>A4029</v>
      </c>
      <c r="M354" s="178" t="str">
        <f t="shared" si="34"/>
        <v>GEA_KCB신용요약정보조회Dto</v>
      </c>
      <c r="N354" s="178">
        <f t="shared" si="35"/>
        <v>1</v>
      </c>
    </row>
    <row r="355" spans="1:14" hidden="1">
      <c r="A355" s="178" t="s">
        <v>2174</v>
      </c>
      <c r="B355" s="439" t="s">
        <v>5619</v>
      </c>
      <c r="C355" s="178" t="s">
        <v>5650</v>
      </c>
      <c r="D355" s="178" t="s">
        <v>2174</v>
      </c>
      <c r="E355" s="178" t="e">
        <f t="shared" si="32"/>
        <v>#N/A</v>
      </c>
      <c r="F355" s="178" t="e">
        <f t="shared" si="36"/>
        <v>#N/A</v>
      </c>
      <c r="G355" s="178" t="e">
        <f t="shared" si="37"/>
        <v>#N/A</v>
      </c>
      <c r="H355" s="320" t="s">
        <v>5405</v>
      </c>
      <c r="I355" s="263" t="s">
        <v>5453</v>
      </c>
      <c r="J355" s="263" t="s">
        <v>1055</v>
      </c>
      <c r="K355" s="320" t="s">
        <v>5405</v>
      </c>
      <c r="L355" s="178" t="str">
        <f t="shared" si="33"/>
        <v>A4029</v>
      </c>
      <c r="M355" s="178" t="str">
        <f t="shared" si="34"/>
        <v>GEA_KCB신용요약정보조회Dto</v>
      </c>
      <c r="N355" s="178">
        <f t="shared" si="35"/>
        <v>1</v>
      </c>
    </row>
    <row r="356" spans="1:14" hidden="1">
      <c r="A356" s="178" t="s">
        <v>2175</v>
      </c>
      <c r="B356" s="439" t="s">
        <v>5619</v>
      </c>
      <c r="C356" s="178" t="s">
        <v>5651</v>
      </c>
      <c r="D356" s="178" t="s">
        <v>2175</v>
      </c>
      <c r="E356" s="178" t="e">
        <f t="shared" si="32"/>
        <v>#N/A</v>
      </c>
      <c r="F356" s="178" t="e">
        <f t="shared" si="36"/>
        <v>#N/A</v>
      </c>
      <c r="G356" s="178" t="e">
        <f t="shared" si="37"/>
        <v>#N/A</v>
      </c>
      <c r="H356" s="320" t="s">
        <v>3676</v>
      </c>
      <c r="I356" s="263" t="s">
        <v>5453</v>
      </c>
      <c r="J356" s="263" t="s">
        <v>1055</v>
      </c>
      <c r="K356" s="320" t="s">
        <v>3676</v>
      </c>
      <c r="L356" s="178" t="str">
        <f t="shared" si="33"/>
        <v>A4029</v>
      </c>
      <c r="M356" s="178" t="str">
        <f t="shared" si="34"/>
        <v>GEA_KCB신용요약정보조회Dto</v>
      </c>
      <c r="N356" s="178">
        <f t="shared" si="35"/>
        <v>1</v>
      </c>
    </row>
    <row r="357" spans="1:14" hidden="1">
      <c r="A357" s="178" t="s">
        <v>2176</v>
      </c>
      <c r="B357" s="439" t="s">
        <v>5619</v>
      </c>
      <c r="C357" s="178" t="s">
        <v>5652</v>
      </c>
      <c r="D357" s="178" t="s">
        <v>2176</v>
      </c>
      <c r="E357" s="178" t="e">
        <f t="shared" si="32"/>
        <v>#N/A</v>
      </c>
      <c r="F357" s="178" t="e">
        <f t="shared" si="36"/>
        <v>#N/A</v>
      </c>
      <c r="G357" s="178" t="e">
        <f t="shared" si="37"/>
        <v>#N/A</v>
      </c>
      <c r="H357" s="320" t="s">
        <v>3677</v>
      </c>
      <c r="I357" s="263" t="s">
        <v>5453</v>
      </c>
      <c r="J357" s="263" t="s">
        <v>1055</v>
      </c>
      <c r="K357" s="320" t="s">
        <v>3677</v>
      </c>
      <c r="L357" s="178" t="str">
        <f t="shared" si="33"/>
        <v>A4029</v>
      </c>
      <c r="M357" s="178" t="str">
        <f t="shared" si="34"/>
        <v>GEA_KCB신용요약정보조회Dto</v>
      </c>
      <c r="N357" s="178">
        <f t="shared" si="35"/>
        <v>1</v>
      </c>
    </row>
    <row r="358" spans="1:14" hidden="1">
      <c r="A358" s="178" t="s">
        <v>3771</v>
      </c>
      <c r="B358" s="439" t="s">
        <v>5141</v>
      </c>
      <c r="C358" s="178" t="s">
        <v>5653</v>
      </c>
      <c r="D358" s="178" t="s">
        <v>3771</v>
      </c>
      <c r="E358" s="178" t="e">
        <f t="shared" si="32"/>
        <v>#N/A</v>
      </c>
      <c r="F358" s="178" t="e">
        <f t="shared" si="36"/>
        <v>#N/A</v>
      </c>
      <c r="G358" s="178" t="e">
        <f t="shared" si="37"/>
        <v>#N/A</v>
      </c>
      <c r="H358" s="263" t="s">
        <v>4927</v>
      </c>
      <c r="I358" s="263" t="s">
        <v>5453</v>
      </c>
      <c r="J358" s="263" t="s">
        <v>5469</v>
      </c>
      <c r="K358" s="263" t="s">
        <v>4927</v>
      </c>
      <c r="L358" s="178" t="str">
        <f t="shared" si="33"/>
        <v>A4028</v>
      </c>
      <c r="M358" s="178" t="str">
        <f t="shared" si="34"/>
        <v>GEA_KCB신용요약정보조회Dto</v>
      </c>
      <c r="N358" s="178">
        <f t="shared" si="35"/>
        <v>1</v>
      </c>
    </row>
    <row r="359" spans="1:14" hidden="1">
      <c r="A359" s="178" t="s">
        <v>3772</v>
      </c>
      <c r="B359" s="439" t="s">
        <v>5141</v>
      </c>
      <c r="C359" s="178" t="s">
        <v>5654</v>
      </c>
      <c r="D359" s="178" t="s">
        <v>3772</v>
      </c>
      <c r="E359" s="178" t="e">
        <f t="shared" si="32"/>
        <v>#N/A</v>
      </c>
      <c r="F359" s="178" t="e">
        <f t="shared" si="36"/>
        <v>#N/A</v>
      </c>
      <c r="G359" s="178" t="e">
        <f t="shared" si="37"/>
        <v>#N/A</v>
      </c>
      <c r="H359" s="263" t="s">
        <v>3923</v>
      </c>
      <c r="I359" s="263" t="s">
        <v>5453</v>
      </c>
      <c r="J359" s="263" t="s">
        <v>3924</v>
      </c>
      <c r="K359" s="263" t="s">
        <v>3923</v>
      </c>
      <c r="L359" s="178" t="str">
        <f t="shared" si="33"/>
        <v>A4033</v>
      </c>
      <c r="M359" s="178" t="str">
        <f t="shared" si="34"/>
        <v>GEA_KCB신용요약정보조회Dto</v>
      </c>
      <c r="N359" s="178">
        <f t="shared" si="35"/>
        <v>1</v>
      </c>
    </row>
    <row r="360" spans="1:14" hidden="1">
      <c r="A360" s="178" t="s">
        <v>3773</v>
      </c>
      <c r="B360" s="439" t="s">
        <v>5141</v>
      </c>
      <c r="C360" s="178" t="s">
        <v>5655</v>
      </c>
      <c r="D360" s="178" t="s">
        <v>3773</v>
      </c>
      <c r="E360" s="178" t="e">
        <f t="shared" si="32"/>
        <v>#N/A</v>
      </c>
      <c r="F360" s="178" t="e">
        <f t="shared" si="36"/>
        <v>#N/A</v>
      </c>
      <c r="G360" s="178" t="e">
        <f t="shared" si="37"/>
        <v>#N/A</v>
      </c>
      <c r="H360" s="320" t="s">
        <v>3925</v>
      </c>
      <c r="I360" s="263" t="s">
        <v>5453</v>
      </c>
      <c r="J360" s="263" t="s">
        <v>1055</v>
      </c>
      <c r="K360" s="320" t="s">
        <v>3925</v>
      </c>
      <c r="L360" s="178" t="str">
        <f t="shared" si="33"/>
        <v>A4029</v>
      </c>
      <c r="M360" s="178" t="str">
        <f t="shared" si="34"/>
        <v>GEA_KCB신용요약정보조회Dto</v>
      </c>
      <c r="N360" s="178">
        <f t="shared" si="35"/>
        <v>1</v>
      </c>
    </row>
    <row r="361" spans="1:14" hidden="1">
      <c r="A361" s="178" t="s">
        <v>3774</v>
      </c>
      <c r="B361" s="439" t="s">
        <v>5141</v>
      </c>
      <c r="C361" s="178" t="s">
        <v>5656</v>
      </c>
      <c r="D361" s="178" t="s">
        <v>3774</v>
      </c>
      <c r="E361" s="178" t="e">
        <f t="shared" si="32"/>
        <v>#N/A</v>
      </c>
      <c r="F361" s="178" t="e">
        <f t="shared" si="36"/>
        <v>#N/A</v>
      </c>
      <c r="G361" s="178" t="e">
        <f t="shared" si="37"/>
        <v>#N/A</v>
      </c>
      <c r="H361" s="320" t="s">
        <v>3927</v>
      </c>
      <c r="I361" s="263" t="s">
        <v>5453</v>
      </c>
      <c r="J361" s="263" t="s">
        <v>1055</v>
      </c>
      <c r="K361" s="320" t="s">
        <v>3927</v>
      </c>
      <c r="L361" s="178" t="str">
        <f t="shared" si="33"/>
        <v>A4029</v>
      </c>
      <c r="M361" s="178" t="str">
        <f t="shared" si="34"/>
        <v>GEA_KCB신용요약정보조회Dto</v>
      </c>
      <c r="N361" s="178">
        <f t="shared" si="35"/>
        <v>1</v>
      </c>
    </row>
    <row r="362" spans="1:14" hidden="1">
      <c r="A362" s="178" t="s">
        <v>3775</v>
      </c>
      <c r="B362" s="439" t="s">
        <v>5141</v>
      </c>
      <c r="C362" s="178" t="s">
        <v>5657</v>
      </c>
      <c r="D362" s="178" t="s">
        <v>3775</v>
      </c>
      <c r="E362" s="178" t="e">
        <f t="shared" si="32"/>
        <v>#N/A</v>
      </c>
      <c r="F362" s="178" t="e">
        <f t="shared" si="36"/>
        <v>#N/A</v>
      </c>
      <c r="G362" s="178" t="e">
        <f t="shared" si="37"/>
        <v>#N/A</v>
      </c>
      <c r="H362" s="320" t="s">
        <v>3929</v>
      </c>
      <c r="I362" s="263" t="s">
        <v>5453</v>
      </c>
      <c r="J362" s="263" t="s">
        <v>1055</v>
      </c>
      <c r="K362" s="320" t="s">
        <v>3929</v>
      </c>
      <c r="L362" s="178" t="str">
        <f t="shared" si="33"/>
        <v>A4029</v>
      </c>
      <c r="M362" s="178" t="str">
        <f t="shared" si="34"/>
        <v>GEA_KCB신용요약정보조회Dto</v>
      </c>
      <c r="N362" s="178">
        <f t="shared" si="35"/>
        <v>1</v>
      </c>
    </row>
    <row r="363" spans="1:14" hidden="1">
      <c r="A363" s="178" t="s">
        <v>3776</v>
      </c>
      <c r="B363" s="439" t="s">
        <v>5141</v>
      </c>
      <c r="C363" s="178" t="s">
        <v>5658</v>
      </c>
      <c r="D363" s="178" t="s">
        <v>3776</v>
      </c>
      <c r="E363" s="178" t="e">
        <f t="shared" si="32"/>
        <v>#N/A</v>
      </c>
      <c r="F363" s="178" t="e">
        <f t="shared" si="36"/>
        <v>#N/A</v>
      </c>
      <c r="G363" s="178" t="e">
        <f t="shared" si="37"/>
        <v>#N/A</v>
      </c>
      <c r="H363" s="320" t="s">
        <v>3931</v>
      </c>
      <c r="I363" s="263" t="s">
        <v>5453</v>
      </c>
      <c r="J363" s="263" t="s">
        <v>1055</v>
      </c>
      <c r="K363" s="320" t="s">
        <v>3931</v>
      </c>
      <c r="L363" s="178" t="str">
        <f t="shared" si="33"/>
        <v>A4029</v>
      </c>
      <c r="M363" s="178" t="str">
        <f t="shared" si="34"/>
        <v>GEA_KCB신용요약정보조회Dto</v>
      </c>
      <c r="N363" s="178">
        <f t="shared" si="35"/>
        <v>1</v>
      </c>
    </row>
    <row r="364" spans="1:14" hidden="1">
      <c r="A364" s="178" t="s">
        <v>3777</v>
      </c>
      <c r="B364" s="439" t="s">
        <v>5141</v>
      </c>
      <c r="C364" s="178" t="s">
        <v>5659</v>
      </c>
      <c r="D364" s="178" t="s">
        <v>3777</v>
      </c>
      <c r="E364" s="178" t="e">
        <f t="shared" si="32"/>
        <v>#N/A</v>
      </c>
      <c r="F364" s="178" t="e">
        <f t="shared" si="36"/>
        <v>#N/A</v>
      </c>
      <c r="G364" s="178" t="e">
        <f t="shared" si="37"/>
        <v>#N/A</v>
      </c>
      <c r="H364" s="320" t="s">
        <v>3933</v>
      </c>
      <c r="I364" s="263" t="s">
        <v>5453</v>
      </c>
      <c r="J364" s="263" t="s">
        <v>1055</v>
      </c>
      <c r="K364" s="320" t="s">
        <v>3933</v>
      </c>
      <c r="L364" s="178" t="str">
        <f t="shared" si="33"/>
        <v>A4029</v>
      </c>
      <c r="M364" s="178" t="str">
        <f t="shared" si="34"/>
        <v>GEA_KCB신용요약정보조회Dto</v>
      </c>
      <c r="N364" s="178">
        <f t="shared" si="35"/>
        <v>1</v>
      </c>
    </row>
    <row r="365" spans="1:14" hidden="1">
      <c r="A365" s="178" t="s">
        <v>3778</v>
      </c>
      <c r="B365" s="439" t="s">
        <v>5141</v>
      </c>
      <c r="C365" s="178" t="s">
        <v>5660</v>
      </c>
      <c r="D365" s="178" t="s">
        <v>3778</v>
      </c>
      <c r="E365" s="178" t="e">
        <f t="shared" si="32"/>
        <v>#N/A</v>
      </c>
      <c r="F365" s="178" t="e">
        <f t="shared" si="36"/>
        <v>#N/A</v>
      </c>
      <c r="G365" s="178" t="e">
        <f t="shared" si="37"/>
        <v>#N/A</v>
      </c>
      <c r="H365" s="339" t="s">
        <v>3935</v>
      </c>
      <c r="I365" s="263" t="s">
        <v>5453</v>
      </c>
      <c r="J365" s="263" t="s">
        <v>1055</v>
      </c>
      <c r="K365" s="339" t="s">
        <v>3935</v>
      </c>
      <c r="L365" s="178" t="str">
        <f t="shared" si="33"/>
        <v>A4029</v>
      </c>
      <c r="M365" s="178" t="str">
        <f t="shared" si="34"/>
        <v>GEA_KCB신용요약정보조회Dto</v>
      </c>
      <c r="N365" s="178">
        <f t="shared" si="35"/>
        <v>1</v>
      </c>
    </row>
    <row r="366" spans="1:14" hidden="1">
      <c r="A366" s="178" t="s">
        <v>3779</v>
      </c>
      <c r="B366" s="439" t="s">
        <v>5141</v>
      </c>
      <c r="C366" s="178" t="s">
        <v>5661</v>
      </c>
      <c r="D366" s="178" t="s">
        <v>3779</v>
      </c>
      <c r="E366" s="178" t="e">
        <f t="shared" si="32"/>
        <v>#N/A</v>
      </c>
      <c r="F366" s="178" t="e">
        <f t="shared" si="36"/>
        <v>#N/A</v>
      </c>
      <c r="G366" s="178" t="e">
        <f t="shared" si="37"/>
        <v>#N/A</v>
      </c>
      <c r="H366" s="263" t="s">
        <v>3937</v>
      </c>
      <c r="I366" s="263" t="s">
        <v>5453</v>
      </c>
      <c r="J366" s="263" t="s">
        <v>1055</v>
      </c>
      <c r="K366" s="263" t="s">
        <v>3937</v>
      </c>
      <c r="L366" s="178" t="str">
        <f t="shared" si="33"/>
        <v>A4029</v>
      </c>
      <c r="M366" s="178" t="str">
        <f t="shared" si="34"/>
        <v>GEA_KCB신용요약정보조회Dto</v>
      </c>
      <c r="N366" s="178">
        <f t="shared" si="35"/>
        <v>1</v>
      </c>
    </row>
    <row r="367" spans="1:14" hidden="1">
      <c r="A367" s="178" t="s">
        <v>3780</v>
      </c>
      <c r="B367" s="439" t="s">
        <v>5141</v>
      </c>
      <c r="C367" s="178" t="s">
        <v>5662</v>
      </c>
      <c r="D367" s="178" t="s">
        <v>3780</v>
      </c>
      <c r="E367" s="178" t="e">
        <f t="shared" si="32"/>
        <v>#N/A</v>
      </c>
      <c r="F367" s="178" t="e">
        <f t="shared" si="36"/>
        <v>#N/A</v>
      </c>
      <c r="G367" s="178" t="e">
        <f t="shared" si="37"/>
        <v>#N/A</v>
      </c>
      <c r="H367" s="263" t="s">
        <v>5406</v>
      </c>
      <c r="I367" s="263" t="s">
        <v>5453</v>
      </c>
      <c r="J367" s="263" t="s">
        <v>1055</v>
      </c>
      <c r="K367" s="263" t="s">
        <v>5406</v>
      </c>
      <c r="L367" s="178" t="str">
        <f t="shared" si="33"/>
        <v>A4029</v>
      </c>
      <c r="M367" s="178" t="str">
        <f t="shared" si="34"/>
        <v>GEA_KCB신용요약정보조회Dto</v>
      </c>
      <c r="N367" s="178">
        <f t="shared" si="35"/>
        <v>1</v>
      </c>
    </row>
    <row r="368" spans="1:14" hidden="1">
      <c r="A368" s="178" t="s">
        <v>3781</v>
      </c>
      <c r="B368" s="439" t="s">
        <v>5141</v>
      </c>
      <c r="C368" s="178" t="s">
        <v>5663</v>
      </c>
      <c r="D368" s="178" t="s">
        <v>3781</v>
      </c>
      <c r="E368" s="178" t="e">
        <f t="shared" si="32"/>
        <v>#N/A</v>
      </c>
      <c r="F368" s="178" t="e">
        <f t="shared" si="36"/>
        <v>#N/A</v>
      </c>
      <c r="G368" s="178" t="e">
        <f t="shared" si="37"/>
        <v>#N/A</v>
      </c>
      <c r="H368" s="263" t="s">
        <v>5820</v>
      </c>
      <c r="I368" s="263" t="s">
        <v>5453</v>
      </c>
      <c r="J368" s="178" t="s">
        <v>5825</v>
      </c>
      <c r="K368" s="263" t="s">
        <v>5820</v>
      </c>
      <c r="L368" s="178" t="str">
        <f t="shared" si="33"/>
        <v>A4057</v>
      </c>
      <c r="M368" s="178" t="str">
        <f t="shared" si="34"/>
        <v>GEA_KCB신용요약정보조회Dto</v>
      </c>
      <c r="N368" s="178">
        <f t="shared" si="35"/>
        <v>1</v>
      </c>
    </row>
    <row r="369" spans="1:14" hidden="1">
      <c r="A369" s="178" t="s">
        <v>3782</v>
      </c>
      <c r="B369" s="439" t="s">
        <v>5141</v>
      </c>
      <c r="C369" s="178" t="s">
        <v>5664</v>
      </c>
      <c r="D369" s="178" t="s">
        <v>3782</v>
      </c>
      <c r="E369" s="178" t="e">
        <f t="shared" si="32"/>
        <v>#N/A</v>
      </c>
      <c r="F369" s="178" t="e">
        <f t="shared" si="36"/>
        <v>#N/A</v>
      </c>
      <c r="G369" s="178" t="e">
        <f t="shared" si="37"/>
        <v>#N/A</v>
      </c>
      <c r="H369" s="263" t="s">
        <v>5821</v>
      </c>
      <c r="I369" s="263" t="s">
        <v>5453</v>
      </c>
      <c r="J369" s="178" t="s">
        <v>5487</v>
      </c>
      <c r="K369" s="263" t="s">
        <v>5821</v>
      </c>
      <c r="L369" s="178" t="str">
        <f t="shared" si="33"/>
        <v>A4058</v>
      </c>
      <c r="M369" s="178" t="str">
        <f t="shared" si="34"/>
        <v>GEA_KCB신용요약정보조회Dto</v>
      </c>
      <c r="N369" s="178">
        <f t="shared" si="35"/>
        <v>1</v>
      </c>
    </row>
    <row r="370" spans="1:14" hidden="1">
      <c r="A370" s="359" t="s">
        <v>3783</v>
      </c>
      <c r="B370" s="178" t="s">
        <v>5613</v>
      </c>
      <c r="C370" s="178" t="s">
        <v>5515</v>
      </c>
      <c r="D370" s="359" t="s">
        <v>3783</v>
      </c>
      <c r="E370" s="178" t="str">
        <f t="shared" si="32"/>
        <v>B3001</v>
      </c>
      <c r="F370" s="178" t="str">
        <f t="shared" si="36"/>
        <v>GEA_NICE신용요약정보조회Dto</v>
      </c>
      <c r="G370" s="178">
        <f t="shared" si="37"/>
        <v>1</v>
      </c>
      <c r="H370" s="263" t="s">
        <v>5822</v>
      </c>
      <c r="I370" s="263" t="s">
        <v>5453</v>
      </c>
      <c r="J370" s="178" t="s">
        <v>5488</v>
      </c>
      <c r="K370" s="263" t="s">
        <v>5822</v>
      </c>
      <c r="L370" s="178" t="str">
        <f t="shared" si="33"/>
        <v>A4059</v>
      </c>
      <c r="M370" s="178" t="str">
        <f t="shared" si="34"/>
        <v>GEA_KCB신용요약정보조회Dto</v>
      </c>
      <c r="N370" s="178">
        <f t="shared" si="35"/>
        <v>1</v>
      </c>
    </row>
    <row r="371" spans="1:14" hidden="1">
      <c r="A371" s="359" t="s">
        <v>3784</v>
      </c>
      <c r="B371" s="178" t="s">
        <v>5613</v>
      </c>
      <c r="C371" s="178" t="s">
        <v>5516</v>
      </c>
      <c r="D371" s="359" t="s">
        <v>3784</v>
      </c>
      <c r="E371" s="178" t="str">
        <f t="shared" si="32"/>
        <v>B3002</v>
      </c>
      <c r="F371" s="178" t="str">
        <f t="shared" si="36"/>
        <v>GEA_NICE신용요약정보조회Dto</v>
      </c>
      <c r="G371" s="178">
        <f t="shared" si="37"/>
        <v>1</v>
      </c>
      <c r="H371" s="263" t="s">
        <v>5823</v>
      </c>
      <c r="I371" s="263" t="s">
        <v>5453</v>
      </c>
      <c r="J371" s="178" t="s">
        <v>5829</v>
      </c>
      <c r="K371" s="263" t="s">
        <v>5823</v>
      </c>
      <c r="L371" s="178" t="str">
        <f t="shared" si="33"/>
        <v>A4056</v>
      </c>
      <c r="M371" s="178" t="str">
        <f t="shared" si="34"/>
        <v>GEA_KCB신용요약정보조회Dto</v>
      </c>
      <c r="N371" s="178">
        <f t="shared" si="35"/>
        <v>1</v>
      </c>
    </row>
    <row r="372" spans="1:14" hidden="1">
      <c r="A372" s="359" t="s">
        <v>3785</v>
      </c>
      <c r="B372" s="178" t="s">
        <v>5613</v>
      </c>
      <c r="C372" s="178" t="s">
        <v>4462</v>
      </c>
      <c r="D372" s="359" t="s">
        <v>3785</v>
      </c>
      <c r="E372" s="178" t="str">
        <f t="shared" si="32"/>
        <v>B3003</v>
      </c>
      <c r="F372" s="178" t="str">
        <f t="shared" si="36"/>
        <v>GEA_NICE신용요약정보조회Dto</v>
      </c>
      <c r="G372" s="178">
        <f t="shared" si="37"/>
        <v>1</v>
      </c>
      <c r="H372" s="264"/>
      <c r="I372" s="264"/>
      <c r="J372" s="264"/>
      <c r="K372" s="264" t="s">
        <v>2441</v>
      </c>
      <c r="L372" s="178" t="e">
        <f t="shared" si="33"/>
        <v>#N/A</v>
      </c>
      <c r="M372" s="178" t="e">
        <f t="shared" si="34"/>
        <v>#N/A</v>
      </c>
      <c r="N372" s="178" t="e">
        <f t="shared" si="35"/>
        <v>#N/A</v>
      </c>
    </row>
    <row r="373" spans="1:14" hidden="1">
      <c r="A373" s="359" t="s">
        <v>3786</v>
      </c>
      <c r="B373" s="178" t="s">
        <v>5613</v>
      </c>
      <c r="C373" s="178" t="s">
        <v>4464</v>
      </c>
      <c r="D373" s="359" t="s">
        <v>3786</v>
      </c>
      <c r="E373" s="178" t="str">
        <f t="shared" si="32"/>
        <v>B3004</v>
      </c>
      <c r="F373" s="178" t="str">
        <f t="shared" si="36"/>
        <v>GEA_NICE신용요약정보조회Dto</v>
      </c>
      <c r="G373" s="178">
        <f t="shared" si="37"/>
        <v>1</v>
      </c>
      <c r="H373" s="264"/>
      <c r="I373" s="264"/>
      <c r="J373" s="264"/>
      <c r="K373" s="264" t="s">
        <v>2442</v>
      </c>
      <c r="L373" s="178" t="e">
        <f t="shared" si="33"/>
        <v>#N/A</v>
      </c>
      <c r="M373" s="178" t="e">
        <f t="shared" si="34"/>
        <v>#N/A</v>
      </c>
      <c r="N373" s="178" t="e">
        <f t="shared" si="35"/>
        <v>#N/A</v>
      </c>
    </row>
    <row r="374" spans="1:14" hidden="1">
      <c r="A374" s="359" t="s">
        <v>3787</v>
      </c>
      <c r="B374" s="178" t="s">
        <v>5613</v>
      </c>
      <c r="C374" s="178" t="s">
        <v>5517</v>
      </c>
      <c r="D374" s="359" t="s">
        <v>3787</v>
      </c>
      <c r="E374" s="178" t="str">
        <f t="shared" si="32"/>
        <v>B3005</v>
      </c>
      <c r="F374" s="178" t="str">
        <f t="shared" si="36"/>
        <v>GEA_NICE신용요약정보조회Dto</v>
      </c>
      <c r="G374" s="178">
        <f t="shared" si="37"/>
        <v>1</v>
      </c>
      <c r="H374" s="264"/>
      <c r="I374" s="264"/>
      <c r="J374" s="264"/>
      <c r="K374" s="264" t="s">
        <v>2443</v>
      </c>
      <c r="L374" s="178" t="e">
        <f t="shared" si="33"/>
        <v>#N/A</v>
      </c>
      <c r="M374" s="178" t="e">
        <f t="shared" si="34"/>
        <v>#N/A</v>
      </c>
      <c r="N374" s="178" t="e">
        <f t="shared" si="35"/>
        <v>#N/A</v>
      </c>
    </row>
    <row r="375" spans="1:14" hidden="1">
      <c r="A375" s="359" t="s">
        <v>3788</v>
      </c>
      <c r="B375" s="178" t="s">
        <v>5613</v>
      </c>
      <c r="C375" s="178" t="s">
        <v>5518</v>
      </c>
      <c r="D375" s="359" t="s">
        <v>3788</v>
      </c>
      <c r="E375" s="178" t="str">
        <f t="shared" si="32"/>
        <v>B3006</v>
      </c>
      <c r="F375" s="178" t="str">
        <f t="shared" si="36"/>
        <v>GEA_NICE신용요약정보조회Dto</v>
      </c>
      <c r="G375" s="178">
        <f t="shared" si="37"/>
        <v>1</v>
      </c>
      <c r="H375" s="264"/>
      <c r="I375" s="264"/>
      <c r="J375" s="264"/>
      <c r="K375" s="264" t="s">
        <v>2444</v>
      </c>
      <c r="L375" s="178" t="e">
        <f t="shared" si="33"/>
        <v>#N/A</v>
      </c>
      <c r="M375" s="178" t="e">
        <f t="shared" si="34"/>
        <v>#N/A</v>
      </c>
      <c r="N375" s="178" t="e">
        <f t="shared" si="35"/>
        <v>#N/A</v>
      </c>
    </row>
    <row r="376" spans="1:14" hidden="1">
      <c r="A376" s="359" t="s">
        <v>3789</v>
      </c>
      <c r="B376" s="178" t="s">
        <v>5613</v>
      </c>
      <c r="C376" s="178" t="s">
        <v>5519</v>
      </c>
      <c r="D376" s="359" t="s">
        <v>3789</v>
      </c>
      <c r="E376" s="178" t="str">
        <f t="shared" si="32"/>
        <v>B3007</v>
      </c>
      <c r="F376" s="178" t="str">
        <f t="shared" si="36"/>
        <v>GEA_NICE신용요약정보조회Dto</v>
      </c>
      <c r="G376" s="178">
        <f t="shared" si="37"/>
        <v>1</v>
      </c>
      <c r="H376" s="264"/>
      <c r="I376" s="264"/>
      <c r="J376" s="264"/>
      <c r="K376" s="264" t="s">
        <v>2445</v>
      </c>
      <c r="L376" s="178" t="e">
        <f t="shared" si="33"/>
        <v>#N/A</v>
      </c>
      <c r="M376" s="178" t="e">
        <f t="shared" si="34"/>
        <v>#N/A</v>
      </c>
      <c r="N376" s="178" t="e">
        <f t="shared" si="35"/>
        <v>#N/A</v>
      </c>
    </row>
    <row r="377" spans="1:14" hidden="1">
      <c r="A377" s="359" t="s">
        <v>3790</v>
      </c>
      <c r="B377" s="178" t="s">
        <v>5613</v>
      </c>
      <c r="C377" s="178" t="s">
        <v>4472</v>
      </c>
      <c r="D377" s="359" t="s">
        <v>3790</v>
      </c>
      <c r="E377" s="178" t="str">
        <f t="shared" si="32"/>
        <v>B3008</v>
      </c>
      <c r="F377" s="178" t="str">
        <f t="shared" si="36"/>
        <v>GEA_NICE신용요약정보조회Dto</v>
      </c>
      <c r="G377" s="178">
        <f t="shared" si="37"/>
        <v>1</v>
      </c>
      <c r="H377" s="264"/>
      <c r="I377" s="264"/>
      <c r="J377" s="264"/>
      <c r="K377" s="264" t="s">
        <v>2446</v>
      </c>
      <c r="L377" s="178" t="e">
        <f t="shared" si="33"/>
        <v>#N/A</v>
      </c>
      <c r="M377" s="178" t="e">
        <f t="shared" si="34"/>
        <v>#N/A</v>
      </c>
      <c r="N377" s="178" t="e">
        <f t="shared" si="35"/>
        <v>#N/A</v>
      </c>
    </row>
    <row r="378" spans="1:14" hidden="1">
      <c r="A378" s="359" t="s">
        <v>3791</v>
      </c>
      <c r="B378" s="178" t="s">
        <v>5613</v>
      </c>
      <c r="C378" s="178" t="s">
        <v>5520</v>
      </c>
      <c r="D378" s="359" t="s">
        <v>3791</v>
      </c>
      <c r="E378" s="178" t="str">
        <f t="shared" si="32"/>
        <v>B3009</v>
      </c>
      <c r="F378" s="178" t="str">
        <f t="shared" si="36"/>
        <v>GEA_NICE신용요약정보조회Dto</v>
      </c>
      <c r="G378" s="178">
        <f t="shared" si="37"/>
        <v>1</v>
      </c>
      <c r="H378" s="264"/>
      <c r="I378" s="264"/>
      <c r="J378" s="264"/>
      <c r="K378" s="264" t="s">
        <v>2447</v>
      </c>
      <c r="L378" s="178" t="e">
        <f t="shared" si="33"/>
        <v>#N/A</v>
      </c>
      <c r="M378" s="178" t="e">
        <f t="shared" si="34"/>
        <v>#N/A</v>
      </c>
      <c r="N378" s="178" t="e">
        <f t="shared" si="35"/>
        <v>#N/A</v>
      </c>
    </row>
    <row r="379" spans="1:14" hidden="1">
      <c r="A379" s="359" t="s">
        <v>3792</v>
      </c>
      <c r="B379" s="178" t="s">
        <v>5613</v>
      </c>
      <c r="C379" s="178" t="s">
        <v>4476</v>
      </c>
      <c r="D379" s="359" t="s">
        <v>3792</v>
      </c>
      <c r="E379" s="178" t="str">
        <f t="shared" si="32"/>
        <v>B3010</v>
      </c>
      <c r="F379" s="178" t="str">
        <f t="shared" si="36"/>
        <v>GEA_NICE신용요약정보조회Dto</v>
      </c>
      <c r="G379" s="178">
        <f t="shared" si="37"/>
        <v>1</v>
      </c>
      <c r="H379" s="264"/>
      <c r="I379" s="264"/>
      <c r="J379" s="264"/>
      <c r="K379" s="264" t="s">
        <v>2448</v>
      </c>
      <c r="L379" s="178" t="e">
        <f t="shared" si="33"/>
        <v>#N/A</v>
      </c>
      <c r="M379" s="178" t="e">
        <f t="shared" si="34"/>
        <v>#N/A</v>
      </c>
      <c r="N379" s="178" t="e">
        <f t="shared" si="35"/>
        <v>#N/A</v>
      </c>
    </row>
    <row r="380" spans="1:14" hidden="1">
      <c r="A380" s="359" t="s">
        <v>3793</v>
      </c>
      <c r="B380" s="178" t="s">
        <v>5613</v>
      </c>
      <c r="C380" s="178" t="s">
        <v>5521</v>
      </c>
      <c r="D380" s="359" t="s">
        <v>3793</v>
      </c>
      <c r="E380" s="178" t="str">
        <f t="shared" si="32"/>
        <v>B3011</v>
      </c>
      <c r="F380" s="178" t="str">
        <f t="shared" si="36"/>
        <v>GEA_NICE신용요약정보조회Dto</v>
      </c>
      <c r="G380" s="178">
        <f t="shared" si="37"/>
        <v>1</v>
      </c>
      <c r="H380" s="264"/>
      <c r="I380" s="264"/>
      <c r="J380" s="264"/>
      <c r="K380" s="264" t="s">
        <v>2449</v>
      </c>
      <c r="L380" s="178" t="e">
        <f t="shared" si="33"/>
        <v>#N/A</v>
      </c>
      <c r="M380" s="178" t="e">
        <f t="shared" si="34"/>
        <v>#N/A</v>
      </c>
      <c r="N380" s="178" t="e">
        <f t="shared" si="35"/>
        <v>#N/A</v>
      </c>
    </row>
    <row r="381" spans="1:14" hidden="1">
      <c r="A381" s="359" t="s">
        <v>4316</v>
      </c>
      <c r="B381" s="178" t="s">
        <v>5613</v>
      </c>
      <c r="C381" s="178" t="s">
        <v>5522</v>
      </c>
      <c r="D381" s="359" t="s">
        <v>4316</v>
      </c>
      <c r="E381" s="178" t="str">
        <f t="shared" si="32"/>
        <v>B3012</v>
      </c>
      <c r="F381" s="178" t="str">
        <f t="shared" si="36"/>
        <v>GEA_NICE신용요약정보조회Dto</v>
      </c>
      <c r="G381" s="178">
        <f t="shared" si="37"/>
        <v>1</v>
      </c>
      <c r="H381" s="264"/>
      <c r="I381" s="264"/>
      <c r="J381" s="264"/>
      <c r="K381" s="264" t="s">
        <v>2450</v>
      </c>
      <c r="L381" s="178" t="e">
        <f t="shared" si="33"/>
        <v>#N/A</v>
      </c>
      <c r="M381" s="178" t="e">
        <f t="shared" si="34"/>
        <v>#N/A</v>
      </c>
      <c r="N381" s="178" t="e">
        <f t="shared" si="35"/>
        <v>#N/A</v>
      </c>
    </row>
    <row r="382" spans="1:14" hidden="1">
      <c r="A382" s="359" t="s">
        <v>5226</v>
      </c>
      <c r="B382" s="178" t="s">
        <v>5613</v>
      </c>
      <c r="C382" s="178" t="s">
        <v>5523</v>
      </c>
      <c r="D382" s="359" t="s">
        <v>5226</v>
      </c>
      <c r="E382" s="178" t="str">
        <f t="shared" si="32"/>
        <v>B3013</v>
      </c>
      <c r="F382" s="178" t="str">
        <f t="shared" si="36"/>
        <v>GEA_NICE신용요약정보조회Dto</v>
      </c>
      <c r="G382" s="178">
        <f t="shared" si="37"/>
        <v>1</v>
      </c>
      <c r="H382" s="264"/>
      <c r="I382" s="264"/>
      <c r="J382" s="264"/>
      <c r="K382" s="264" t="s">
        <v>2451</v>
      </c>
      <c r="L382" s="178" t="e">
        <f t="shared" si="33"/>
        <v>#N/A</v>
      </c>
      <c r="M382" s="178" t="e">
        <f t="shared" si="34"/>
        <v>#N/A</v>
      </c>
      <c r="N382" s="178" t="e">
        <f t="shared" si="35"/>
        <v>#N/A</v>
      </c>
    </row>
    <row r="383" spans="1:14" hidden="1">
      <c r="A383" s="359" t="s">
        <v>4318</v>
      </c>
      <c r="B383" s="178" t="s">
        <v>5613</v>
      </c>
      <c r="C383" s="178" t="s">
        <v>5524</v>
      </c>
      <c r="D383" s="359" t="s">
        <v>4318</v>
      </c>
      <c r="E383" s="178" t="str">
        <f t="shared" si="32"/>
        <v>B3014</v>
      </c>
      <c r="F383" s="178" t="str">
        <f t="shared" si="36"/>
        <v>GEA_NICE신용요약정보조회Dto</v>
      </c>
      <c r="G383" s="178">
        <f t="shared" si="37"/>
        <v>1</v>
      </c>
      <c r="H383" s="264"/>
      <c r="I383" s="264"/>
      <c r="J383" s="264"/>
      <c r="K383" s="264" t="s">
        <v>2452</v>
      </c>
      <c r="L383" s="178" t="e">
        <f t="shared" si="33"/>
        <v>#N/A</v>
      </c>
      <c r="M383" s="178" t="e">
        <f t="shared" si="34"/>
        <v>#N/A</v>
      </c>
      <c r="N383" s="178" t="e">
        <f t="shared" si="35"/>
        <v>#N/A</v>
      </c>
    </row>
    <row r="384" spans="1:14" hidden="1">
      <c r="A384" s="359" t="s">
        <v>5227</v>
      </c>
      <c r="B384" s="178" t="s">
        <v>5613</v>
      </c>
      <c r="C384" s="178" t="s">
        <v>3834</v>
      </c>
      <c r="D384" s="359" t="s">
        <v>5227</v>
      </c>
      <c r="E384" s="178" t="str">
        <f t="shared" si="32"/>
        <v>B3015</v>
      </c>
      <c r="F384" s="178" t="str">
        <f t="shared" si="36"/>
        <v>GEA_NICE신용요약정보조회Dto</v>
      </c>
      <c r="G384" s="178">
        <f t="shared" si="37"/>
        <v>1</v>
      </c>
      <c r="H384" s="264"/>
      <c r="I384" s="264"/>
      <c r="J384" s="264"/>
      <c r="K384" s="264" t="s">
        <v>2453</v>
      </c>
      <c r="L384" s="178" t="e">
        <f t="shared" si="33"/>
        <v>#N/A</v>
      </c>
      <c r="M384" s="178" t="e">
        <f t="shared" si="34"/>
        <v>#N/A</v>
      </c>
      <c r="N384" s="178" t="e">
        <f t="shared" si="35"/>
        <v>#N/A</v>
      </c>
    </row>
    <row r="385" spans="1:14" hidden="1">
      <c r="A385" s="359" t="s">
        <v>5605</v>
      </c>
      <c r="B385" s="178" t="s">
        <v>5613</v>
      </c>
      <c r="C385" s="178" t="s">
        <v>5526</v>
      </c>
      <c r="D385" s="359" t="s">
        <v>5605</v>
      </c>
      <c r="E385" s="178" t="e">
        <f t="shared" si="32"/>
        <v>#N/A</v>
      </c>
      <c r="F385" s="178" t="e">
        <f t="shared" si="36"/>
        <v>#N/A</v>
      </c>
      <c r="G385" s="178" t="e">
        <f t="shared" si="37"/>
        <v>#N/A</v>
      </c>
      <c r="H385" s="264"/>
      <c r="I385" s="264"/>
      <c r="J385" s="264"/>
      <c r="K385" s="264" t="s">
        <v>2454</v>
      </c>
      <c r="L385" s="178" t="e">
        <f t="shared" si="33"/>
        <v>#N/A</v>
      </c>
      <c r="M385" s="178" t="e">
        <f t="shared" si="34"/>
        <v>#N/A</v>
      </c>
      <c r="N385" s="178" t="e">
        <f t="shared" si="35"/>
        <v>#N/A</v>
      </c>
    </row>
    <row r="386" spans="1:14" hidden="1">
      <c r="A386" s="359" t="s">
        <v>5606</v>
      </c>
      <c r="B386" s="178" t="s">
        <v>5613</v>
      </c>
      <c r="C386" s="178" t="s">
        <v>5527</v>
      </c>
      <c r="D386" s="359" t="s">
        <v>5606</v>
      </c>
      <c r="E386" s="178" t="e">
        <f t="shared" si="32"/>
        <v>#N/A</v>
      </c>
      <c r="F386" s="178" t="e">
        <f t="shared" si="36"/>
        <v>#N/A</v>
      </c>
      <c r="G386" s="178" t="e">
        <f t="shared" si="37"/>
        <v>#N/A</v>
      </c>
      <c r="H386" s="264"/>
      <c r="I386" s="264"/>
      <c r="J386" s="264"/>
      <c r="K386" s="264" t="s">
        <v>2455</v>
      </c>
      <c r="L386" s="178" t="e">
        <f t="shared" si="33"/>
        <v>#N/A</v>
      </c>
      <c r="M386" s="178" t="e">
        <f t="shared" si="34"/>
        <v>#N/A</v>
      </c>
      <c r="N386" s="178" t="e">
        <f t="shared" si="35"/>
        <v>#N/A</v>
      </c>
    </row>
    <row r="387" spans="1:14" hidden="1">
      <c r="A387" s="359" t="s">
        <v>5607</v>
      </c>
      <c r="B387" s="178" t="s">
        <v>5613</v>
      </c>
      <c r="C387" s="178" t="s">
        <v>5528</v>
      </c>
      <c r="D387" s="359" t="s">
        <v>5607</v>
      </c>
      <c r="E387" s="178" t="e">
        <f t="shared" si="32"/>
        <v>#N/A</v>
      </c>
      <c r="F387" s="178" t="e">
        <f t="shared" si="36"/>
        <v>#N/A</v>
      </c>
      <c r="G387" s="178" t="e">
        <f t="shared" si="37"/>
        <v>#N/A</v>
      </c>
      <c r="H387" s="264"/>
      <c r="I387" s="264"/>
      <c r="J387" s="264"/>
      <c r="K387" s="264" t="s">
        <v>2456</v>
      </c>
      <c r="L387" s="178" t="e">
        <f t="shared" si="33"/>
        <v>#N/A</v>
      </c>
      <c r="M387" s="178" t="e">
        <f t="shared" si="34"/>
        <v>#N/A</v>
      </c>
      <c r="N387" s="178" t="e">
        <f t="shared" si="35"/>
        <v>#N/A</v>
      </c>
    </row>
    <row r="388" spans="1:14" hidden="1">
      <c r="A388" s="359" t="s">
        <v>5608</v>
      </c>
      <c r="B388" s="178" t="s">
        <v>5613</v>
      </c>
      <c r="C388" s="178" t="s">
        <v>5529</v>
      </c>
      <c r="D388" s="359" t="s">
        <v>5608</v>
      </c>
      <c r="E388" s="178" t="e">
        <f t="shared" ref="E388:E451" si="38">VLOOKUP(C388,$J$5:$K$601,2,FALSE)</f>
        <v>#N/A</v>
      </c>
      <c r="F388" s="178" t="e">
        <f t="shared" si="36"/>
        <v>#N/A</v>
      </c>
      <c r="G388" s="178" t="e">
        <f t="shared" si="37"/>
        <v>#N/A</v>
      </c>
      <c r="H388" s="264"/>
      <c r="I388" s="264"/>
      <c r="J388" s="264"/>
      <c r="K388" s="264" t="s">
        <v>2457</v>
      </c>
      <c r="L388" s="178" t="e">
        <f t="shared" ref="L388:L451" si="39">VLOOKUP(TRIM(J388),$C$3:$D$463,2,FALSE)</f>
        <v>#N/A</v>
      </c>
      <c r="M388" s="178" t="e">
        <f t="shared" ref="M388:M451" si="40">VLOOKUP(L388,$A$3:$B$463,2,FALSE)</f>
        <v>#N/A</v>
      </c>
      <c r="N388" s="178" t="e">
        <f t="shared" ref="N388:N451" si="41">IF(M388=I388,1,0)</f>
        <v>#N/A</v>
      </c>
    </row>
    <row r="389" spans="1:14" hidden="1">
      <c r="A389" s="359" t="s">
        <v>5609</v>
      </c>
      <c r="B389" s="178" t="s">
        <v>5613</v>
      </c>
      <c r="C389" s="178" t="s">
        <v>5530</v>
      </c>
      <c r="D389" s="359" t="s">
        <v>5609</v>
      </c>
      <c r="E389" s="178" t="e">
        <f t="shared" si="38"/>
        <v>#N/A</v>
      </c>
      <c r="F389" s="178" t="e">
        <f t="shared" si="36"/>
        <v>#N/A</v>
      </c>
      <c r="G389" s="178" t="e">
        <f t="shared" si="37"/>
        <v>#N/A</v>
      </c>
      <c r="H389" s="264"/>
      <c r="I389" s="264"/>
      <c r="J389" s="264"/>
      <c r="K389" s="264" t="s">
        <v>2458</v>
      </c>
      <c r="L389" s="178" t="e">
        <f t="shared" si="39"/>
        <v>#N/A</v>
      </c>
      <c r="M389" s="178" t="e">
        <f t="shared" si="40"/>
        <v>#N/A</v>
      </c>
      <c r="N389" s="178" t="e">
        <f t="shared" si="41"/>
        <v>#N/A</v>
      </c>
    </row>
    <row r="390" spans="1:14" hidden="1">
      <c r="A390" s="359" t="s">
        <v>5610</v>
      </c>
      <c r="B390" s="178" t="s">
        <v>5613</v>
      </c>
      <c r="C390" s="178" t="s">
        <v>5531</v>
      </c>
      <c r="D390" s="359" t="s">
        <v>5610</v>
      </c>
      <c r="E390" s="178" t="e">
        <f t="shared" si="38"/>
        <v>#N/A</v>
      </c>
      <c r="F390" s="178" t="e">
        <f t="shared" si="36"/>
        <v>#N/A</v>
      </c>
      <c r="G390" s="178" t="e">
        <f t="shared" si="37"/>
        <v>#N/A</v>
      </c>
      <c r="H390" s="264"/>
      <c r="I390" s="264"/>
      <c r="J390" s="264"/>
      <c r="K390" s="264" t="s">
        <v>2459</v>
      </c>
      <c r="L390" s="178" t="e">
        <f t="shared" si="39"/>
        <v>#N/A</v>
      </c>
      <c r="M390" s="178" t="e">
        <f t="shared" si="40"/>
        <v>#N/A</v>
      </c>
      <c r="N390" s="178" t="e">
        <f t="shared" si="41"/>
        <v>#N/A</v>
      </c>
    </row>
    <row r="391" spans="1:14" hidden="1">
      <c r="A391" s="359" t="s">
        <v>5611</v>
      </c>
      <c r="B391" s="178" t="s">
        <v>5613</v>
      </c>
      <c r="C391" s="178" t="s">
        <v>3833</v>
      </c>
      <c r="D391" s="359" t="s">
        <v>5611</v>
      </c>
      <c r="E391" s="178" t="e">
        <f t="shared" si="38"/>
        <v>#N/A</v>
      </c>
      <c r="F391" s="178" t="e">
        <f t="shared" ref="F391:F454" si="42">VLOOKUP(E391,$H$5:$I$601,2,FALSE)</f>
        <v>#N/A</v>
      </c>
      <c r="G391" s="178" t="e">
        <f t="shared" ref="G391:G454" si="43">IF(B391=F391,1,0)</f>
        <v>#N/A</v>
      </c>
      <c r="H391" s="264"/>
      <c r="I391" s="264"/>
      <c r="J391" s="264"/>
      <c r="K391" s="264" t="s">
        <v>2460</v>
      </c>
      <c r="L391" s="178" t="e">
        <f t="shared" si="39"/>
        <v>#N/A</v>
      </c>
      <c r="M391" s="178" t="e">
        <f t="shared" si="40"/>
        <v>#N/A</v>
      </c>
      <c r="N391" s="178" t="e">
        <f t="shared" si="41"/>
        <v>#N/A</v>
      </c>
    </row>
    <row r="392" spans="1:14" hidden="1">
      <c r="A392" s="359" t="s">
        <v>5612</v>
      </c>
      <c r="B392" s="178" t="s">
        <v>5613</v>
      </c>
      <c r="C392" s="178" t="s">
        <v>5532</v>
      </c>
      <c r="D392" s="359" t="s">
        <v>5612</v>
      </c>
      <c r="E392" s="178" t="e">
        <f t="shared" si="38"/>
        <v>#N/A</v>
      </c>
      <c r="F392" s="178" t="e">
        <f t="shared" si="42"/>
        <v>#N/A</v>
      </c>
      <c r="G392" s="178" t="e">
        <f t="shared" si="43"/>
        <v>#N/A</v>
      </c>
      <c r="H392" s="264"/>
      <c r="I392" s="264"/>
      <c r="J392" s="264"/>
      <c r="K392" s="264" t="s">
        <v>2461</v>
      </c>
      <c r="L392" s="178" t="e">
        <f t="shared" si="39"/>
        <v>#N/A</v>
      </c>
      <c r="M392" s="178" t="e">
        <f t="shared" si="40"/>
        <v>#N/A</v>
      </c>
      <c r="N392" s="178" t="e">
        <f t="shared" si="41"/>
        <v>#N/A</v>
      </c>
    </row>
    <row r="393" spans="1:14" hidden="1">
      <c r="A393" s="359" t="s">
        <v>3794</v>
      </c>
      <c r="B393" s="178" t="s">
        <v>5453</v>
      </c>
      <c r="C393" s="178" t="s">
        <v>5533</v>
      </c>
      <c r="D393" s="359" t="s">
        <v>3794</v>
      </c>
      <c r="E393" s="178" t="str">
        <f t="shared" si="38"/>
        <v>B4001</v>
      </c>
      <c r="F393" s="178" t="str">
        <f t="shared" si="42"/>
        <v>GEA_KCB신용요약정보조회Dto</v>
      </c>
      <c r="G393" s="178">
        <f t="shared" si="43"/>
        <v>1</v>
      </c>
      <c r="H393" s="264"/>
      <c r="I393" s="264"/>
      <c r="J393" s="264"/>
      <c r="K393" s="264" t="s">
        <v>2462</v>
      </c>
      <c r="L393" s="178" t="e">
        <f t="shared" si="39"/>
        <v>#N/A</v>
      </c>
      <c r="M393" s="178" t="e">
        <f t="shared" si="40"/>
        <v>#N/A</v>
      </c>
      <c r="N393" s="178" t="e">
        <f t="shared" si="41"/>
        <v>#N/A</v>
      </c>
    </row>
    <row r="394" spans="1:14" hidden="1">
      <c r="A394" s="359" t="s">
        <v>3795</v>
      </c>
      <c r="B394" s="178" t="s">
        <v>5453</v>
      </c>
      <c r="C394" s="178" t="s">
        <v>5534</v>
      </c>
      <c r="D394" s="359" t="s">
        <v>3795</v>
      </c>
      <c r="E394" s="178" t="str">
        <f t="shared" si="38"/>
        <v>B4002</v>
      </c>
      <c r="F394" s="178" t="str">
        <f t="shared" si="42"/>
        <v>GEA_KCB신용요약정보조회Dto</v>
      </c>
      <c r="G394" s="178">
        <f t="shared" si="43"/>
        <v>1</v>
      </c>
      <c r="H394" s="264"/>
      <c r="I394" s="264"/>
      <c r="J394" s="264"/>
      <c r="K394" s="264" t="s">
        <v>2463</v>
      </c>
      <c r="L394" s="178" t="e">
        <f t="shared" si="39"/>
        <v>#N/A</v>
      </c>
      <c r="M394" s="178" t="e">
        <f t="shared" si="40"/>
        <v>#N/A</v>
      </c>
      <c r="N394" s="178" t="e">
        <f t="shared" si="41"/>
        <v>#N/A</v>
      </c>
    </row>
    <row r="395" spans="1:14" hidden="1">
      <c r="A395" s="359" t="s">
        <v>3796</v>
      </c>
      <c r="B395" s="178" t="s">
        <v>5453</v>
      </c>
      <c r="C395" s="178" t="s">
        <v>5535</v>
      </c>
      <c r="D395" s="359" t="s">
        <v>3796</v>
      </c>
      <c r="E395" s="178" t="str">
        <f t="shared" si="38"/>
        <v>B4003</v>
      </c>
      <c r="F395" s="178" t="str">
        <f t="shared" si="42"/>
        <v>GEA_KCB신용요약정보조회Dto</v>
      </c>
      <c r="G395" s="178">
        <f t="shared" si="43"/>
        <v>1</v>
      </c>
      <c r="H395" s="264"/>
      <c r="I395" s="264"/>
      <c r="J395" s="264"/>
      <c r="K395" s="264" t="s">
        <v>2464</v>
      </c>
      <c r="L395" s="178" t="e">
        <f t="shared" si="39"/>
        <v>#N/A</v>
      </c>
      <c r="M395" s="178" t="e">
        <f t="shared" si="40"/>
        <v>#N/A</v>
      </c>
      <c r="N395" s="178" t="e">
        <f t="shared" si="41"/>
        <v>#N/A</v>
      </c>
    </row>
    <row r="396" spans="1:14" hidden="1">
      <c r="A396" s="359" t="s">
        <v>3797</v>
      </c>
      <c r="B396" s="178" t="s">
        <v>5453</v>
      </c>
      <c r="C396" s="178" t="s">
        <v>5536</v>
      </c>
      <c r="D396" s="359" t="s">
        <v>3797</v>
      </c>
      <c r="E396" s="178" t="str">
        <f t="shared" si="38"/>
        <v>B4004</v>
      </c>
      <c r="F396" s="178" t="str">
        <f t="shared" si="42"/>
        <v>GEA_KCB신용요약정보조회Dto</v>
      </c>
      <c r="G396" s="178">
        <f t="shared" si="43"/>
        <v>1</v>
      </c>
      <c r="H396" s="264"/>
      <c r="I396" s="264"/>
      <c r="J396" s="264"/>
      <c r="K396" s="264" t="s">
        <v>2465</v>
      </c>
      <c r="L396" s="178" t="e">
        <f t="shared" si="39"/>
        <v>#N/A</v>
      </c>
      <c r="M396" s="178" t="e">
        <f t="shared" si="40"/>
        <v>#N/A</v>
      </c>
      <c r="N396" s="178" t="e">
        <f t="shared" si="41"/>
        <v>#N/A</v>
      </c>
    </row>
    <row r="397" spans="1:14" hidden="1">
      <c r="A397" s="359" t="s">
        <v>3798</v>
      </c>
      <c r="B397" s="178" t="s">
        <v>5453</v>
      </c>
      <c r="C397" s="178" t="s">
        <v>5537</v>
      </c>
      <c r="D397" s="359" t="s">
        <v>3798</v>
      </c>
      <c r="E397" s="178" t="str">
        <f t="shared" si="38"/>
        <v>B4005</v>
      </c>
      <c r="F397" s="178" t="str">
        <f t="shared" si="42"/>
        <v>GEA_KCB신용요약정보조회Dto</v>
      </c>
      <c r="G397" s="178">
        <f t="shared" si="43"/>
        <v>1</v>
      </c>
      <c r="H397" s="264"/>
      <c r="I397" s="264"/>
      <c r="J397" s="264"/>
      <c r="K397" s="264" t="s">
        <v>2466</v>
      </c>
      <c r="L397" s="178" t="e">
        <f t="shared" si="39"/>
        <v>#N/A</v>
      </c>
      <c r="M397" s="178" t="e">
        <f t="shared" si="40"/>
        <v>#N/A</v>
      </c>
      <c r="N397" s="178" t="e">
        <f t="shared" si="41"/>
        <v>#N/A</v>
      </c>
    </row>
    <row r="398" spans="1:14" hidden="1">
      <c r="A398" s="359" t="s">
        <v>3799</v>
      </c>
      <c r="B398" s="178" t="s">
        <v>5453</v>
      </c>
      <c r="C398" s="178" t="s">
        <v>2894</v>
      </c>
      <c r="D398" s="359" t="s">
        <v>3799</v>
      </c>
      <c r="E398" s="178" t="str">
        <f t="shared" si="38"/>
        <v>B4006</v>
      </c>
      <c r="F398" s="178" t="str">
        <f t="shared" si="42"/>
        <v>GEA_KCB신용요약정보조회Dto</v>
      </c>
      <c r="G398" s="178">
        <f t="shared" si="43"/>
        <v>1</v>
      </c>
      <c r="H398" s="264"/>
      <c r="I398" s="264"/>
      <c r="J398" s="264"/>
      <c r="K398" s="264" t="s">
        <v>2467</v>
      </c>
      <c r="L398" s="178" t="e">
        <f t="shared" si="39"/>
        <v>#N/A</v>
      </c>
      <c r="M398" s="178" t="e">
        <f t="shared" si="40"/>
        <v>#N/A</v>
      </c>
      <c r="N398" s="178" t="e">
        <f t="shared" si="41"/>
        <v>#N/A</v>
      </c>
    </row>
    <row r="399" spans="1:14" hidden="1">
      <c r="A399" s="359" t="s">
        <v>4339</v>
      </c>
      <c r="B399" s="178" t="s">
        <v>5453</v>
      </c>
      <c r="C399" s="178" t="s">
        <v>5538</v>
      </c>
      <c r="D399" s="359" t="s">
        <v>4339</v>
      </c>
      <c r="E399" s="178" t="str">
        <f t="shared" si="38"/>
        <v>B4007</v>
      </c>
      <c r="F399" s="178" t="str">
        <f t="shared" si="42"/>
        <v>GEA_KCB신용요약정보조회Dto</v>
      </c>
      <c r="G399" s="178">
        <f t="shared" si="43"/>
        <v>1</v>
      </c>
      <c r="H399" s="264"/>
      <c r="I399" s="264"/>
      <c r="J399" s="264"/>
      <c r="K399" s="264" t="s">
        <v>2468</v>
      </c>
      <c r="L399" s="178" t="e">
        <f t="shared" si="39"/>
        <v>#N/A</v>
      </c>
      <c r="M399" s="178" t="e">
        <f t="shared" si="40"/>
        <v>#N/A</v>
      </c>
      <c r="N399" s="178" t="e">
        <f t="shared" si="41"/>
        <v>#N/A</v>
      </c>
    </row>
    <row r="400" spans="1:14" hidden="1">
      <c r="A400" s="359" t="s">
        <v>3800</v>
      </c>
      <c r="B400" s="178" t="s">
        <v>5453</v>
      </c>
      <c r="C400" s="178" t="s">
        <v>5539</v>
      </c>
      <c r="D400" s="359" t="s">
        <v>3800</v>
      </c>
      <c r="E400" s="178" t="str">
        <f t="shared" si="38"/>
        <v>B4008</v>
      </c>
      <c r="F400" s="178" t="str">
        <f t="shared" si="42"/>
        <v>GEA_KCB신용요약정보조회Dto</v>
      </c>
      <c r="G400" s="178">
        <f t="shared" si="43"/>
        <v>1</v>
      </c>
      <c r="H400" s="264"/>
      <c r="I400" s="264"/>
      <c r="J400" s="264"/>
      <c r="K400" s="264" t="s">
        <v>2469</v>
      </c>
      <c r="L400" s="178" t="e">
        <f t="shared" si="39"/>
        <v>#N/A</v>
      </c>
      <c r="M400" s="178" t="e">
        <f t="shared" si="40"/>
        <v>#N/A</v>
      </c>
      <c r="N400" s="178" t="e">
        <f t="shared" si="41"/>
        <v>#N/A</v>
      </c>
    </row>
    <row r="401" spans="1:14" hidden="1">
      <c r="A401" s="359" t="s">
        <v>3801</v>
      </c>
      <c r="B401" s="178" t="s">
        <v>5453</v>
      </c>
      <c r="C401" s="178" t="s">
        <v>5540</v>
      </c>
      <c r="D401" s="359" t="s">
        <v>3801</v>
      </c>
      <c r="E401" s="178" t="str">
        <f t="shared" si="38"/>
        <v>B4009</v>
      </c>
      <c r="F401" s="178" t="str">
        <f t="shared" si="42"/>
        <v>GEA_KCB신용요약정보조회Dto</v>
      </c>
      <c r="G401" s="178">
        <f t="shared" si="43"/>
        <v>1</v>
      </c>
      <c r="H401" s="264"/>
      <c r="I401" s="264"/>
      <c r="J401" s="264"/>
      <c r="K401" s="264" t="s">
        <v>2470</v>
      </c>
      <c r="L401" s="178" t="e">
        <f t="shared" si="39"/>
        <v>#N/A</v>
      </c>
      <c r="M401" s="178" t="e">
        <f t="shared" si="40"/>
        <v>#N/A</v>
      </c>
      <c r="N401" s="178" t="e">
        <f t="shared" si="41"/>
        <v>#N/A</v>
      </c>
    </row>
    <row r="402" spans="1:14" hidden="1">
      <c r="A402" s="359" t="s">
        <v>3802</v>
      </c>
      <c r="B402" s="178" t="s">
        <v>5453</v>
      </c>
      <c r="C402" s="178" t="s">
        <v>3865</v>
      </c>
      <c r="D402" s="359" t="s">
        <v>3802</v>
      </c>
      <c r="E402" s="178" t="str">
        <f t="shared" si="38"/>
        <v>B4010</v>
      </c>
      <c r="F402" s="178" t="str">
        <f t="shared" si="42"/>
        <v>GEA_KCB신용요약정보조회Dto</v>
      </c>
      <c r="G402" s="178">
        <f t="shared" si="43"/>
        <v>1</v>
      </c>
      <c r="H402" s="264"/>
      <c r="I402" s="264"/>
      <c r="J402" s="264"/>
      <c r="K402" s="264" t="s">
        <v>2471</v>
      </c>
      <c r="L402" s="178" t="e">
        <f t="shared" si="39"/>
        <v>#N/A</v>
      </c>
      <c r="M402" s="178" t="e">
        <f t="shared" si="40"/>
        <v>#N/A</v>
      </c>
      <c r="N402" s="178" t="e">
        <f t="shared" si="41"/>
        <v>#N/A</v>
      </c>
    </row>
    <row r="403" spans="1:14" hidden="1">
      <c r="A403" s="359" t="s">
        <v>3803</v>
      </c>
      <c r="B403" s="178" t="s">
        <v>5453</v>
      </c>
      <c r="C403" s="178" t="s">
        <v>5541</v>
      </c>
      <c r="D403" s="359" t="s">
        <v>3803</v>
      </c>
      <c r="E403" s="178" t="str">
        <f t="shared" si="38"/>
        <v>B4011</v>
      </c>
      <c r="F403" s="178" t="str">
        <f t="shared" si="42"/>
        <v>GEA_KCB신용요약정보조회Dto</v>
      </c>
      <c r="G403" s="178">
        <f t="shared" si="43"/>
        <v>1</v>
      </c>
      <c r="H403" s="264"/>
      <c r="I403" s="264"/>
      <c r="J403" s="264"/>
      <c r="K403" s="264" t="s">
        <v>2472</v>
      </c>
      <c r="L403" s="178" t="e">
        <f t="shared" si="39"/>
        <v>#N/A</v>
      </c>
      <c r="M403" s="178" t="e">
        <f t="shared" si="40"/>
        <v>#N/A</v>
      </c>
      <c r="N403" s="178" t="e">
        <f t="shared" si="41"/>
        <v>#N/A</v>
      </c>
    </row>
    <row r="404" spans="1:14" hidden="1">
      <c r="A404" s="359" t="s">
        <v>3804</v>
      </c>
      <c r="B404" s="178" t="s">
        <v>5453</v>
      </c>
      <c r="C404" s="178" t="s">
        <v>5543</v>
      </c>
      <c r="D404" s="359" t="s">
        <v>3804</v>
      </c>
      <c r="E404" s="178" t="str">
        <f t="shared" si="38"/>
        <v>B4012</v>
      </c>
      <c r="F404" s="178" t="str">
        <f t="shared" si="42"/>
        <v>GEA_KCB신용요약정보조회Dto</v>
      </c>
      <c r="G404" s="178">
        <f t="shared" si="43"/>
        <v>1</v>
      </c>
      <c r="H404" s="264"/>
      <c r="I404" s="264"/>
      <c r="J404" s="264"/>
      <c r="K404" s="264" t="s">
        <v>2473</v>
      </c>
      <c r="L404" s="178" t="e">
        <f t="shared" si="39"/>
        <v>#N/A</v>
      </c>
      <c r="M404" s="178" t="e">
        <f t="shared" si="40"/>
        <v>#N/A</v>
      </c>
      <c r="N404" s="178" t="e">
        <f t="shared" si="41"/>
        <v>#N/A</v>
      </c>
    </row>
    <row r="405" spans="1:14" hidden="1">
      <c r="A405" s="359" t="s">
        <v>3805</v>
      </c>
      <c r="B405" s="178" t="s">
        <v>5453</v>
      </c>
      <c r="C405" s="178" t="s">
        <v>5544</v>
      </c>
      <c r="D405" s="359" t="s">
        <v>3805</v>
      </c>
      <c r="E405" s="178" t="str">
        <f t="shared" si="38"/>
        <v>B4013</v>
      </c>
      <c r="F405" s="178" t="str">
        <f t="shared" si="42"/>
        <v>GEA_KCB신용요약정보조회Dto</v>
      </c>
      <c r="G405" s="178">
        <f t="shared" si="43"/>
        <v>1</v>
      </c>
      <c r="H405" s="264"/>
      <c r="I405" s="264"/>
      <c r="J405" s="264"/>
      <c r="K405" s="264" t="s">
        <v>2474</v>
      </c>
      <c r="L405" s="178" t="e">
        <f t="shared" si="39"/>
        <v>#N/A</v>
      </c>
      <c r="M405" s="178" t="e">
        <f t="shared" si="40"/>
        <v>#N/A</v>
      </c>
      <c r="N405" s="178" t="e">
        <f t="shared" si="41"/>
        <v>#N/A</v>
      </c>
    </row>
    <row r="406" spans="1:14" hidden="1">
      <c r="A406" s="359" t="s">
        <v>3806</v>
      </c>
      <c r="B406" s="178" t="s">
        <v>5453</v>
      </c>
      <c r="C406" s="178" t="s">
        <v>5234</v>
      </c>
      <c r="D406" s="359" t="s">
        <v>3806</v>
      </c>
      <c r="E406" s="178" t="str">
        <f t="shared" si="38"/>
        <v>B4014</v>
      </c>
      <c r="F406" s="178" t="str">
        <f t="shared" si="42"/>
        <v>GEA_KCB신용요약정보조회Dto</v>
      </c>
      <c r="G406" s="178">
        <f t="shared" si="43"/>
        <v>1</v>
      </c>
      <c r="H406" s="264"/>
      <c r="I406" s="264"/>
      <c r="J406" s="264"/>
      <c r="K406" s="264" t="s">
        <v>2475</v>
      </c>
      <c r="L406" s="178" t="e">
        <f t="shared" si="39"/>
        <v>#N/A</v>
      </c>
      <c r="M406" s="178" t="e">
        <f t="shared" si="40"/>
        <v>#N/A</v>
      </c>
      <c r="N406" s="178" t="e">
        <f t="shared" si="41"/>
        <v>#N/A</v>
      </c>
    </row>
    <row r="407" spans="1:14" hidden="1">
      <c r="A407" s="359" t="s">
        <v>3807</v>
      </c>
      <c r="B407" s="178" t="s">
        <v>5453</v>
      </c>
      <c r="C407" s="178" t="s">
        <v>5235</v>
      </c>
      <c r="D407" s="359" t="s">
        <v>3807</v>
      </c>
      <c r="E407" s="178" t="str">
        <f t="shared" si="38"/>
        <v>B4015</v>
      </c>
      <c r="F407" s="178" t="str">
        <f t="shared" si="42"/>
        <v>GEA_KCB신용요약정보조회Dto</v>
      </c>
      <c r="G407" s="178">
        <f t="shared" si="43"/>
        <v>1</v>
      </c>
      <c r="H407" s="264"/>
      <c r="I407" s="264"/>
      <c r="J407" s="264"/>
      <c r="K407" s="264" t="s">
        <v>2476</v>
      </c>
      <c r="L407" s="178" t="e">
        <f t="shared" si="39"/>
        <v>#N/A</v>
      </c>
      <c r="M407" s="178" t="e">
        <f t="shared" si="40"/>
        <v>#N/A</v>
      </c>
      <c r="N407" s="178" t="e">
        <f t="shared" si="41"/>
        <v>#N/A</v>
      </c>
    </row>
    <row r="408" spans="1:14" hidden="1">
      <c r="A408" s="359" t="s">
        <v>3808</v>
      </c>
      <c r="B408" s="178" t="s">
        <v>5453</v>
      </c>
      <c r="C408" s="178" t="s">
        <v>5236</v>
      </c>
      <c r="D408" s="359" t="s">
        <v>3808</v>
      </c>
      <c r="E408" s="178" t="str">
        <f t="shared" si="38"/>
        <v>B4016</v>
      </c>
      <c r="F408" s="178" t="str">
        <f t="shared" si="42"/>
        <v>GEA_KCB신용요약정보조회Dto</v>
      </c>
      <c r="G408" s="178">
        <f t="shared" si="43"/>
        <v>1</v>
      </c>
      <c r="H408" s="264"/>
      <c r="I408" s="264"/>
      <c r="J408" s="264"/>
      <c r="K408" s="264" t="s">
        <v>2477</v>
      </c>
      <c r="L408" s="178" t="e">
        <f t="shared" si="39"/>
        <v>#N/A</v>
      </c>
      <c r="M408" s="178" t="e">
        <f t="shared" si="40"/>
        <v>#N/A</v>
      </c>
      <c r="N408" s="178" t="e">
        <f t="shared" si="41"/>
        <v>#N/A</v>
      </c>
    </row>
    <row r="409" spans="1:14" hidden="1">
      <c r="A409" s="359" t="s">
        <v>3809</v>
      </c>
      <c r="B409" s="178" t="s">
        <v>5453</v>
      </c>
      <c r="C409" s="178" t="s">
        <v>5545</v>
      </c>
      <c r="D409" s="359" t="s">
        <v>3809</v>
      </c>
      <c r="E409" s="178" t="str">
        <f t="shared" si="38"/>
        <v>B4017</v>
      </c>
      <c r="F409" s="178" t="str">
        <f t="shared" si="42"/>
        <v>GEA_KCB신용요약정보조회Dto</v>
      </c>
      <c r="G409" s="178">
        <f t="shared" si="43"/>
        <v>1</v>
      </c>
      <c r="H409" s="264"/>
      <c r="I409" s="264"/>
      <c r="J409" s="264"/>
      <c r="K409" s="264" t="s">
        <v>2478</v>
      </c>
      <c r="L409" s="178" t="e">
        <f t="shared" si="39"/>
        <v>#N/A</v>
      </c>
      <c r="M409" s="178" t="e">
        <f t="shared" si="40"/>
        <v>#N/A</v>
      </c>
      <c r="N409" s="178" t="e">
        <f t="shared" si="41"/>
        <v>#N/A</v>
      </c>
    </row>
    <row r="410" spans="1:14" hidden="1">
      <c r="A410" s="359" t="s">
        <v>3810</v>
      </c>
      <c r="B410" s="178" t="s">
        <v>5453</v>
      </c>
      <c r="C410" s="178" t="s">
        <v>5546</v>
      </c>
      <c r="D410" s="359" t="s">
        <v>3810</v>
      </c>
      <c r="E410" s="178" t="str">
        <f t="shared" si="38"/>
        <v>B4018</v>
      </c>
      <c r="F410" s="178" t="str">
        <f t="shared" si="42"/>
        <v>GEA_KCB신용요약정보조회Dto</v>
      </c>
      <c r="G410" s="178">
        <f t="shared" si="43"/>
        <v>1</v>
      </c>
      <c r="H410" s="264"/>
      <c r="I410" s="264"/>
      <c r="J410" s="264"/>
      <c r="K410" s="264" t="s">
        <v>2479</v>
      </c>
      <c r="L410" s="178" t="e">
        <f t="shared" si="39"/>
        <v>#N/A</v>
      </c>
      <c r="M410" s="178" t="e">
        <f t="shared" si="40"/>
        <v>#N/A</v>
      </c>
      <c r="N410" s="178" t="e">
        <f t="shared" si="41"/>
        <v>#N/A</v>
      </c>
    </row>
    <row r="411" spans="1:14" hidden="1">
      <c r="A411" s="359" t="s">
        <v>3811</v>
      </c>
      <c r="B411" s="178" t="s">
        <v>5453</v>
      </c>
      <c r="C411" s="178" t="s">
        <v>5547</v>
      </c>
      <c r="D411" s="359" t="s">
        <v>3811</v>
      </c>
      <c r="E411" s="178" t="str">
        <f t="shared" si="38"/>
        <v>B4019</v>
      </c>
      <c r="F411" s="178" t="str">
        <f t="shared" si="42"/>
        <v>GEA_KCB신용요약정보조회Dto</v>
      </c>
      <c r="G411" s="178">
        <f t="shared" si="43"/>
        <v>1</v>
      </c>
      <c r="H411" s="264"/>
      <c r="I411" s="264"/>
      <c r="J411" s="264"/>
      <c r="K411" s="264" t="s">
        <v>2480</v>
      </c>
      <c r="L411" s="178" t="e">
        <f t="shared" si="39"/>
        <v>#N/A</v>
      </c>
      <c r="M411" s="178" t="e">
        <f t="shared" si="40"/>
        <v>#N/A</v>
      </c>
      <c r="N411" s="178" t="e">
        <f t="shared" si="41"/>
        <v>#N/A</v>
      </c>
    </row>
    <row r="412" spans="1:14" hidden="1">
      <c r="A412" s="359" t="s">
        <v>3812</v>
      </c>
      <c r="B412" s="178" t="s">
        <v>5453</v>
      </c>
      <c r="C412" s="178" t="s">
        <v>5548</v>
      </c>
      <c r="D412" s="359" t="s">
        <v>3812</v>
      </c>
      <c r="E412" s="178" t="str">
        <f t="shared" si="38"/>
        <v>B4020</v>
      </c>
      <c r="F412" s="178" t="str">
        <f t="shared" si="42"/>
        <v>GEA_KCB신용요약정보조회Dto</v>
      </c>
      <c r="G412" s="178">
        <f t="shared" si="43"/>
        <v>1</v>
      </c>
      <c r="H412" s="264"/>
      <c r="I412" s="264"/>
      <c r="J412" s="264"/>
      <c r="K412" s="264" t="s">
        <v>2481</v>
      </c>
      <c r="L412" s="178" t="e">
        <f t="shared" si="39"/>
        <v>#N/A</v>
      </c>
      <c r="M412" s="178" t="e">
        <f t="shared" si="40"/>
        <v>#N/A</v>
      </c>
      <c r="N412" s="178" t="e">
        <f t="shared" si="41"/>
        <v>#N/A</v>
      </c>
    </row>
    <row r="413" spans="1:14" hidden="1">
      <c r="A413" s="359" t="s">
        <v>3813</v>
      </c>
      <c r="B413" s="178" t="s">
        <v>5453</v>
      </c>
      <c r="C413" s="178" t="s">
        <v>5549</v>
      </c>
      <c r="D413" s="359" t="s">
        <v>3813</v>
      </c>
      <c r="E413" s="178" t="str">
        <f t="shared" si="38"/>
        <v>B4021</v>
      </c>
      <c r="F413" s="178" t="str">
        <f t="shared" si="42"/>
        <v>GEA_KCB신용요약정보조회Dto</v>
      </c>
      <c r="G413" s="178">
        <f t="shared" si="43"/>
        <v>1</v>
      </c>
      <c r="H413" s="264"/>
      <c r="I413" s="264"/>
      <c r="J413" s="264"/>
      <c r="K413" s="264" t="s">
        <v>2482</v>
      </c>
      <c r="L413" s="178" t="e">
        <f t="shared" si="39"/>
        <v>#N/A</v>
      </c>
      <c r="M413" s="178" t="e">
        <f t="shared" si="40"/>
        <v>#N/A</v>
      </c>
      <c r="N413" s="178" t="e">
        <f t="shared" si="41"/>
        <v>#N/A</v>
      </c>
    </row>
    <row r="414" spans="1:14" hidden="1">
      <c r="A414" s="359" t="s">
        <v>3814</v>
      </c>
      <c r="B414" s="178" t="s">
        <v>5453</v>
      </c>
      <c r="C414" s="178" t="s">
        <v>5550</v>
      </c>
      <c r="D414" s="359" t="s">
        <v>3814</v>
      </c>
      <c r="E414" s="178" t="str">
        <f t="shared" si="38"/>
        <v>B4022</v>
      </c>
      <c r="F414" s="178" t="str">
        <f t="shared" si="42"/>
        <v>GEA_KCB신용요약정보조회Dto</v>
      </c>
      <c r="G414" s="178">
        <f t="shared" si="43"/>
        <v>1</v>
      </c>
      <c r="H414" s="264"/>
      <c r="I414" s="264"/>
      <c r="J414" s="264"/>
      <c r="K414" s="264" t="s">
        <v>2483</v>
      </c>
      <c r="L414" s="178" t="e">
        <f t="shared" si="39"/>
        <v>#N/A</v>
      </c>
      <c r="M414" s="178" t="e">
        <f t="shared" si="40"/>
        <v>#N/A</v>
      </c>
      <c r="N414" s="178" t="e">
        <f t="shared" si="41"/>
        <v>#N/A</v>
      </c>
    </row>
    <row r="415" spans="1:14" hidden="1">
      <c r="A415" s="359" t="s">
        <v>3815</v>
      </c>
      <c r="B415" s="178" t="s">
        <v>5453</v>
      </c>
      <c r="C415" s="178" t="s">
        <v>5551</v>
      </c>
      <c r="D415" s="359" t="s">
        <v>3815</v>
      </c>
      <c r="E415" s="178" t="str">
        <f t="shared" si="38"/>
        <v>B4023</v>
      </c>
      <c r="F415" s="178" t="str">
        <f t="shared" si="42"/>
        <v>GEA_KCB신용요약정보조회Dto</v>
      </c>
      <c r="G415" s="178">
        <f t="shared" si="43"/>
        <v>1</v>
      </c>
      <c r="H415" s="264"/>
      <c r="I415" s="264"/>
      <c r="J415" s="264"/>
      <c r="K415" s="264" t="s">
        <v>2484</v>
      </c>
      <c r="L415" s="178" t="e">
        <f t="shared" si="39"/>
        <v>#N/A</v>
      </c>
      <c r="M415" s="178" t="e">
        <f t="shared" si="40"/>
        <v>#N/A</v>
      </c>
      <c r="N415" s="178" t="e">
        <f t="shared" si="41"/>
        <v>#N/A</v>
      </c>
    </row>
    <row r="416" spans="1:14" hidden="1">
      <c r="A416" s="359" t="s">
        <v>3816</v>
      </c>
      <c r="B416" s="178" t="s">
        <v>5453</v>
      </c>
      <c r="C416" s="178" t="s">
        <v>5552</v>
      </c>
      <c r="D416" s="359" t="s">
        <v>3816</v>
      </c>
      <c r="E416" s="178" t="str">
        <f t="shared" si="38"/>
        <v>B4024</v>
      </c>
      <c r="F416" s="178" t="str">
        <f t="shared" si="42"/>
        <v>GEA_KCB신용요약정보조회Dto</v>
      </c>
      <c r="G416" s="178">
        <f t="shared" si="43"/>
        <v>1</v>
      </c>
      <c r="H416" s="264"/>
      <c r="I416" s="264"/>
      <c r="J416" s="264"/>
      <c r="K416" s="264" t="s">
        <v>2485</v>
      </c>
      <c r="L416" s="178" t="e">
        <f t="shared" si="39"/>
        <v>#N/A</v>
      </c>
      <c r="M416" s="178" t="e">
        <f t="shared" si="40"/>
        <v>#N/A</v>
      </c>
      <c r="N416" s="178" t="e">
        <f t="shared" si="41"/>
        <v>#N/A</v>
      </c>
    </row>
    <row r="417" spans="1:14" hidden="1">
      <c r="A417" s="359" t="s">
        <v>3817</v>
      </c>
      <c r="B417" s="178" t="s">
        <v>5453</v>
      </c>
      <c r="C417" s="178" t="s">
        <v>5245</v>
      </c>
      <c r="D417" s="359" t="s">
        <v>3817</v>
      </c>
      <c r="E417" s="178" t="str">
        <f t="shared" si="38"/>
        <v>B4025</v>
      </c>
      <c r="F417" s="178" t="str">
        <f t="shared" si="42"/>
        <v>GEA_KCB신용요약정보조회Dto</v>
      </c>
      <c r="G417" s="178">
        <f t="shared" si="43"/>
        <v>1</v>
      </c>
      <c r="H417" s="264"/>
      <c r="I417" s="264"/>
      <c r="J417" s="264"/>
      <c r="K417" s="264" t="s">
        <v>2486</v>
      </c>
      <c r="L417" s="178" t="e">
        <f t="shared" si="39"/>
        <v>#N/A</v>
      </c>
      <c r="M417" s="178" t="e">
        <f t="shared" si="40"/>
        <v>#N/A</v>
      </c>
      <c r="N417" s="178" t="e">
        <f t="shared" si="41"/>
        <v>#N/A</v>
      </c>
    </row>
    <row r="418" spans="1:14" hidden="1">
      <c r="A418" s="359" t="s">
        <v>3818</v>
      </c>
      <c r="B418" s="178" t="s">
        <v>5453</v>
      </c>
      <c r="C418" s="178" t="s">
        <v>5246</v>
      </c>
      <c r="D418" s="359" t="s">
        <v>3818</v>
      </c>
      <c r="E418" s="178" t="str">
        <f t="shared" si="38"/>
        <v>B4026</v>
      </c>
      <c r="F418" s="178" t="str">
        <f t="shared" si="42"/>
        <v>GEA_KCB신용요약정보조회Dto</v>
      </c>
      <c r="G418" s="178">
        <f t="shared" si="43"/>
        <v>1</v>
      </c>
      <c r="H418" s="264"/>
      <c r="I418" s="264"/>
      <c r="J418" s="264"/>
      <c r="K418" s="264" t="s">
        <v>2487</v>
      </c>
      <c r="L418" s="178" t="e">
        <f t="shared" si="39"/>
        <v>#N/A</v>
      </c>
      <c r="M418" s="178" t="e">
        <f t="shared" si="40"/>
        <v>#N/A</v>
      </c>
      <c r="N418" s="178" t="e">
        <f t="shared" si="41"/>
        <v>#N/A</v>
      </c>
    </row>
    <row r="419" spans="1:14" hidden="1">
      <c r="A419" s="359" t="s">
        <v>3819</v>
      </c>
      <c r="B419" s="178" t="s">
        <v>5453</v>
      </c>
      <c r="C419" s="178" t="s">
        <v>5553</v>
      </c>
      <c r="D419" s="359" t="s">
        <v>3819</v>
      </c>
      <c r="E419" s="178" t="str">
        <f t="shared" si="38"/>
        <v>B4027</v>
      </c>
      <c r="F419" s="178" t="str">
        <f t="shared" si="42"/>
        <v>GEA_KCB신용요약정보조회Dto</v>
      </c>
      <c r="G419" s="178">
        <f t="shared" si="43"/>
        <v>1</v>
      </c>
      <c r="H419" s="264"/>
      <c r="I419" s="264"/>
      <c r="J419" s="264"/>
      <c r="K419" s="264" t="s">
        <v>2488</v>
      </c>
      <c r="L419" s="178" t="e">
        <f t="shared" si="39"/>
        <v>#N/A</v>
      </c>
      <c r="M419" s="178" t="e">
        <f t="shared" si="40"/>
        <v>#N/A</v>
      </c>
      <c r="N419" s="178" t="e">
        <f t="shared" si="41"/>
        <v>#N/A</v>
      </c>
    </row>
    <row r="420" spans="1:14" hidden="1">
      <c r="A420" s="359" t="s">
        <v>3820</v>
      </c>
      <c r="B420" s="178" t="s">
        <v>5453</v>
      </c>
      <c r="C420" s="178" t="s">
        <v>5248</v>
      </c>
      <c r="D420" s="359" t="s">
        <v>3820</v>
      </c>
      <c r="E420" s="178" t="str">
        <f t="shared" si="38"/>
        <v>B4028</v>
      </c>
      <c r="F420" s="178" t="str">
        <f t="shared" si="42"/>
        <v>GEA_KCB신용요약정보조회Dto</v>
      </c>
      <c r="G420" s="178">
        <f t="shared" si="43"/>
        <v>1</v>
      </c>
      <c r="H420" s="264"/>
      <c r="I420" s="264"/>
      <c r="J420" s="264"/>
      <c r="K420" s="264" t="s">
        <v>2489</v>
      </c>
      <c r="L420" s="178" t="e">
        <f t="shared" si="39"/>
        <v>#N/A</v>
      </c>
      <c r="M420" s="178" t="e">
        <f t="shared" si="40"/>
        <v>#N/A</v>
      </c>
      <c r="N420" s="178" t="e">
        <f t="shared" si="41"/>
        <v>#N/A</v>
      </c>
    </row>
    <row r="421" spans="1:14" hidden="1">
      <c r="A421" s="359" t="s">
        <v>4340</v>
      </c>
      <c r="B421" s="178" t="s">
        <v>5453</v>
      </c>
      <c r="C421" s="178" t="s">
        <v>5554</v>
      </c>
      <c r="D421" s="359" t="s">
        <v>4340</v>
      </c>
      <c r="E421" s="178" t="str">
        <f t="shared" si="38"/>
        <v>B4029</v>
      </c>
      <c r="F421" s="178" t="str">
        <f t="shared" si="42"/>
        <v>GEA_KCB신용요약정보조회Dto</v>
      </c>
      <c r="G421" s="178">
        <f t="shared" si="43"/>
        <v>1</v>
      </c>
      <c r="H421" s="264"/>
      <c r="I421" s="264"/>
      <c r="J421" s="264"/>
      <c r="K421" s="264" t="s">
        <v>2490</v>
      </c>
      <c r="L421" s="178" t="e">
        <f t="shared" si="39"/>
        <v>#N/A</v>
      </c>
      <c r="M421" s="178" t="e">
        <f t="shared" si="40"/>
        <v>#N/A</v>
      </c>
      <c r="N421" s="178" t="e">
        <f t="shared" si="41"/>
        <v>#N/A</v>
      </c>
    </row>
    <row r="422" spans="1:14" hidden="1">
      <c r="A422" s="359" t="s">
        <v>3821</v>
      </c>
      <c r="B422" s="178" t="s">
        <v>5453</v>
      </c>
      <c r="C422" s="178" t="s">
        <v>5555</v>
      </c>
      <c r="D422" s="359" t="s">
        <v>3821</v>
      </c>
      <c r="E422" s="178" t="str">
        <f t="shared" si="38"/>
        <v>B4030</v>
      </c>
      <c r="F422" s="178" t="str">
        <f t="shared" si="42"/>
        <v>GEA_KCB신용요약정보조회Dto</v>
      </c>
      <c r="G422" s="178">
        <f t="shared" si="43"/>
        <v>1</v>
      </c>
      <c r="H422" s="264"/>
      <c r="I422" s="264"/>
      <c r="J422" s="264"/>
      <c r="K422" s="264" t="s">
        <v>2491</v>
      </c>
      <c r="L422" s="178" t="e">
        <f t="shared" si="39"/>
        <v>#N/A</v>
      </c>
      <c r="M422" s="178" t="e">
        <f t="shared" si="40"/>
        <v>#N/A</v>
      </c>
      <c r="N422" s="178" t="e">
        <f t="shared" si="41"/>
        <v>#N/A</v>
      </c>
    </row>
    <row r="423" spans="1:14" hidden="1">
      <c r="A423" s="359" t="s">
        <v>3822</v>
      </c>
      <c r="B423" s="178" t="s">
        <v>5453</v>
      </c>
      <c r="C423" s="178" t="s">
        <v>5556</v>
      </c>
      <c r="D423" s="359" t="s">
        <v>3822</v>
      </c>
      <c r="E423" s="178" t="str">
        <f t="shared" si="38"/>
        <v>B4031</v>
      </c>
      <c r="F423" s="178" t="str">
        <f t="shared" si="42"/>
        <v>GEA_KCB신용요약정보조회Dto</v>
      </c>
      <c r="G423" s="178">
        <f t="shared" si="43"/>
        <v>1</v>
      </c>
      <c r="H423" s="264"/>
      <c r="I423" s="264"/>
      <c r="J423" s="264"/>
      <c r="K423" s="264" t="s">
        <v>2492</v>
      </c>
      <c r="L423" s="178" t="e">
        <f t="shared" si="39"/>
        <v>#N/A</v>
      </c>
      <c r="M423" s="178" t="e">
        <f t="shared" si="40"/>
        <v>#N/A</v>
      </c>
      <c r="N423" s="178" t="e">
        <f t="shared" si="41"/>
        <v>#N/A</v>
      </c>
    </row>
    <row r="424" spans="1:14" hidden="1">
      <c r="A424" s="359" t="s">
        <v>3823</v>
      </c>
      <c r="B424" s="178" t="s">
        <v>5453</v>
      </c>
      <c r="C424" s="178" t="s">
        <v>5557</v>
      </c>
      <c r="D424" s="359" t="s">
        <v>3823</v>
      </c>
      <c r="E424" s="178" t="str">
        <f t="shared" si="38"/>
        <v>B4032</v>
      </c>
      <c r="F424" s="178" t="str">
        <f t="shared" si="42"/>
        <v>GEA_KCB신용요약정보조회Dto</v>
      </c>
      <c r="G424" s="178">
        <f t="shared" si="43"/>
        <v>1</v>
      </c>
      <c r="H424" s="264"/>
      <c r="I424" s="264"/>
      <c r="J424" s="264"/>
      <c r="K424" s="264" t="s">
        <v>2493</v>
      </c>
      <c r="L424" s="178" t="e">
        <f t="shared" si="39"/>
        <v>#N/A</v>
      </c>
      <c r="M424" s="178" t="e">
        <f t="shared" si="40"/>
        <v>#N/A</v>
      </c>
      <c r="N424" s="178" t="e">
        <f t="shared" si="41"/>
        <v>#N/A</v>
      </c>
    </row>
    <row r="425" spans="1:14" hidden="1">
      <c r="A425" s="359" t="s">
        <v>3824</v>
      </c>
      <c r="B425" s="178" t="s">
        <v>5453</v>
      </c>
      <c r="C425" s="178" t="s">
        <v>5558</v>
      </c>
      <c r="D425" s="359" t="s">
        <v>3824</v>
      </c>
      <c r="E425" s="178" t="str">
        <f t="shared" si="38"/>
        <v>B4033</v>
      </c>
      <c r="F425" s="178" t="str">
        <f t="shared" si="42"/>
        <v>GEA_KCB신용요약정보조회Dto</v>
      </c>
      <c r="G425" s="178">
        <f t="shared" si="43"/>
        <v>1</v>
      </c>
      <c r="H425" s="264"/>
      <c r="I425" s="264"/>
      <c r="J425" s="264"/>
      <c r="K425" s="264" t="s">
        <v>2494</v>
      </c>
      <c r="L425" s="178" t="e">
        <f t="shared" si="39"/>
        <v>#N/A</v>
      </c>
      <c r="M425" s="178" t="e">
        <f t="shared" si="40"/>
        <v>#N/A</v>
      </c>
      <c r="N425" s="178" t="e">
        <f t="shared" si="41"/>
        <v>#N/A</v>
      </c>
    </row>
    <row r="426" spans="1:14" hidden="1">
      <c r="A426" s="359" t="s">
        <v>4341</v>
      </c>
      <c r="B426" s="178" t="s">
        <v>5453</v>
      </c>
      <c r="C426" s="178" t="s">
        <v>5559</v>
      </c>
      <c r="D426" s="359" t="s">
        <v>4341</v>
      </c>
      <c r="E426" s="178" t="str">
        <f t="shared" si="38"/>
        <v>B4034</v>
      </c>
      <c r="F426" s="178" t="str">
        <f t="shared" si="42"/>
        <v>GEA_KCB신용요약정보조회Dto</v>
      </c>
      <c r="G426" s="178">
        <f t="shared" si="43"/>
        <v>1</v>
      </c>
      <c r="H426" s="264"/>
      <c r="I426" s="264"/>
      <c r="J426" s="264"/>
      <c r="K426" s="264" t="s">
        <v>2495</v>
      </c>
      <c r="L426" s="178" t="e">
        <f t="shared" si="39"/>
        <v>#N/A</v>
      </c>
      <c r="M426" s="178" t="e">
        <f t="shared" si="40"/>
        <v>#N/A</v>
      </c>
      <c r="N426" s="178" t="e">
        <f t="shared" si="41"/>
        <v>#N/A</v>
      </c>
    </row>
    <row r="427" spans="1:14" hidden="1">
      <c r="A427" s="359" t="s">
        <v>4342</v>
      </c>
      <c r="B427" s="178" t="s">
        <v>5453</v>
      </c>
      <c r="C427" s="178" t="s">
        <v>5560</v>
      </c>
      <c r="D427" s="359" t="s">
        <v>4342</v>
      </c>
      <c r="E427" s="178" t="str">
        <f t="shared" si="38"/>
        <v>B4035</v>
      </c>
      <c r="F427" s="178" t="str">
        <f t="shared" si="42"/>
        <v>GEA_KCB신용요약정보조회Dto</v>
      </c>
      <c r="G427" s="178">
        <f t="shared" si="43"/>
        <v>1</v>
      </c>
      <c r="H427" s="264"/>
      <c r="I427" s="264"/>
      <c r="J427" s="264"/>
      <c r="K427" s="264" t="s">
        <v>2496</v>
      </c>
      <c r="L427" s="178" t="e">
        <f t="shared" si="39"/>
        <v>#N/A</v>
      </c>
      <c r="M427" s="178" t="e">
        <f t="shared" si="40"/>
        <v>#N/A</v>
      </c>
      <c r="N427" s="178" t="e">
        <f t="shared" si="41"/>
        <v>#N/A</v>
      </c>
    </row>
    <row r="428" spans="1:14" hidden="1">
      <c r="A428" s="359" t="s">
        <v>4343</v>
      </c>
      <c r="B428" s="178" t="s">
        <v>5453</v>
      </c>
      <c r="C428" s="178" t="s">
        <v>5561</v>
      </c>
      <c r="D428" s="359" t="s">
        <v>4343</v>
      </c>
      <c r="E428" s="178" t="str">
        <f t="shared" si="38"/>
        <v>B4036</v>
      </c>
      <c r="F428" s="178" t="str">
        <f t="shared" si="42"/>
        <v>GEA_KCB신용요약정보조회Dto</v>
      </c>
      <c r="G428" s="178">
        <f t="shared" si="43"/>
        <v>1</v>
      </c>
      <c r="H428" s="264"/>
      <c r="I428" s="264"/>
      <c r="J428" s="264"/>
      <c r="K428" s="264" t="s">
        <v>2497</v>
      </c>
      <c r="L428" s="178" t="e">
        <f t="shared" si="39"/>
        <v>#N/A</v>
      </c>
      <c r="M428" s="178" t="e">
        <f t="shared" si="40"/>
        <v>#N/A</v>
      </c>
      <c r="N428" s="178" t="e">
        <f t="shared" si="41"/>
        <v>#N/A</v>
      </c>
    </row>
    <row r="429" spans="1:14" hidden="1">
      <c r="A429" s="359" t="s">
        <v>4344</v>
      </c>
      <c r="B429" s="178" t="s">
        <v>5453</v>
      </c>
      <c r="C429" s="178" t="s">
        <v>5562</v>
      </c>
      <c r="D429" s="359" t="s">
        <v>4344</v>
      </c>
      <c r="E429" s="178" t="str">
        <f t="shared" si="38"/>
        <v>B4037</v>
      </c>
      <c r="F429" s="178" t="str">
        <f t="shared" si="42"/>
        <v>GEA_KCB신용요약정보조회Dto</v>
      </c>
      <c r="G429" s="178">
        <f t="shared" si="43"/>
        <v>1</v>
      </c>
      <c r="H429" s="264"/>
      <c r="I429" s="264"/>
      <c r="J429" s="264"/>
      <c r="K429" s="264" t="s">
        <v>2498</v>
      </c>
      <c r="L429" s="178" t="e">
        <f t="shared" si="39"/>
        <v>#N/A</v>
      </c>
      <c r="M429" s="178" t="e">
        <f t="shared" si="40"/>
        <v>#N/A</v>
      </c>
      <c r="N429" s="178" t="e">
        <f t="shared" si="41"/>
        <v>#N/A</v>
      </c>
    </row>
    <row r="430" spans="1:14" hidden="1">
      <c r="A430" s="359" t="s">
        <v>4345</v>
      </c>
      <c r="B430" s="178" t="s">
        <v>5453</v>
      </c>
      <c r="C430" s="178" t="s">
        <v>3846</v>
      </c>
      <c r="D430" s="359" t="s">
        <v>4345</v>
      </c>
      <c r="E430" s="178" t="str">
        <f t="shared" si="38"/>
        <v>B4038</v>
      </c>
      <c r="F430" s="178" t="str">
        <f t="shared" si="42"/>
        <v>GEA_KCB신용요약정보조회Dto</v>
      </c>
      <c r="G430" s="178">
        <f t="shared" si="43"/>
        <v>1</v>
      </c>
      <c r="H430" s="264"/>
      <c r="I430" s="264"/>
      <c r="J430" s="264"/>
      <c r="K430" s="264" t="s">
        <v>2499</v>
      </c>
      <c r="L430" s="178" t="e">
        <f t="shared" si="39"/>
        <v>#N/A</v>
      </c>
      <c r="M430" s="178" t="e">
        <f t="shared" si="40"/>
        <v>#N/A</v>
      </c>
      <c r="N430" s="178" t="e">
        <f t="shared" si="41"/>
        <v>#N/A</v>
      </c>
    </row>
    <row r="431" spans="1:14" hidden="1">
      <c r="A431" s="359" t="s">
        <v>4346</v>
      </c>
      <c r="B431" s="178" t="s">
        <v>5453</v>
      </c>
      <c r="C431" s="178" t="s">
        <v>5563</v>
      </c>
      <c r="D431" s="359" t="s">
        <v>4346</v>
      </c>
      <c r="E431" s="178" t="str">
        <f t="shared" si="38"/>
        <v>B4039</v>
      </c>
      <c r="F431" s="178" t="str">
        <f t="shared" si="42"/>
        <v>GEA_KCB신용요약정보조회Dto</v>
      </c>
      <c r="G431" s="178">
        <f t="shared" si="43"/>
        <v>1</v>
      </c>
      <c r="H431" s="264"/>
      <c r="I431" s="264"/>
      <c r="J431" s="264"/>
      <c r="K431" s="264" t="s">
        <v>2500</v>
      </c>
      <c r="L431" s="178" t="e">
        <f t="shared" si="39"/>
        <v>#N/A</v>
      </c>
      <c r="M431" s="178" t="e">
        <f t="shared" si="40"/>
        <v>#N/A</v>
      </c>
      <c r="N431" s="178" t="e">
        <f t="shared" si="41"/>
        <v>#N/A</v>
      </c>
    </row>
    <row r="432" spans="1:14" hidden="1">
      <c r="A432" s="359" t="s">
        <v>4347</v>
      </c>
      <c r="B432" s="178" t="s">
        <v>5453</v>
      </c>
      <c r="C432" s="178" t="s">
        <v>5564</v>
      </c>
      <c r="D432" s="359" t="s">
        <v>4347</v>
      </c>
      <c r="E432" s="178" t="str">
        <f t="shared" si="38"/>
        <v>B4040</v>
      </c>
      <c r="F432" s="178" t="str">
        <f t="shared" si="42"/>
        <v>GEA_KCB신용요약정보조회Dto</v>
      </c>
      <c r="G432" s="178">
        <f t="shared" si="43"/>
        <v>1</v>
      </c>
      <c r="H432" s="264"/>
      <c r="I432" s="264"/>
      <c r="J432" s="264"/>
      <c r="K432" s="264" t="s">
        <v>2501</v>
      </c>
      <c r="L432" s="178" t="e">
        <f t="shared" si="39"/>
        <v>#N/A</v>
      </c>
      <c r="M432" s="178" t="e">
        <f t="shared" si="40"/>
        <v>#N/A</v>
      </c>
      <c r="N432" s="178" t="e">
        <f t="shared" si="41"/>
        <v>#N/A</v>
      </c>
    </row>
    <row r="433" spans="1:14" hidden="1">
      <c r="A433" s="359" t="s">
        <v>4348</v>
      </c>
      <c r="B433" s="178" t="s">
        <v>5453</v>
      </c>
      <c r="C433" s="178" t="s">
        <v>5565</v>
      </c>
      <c r="D433" s="359" t="s">
        <v>4348</v>
      </c>
      <c r="E433" s="178" t="str">
        <f t="shared" si="38"/>
        <v>B4041</v>
      </c>
      <c r="F433" s="178" t="str">
        <f t="shared" si="42"/>
        <v>GEA_KCB신용요약정보조회Dto</v>
      </c>
      <c r="G433" s="178">
        <f t="shared" si="43"/>
        <v>1</v>
      </c>
      <c r="H433" s="264"/>
      <c r="I433" s="264"/>
      <c r="J433" s="264"/>
      <c r="K433" s="264" t="s">
        <v>2502</v>
      </c>
      <c r="L433" s="178" t="e">
        <f t="shared" si="39"/>
        <v>#N/A</v>
      </c>
      <c r="M433" s="178" t="e">
        <f t="shared" si="40"/>
        <v>#N/A</v>
      </c>
      <c r="N433" s="178" t="e">
        <f t="shared" si="41"/>
        <v>#N/A</v>
      </c>
    </row>
    <row r="434" spans="1:14" hidden="1">
      <c r="A434" s="359" t="s">
        <v>4349</v>
      </c>
      <c r="B434" s="178" t="s">
        <v>5453</v>
      </c>
      <c r="C434" s="178" t="s">
        <v>5566</v>
      </c>
      <c r="D434" s="359" t="s">
        <v>4349</v>
      </c>
      <c r="E434" s="178" t="str">
        <f t="shared" si="38"/>
        <v>B4042</v>
      </c>
      <c r="F434" s="178" t="str">
        <f t="shared" si="42"/>
        <v>GEA_KCB신용요약정보조회Dto</v>
      </c>
      <c r="G434" s="178">
        <f t="shared" si="43"/>
        <v>1</v>
      </c>
      <c r="H434" s="264"/>
      <c r="I434" s="264"/>
      <c r="J434" s="264"/>
      <c r="K434" s="264" t="s">
        <v>2503</v>
      </c>
      <c r="L434" s="178" t="e">
        <f t="shared" si="39"/>
        <v>#N/A</v>
      </c>
      <c r="M434" s="178" t="e">
        <f t="shared" si="40"/>
        <v>#N/A</v>
      </c>
      <c r="N434" s="178" t="e">
        <f t="shared" si="41"/>
        <v>#N/A</v>
      </c>
    </row>
    <row r="435" spans="1:14" hidden="1">
      <c r="A435" s="359" t="s">
        <v>4350</v>
      </c>
      <c r="B435" s="178" t="s">
        <v>5453</v>
      </c>
      <c r="C435" s="178" t="s">
        <v>5567</v>
      </c>
      <c r="D435" s="359" t="s">
        <v>4350</v>
      </c>
      <c r="E435" s="178" t="str">
        <f t="shared" si="38"/>
        <v>B4043</v>
      </c>
      <c r="F435" s="178" t="str">
        <f t="shared" si="42"/>
        <v>GEA_KCB신용요약정보조회Dto</v>
      </c>
      <c r="G435" s="178">
        <f t="shared" si="43"/>
        <v>1</v>
      </c>
      <c r="H435" s="264"/>
      <c r="I435" s="264"/>
      <c r="J435" s="264"/>
      <c r="K435" s="264" t="s">
        <v>2504</v>
      </c>
      <c r="L435" s="178" t="e">
        <f t="shared" si="39"/>
        <v>#N/A</v>
      </c>
      <c r="M435" s="178" t="e">
        <f t="shared" si="40"/>
        <v>#N/A</v>
      </c>
      <c r="N435" s="178" t="e">
        <f t="shared" si="41"/>
        <v>#N/A</v>
      </c>
    </row>
    <row r="436" spans="1:14" hidden="1">
      <c r="A436" s="359" t="s">
        <v>4351</v>
      </c>
      <c r="B436" s="178" t="s">
        <v>5453</v>
      </c>
      <c r="C436" s="178" t="s">
        <v>3854</v>
      </c>
      <c r="D436" s="359" t="s">
        <v>4351</v>
      </c>
      <c r="E436" s="178" t="e">
        <f t="shared" si="38"/>
        <v>#N/A</v>
      </c>
      <c r="F436" s="178" t="e">
        <f t="shared" si="42"/>
        <v>#N/A</v>
      </c>
      <c r="G436" s="178" t="e">
        <f t="shared" si="43"/>
        <v>#N/A</v>
      </c>
      <c r="H436" s="264"/>
      <c r="I436" s="264"/>
      <c r="J436" s="264"/>
      <c r="K436" s="264" t="s">
        <v>2505</v>
      </c>
      <c r="L436" s="178" t="e">
        <f t="shared" si="39"/>
        <v>#N/A</v>
      </c>
      <c r="M436" s="178" t="e">
        <f t="shared" si="40"/>
        <v>#N/A</v>
      </c>
      <c r="N436" s="178" t="e">
        <f t="shared" si="41"/>
        <v>#N/A</v>
      </c>
    </row>
    <row r="437" spans="1:14" hidden="1">
      <c r="A437" s="359" t="s">
        <v>4352</v>
      </c>
      <c r="B437" s="178" t="s">
        <v>5453</v>
      </c>
      <c r="C437" s="178" t="s">
        <v>3840</v>
      </c>
      <c r="D437" s="359" t="s">
        <v>4352</v>
      </c>
      <c r="E437" s="178" t="str">
        <f t="shared" si="38"/>
        <v>B4045</v>
      </c>
      <c r="F437" s="178" t="str">
        <f t="shared" si="42"/>
        <v>GEA_KCB신용요약정보조회Dto</v>
      </c>
      <c r="G437" s="178">
        <f t="shared" si="43"/>
        <v>1</v>
      </c>
      <c r="H437" s="264"/>
      <c r="I437" s="264"/>
      <c r="J437" s="264"/>
      <c r="K437" s="264" t="s">
        <v>2506</v>
      </c>
      <c r="L437" s="178" t="e">
        <f t="shared" si="39"/>
        <v>#N/A</v>
      </c>
      <c r="M437" s="178" t="e">
        <f t="shared" si="40"/>
        <v>#N/A</v>
      </c>
      <c r="N437" s="178" t="e">
        <f t="shared" si="41"/>
        <v>#N/A</v>
      </c>
    </row>
    <row r="438" spans="1:14" hidden="1">
      <c r="A438" s="359" t="s">
        <v>4353</v>
      </c>
      <c r="B438" s="178" t="s">
        <v>5453</v>
      </c>
      <c r="C438" s="178" t="s">
        <v>5568</v>
      </c>
      <c r="D438" s="359" t="s">
        <v>4353</v>
      </c>
      <c r="E438" s="178" t="str">
        <f t="shared" si="38"/>
        <v>B4046</v>
      </c>
      <c r="F438" s="178" t="str">
        <f t="shared" si="42"/>
        <v>GEA_KCB신용요약정보조회Dto</v>
      </c>
      <c r="G438" s="178">
        <f t="shared" si="43"/>
        <v>1</v>
      </c>
      <c r="H438" s="264"/>
      <c r="I438" s="264"/>
      <c r="J438" s="264"/>
      <c r="K438" s="264" t="s">
        <v>2507</v>
      </c>
      <c r="L438" s="178" t="e">
        <f t="shared" si="39"/>
        <v>#N/A</v>
      </c>
      <c r="M438" s="178" t="e">
        <f t="shared" si="40"/>
        <v>#N/A</v>
      </c>
      <c r="N438" s="178" t="e">
        <f t="shared" si="41"/>
        <v>#N/A</v>
      </c>
    </row>
    <row r="439" spans="1:14" hidden="1">
      <c r="A439" s="359" t="s">
        <v>4354</v>
      </c>
      <c r="B439" s="178" t="s">
        <v>5453</v>
      </c>
      <c r="C439" s="178" t="s">
        <v>5569</v>
      </c>
      <c r="D439" s="359" t="s">
        <v>4354</v>
      </c>
      <c r="E439" s="178" t="str">
        <f t="shared" si="38"/>
        <v>B4047</v>
      </c>
      <c r="F439" s="178" t="str">
        <f t="shared" si="42"/>
        <v>GEA_KCB신용요약정보조회Dto</v>
      </c>
      <c r="G439" s="178">
        <f t="shared" si="43"/>
        <v>1</v>
      </c>
      <c r="H439" s="264"/>
      <c r="I439" s="264"/>
      <c r="J439" s="264"/>
      <c r="K439" s="264" t="s">
        <v>2508</v>
      </c>
      <c r="L439" s="178" t="e">
        <f t="shared" si="39"/>
        <v>#N/A</v>
      </c>
      <c r="M439" s="178" t="e">
        <f t="shared" si="40"/>
        <v>#N/A</v>
      </c>
      <c r="N439" s="178" t="e">
        <f t="shared" si="41"/>
        <v>#N/A</v>
      </c>
    </row>
    <row r="440" spans="1:14" hidden="1">
      <c r="A440" s="359" t="s">
        <v>4355</v>
      </c>
      <c r="B440" s="178" t="s">
        <v>5453</v>
      </c>
      <c r="C440" s="178" t="s">
        <v>5570</v>
      </c>
      <c r="D440" s="359" t="s">
        <v>4355</v>
      </c>
      <c r="E440" s="178" t="str">
        <f t="shared" si="38"/>
        <v>B4048</v>
      </c>
      <c r="F440" s="178" t="str">
        <f t="shared" si="42"/>
        <v>GEA_KCB신용요약정보조회Dto</v>
      </c>
      <c r="G440" s="178">
        <f t="shared" si="43"/>
        <v>1</v>
      </c>
      <c r="H440" s="264"/>
      <c r="I440" s="264"/>
      <c r="J440" s="264"/>
      <c r="K440" s="264" t="s">
        <v>2509</v>
      </c>
      <c r="L440" s="178" t="e">
        <f t="shared" si="39"/>
        <v>#N/A</v>
      </c>
      <c r="M440" s="178" t="e">
        <f t="shared" si="40"/>
        <v>#N/A</v>
      </c>
      <c r="N440" s="178" t="e">
        <f t="shared" si="41"/>
        <v>#N/A</v>
      </c>
    </row>
    <row r="441" spans="1:14" hidden="1">
      <c r="A441" s="359" t="s">
        <v>4356</v>
      </c>
      <c r="B441" s="178" t="s">
        <v>5453</v>
      </c>
      <c r="C441" s="178" t="s">
        <v>5571</v>
      </c>
      <c r="D441" s="359" t="s">
        <v>4356</v>
      </c>
      <c r="E441" s="178" t="str">
        <f t="shared" si="38"/>
        <v>B4049</v>
      </c>
      <c r="F441" s="178" t="str">
        <f t="shared" si="42"/>
        <v>GEA_KCB신용요약정보조회Dto</v>
      </c>
      <c r="G441" s="178">
        <f t="shared" si="43"/>
        <v>1</v>
      </c>
      <c r="H441" s="264"/>
      <c r="I441" s="264"/>
      <c r="J441" s="264"/>
      <c r="K441" s="264" t="s">
        <v>2510</v>
      </c>
      <c r="L441" s="178" t="e">
        <f t="shared" si="39"/>
        <v>#N/A</v>
      </c>
      <c r="M441" s="178" t="e">
        <f t="shared" si="40"/>
        <v>#N/A</v>
      </c>
      <c r="N441" s="178" t="e">
        <f t="shared" si="41"/>
        <v>#N/A</v>
      </c>
    </row>
    <row r="442" spans="1:14" hidden="1">
      <c r="A442" s="359" t="s">
        <v>4357</v>
      </c>
      <c r="B442" s="178" t="s">
        <v>5453</v>
      </c>
      <c r="C442" s="178" t="s">
        <v>5572</v>
      </c>
      <c r="D442" s="359" t="s">
        <v>4357</v>
      </c>
      <c r="E442" s="178" t="str">
        <f t="shared" si="38"/>
        <v>B4050</v>
      </c>
      <c r="F442" s="178" t="str">
        <f t="shared" si="42"/>
        <v>GEA_KCB신용요약정보조회Dto</v>
      </c>
      <c r="G442" s="178">
        <f t="shared" si="43"/>
        <v>1</v>
      </c>
      <c r="H442" s="264"/>
      <c r="I442" s="264"/>
      <c r="J442" s="264"/>
      <c r="K442" s="264" t="s">
        <v>2511</v>
      </c>
      <c r="L442" s="178" t="e">
        <f t="shared" si="39"/>
        <v>#N/A</v>
      </c>
      <c r="M442" s="178" t="e">
        <f t="shared" si="40"/>
        <v>#N/A</v>
      </c>
      <c r="N442" s="178" t="e">
        <f t="shared" si="41"/>
        <v>#N/A</v>
      </c>
    </row>
    <row r="443" spans="1:14" hidden="1">
      <c r="A443" s="359" t="s">
        <v>4358</v>
      </c>
      <c r="B443" s="178" t="s">
        <v>5453</v>
      </c>
      <c r="C443" s="178" t="s">
        <v>5573</v>
      </c>
      <c r="D443" s="359" t="s">
        <v>4358</v>
      </c>
      <c r="E443" s="178" t="str">
        <f t="shared" si="38"/>
        <v>B4051</v>
      </c>
      <c r="F443" s="178" t="str">
        <f t="shared" si="42"/>
        <v>GEA_KCB신용요약정보조회Dto</v>
      </c>
      <c r="G443" s="178">
        <f t="shared" si="43"/>
        <v>1</v>
      </c>
      <c r="H443" s="264"/>
      <c r="I443" s="264"/>
      <c r="J443" s="264"/>
      <c r="K443" s="264" t="s">
        <v>2512</v>
      </c>
      <c r="L443" s="178" t="e">
        <f t="shared" si="39"/>
        <v>#N/A</v>
      </c>
      <c r="M443" s="178" t="e">
        <f t="shared" si="40"/>
        <v>#N/A</v>
      </c>
      <c r="N443" s="178" t="e">
        <f t="shared" si="41"/>
        <v>#N/A</v>
      </c>
    </row>
    <row r="444" spans="1:14" hidden="1">
      <c r="A444" s="359" t="s">
        <v>4359</v>
      </c>
      <c r="B444" s="178" t="s">
        <v>5453</v>
      </c>
      <c r="C444" s="178" t="s">
        <v>5574</v>
      </c>
      <c r="D444" s="359" t="s">
        <v>4359</v>
      </c>
      <c r="E444" s="178" t="str">
        <f t="shared" si="38"/>
        <v>B4052</v>
      </c>
      <c r="F444" s="178" t="str">
        <f t="shared" si="42"/>
        <v>GEA_KCB신용요약정보조회Dto</v>
      </c>
      <c r="G444" s="178">
        <f t="shared" si="43"/>
        <v>1</v>
      </c>
      <c r="H444" s="264"/>
      <c r="I444" s="264"/>
      <c r="J444" s="264"/>
      <c r="K444" s="264" t="s">
        <v>2513</v>
      </c>
      <c r="L444" s="178" t="e">
        <f t="shared" si="39"/>
        <v>#N/A</v>
      </c>
      <c r="M444" s="178" t="e">
        <f t="shared" si="40"/>
        <v>#N/A</v>
      </c>
      <c r="N444" s="178" t="e">
        <f t="shared" si="41"/>
        <v>#N/A</v>
      </c>
    </row>
    <row r="445" spans="1:14" hidden="1">
      <c r="A445" s="359" t="s">
        <v>4360</v>
      </c>
      <c r="B445" s="178" t="s">
        <v>5453</v>
      </c>
      <c r="C445" s="178" t="s">
        <v>5575</v>
      </c>
      <c r="D445" s="359" t="s">
        <v>4360</v>
      </c>
      <c r="E445" s="178" t="str">
        <f t="shared" si="38"/>
        <v>B4053</v>
      </c>
      <c r="F445" s="178" t="str">
        <f t="shared" si="42"/>
        <v>GEA_KCB신용요약정보조회Dto</v>
      </c>
      <c r="G445" s="178">
        <f t="shared" si="43"/>
        <v>1</v>
      </c>
      <c r="H445" s="264"/>
      <c r="I445" s="264"/>
      <c r="J445" s="264"/>
      <c r="K445" s="264" t="s">
        <v>2514</v>
      </c>
      <c r="L445" s="178" t="e">
        <f t="shared" si="39"/>
        <v>#N/A</v>
      </c>
      <c r="M445" s="178" t="e">
        <f t="shared" si="40"/>
        <v>#N/A</v>
      </c>
      <c r="N445" s="178" t="e">
        <f t="shared" si="41"/>
        <v>#N/A</v>
      </c>
    </row>
    <row r="446" spans="1:14" hidden="1">
      <c r="A446" s="359" t="s">
        <v>4361</v>
      </c>
      <c r="B446" s="178" t="s">
        <v>5453</v>
      </c>
      <c r="C446" s="178" t="s">
        <v>978</v>
      </c>
      <c r="D446" s="359" t="s">
        <v>4361</v>
      </c>
      <c r="E446" s="178" t="str">
        <f t="shared" si="38"/>
        <v>A4017</v>
      </c>
      <c r="F446" s="178" t="str">
        <f t="shared" si="42"/>
        <v>GEA_KCB신용요약정보조회Dto</v>
      </c>
      <c r="G446" s="178">
        <f t="shared" si="43"/>
        <v>1</v>
      </c>
      <c r="H446" s="264"/>
      <c r="I446" s="264"/>
      <c r="J446" s="264"/>
      <c r="K446" s="264" t="s">
        <v>2515</v>
      </c>
      <c r="L446" s="178" t="e">
        <f t="shared" si="39"/>
        <v>#N/A</v>
      </c>
      <c r="M446" s="178" t="e">
        <f t="shared" si="40"/>
        <v>#N/A</v>
      </c>
      <c r="N446" s="178" t="e">
        <f t="shared" si="41"/>
        <v>#N/A</v>
      </c>
    </row>
    <row r="447" spans="1:14" hidden="1">
      <c r="A447" s="359" t="s">
        <v>4362</v>
      </c>
      <c r="B447" s="178" t="s">
        <v>5453</v>
      </c>
      <c r="C447" s="178" t="s">
        <v>975</v>
      </c>
      <c r="D447" s="359" t="s">
        <v>4362</v>
      </c>
      <c r="E447" s="178" t="str">
        <f t="shared" si="38"/>
        <v>A4016</v>
      </c>
      <c r="F447" s="178" t="str">
        <f t="shared" si="42"/>
        <v>GEA_KCB신용요약정보조회Dto</v>
      </c>
      <c r="G447" s="178">
        <f t="shared" si="43"/>
        <v>1</v>
      </c>
      <c r="H447" s="264"/>
      <c r="I447" s="264"/>
      <c r="J447" s="264"/>
      <c r="K447" s="264" t="s">
        <v>2516</v>
      </c>
      <c r="L447" s="178" t="e">
        <f t="shared" si="39"/>
        <v>#N/A</v>
      </c>
      <c r="M447" s="178" t="e">
        <f t="shared" si="40"/>
        <v>#N/A</v>
      </c>
      <c r="N447" s="178" t="e">
        <f t="shared" si="41"/>
        <v>#N/A</v>
      </c>
    </row>
    <row r="448" spans="1:14" hidden="1">
      <c r="A448" s="359" t="s">
        <v>5589</v>
      </c>
      <c r="B448" s="178" t="s">
        <v>5453</v>
      </c>
      <c r="C448" s="178" t="s">
        <v>972</v>
      </c>
      <c r="D448" s="359" t="s">
        <v>5589</v>
      </c>
      <c r="E448" s="178" t="e">
        <f t="shared" si="38"/>
        <v>#N/A</v>
      </c>
      <c r="F448" s="178" t="e">
        <f t="shared" si="42"/>
        <v>#N/A</v>
      </c>
      <c r="G448" s="178" t="e">
        <f t="shared" si="43"/>
        <v>#N/A</v>
      </c>
      <c r="H448" s="264"/>
      <c r="I448" s="264"/>
      <c r="J448" s="264"/>
      <c r="K448" s="264" t="s">
        <v>2517</v>
      </c>
      <c r="L448" s="178" t="e">
        <f t="shared" si="39"/>
        <v>#N/A</v>
      </c>
      <c r="M448" s="178" t="e">
        <f t="shared" si="40"/>
        <v>#N/A</v>
      </c>
      <c r="N448" s="178" t="e">
        <f t="shared" si="41"/>
        <v>#N/A</v>
      </c>
    </row>
    <row r="449" spans="1:14" hidden="1">
      <c r="A449" s="359" t="s">
        <v>5590</v>
      </c>
      <c r="B449" s="178" t="s">
        <v>5453</v>
      </c>
      <c r="C449" s="178" t="s">
        <v>5576</v>
      </c>
      <c r="D449" s="359" t="s">
        <v>5590</v>
      </c>
      <c r="E449" s="178" t="e">
        <f t="shared" si="38"/>
        <v>#N/A</v>
      </c>
      <c r="F449" s="178" t="e">
        <f t="shared" si="42"/>
        <v>#N/A</v>
      </c>
      <c r="G449" s="178" t="e">
        <f t="shared" si="43"/>
        <v>#N/A</v>
      </c>
      <c r="H449" s="264"/>
      <c r="I449" s="264"/>
      <c r="J449" s="264"/>
      <c r="K449" s="264" t="s">
        <v>2518</v>
      </c>
      <c r="L449" s="178" t="e">
        <f t="shared" si="39"/>
        <v>#N/A</v>
      </c>
      <c r="M449" s="178" t="e">
        <f t="shared" si="40"/>
        <v>#N/A</v>
      </c>
      <c r="N449" s="178" t="e">
        <f t="shared" si="41"/>
        <v>#N/A</v>
      </c>
    </row>
    <row r="450" spans="1:14">
      <c r="A450" s="359" t="s">
        <v>5591</v>
      </c>
      <c r="B450" s="178" t="s">
        <v>5453</v>
      </c>
      <c r="C450" s="178" t="s">
        <v>5577</v>
      </c>
      <c r="D450" s="359" t="s">
        <v>5591</v>
      </c>
      <c r="E450" s="178" t="e">
        <f t="shared" si="38"/>
        <v>#N/A</v>
      </c>
      <c r="F450" s="178" t="e">
        <f t="shared" si="42"/>
        <v>#N/A</v>
      </c>
      <c r="G450" s="178" t="e">
        <f t="shared" si="43"/>
        <v>#N/A</v>
      </c>
      <c r="H450" s="320" t="s">
        <v>3107</v>
      </c>
      <c r="I450" s="344" t="s">
        <v>5892</v>
      </c>
      <c r="J450" s="344" t="s">
        <v>3343</v>
      </c>
      <c r="K450" s="320" t="s">
        <v>3107</v>
      </c>
      <c r="L450" s="178" t="e">
        <f t="shared" si="39"/>
        <v>#N/A</v>
      </c>
      <c r="M450" s="178" t="e">
        <f t="shared" si="40"/>
        <v>#N/A</v>
      </c>
      <c r="N450" s="178" t="e">
        <f t="shared" si="41"/>
        <v>#N/A</v>
      </c>
    </row>
    <row r="451" spans="1:14" hidden="1">
      <c r="A451" s="359" t="s">
        <v>5592</v>
      </c>
      <c r="B451" s="178" t="s">
        <v>5453</v>
      </c>
      <c r="C451" s="178" t="s">
        <v>5578</v>
      </c>
      <c r="D451" s="359" t="s">
        <v>5592</v>
      </c>
      <c r="E451" s="178" t="e">
        <f t="shared" si="38"/>
        <v>#N/A</v>
      </c>
      <c r="F451" s="178" t="e">
        <f t="shared" si="42"/>
        <v>#N/A</v>
      </c>
      <c r="G451" s="178" t="e">
        <f t="shared" si="43"/>
        <v>#N/A</v>
      </c>
      <c r="H451" s="320" t="s">
        <v>3618</v>
      </c>
      <c r="I451" s="344" t="s">
        <v>5892</v>
      </c>
      <c r="J451" s="344" t="s">
        <v>3619</v>
      </c>
      <c r="K451" s="320" t="s">
        <v>3618</v>
      </c>
      <c r="L451" s="178" t="str">
        <f t="shared" si="39"/>
        <v>A2039</v>
      </c>
      <c r="M451" s="178" t="str">
        <f t="shared" si="40"/>
        <v>r한국신용정보대출현금서비스DSR정보조회C</v>
      </c>
      <c r="N451" s="178">
        <f t="shared" si="41"/>
        <v>1</v>
      </c>
    </row>
    <row r="452" spans="1:14" hidden="1">
      <c r="A452" s="359" t="s">
        <v>5593</v>
      </c>
      <c r="B452" s="178" t="s">
        <v>5453</v>
      </c>
      <c r="C452" s="178" t="s">
        <v>3841</v>
      </c>
      <c r="D452" s="359" t="s">
        <v>5593</v>
      </c>
      <c r="E452" s="178" t="e">
        <f t="shared" ref="E452:E463" si="44">VLOOKUP(C452,$J$5:$K$601,2,FALSE)</f>
        <v>#N/A</v>
      </c>
      <c r="F452" s="178" t="e">
        <f t="shared" si="42"/>
        <v>#N/A</v>
      </c>
      <c r="G452" s="178" t="e">
        <f t="shared" si="43"/>
        <v>#N/A</v>
      </c>
      <c r="H452" s="320" t="s">
        <v>3720</v>
      </c>
      <c r="I452" s="344" t="s">
        <v>5892</v>
      </c>
      <c r="J452" s="344" t="s">
        <v>5419</v>
      </c>
      <c r="K452" s="320" t="s">
        <v>3720</v>
      </c>
      <c r="L452" s="178" t="str">
        <f t="shared" ref="L452:L515" si="45">VLOOKUP(TRIM(J452),$C$3:$D$463,2,FALSE)</f>
        <v>A2040</v>
      </c>
      <c r="M452" s="178" t="str">
        <f t="shared" ref="M452:M515" si="46">VLOOKUP(L452,$A$3:$B$463,2,FALSE)</f>
        <v>r한국신용정보대출현금서비스DSR정보조회C</v>
      </c>
      <c r="N452" s="178">
        <f t="shared" ref="N452:N515" si="47">IF(M452=I452,1,0)</f>
        <v>1</v>
      </c>
    </row>
    <row r="453" spans="1:14" hidden="1">
      <c r="A453" s="359" t="s">
        <v>5594</v>
      </c>
      <c r="B453" s="178" t="s">
        <v>5453</v>
      </c>
      <c r="C453" s="178" t="s">
        <v>3842</v>
      </c>
      <c r="D453" s="359" t="s">
        <v>5594</v>
      </c>
      <c r="E453" s="178" t="e">
        <f t="shared" si="44"/>
        <v>#N/A</v>
      </c>
      <c r="F453" s="178" t="e">
        <f t="shared" si="42"/>
        <v>#N/A</v>
      </c>
      <c r="G453" s="178" t="e">
        <f t="shared" si="43"/>
        <v>#N/A</v>
      </c>
      <c r="H453" s="320" t="s">
        <v>3721</v>
      </c>
      <c r="I453" s="344" t="s">
        <v>5892</v>
      </c>
      <c r="J453" s="344" t="s">
        <v>5420</v>
      </c>
      <c r="K453" s="320" t="s">
        <v>3721</v>
      </c>
      <c r="L453" s="178" t="str">
        <f t="shared" si="45"/>
        <v>A7004</v>
      </c>
      <c r="M453" s="178" t="str">
        <f t="shared" si="46"/>
        <v>r한국신용정보대출현금서비스DSR정보조회C</v>
      </c>
      <c r="N453" s="178">
        <f t="shared" si="47"/>
        <v>1</v>
      </c>
    </row>
    <row r="454" spans="1:14" hidden="1">
      <c r="A454" s="359" t="s">
        <v>5595</v>
      </c>
      <c r="B454" s="178" t="s">
        <v>5453</v>
      </c>
      <c r="C454" s="178" t="s">
        <v>5579</v>
      </c>
      <c r="D454" s="359" t="s">
        <v>5595</v>
      </c>
      <c r="E454" s="178" t="e">
        <f t="shared" si="44"/>
        <v>#N/A</v>
      </c>
      <c r="F454" s="178" t="e">
        <f t="shared" si="42"/>
        <v>#N/A</v>
      </c>
      <c r="G454" s="178" t="e">
        <f t="shared" si="43"/>
        <v>#N/A</v>
      </c>
      <c r="H454" s="320" t="s">
        <v>3722</v>
      </c>
      <c r="I454" s="344" t="s">
        <v>5892</v>
      </c>
      <c r="J454" s="344" t="s">
        <v>5893</v>
      </c>
      <c r="K454" s="320" t="s">
        <v>3722</v>
      </c>
      <c r="L454" s="178" t="str">
        <f t="shared" si="45"/>
        <v>A7005</v>
      </c>
      <c r="M454" s="178" t="str">
        <f t="shared" si="46"/>
        <v>r한국신용정보대출현금서비스DSR정보조회C</v>
      </c>
      <c r="N454" s="178">
        <f t="shared" si="47"/>
        <v>1</v>
      </c>
    </row>
    <row r="455" spans="1:14" hidden="1">
      <c r="A455" s="359" t="s">
        <v>5596</v>
      </c>
      <c r="B455" s="178" t="s">
        <v>5453</v>
      </c>
      <c r="C455" s="178" t="s">
        <v>5580</v>
      </c>
      <c r="D455" s="359" t="s">
        <v>5596</v>
      </c>
      <c r="E455" s="178" t="e">
        <f t="shared" si="44"/>
        <v>#N/A</v>
      </c>
      <c r="F455" s="178" t="e">
        <f t="shared" ref="F455:F463" si="48">VLOOKUP(E455,$H$5:$I$601,2,FALSE)</f>
        <v>#N/A</v>
      </c>
      <c r="G455" s="178" t="e">
        <f t="shared" ref="G455:G463" si="49">IF(B455=F455,1,0)</f>
        <v>#N/A</v>
      </c>
      <c r="H455" s="320" t="s">
        <v>3723</v>
      </c>
      <c r="I455" s="344" t="s">
        <v>5892</v>
      </c>
      <c r="J455" s="344" t="s">
        <v>5419</v>
      </c>
      <c r="K455" s="320" t="s">
        <v>3723</v>
      </c>
      <c r="L455" s="178" t="str">
        <f t="shared" si="45"/>
        <v>A2040</v>
      </c>
      <c r="M455" s="178" t="str">
        <f t="shared" si="46"/>
        <v>r한국신용정보대출현금서비스DSR정보조회C</v>
      </c>
      <c r="N455" s="178">
        <f t="shared" si="47"/>
        <v>1</v>
      </c>
    </row>
    <row r="456" spans="1:14" hidden="1">
      <c r="A456" s="359" t="s">
        <v>5597</v>
      </c>
      <c r="B456" s="178" t="s">
        <v>5453</v>
      </c>
      <c r="C456" s="178" t="s">
        <v>5581</v>
      </c>
      <c r="D456" s="359" t="s">
        <v>5597</v>
      </c>
      <c r="E456" s="178" t="e">
        <f t="shared" si="44"/>
        <v>#N/A</v>
      </c>
      <c r="F456" s="178" t="e">
        <f t="shared" si="48"/>
        <v>#N/A</v>
      </c>
      <c r="G456" s="178" t="e">
        <f t="shared" si="49"/>
        <v>#N/A</v>
      </c>
      <c r="H456" s="320" t="s">
        <v>3724</v>
      </c>
      <c r="I456" s="344" t="s">
        <v>5892</v>
      </c>
      <c r="J456" s="344" t="s">
        <v>5420</v>
      </c>
      <c r="K456" s="320" t="s">
        <v>3724</v>
      </c>
      <c r="L456" s="178" t="str">
        <f t="shared" si="45"/>
        <v>A7004</v>
      </c>
      <c r="M456" s="178" t="str">
        <f t="shared" si="46"/>
        <v>r한국신용정보대출현금서비스DSR정보조회C</v>
      </c>
      <c r="N456" s="178">
        <f t="shared" si="47"/>
        <v>1</v>
      </c>
    </row>
    <row r="457" spans="1:14" hidden="1">
      <c r="A457" s="359" t="s">
        <v>5598</v>
      </c>
      <c r="B457" s="178" t="s">
        <v>5453</v>
      </c>
      <c r="C457" s="178" t="s">
        <v>5582</v>
      </c>
      <c r="D457" s="359" t="s">
        <v>5598</v>
      </c>
      <c r="E457" s="178" t="e">
        <f t="shared" si="44"/>
        <v>#N/A</v>
      </c>
      <c r="F457" s="178" t="e">
        <f t="shared" si="48"/>
        <v>#N/A</v>
      </c>
      <c r="G457" s="178" t="e">
        <f t="shared" si="49"/>
        <v>#N/A</v>
      </c>
      <c r="H457" s="320" t="s">
        <v>3725</v>
      </c>
      <c r="I457" s="344" t="s">
        <v>5892</v>
      </c>
      <c r="J457" s="344" t="s">
        <v>5422</v>
      </c>
      <c r="K457" s="320" t="s">
        <v>3725</v>
      </c>
      <c r="L457" s="178" t="str">
        <f t="shared" si="45"/>
        <v>A7011</v>
      </c>
      <c r="M457" s="178" t="str">
        <f t="shared" si="46"/>
        <v>r한국신용정보대출현금서비스DSR정보조회C</v>
      </c>
      <c r="N457" s="178">
        <f t="shared" si="47"/>
        <v>1</v>
      </c>
    </row>
    <row r="458" spans="1:14" hidden="1">
      <c r="A458" s="359" t="s">
        <v>5599</v>
      </c>
      <c r="B458" s="178" t="s">
        <v>5453</v>
      </c>
      <c r="C458" s="178" t="s">
        <v>5583</v>
      </c>
      <c r="D458" s="359" t="s">
        <v>5599</v>
      </c>
      <c r="E458" s="178" t="e">
        <f t="shared" si="44"/>
        <v>#N/A</v>
      </c>
      <c r="F458" s="178" t="e">
        <f t="shared" si="48"/>
        <v>#N/A</v>
      </c>
      <c r="G458" s="178" t="e">
        <f t="shared" si="49"/>
        <v>#N/A</v>
      </c>
      <c r="H458" s="320" t="s">
        <v>4206</v>
      </c>
      <c r="I458" s="344" t="s">
        <v>5892</v>
      </c>
      <c r="J458" s="344" t="s">
        <v>5423</v>
      </c>
      <c r="K458" s="320" t="s">
        <v>4206</v>
      </c>
      <c r="L458" s="178" t="str">
        <f t="shared" si="45"/>
        <v>A7013</v>
      </c>
      <c r="M458" s="178" t="str">
        <f t="shared" si="46"/>
        <v>r한국신용정보대출현금서비스DSR정보조회C</v>
      </c>
      <c r="N458" s="178">
        <f t="shared" si="47"/>
        <v>1</v>
      </c>
    </row>
    <row r="459" spans="1:14" hidden="1">
      <c r="A459" s="359" t="s">
        <v>5600</v>
      </c>
      <c r="B459" s="178" t="s">
        <v>5453</v>
      </c>
      <c r="C459" s="178" t="s">
        <v>5584</v>
      </c>
      <c r="D459" s="359" t="s">
        <v>5600</v>
      </c>
      <c r="E459" s="178" t="e">
        <f t="shared" si="44"/>
        <v>#N/A</v>
      </c>
      <c r="F459" s="178" t="e">
        <f t="shared" si="48"/>
        <v>#N/A</v>
      </c>
      <c r="G459" s="178" t="e">
        <f t="shared" si="49"/>
        <v>#N/A</v>
      </c>
      <c r="H459" s="320" t="s">
        <v>3726</v>
      </c>
      <c r="I459" s="344" t="s">
        <v>5892</v>
      </c>
      <c r="J459" s="344" t="s">
        <v>5424</v>
      </c>
      <c r="K459" s="320" t="s">
        <v>3726</v>
      </c>
      <c r="L459" s="178" t="str">
        <f t="shared" si="45"/>
        <v>A7014</v>
      </c>
      <c r="M459" s="178" t="str">
        <f t="shared" si="46"/>
        <v>r한국신용정보대출현금서비스DSR정보조회C</v>
      </c>
      <c r="N459" s="178">
        <f t="shared" si="47"/>
        <v>1</v>
      </c>
    </row>
    <row r="460" spans="1:14" hidden="1">
      <c r="A460" s="359" t="s">
        <v>5601</v>
      </c>
      <c r="B460" s="178" t="s">
        <v>5453</v>
      </c>
      <c r="C460" s="178" t="s">
        <v>5585</v>
      </c>
      <c r="D460" s="359" t="s">
        <v>5601</v>
      </c>
      <c r="E460" s="178" t="e">
        <f t="shared" si="44"/>
        <v>#N/A</v>
      </c>
      <c r="F460" s="178" t="e">
        <f t="shared" si="48"/>
        <v>#N/A</v>
      </c>
      <c r="G460" s="178" t="e">
        <f t="shared" si="49"/>
        <v>#N/A</v>
      </c>
      <c r="H460" s="320" t="s">
        <v>3727</v>
      </c>
      <c r="I460" s="344" t="s">
        <v>5892</v>
      </c>
      <c r="J460" s="344" t="s">
        <v>5425</v>
      </c>
      <c r="K460" s="320" t="s">
        <v>3727</v>
      </c>
      <c r="L460" s="178" t="str">
        <f t="shared" si="45"/>
        <v>A7015</v>
      </c>
      <c r="M460" s="178" t="str">
        <f t="shared" si="46"/>
        <v>r한국신용정보대출현금서비스DSR정보조회C</v>
      </c>
      <c r="N460" s="178">
        <f t="shared" si="47"/>
        <v>1</v>
      </c>
    </row>
    <row r="461" spans="1:14" hidden="1">
      <c r="A461" s="359" t="s">
        <v>5602</v>
      </c>
      <c r="B461" s="178" t="s">
        <v>5453</v>
      </c>
      <c r="C461" s="178" t="s">
        <v>5586</v>
      </c>
      <c r="D461" s="359" t="s">
        <v>5602</v>
      </c>
      <c r="E461" s="178" t="e">
        <f t="shared" si="44"/>
        <v>#N/A</v>
      </c>
      <c r="F461" s="178" t="e">
        <f t="shared" si="48"/>
        <v>#N/A</v>
      </c>
      <c r="G461" s="178" t="e">
        <f t="shared" si="49"/>
        <v>#N/A</v>
      </c>
      <c r="H461" s="320" t="s">
        <v>3731</v>
      </c>
      <c r="I461" s="344" t="s">
        <v>5892</v>
      </c>
      <c r="J461" s="344" t="s">
        <v>5426</v>
      </c>
      <c r="K461" s="320" t="s">
        <v>3731</v>
      </c>
      <c r="L461" s="178" t="str">
        <f t="shared" si="45"/>
        <v>A7016</v>
      </c>
      <c r="M461" s="178" t="str">
        <f t="shared" si="46"/>
        <v>r한국신용정보대출현금서비스DSR정보조회C</v>
      </c>
      <c r="N461" s="178">
        <f t="shared" si="47"/>
        <v>1</v>
      </c>
    </row>
    <row r="462" spans="1:14" hidden="1">
      <c r="A462" s="359" t="s">
        <v>5603</v>
      </c>
      <c r="B462" s="178" t="s">
        <v>5453</v>
      </c>
      <c r="C462" s="178" t="s">
        <v>5587</v>
      </c>
      <c r="D462" s="359" t="s">
        <v>5603</v>
      </c>
      <c r="E462" s="178" t="e">
        <f t="shared" si="44"/>
        <v>#N/A</v>
      </c>
      <c r="F462" s="178" t="e">
        <f t="shared" si="48"/>
        <v>#N/A</v>
      </c>
      <c r="G462" s="178" t="e">
        <f t="shared" si="49"/>
        <v>#N/A</v>
      </c>
      <c r="H462" s="320" t="s">
        <v>3732</v>
      </c>
      <c r="I462" s="344" t="s">
        <v>5444</v>
      </c>
      <c r="J462" s="344" t="s">
        <v>5445</v>
      </c>
      <c r="K462" s="320" t="s">
        <v>3732</v>
      </c>
      <c r="L462" s="178" t="str">
        <f t="shared" si="45"/>
        <v>A7017</v>
      </c>
      <c r="M462" s="178" t="str">
        <f t="shared" si="46"/>
        <v>r심사사전정보내역조회C</v>
      </c>
      <c r="N462" s="178">
        <f t="shared" si="47"/>
        <v>1</v>
      </c>
    </row>
    <row r="463" spans="1:14" hidden="1">
      <c r="A463" s="359" t="s">
        <v>5604</v>
      </c>
      <c r="B463" s="178" t="s">
        <v>5453</v>
      </c>
      <c r="C463" s="178" t="s">
        <v>5588</v>
      </c>
      <c r="D463" s="359" t="s">
        <v>5604</v>
      </c>
      <c r="E463" s="178" t="e">
        <f t="shared" si="44"/>
        <v>#N/A</v>
      </c>
      <c r="F463" s="178" t="e">
        <f t="shared" si="48"/>
        <v>#N/A</v>
      </c>
      <c r="G463" s="178" t="e">
        <f t="shared" si="49"/>
        <v>#N/A</v>
      </c>
      <c r="H463" s="320" t="s">
        <v>3733</v>
      </c>
      <c r="I463" s="344" t="s">
        <v>5444</v>
      </c>
      <c r="J463" s="344" t="s">
        <v>5446</v>
      </c>
      <c r="K463" s="320" t="s">
        <v>3733</v>
      </c>
      <c r="L463" s="178" t="str">
        <f t="shared" si="45"/>
        <v>A7018</v>
      </c>
      <c r="M463" s="178" t="str">
        <f t="shared" si="46"/>
        <v>r심사사전정보내역조회C</v>
      </c>
      <c r="N463" s="178">
        <f t="shared" si="47"/>
        <v>1</v>
      </c>
    </row>
    <row r="464" spans="1:14" hidden="1">
      <c r="H464" s="320" t="s">
        <v>3734</v>
      </c>
      <c r="I464" s="344" t="s">
        <v>5444</v>
      </c>
      <c r="J464" s="344" t="s">
        <v>5447</v>
      </c>
      <c r="K464" s="320" t="s">
        <v>3734</v>
      </c>
      <c r="L464" s="178" t="str">
        <f t="shared" si="45"/>
        <v>A7019</v>
      </c>
      <c r="M464" s="178" t="str">
        <f t="shared" si="46"/>
        <v>r심사사전정보내역조회C</v>
      </c>
      <c r="N464" s="178">
        <f t="shared" si="47"/>
        <v>1</v>
      </c>
    </row>
    <row r="465" spans="1:14" hidden="1">
      <c r="H465" s="320" t="s">
        <v>5442</v>
      </c>
      <c r="I465" s="344" t="s">
        <v>5892</v>
      </c>
      <c r="J465" s="344" t="s">
        <v>5449</v>
      </c>
      <c r="K465" s="320" t="s">
        <v>5442</v>
      </c>
      <c r="L465" s="178" t="str">
        <f t="shared" si="45"/>
        <v>A7020</v>
      </c>
      <c r="M465" s="178" t="str">
        <f t="shared" si="46"/>
        <v>r한국신용정보대출현금서비스DSR정보조회C</v>
      </c>
      <c r="N465" s="178">
        <f t="shared" si="47"/>
        <v>1</v>
      </c>
    </row>
    <row r="466" spans="1:14" hidden="1">
      <c r="H466" s="320" t="s">
        <v>5443</v>
      </c>
      <c r="I466" s="344" t="s">
        <v>5892</v>
      </c>
      <c r="J466" s="344" t="s">
        <v>5450</v>
      </c>
      <c r="K466" s="320" t="s">
        <v>5443</v>
      </c>
      <c r="L466" s="178" t="str">
        <f t="shared" si="45"/>
        <v>A7021</v>
      </c>
      <c r="M466" s="178" t="str">
        <f t="shared" si="46"/>
        <v>r한국신용정보대출현금서비스DSR정보조회C</v>
      </c>
      <c r="N466" s="178">
        <f t="shared" si="47"/>
        <v>1</v>
      </c>
    </row>
    <row r="467" spans="1:14" hidden="1">
      <c r="H467" s="178" t="s">
        <v>3783</v>
      </c>
      <c r="I467" s="178" t="s">
        <v>5613</v>
      </c>
      <c r="J467" s="178" t="s">
        <v>5515</v>
      </c>
      <c r="K467" s="178" t="s">
        <v>3783</v>
      </c>
      <c r="L467" s="178" t="str">
        <f t="shared" si="45"/>
        <v>B3001</v>
      </c>
      <c r="M467" s="178" t="str">
        <f t="shared" si="46"/>
        <v>GEA_NICE신용요약정보조회Dto</v>
      </c>
      <c r="N467" s="178">
        <f t="shared" si="47"/>
        <v>1</v>
      </c>
    </row>
    <row r="468" spans="1:14" hidden="1">
      <c r="H468" s="178" t="s">
        <v>3784</v>
      </c>
      <c r="I468" s="178" t="s">
        <v>5613</v>
      </c>
      <c r="J468" s="178" t="s">
        <v>5516</v>
      </c>
      <c r="K468" s="178" t="s">
        <v>3784</v>
      </c>
      <c r="L468" s="178" t="str">
        <f t="shared" si="45"/>
        <v>B3002</v>
      </c>
      <c r="M468" s="178" t="str">
        <f t="shared" si="46"/>
        <v>GEA_NICE신용요약정보조회Dto</v>
      </c>
      <c r="N468" s="178">
        <f t="shared" si="47"/>
        <v>1</v>
      </c>
    </row>
    <row r="469" spans="1:14" hidden="1">
      <c r="A469" s="349"/>
      <c r="B469" s="349"/>
      <c r="C469" s="349"/>
      <c r="D469" s="349"/>
      <c r="E469" s="349"/>
      <c r="F469" s="349"/>
      <c r="H469" s="178" t="s">
        <v>3785</v>
      </c>
      <c r="I469" s="178" t="s">
        <v>5613</v>
      </c>
      <c r="J469" s="178" t="s">
        <v>4462</v>
      </c>
      <c r="K469" s="178" t="s">
        <v>3785</v>
      </c>
      <c r="L469" s="178" t="str">
        <f t="shared" si="45"/>
        <v>B3003</v>
      </c>
      <c r="M469" s="178" t="str">
        <f t="shared" si="46"/>
        <v>GEA_NICE신용요약정보조회Dto</v>
      </c>
      <c r="N469" s="178">
        <f t="shared" si="47"/>
        <v>1</v>
      </c>
    </row>
    <row r="470" spans="1:14" hidden="1">
      <c r="A470" s="349"/>
      <c r="B470" s="349"/>
      <c r="C470" s="349"/>
      <c r="D470" s="349"/>
      <c r="E470" s="349"/>
      <c r="F470" s="349"/>
      <c r="H470" s="178" t="s">
        <v>3786</v>
      </c>
      <c r="I470" s="178" t="s">
        <v>5613</v>
      </c>
      <c r="J470" s="178" t="s">
        <v>4464</v>
      </c>
      <c r="K470" s="178" t="s">
        <v>3786</v>
      </c>
      <c r="L470" s="178" t="str">
        <f t="shared" si="45"/>
        <v>B3004</v>
      </c>
      <c r="M470" s="178" t="str">
        <f t="shared" si="46"/>
        <v>GEA_NICE신용요약정보조회Dto</v>
      </c>
      <c r="N470" s="178">
        <f t="shared" si="47"/>
        <v>1</v>
      </c>
    </row>
    <row r="471" spans="1:14" hidden="1">
      <c r="A471" s="349"/>
      <c r="B471" s="349"/>
      <c r="C471" s="349"/>
      <c r="D471" s="349"/>
      <c r="E471" s="349"/>
      <c r="F471" s="349"/>
      <c r="H471" s="178" t="s">
        <v>3787</v>
      </c>
      <c r="I471" s="178" t="s">
        <v>5613</v>
      </c>
      <c r="J471" s="178" t="s">
        <v>5517</v>
      </c>
      <c r="K471" s="178" t="s">
        <v>3787</v>
      </c>
      <c r="L471" s="178" t="str">
        <f t="shared" si="45"/>
        <v>B3005</v>
      </c>
      <c r="M471" s="178" t="str">
        <f t="shared" si="46"/>
        <v>GEA_NICE신용요약정보조회Dto</v>
      </c>
      <c r="N471" s="178">
        <f t="shared" si="47"/>
        <v>1</v>
      </c>
    </row>
    <row r="472" spans="1:14" hidden="1">
      <c r="A472" s="349"/>
      <c r="B472" s="349"/>
      <c r="C472" s="349"/>
      <c r="D472" s="349"/>
      <c r="E472" s="349"/>
      <c r="F472" s="349"/>
      <c r="H472" s="178" t="s">
        <v>3788</v>
      </c>
      <c r="I472" s="178" t="s">
        <v>5613</v>
      </c>
      <c r="J472" s="178" t="s">
        <v>5518</v>
      </c>
      <c r="K472" s="178" t="s">
        <v>3788</v>
      </c>
      <c r="L472" s="178" t="str">
        <f t="shared" si="45"/>
        <v>B3006</v>
      </c>
      <c r="M472" s="178" t="str">
        <f t="shared" si="46"/>
        <v>GEA_NICE신용요약정보조회Dto</v>
      </c>
      <c r="N472" s="178">
        <f t="shared" si="47"/>
        <v>1</v>
      </c>
    </row>
    <row r="473" spans="1:14" hidden="1">
      <c r="A473" s="349"/>
      <c r="B473" s="349"/>
      <c r="C473" s="349"/>
      <c r="D473" s="349"/>
      <c r="E473" s="349"/>
      <c r="F473" s="349"/>
      <c r="H473" s="178" t="s">
        <v>3789</v>
      </c>
      <c r="I473" s="178" t="s">
        <v>5613</v>
      </c>
      <c r="J473" s="178" t="s">
        <v>5519</v>
      </c>
      <c r="K473" s="178" t="s">
        <v>3789</v>
      </c>
      <c r="L473" s="178" t="str">
        <f t="shared" si="45"/>
        <v>B3007</v>
      </c>
      <c r="M473" s="178" t="str">
        <f t="shared" si="46"/>
        <v>GEA_NICE신용요약정보조회Dto</v>
      </c>
      <c r="N473" s="178">
        <f t="shared" si="47"/>
        <v>1</v>
      </c>
    </row>
    <row r="474" spans="1:14" hidden="1">
      <c r="A474" s="349"/>
      <c r="B474" s="440"/>
      <c r="C474" s="349"/>
      <c r="D474" s="446"/>
      <c r="E474" s="440"/>
      <c r="F474" s="440"/>
      <c r="H474" s="178" t="s">
        <v>3790</v>
      </c>
      <c r="I474" s="178" t="s">
        <v>5613</v>
      </c>
      <c r="J474" s="178" t="s">
        <v>4472</v>
      </c>
      <c r="K474" s="178" t="s">
        <v>3790</v>
      </c>
      <c r="L474" s="178" t="str">
        <f t="shared" si="45"/>
        <v>B3008</v>
      </c>
      <c r="M474" s="178" t="str">
        <f t="shared" si="46"/>
        <v>GEA_NICE신용요약정보조회Dto</v>
      </c>
      <c r="N474" s="178">
        <f t="shared" si="47"/>
        <v>1</v>
      </c>
    </row>
    <row r="475" spans="1:14" hidden="1">
      <c r="A475" s="349"/>
      <c r="B475" s="440"/>
      <c r="C475" s="349"/>
      <c r="D475" s="446"/>
      <c r="E475" s="440"/>
      <c r="F475" s="440"/>
      <c r="H475" s="178" t="s">
        <v>3791</v>
      </c>
      <c r="I475" s="178" t="s">
        <v>5613</v>
      </c>
      <c r="J475" s="178" t="s">
        <v>5520</v>
      </c>
      <c r="K475" s="178" t="s">
        <v>3791</v>
      </c>
      <c r="L475" s="178" t="str">
        <f t="shared" si="45"/>
        <v>B3009</v>
      </c>
      <c r="M475" s="178" t="str">
        <f t="shared" si="46"/>
        <v>GEA_NICE신용요약정보조회Dto</v>
      </c>
      <c r="N475" s="178">
        <f t="shared" si="47"/>
        <v>1</v>
      </c>
    </row>
    <row r="476" spans="1:14" hidden="1">
      <c r="A476" s="349"/>
      <c r="B476" s="440"/>
      <c r="C476" s="349"/>
      <c r="D476" s="446"/>
      <c r="E476" s="440"/>
      <c r="F476" s="440"/>
      <c r="H476" s="178" t="s">
        <v>3792</v>
      </c>
      <c r="I476" s="178" t="s">
        <v>5613</v>
      </c>
      <c r="J476" s="178" t="s">
        <v>4476</v>
      </c>
      <c r="K476" s="178" t="s">
        <v>3792</v>
      </c>
      <c r="L476" s="178" t="str">
        <f t="shared" si="45"/>
        <v>B3010</v>
      </c>
      <c r="M476" s="178" t="str">
        <f t="shared" si="46"/>
        <v>GEA_NICE신용요약정보조회Dto</v>
      </c>
      <c r="N476" s="178">
        <f t="shared" si="47"/>
        <v>1</v>
      </c>
    </row>
    <row r="477" spans="1:14" hidden="1">
      <c r="A477" s="349"/>
      <c r="B477" s="440"/>
      <c r="C477" s="349"/>
      <c r="D477" s="446"/>
      <c r="E477" s="440"/>
      <c r="F477" s="440"/>
      <c r="H477" s="178" t="s">
        <v>3793</v>
      </c>
      <c r="I477" s="178" t="s">
        <v>5613</v>
      </c>
      <c r="J477" s="178" t="s">
        <v>5521</v>
      </c>
      <c r="K477" s="178" t="s">
        <v>3793</v>
      </c>
      <c r="L477" s="178" t="str">
        <f t="shared" si="45"/>
        <v>B3011</v>
      </c>
      <c r="M477" s="178" t="str">
        <f t="shared" si="46"/>
        <v>GEA_NICE신용요약정보조회Dto</v>
      </c>
      <c r="N477" s="178">
        <f t="shared" si="47"/>
        <v>1</v>
      </c>
    </row>
    <row r="478" spans="1:14" hidden="1">
      <c r="A478" s="349"/>
      <c r="B478" s="440"/>
      <c r="C478" s="349"/>
      <c r="D478" s="446"/>
      <c r="E478" s="440"/>
      <c r="F478" s="440"/>
      <c r="H478" s="178" t="s">
        <v>4316</v>
      </c>
      <c r="I478" s="178" t="s">
        <v>5613</v>
      </c>
      <c r="J478" s="178" t="s">
        <v>5522</v>
      </c>
      <c r="K478" s="178" t="s">
        <v>4316</v>
      </c>
      <c r="L478" s="178" t="str">
        <f t="shared" si="45"/>
        <v>B3012</v>
      </c>
      <c r="M478" s="178" t="str">
        <f t="shared" si="46"/>
        <v>GEA_NICE신용요약정보조회Dto</v>
      </c>
      <c r="N478" s="178">
        <f t="shared" si="47"/>
        <v>1</v>
      </c>
    </row>
    <row r="479" spans="1:14" hidden="1">
      <c r="A479" s="349"/>
      <c r="B479" s="440"/>
      <c r="C479" s="349"/>
      <c r="D479" s="446"/>
      <c r="E479" s="440"/>
      <c r="F479" s="440"/>
      <c r="H479" s="178" t="s">
        <v>5226</v>
      </c>
      <c r="I479" s="178" t="s">
        <v>5613</v>
      </c>
      <c r="J479" s="178" t="s">
        <v>5523</v>
      </c>
      <c r="K479" s="178" t="s">
        <v>5226</v>
      </c>
      <c r="L479" s="178" t="str">
        <f t="shared" si="45"/>
        <v>B3013</v>
      </c>
      <c r="M479" s="178" t="str">
        <f t="shared" si="46"/>
        <v>GEA_NICE신용요약정보조회Dto</v>
      </c>
      <c r="N479" s="178">
        <f t="shared" si="47"/>
        <v>1</v>
      </c>
    </row>
    <row r="480" spans="1:14" hidden="1">
      <c r="A480" s="349"/>
      <c r="B480" s="440"/>
      <c r="C480" s="349"/>
      <c r="D480" s="446"/>
      <c r="E480" s="440"/>
      <c r="F480" s="440"/>
      <c r="H480" s="178" t="s">
        <v>4318</v>
      </c>
      <c r="I480" s="178" t="s">
        <v>5613</v>
      </c>
      <c r="J480" s="178" t="s">
        <v>5524</v>
      </c>
      <c r="K480" s="178" t="s">
        <v>4318</v>
      </c>
      <c r="L480" s="178" t="str">
        <f t="shared" si="45"/>
        <v>B3014</v>
      </c>
      <c r="M480" s="178" t="str">
        <f t="shared" si="46"/>
        <v>GEA_NICE신용요약정보조회Dto</v>
      </c>
      <c r="N480" s="178">
        <f t="shared" si="47"/>
        <v>1</v>
      </c>
    </row>
    <row r="481" spans="1:14" hidden="1">
      <c r="A481" s="349"/>
      <c r="B481" s="440"/>
      <c r="C481" s="349"/>
      <c r="D481" s="446"/>
      <c r="E481" s="440"/>
      <c r="F481" s="440"/>
      <c r="H481" s="178" t="s">
        <v>5227</v>
      </c>
      <c r="I481" s="178" t="s">
        <v>5613</v>
      </c>
      <c r="J481" s="178" t="s">
        <v>3834</v>
      </c>
      <c r="K481" s="178" t="s">
        <v>5227</v>
      </c>
      <c r="L481" s="178" t="str">
        <f t="shared" si="45"/>
        <v>B3015</v>
      </c>
      <c r="M481" s="178" t="str">
        <f t="shared" si="46"/>
        <v>GEA_NICE신용요약정보조회Dto</v>
      </c>
      <c r="N481" s="178">
        <f t="shared" si="47"/>
        <v>1</v>
      </c>
    </row>
    <row r="482" spans="1:14" hidden="1">
      <c r="A482" s="349"/>
      <c r="B482" s="440"/>
      <c r="C482" s="349"/>
      <c r="D482" s="446"/>
      <c r="E482" s="440"/>
      <c r="F482" s="440"/>
      <c r="H482" s="178" t="s">
        <v>3794</v>
      </c>
      <c r="I482" s="178" t="s">
        <v>5453</v>
      </c>
      <c r="J482" s="178" t="s">
        <v>5533</v>
      </c>
      <c r="K482" s="178" t="s">
        <v>3794</v>
      </c>
      <c r="L482" s="178" t="str">
        <f t="shared" si="45"/>
        <v>B4001</v>
      </c>
      <c r="M482" s="178" t="str">
        <f t="shared" si="46"/>
        <v>GEA_KCB신용요약정보조회Dto</v>
      </c>
      <c r="N482" s="178">
        <f t="shared" si="47"/>
        <v>1</v>
      </c>
    </row>
    <row r="483" spans="1:14" hidden="1">
      <c r="A483" s="349"/>
      <c r="B483" s="439"/>
      <c r="C483" s="349"/>
      <c r="D483" s="446"/>
      <c r="E483" s="440"/>
      <c r="F483" s="440"/>
      <c r="H483" s="178" t="s">
        <v>3795</v>
      </c>
      <c r="I483" s="178" t="s">
        <v>5453</v>
      </c>
      <c r="J483" s="178" t="s">
        <v>5534</v>
      </c>
      <c r="K483" s="178" t="s">
        <v>3795</v>
      </c>
      <c r="L483" s="178" t="str">
        <f t="shared" si="45"/>
        <v>B4002</v>
      </c>
      <c r="M483" s="178" t="str">
        <f t="shared" si="46"/>
        <v>GEA_KCB신용요약정보조회Dto</v>
      </c>
      <c r="N483" s="178">
        <f t="shared" si="47"/>
        <v>1</v>
      </c>
    </row>
    <row r="484" spans="1:14" hidden="1">
      <c r="A484" s="349"/>
      <c r="B484" s="439"/>
      <c r="C484" s="349"/>
      <c r="D484" s="446"/>
      <c r="E484" s="440"/>
      <c r="F484" s="440"/>
      <c r="H484" s="178" t="s">
        <v>3796</v>
      </c>
      <c r="I484" s="178" t="s">
        <v>5453</v>
      </c>
      <c r="J484" s="178" t="s">
        <v>5535</v>
      </c>
      <c r="K484" s="178" t="s">
        <v>3796</v>
      </c>
      <c r="L484" s="178" t="str">
        <f t="shared" si="45"/>
        <v>B4003</v>
      </c>
      <c r="M484" s="178" t="str">
        <f t="shared" si="46"/>
        <v>GEA_KCB신용요약정보조회Dto</v>
      </c>
      <c r="N484" s="178">
        <f t="shared" si="47"/>
        <v>1</v>
      </c>
    </row>
    <row r="485" spans="1:14" hidden="1">
      <c r="A485" s="349"/>
      <c r="B485" s="439"/>
      <c r="C485" s="349"/>
      <c r="D485" s="446"/>
      <c r="E485" s="440"/>
      <c r="F485" s="440"/>
      <c r="H485" s="178" t="s">
        <v>3797</v>
      </c>
      <c r="I485" s="178" t="s">
        <v>5453</v>
      </c>
      <c r="J485" s="178" t="s">
        <v>5536</v>
      </c>
      <c r="K485" s="178" t="s">
        <v>3797</v>
      </c>
      <c r="L485" s="178" t="str">
        <f t="shared" si="45"/>
        <v>B4004</v>
      </c>
      <c r="M485" s="178" t="str">
        <f t="shared" si="46"/>
        <v>GEA_KCB신용요약정보조회Dto</v>
      </c>
      <c r="N485" s="178">
        <f t="shared" si="47"/>
        <v>1</v>
      </c>
    </row>
    <row r="486" spans="1:14" hidden="1">
      <c r="A486" s="349"/>
      <c r="B486" s="440"/>
      <c r="C486" s="349"/>
      <c r="D486" s="446"/>
      <c r="E486" s="440"/>
      <c r="F486" s="440"/>
      <c r="H486" s="178" t="s">
        <v>3798</v>
      </c>
      <c r="I486" s="178" t="s">
        <v>5453</v>
      </c>
      <c r="J486" s="178" t="s">
        <v>5537</v>
      </c>
      <c r="K486" s="178" t="s">
        <v>3798</v>
      </c>
      <c r="L486" s="178" t="str">
        <f t="shared" si="45"/>
        <v>B4005</v>
      </c>
      <c r="M486" s="178" t="str">
        <f t="shared" si="46"/>
        <v>GEA_KCB신용요약정보조회Dto</v>
      </c>
      <c r="N486" s="178">
        <f t="shared" si="47"/>
        <v>1</v>
      </c>
    </row>
    <row r="487" spans="1:14" hidden="1">
      <c r="A487" s="349"/>
      <c r="B487" s="440"/>
      <c r="C487" s="349"/>
      <c r="D487" s="446"/>
      <c r="E487" s="440"/>
      <c r="F487" s="440"/>
      <c r="H487" s="178" t="s">
        <v>3799</v>
      </c>
      <c r="I487" s="178" t="s">
        <v>5453</v>
      </c>
      <c r="J487" s="178" t="s">
        <v>2894</v>
      </c>
      <c r="K487" s="178" t="s">
        <v>3799</v>
      </c>
      <c r="L487" s="178" t="str">
        <f t="shared" si="45"/>
        <v>B4006</v>
      </c>
      <c r="M487" s="178" t="str">
        <f t="shared" si="46"/>
        <v>GEA_KCB신용요약정보조회Dto</v>
      </c>
      <c r="N487" s="178">
        <f t="shared" si="47"/>
        <v>1</v>
      </c>
    </row>
    <row r="488" spans="1:14" hidden="1">
      <c r="A488" s="349"/>
      <c r="B488" s="349"/>
      <c r="C488" s="349"/>
      <c r="D488" s="446"/>
      <c r="E488" s="440"/>
      <c r="F488" s="440"/>
      <c r="H488" s="178" t="s">
        <v>4339</v>
      </c>
      <c r="I488" s="178" t="s">
        <v>5453</v>
      </c>
      <c r="J488" s="178" t="s">
        <v>5538</v>
      </c>
      <c r="K488" s="178" t="s">
        <v>4339</v>
      </c>
      <c r="L488" s="178" t="str">
        <f t="shared" si="45"/>
        <v>B4007</v>
      </c>
      <c r="M488" s="178" t="str">
        <f t="shared" si="46"/>
        <v>GEA_KCB신용요약정보조회Dto</v>
      </c>
      <c r="N488" s="178">
        <f t="shared" si="47"/>
        <v>1</v>
      </c>
    </row>
    <row r="489" spans="1:14" hidden="1">
      <c r="A489" s="349"/>
      <c r="B489" s="349"/>
      <c r="C489" s="349"/>
      <c r="D489" s="446"/>
      <c r="E489" s="440"/>
      <c r="F489" s="440"/>
      <c r="H489" s="178" t="s">
        <v>3800</v>
      </c>
      <c r="I489" s="178" t="s">
        <v>5453</v>
      </c>
      <c r="J489" s="178" t="s">
        <v>5539</v>
      </c>
      <c r="K489" s="178" t="s">
        <v>3800</v>
      </c>
      <c r="L489" s="178" t="str">
        <f t="shared" si="45"/>
        <v>B4008</v>
      </c>
      <c r="M489" s="178" t="str">
        <f t="shared" si="46"/>
        <v>GEA_KCB신용요약정보조회Dto</v>
      </c>
      <c r="N489" s="178">
        <f t="shared" si="47"/>
        <v>1</v>
      </c>
    </row>
    <row r="490" spans="1:14" hidden="1">
      <c r="A490" s="349"/>
      <c r="B490" s="349"/>
      <c r="C490" s="349"/>
      <c r="D490" s="446"/>
      <c r="E490" s="440"/>
      <c r="F490" s="440"/>
      <c r="H490" s="178" t="s">
        <v>3801</v>
      </c>
      <c r="I490" s="178" t="s">
        <v>5453</v>
      </c>
      <c r="J490" s="178" t="s">
        <v>5540</v>
      </c>
      <c r="K490" s="178" t="s">
        <v>3801</v>
      </c>
      <c r="L490" s="178" t="str">
        <f t="shared" si="45"/>
        <v>B4009</v>
      </c>
      <c r="M490" s="178" t="str">
        <f t="shared" si="46"/>
        <v>GEA_KCB신용요약정보조회Dto</v>
      </c>
      <c r="N490" s="178">
        <f t="shared" si="47"/>
        <v>1</v>
      </c>
    </row>
    <row r="491" spans="1:14" hidden="1">
      <c r="A491" s="349"/>
      <c r="B491" s="349"/>
      <c r="C491" s="349"/>
      <c r="D491" s="349"/>
      <c r="E491" s="349"/>
      <c r="F491" s="349"/>
      <c r="H491" s="178" t="s">
        <v>3802</v>
      </c>
      <c r="I491" s="178" t="s">
        <v>5453</v>
      </c>
      <c r="J491" s="178" t="s">
        <v>3865</v>
      </c>
      <c r="K491" s="178" t="s">
        <v>3802</v>
      </c>
      <c r="L491" s="178" t="str">
        <f t="shared" si="45"/>
        <v>B4010</v>
      </c>
      <c r="M491" s="178" t="str">
        <f t="shared" si="46"/>
        <v>GEA_KCB신용요약정보조회Dto</v>
      </c>
      <c r="N491" s="178">
        <f t="shared" si="47"/>
        <v>1</v>
      </c>
    </row>
    <row r="492" spans="1:14" hidden="1">
      <c r="H492" s="178" t="s">
        <v>3803</v>
      </c>
      <c r="I492" s="178" t="s">
        <v>5453</v>
      </c>
      <c r="J492" s="178" t="s">
        <v>5541</v>
      </c>
      <c r="K492" s="178" t="s">
        <v>3803</v>
      </c>
      <c r="L492" s="178" t="str">
        <f t="shared" si="45"/>
        <v>B4011</v>
      </c>
      <c r="M492" s="178" t="str">
        <f t="shared" si="46"/>
        <v>GEA_KCB신용요약정보조회Dto</v>
      </c>
      <c r="N492" s="178">
        <f t="shared" si="47"/>
        <v>1</v>
      </c>
    </row>
    <row r="493" spans="1:14" hidden="1">
      <c r="H493" s="178" t="s">
        <v>3804</v>
      </c>
      <c r="I493" s="178" t="s">
        <v>5453</v>
      </c>
      <c r="J493" s="178" t="s">
        <v>5543</v>
      </c>
      <c r="K493" s="178" t="s">
        <v>3804</v>
      </c>
      <c r="L493" s="178" t="str">
        <f t="shared" si="45"/>
        <v>B4012</v>
      </c>
      <c r="M493" s="178" t="str">
        <f t="shared" si="46"/>
        <v>GEA_KCB신용요약정보조회Dto</v>
      </c>
      <c r="N493" s="178">
        <f t="shared" si="47"/>
        <v>1</v>
      </c>
    </row>
    <row r="494" spans="1:14" hidden="1">
      <c r="H494" s="178" t="s">
        <v>3805</v>
      </c>
      <c r="I494" s="178" t="s">
        <v>5453</v>
      </c>
      <c r="J494" s="178" t="s">
        <v>5544</v>
      </c>
      <c r="K494" s="178" t="s">
        <v>3805</v>
      </c>
      <c r="L494" s="178" t="str">
        <f t="shared" si="45"/>
        <v>B4013</v>
      </c>
      <c r="M494" s="178" t="str">
        <f t="shared" si="46"/>
        <v>GEA_KCB신용요약정보조회Dto</v>
      </c>
      <c r="N494" s="178">
        <f t="shared" si="47"/>
        <v>1</v>
      </c>
    </row>
    <row r="495" spans="1:14" hidden="1">
      <c r="H495" s="178" t="s">
        <v>3806</v>
      </c>
      <c r="I495" s="178" t="s">
        <v>5453</v>
      </c>
      <c r="J495" s="178" t="s">
        <v>5234</v>
      </c>
      <c r="K495" s="178" t="s">
        <v>3806</v>
      </c>
      <c r="L495" s="178" t="str">
        <f t="shared" si="45"/>
        <v>B4014</v>
      </c>
      <c r="M495" s="178" t="str">
        <f t="shared" si="46"/>
        <v>GEA_KCB신용요약정보조회Dto</v>
      </c>
      <c r="N495" s="178">
        <f t="shared" si="47"/>
        <v>1</v>
      </c>
    </row>
    <row r="496" spans="1:14" hidden="1">
      <c r="H496" s="178" t="s">
        <v>3807</v>
      </c>
      <c r="I496" s="178" t="s">
        <v>5453</v>
      </c>
      <c r="J496" s="178" t="s">
        <v>5235</v>
      </c>
      <c r="K496" s="178" t="s">
        <v>3807</v>
      </c>
      <c r="L496" s="178" t="str">
        <f t="shared" si="45"/>
        <v>B4015</v>
      </c>
      <c r="M496" s="178" t="str">
        <f t="shared" si="46"/>
        <v>GEA_KCB신용요약정보조회Dto</v>
      </c>
      <c r="N496" s="178">
        <f t="shared" si="47"/>
        <v>1</v>
      </c>
    </row>
    <row r="497" spans="8:14" hidden="1">
      <c r="H497" s="178" t="s">
        <v>3808</v>
      </c>
      <c r="I497" s="178" t="s">
        <v>5453</v>
      </c>
      <c r="J497" s="178" t="s">
        <v>5236</v>
      </c>
      <c r="K497" s="178" t="s">
        <v>3808</v>
      </c>
      <c r="L497" s="178" t="str">
        <f t="shared" si="45"/>
        <v>B4016</v>
      </c>
      <c r="M497" s="178" t="str">
        <f t="shared" si="46"/>
        <v>GEA_KCB신용요약정보조회Dto</v>
      </c>
      <c r="N497" s="178">
        <f t="shared" si="47"/>
        <v>1</v>
      </c>
    </row>
    <row r="498" spans="8:14" hidden="1">
      <c r="H498" s="178" t="s">
        <v>3809</v>
      </c>
      <c r="I498" s="178" t="s">
        <v>5453</v>
      </c>
      <c r="J498" s="178" t="s">
        <v>5545</v>
      </c>
      <c r="K498" s="178" t="s">
        <v>3809</v>
      </c>
      <c r="L498" s="178" t="str">
        <f t="shared" si="45"/>
        <v>B4017</v>
      </c>
      <c r="M498" s="178" t="str">
        <f t="shared" si="46"/>
        <v>GEA_KCB신용요약정보조회Dto</v>
      </c>
      <c r="N498" s="178">
        <f t="shared" si="47"/>
        <v>1</v>
      </c>
    </row>
    <row r="499" spans="8:14" hidden="1">
      <c r="H499" s="178" t="s">
        <v>3810</v>
      </c>
      <c r="I499" s="178" t="s">
        <v>5453</v>
      </c>
      <c r="J499" s="178" t="s">
        <v>5546</v>
      </c>
      <c r="K499" s="178" t="s">
        <v>3810</v>
      </c>
      <c r="L499" s="178" t="str">
        <f t="shared" si="45"/>
        <v>B4018</v>
      </c>
      <c r="M499" s="178" t="str">
        <f t="shared" si="46"/>
        <v>GEA_KCB신용요약정보조회Dto</v>
      </c>
      <c r="N499" s="178">
        <f t="shared" si="47"/>
        <v>1</v>
      </c>
    </row>
    <row r="500" spans="8:14" hidden="1">
      <c r="H500" s="178" t="s">
        <v>3811</v>
      </c>
      <c r="I500" s="178" t="s">
        <v>5453</v>
      </c>
      <c r="J500" s="178" t="s">
        <v>5547</v>
      </c>
      <c r="K500" s="178" t="s">
        <v>3811</v>
      </c>
      <c r="L500" s="178" t="str">
        <f t="shared" si="45"/>
        <v>B4019</v>
      </c>
      <c r="M500" s="178" t="str">
        <f t="shared" si="46"/>
        <v>GEA_KCB신용요약정보조회Dto</v>
      </c>
      <c r="N500" s="178">
        <f t="shared" si="47"/>
        <v>1</v>
      </c>
    </row>
    <row r="501" spans="8:14" hidden="1">
      <c r="H501" s="178" t="s">
        <v>3812</v>
      </c>
      <c r="I501" s="178" t="s">
        <v>5453</v>
      </c>
      <c r="J501" s="178" t="s">
        <v>5548</v>
      </c>
      <c r="K501" s="178" t="s">
        <v>3812</v>
      </c>
      <c r="L501" s="178" t="str">
        <f t="shared" si="45"/>
        <v>B4020</v>
      </c>
      <c r="M501" s="178" t="str">
        <f t="shared" si="46"/>
        <v>GEA_KCB신용요약정보조회Dto</v>
      </c>
      <c r="N501" s="178">
        <f t="shared" si="47"/>
        <v>1</v>
      </c>
    </row>
    <row r="502" spans="8:14" hidden="1">
      <c r="H502" s="178" t="s">
        <v>3813</v>
      </c>
      <c r="I502" s="178" t="s">
        <v>5453</v>
      </c>
      <c r="J502" s="178" t="s">
        <v>5549</v>
      </c>
      <c r="K502" s="178" t="s">
        <v>3813</v>
      </c>
      <c r="L502" s="178" t="str">
        <f t="shared" si="45"/>
        <v>B4021</v>
      </c>
      <c r="M502" s="178" t="str">
        <f t="shared" si="46"/>
        <v>GEA_KCB신용요약정보조회Dto</v>
      </c>
      <c r="N502" s="178">
        <f t="shared" si="47"/>
        <v>1</v>
      </c>
    </row>
    <row r="503" spans="8:14" hidden="1">
      <c r="H503" s="178" t="s">
        <v>3814</v>
      </c>
      <c r="I503" s="178" t="s">
        <v>5453</v>
      </c>
      <c r="J503" s="178" t="s">
        <v>5550</v>
      </c>
      <c r="K503" s="178" t="s">
        <v>3814</v>
      </c>
      <c r="L503" s="178" t="str">
        <f t="shared" si="45"/>
        <v>B4022</v>
      </c>
      <c r="M503" s="178" t="str">
        <f t="shared" si="46"/>
        <v>GEA_KCB신용요약정보조회Dto</v>
      </c>
      <c r="N503" s="178">
        <f t="shared" si="47"/>
        <v>1</v>
      </c>
    </row>
    <row r="504" spans="8:14" hidden="1">
      <c r="H504" s="178" t="s">
        <v>3815</v>
      </c>
      <c r="I504" s="178" t="s">
        <v>5453</v>
      </c>
      <c r="J504" s="178" t="s">
        <v>5551</v>
      </c>
      <c r="K504" s="178" t="s">
        <v>3815</v>
      </c>
      <c r="L504" s="178" t="str">
        <f t="shared" si="45"/>
        <v>B4023</v>
      </c>
      <c r="M504" s="178" t="str">
        <f t="shared" si="46"/>
        <v>GEA_KCB신용요약정보조회Dto</v>
      </c>
      <c r="N504" s="178">
        <f t="shared" si="47"/>
        <v>1</v>
      </c>
    </row>
    <row r="505" spans="8:14" hidden="1">
      <c r="H505" s="178" t="s">
        <v>3816</v>
      </c>
      <c r="I505" s="178" t="s">
        <v>5453</v>
      </c>
      <c r="J505" s="178" t="s">
        <v>5552</v>
      </c>
      <c r="K505" s="178" t="s">
        <v>3816</v>
      </c>
      <c r="L505" s="178" t="str">
        <f t="shared" si="45"/>
        <v>B4024</v>
      </c>
      <c r="M505" s="178" t="str">
        <f t="shared" si="46"/>
        <v>GEA_KCB신용요약정보조회Dto</v>
      </c>
      <c r="N505" s="178">
        <f t="shared" si="47"/>
        <v>1</v>
      </c>
    </row>
    <row r="506" spans="8:14" hidden="1">
      <c r="H506" s="178" t="s">
        <v>3817</v>
      </c>
      <c r="I506" s="178" t="s">
        <v>5453</v>
      </c>
      <c r="J506" s="178" t="s">
        <v>5245</v>
      </c>
      <c r="K506" s="178" t="s">
        <v>3817</v>
      </c>
      <c r="L506" s="178" t="str">
        <f t="shared" si="45"/>
        <v>B4025</v>
      </c>
      <c r="M506" s="178" t="str">
        <f t="shared" si="46"/>
        <v>GEA_KCB신용요약정보조회Dto</v>
      </c>
      <c r="N506" s="178">
        <f t="shared" si="47"/>
        <v>1</v>
      </c>
    </row>
    <row r="507" spans="8:14" hidden="1">
      <c r="H507" s="178" t="s">
        <v>3818</v>
      </c>
      <c r="I507" s="178" t="s">
        <v>5453</v>
      </c>
      <c r="J507" s="178" t="s">
        <v>5246</v>
      </c>
      <c r="K507" s="178" t="s">
        <v>3818</v>
      </c>
      <c r="L507" s="178" t="str">
        <f t="shared" si="45"/>
        <v>B4026</v>
      </c>
      <c r="M507" s="178" t="str">
        <f t="shared" si="46"/>
        <v>GEA_KCB신용요약정보조회Dto</v>
      </c>
      <c r="N507" s="178">
        <f t="shared" si="47"/>
        <v>1</v>
      </c>
    </row>
    <row r="508" spans="8:14" hidden="1">
      <c r="H508" s="178" t="s">
        <v>3819</v>
      </c>
      <c r="I508" s="178" t="s">
        <v>5453</v>
      </c>
      <c r="J508" s="178" t="s">
        <v>5553</v>
      </c>
      <c r="K508" s="178" t="s">
        <v>3819</v>
      </c>
      <c r="L508" s="178" t="str">
        <f t="shared" si="45"/>
        <v>B4027</v>
      </c>
      <c r="M508" s="178" t="str">
        <f t="shared" si="46"/>
        <v>GEA_KCB신용요약정보조회Dto</v>
      </c>
      <c r="N508" s="178">
        <f t="shared" si="47"/>
        <v>1</v>
      </c>
    </row>
    <row r="509" spans="8:14" hidden="1">
      <c r="H509" s="178" t="s">
        <v>3820</v>
      </c>
      <c r="I509" s="178" t="s">
        <v>5453</v>
      </c>
      <c r="J509" s="178" t="s">
        <v>5248</v>
      </c>
      <c r="K509" s="178" t="s">
        <v>3820</v>
      </c>
      <c r="L509" s="178" t="str">
        <f t="shared" si="45"/>
        <v>B4028</v>
      </c>
      <c r="M509" s="178" t="str">
        <f t="shared" si="46"/>
        <v>GEA_KCB신용요약정보조회Dto</v>
      </c>
      <c r="N509" s="178">
        <f t="shared" si="47"/>
        <v>1</v>
      </c>
    </row>
    <row r="510" spans="8:14" hidden="1">
      <c r="H510" s="178" t="s">
        <v>4340</v>
      </c>
      <c r="I510" s="178" t="s">
        <v>5453</v>
      </c>
      <c r="J510" s="178" t="s">
        <v>5554</v>
      </c>
      <c r="K510" s="178" t="s">
        <v>4340</v>
      </c>
      <c r="L510" s="178" t="str">
        <f t="shared" si="45"/>
        <v>B4029</v>
      </c>
      <c r="M510" s="178" t="str">
        <f t="shared" si="46"/>
        <v>GEA_KCB신용요약정보조회Dto</v>
      </c>
      <c r="N510" s="178">
        <f t="shared" si="47"/>
        <v>1</v>
      </c>
    </row>
    <row r="511" spans="8:14" hidden="1">
      <c r="H511" s="178" t="s">
        <v>3821</v>
      </c>
      <c r="I511" s="178" t="s">
        <v>5453</v>
      </c>
      <c r="J511" s="178" t="s">
        <v>5555</v>
      </c>
      <c r="K511" s="178" t="s">
        <v>3821</v>
      </c>
      <c r="L511" s="178" t="str">
        <f t="shared" si="45"/>
        <v>B4030</v>
      </c>
      <c r="M511" s="178" t="str">
        <f t="shared" si="46"/>
        <v>GEA_KCB신용요약정보조회Dto</v>
      </c>
      <c r="N511" s="178">
        <f t="shared" si="47"/>
        <v>1</v>
      </c>
    </row>
    <row r="512" spans="8:14" hidden="1">
      <c r="H512" s="178" t="s">
        <v>3822</v>
      </c>
      <c r="I512" s="178" t="s">
        <v>5453</v>
      </c>
      <c r="J512" s="178" t="s">
        <v>5556</v>
      </c>
      <c r="K512" s="178" t="s">
        <v>3822</v>
      </c>
      <c r="L512" s="178" t="str">
        <f t="shared" si="45"/>
        <v>B4031</v>
      </c>
      <c r="M512" s="178" t="str">
        <f t="shared" si="46"/>
        <v>GEA_KCB신용요약정보조회Dto</v>
      </c>
      <c r="N512" s="178">
        <f t="shared" si="47"/>
        <v>1</v>
      </c>
    </row>
    <row r="513" spans="8:14" hidden="1">
      <c r="H513" s="178" t="s">
        <v>3823</v>
      </c>
      <c r="I513" s="178" t="s">
        <v>5453</v>
      </c>
      <c r="J513" s="178" t="s">
        <v>5557</v>
      </c>
      <c r="K513" s="178" t="s">
        <v>3823</v>
      </c>
      <c r="L513" s="178" t="str">
        <f t="shared" si="45"/>
        <v>B4032</v>
      </c>
      <c r="M513" s="178" t="str">
        <f t="shared" si="46"/>
        <v>GEA_KCB신용요약정보조회Dto</v>
      </c>
      <c r="N513" s="178">
        <f t="shared" si="47"/>
        <v>1</v>
      </c>
    </row>
    <row r="514" spans="8:14" hidden="1">
      <c r="H514" s="178" t="s">
        <v>3824</v>
      </c>
      <c r="I514" s="178" t="s">
        <v>5453</v>
      </c>
      <c r="J514" s="178" t="s">
        <v>5558</v>
      </c>
      <c r="K514" s="178" t="s">
        <v>3824</v>
      </c>
      <c r="L514" s="178" t="str">
        <f t="shared" si="45"/>
        <v>B4033</v>
      </c>
      <c r="M514" s="178" t="str">
        <f t="shared" si="46"/>
        <v>GEA_KCB신용요약정보조회Dto</v>
      </c>
      <c r="N514" s="178">
        <f t="shared" si="47"/>
        <v>1</v>
      </c>
    </row>
    <row r="515" spans="8:14" hidden="1">
      <c r="H515" s="178" t="s">
        <v>4341</v>
      </c>
      <c r="I515" s="178" t="s">
        <v>5453</v>
      </c>
      <c r="J515" s="178" t="s">
        <v>5559</v>
      </c>
      <c r="K515" s="178" t="s">
        <v>4341</v>
      </c>
      <c r="L515" s="178" t="str">
        <f t="shared" si="45"/>
        <v>B4034</v>
      </c>
      <c r="M515" s="178" t="str">
        <f t="shared" si="46"/>
        <v>GEA_KCB신용요약정보조회Dto</v>
      </c>
      <c r="N515" s="178">
        <f t="shared" si="47"/>
        <v>1</v>
      </c>
    </row>
    <row r="516" spans="8:14" hidden="1">
      <c r="H516" s="178" t="s">
        <v>4342</v>
      </c>
      <c r="I516" s="178" t="s">
        <v>5453</v>
      </c>
      <c r="J516" s="178" t="s">
        <v>5560</v>
      </c>
      <c r="K516" s="178" t="s">
        <v>4342</v>
      </c>
      <c r="L516" s="178" t="str">
        <f t="shared" ref="L516:L534" si="50">VLOOKUP(TRIM(J516),$C$3:$D$463,2,FALSE)</f>
        <v>B4035</v>
      </c>
      <c r="M516" s="178" t="str">
        <f t="shared" ref="M516:M534" si="51">VLOOKUP(L516,$A$3:$B$463,2,FALSE)</f>
        <v>GEA_KCB신용요약정보조회Dto</v>
      </c>
      <c r="N516" s="178">
        <f t="shared" ref="N516:N534" si="52">IF(M516=I516,1,0)</f>
        <v>1</v>
      </c>
    </row>
    <row r="517" spans="8:14" hidden="1">
      <c r="H517" s="178" t="s">
        <v>4343</v>
      </c>
      <c r="I517" s="178" t="s">
        <v>5453</v>
      </c>
      <c r="J517" s="178" t="s">
        <v>5561</v>
      </c>
      <c r="K517" s="178" t="s">
        <v>4343</v>
      </c>
      <c r="L517" s="178" t="str">
        <f t="shared" si="50"/>
        <v>B4036</v>
      </c>
      <c r="M517" s="178" t="str">
        <f t="shared" si="51"/>
        <v>GEA_KCB신용요약정보조회Dto</v>
      </c>
      <c r="N517" s="178">
        <f t="shared" si="52"/>
        <v>1</v>
      </c>
    </row>
    <row r="518" spans="8:14" hidden="1">
      <c r="H518" s="178" t="s">
        <v>4344</v>
      </c>
      <c r="I518" s="178" t="s">
        <v>5453</v>
      </c>
      <c r="J518" s="178" t="s">
        <v>5562</v>
      </c>
      <c r="K518" s="178" t="s">
        <v>4344</v>
      </c>
      <c r="L518" s="178" t="str">
        <f t="shared" si="50"/>
        <v>B4037</v>
      </c>
      <c r="M518" s="178" t="str">
        <f t="shared" si="51"/>
        <v>GEA_KCB신용요약정보조회Dto</v>
      </c>
      <c r="N518" s="178">
        <f t="shared" si="52"/>
        <v>1</v>
      </c>
    </row>
    <row r="519" spans="8:14" hidden="1">
      <c r="H519" s="178" t="s">
        <v>4345</v>
      </c>
      <c r="I519" s="178" t="s">
        <v>5453</v>
      </c>
      <c r="J519" s="178" t="s">
        <v>3846</v>
      </c>
      <c r="K519" s="178" t="s">
        <v>4345</v>
      </c>
      <c r="L519" s="178" t="str">
        <f t="shared" si="50"/>
        <v>B4038</v>
      </c>
      <c r="M519" s="178" t="str">
        <f t="shared" si="51"/>
        <v>GEA_KCB신용요약정보조회Dto</v>
      </c>
      <c r="N519" s="178">
        <f t="shared" si="52"/>
        <v>1</v>
      </c>
    </row>
    <row r="520" spans="8:14" hidden="1">
      <c r="H520" s="178" t="s">
        <v>4346</v>
      </c>
      <c r="I520" s="178" t="s">
        <v>5453</v>
      </c>
      <c r="J520" s="178" t="s">
        <v>5563</v>
      </c>
      <c r="K520" s="178" t="s">
        <v>4346</v>
      </c>
      <c r="L520" s="178" t="str">
        <f t="shared" si="50"/>
        <v>B4039</v>
      </c>
      <c r="M520" s="178" t="str">
        <f t="shared" si="51"/>
        <v>GEA_KCB신용요약정보조회Dto</v>
      </c>
      <c r="N520" s="178">
        <f t="shared" si="52"/>
        <v>1</v>
      </c>
    </row>
    <row r="521" spans="8:14" hidden="1">
      <c r="H521" s="178" t="s">
        <v>4347</v>
      </c>
      <c r="I521" s="178" t="s">
        <v>5453</v>
      </c>
      <c r="J521" s="178" t="s">
        <v>5564</v>
      </c>
      <c r="K521" s="178" t="s">
        <v>4347</v>
      </c>
      <c r="L521" s="178" t="str">
        <f t="shared" si="50"/>
        <v>B4040</v>
      </c>
      <c r="M521" s="178" t="str">
        <f t="shared" si="51"/>
        <v>GEA_KCB신용요약정보조회Dto</v>
      </c>
      <c r="N521" s="178">
        <f t="shared" si="52"/>
        <v>1</v>
      </c>
    </row>
    <row r="522" spans="8:14" hidden="1">
      <c r="H522" s="178" t="s">
        <v>4348</v>
      </c>
      <c r="I522" s="178" t="s">
        <v>5453</v>
      </c>
      <c r="J522" s="178" t="s">
        <v>5565</v>
      </c>
      <c r="K522" s="178" t="s">
        <v>4348</v>
      </c>
      <c r="L522" s="178" t="str">
        <f t="shared" si="50"/>
        <v>B4041</v>
      </c>
      <c r="M522" s="178" t="str">
        <f t="shared" si="51"/>
        <v>GEA_KCB신용요약정보조회Dto</v>
      </c>
      <c r="N522" s="178">
        <f t="shared" si="52"/>
        <v>1</v>
      </c>
    </row>
    <row r="523" spans="8:14" hidden="1">
      <c r="H523" s="178" t="s">
        <v>4349</v>
      </c>
      <c r="I523" s="178" t="s">
        <v>5453</v>
      </c>
      <c r="J523" s="178" t="s">
        <v>5566</v>
      </c>
      <c r="K523" s="178" t="s">
        <v>4349</v>
      </c>
      <c r="L523" s="178" t="str">
        <f t="shared" si="50"/>
        <v>B4042</v>
      </c>
      <c r="M523" s="178" t="str">
        <f t="shared" si="51"/>
        <v>GEA_KCB신용요약정보조회Dto</v>
      </c>
      <c r="N523" s="178">
        <f t="shared" si="52"/>
        <v>1</v>
      </c>
    </row>
    <row r="524" spans="8:14" hidden="1">
      <c r="H524" s="178" t="s">
        <v>4350</v>
      </c>
      <c r="I524" s="178" t="s">
        <v>5453</v>
      </c>
      <c r="J524" s="178" t="s">
        <v>5567</v>
      </c>
      <c r="K524" s="178" t="s">
        <v>4350</v>
      </c>
      <c r="L524" s="178" t="str">
        <f t="shared" si="50"/>
        <v>B4043</v>
      </c>
      <c r="M524" s="178" t="str">
        <f t="shared" si="51"/>
        <v>GEA_KCB신용요약정보조회Dto</v>
      </c>
      <c r="N524" s="178">
        <f t="shared" si="52"/>
        <v>1</v>
      </c>
    </row>
    <row r="525" spans="8:14" hidden="1">
      <c r="H525" s="178" t="s">
        <v>4351</v>
      </c>
      <c r="I525" s="178" t="s">
        <v>5453</v>
      </c>
      <c r="J525" s="178" t="s">
        <v>5818</v>
      </c>
      <c r="K525" s="178" t="s">
        <v>4351</v>
      </c>
      <c r="L525" s="178" t="str">
        <f t="shared" si="50"/>
        <v>B4044</v>
      </c>
      <c r="M525" s="178" t="str">
        <f t="shared" si="51"/>
        <v>GEA_KCB신용요약정보조회Dto</v>
      </c>
      <c r="N525" s="178">
        <f t="shared" si="52"/>
        <v>1</v>
      </c>
    </row>
    <row r="526" spans="8:14" hidden="1">
      <c r="H526" s="178" t="s">
        <v>4352</v>
      </c>
      <c r="I526" s="178" t="s">
        <v>5453</v>
      </c>
      <c r="J526" s="178" t="s">
        <v>3840</v>
      </c>
      <c r="K526" s="178" t="s">
        <v>4352</v>
      </c>
      <c r="L526" s="178" t="str">
        <f t="shared" si="50"/>
        <v>B4045</v>
      </c>
      <c r="M526" s="178" t="str">
        <f t="shared" si="51"/>
        <v>GEA_KCB신용요약정보조회Dto</v>
      </c>
      <c r="N526" s="178">
        <f t="shared" si="52"/>
        <v>1</v>
      </c>
    </row>
    <row r="527" spans="8:14" hidden="1">
      <c r="H527" s="178" t="s">
        <v>4353</v>
      </c>
      <c r="I527" s="178" t="s">
        <v>5453</v>
      </c>
      <c r="J527" s="178" t="s">
        <v>5568</v>
      </c>
      <c r="K527" s="178" t="s">
        <v>4353</v>
      </c>
      <c r="L527" s="178" t="str">
        <f t="shared" si="50"/>
        <v>B4046</v>
      </c>
      <c r="M527" s="178" t="str">
        <f t="shared" si="51"/>
        <v>GEA_KCB신용요약정보조회Dto</v>
      </c>
      <c r="N527" s="178">
        <f t="shared" si="52"/>
        <v>1</v>
      </c>
    </row>
    <row r="528" spans="8:14" hidden="1">
      <c r="H528" s="263" t="s">
        <v>4354</v>
      </c>
      <c r="I528" s="178" t="s">
        <v>5453</v>
      </c>
      <c r="J528" s="263" t="s">
        <v>5569</v>
      </c>
      <c r="K528" s="263" t="s">
        <v>4354</v>
      </c>
      <c r="L528" s="178" t="str">
        <f t="shared" si="50"/>
        <v>B4047</v>
      </c>
      <c r="M528" s="178" t="str">
        <f t="shared" si="51"/>
        <v>GEA_KCB신용요약정보조회Dto</v>
      </c>
      <c r="N528" s="178">
        <f t="shared" si="52"/>
        <v>1</v>
      </c>
    </row>
    <row r="529" spans="8:14" hidden="1">
      <c r="H529" s="263" t="s">
        <v>4355</v>
      </c>
      <c r="I529" s="178" t="s">
        <v>5453</v>
      </c>
      <c r="J529" s="263" t="s">
        <v>5570</v>
      </c>
      <c r="K529" s="263" t="s">
        <v>4355</v>
      </c>
      <c r="L529" s="178" t="str">
        <f t="shared" si="50"/>
        <v>B4048</v>
      </c>
      <c r="M529" s="178" t="str">
        <f t="shared" si="51"/>
        <v>GEA_KCB신용요약정보조회Dto</v>
      </c>
      <c r="N529" s="178">
        <f t="shared" si="52"/>
        <v>1</v>
      </c>
    </row>
    <row r="530" spans="8:14" hidden="1">
      <c r="H530" s="263" t="s">
        <v>4356</v>
      </c>
      <c r="I530" s="178" t="s">
        <v>5453</v>
      </c>
      <c r="J530" s="263" t="s">
        <v>5571</v>
      </c>
      <c r="K530" s="263" t="s">
        <v>4356</v>
      </c>
      <c r="L530" s="178" t="str">
        <f t="shared" si="50"/>
        <v>B4049</v>
      </c>
      <c r="M530" s="178" t="str">
        <f t="shared" si="51"/>
        <v>GEA_KCB신용요약정보조회Dto</v>
      </c>
      <c r="N530" s="178">
        <f t="shared" si="52"/>
        <v>1</v>
      </c>
    </row>
    <row r="531" spans="8:14" hidden="1">
      <c r="H531" s="263" t="s">
        <v>4357</v>
      </c>
      <c r="I531" s="178" t="s">
        <v>5453</v>
      </c>
      <c r="J531" s="263" t="s">
        <v>5572</v>
      </c>
      <c r="K531" s="263" t="s">
        <v>4357</v>
      </c>
      <c r="L531" s="178" t="str">
        <f t="shared" si="50"/>
        <v>B4050</v>
      </c>
      <c r="M531" s="178" t="str">
        <f t="shared" si="51"/>
        <v>GEA_KCB신용요약정보조회Dto</v>
      </c>
      <c r="N531" s="178">
        <f t="shared" si="52"/>
        <v>1</v>
      </c>
    </row>
    <row r="532" spans="8:14" hidden="1">
      <c r="H532" s="263" t="s">
        <v>4358</v>
      </c>
      <c r="I532" s="178" t="s">
        <v>5453</v>
      </c>
      <c r="J532" s="263" t="s">
        <v>5573</v>
      </c>
      <c r="K532" s="263" t="s">
        <v>4358</v>
      </c>
      <c r="L532" s="178" t="str">
        <f t="shared" si="50"/>
        <v>B4051</v>
      </c>
      <c r="M532" s="178" t="str">
        <f t="shared" si="51"/>
        <v>GEA_KCB신용요약정보조회Dto</v>
      </c>
      <c r="N532" s="178">
        <f t="shared" si="52"/>
        <v>1</v>
      </c>
    </row>
    <row r="533" spans="8:14" hidden="1">
      <c r="H533" s="263" t="s">
        <v>4359</v>
      </c>
      <c r="I533" s="178" t="s">
        <v>5453</v>
      </c>
      <c r="J533" s="263" t="s">
        <v>5574</v>
      </c>
      <c r="K533" s="263" t="s">
        <v>4359</v>
      </c>
      <c r="L533" s="178" t="str">
        <f t="shared" si="50"/>
        <v>B4052</v>
      </c>
      <c r="M533" s="178" t="str">
        <f t="shared" si="51"/>
        <v>GEA_KCB신용요약정보조회Dto</v>
      </c>
      <c r="N533" s="178">
        <f t="shared" si="52"/>
        <v>1</v>
      </c>
    </row>
    <row r="534" spans="8:14" hidden="1">
      <c r="H534" s="263" t="s">
        <v>4360</v>
      </c>
      <c r="I534" s="178" t="s">
        <v>5453</v>
      </c>
      <c r="J534" s="263" t="s">
        <v>5575</v>
      </c>
      <c r="K534" s="263" t="s">
        <v>4360</v>
      </c>
      <c r="L534" s="178" t="str">
        <f t="shared" si="50"/>
        <v>B4053</v>
      </c>
      <c r="M534" s="178" t="str">
        <f t="shared" si="51"/>
        <v>GEA_KCB신용요약정보조회Dto</v>
      </c>
      <c r="N534" s="178">
        <f t="shared" si="52"/>
        <v>1</v>
      </c>
    </row>
  </sheetData>
  <autoFilter ref="A1:N534" xr:uid="{CC0DC566-BA9E-4A0C-8DE4-47027E1BF4A1}">
    <filterColumn colId="7">
      <customFilters>
        <customFilter operator="notEqual" val=" "/>
      </customFilters>
    </filterColumn>
    <filterColumn colId="11">
      <filters>
        <filter val="#N/A"/>
      </filters>
    </filterColumn>
  </autoFilter>
  <phoneticPr fontId="2" type="noConversion"/>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Q533"/>
  <sheetViews>
    <sheetView workbookViewId="0">
      <pane xSplit="8" ySplit="1" topLeftCell="I304" activePane="bottomRight" state="frozen"/>
      <selection pane="topRight" activeCell="J1" sqref="J1"/>
      <selection pane="bottomLeft" activeCell="A2" sqref="A2"/>
      <selection pane="bottomRight" activeCell="L328" sqref="L328"/>
    </sheetView>
  </sheetViews>
  <sheetFormatPr defaultRowHeight="11.25"/>
  <cols>
    <col min="1" max="1" width="7.5" style="178" customWidth="1"/>
    <col min="2" max="2" width="8.625" style="178" customWidth="1"/>
    <col min="3" max="4" width="8.375" style="178" customWidth="1"/>
    <col min="5" max="5" width="30.625" style="178" customWidth="1"/>
    <col min="6" max="6" width="10.375" style="178" hidden="1" customWidth="1"/>
    <col min="7" max="7" width="16.5" style="178" hidden="1" customWidth="1"/>
    <col min="8" max="8" width="11.375" style="178" hidden="1" customWidth="1"/>
    <col min="9" max="9" width="26.875" style="178" customWidth="1"/>
    <col min="10" max="10" width="27.75" style="178" customWidth="1"/>
    <col min="11" max="11" width="22.125" style="178" customWidth="1"/>
    <col min="12" max="13" width="12.5" style="178" bestFit="1" customWidth="1"/>
    <col min="14" max="14" width="6.75" style="178" bestFit="1" customWidth="1"/>
    <col min="15" max="15" width="8" style="178" bestFit="1" customWidth="1"/>
    <col min="16" max="16" width="34.5" style="178" customWidth="1"/>
    <col min="17" max="17" width="12.5" style="178" customWidth="1"/>
    <col min="18" max="16384" width="9" style="178"/>
  </cols>
  <sheetData>
    <row r="1" spans="1:17" s="193" customFormat="1">
      <c r="A1" s="260" t="s">
        <v>1332</v>
      </c>
      <c r="B1" s="260" t="s">
        <v>2960</v>
      </c>
      <c r="C1" s="260" t="s">
        <v>748</v>
      </c>
      <c r="D1" s="260" t="s">
        <v>749</v>
      </c>
      <c r="E1" s="260" t="s">
        <v>2985</v>
      </c>
      <c r="F1" s="260" t="s">
        <v>3132</v>
      </c>
      <c r="G1" s="260" t="s">
        <v>3198</v>
      </c>
      <c r="H1" s="261" t="s">
        <v>3199</v>
      </c>
      <c r="I1" s="261" t="s">
        <v>3028</v>
      </c>
      <c r="J1" s="261" t="s">
        <v>3200</v>
      </c>
      <c r="K1" s="261" t="s">
        <v>3201</v>
      </c>
      <c r="L1" s="261" t="s">
        <v>3321</v>
      </c>
      <c r="M1" s="261" t="s">
        <v>3202</v>
      </c>
      <c r="N1" s="261" t="s">
        <v>3203</v>
      </c>
      <c r="O1" s="262" t="s">
        <v>3197</v>
      </c>
      <c r="P1" s="262" t="s">
        <v>3037</v>
      </c>
      <c r="Q1" s="322" t="s">
        <v>3452</v>
      </c>
    </row>
    <row r="2" spans="1:17">
      <c r="A2" s="263">
        <f t="shared" ref="A2:A58" si="0">ROW()-1</f>
        <v>1</v>
      </c>
      <c r="B2" s="263" t="s">
        <v>3128</v>
      </c>
      <c r="C2" s="263" t="s">
        <v>275</v>
      </c>
      <c r="D2" s="263">
        <v>20</v>
      </c>
      <c r="E2" s="263" t="s">
        <v>3209</v>
      </c>
      <c r="F2" s="263"/>
      <c r="G2" s="263"/>
      <c r="H2" s="263"/>
      <c r="I2" s="263"/>
      <c r="J2" s="263"/>
      <c r="K2" s="263"/>
      <c r="L2" s="263"/>
      <c r="M2" s="263"/>
      <c r="N2" s="263"/>
      <c r="O2" s="263" t="s">
        <v>3223</v>
      </c>
      <c r="P2" s="263" t="s">
        <v>3208</v>
      </c>
      <c r="Q2" s="263"/>
    </row>
    <row r="3" spans="1:17">
      <c r="A3" s="263">
        <f t="shared" si="0"/>
        <v>2</v>
      </c>
      <c r="B3" s="263" t="s">
        <v>3129</v>
      </c>
      <c r="C3" s="263" t="s">
        <v>1334</v>
      </c>
      <c r="D3" s="263">
        <v>3</v>
      </c>
      <c r="E3" s="263" t="s">
        <v>3131</v>
      </c>
      <c r="F3" s="263"/>
      <c r="G3" s="263"/>
      <c r="H3" s="263"/>
      <c r="I3" s="263"/>
      <c r="J3" s="263"/>
      <c r="K3" s="263"/>
      <c r="L3" s="263"/>
      <c r="M3" s="263"/>
      <c r="N3" s="263"/>
      <c r="O3" s="263" t="s">
        <v>3223</v>
      </c>
      <c r="P3" s="263" t="s">
        <v>3208</v>
      </c>
      <c r="Q3" s="263"/>
    </row>
    <row r="4" spans="1:17">
      <c r="A4" s="263">
        <f t="shared" ref="A4:A81" si="1">ROW()-1</f>
        <v>3</v>
      </c>
      <c r="B4" s="263" t="s">
        <v>2572</v>
      </c>
      <c r="C4" s="263" t="s">
        <v>275</v>
      </c>
      <c r="D4" s="263">
        <v>14</v>
      </c>
      <c r="E4" s="263" t="s">
        <v>688</v>
      </c>
      <c r="F4" s="263" t="s">
        <v>3134</v>
      </c>
      <c r="G4" s="263"/>
      <c r="H4" s="263"/>
      <c r="I4" s="263" t="s">
        <v>683</v>
      </c>
      <c r="J4" s="263" t="s">
        <v>5831</v>
      </c>
      <c r="K4" s="263" t="s">
        <v>50</v>
      </c>
      <c r="L4" s="263"/>
      <c r="M4" s="263"/>
      <c r="N4" s="263"/>
      <c r="O4" s="263"/>
      <c r="P4" s="263"/>
      <c r="Q4" s="263"/>
    </row>
    <row r="5" spans="1:17">
      <c r="A5" s="263">
        <f t="shared" si="1"/>
        <v>4</v>
      </c>
      <c r="B5" s="263" t="s">
        <v>2570</v>
      </c>
      <c r="C5" s="263" t="s">
        <v>275</v>
      </c>
      <c r="D5" s="263">
        <v>2</v>
      </c>
      <c r="E5" s="263" t="s">
        <v>445</v>
      </c>
      <c r="F5" s="263" t="s">
        <v>3134</v>
      </c>
      <c r="G5" s="263"/>
      <c r="H5" s="263"/>
      <c r="I5" s="263" t="s">
        <v>683</v>
      </c>
      <c r="J5" s="263" t="s">
        <v>5831</v>
      </c>
      <c r="K5" s="263" t="s">
        <v>445</v>
      </c>
      <c r="L5" s="263"/>
      <c r="M5" s="263"/>
      <c r="N5" s="263"/>
      <c r="O5" s="263"/>
      <c r="P5" s="263"/>
      <c r="Q5" s="263"/>
    </row>
    <row r="6" spans="1:17">
      <c r="A6" s="263">
        <f t="shared" si="1"/>
        <v>5</v>
      </c>
      <c r="B6" s="263" t="s">
        <v>2571</v>
      </c>
      <c r="C6" s="263" t="s">
        <v>279</v>
      </c>
      <c r="D6" s="263">
        <v>5</v>
      </c>
      <c r="E6" s="263" t="s">
        <v>1297</v>
      </c>
      <c r="F6" s="263" t="s">
        <v>3134</v>
      </c>
      <c r="G6" s="263"/>
      <c r="H6" s="263"/>
      <c r="I6" s="263" t="s">
        <v>683</v>
      </c>
      <c r="J6" s="263" t="s">
        <v>5831</v>
      </c>
      <c r="K6" s="263" t="s">
        <v>3064</v>
      </c>
      <c r="L6" s="263"/>
      <c r="M6" s="263"/>
      <c r="N6" s="263"/>
      <c r="O6" s="263"/>
      <c r="P6" s="263"/>
      <c r="Q6" s="263"/>
    </row>
    <row r="7" spans="1:17">
      <c r="A7" s="263">
        <f t="shared" si="1"/>
        <v>6</v>
      </c>
      <c r="B7" s="263" t="s">
        <v>5778</v>
      </c>
      <c r="C7" s="263" t="s">
        <v>275</v>
      </c>
      <c r="D7" s="263">
        <v>1</v>
      </c>
      <c r="E7" s="263" t="s">
        <v>687</v>
      </c>
      <c r="F7" s="263" t="s">
        <v>3134</v>
      </c>
      <c r="G7" s="263"/>
      <c r="H7" s="263"/>
      <c r="I7" s="263" t="s">
        <v>683</v>
      </c>
      <c r="J7" s="263" t="s">
        <v>5435</v>
      </c>
      <c r="K7" s="263" t="s">
        <v>3065</v>
      </c>
      <c r="L7" s="435" t="s">
        <v>5832</v>
      </c>
      <c r="M7" s="263"/>
      <c r="N7" s="263"/>
      <c r="O7" s="263"/>
      <c r="P7" s="263"/>
      <c r="Q7" s="263"/>
    </row>
    <row r="8" spans="1:17">
      <c r="A8" s="263">
        <f t="shared" si="1"/>
        <v>7</v>
      </c>
      <c r="B8" s="263" t="s">
        <v>5779</v>
      </c>
      <c r="C8" s="263" t="s">
        <v>275</v>
      </c>
      <c r="D8" s="263">
        <v>2</v>
      </c>
      <c r="E8" s="263" t="s">
        <v>5780</v>
      </c>
      <c r="F8" s="263"/>
      <c r="G8" s="263"/>
      <c r="H8" s="263"/>
      <c r="I8" s="263" t="s">
        <v>5781</v>
      </c>
      <c r="J8" s="263" t="s">
        <v>5833</v>
      </c>
      <c r="K8" s="263" t="s">
        <v>5830</v>
      </c>
      <c r="L8" s="263"/>
      <c r="M8" s="263"/>
      <c r="N8" s="263"/>
      <c r="O8" s="263"/>
      <c r="P8" s="263"/>
      <c r="Q8" s="263"/>
    </row>
    <row r="9" spans="1:17">
      <c r="A9" s="263">
        <f t="shared" si="1"/>
        <v>8</v>
      </c>
      <c r="B9" s="263" t="s">
        <v>2116</v>
      </c>
      <c r="C9" s="263" t="s">
        <v>275</v>
      </c>
      <c r="D9" s="263">
        <v>1</v>
      </c>
      <c r="E9" s="263" t="s">
        <v>689</v>
      </c>
      <c r="F9" s="263" t="s">
        <v>3134</v>
      </c>
      <c r="G9" s="263"/>
      <c r="H9" s="263"/>
      <c r="I9" s="263" t="s">
        <v>683</v>
      </c>
      <c r="J9" s="263" t="s">
        <v>5435</v>
      </c>
      <c r="K9" s="436" t="s">
        <v>5834</v>
      </c>
      <c r="L9" s="263"/>
      <c r="M9" s="263"/>
      <c r="N9" s="263"/>
      <c r="O9" s="263"/>
      <c r="P9" s="263"/>
      <c r="Q9" s="263"/>
    </row>
    <row r="10" spans="1:17">
      <c r="A10" s="263">
        <f t="shared" si="1"/>
        <v>9</v>
      </c>
      <c r="B10" s="263" t="s">
        <v>2573</v>
      </c>
      <c r="C10" s="263" t="s">
        <v>275</v>
      </c>
      <c r="D10" s="263">
        <v>1</v>
      </c>
      <c r="E10" s="263" t="s">
        <v>690</v>
      </c>
      <c r="F10" s="263" t="s">
        <v>3134</v>
      </c>
      <c r="G10" s="263"/>
      <c r="H10" s="263"/>
      <c r="I10" s="263" t="s">
        <v>683</v>
      </c>
      <c r="J10" s="263" t="s">
        <v>5435</v>
      </c>
      <c r="K10" s="436" t="s">
        <v>5838</v>
      </c>
      <c r="L10" s="263"/>
      <c r="M10" s="263"/>
      <c r="N10" s="263"/>
      <c r="O10" s="263"/>
      <c r="P10" s="263"/>
      <c r="Q10" s="263"/>
    </row>
    <row r="11" spans="1:17">
      <c r="A11" s="263">
        <f t="shared" si="1"/>
        <v>10</v>
      </c>
      <c r="B11" s="263" t="s">
        <v>2574</v>
      </c>
      <c r="C11" s="263" t="s">
        <v>275</v>
      </c>
      <c r="D11" s="263">
        <v>1</v>
      </c>
      <c r="E11" s="263" t="s">
        <v>691</v>
      </c>
      <c r="F11" s="263" t="s">
        <v>3134</v>
      </c>
      <c r="G11" s="263"/>
      <c r="H11" s="263"/>
      <c r="I11" s="263" t="s">
        <v>683</v>
      </c>
      <c r="J11" s="263" t="s">
        <v>5435</v>
      </c>
      <c r="K11" s="436" t="s">
        <v>5835</v>
      </c>
      <c r="L11" s="263"/>
      <c r="M11" s="263"/>
      <c r="N11" s="263"/>
      <c r="O11" s="263"/>
      <c r="P11" s="263"/>
      <c r="Q11" s="263"/>
    </row>
    <row r="12" spans="1:17">
      <c r="A12" s="263">
        <f t="shared" si="1"/>
        <v>11</v>
      </c>
      <c r="B12" s="263" t="s">
        <v>2117</v>
      </c>
      <c r="C12" s="263" t="s">
        <v>275</v>
      </c>
      <c r="D12" s="263">
        <v>1</v>
      </c>
      <c r="E12" s="263" t="s">
        <v>694</v>
      </c>
      <c r="F12" s="263" t="s">
        <v>3134</v>
      </c>
      <c r="G12" s="263"/>
      <c r="H12" s="263"/>
      <c r="I12" s="263" t="s">
        <v>683</v>
      </c>
      <c r="J12" s="263" t="s">
        <v>5435</v>
      </c>
      <c r="K12" s="436" t="s">
        <v>5839</v>
      </c>
      <c r="L12" s="263"/>
      <c r="M12" s="263"/>
      <c r="N12" s="263"/>
      <c r="O12" s="263"/>
      <c r="P12" s="263"/>
      <c r="Q12" s="263"/>
    </row>
    <row r="13" spans="1:17">
      <c r="A13" s="263">
        <f t="shared" si="1"/>
        <v>12</v>
      </c>
      <c r="B13" s="263" t="s">
        <v>2118</v>
      </c>
      <c r="C13" s="263" t="s">
        <v>275</v>
      </c>
      <c r="D13" s="263">
        <v>1</v>
      </c>
      <c r="E13" s="263" t="s">
        <v>695</v>
      </c>
      <c r="F13" s="263" t="s">
        <v>3134</v>
      </c>
      <c r="G13" s="263"/>
      <c r="H13" s="263"/>
      <c r="I13" s="263" t="s">
        <v>683</v>
      </c>
      <c r="J13" s="263" t="s">
        <v>5435</v>
      </c>
      <c r="K13" s="436" t="s">
        <v>5840</v>
      </c>
      <c r="L13" s="263"/>
      <c r="M13" s="263"/>
      <c r="N13" s="263"/>
      <c r="O13" s="263"/>
      <c r="P13" s="263"/>
      <c r="Q13" s="263"/>
    </row>
    <row r="14" spans="1:17">
      <c r="A14" s="263">
        <f t="shared" si="1"/>
        <v>13</v>
      </c>
      <c r="B14" s="263" t="s">
        <v>2575</v>
      </c>
      <c r="C14" s="263" t="s">
        <v>275</v>
      </c>
      <c r="D14" s="263">
        <v>1</v>
      </c>
      <c r="E14" s="263" t="s">
        <v>696</v>
      </c>
      <c r="F14" s="263" t="s">
        <v>3134</v>
      </c>
      <c r="G14" s="263"/>
      <c r="H14" s="263"/>
      <c r="I14" s="263" t="s">
        <v>683</v>
      </c>
      <c r="J14" s="263" t="s">
        <v>5435</v>
      </c>
      <c r="K14" s="436" t="s">
        <v>5841</v>
      </c>
      <c r="L14" s="263"/>
      <c r="M14" s="263"/>
      <c r="N14" s="263"/>
      <c r="O14" s="263"/>
      <c r="P14" s="263"/>
      <c r="Q14" s="263"/>
    </row>
    <row r="15" spans="1:17">
      <c r="A15" s="263">
        <f t="shared" si="1"/>
        <v>14</v>
      </c>
      <c r="B15" s="263" t="s">
        <v>2576</v>
      </c>
      <c r="C15" s="263" t="s">
        <v>275</v>
      </c>
      <c r="D15" s="263">
        <v>1</v>
      </c>
      <c r="E15" s="263" t="s">
        <v>697</v>
      </c>
      <c r="F15" s="263" t="s">
        <v>3134</v>
      </c>
      <c r="G15" s="263"/>
      <c r="H15" s="263"/>
      <c r="I15" s="263" t="s">
        <v>683</v>
      </c>
      <c r="J15" s="263" t="s">
        <v>5435</v>
      </c>
      <c r="K15" s="436" t="s">
        <v>5842</v>
      </c>
      <c r="L15" s="263"/>
      <c r="M15" s="263"/>
      <c r="N15" s="263"/>
      <c r="O15" s="263"/>
      <c r="P15" s="263"/>
      <c r="Q15" s="263"/>
    </row>
    <row r="16" spans="1:17">
      <c r="A16" s="263">
        <f t="shared" si="1"/>
        <v>15</v>
      </c>
      <c r="B16" s="263" t="s">
        <v>2577</v>
      </c>
      <c r="C16" s="263" t="s">
        <v>275</v>
      </c>
      <c r="D16" s="263">
        <v>1</v>
      </c>
      <c r="E16" s="263" t="s">
        <v>698</v>
      </c>
      <c r="F16" s="263" t="s">
        <v>3134</v>
      </c>
      <c r="G16" s="263"/>
      <c r="H16" s="263"/>
      <c r="I16" s="263" t="s">
        <v>683</v>
      </c>
      <c r="J16" s="263" t="s">
        <v>5435</v>
      </c>
      <c r="K16" s="436" t="s">
        <v>5843</v>
      </c>
      <c r="L16" s="263"/>
      <c r="M16" s="263"/>
      <c r="N16" s="263"/>
      <c r="O16" s="263"/>
      <c r="P16" s="263"/>
      <c r="Q16" s="263"/>
    </row>
    <row r="17" spans="1:17">
      <c r="A17" s="263">
        <f t="shared" si="1"/>
        <v>16</v>
      </c>
      <c r="B17" s="263" t="s">
        <v>2578</v>
      </c>
      <c r="C17" s="263" t="s">
        <v>275</v>
      </c>
      <c r="D17" s="263">
        <v>1</v>
      </c>
      <c r="E17" s="263" t="s">
        <v>699</v>
      </c>
      <c r="F17" s="263" t="s">
        <v>3134</v>
      </c>
      <c r="G17" s="263"/>
      <c r="H17" s="263"/>
      <c r="I17" s="263" t="s">
        <v>683</v>
      </c>
      <c r="J17" s="263" t="s">
        <v>5435</v>
      </c>
      <c r="K17" s="436" t="s">
        <v>5844</v>
      </c>
      <c r="L17" s="263"/>
      <c r="M17" s="263"/>
      <c r="N17" s="263"/>
      <c r="O17" s="263"/>
      <c r="P17" s="263"/>
      <c r="Q17" s="263"/>
    </row>
    <row r="18" spans="1:17">
      <c r="A18" s="263">
        <f t="shared" si="1"/>
        <v>17</v>
      </c>
      <c r="B18" s="263" t="s">
        <v>2579</v>
      </c>
      <c r="C18" s="263" t="s">
        <v>275</v>
      </c>
      <c r="D18" s="263">
        <v>1</v>
      </c>
      <c r="E18" s="263" t="s">
        <v>700</v>
      </c>
      <c r="F18" s="263" t="s">
        <v>3134</v>
      </c>
      <c r="G18" s="263"/>
      <c r="H18" s="263"/>
      <c r="I18" s="263" t="s">
        <v>683</v>
      </c>
      <c r="J18" s="263" t="s">
        <v>5435</v>
      </c>
      <c r="K18" s="436" t="s">
        <v>5836</v>
      </c>
      <c r="L18" s="263"/>
      <c r="M18" s="263"/>
      <c r="N18" s="263"/>
      <c r="O18" s="263"/>
      <c r="P18" s="263"/>
      <c r="Q18" s="263"/>
    </row>
    <row r="19" spans="1:17">
      <c r="A19" s="263">
        <f t="shared" si="1"/>
        <v>18</v>
      </c>
      <c r="B19" s="263" t="s">
        <v>2580</v>
      </c>
      <c r="C19" s="263" t="s">
        <v>275</v>
      </c>
      <c r="D19" s="263">
        <v>1</v>
      </c>
      <c r="E19" s="263" t="s">
        <v>701</v>
      </c>
      <c r="F19" s="263" t="s">
        <v>3134</v>
      </c>
      <c r="G19" s="263"/>
      <c r="H19" s="263"/>
      <c r="I19" s="263" t="s">
        <v>683</v>
      </c>
      <c r="J19" s="263" t="s">
        <v>5435</v>
      </c>
      <c r="K19" s="436" t="s">
        <v>5837</v>
      </c>
      <c r="L19" s="263"/>
      <c r="M19" s="263"/>
      <c r="N19" s="263"/>
      <c r="O19" s="263"/>
      <c r="P19" s="263"/>
      <c r="Q19" s="263"/>
    </row>
    <row r="20" spans="1:17">
      <c r="A20" s="263">
        <f t="shared" si="1"/>
        <v>19</v>
      </c>
      <c r="B20" s="263" t="s">
        <v>2581</v>
      </c>
      <c r="C20" s="263" t="s">
        <v>275</v>
      </c>
      <c r="D20" s="263">
        <v>1</v>
      </c>
      <c r="E20" s="263" t="s">
        <v>731</v>
      </c>
      <c r="F20" s="263" t="s">
        <v>3134</v>
      </c>
      <c r="G20" s="263"/>
      <c r="H20" s="263"/>
      <c r="I20" s="263" t="s">
        <v>683</v>
      </c>
      <c r="J20" s="263" t="s">
        <v>5435</v>
      </c>
      <c r="K20" s="436" t="s">
        <v>174</v>
      </c>
      <c r="L20" s="263"/>
      <c r="M20" s="263"/>
      <c r="N20" s="263"/>
      <c r="O20" s="263"/>
      <c r="P20" s="263"/>
      <c r="Q20" s="263"/>
    </row>
    <row r="21" spans="1:17">
      <c r="A21" s="263">
        <f t="shared" si="1"/>
        <v>20</v>
      </c>
      <c r="B21" s="263" t="s">
        <v>2582</v>
      </c>
      <c r="C21" s="263" t="s">
        <v>275</v>
      </c>
      <c r="D21" s="263">
        <v>1</v>
      </c>
      <c r="E21" s="263" t="s">
        <v>730</v>
      </c>
      <c r="F21" s="263" t="s">
        <v>3134</v>
      </c>
      <c r="G21" s="263"/>
      <c r="H21" s="263"/>
      <c r="I21" s="263" t="s">
        <v>683</v>
      </c>
      <c r="J21" s="263" t="s">
        <v>5435</v>
      </c>
      <c r="K21" s="436" t="s">
        <v>173</v>
      </c>
      <c r="L21" s="263"/>
      <c r="M21" s="263"/>
      <c r="N21" s="263"/>
      <c r="O21" s="263"/>
      <c r="P21" s="263"/>
      <c r="Q21" s="263"/>
    </row>
    <row r="22" spans="1:17">
      <c r="A22" s="263">
        <f t="shared" si="1"/>
        <v>21</v>
      </c>
      <c r="B22" s="263" t="s">
        <v>2583</v>
      </c>
      <c r="C22" s="263" t="s">
        <v>275</v>
      </c>
      <c r="D22" s="263">
        <v>1</v>
      </c>
      <c r="E22" s="263" t="s">
        <v>732</v>
      </c>
      <c r="F22" s="263" t="s">
        <v>3134</v>
      </c>
      <c r="G22" s="263"/>
      <c r="H22" s="263"/>
      <c r="I22" s="263" t="s">
        <v>683</v>
      </c>
      <c r="J22" s="263" t="s">
        <v>5435</v>
      </c>
      <c r="K22" s="263" t="s">
        <v>175</v>
      </c>
      <c r="L22" s="263"/>
      <c r="M22" s="263"/>
      <c r="N22" s="263"/>
      <c r="O22" s="263"/>
      <c r="P22" s="263"/>
      <c r="Q22" s="263"/>
    </row>
    <row r="23" spans="1:17">
      <c r="A23" s="263">
        <f t="shared" si="1"/>
        <v>22</v>
      </c>
      <c r="B23" s="263" t="s">
        <v>2584</v>
      </c>
      <c r="C23" s="263" t="s">
        <v>275</v>
      </c>
      <c r="D23" s="263">
        <v>1</v>
      </c>
      <c r="E23" s="263" t="s">
        <v>733</v>
      </c>
      <c r="F23" s="263" t="s">
        <v>3134</v>
      </c>
      <c r="G23" s="263"/>
      <c r="H23" s="263"/>
      <c r="I23" s="263" t="s">
        <v>683</v>
      </c>
      <c r="J23" s="263" t="s">
        <v>5435</v>
      </c>
      <c r="K23" s="263" t="s">
        <v>176</v>
      </c>
      <c r="L23" s="263"/>
      <c r="M23" s="263"/>
      <c r="N23" s="263"/>
      <c r="O23" s="263"/>
      <c r="P23" s="263"/>
      <c r="Q23" s="263"/>
    </row>
    <row r="24" spans="1:17">
      <c r="A24" s="263">
        <f t="shared" si="1"/>
        <v>23</v>
      </c>
      <c r="B24" s="263" t="s">
        <v>2585</v>
      </c>
      <c r="C24" s="263" t="s">
        <v>275</v>
      </c>
      <c r="D24" s="263">
        <v>1</v>
      </c>
      <c r="E24" s="263" t="s">
        <v>181</v>
      </c>
      <c r="F24" s="263" t="s">
        <v>3134</v>
      </c>
      <c r="G24" s="263"/>
      <c r="H24" s="263"/>
      <c r="I24" s="263" t="s">
        <v>683</v>
      </c>
      <c r="J24" s="263" t="s">
        <v>5435</v>
      </c>
      <c r="K24" s="263" t="s">
        <v>181</v>
      </c>
      <c r="L24" s="263"/>
      <c r="M24" s="263"/>
      <c r="N24" s="263"/>
      <c r="O24" s="263"/>
      <c r="P24" s="263"/>
      <c r="Q24" s="263"/>
    </row>
    <row r="25" spans="1:17">
      <c r="A25" s="263">
        <f t="shared" si="1"/>
        <v>24</v>
      </c>
      <c r="B25" s="263" t="s">
        <v>2586</v>
      </c>
      <c r="C25" s="263" t="s">
        <v>275</v>
      </c>
      <c r="D25" s="263">
        <v>2</v>
      </c>
      <c r="E25" s="263" t="s">
        <v>685</v>
      </c>
      <c r="F25" s="263" t="s">
        <v>3134</v>
      </c>
      <c r="G25" s="263"/>
      <c r="H25" s="263"/>
      <c r="I25" s="263" t="s">
        <v>683</v>
      </c>
      <c r="J25" s="263" t="s">
        <v>5435</v>
      </c>
      <c r="K25" s="263" t="s">
        <v>1316</v>
      </c>
      <c r="L25" s="263"/>
      <c r="M25" s="263"/>
      <c r="N25" s="263"/>
      <c r="O25" s="263"/>
      <c r="P25" s="263"/>
      <c r="Q25" s="263"/>
    </row>
    <row r="26" spans="1:17">
      <c r="A26" s="263">
        <f t="shared" si="1"/>
        <v>25</v>
      </c>
      <c r="B26" s="263" t="s">
        <v>2587</v>
      </c>
      <c r="C26" s="263" t="s">
        <v>279</v>
      </c>
      <c r="D26" s="263">
        <v>15</v>
      </c>
      <c r="E26" s="263" t="s">
        <v>686</v>
      </c>
      <c r="F26" s="263" t="s">
        <v>3134</v>
      </c>
      <c r="G26" s="263"/>
      <c r="H26" s="263"/>
      <c r="I26" s="263" t="s">
        <v>683</v>
      </c>
      <c r="J26" s="263" t="s">
        <v>5435</v>
      </c>
      <c r="K26" s="263" t="s">
        <v>1317</v>
      </c>
      <c r="L26" s="263"/>
      <c r="M26" s="263"/>
      <c r="N26" s="263"/>
      <c r="O26" s="263"/>
      <c r="P26" s="263"/>
      <c r="Q26" s="263"/>
    </row>
    <row r="27" spans="1:17">
      <c r="A27" s="263">
        <f t="shared" si="1"/>
        <v>26</v>
      </c>
      <c r="B27" s="263" t="s">
        <v>2588</v>
      </c>
      <c r="C27" s="263" t="s">
        <v>279</v>
      </c>
      <c r="D27" s="263">
        <v>15</v>
      </c>
      <c r="E27" s="263" t="s">
        <v>177</v>
      </c>
      <c r="F27" s="263" t="s">
        <v>3134</v>
      </c>
      <c r="G27" s="263"/>
      <c r="H27" s="263"/>
      <c r="I27" s="263" t="s">
        <v>683</v>
      </c>
      <c r="J27" s="263" t="s">
        <v>5435</v>
      </c>
      <c r="K27" s="263" t="s">
        <v>177</v>
      </c>
      <c r="L27" s="263"/>
      <c r="M27" s="263"/>
      <c r="N27" s="263"/>
      <c r="O27" s="263"/>
      <c r="P27" s="263"/>
      <c r="Q27" s="263"/>
    </row>
    <row r="28" spans="1:17">
      <c r="A28" s="263">
        <f t="shared" si="1"/>
        <v>27</v>
      </c>
      <c r="B28" s="263" t="s">
        <v>2589</v>
      </c>
      <c r="C28" s="263" t="s">
        <v>279</v>
      </c>
      <c r="D28" s="263">
        <v>15</v>
      </c>
      <c r="E28" s="263" t="s">
        <v>178</v>
      </c>
      <c r="F28" s="263" t="s">
        <v>3134</v>
      </c>
      <c r="G28" s="263"/>
      <c r="H28" s="263"/>
      <c r="I28" s="263" t="s">
        <v>683</v>
      </c>
      <c r="J28" s="263" t="s">
        <v>5435</v>
      </c>
      <c r="K28" s="263" t="s">
        <v>178</v>
      </c>
      <c r="L28" s="263"/>
      <c r="M28" s="263"/>
      <c r="N28" s="263"/>
      <c r="O28" s="263"/>
      <c r="P28" s="263"/>
      <c r="Q28" s="263"/>
    </row>
    <row r="29" spans="1:17">
      <c r="A29" s="263">
        <f t="shared" si="1"/>
        <v>28</v>
      </c>
      <c r="B29" s="263" t="s">
        <v>2590</v>
      </c>
      <c r="C29" s="263" t="s">
        <v>279</v>
      </c>
      <c r="D29" s="263">
        <v>15</v>
      </c>
      <c r="E29" s="263" t="s">
        <v>179</v>
      </c>
      <c r="F29" s="263" t="s">
        <v>3134</v>
      </c>
      <c r="G29" s="263"/>
      <c r="H29" s="263"/>
      <c r="I29" s="263" t="s">
        <v>683</v>
      </c>
      <c r="J29" s="263" t="s">
        <v>5435</v>
      </c>
      <c r="K29" s="263" t="s">
        <v>179</v>
      </c>
      <c r="L29" s="263"/>
      <c r="M29" s="263"/>
      <c r="N29" s="263"/>
      <c r="O29" s="263"/>
      <c r="P29" s="263"/>
      <c r="Q29" s="263"/>
    </row>
    <row r="30" spans="1:17">
      <c r="A30" s="263">
        <f t="shared" si="1"/>
        <v>29</v>
      </c>
      <c r="B30" s="263" t="s">
        <v>2591</v>
      </c>
      <c r="C30" s="263" t="s">
        <v>279</v>
      </c>
      <c r="D30" s="263">
        <v>15</v>
      </c>
      <c r="E30" s="263" t="s">
        <v>180</v>
      </c>
      <c r="F30" s="263" t="s">
        <v>3134</v>
      </c>
      <c r="G30" s="263"/>
      <c r="H30" s="263"/>
      <c r="I30" s="263" t="s">
        <v>683</v>
      </c>
      <c r="J30" s="263" t="s">
        <v>5435</v>
      </c>
      <c r="K30" s="263" t="s">
        <v>180</v>
      </c>
      <c r="L30" s="263"/>
      <c r="M30" s="263"/>
      <c r="N30" s="263"/>
      <c r="O30" s="263"/>
      <c r="P30" s="263"/>
      <c r="Q30" s="263"/>
    </row>
    <row r="31" spans="1:17">
      <c r="A31" s="263">
        <f t="shared" si="1"/>
        <v>30</v>
      </c>
      <c r="B31" s="263" t="s">
        <v>2592</v>
      </c>
      <c r="C31" s="263" t="s">
        <v>279</v>
      </c>
      <c r="D31" s="263">
        <v>15</v>
      </c>
      <c r="E31" s="263" t="s">
        <v>4052</v>
      </c>
      <c r="F31" s="263" t="s">
        <v>3134</v>
      </c>
      <c r="G31" s="263"/>
      <c r="H31" s="263"/>
      <c r="I31" s="263" t="s">
        <v>683</v>
      </c>
      <c r="J31" s="263" t="s">
        <v>5435</v>
      </c>
      <c r="K31" s="263" t="s">
        <v>3080</v>
      </c>
      <c r="L31" s="263"/>
      <c r="M31" s="263"/>
      <c r="N31" s="263"/>
      <c r="O31" s="263"/>
      <c r="P31" s="263"/>
      <c r="Q31" s="263"/>
    </row>
    <row r="32" spans="1:17">
      <c r="A32" s="263">
        <f t="shared" si="1"/>
        <v>31</v>
      </c>
      <c r="B32" s="263" t="s">
        <v>2593</v>
      </c>
      <c r="C32" s="263" t="s">
        <v>279</v>
      </c>
      <c r="D32" s="263">
        <v>15</v>
      </c>
      <c r="E32" s="263" t="s">
        <v>1319</v>
      </c>
      <c r="F32" s="263" t="s">
        <v>3134</v>
      </c>
      <c r="G32" s="263"/>
      <c r="H32" s="263"/>
      <c r="I32" s="263" t="s">
        <v>683</v>
      </c>
      <c r="J32" s="263" t="s">
        <v>5435</v>
      </c>
      <c r="K32" s="263" t="s">
        <v>3089</v>
      </c>
      <c r="L32" s="263"/>
      <c r="M32" s="263"/>
      <c r="N32" s="263"/>
      <c r="O32" s="263"/>
      <c r="P32" s="263"/>
      <c r="Q32" s="263"/>
    </row>
    <row r="33" spans="1:17">
      <c r="A33" s="263">
        <f t="shared" si="1"/>
        <v>32</v>
      </c>
      <c r="B33" s="263" t="s">
        <v>2594</v>
      </c>
      <c r="C33" s="263" t="s">
        <v>279</v>
      </c>
      <c r="D33" s="263">
        <v>15</v>
      </c>
      <c r="E33" s="263" t="s">
        <v>342</v>
      </c>
      <c r="F33" s="263" t="s">
        <v>3134</v>
      </c>
      <c r="G33" s="263"/>
      <c r="H33" s="263"/>
      <c r="I33" s="263" t="s">
        <v>683</v>
      </c>
      <c r="J33" s="263" t="s">
        <v>5435</v>
      </c>
      <c r="K33" s="263" t="s">
        <v>5845</v>
      </c>
      <c r="L33" s="263"/>
      <c r="M33" s="263"/>
      <c r="N33" s="263"/>
      <c r="O33" s="263"/>
      <c r="P33" s="263"/>
      <c r="Q33" s="263"/>
    </row>
    <row r="34" spans="1:17">
      <c r="A34" s="263">
        <f t="shared" si="1"/>
        <v>33</v>
      </c>
      <c r="B34" s="263" t="s">
        <v>2595</v>
      </c>
      <c r="C34" s="263" t="s">
        <v>279</v>
      </c>
      <c r="D34" s="263">
        <v>15</v>
      </c>
      <c r="E34" s="263" t="s">
        <v>1322</v>
      </c>
      <c r="F34" s="263" t="s">
        <v>3134</v>
      </c>
      <c r="G34" s="263"/>
      <c r="H34" s="263"/>
      <c r="I34" s="263" t="s">
        <v>683</v>
      </c>
      <c r="J34" s="263" t="s">
        <v>5435</v>
      </c>
      <c r="K34" s="263" t="s">
        <v>5846</v>
      </c>
      <c r="L34" s="263"/>
      <c r="M34" s="263"/>
      <c r="N34" s="263"/>
      <c r="O34" s="263"/>
      <c r="P34" s="263"/>
      <c r="Q34" s="263"/>
    </row>
    <row r="35" spans="1:17">
      <c r="A35" s="263">
        <f t="shared" si="1"/>
        <v>34</v>
      </c>
      <c r="B35" s="263" t="s">
        <v>2596</v>
      </c>
      <c r="C35" s="263" t="s">
        <v>279</v>
      </c>
      <c r="D35" s="263">
        <v>15</v>
      </c>
      <c r="E35" s="263" t="s">
        <v>343</v>
      </c>
      <c r="F35" s="263" t="s">
        <v>3134</v>
      </c>
      <c r="G35" s="263"/>
      <c r="H35" s="263"/>
      <c r="I35" s="263" t="s">
        <v>683</v>
      </c>
      <c r="J35" s="263" t="s">
        <v>5435</v>
      </c>
      <c r="K35" s="263" t="s">
        <v>3086</v>
      </c>
      <c r="L35" s="263"/>
      <c r="M35" s="263"/>
      <c r="N35" s="263"/>
      <c r="O35" s="263"/>
      <c r="P35" s="263"/>
      <c r="Q35" s="263"/>
    </row>
    <row r="36" spans="1:17">
      <c r="A36" s="263">
        <f t="shared" si="1"/>
        <v>35</v>
      </c>
      <c r="B36" s="263" t="s">
        <v>2597</v>
      </c>
      <c r="C36" s="263" t="s">
        <v>279</v>
      </c>
      <c r="D36" s="263">
        <v>15</v>
      </c>
      <c r="E36" s="263" t="s">
        <v>344</v>
      </c>
      <c r="F36" s="263" t="s">
        <v>3134</v>
      </c>
      <c r="G36" s="263"/>
      <c r="H36" s="263"/>
      <c r="I36" s="263" t="s">
        <v>683</v>
      </c>
      <c r="J36" s="263" t="s">
        <v>5435</v>
      </c>
      <c r="K36" s="263" t="s">
        <v>3087</v>
      </c>
      <c r="L36" s="263"/>
      <c r="M36" s="263"/>
      <c r="N36" s="263"/>
      <c r="O36" s="263"/>
      <c r="P36" s="263"/>
      <c r="Q36" s="263"/>
    </row>
    <row r="37" spans="1:17">
      <c r="A37" s="263">
        <f t="shared" si="1"/>
        <v>36</v>
      </c>
      <c r="B37" s="263" t="s">
        <v>2598</v>
      </c>
      <c r="C37" s="263" t="s">
        <v>279</v>
      </c>
      <c r="D37" s="263">
        <v>15</v>
      </c>
      <c r="E37" s="263" t="s">
        <v>345</v>
      </c>
      <c r="F37" s="263" t="s">
        <v>3134</v>
      </c>
      <c r="G37" s="263"/>
      <c r="H37" s="263"/>
      <c r="I37" s="263" t="s">
        <v>683</v>
      </c>
      <c r="J37" s="263" t="s">
        <v>5435</v>
      </c>
      <c r="K37" s="263" t="s">
        <v>1326</v>
      </c>
      <c r="L37" s="263"/>
      <c r="M37" s="263"/>
      <c r="N37" s="263"/>
      <c r="O37" s="263"/>
      <c r="P37" s="263"/>
      <c r="Q37" s="263"/>
    </row>
    <row r="38" spans="1:17">
      <c r="A38" s="263">
        <f t="shared" si="1"/>
        <v>37</v>
      </c>
      <c r="B38" s="263" t="s">
        <v>2599</v>
      </c>
      <c r="C38" s="263" t="s">
        <v>279</v>
      </c>
      <c r="D38" s="263">
        <v>15</v>
      </c>
      <c r="E38" s="263" t="s">
        <v>346</v>
      </c>
      <c r="F38" s="263" t="s">
        <v>3134</v>
      </c>
      <c r="G38" s="263"/>
      <c r="H38" s="263"/>
      <c r="I38" s="263" t="s">
        <v>683</v>
      </c>
      <c r="J38" s="263" t="s">
        <v>5435</v>
      </c>
      <c r="K38" s="263" t="s">
        <v>739</v>
      </c>
      <c r="L38" s="263"/>
      <c r="M38" s="263"/>
      <c r="N38" s="263"/>
      <c r="O38" s="263"/>
      <c r="P38" s="263"/>
      <c r="Q38" s="263"/>
    </row>
    <row r="39" spans="1:17">
      <c r="A39" s="263">
        <f t="shared" si="1"/>
        <v>38</v>
      </c>
      <c r="B39" s="263" t="s">
        <v>2600</v>
      </c>
      <c r="C39" s="263" t="s">
        <v>279</v>
      </c>
      <c r="D39" s="263">
        <v>15</v>
      </c>
      <c r="E39" s="263" t="s">
        <v>740</v>
      </c>
      <c r="F39" s="263" t="s">
        <v>3134</v>
      </c>
      <c r="G39" s="263"/>
      <c r="H39" s="263"/>
      <c r="I39" s="263" t="s">
        <v>683</v>
      </c>
      <c r="J39" s="263" t="s">
        <v>5890</v>
      </c>
      <c r="K39" s="263">
        <v>0</v>
      </c>
      <c r="L39" s="263"/>
      <c r="M39" s="263"/>
      <c r="N39" s="263"/>
      <c r="O39" s="263"/>
      <c r="P39" s="263"/>
      <c r="Q39" s="263"/>
    </row>
    <row r="40" spans="1:17">
      <c r="A40" s="263">
        <f t="shared" si="1"/>
        <v>39</v>
      </c>
      <c r="B40" s="263" t="s">
        <v>2601</v>
      </c>
      <c r="C40" s="263" t="s">
        <v>279</v>
      </c>
      <c r="D40" s="263">
        <v>15</v>
      </c>
      <c r="E40" s="263" t="s">
        <v>659</v>
      </c>
      <c r="F40" s="263" t="s">
        <v>3134</v>
      </c>
      <c r="G40" s="263"/>
      <c r="H40" s="263"/>
      <c r="I40" s="263" t="s">
        <v>683</v>
      </c>
      <c r="J40" s="263" t="s">
        <v>5890</v>
      </c>
      <c r="K40" s="263">
        <v>0</v>
      </c>
      <c r="L40" s="263"/>
      <c r="M40" s="263"/>
      <c r="N40" s="263"/>
      <c r="O40" s="263"/>
      <c r="P40" s="263"/>
      <c r="Q40" s="263"/>
    </row>
    <row r="41" spans="1:17">
      <c r="A41" s="263">
        <f t="shared" si="1"/>
        <v>40</v>
      </c>
      <c r="B41" s="263" t="s">
        <v>2602</v>
      </c>
      <c r="C41" s="263" t="s">
        <v>275</v>
      </c>
      <c r="D41" s="263">
        <v>1</v>
      </c>
      <c r="E41" s="263" t="s">
        <v>1327</v>
      </c>
      <c r="F41" s="263" t="s">
        <v>3134</v>
      </c>
      <c r="G41" s="263"/>
      <c r="H41" s="263"/>
      <c r="I41" s="263" t="s">
        <v>683</v>
      </c>
      <c r="J41" s="263"/>
      <c r="K41" s="263" t="s">
        <v>1328</v>
      </c>
      <c r="L41" s="263" t="s">
        <v>5847</v>
      </c>
      <c r="M41" s="263"/>
      <c r="N41" s="263"/>
      <c r="O41" s="263"/>
      <c r="P41" s="263"/>
      <c r="Q41" s="263"/>
    </row>
    <row r="42" spans="1:17">
      <c r="A42" s="263">
        <f t="shared" si="1"/>
        <v>41</v>
      </c>
      <c r="B42" s="263" t="s">
        <v>2603</v>
      </c>
      <c r="C42" s="263" t="s">
        <v>275</v>
      </c>
      <c r="D42" s="263">
        <v>2</v>
      </c>
      <c r="E42" s="263" t="s">
        <v>645</v>
      </c>
      <c r="F42" s="263" t="s">
        <v>3134</v>
      </c>
      <c r="G42" s="263"/>
      <c r="H42" s="263"/>
      <c r="I42" s="263" t="s">
        <v>683</v>
      </c>
      <c r="J42" s="263" t="s">
        <v>5831</v>
      </c>
      <c r="K42" s="263" t="s">
        <v>741</v>
      </c>
      <c r="L42" s="263"/>
      <c r="M42" s="263"/>
      <c r="N42" s="263"/>
      <c r="O42" s="263" t="s">
        <v>2956</v>
      </c>
      <c r="P42" s="263" t="s">
        <v>3217</v>
      </c>
      <c r="Q42" s="263"/>
    </row>
    <row r="43" spans="1:17">
      <c r="A43" s="263">
        <f t="shared" si="1"/>
        <v>42</v>
      </c>
      <c r="B43" s="263" t="s">
        <v>2604</v>
      </c>
      <c r="C43" s="263" t="s">
        <v>275</v>
      </c>
      <c r="D43" s="263">
        <v>1</v>
      </c>
      <c r="E43" s="263" t="s">
        <v>347</v>
      </c>
      <c r="F43" s="263" t="s">
        <v>3134</v>
      </c>
      <c r="G43" s="263"/>
      <c r="H43" s="263"/>
      <c r="I43" s="263" t="s">
        <v>683</v>
      </c>
      <c r="J43" s="263" t="s">
        <v>5831</v>
      </c>
      <c r="K43" s="263" t="s">
        <v>3062</v>
      </c>
      <c r="L43" s="263"/>
      <c r="M43" s="263"/>
      <c r="N43" s="263"/>
      <c r="O43" s="263" t="s">
        <v>2956</v>
      </c>
      <c r="P43" s="263" t="s">
        <v>3217</v>
      </c>
      <c r="Q43" s="263"/>
    </row>
    <row r="44" spans="1:17" s="341" customFormat="1">
      <c r="A44" s="339">
        <f t="shared" si="1"/>
        <v>43</v>
      </c>
      <c r="B44" s="339" t="s">
        <v>3520</v>
      </c>
      <c r="C44" s="339" t="s">
        <v>275</v>
      </c>
      <c r="D44" s="339">
        <v>2</v>
      </c>
      <c r="E44" s="339" t="s">
        <v>296</v>
      </c>
      <c r="F44" s="339" t="s">
        <v>3134</v>
      </c>
      <c r="G44" s="339" t="s">
        <v>3518</v>
      </c>
      <c r="H44" s="239" t="s">
        <v>3329</v>
      </c>
      <c r="I44" s="239" t="s">
        <v>683</v>
      </c>
      <c r="J44" s="197" t="s">
        <v>5435</v>
      </c>
      <c r="K44" s="197" t="s">
        <v>296</v>
      </c>
      <c r="L44" s="339"/>
      <c r="M44" s="339"/>
      <c r="N44" s="339"/>
      <c r="O44" s="339" t="s">
        <v>2956</v>
      </c>
      <c r="P44" s="339" t="s">
        <v>3538</v>
      </c>
      <c r="Q44" s="339"/>
    </row>
    <row r="45" spans="1:17" s="341" customFormat="1">
      <c r="A45" s="339">
        <f t="shared" si="1"/>
        <v>44</v>
      </c>
      <c r="B45" s="339" t="s">
        <v>3527</v>
      </c>
      <c r="C45" s="339" t="s">
        <v>275</v>
      </c>
      <c r="D45" s="339">
        <v>2</v>
      </c>
      <c r="E45" s="339" t="s">
        <v>3532</v>
      </c>
      <c r="F45" s="339" t="s">
        <v>3134</v>
      </c>
      <c r="G45" s="339" t="s">
        <v>3537</v>
      </c>
      <c r="H45" s="239" t="s">
        <v>3329</v>
      </c>
      <c r="I45" s="239" t="s">
        <v>683</v>
      </c>
      <c r="J45" s="197" t="s">
        <v>5435</v>
      </c>
      <c r="K45" s="197" t="s">
        <v>3532</v>
      </c>
      <c r="L45" s="339"/>
      <c r="M45" s="339"/>
      <c r="N45" s="339"/>
      <c r="O45" s="339" t="s">
        <v>2956</v>
      </c>
      <c r="P45" s="339" t="s">
        <v>3539</v>
      </c>
      <c r="Q45" s="339"/>
    </row>
    <row r="46" spans="1:17" s="341" customFormat="1">
      <c r="A46" s="339">
        <f t="shared" si="1"/>
        <v>45</v>
      </c>
      <c r="B46" s="339" t="s">
        <v>3528</v>
      </c>
      <c r="C46" s="339" t="s">
        <v>279</v>
      </c>
      <c r="D46" s="339">
        <v>15</v>
      </c>
      <c r="E46" s="339" t="s">
        <v>3533</v>
      </c>
      <c r="F46" s="339" t="s">
        <v>3134</v>
      </c>
      <c r="G46" s="339" t="s">
        <v>3537</v>
      </c>
      <c r="H46" s="239" t="s">
        <v>3329</v>
      </c>
      <c r="I46" s="239" t="s">
        <v>683</v>
      </c>
      <c r="J46" s="197" t="s">
        <v>5435</v>
      </c>
      <c r="K46" s="197" t="s">
        <v>3533</v>
      </c>
      <c r="L46" s="339"/>
      <c r="M46" s="339"/>
      <c r="N46" s="339"/>
      <c r="O46" s="339" t="s">
        <v>2956</v>
      </c>
      <c r="P46" s="339" t="s">
        <v>3539</v>
      </c>
      <c r="Q46" s="339"/>
    </row>
    <row r="47" spans="1:17" s="341" customFormat="1">
      <c r="A47" s="339">
        <f t="shared" si="1"/>
        <v>46</v>
      </c>
      <c r="B47" s="339" t="s">
        <v>3529</v>
      </c>
      <c r="C47" s="339" t="s">
        <v>279</v>
      </c>
      <c r="D47" s="339">
        <v>15</v>
      </c>
      <c r="E47" s="339" t="s">
        <v>3534</v>
      </c>
      <c r="F47" s="339" t="s">
        <v>3134</v>
      </c>
      <c r="G47" s="339" t="s">
        <v>3537</v>
      </c>
      <c r="H47" s="239" t="s">
        <v>3329</v>
      </c>
      <c r="I47" s="239" t="s">
        <v>683</v>
      </c>
      <c r="J47" s="197" t="s">
        <v>5435</v>
      </c>
      <c r="K47" s="197" t="s">
        <v>3534</v>
      </c>
      <c r="L47" s="339"/>
      <c r="M47" s="339"/>
      <c r="N47" s="339"/>
      <c r="O47" s="339" t="s">
        <v>2956</v>
      </c>
      <c r="P47" s="339" t="s">
        <v>3539</v>
      </c>
      <c r="Q47" s="339"/>
    </row>
    <row r="48" spans="1:17" s="341" customFormat="1">
      <c r="A48" s="339">
        <f t="shared" si="1"/>
        <v>47</v>
      </c>
      <c r="B48" s="339" t="s">
        <v>3530</v>
      </c>
      <c r="C48" s="339" t="s">
        <v>279</v>
      </c>
      <c r="D48" s="339">
        <v>15</v>
      </c>
      <c r="E48" s="339" t="s">
        <v>3535</v>
      </c>
      <c r="F48" s="339" t="s">
        <v>3134</v>
      </c>
      <c r="G48" s="339" t="s">
        <v>3537</v>
      </c>
      <c r="H48" s="239" t="s">
        <v>3329</v>
      </c>
      <c r="I48" s="239" t="s">
        <v>683</v>
      </c>
      <c r="J48" s="197" t="s">
        <v>5435</v>
      </c>
      <c r="K48" s="197" t="s">
        <v>3535</v>
      </c>
      <c r="L48" s="339"/>
      <c r="M48" s="339"/>
      <c r="N48" s="339"/>
      <c r="O48" s="339" t="s">
        <v>2956</v>
      </c>
      <c r="P48" s="339" t="s">
        <v>3539</v>
      </c>
      <c r="Q48" s="339"/>
    </row>
    <row r="49" spans="1:17" s="341" customFormat="1">
      <c r="A49" s="339">
        <f t="shared" si="1"/>
        <v>48</v>
      </c>
      <c r="B49" s="339" t="s">
        <v>3531</v>
      </c>
      <c r="C49" s="339" t="s">
        <v>279</v>
      </c>
      <c r="D49" s="339">
        <v>15</v>
      </c>
      <c r="E49" s="339" t="s">
        <v>3536</v>
      </c>
      <c r="F49" s="339" t="s">
        <v>3134</v>
      </c>
      <c r="G49" s="339" t="s">
        <v>3537</v>
      </c>
      <c r="H49" s="239" t="s">
        <v>3329</v>
      </c>
      <c r="I49" s="239" t="s">
        <v>683</v>
      </c>
      <c r="J49" s="197" t="s">
        <v>5435</v>
      </c>
      <c r="K49" s="197" t="s">
        <v>3536</v>
      </c>
      <c r="L49" s="339"/>
      <c r="M49" s="339"/>
      <c r="N49" s="339"/>
      <c r="O49" s="339" t="s">
        <v>2956</v>
      </c>
      <c r="P49" s="339" t="s">
        <v>3539</v>
      </c>
      <c r="Q49" s="339"/>
    </row>
    <row r="50" spans="1:17">
      <c r="A50" s="320">
        <f t="shared" ref="A50:A533" si="2">ROW()-1</f>
        <v>49</v>
      </c>
      <c r="B50" s="263" t="s">
        <v>5168</v>
      </c>
      <c r="C50" s="343" t="s">
        <v>279</v>
      </c>
      <c r="D50" s="343">
        <v>15</v>
      </c>
      <c r="E50" s="263" t="s">
        <v>5175</v>
      </c>
      <c r="F50" s="263"/>
      <c r="G50" s="263"/>
      <c r="H50" s="263"/>
      <c r="I50" s="263"/>
      <c r="J50" s="263" t="s">
        <v>5848</v>
      </c>
      <c r="K50" s="263" t="s">
        <v>5849</v>
      </c>
      <c r="L50" s="263"/>
      <c r="M50" s="263"/>
      <c r="N50" s="263"/>
      <c r="O50" s="263"/>
      <c r="P50" s="263"/>
      <c r="Q50" s="263"/>
    </row>
    <row r="51" spans="1:17">
      <c r="A51" s="320">
        <f t="shared" si="2"/>
        <v>50</v>
      </c>
      <c r="B51" s="263" t="s">
        <v>5169</v>
      </c>
      <c r="C51" s="343" t="s">
        <v>279</v>
      </c>
      <c r="D51" s="343">
        <v>15</v>
      </c>
      <c r="E51" s="263" t="s">
        <v>5176</v>
      </c>
      <c r="F51" s="263"/>
      <c r="G51" s="263"/>
      <c r="H51" s="263"/>
      <c r="I51" s="263"/>
      <c r="J51" s="263" t="s">
        <v>5437</v>
      </c>
      <c r="K51" s="263" t="s">
        <v>5850</v>
      </c>
      <c r="L51" s="263"/>
      <c r="M51" s="263"/>
      <c r="N51" s="263"/>
      <c r="O51" s="263"/>
      <c r="P51" s="263"/>
      <c r="Q51" s="263"/>
    </row>
    <row r="52" spans="1:17">
      <c r="A52" s="320">
        <f t="shared" si="2"/>
        <v>51</v>
      </c>
      <c r="B52" s="263" t="s">
        <v>5170</v>
      </c>
      <c r="C52" s="343" t="s">
        <v>275</v>
      </c>
      <c r="D52" s="263">
        <v>2</v>
      </c>
      <c r="E52" s="263" t="s">
        <v>5181</v>
      </c>
      <c r="F52" s="263"/>
      <c r="G52" s="263"/>
      <c r="H52" s="263"/>
      <c r="I52" s="263"/>
      <c r="J52" s="263" t="s">
        <v>5851</v>
      </c>
      <c r="K52" s="263" t="s">
        <v>5852</v>
      </c>
      <c r="L52" s="263"/>
      <c r="M52" s="263"/>
      <c r="N52" s="263"/>
      <c r="O52" s="263"/>
      <c r="P52" s="263"/>
      <c r="Q52" s="263"/>
    </row>
    <row r="53" spans="1:17">
      <c r="A53" s="320">
        <f t="shared" si="2"/>
        <v>52</v>
      </c>
      <c r="B53" s="263" t="s">
        <v>5171</v>
      </c>
      <c r="C53" s="343" t="s">
        <v>279</v>
      </c>
      <c r="D53" s="343">
        <v>15</v>
      </c>
      <c r="E53" s="263" t="s">
        <v>5177</v>
      </c>
      <c r="F53" s="263"/>
      <c r="G53" s="263"/>
      <c r="H53" s="263"/>
      <c r="I53" s="263"/>
      <c r="J53" s="263" t="s">
        <v>5853</v>
      </c>
      <c r="K53" s="263" t="s">
        <v>5854</v>
      </c>
      <c r="L53" s="263"/>
      <c r="M53" s="263"/>
      <c r="N53" s="263"/>
      <c r="O53" s="263"/>
      <c r="P53" s="263"/>
      <c r="Q53" s="263"/>
    </row>
    <row r="54" spans="1:17">
      <c r="A54" s="320">
        <f t="shared" si="2"/>
        <v>53</v>
      </c>
      <c r="B54" s="263" t="s">
        <v>5172</v>
      </c>
      <c r="C54" s="343" t="s">
        <v>279</v>
      </c>
      <c r="D54" s="343">
        <v>15</v>
      </c>
      <c r="E54" s="263" t="s">
        <v>5178</v>
      </c>
      <c r="F54" s="263"/>
      <c r="G54" s="263"/>
      <c r="H54" s="263"/>
      <c r="J54" s="197" t="s">
        <v>5435</v>
      </c>
      <c r="K54" s="263" t="s">
        <v>5111</v>
      </c>
      <c r="L54" s="263"/>
      <c r="M54" s="263"/>
      <c r="N54" s="263"/>
      <c r="O54" s="263"/>
      <c r="P54" s="263"/>
      <c r="Q54" s="263"/>
    </row>
    <row r="55" spans="1:17">
      <c r="A55" s="320">
        <f t="shared" si="2"/>
        <v>54</v>
      </c>
      <c r="B55" s="263" t="s">
        <v>5173</v>
      </c>
      <c r="C55" s="343" t="s">
        <v>279</v>
      </c>
      <c r="D55" s="343">
        <v>15</v>
      </c>
      <c r="E55" s="263" t="s">
        <v>5179</v>
      </c>
      <c r="F55" s="263"/>
      <c r="G55" s="263"/>
      <c r="H55" s="263"/>
      <c r="J55" s="339" t="s">
        <v>5853</v>
      </c>
      <c r="K55" s="263" t="s">
        <v>5855</v>
      </c>
      <c r="L55" s="263"/>
      <c r="M55" s="263"/>
      <c r="N55" s="263"/>
      <c r="O55" s="263"/>
      <c r="P55" s="263"/>
      <c r="Q55" s="263"/>
    </row>
    <row r="56" spans="1:17">
      <c r="A56" s="320">
        <f t="shared" si="2"/>
        <v>55</v>
      </c>
      <c r="B56" s="263" t="s">
        <v>5174</v>
      </c>
      <c r="C56" s="343" t="s">
        <v>279</v>
      </c>
      <c r="D56" s="343">
        <v>15</v>
      </c>
      <c r="E56" s="263" t="s">
        <v>5180</v>
      </c>
      <c r="F56" s="263"/>
      <c r="G56" s="263"/>
      <c r="H56" s="263"/>
      <c r="J56" s="197" t="s">
        <v>5435</v>
      </c>
      <c r="K56" s="263" t="s">
        <v>5136</v>
      </c>
      <c r="L56" s="263"/>
      <c r="M56" s="263"/>
      <c r="N56" s="263"/>
      <c r="O56" s="263"/>
      <c r="P56" s="263"/>
      <c r="Q56" s="263"/>
    </row>
    <row r="57" spans="1:17">
      <c r="A57" s="320">
        <f t="shared" si="2"/>
        <v>56</v>
      </c>
      <c r="B57" s="263" t="s">
        <v>5382</v>
      </c>
      <c r="C57" s="343" t="s">
        <v>275</v>
      </c>
      <c r="D57" s="343">
        <v>1</v>
      </c>
      <c r="E57" s="178" t="s">
        <v>5383</v>
      </c>
      <c r="I57" s="178" t="s">
        <v>5384</v>
      </c>
      <c r="J57" s="178" t="s">
        <v>5856</v>
      </c>
      <c r="K57" s="178" t="s">
        <v>5857</v>
      </c>
      <c r="L57" s="178" t="s">
        <v>5858</v>
      </c>
    </row>
    <row r="58" spans="1:17" s="252" customFormat="1">
      <c r="A58" s="239">
        <f t="shared" si="0"/>
        <v>57</v>
      </c>
      <c r="B58" s="245" t="s">
        <v>3511</v>
      </c>
      <c r="C58" s="240" t="s">
        <v>279</v>
      </c>
      <c r="D58" s="240">
        <v>15</v>
      </c>
      <c r="E58" s="197" t="s">
        <v>3509</v>
      </c>
      <c r="F58" s="245" t="s">
        <v>3133</v>
      </c>
      <c r="G58" s="239"/>
      <c r="H58" s="239" t="s">
        <v>3329</v>
      </c>
      <c r="I58" s="239" t="s">
        <v>683</v>
      </c>
      <c r="J58" s="197" t="s">
        <v>5435</v>
      </c>
      <c r="K58" s="197" t="s">
        <v>3512</v>
      </c>
      <c r="L58" s="247"/>
      <c r="M58" s="197"/>
      <c r="N58" s="246"/>
      <c r="O58" s="239" t="s">
        <v>2329</v>
      </c>
      <c r="P58" s="239" t="s">
        <v>3510</v>
      </c>
      <c r="Q58" s="320"/>
    </row>
    <row r="59" spans="1:17" ht="12">
      <c r="A59" s="263">
        <f t="shared" si="1"/>
        <v>58</v>
      </c>
      <c r="B59" s="263" t="s">
        <v>2120</v>
      </c>
      <c r="C59" s="263" t="s">
        <v>275</v>
      </c>
      <c r="D59" s="263">
        <v>60</v>
      </c>
      <c r="E59" s="263" t="s">
        <v>1</v>
      </c>
      <c r="F59" s="263" t="s">
        <v>3134</v>
      </c>
      <c r="G59" s="263"/>
      <c r="H59" s="263"/>
      <c r="I59" s="263" t="s">
        <v>682</v>
      </c>
      <c r="J59" s="263" t="s">
        <v>5427</v>
      </c>
      <c r="K59" s="437" t="s">
        <v>5428</v>
      </c>
      <c r="L59" s="263"/>
      <c r="M59" s="263"/>
      <c r="N59" s="263"/>
      <c r="O59" s="263"/>
      <c r="P59" s="263"/>
      <c r="Q59" s="263"/>
    </row>
    <row r="60" spans="1:17" ht="12">
      <c r="A60" s="263">
        <f t="shared" si="1"/>
        <v>59</v>
      </c>
      <c r="B60" s="263" t="s">
        <v>2121</v>
      </c>
      <c r="C60" s="263" t="s">
        <v>275</v>
      </c>
      <c r="D60" s="263">
        <v>1</v>
      </c>
      <c r="E60" s="263" t="s">
        <v>2705</v>
      </c>
      <c r="F60" s="263" t="s">
        <v>3134</v>
      </c>
      <c r="G60" s="263"/>
      <c r="H60" s="263"/>
      <c r="I60" s="263" t="s">
        <v>682</v>
      </c>
      <c r="J60" s="263" t="s">
        <v>5427</v>
      </c>
      <c r="K60" s="437" t="s">
        <v>2818</v>
      </c>
      <c r="L60" s="263"/>
      <c r="M60" s="263"/>
      <c r="N60" s="263"/>
      <c r="O60" s="263"/>
      <c r="P60" s="263"/>
      <c r="Q60" s="263"/>
    </row>
    <row r="61" spans="1:17" ht="12">
      <c r="A61" s="263">
        <f t="shared" si="1"/>
        <v>60</v>
      </c>
      <c r="B61" s="263" t="s">
        <v>2122</v>
      </c>
      <c r="C61" s="263" t="s">
        <v>275</v>
      </c>
      <c r="D61" s="263">
        <v>1</v>
      </c>
      <c r="E61" s="263" t="s">
        <v>2706</v>
      </c>
      <c r="F61" s="263" t="s">
        <v>3134</v>
      </c>
      <c r="G61" s="263"/>
      <c r="H61" s="263"/>
      <c r="I61" s="263" t="s">
        <v>682</v>
      </c>
      <c r="J61" s="263" t="s">
        <v>5427</v>
      </c>
      <c r="K61" s="437" t="s">
        <v>2706</v>
      </c>
      <c r="L61" s="263"/>
      <c r="M61" s="263"/>
      <c r="N61" s="263"/>
      <c r="O61" s="263"/>
      <c r="P61" s="263"/>
      <c r="Q61" s="263"/>
    </row>
    <row r="62" spans="1:17" ht="12">
      <c r="A62" s="263">
        <f t="shared" si="1"/>
        <v>61</v>
      </c>
      <c r="B62" s="263" t="s">
        <v>2605</v>
      </c>
      <c r="C62" s="263" t="s">
        <v>275</v>
      </c>
      <c r="D62" s="263">
        <v>1</v>
      </c>
      <c r="E62" s="263" t="s">
        <v>2707</v>
      </c>
      <c r="F62" s="263" t="s">
        <v>3134</v>
      </c>
      <c r="G62" s="263"/>
      <c r="H62" s="263"/>
      <c r="I62" s="263" t="s">
        <v>682</v>
      </c>
      <c r="J62" s="263" t="s">
        <v>5427</v>
      </c>
      <c r="K62" s="437" t="s">
        <v>2819</v>
      </c>
      <c r="L62" s="263"/>
      <c r="M62" s="263"/>
      <c r="N62" s="263"/>
      <c r="O62" s="263"/>
      <c r="P62" s="263"/>
      <c r="Q62" s="263"/>
    </row>
    <row r="63" spans="1:17" ht="12">
      <c r="A63" s="263">
        <f t="shared" si="1"/>
        <v>62</v>
      </c>
      <c r="B63" s="263" t="s">
        <v>2606</v>
      </c>
      <c r="C63" s="263" t="s">
        <v>275</v>
      </c>
      <c r="D63" s="263">
        <v>1</v>
      </c>
      <c r="E63" s="263" t="s">
        <v>2708</v>
      </c>
      <c r="F63" s="263" t="s">
        <v>3134</v>
      </c>
      <c r="G63" s="263"/>
      <c r="H63" s="263"/>
      <c r="I63" s="263" t="s">
        <v>682</v>
      </c>
      <c r="J63" s="263" t="s">
        <v>5427</v>
      </c>
      <c r="K63" s="437" t="s">
        <v>2708</v>
      </c>
      <c r="L63" s="263"/>
      <c r="M63" s="263"/>
      <c r="N63" s="263"/>
      <c r="O63" s="263"/>
      <c r="P63" s="263"/>
      <c r="Q63" s="263"/>
    </row>
    <row r="64" spans="1:17" s="181" customFormat="1">
      <c r="A64" s="264">
        <f t="shared" si="1"/>
        <v>63</v>
      </c>
      <c r="B64" s="264" t="s">
        <v>2123</v>
      </c>
      <c r="C64" s="264" t="s">
        <v>279</v>
      </c>
      <c r="D64" s="264">
        <v>15</v>
      </c>
      <c r="E64" s="264" t="s">
        <v>2709</v>
      </c>
      <c r="F64" s="264" t="s">
        <v>3134</v>
      </c>
      <c r="G64" s="264"/>
      <c r="H64" s="264"/>
      <c r="I64" s="264" t="s">
        <v>682</v>
      </c>
      <c r="J64" s="264" t="s">
        <v>5427</v>
      </c>
      <c r="K64" s="264"/>
      <c r="L64" s="264"/>
      <c r="M64" s="264"/>
      <c r="N64" s="264"/>
      <c r="O64" s="264"/>
      <c r="P64" s="264"/>
      <c r="Q64" s="264"/>
    </row>
    <row r="65" spans="1:17" s="181" customFormat="1">
      <c r="A65" s="264">
        <f t="shared" si="1"/>
        <v>64</v>
      </c>
      <c r="B65" s="264" t="s">
        <v>2124</v>
      </c>
      <c r="C65" s="264" t="s">
        <v>279</v>
      </c>
      <c r="D65" s="264">
        <v>15</v>
      </c>
      <c r="E65" s="264" t="s">
        <v>2710</v>
      </c>
      <c r="F65" s="264" t="s">
        <v>3134</v>
      </c>
      <c r="G65" s="264"/>
      <c r="H65" s="264"/>
      <c r="I65" s="264" t="s">
        <v>682</v>
      </c>
      <c r="J65" s="264" t="s">
        <v>5427</v>
      </c>
      <c r="K65" s="264"/>
      <c r="L65" s="264"/>
      <c r="M65" s="264"/>
      <c r="N65" s="264"/>
      <c r="O65" s="264"/>
      <c r="P65" s="264"/>
      <c r="Q65" s="264"/>
    </row>
    <row r="66" spans="1:17" ht="12">
      <c r="A66" s="263">
        <f t="shared" si="1"/>
        <v>65</v>
      </c>
      <c r="B66" s="263" t="s">
        <v>2125</v>
      </c>
      <c r="C66" s="263" t="s">
        <v>279</v>
      </c>
      <c r="D66" s="263">
        <v>15</v>
      </c>
      <c r="E66" s="263" t="s">
        <v>334</v>
      </c>
      <c r="F66" s="263" t="s">
        <v>3134</v>
      </c>
      <c r="G66" s="263"/>
      <c r="H66" s="263"/>
      <c r="I66" s="263" t="s">
        <v>682</v>
      </c>
      <c r="J66" s="263" t="s">
        <v>5427</v>
      </c>
      <c r="K66" s="437" t="s">
        <v>253</v>
      </c>
      <c r="L66" s="263"/>
      <c r="M66" s="263"/>
      <c r="N66" s="263"/>
      <c r="O66" s="263"/>
      <c r="P66" s="263"/>
      <c r="Q66" s="263"/>
    </row>
    <row r="67" spans="1:17" ht="12">
      <c r="A67" s="263">
        <f t="shared" si="1"/>
        <v>66</v>
      </c>
      <c r="B67" s="263" t="s">
        <v>2126</v>
      </c>
      <c r="C67" s="263" t="s">
        <v>279</v>
      </c>
      <c r="D67" s="263">
        <v>15</v>
      </c>
      <c r="E67" s="263" t="s">
        <v>1975</v>
      </c>
      <c r="F67" s="263" t="s">
        <v>3134</v>
      </c>
      <c r="G67" s="263"/>
      <c r="H67" s="263"/>
      <c r="I67" s="263" t="s">
        <v>682</v>
      </c>
      <c r="J67" s="263" t="s">
        <v>5427</v>
      </c>
      <c r="K67" s="437" t="s">
        <v>2822</v>
      </c>
      <c r="L67" s="263"/>
      <c r="M67" s="263"/>
      <c r="N67" s="263"/>
      <c r="O67" s="263"/>
      <c r="P67" s="263"/>
      <c r="Q67" s="263"/>
    </row>
    <row r="68" spans="1:17" ht="12">
      <c r="A68" s="263">
        <f t="shared" si="1"/>
        <v>67</v>
      </c>
      <c r="B68" s="263" t="s">
        <v>2127</v>
      </c>
      <c r="C68" s="263" t="s">
        <v>279</v>
      </c>
      <c r="D68" s="263">
        <v>15</v>
      </c>
      <c r="E68" s="263" t="s">
        <v>1977</v>
      </c>
      <c r="F68" s="263" t="s">
        <v>3134</v>
      </c>
      <c r="G68" s="263"/>
      <c r="H68" s="263"/>
      <c r="I68" s="263" t="s">
        <v>682</v>
      </c>
      <c r="J68" s="263" t="s">
        <v>5427</v>
      </c>
      <c r="K68" s="437" t="s">
        <v>2823</v>
      </c>
      <c r="L68" s="263"/>
      <c r="M68" s="263"/>
      <c r="N68" s="263"/>
      <c r="O68" s="263"/>
      <c r="P68" s="263"/>
      <c r="Q68" s="263"/>
    </row>
    <row r="69" spans="1:17" ht="12">
      <c r="A69" s="263">
        <f t="shared" si="1"/>
        <v>68</v>
      </c>
      <c r="B69" s="263" t="s">
        <v>2128</v>
      </c>
      <c r="C69" s="263" t="s">
        <v>279</v>
      </c>
      <c r="D69" s="263">
        <v>15</v>
      </c>
      <c r="E69" s="263" t="s">
        <v>2711</v>
      </c>
      <c r="F69" s="263" t="s">
        <v>3134</v>
      </c>
      <c r="G69" s="263"/>
      <c r="H69" s="263"/>
      <c r="I69" s="263" t="s">
        <v>682</v>
      </c>
      <c r="J69" s="263" t="s">
        <v>5427</v>
      </c>
      <c r="K69" s="437" t="s">
        <v>2824</v>
      </c>
      <c r="L69" s="263"/>
      <c r="M69" s="263"/>
      <c r="N69" s="263"/>
      <c r="O69" s="263"/>
      <c r="P69" s="263"/>
      <c r="Q69" s="263" t="s">
        <v>3453</v>
      </c>
    </row>
    <row r="70" spans="1:17" ht="12">
      <c r="A70" s="263">
        <f t="shared" si="1"/>
        <v>69</v>
      </c>
      <c r="B70" s="263" t="s">
        <v>2129</v>
      </c>
      <c r="C70" s="263" t="s">
        <v>279</v>
      </c>
      <c r="D70" s="263">
        <v>15</v>
      </c>
      <c r="E70" s="263" t="s">
        <v>2712</v>
      </c>
      <c r="F70" s="263" t="s">
        <v>3134</v>
      </c>
      <c r="G70" s="263"/>
      <c r="H70" s="263"/>
      <c r="I70" s="263" t="s">
        <v>682</v>
      </c>
      <c r="J70" s="263" t="s">
        <v>5427</v>
      </c>
      <c r="K70" s="437" t="s">
        <v>2825</v>
      </c>
      <c r="L70" s="263"/>
      <c r="M70" s="263"/>
      <c r="N70" s="263"/>
      <c r="O70" s="263"/>
      <c r="P70" s="263"/>
      <c r="Q70" s="263"/>
    </row>
    <row r="71" spans="1:17" ht="12">
      <c r="A71" s="263">
        <f t="shared" si="1"/>
        <v>70</v>
      </c>
      <c r="B71" s="263" t="s">
        <v>2130</v>
      </c>
      <c r="C71" s="263" t="s">
        <v>279</v>
      </c>
      <c r="D71" s="263">
        <v>15</v>
      </c>
      <c r="E71" s="263" t="s">
        <v>2713</v>
      </c>
      <c r="F71" s="263" t="s">
        <v>3134</v>
      </c>
      <c r="G71" s="263"/>
      <c r="H71" s="263"/>
      <c r="I71" s="263" t="s">
        <v>682</v>
      </c>
      <c r="J71" s="263" t="s">
        <v>5427</v>
      </c>
      <c r="K71" s="437" t="s">
        <v>2826</v>
      </c>
      <c r="L71" s="263"/>
      <c r="M71" s="263"/>
      <c r="N71" s="263"/>
      <c r="O71" s="263"/>
      <c r="P71" s="263"/>
      <c r="Q71" s="263" t="s">
        <v>3453</v>
      </c>
    </row>
    <row r="72" spans="1:17" ht="12">
      <c r="A72" s="263">
        <f t="shared" si="1"/>
        <v>71</v>
      </c>
      <c r="B72" s="263" t="s">
        <v>2138</v>
      </c>
      <c r="C72" s="263" t="s">
        <v>279</v>
      </c>
      <c r="D72" s="263">
        <v>15</v>
      </c>
      <c r="E72" s="263" t="s">
        <v>1931</v>
      </c>
      <c r="F72" s="263" t="s">
        <v>3134</v>
      </c>
      <c r="G72" s="263"/>
      <c r="H72" s="263"/>
      <c r="I72" s="263" t="s">
        <v>682</v>
      </c>
      <c r="J72" s="263" t="s">
        <v>5427</v>
      </c>
      <c r="K72" s="437" t="s">
        <v>14</v>
      </c>
      <c r="L72" s="263"/>
      <c r="M72" s="263"/>
      <c r="N72" s="263"/>
      <c r="O72" s="263"/>
      <c r="P72" s="263"/>
      <c r="Q72" s="263"/>
    </row>
    <row r="73" spans="1:17" ht="12">
      <c r="A73" s="263">
        <f t="shared" si="1"/>
        <v>72</v>
      </c>
      <c r="B73" s="263" t="s">
        <v>2139</v>
      </c>
      <c r="C73" s="263" t="s">
        <v>279</v>
      </c>
      <c r="D73" s="263">
        <v>15</v>
      </c>
      <c r="E73" s="263" t="s">
        <v>2714</v>
      </c>
      <c r="F73" s="263" t="s">
        <v>3134</v>
      </c>
      <c r="G73" s="263"/>
      <c r="H73" s="263"/>
      <c r="I73" s="263" t="s">
        <v>682</v>
      </c>
      <c r="J73" s="263" t="s">
        <v>5427</v>
      </c>
      <c r="K73" s="437" t="s">
        <v>2828</v>
      </c>
      <c r="L73" s="263"/>
      <c r="M73" s="263"/>
      <c r="N73" s="263"/>
      <c r="O73" s="263"/>
      <c r="P73" s="263"/>
      <c r="Q73" s="263"/>
    </row>
    <row r="74" spans="1:17" ht="12">
      <c r="A74" s="263">
        <f t="shared" si="1"/>
        <v>73</v>
      </c>
      <c r="B74" s="263" t="s">
        <v>2140</v>
      </c>
      <c r="C74" s="263" t="s">
        <v>279</v>
      </c>
      <c r="D74" s="263">
        <v>5.2</v>
      </c>
      <c r="E74" s="263" t="s">
        <v>2715</v>
      </c>
      <c r="F74" s="263" t="s">
        <v>3134</v>
      </c>
      <c r="G74" s="263"/>
      <c r="H74" s="263"/>
      <c r="I74" s="263" t="s">
        <v>682</v>
      </c>
      <c r="J74" s="263" t="s">
        <v>5427</v>
      </c>
      <c r="K74" s="437" t="s">
        <v>2829</v>
      </c>
      <c r="L74" s="263"/>
      <c r="M74" s="263"/>
      <c r="N74" s="263"/>
      <c r="O74" s="263"/>
      <c r="P74" s="263"/>
      <c r="Q74" s="263" t="s">
        <v>3453</v>
      </c>
    </row>
    <row r="75" spans="1:17" ht="12">
      <c r="A75" s="263">
        <f t="shared" si="1"/>
        <v>74</v>
      </c>
      <c r="B75" s="263" t="s">
        <v>2141</v>
      </c>
      <c r="C75" s="263" t="s">
        <v>279</v>
      </c>
      <c r="D75" s="263">
        <v>9.5</v>
      </c>
      <c r="E75" s="263" t="s">
        <v>281</v>
      </c>
      <c r="F75" s="263" t="s">
        <v>3134</v>
      </c>
      <c r="G75" s="263"/>
      <c r="H75" s="263"/>
      <c r="I75" s="263" t="s">
        <v>682</v>
      </c>
      <c r="J75" s="263" t="s">
        <v>5427</v>
      </c>
      <c r="K75" s="437" t="s">
        <v>251</v>
      </c>
      <c r="L75" s="263"/>
      <c r="M75" s="263"/>
      <c r="N75" s="263"/>
      <c r="O75" s="263"/>
      <c r="P75" s="263"/>
      <c r="Q75" s="263"/>
    </row>
    <row r="76" spans="1:17" ht="12">
      <c r="A76" s="263">
        <f t="shared" si="1"/>
        <v>75</v>
      </c>
      <c r="B76" s="263" t="s">
        <v>2142</v>
      </c>
      <c r="C76" s="263" t="s">
        <v>275</v>
      </c>
      <c r="D76" s="263">
        <v>2</v>
      </c>
      <c r="E76" s="263" t="s">
        <v>1331</v>
      </c>
      <c r="F76" s="263" t="s">
        <v>3134</v>
      </c>
      <c r="G76" s="263"/>
      <c r="H76" s="263"/>
      <c r="I76" s="263" t="s">
        <v>682</v>
      </c>
      <c r="J76" s="263" t="s">
        <v>5427</v>
      </c>
      <c r="K76" s="437" t="s">
        <v>2830</v>
      </c>
      <c r="L76" s="263"/>
      <c r="M76" s="263"/>
      <c r="N76" s="263"/>
      <c r="O76" s="263"/>
      <c r="P76" s="263"/>
      <c r="Q76" s="263"/>
    </row>
    <row r="77" spans="1:17" ht="12">
      <c r="A77" s="263">
        <f t="shared" si="1"/>
        <v>76</v>
      </c>
      <c r="B77" s="263" t="s">
        <v>2144</v>
      </c>
      <c r="C77" s="263" t="s">
        <v>279</v>
      </c>
      <c r="D77" s="263">
        <v>3</v>
      </c>
      <c r="E77" s="263" t="s">
        <v>1297</v>
      </c>
      <c r="F77" s="263" t="s">
        <v>3134</v>
      </c>
      <c r="G77" s="263"/>
      <c r="H77" s="263"/>
      <c r="I77" s="263" t="s">
        <v>682</v>
      </c>
      <c r="J77" s="263" t="s">
        <v>5427</v>
      </c>
      <c r="K77" s="437" t="s">
        <v>1298</v>
      </c>
      <c r="L77" s="263"/>
      <c r="M77" s="263"/>
      <c r="N77" s="263"/>
      <c r="O77" s="263"/>
      <c r="P77" s="263"/>
      <c r="Q77" s="263"/>
    </row>
    <row r="78" spans="1:17" s="181" customFormat="1">
      <c r="A78" s="264">
        <f t="shared" si="1"/>
        <v>77</v>
      </c>
      <c r="B78" s="264" t="s">
        <v>2131</v>
      </c>
      <c r="C78" s="264" t="s">
        <v>275</v>
      </c>
      <c r="D78" s="264">
        <v>1</v>
      </c>
      <c r="E78" s="264" t="s">
        <v>687</v>
      </c>
      <c r="F78" s="264" t="s">
        <v>3134</v>
      </c>
      <c r="G78" s="264"/>
      <c r="H78" s="264"/>
      <c r="I78" s="264" t="s">
        <v>682</v>
      </c>
      <c r="J78" s="264" t="s">
        <v>5427</v>
      </c>
      <c r="K78" s="264"/>
      <c r="L78" s="264"/>
      <c r="M78" s="264"/>
      <c r="N78" s="264"/>
      <c r="O78" s="264"/>
      <c r="P78" s="264"/>
      <c r="Q78" s="264" t="s">
        <v>3453</v>
      </c>
    </row>
    <row r="79" spans="1:17" s="181" customFormat="1">
      <c r="A79" s="264">
        <f t="shared" si="1"/>
        <v>78</v>
      </c>
      <c r="B79" s="264" t="s">
        <v>2132</v>
      </c>
      <c r="C79" s="264" t="s">
        <v>275</v>
      </c>
      <c r="D79" s="264">
        <v>1</v>
      </c>
      <c r="E79" s="264" t="s">
        <v>2716</v>
      </c>
      <c r="F79" s="264" t="s">
        <v>3134</v>
      </c>
      <c r="G79" s="264"/>
      <c r="H79" s="264"/>
      <c r="I79" s="264" t="s">
        <v>682</v>
      </c>
      <c r="J79" s="264" t="s">
        <v>5427</v>
      </c>
      <c r="K79" s="264"/>
      <c r="L79" s="264"/>
      <c r="M79" s="264"/>
      <c r="N79" s="264"/>
      <c r="O79" s="264" t="s">
        <v>2956</v>
      </c>
      <c r="P79" s="264" t="s">
        <v>3217</v>
      </c>
      <c r="Q79" s="264"/>
    </row>
    <row r="80" spans="1:17" s="181" customFormat="1">
      <c r="A80" s="264">
        <f t="shared" si="1"/>
        <v>79</v>
      </c>
      <c r="B80" s="264" t="s">
        <v>2133</v>
      </c>
      <c r="C80" s="264" t="s">
        <v>275</v>
      </c>
      <c r="D80" s="264">
        <v>1</v>
      </c>
      <c r="E80" s="264" t="s">
        <v>2717</v>
      </c>
      <c r="F80" s="264" t="s">
        <v>3134</v>
      </c>
      <c r="G80" s="264"/>
      <c r="H80" s="264"/>
      <c r="I80" s="264" t="s">
        <v>682</v>
      </c>
      <c r="J80" s="264" t="s">
        <v>5427</v>
      </c>
      <c r="K80" s="264"/>
      <c r="L80" s="264"/>
      <c r="M80" s="264"/>
      <c r="N80" s="264"/>
      <c r="O80" s="264" t="s">
        <v>2956</v>
      </c>
      <c r="P80" s="264" t="s">
        <v>3217</v>
      </c>
      <c r="Q80" s="264"/>
    </row>
    <row r="81" spans="1:17" s="181" customFormat="1">
      <c r="A81" s="264">
        <f t="shared" si="1"/>
        <v>80</v>
      </c>
      <c r="B81" s="264" t="s">
        <v>2134</v>
      </c>
      <c r="C81" s="264" t="s">
        <v>275</v>
      </c>
      <c r="D81" s="264">
        <v>1</v>
      </c>
      <c r="E81" s="264" t="s">
        <v>2718</v>
      </c>
      <c r="F81" s="264" t="s">
        <v>3134</v>
      </c>
      <c r="G81" s="264"/>
      <c r="H81" s="264"/>
      <c r="I81" s="264" t="s">
        <v>682</v>
      </c>
      <c r="J81" s="264" t="s">
        <v>5427</v>
      </c>
      <c r="K81" s="264"/>
      <c r="L81" s="264"/>
      <c r="M81" s="264"/>
      <c r="N81" s="264"/>
      <c r="O81" s="264" t="s">
        <v>2956</v>
      </c>
      <c r="P81" s="264" t="s">
        <v>3217</v>
      </c>
      <c r="Q81" s="264"/>
    </row>
    <row r="82" spans="1:17" s="181" customFormat="1">
      <c r="A82" s="264">
        <f t="shared" ref="A82:A145" si="3">ROW()-1</f>
        <v>81</v>
      </c>
      <c r="B82" s="264" t="s">
        <v>2135</v>
      </c>
      <c r="C82" s="264" t="s">
        <v>275</v>
      </c>
      <c r="D82" s="264">
        <v>1</v>
      </c>
      <c r="E82" s="264" t="s">
        <v>2719</v>
      </c>
      <c r="F82" s="264" t="s">
        <v>3134</v>
      </c>
      <c r="G82" s="264"/>
      <c r="H82" s="264"/>
      <c r="I82" s="264" t="s">
        <v>682</v>
      </c>
      <c r="J82" s="264" t="s">
        <v>5427</v>
      </c>
      <c r="K82" s="264"/>
      <c r="L82" s="264"/>
      <c r="M82" s="264"/>
      <c r="N82" s="264"/>
      <c r="O82" s="264" t="s">
        <v>2956</v>
      </c>
      <c r="P82" s="264" t="s">
        <v>3217</v>
      </c>
      <c r="Q82" s="264"/>
    </row>
    <row r="83" spans="1:17" s="181" customFormat="1">
      <c r="A83" s="264">
        <f t="shared" si="3"/>
        <v>82</v>
      </c>
      <c r="B83" s="264" t="s">
        <v>2136</v>
      </c>
      <c r="C83" s="264" t="s">
        <v>275</v>
      </c>
      <c r="D83" s="264">
        <v>1</v>
      </c>
      <c r="E83" s="264" t="s">
        <v>2720</v>
      </c>
      <c r="F83" s="264" t="s">
        <v>3134</v>
      </c>
      <c r="G83" s="264"/>
      <c r="H83" s="264"/>
      <c r="I83" s="264" t="s">
        <v>682</v>
      </c>
      <c r="J83" s="264" t="s">
        <v>5427</v>
      </c>
      <c r="K83" s="264"/>
      <c r="L83" s="264"/>
      <c r="M83" s="264"/>
      <c r="N83" s="264"/>
      <c r="O83" s="264" t="s">
        <v>2956</v>
      </c>
      <c r="P83" s="264" t="s">
        <v>3217</v>
      </c>
      <c r="Q83" s="264"/>
    </row>
    <row r="84" spans="1:17" s="181" customFormat="1">
      <c r="A84" s="264">
        <f t="shared" si="3"/>
        <v>83</v>
      </c>
      <c r="B84" s="264" t="s">
        <v>2137</v>
      </c>
      <c r="C84" s="264" t="s">
        <v>275</v>
      </c>
      <c r="D84" s="264">
        <v>1</v>
      </c>
      <c r="E84" s="264" t="s">
        <v>2721</v>
      </c>
      <c r="F84" s="264" t="s">
        <v>3134</v>
      </c>
      <c r="G84" s="264"/>
      <c r="H84" s="264"/>
      <c r="I84" s="264" t="s">
        <v>682</v>
      </c>
      <c r="J84" s="264" t="s">
        <v>5427</v>
      </c>
      <c r="K84" s="264"/>
      <c r="L84" s="264"/>
      <c r="M84" s="264"/>
      <c r="N84" s="264"/>
      <c r="O84" s="264" t="s">
        <v>2956</v>
      </c>
      <c r="P84" s="264" t="s">
        <v>3217</v>
      </c>
      <c r="Q84" s="264"/>
    </row>
    <row r="85" spans="1:17" s="181" customFormat="1">
      <c r="A85" s="264">
        <f t="shared" si="3"/>
        <v>84</v>
      </c>
      <c r="B85" s="264" t="s">
        <v>2145</v>
      </c>
      <c r="C85" s="264" t="s">
        <v>275</v>
      </c>
      <c r="D85" s="264">
        <v>1</v>
      </c>
      <c r="E85" s="264" t="s">
        <v>2722</v>
      </c>
      <c r="F85" s="264" t="s">
        <v>3134</v>
      </c>
      <c r="G85" s="264"/>
      <c r="H85" s="264"/>
      <c r="I85" s="264" t="s">
        <v>682</v>
      </c>
      <c r="J85" s="264" t="s">
        <v>5427</v>
      </c>
      <c r="K85" s="264"/>
      <c r="L85" s="264"/>
      <c r="M85" s="264"/>
      <c r="N85" s="264"/>
      <c r="O85" s="264" t="s">
        <v>2956</v>
      </c>
      <c r="P85" s="264" t="s">
        <v>3217</v>
      </c>
      <c r="Q85" s="264"/>
    </row>
    <row r="86" spans="1:17" ht="12">
      <c r="A86" s="263">
        <f t="shared" si="3"/>
        <v>85</v>
      </c>
      <c r="B86" s="263" t="s">
        <v>2146</v>
      </c>
      <c r="C86" s="263" t="s">
        <v>279</v>
      </c>
      <c r="D86" s="263">
        <v>15</v>
      </c>
      <c r="E86" s="263" t="s">
        <v>335</v>
      </c>
      <c r="F86" s="263" t="s">
        <v>3134</v>
      </c>
      <c r="G86" s="263"/>
      <c r="H86" s="263"/>
      <c r="I86" s="263" t="s">
        <v>682</v>
      </c>
      <c r="J86" s="263" t="s">
        <v>5427</v>
      </c>
      <c r="K86" s="437" t="s">
        <v>254</v>
      </c>
      <c r="L86" s="263"/>
      <c r="M86" s="263"/>
      <c r="N86" s="263"/>
      <c r="O86" s="263" t="s">
        <v>2956</v>
      </c>
      <c r="P86" s="263" t="s">
        <v>3217</v>
      </c>
      <c r="Q86" s="263"/>
    </row>
    <row r="87" spans="1:17" ht="12">
      <c r="A87" s="263">
        <f t="shared" si="3"/>
        <v>86</v>
      </c>
      <c r="B87" s="263" t="s">
        <v>2147</v>
      </c>
      <c r="C87" s="263" t="s">
        <v>279</v>
      </c>
      <c r="D87" s="263">
        <v>9</v>
      </c>
      <c r="E87" s="263" t="s">
        <v>2723</v>
      </c>
      <c r="F87" s="263" t="s">
        <v>3134</v>
      </c>
      <c r="G87" s="263"/>
      <c r="H87" s="263"/>
      <c r="I87" s="263" t="s">
        <v>682</v>
      </c>
      <c r="J87" s="263" t="s">
        <v>5427</v>
      </c>
      <c r="K87" s="437" t="s">
        <v>2838</v>
      </c>
      <c r="L87" s="263"/>
      <c r="M87" s="263"/>
      <c r="N87" s="263"/>
      <c r="O87" s="263" t="s">
        <v>2956</v>
      </c>
      <c r="P87" s="263" t="s">
        <v>3217</v>
      </c>
      <c r="Q87" s="263"/>
    </row>
    <row r="88" spans="1:17" s="181" customFormat="1">
      <c r="A88" s="264">
        <f t="shared" si="3"/>
        <v>87</v>
      </c>
      <c r="B88" s="264" t="s">
        <v>2143</v>
      </c>
      <c r="C88" s="264" t="s">
        <v>279</v>
      </c>
      <c r="D88" s="264">
        <v>5</v>
      </c>
      <c r="E88" s="264" t="s">
        <v>2724</v>
      </c>
      <c r="F88" s="264" t="s">
        <v>3134</v>
      </c>
      <c r="G88" s="264"/>
      <c r="H88" s="264"/>
      <c r="I88" s="264" t="s">
        <v>682</v>
      </c>
      <c r="J88" s="264" t="s">
        <v>5427</v>
      </c>
      <c r="K88" s="264"/>
      <c r="L88" s="264"/>
      <c r="M88" s="264"/>
      <c r="N88" s="264"/>
      <c r="O88" s="264" t="s">
        <v>2956</v>
      </c>
      <c r="P88" s="264" t="s">
        <v>3217</v>
      </c>
      <c r="Q88" s="264"/>
    </row>
    <row r="89" spans="1:17" s="181" customFormat="1">
      <c r="A89" s="264">
        <f t="shared" si="3"/>
        <v>88</v>
      </c>
      <c r="B89" s="264" t="s">
        <v>2148</v>
      </c>
      <c r="C89" s="264" t="s">
        <v>279</v>
      </c>
      <c r="D89" s="264">
        <v>9</v>
      </c>
      <c r="E89" s="264" t="s">
        <v>2725</v>
      </c>
      <c r="F89" s="264" t="s">
        <v>3134</v>
      </c>
      <c r="G89" s="264"/>
      <c r="H89" s="264"/>
      <c r="I89" s="264" t="s">
        <v>682</v>
      </c>
      <c r="J89" s="264" t="s">
        <v>5427</v>
      </c>
      <c r="K89" s="264"/>
      <c r="L89" s="264"/>
      <c r="M89" s="264"/>
      <c r="N89" s="264"/>
      <c r="O89" s="264" t="s">
        <v>2956</v>
      </c>
      <c r="P89" s="264" t="s">
        <v>3217</v>
      </c>
      <c r="Q89" s="264"/>
    </row>
    <row r="90" spans="1:17" ht="12">
      <c r="A90" s="263">
        <f t="shared" si="3"/>
        <v>89</v>
      </c>
      <c r="B90" s="263" t="s">
        <v>2149</v>
      </c>
      <c r="C90" s="263" t="s">
        <v>275</v>
      </c>
      <c r="D90" s="263">
        <v>2</v>
      </c>
      <c r="E90" s="263" t="s">
        <v>2726</v>
      </c>
      <c r="F90" s="263" t="s">
        <v>3134</v>
      </c>
      <c r="G90" s="263"/>
      <c r="H90" s="263"/>
      <c r="I90" s="263" t="s">
        <v>682</v>
      </c>
      <c r="J90" s="263" t="s">
        <v>5427</v>
      </c>
      <c r="K90" s="437" t="s">
        <v>2841</v>
      </c>
      <c r="L90" s="263"/>
      <c r="M90" s="263"/>
      <c r="N90" s="263"/>
      <c r="O90" s="263" t="s">
        <v>2956</v>
      </c>
      <c r="P90" s="263" t="s">
        <v>3217</v>
      </c>
      <c r="Q90" s="263"/>
    </row>
    <row r="91" spans="1:17" s="181" customFormat="1">
      <c r="A91" s="264">
        <f t="shared" si="3"/>
        <v>90</v>
      </c>
      <c r="B91" s="264" t="s">
        <v>2150</v>
      </c>
      <c r="C91" s="264" t="s">
        <v>275</v>
      </c>
      <c r="D91" s="264">
        <v>2</v>
      </c>
      <c r="E91" s="264" t="s">
        <v>2727</v>
      </c>
      <c r="F91" s="264" t="s">
        <v>3134</v>
      </c>
      <c r="G91" s="264"/>
      <c r="H91" s="264"/>
      <c r="I91" s="264" t="s">
        <v>682</v>
      </c>
      <c r="J91" s="264" t="s">
        <v>5427</v>
      </c>
      <c r="L91" s="264"/>
      <c r="M91" s="264"/>
      <c r="N91" s="264"/>
      <c r="O91" s="264" t="s">
        <v>2956</v>
      </c>
      <c r="P91" s="264" t="s">
        <v>3217</v>
      </c>
      <c r="Q91" s="264"/>
    </row>
    <row r="92" spans="1:17" ht="12">
      <c r="A92" s="263">
        <f t="shared" si="3"/>
        <v>91</v>
      </c>
      <c r="B92" s="263" t="s">
        <v>2151</v>
      </c>
      <c r="C92" s="263" t="s">
        <v>275</v>
      </c>
      <c r="D92" s="263">
        <v>4</v>
      </c>
      <c r="E92" s="263" t="s">
        <v>2728</v>
      </c>
      <c r="F92" s="263" t="s">
        <v>3134</v>
      </c>
      <c r="G92" s="263"/>
      <c r="H92" s="263"/>
      <c r="I92" s="263" t="s">
        <v>682</v>
      </c>
      <c r="J92" s="263" t="s">
        <v>5427</v>
      </c>
      <c r="K92" s="437" t="s">
        <v>2728</v>
      </c>
      <c r="L92" s="263"/>
      <c r="M92" s="263"/>
      <c r="N92" s="263"/>
      <c r="O92" s="263" t="s">
        <v>2956</v>
      </c>
      <c r="P92" s="263" t="s">
        <v>3217</v>
      </c>
      <c r="Q92" s="263"/>
    </row>
    <row r="93" spans="1:17" s="181" customFormat="1">
      <c r="A93" s="264">
        <f t="shared" si="3"/>
        <v>92</v>
      </c>
      <c r="B93" s="264" t="s">
        <v>2152</v>
      </c>
      <c r="C93" s="264" t="s">
        <v>275</v>
      </c>
      <c r="D93" s="264">
        <v>1</v>
      </c>
      <c r="E93" s="264" t="s">
        <v>2729</v>
      </c>
      <c r="F93" s="264" t="s">
        <v>3134</v>
      </c>
      <c r="G93" s="264"/>
      <c r="H93" s="264"/>
      <c r="I93" s="264" t="s">
        <v>682</v>
      </c>
      <c r="J93" s="264" t="s">
        <v>5427</v>
      </c>
      <c r="K93" s="264"/>
      <c r="L93" s="264"/>
      <c r="M93" s="264"/>
      <c r="N93" s="264"/>
      <c r="O93" s="264" t="s">
        <v>2956</v>
      </c>
      <c r="P93" s="264" t="s">
        <v>3217</v>
      </c>
      <c r="Q93" s="264"/>
    </row>
    <row r="94" spans="1:17" s="181" customFormat="1">
      <c r="A94" s="264">
        <f t="shared" si="3"/>
        <v>93</v>
      </c>
      <c r="B94" s="264" t="s">
        <v>2153</v>
      </c>
      <c r="C94" s="264" t="s">
        <v>275</v>
      </c>
      <c r="D94" s="264">
        <v>1</v>
      </c>
      <c r="E94" s="264" t="s">
        <v>2730</v>
      </c>
      <c r="F94" s="264" t="s">
        <v>3134</v>
      </c>
      <c r="G94" s="264"/>
      <c r="H94" s="264"/>
      <c r="I94" s="264" t="s">
        <v>682</v>
      </c>
      <c r="J94" s="264" t="s">
        <v>5427</v>
      </c>
      <c r="K94" s="264"/>
      <c r="L94" s="264"/>
      <c r="M94" s="264"/>
      <c r="N94" s="264"/>
      <c r="O94" s="264" t="s">
        <v>2956</v>
      </c>
      <c r="P94" s="264" t="s">
        <v>3217</v>
      </c>
      <c r="Q94" s="264"/>
    </row>
    <row r="95" spans="1:17" s="181" customFormat="1">
      <c r="A95" s="264">
        <f t="shared" si="3"/>
        <v>94</v>
      </c>
      <c r="B95" s="264" t="s">
        <v>2154</v>
      </c>
      <c r="C95" s="264" t="s">
        <v>275</v>
      </c>
      <c r="D95" s="264">
        <v>1</v>
      </c>
      <c r="E95" s="264" t="s">
        <v>2731</v>
      </c>
      <c r="F95" s="264" t="s">
        <v>3134</v>
      </c>
      <c r="G95" s="264"/>
      <c r="H95" s="264"/>
      <c r="I95" s="264" t="s">
        <v>682</v>
      </c>
      <c r="J95" s="264" t="s">
        <v>5427</v>
      </c>
      <c r="K95" s="264"/>
      <c r="L95" s="264"/>
      <c r="M95" s="264"/>
      <c r="N95" s="264"/>
      <c r="O95" s="264" t="s">
        <v>2956</v>
      </c>
      <c r="P95" s="264" t="s">
        <v>3217</v>
      </c>
      <c r="Q95" s="264"/>
    </row>
    <row r="96" spans="1:17" s="181" customFormat="1">
      <c r="A96" s="264">
        <f t="shared" si="3"/>
        <v>95</v>
      </c>
      <c r="B96" s="264" t="s">
        <v>2155</v>
      </c>
      <c r="C96" s="264" t="s">
        <v>275</v>
      </c>
      <c r="D96" s="264">
        <v>1</v>
      </c>
      <c r="E96" s="264" t="s">
        <v>2732</v>
      </c>
      <c r="F96" s="264" t="s">
        <v>3134</v>
      </c>
      <c r="G96" s="264"/>
      <c r="H96" s="264"/>
      <c r="I96" s="264" t="s">
        <v>682</v>
      </c>
      <c r="J96" s="264" t="s">
        <v>5427</v>
      </c>
      <c r="K96" s="264"/>
      <c r="L96" s="264"/>
      <c r="M96" s="264"/>
      <c r="N96" s="264"/>
      <c r="O96" s="264" t="s">
        <v>2956</v>
      </c>
      <c r="P96" s="264" t="s">
        <v>3217</v>
      </c>
      <c r="Q96" s="264"/>
    </row>
    <row r="97" spans="1:17" s="181" customFormat="1">
      <c r="A97" s="264">
        <f t="shared" si="3"/>
        <v>96</v>
      </c>
      <c r="B97" s="264" t="s">
        <v>2156</v>
      </c>
      <c r="C97" s="264" t="s">
        <v>275</v>
      </c>
      <c r="D97" s="264">
        <v>1</v>
      </c>
      <c r="E97" s="264" t="s">
        <v>2733</v>
      </c>
      <c r="F97" s="264" t="s">
        <v>3134</v>
      </c>
      <c r="G97" s="264"/>
      <c r="H97" s="264"/>
      <c r="I97" s="264" t="s">
        <v>682</v>
      </c>
      <c r="J97" s="264" t="s">
        <v>5427</v>
      </c>
      <c r="K97" s="264"/>
      <c r="L97" s="264"/>
      <c r="M97" s="264"/>
      <c r="N97" s="264"/>
      <c r="O97" s="264" t="s">
        <v>2956</v>
      </c>
      <c r="P97" s="264" t="s">
        <v>3217</v>
      </c>
      <c r="Q97" s="264"/>
    </row>
    <row r="98" spans="1:17" s="181" customFormat="1">
      <c r="A98" s="264">
        <f t="shared" si="3"/>
        <v>97</v>
      </c>
      <c r="B98" s="264" t="s">
        <v>2157</v>
      </c>
      <c r="C98" s="264" t="s">
        <v>275</v>
      </c>
      <c r="D98" s="264">
        <v>1</v>
      </c>
      <c r="E98" s="264" t="s">
        <v>2734</v>
      </c>
      <c r="F98" s="264" t="s">
        <v>3134</v>
      </c>
      <c r="G98" s="264"/>
      <c r="H98" s="264"/>
      <c r="I98" s="264" t="s">
        <v>682</v>
      </c>
      <c r="J98" s="264" t="s">
        <v>5427</v>
      </c>
      <c r="K98" s="264"/>
      <c r="L98" s="264"/>
      <c r="M98" s="264"/>
      <c r="N98" s="264"/>
      <c r="O98" s="264" t="s">
        <v>2956</v>
      </c>
      <c r="P98" s="264" t="s">
        <v>3217</v>
      </c>
      <c r="Q98" s="264"/>
    </row>
    <row r="99" spans="1:17" s="181" customFormat="1">
      <c r="A99" s="264">
        <f t="shared" si="3"/>
        <v>98</v>
      </c>
      <c r="B99" s="264" t="s">
        <v>2158</v>
      </c>
      <c r="C99" s="264" t="s">
        <v>275</v>
      </c>
      <c r="D99" s="264">
        <v>1</v>
      </c>
      <c r="E99" s="264" t="s">
        <v>2735</v>
      </c>
      <c r="F99" s="264" t="s">
        <v>3134</v>
      </c>
      <c r="G99" s="264"/>
      <c r="H99" s="264"/>
      <c r="I99" s="264" t="s">
        <v>682</v>
      </c>
      <c r="J99" s="264" t="s">
        <v>5427</v>
      </c>
      <c r="K99" s="264"/>
      <c r="L99" s="264"/>
      <c r="M99" s="264"/>
      <c r="N99" s="264"/>
      <c r="O99" s="264" t="s">
        <v>2956</v>
      </c>
      <c r="P99" s="264" t="s">
        <v>3217</v>
      </c>
      <c r="Q99" s="264"/>
    </row>
    <row r="100" spans="1:17" s="181" customFormat="1">
      <c r="A100" s="264">
        <f t="shared" si="3"/>
        <v>99</v>
      </c>
      <c r="B100" s="264" t="s">
        <v>2159</v>
      </c>
      <c r="C100" s="264" t="s">
        <v>275</v>
      </c>
      <c r="D100" s="264">
        <v>4</v>
      </c>
      <c r="E100" s="264" t="s">
        <v>2736</v>
      </c>
      <c r="F100" s="264" t="s">
        <v>3134</v>
      </c>
      <c r="G100" s="264"/>
      <c r="H100" s="264"/>
      <c r="I100" s="264" t="s">
        <v>682</v>
      </c>
      <c r="J100" s="264" t="s">
        <v>5427</v>
      </c>
      <c r="K100" s="264"/>
      <c r="L100" s="264"/>
      <c r="M100" s="264"/>
      <c r="N100" s="264"/>
      <c r="O100" s="264" t="s">
        <v>2956</v>
      </c>
      <c r="P100" s="264" t="s">
        <v>3217</v>
      </c>
      <c r="Q100" s="264"/>
    </row>
    <row r="101" spans="1:17" s="181" customFormat="1">
      <c r="A101" s="264">
        <f t="shared" si="3"/>
        <v>100</v>
      </c>
      <c r="B101" s="264" t="s">
        <v>2607</v>
      </c>
      <c r="C101" s="264" t="s">
        <v>275</v>
      </c>
      <c r="D101" s="264">
        <v>2</v>
      </c>
      <c r="E101" s="264" t="s">
        <v>2737</v>
      </c>
      <c r="F101" s="264" t="s">
        <v>3134</v>
      </c>
      <c r="G101" s="264"/>
      <c r="H101" s="264"/>
      <c r="I101" s="264" t="s">
        <v>682</v>
      </c>
      <c r="J101" s="264" t="s">
        <v>5427</v>
      </c>
      <c r="K101" s="264"/>
      <c r="L101" s="264"/>
      <c r="M101" s="264"/>
      <c r="N101" s="264"/>
      <c r="O101" s="264" t="s">
        <v>2956</v>
      </c>
      <c r="P101" s="264" t="s">
        <v>3217</v>
      </c>
      <c r="Q101" s="264"/>
    </row>
    <row r="102" spans="1:17" s="181" customFormat="1">
      <c r="A102" s="264">
        <f t="shared" si="3"/>
        <v>101</v>
      </c>
      <c r="B102" s="264" t="s">
        <v>2608</v>
      </c>
      <c r="C102" s="264" t="s">
        <v>279</v>
      </c>
      <c r="D102" s="264">
        <v>5</v>
      </c>
      <c r="E102" s="264" t="s">
        <v>2738</v>
      </c>
      <c r="F102" s="264" t="s">
        <v>3134</v>
      </c>
      <c r="G102" s="264"/>
      <c r="H102" s="264"/>
      <c r="I102" s="264" t="s">
        <v>682</v>
      </c>
      <c r="J102" s="264" t="s">
        <v>5427</v>
      </c>
      <c r="K102" s="264"/>
      <c r="L102" s="264"/>
      <c r="M102" s="264"/>
      <c r="N102" s="264"/>
      <c r="O102" s="264" t="s">
        <v>2956</v>
      </c>
      <c r="P102" s="264" t="s">
        <v>3217</v>
      </c>
      <c r="Q102" s="264"/>
    </row>
    <row r="103" spans="1:17" s="181" customFormat="1">
      <c r="A103" s="264">
        <f t="shared" si="3"/>
        <v>102</v>
      </c>
      <c r="B103" s="264" t="s">
        <v>2609</v>
      </c>
      <c r="C103" s="264" t="s">
        <v>275</v>
      </c>
      <c r="D103" s="264">
        <v>2</v>
      </c>
      <c r="E103" s="264" t="s">
        <v>2739</v>
      </c>
      <c r="F103" s="264" t="s">
        <v>3134</v>
      </c>
      <c r="G103" s="264"/>
      <c r="H103" s="264"/>
      <c r="I103" s="264" t="s">
        <v>682</v>
      </c>
      <c r="J103" s="264" t="s">
        <v>5427</v>
      </c>
      <c r="K103" s="264"/>
      <c r="L103" s="264"/>
      <c r="M103" s="264"/>
      <c r="N103" s="264"/>
      <c r="O103" s="264" t="s">
        <v>2956</v>
      </c>
      <c r="P103" s="264" t="s">
        <v>3217</v>
      </c>
      <c r="Q103" s="264"/>
    </row>
    <row r="104" spans="1:17" ht="12">
      <c r="A104" s="263">
        <f t="shared" si="3"/>
        <v>103</v>
      </c>
      <c r="B104" s="263" t="s">
        <v>2610</v>
      </c>
      <c r="C104" s="263" t="s">
        <v>279</v>
      </c>
      <c r="D104" s="263">
        <v>5</v>
      </c>
      <c r="E104" s="263" t="s">
        <v>2740</v>
      </c>
      <c r="F104" s="263" t="s">
        <v>3134</v>
      </c>
      <c r="G104" s="263"/>
      <c r="H104" s="263"/>
      <c r="I104" s="263" t="s">
        <v>682</v>
      </c>
      <c r="J104" s="263" t="s">
        <v>5427</v>
      </c>
      <c r="K104" s="437" t="s">
        <v>2740</v>
      </c>
      <c r="L104" s="263"/>
      <c r="M104" s="263"/>
      <c r="N104" s="263"/>
      <c r="O104" s="263" t="s">
        <v>2956</v>
      </c>
      <c r="P104" s="263" t="s">
        <v>3217</v>
      </c>
      <c r="Q104" s="263"/>
    </row>
    <row r="105" spans="1:17" ht="12">
      <c r="A105" s="263">
        <f t="shared" si="3"/>
        <v>104</v>
      </c>
      <c r="B105" s="263" t="s">
        <v>2611</v>
      </c>
      <c r="C105" s="263" t="s">
        <v>275</v>
      </c>
      <c r="D105" s="263">
        <v>4</v>
      </c>
      <c r="E105" s="263" t="s">
        <v>2741</v>
      </c>
      <c r="F105" s="263" t="s">
        <v>3134</v>
      </c>
      <c r="G105" s="263"/>
      <c r="H105" s="263"/>
      <c r="I105" s="263" t="s">
        <v>682</v>
      </c>
      <c r="J105" s="263" t="s">
        <v>5427</v>
      </c>
      <c r="K105" s="437" t="s">
        <v>1027</v>
      </c>
      <c r="L105" s="263"/>
      <c r="M105" s="263"/>
      <c r="N105" s="263"/>
      <c r="O105" s="263" t="s">
        <v>2956</v>
      </c>
      <c r="P105" s="263" t="s">
        <v>3217</v>
      </c>
      <c r="Q105" s="263"/>
    </row>
    <row r="106" spans="1:17" ht="12">
      <c r="A106" s="263">
        <f t="shared" si="3"/>
        <v>105</v>
      </c>
      <c r="B106" s="263" t="s">
        <v>2612</v>
      </c>
      <c r="C106" s="263" t="s">
        <v>279</v>
      </c>
      <c r="D106" s="263">
        <v>5</v>
      </c>
      <c r="E106" s="263" t="s">
        <v>2742</v>
      </c>
      <c r="F106" s="263" t="s">
        <v>3134</v>
      </c>
      <c r="G106" s="263"/>
      <c r="H106" s="263"/>
      <c r="I106" s="263" t="s">
        <v>682</v>
      </c>
      <c r="J106" s="263" t="s">
        <v>5427</v>
      </c>
      <c r="K106" s="437" t="s">
        <v>2742</v>
      </c>
      <c r="L106" s="263"/>
      <c r="M106" s="263"/>
      <c r="N106" s="263"/>
      <c r="O106" s="263" t="s">
        <v>2956</v>
      </c>
      <c r="P106" s="263" t="s">
        <v>3217</v>
      </c>
      <c r="Q106" s="263"/>
    </row>
    <row r="107" spans="1:17" ht="12">
      <c r="A107" s="263">
        <f t="shared" si="3"/>
        <v>106</v>
      </c>
      <c r="B107" s="263" t="s">
        <v>2613</v>
      </c>
      <c r="C107" s="263" t="s">
        <v>275</v>
      </c>
      <c r="D107" s="263">
        <v>4</v>
      </c>
      <c r="E107" s="263" t="s">
        <v>2743</v>
      </c>
      <c r="F107" s="263" t="s">
        <v>3134</v>
      </c>
      <c r="G107" s="263"/>
      <c r="H107" s="263"/>
      <c r="I107" s="263" t="s">
        <v>682</v>
      </c>
      <c r="J107" s="263" t="s">
        <v>5427</v>
      </c>
      <c r="K107" s="437" t="s">
        <v>92</v>
      </c>
      <c r="L107" s="263"/>
      <c r="M107" s="263"/>
      <c r="N107" s="263"/>
      <c r="O107" s="263" t="s">
        <v>2956</v>
      </c>
      <c r="P107" s="263" t="s">
        <v>3217</v>
      </c>
      <c r="Q107" s="263"/>
    </row>
    <row r="108" spans="1:17" s="181" customFormat="1">
      <c r="A108" s="264">
        <f t="shared" si="3"/>
        <v>107</v>
      </c>
      <c r="B108" s="264" t="s">
        <v>2614</v>
      </c>
      <c r="C108" s="264" t="s">
        <v>275</v>
      </c>
      <c r="D108" s="264">
        <v>2</v>
      </c>
      <c r="E108" s="264" t="s">
        <v>2744</v>
      </c>
      <c r="F108" s="264" t="s">
        <v>3134</v>
      </c>
      <c r="G108" s="264"/>
      <c r="H108" s="264"/>
      <c r="I108" s="264" t="s">
        <v>682</v>
      </c>
      <c r="J108" s="264" t="s">
        <v>5427</v>
      </c>
      <c r="K108" s="264"/>
      <c r="L108" s="264"/>
      <c r="M108" s="264"/>
      <c r="N108" s="264"/>
      <c r="O108" s="264" t="s">
        <v>2956</v>
      </c>
      <c r="P108" s="264" t="s">
        <v>3217</v>
      </c>
      <c r="Q108" s="264"/>
    </row>
    <row r="109" spans="1:17" s="181" customFormat="1">
      <c r="A109" s="264">
        <f t="shared" si="3"/>
        <v>108</v>
      </c>
      <c r="B109" s="264" t="s">
        <v>2615</v>
      </c>
      <c r="C109" s="264" t="s">
        <v>275</v>
      </c>
      <c r="D109" s="264">
        <v>2</v>
      </c>
      <c r="E109" s="264" t="s">
        <v>2745</v>
      </c>
      <c r="F109" s="264" t="s">
        <v>3134</v>
      </c>
      <c r="G109" s="264"/>
      <c r="H109" s="264"/>
      <c r="I109" s="264" t="s">
        <v>682</v>
      </c>
      <c r="J109" s="264" t="s">
        <v>5427</v>
      </c>
      <c r="K109" s="264"/>
      <c r="L109" s="264"/>
      <c r="M109" s="264"/>
      <c r="N109" s="264"/>
      <c r="O109" s="264" t="s">
        <v>2956</v>
      </c>
      <c r="P109" s="264" t="s">
        <v>3217</v>
      </c>
      <c r="Q109" s="264"/>
    </row>
    <row r="110" spans="1:17" ht="12">
      <c r="A110" s="263">
        <f t="shared" si="3"/>
        <v>109</v>
      </c>
      <c r="B110" s="263" t="s">
        <v>2616</v>
      </c>
      <c r="C110" s="263" t="s">
        <v>275</v>
      </c>
      <c r="D110" s="263">
        <v>2</v>
      </c>
      <c r="E110" s="263" t="s">
        <v>333</v>
      </c>
      <c r="F110" s="263" t="s">
        <v>3134</v>
      </c>
      <c r="G110" s="263"/>
      <c r="H110" s="263"/>
      <c r="I110" s="263" t="s">
        <v>682</v>
      </c>
      <c r="J110" s="263" t="s">
        <v>5427</v>
      </c>
      <c r="K110" s="437" t="s">
        <v>3580</v>
      </c>
      <c r="L110" s="263"/>
      <c r="M110" s="263"/>
      <c r="N110" s="263"/>
      <c r="O110" s="263" t="s">
        <v>2956</v>
      </c>
      <c r="P110" s="263" t="s">
        <v>3217</v>
      </c>
      <c r="Q110" s="263"/>
    </row>
    <row r="111" spans="1:17" ht="12">
      <c r="A111" s="263">
        <f t="shared" si="3"/>
        <v>110</v>
      </c>
      <c r="B111" s="263" t="s">
        <v>2617</v>
      </c>
      <c r="C111" s="263" t="s">
        <v>279</v>
      </c>
      <c r="D111" s="263">
        <v>5</v>
      </c>
      <c r="E111" s="263" t="s">
        <v>293</v>
      </c>
      <c r="F111" s="263" t="s">
        <v>3134</v>
      </c>
      <c r="G111" s="263"/>
      <c r="H111" s="263"/>
      <c r="I111" s="263" t="s">
        <v>682</v>
      </c>
      <c r="J111" s="263" t="s">
        <v>5427</v>
      </c>
      <c r="K111" s="437" t="s">
        <v>5859</v>
      </c>
      <c r="L111" s="263"/>
      <c r="M111" s="263"/>
      <c r="N111" s="263"/>
      <c r="O111" s="263" t="s">
        <v>2956</v>
      </c>
      <c r="P111" s="263" t="s">
        <v>3217</v>
      </c>
      <c r="Q111" s="263"/>
    </row>
    <row r="112" spans="1:17" ht="12">
      <c r="A112" s="263">
        <f t="shared" si="3"/>
        <v>111</v>
      </c>
      <c r="B112" s="263" t="s">
        <v>2618</v>
      </c>
      <c r="C112" s="263" t="s">
        <v>279</v>
      </c>
      <c r="D112" s="263">
        <v>5</v>
      </c>
      <c r="E112" s="263" t="s">
        <v>292</v>
      </c>
      <c r="F112" s="263" t="s">
        <v>3134</v>
      </c>
      <c r="G112" s="263"/>
      <c r="H112" s="263"/>
      <c r="I112" s="263" t="s">
        <v>682</v>
      </c>
      <c r="J112" s="263" t="s">
        <v>5427</v>
      </c>
      <c r="K112" s="437" t="s">
        <v>5860</v>
      </c>
      <c r="L112" s="263"/>
      <c r="M112" s="263"/>
      <c r="N112" s="263"/>
      <c r="O112" s="263" t="s">
        <v>2956</v>
      </c>
      <c r="P112" s="263" t="s">
        <v>3217</v>
      </c>
      <c r="Q112" s="263"/>
    </row>
    <row r="113" spans="1:17" s="181" customFormat="1" ht="12">
      <c r="A113" s="264">
        <f t="shared" si="3"/>
        <v>112</v>
      </c>
      <c r="B113" s="264" t="s">
        <v>2619</v>
      </c>
      <c r="C113" s="264" t="s">
        <v>279</v>
      </c>
      <c r="D113" s="264">
        <v>5</v>
      </c>
      <c r="E113" s="264" t="s">
        <v>2746</v>
      </c>
      <c r="F113" s="264" t="s">
        <v>3134</v>
      </c>
      <c r="G113" s="264"/>
      <c r="H113" s="264"/>
      <c r="I113" s="264" t="s">
        <v>682</v>
      </c>
      <c r="J113" s="264" t="s">
        <v>5427</v>
      </c>
      <c r="K113" s="438"/>
      <c r="L113" s="264"/>
      <c r="M113" s="264"/>
      <c r="N113" s="264"/>
      <c r="O113" s="264" t="s">
        <v>2956</v>
      </c>
      <c r="P113" s="264" t="s">
        <v>3217</v>
      </c>
      <c r="Q113" s="264"/>
    </row>
    <row r="114" spans="1:17" ht="12">
      <c r="A114" s="263">
        <f t="shared" si="3"/>
        <v>113</v>
      </c>
      <c r="B114" s="263" t="s">
        <v>2620</v>
      </c>
      <c r="C114" s="263" t="s">
        <v>275</v>
      </c>
      <c r="D114" s="263">
        <v>9</v>
      </c>
      <c r="E114" s="263" t="s">
        <v>2747</v>
      </c>
      <c r="F114" s="263" t="s">
        <v>3134</v>
      </c>
      <c r="G114" s="263"/>
      <c r="H114" s="263"/>
      <c r="I114" s="263" t="s">
        <v>682</v>
      </c>
      <c r="J114" s="263" t="s">
        <v>5427</v>
      </c>
      <c r="K114" s="437" t="s">
        <v>5861</v>
      </c>
      <c r="L114" s="263"/>
      <c r="M114" s="263"/>
      <c r="N114" s="263"/>
      <c r="O114" s="263" t="s">
        <v>2956</v>
      </c>
      <c r="P114" s="263" t="s">
        <v>3217</v>
      </c>
      <c r="Q114" s="263"/>
    </row>
    <row r="115" spans="1:17" ht="12">
      <c r="A115" s="263">
        <f t="shared" si="3"/>
        <v>114</v>
      </c>
      <c r="B115" s="263" t="s">
        <v>2621</v>
      </c>
      <c r="C115" s="263" t="s">
        <v>275</v>
      </c>
      <c r="D115" s="263">
        <v>1</v>
      </c>
      <c r="E115" s="263" t="s">
        <v>2748</v>
      </c>
      <c r="F115" s="263" t="s">
        <v>3134</v>
      </c>
      <c r="G115" s="263"/>
      <c r="H115" s="263"/>
      <c r="I115" s="263" t="s">
        <v>682</v>
      </c>
      <c r="J115" s="263" t="s">
        <v>5427</v>
      </c>
      <c r="K115" s="437" t="s">
        <v>2748</v>
      </c>
      <c r="L115" s="263"/>
      <c r="M115" s="263"/>
      <c r="N115" s="263"/>
      <c r="O115" s="263" t="s">
        <v>2956</v>
      </c>
      <c r="P115" s="263" t="s">
        <v>3217</v>
      </c>
      <c r="Q115" s="263"/>
    </row>
    <row r="116" spans="1:17" s="181" customFormat="1" ht="12">
      <c r="A116" s="264">
        <f t="shared" si="3"/>
        <v>115</v>
      </c>
      <c r="B116" s="264" t="s">
        <v>2622</v>
      </c>
      <c r="C116" s="264" t="s">
        <v>275</v>
      </c>
      <c r="D116" s="264">
        <v>1</v>
      </c>
      <c r="E116" s="264" t="s">
        <v>2749</v>
      </c>
      <c r="F116" s="264" t="s">
        <v>3134</v>
      </c>
      <c r="G116" s="264"/>
      <c r="H116" s="264"/>
      <c r="I116" s="264" t="s">
        <v>682</v>
      </c>
      <c r="J116" s="264" t="s">
        <v>5427</v>
      </c>
      <c r="K116" s="438"/>
      <c r="L116" s="264"/>
      <c r="M116" s="264"/>
      <c r="N116" s="264"/>
      <c r="O116" s="264" t="s">
        <v>2956</v>
      </c>
      <c r="P116" s="264" t="s">
        <v>3217</v>
      </c>
      <c r="Q116" s="264"/>
    </row>
    <row r="117" spans="1:17" s="181" customFormat="1" ht="12">
      <c r="A117" s="264">
        <f t="shared" si="3"/>
        <v>116</v>
      </c>
      <c r="B117" s="264" t="s">
        <v>2623</v>
      </c>
      <c r="C117" s="264" t="s">
        <v>275</v>
      </c>
      <c r="D117" s="264">
        <v>1</v>
      </c>
      <c r="E117" s="264" t="s">
        <v>329</v>
      </c>
      <c r="F117" s="264" t="s">
        <v>3134</v>
      </c>
      <c r="G117" s="264"/>
      <c r="H117" s="264"/>
      <c r="I117" s="264" t="s">
        <v>682</v>
      </c>
      <c r="J117" s="264" t="s">
        <v>5427</v>
      </c>
      <c r="K117" s="438"/>
      <c r="L117" s="264"/>
      <c r="M117" s="264"/>
      <c r="N117" s="264"/>
      <c r="O117" s="264" t="s">
        <v>2956</v>
      </c>
      <c r="P117" s="264" t="s">
        <v>3217</v>
      </c>
      <c r="Q117" s="264"/>
    </row>
    <row r="118" spans="1:17" ht="12">
      <c r="A118" s="263">
        <f t="shared" si="3"/>
        <v>117</v>
      </c>
      <c r="B118" s="263" t="s">
        <v>2624</v>
      </c>
      <c r="C118" s="263" t="s">
        <v>279</v>
      </c>
      <c r="D118" s="263">
        <v>15</v>
      </c>
      <c r="E118" s="263" t="s">
        <v>332</v>
      </c>
      <c r="F118" s="263" t="s">
        <v>3134</v>
      </c>
      <c r="G118" s="263"/>
      <c r="H118" s="263"/>
      <c r="I118" s="263" t="s">
        <v>682</v>
      </c>
      <c r="J118" s="263" t="s">
        <v>5427</v>
      </c>
      <c r="K118" s="437" t="s">
        <v>5862</v>
      </c>
      <c r="L118" s="263"/>
      <c r="M118" s="263"/>
      <c r="N118" s="263"/>
      <c r="O118" s="263" t="s">
        <v>2956</v>
      </c>
      <c r="P118" s="263" t="s">
        <v>3217</v>
      </c>
      <c r="Q118" s="263"/>
    </row>
    <row r="119" spans="1:17" ht="12">
      <c r="A119" s="263">
        <f t="shared" si="3"/>
        <v>118</v>
      </c>
      <c r="B119" s="263" t="s">
        <v>2625</v>
      </c>
      <c r="C119" s="263" t="s">
        <v>279</v>
      </c>
      <c r="D119" s="263">
        <v>15</v>
      </c>
      <c r="E119" s="263" t="s">
        <v>2750</v>
      </c>
      <c r="F119" s="263" t="s">
        <v>3134</v>
      </c>
      <c r="G119" s="263"/>
      <c r="H119" s="263"/>
      <c r="I119" s="263" t="s">
        <v>682</v>
      </c>
      <c r="J119" s="263" t="s">
        <v>5427</v>
      </c>
      <c r="K119" s="437" t="s">
        <v>2855</v>
      </c>
      <c r="L119" s="263"/>
      <c r="M119" s="263"/>
      <c r="N119" s="263"/>
      <c r="O119" s="263" t="s">
        <v>2956</v>
      </c>
      <c r="P119" s="263" t="s">
        <v>3217</v>
      </c>
      <c r="Q119" s="263"/>
    </row>
    <row r="120" spans="1:17" ht="12">
      <c r="A120" s="263">
        <f t="shared" si="3"/>
        <v>119</v>
      </c>
      <c r="B120" s="263" t="s">
        <v>2626</v>
      </c>
      <c r="C120" s="263" t="s">
        <v>279</v>
      </c>
      <c r="D120" s="263">
        <v>15</v>
      </c>
      <c r="E120" s="263" t="s">
        <v>2751</v>
      </c>
      <c r="F120" s="263" t="s">
        <v>3134</v>
      </c>
      <c r="G120" s="263"/>
      <c r="H120" s="263"/>
      <c r="I120" s="263" t="s">
        <v>682</v>
      </c>
      <c r="J120" s="263" t="s">
        <v>5427</v>
      </c>
      <c r="K120" s="437" t="s">
        <v>2856</v>
      </c>
      <c r="L120" s="263"/>
      <c r="M120" s="263"/>
      <c r="N120" s="263"/>
      <c r="O120" s="263" t="s">
        <v>2956</v>
      </c>
      <c r="P120" s="263" t="s">
        <v>3217</v>
      </c>
      <c r="Q120" s="263"/>
    </row>
    <row r="121" spans="1:17" ht="12">
      <c r="A121" s="263">
        <f t="shared" si="3"/>
        <v>120</v>
      </c>
      <c r="B121" s="263" t="s">
        <v>2627</v>
      </c>
      <c r="C121" s="263" t="s">
        <v>279</v>
      </c>
      <c r="D121" s="263">
        <v>15</v>
      </c>
      <c r="E121" s="263" t="s">
        <v>1434</v>
      </c>
      <c r="F121" s="263" t="s">
        <v>3134</v>
      </c>
      <c r="G121" s="263"/>
      <c r="H121" s="263"/>
      <c r="I121" s="263" t="s">
        <v>682</v>
      </c>
      <c r="J121" s="263" t="s">
        <v>5427</v>
      </c>
      <c r="K121" s="437" t="s">
        <v>2857</v>
      </c>
      <c r="L121" s="263"/>
      <c r="M121" s="263"/>
      <c r="N121" s="263"/>
      <c r="O121" s="263" t="s">
        <v>2956</v>
      </c>
      <c r="P121" s="263" t="s">
        <v>3217</v>
      </c>
      <c r="Q121" s="263"/>
    </row>
    <row r="122" spans="1:17" ht="12">
      <c r="A122" s="263">
        <f t="shared" si="3"/>
        <v>121</v>
      </c>
      <c r="B122" s="263" t="s">
        <v>2628</v>
      </c>
      <c r="C122" s="263" t="s">
        <v>279</v>
      </c>
      <c r="D122" s="263">
        <v>15</v>
      </c>
      <c r="E122" s="263" t="s">
        <v>2752</v>
      </c>
      <c r="F122" s="263" t="s">
        <v>3134</v>
      </c>
      <c r="G122" s="263"/>
      <c r="H122" s="263"/>
      <c r="I122" s="263" t="s">
        <v>682</v>
      </c>
      <c r="J122" s="263" t="s">
        <v>5427</v>
      </c>
      <c r="K122" s="437" t="s">
        <v>2858</v>
      </c>
      <c r="L122" s="263"/>
      <c r="M122" s="263"/>
      <c r="N122" s="263"/>
      <c r="O122" s="263" t="s">
        <v>2956</v>
      </c>
      <c r="P122" s="263" t="s">
        <v>3217</v>
      </c>
      <c r="Q122" s="263"/>
    </row>
    <row r="123" spans="1:17" ht="12">
      <c r="A123" s="263">
        <f t="shared" si="3"/>
        <v>122</v>
      </c>
      <c r="B123" s="263" t="s">
        <v>2629</v>
      </c>
      <c r="C123" s="263" t="s">
        <v>279</v>
      </c>
      <c r="D123" s="263">
        <v>15</v>
      </c>
      <c r="E123" s="263" t="s">
        <v>330</v>
      </c>
      <c r="F123" s="263" t="s">
        <v>3134</v>
      </c>
      <c r="G123" s="263"/>
      <c r="H123" s="263"/>
      <c r="I123" s="263" t="s">
        <v>682</v>
      </c>
      <c r="J123" s="263" t="s">
        <v>5427</v>
      </c>
      <c r="K123" s="437" t="s">
        <v>5432</v>
      </c>
      <c r="L123" s="263"/>
      <c r="M123" s="263"/>
      <c r="N123" s="263"/>
      <c r="O123" s="263" t="s">
        <v>2956</v>
      </c>
      <c r="P123" s="263" t="s">
        <v>3217</v>
      </c>
      <c r="Q123" s="263"/>
    </row>
    <row r="124" spans="1:17" s="181" customFormat="1" ht="12">
      <c r="A124" s="264">
        <f t="shared" si="3"/>
        <v>123</v>
      </c>
      <c r="B124" s="264" t="s">
        <v>2630</v>
      </c>
      <c r="C124" s="264" t="s">
        <v>279</v>
      </c>
      <c r="D124" s="264">
        <v>15</v>
      </c>
      <c r="E124" s="264" t="s">
        <v>182</v>
      </c>
      <c r="F124" s="264" t="s">
        <v>3134</v>
      </c>
      <c r="G124" s="264"/>
      <c r="H124" s="264"/>
      <c r="I124" s="264" t="s">
        <v>682</v>
      </c>
      <c r="J124" s="264" t="s">
        <v>5427</v>
      </c>
      <c r="K124" s="438"/>
      <c r="L124" s="264"/>
      <c r="M124" s="264"/>
      <c r="N124" s="264"/>
      <c r="O124" s="264" t="s">
        <v>2956</v>
      </c>
      <c r="P124" s="264" t="s">
        <v>3217</v>
      </c>
      <c r="Q124" s="264"/>
    </row>
    <row r="125" spans="1:17" ht="12">
      <c r="A125" s="263">
        <f t="shared" si="3"/>
        <v>124</v>
      </c>
      <c r="B125" s="263" t="s">
        <v>2631</v>
      </c>
      <c r="C125" s="263" t="s">
        <v>275</v>
      </c>
      <c r="D125" s="263">
        <v>1</v>
      </c>
      <c r="E125" s="263" t="s">
        <v>2753</v>
      </c>
      <c r="F125" s="263" t="s">
        <v>3134</v>
      </c>
      <c r="G125" s="263"/>
      <c r="H125" s="263"/>
      <c r="I125" s="263" t="s">
        <v>682</v>
      </c>
      <c r="J125" s="263" t="s">
        <v>5427</v>
      </c>
      <c r="K125" s="437" t="s">
        <v>2753</v>
      </c>
      <c r="L125" s="263"/>
      <c r="M125" s="263"/>
      <c r="N125" s="263"/>
      <c r="O125" s="263" t="s">
        <v>2956</v>
      </c>
      <c r="P125" s="263" t="s">
        <v>3217</v>
      </c>
      <c r="Q125" s="263"/>
    </row>
    <row r="126" spans="1:17" s="181" customFormat="1" ht="12">
      <c r="A126" s="264">
        <f t="shared" si="3"/>
        <v>125</v>
      </c>
      <c r="B126" s="264" t="s">
        <v>2632</v>
      </c>
      <c r="C126" s="264" t="s">
        <v>275</v>
      </c>
      <c r="D126" s="264">
        <v>2</v>
      </c>
      <c r="E126" s="264" t="s">
        <v>2754</v>
      </c>
      <c r="F126" s="264" t="s">
        <v>3134</v>
      </c>
      <c r="G126" s="264"/>
      <c r="H126" s="264"/>
      <c r="I126" s="264" t="s">
        <v>682</v>
      </c>
      <c r="J126" s="264" t="s">
        <v>5427</v>
      </c>
      <c r="K126" s="438"/>
      <c r="L126" s="264"/>
      <c r="M126" s="264"/>
      <c r="N126" s="264"/>
      <c r="O126" s="264" t="s">
        <v>2956</v>
      </c>
      <c r="P126" s="264" t="s">
        <v>3217</v>
      </c>
      <c r="Q126" s="264"/>
    </row>
    <row r="127" spans="1:17" s="181" customFormat="1" ht="12">
      <c r="A127" s="264">
        <f t="shared" si="3"/>
        <v>126</v>
      </c>
      <c r="B127" s="264" t="s">
        <v>2633</v>
      </c>
      <c r="C127" s="264" t="s">
        <v>275</v>
      </c>
      <c r="D127" s="264">
        <v>1</v>
      </c>
      <c r="E127" s="264" t="s">
        <v>6</v>
      </c>
      <c r="F127" s="264" t="s">
        <v>3134</v>
      </c>
      <c r="G127" s="264"/>
      <c r="H127" s="264"/>
      <c r="I127" s="264" t="s">
        <v>682</v>
      </c>
      <c r="J127" s="264" t="s">
        <v>5427</v>
      </c>
      <c r="K127" s="438"/>
      <c r="L127" s="264"/>
      <c r="M127" s="264"/>
      <c r="N127" s="264"/>
      <c r="O127" s="264" t="s">
        <v>2956</v>
      </c>
      <c r="P127" s="264" t="s">
        <v>3217</v>
      </c>
      <c r="Q127" s="264"/>
    </row>
    <row r="128" spans="1:17" ht="12">
      <c r="A128" s="263">
        <f t="shared" si="3"/>
        <v>127</v>
      </c>
      <c r="B128" s="263" t="s">
        <v>2634</v>
      </c>
      <c r="C128" s="263" t="s">
        <v>275</v>
      </c>
      <c r="D128" s="263">
        <v>1</v>
      </c>
      <c r="E128" s="263" t="s">
        <v>7</v>
      </c>
      <c r="F128" s="263" t="s">
        <v>3134</v>
      </c>
      <c r="G128" s="263"/>
      <c r="H128" s="263"/>
      <c r="I128" s="263" t="s">
        <v>682</v>
      </c>
      <c r="J128" s="263" t="s">
        <v>5427</v>
      </c>
      <c r="K128" s="437" t="s">
        <v>7</v>
      </c>
      <c r="L128" s="263"/>
      <c r="M128" s="263"/>
      <c r="N128" s="263"/>
      <c r="O128" s="263" t="s">
        <v>2956</v>
      </c>
      <c r="P128" s="263" t="s">
        <v>3217</v>
      </c>
      <c r="Q128" s="263"/>
    </row>
    <row r="129" spans="1:17" s="181" customFormat="1" ht="12">
      <c r="A129" s="264">
        <f t="shared" si="3"/>
        <v>128</v>
      </c>
      <c r="B129" s="264" t="s">
        <v>2635</v>
      </c>
      <c r="C129" s="264" t="s">
        <v>275</v>
      </c>
      <c r="D129" s="264">
        <v>1</v>
      </c>
      <c r="E129" s="264" t="s">
        <v>2755</v>
      </c>
      <c r="F129" s="264" t="s">
        <v>3134</v>
      </c>
      <c r="G129" s="264"/>
      <c r="H129" s="264"/>
      <c r="I129" s="264" t="s">
        <v>682</v>
      </c>
      <c r="J129" s="264" t="s">
        <v>5427</v>
      </c>
      <c r="K129" s="438"/>
      <c r="L129" s="264"/>
      <c r="M129" s="264"/>
      <c r="N129" s="264"/>
      <c r="O129" s="264" t="s">
        <v>2956</v>
      </c>
      <c r="P129" s="264" t="s">
        <v>3217</v>
      </c>
      <c r="Q129" s="264"/>
    </row>
    <row r="130" spans="1:17" ht="12">
      <c r="A130" s="263">
        <f t="shared" si="3"/>
        <v>129</v>
      </c>
      <c r="B130" s="263" t="s">
        <v>2636</v>
      </c>
      <c r="C130" s="263" t="s">
        <v>275</v>
      </c>
      <c r="D130" s="263">
        <v>10</v>
      </c>
      <c r="E130" s="263" t="s">
        <v>2756</v>
      </c>
      <c r="F130" s="263" t="s">
        <v>3134</v>
      </c>
      <c r="G130" s="263"/>
      <c r="H130" s="263"/>
      <c r="I130" s="263" t="s">
        <v>682</v>
      </c>
      <c r="J130" s="263" t="s">
        <v>5427</v>
      </c>
      <c r="K130" s="437" t="s">
        <v>2861</v>
      </c>
      <c r="L130" s="263"/>
      <c r="M130" s="263"/>
      <c r="N130" s="263"/>
      <c r="O130" s="263" t="s">
        <v>2956</v>
      </c>
      <c r="P130" s="263" t="s">
        <v>3217</v>
      </c>
      <c r="Q130" s="263"/>
    </row>
    <row r="131" spans="1:17" ht="12">
      <c r="A131" s="263">
        <f t="shared" si="3"/>
        <v>130</v>
      </c>
      <c r="B131" s="263" t="s">
        <v>2637</v>
      </c>
      <c r="C131" s="263" t="s">
        <v>275</v>
      </c>
      <c r="D131" s="263">
        <v>1</v>
      </c>
      <c r="E131" s="263" t="s">
        <v>2757</v>
      </c>
      <c r="F131" s="263" t="s">
        <v>3134</v>
      </c>
      <c r="G131" s="263"/>
      <c r="H131" s="263"/>
      <c r="I131" s="263" t="s">
        <v>682</v>
      </c>
      <c r="J131" s="263" t="s">
        <v>5427</v>
      </c>
      <c r="K131" s="437" t="s">
        <v>2862</v>
      </c>
      <c r="L131" s="263"/>
      <c r="M131" s="263"/>
      <c r="N131" s="263"/>
      <c r="O131" s="263" t="s">
        <v>2956</v>
      </c>
      <c r="P131" s="263" t="s">
        <v>3217</v>
      </c>
      <c r="Q131" s="263"/>
    </row>
    <row r="132" spans="1:17" s="181" customFormat="1" ht="12">
      <c r="A132" s="264">
        <f t="shared" si="3"/>
        <v>131</v>
      </c>
      <c r="B132" s="264" t="s">
        <v>2638</v>
      </c>
      <c r="C132" s="264" t="s">
        <v>275</v>
      </c>
      <c r="D132" s="264">
        <v>8</v>
      </c>
      <c r="E132" s="264" t="s">
        <v>2758</v>
      </c>
      <c r="F132" s="264" t="s">
        <v>3134</v>
      </c>
      <c r="G132" s="264"/>
      <c r="H132" s="264"/>
      <c r="I132" s="264" t="s">
        <v>682</v>
      </c>
      <c r="J132" s="264" t="s">
        <v>5427</v>
      </c>
      <c r="K132" s="438"/>
      <c r="L132" s="264"/>
      <c r="M132" s="264"/>
      <c r="N132" s="264"/>
      <c r="O132" s="264" t="s">
        <v>2956</v>
      </c>
      <c r="P132" s="264" t="s">
        <v>3217</v>
      </c>
      <c r="Q132" s="264"/>
    </row>
    <row r="133" spans="1:17" s="181" customFormat="1" ht="12">
      <c r="A133" s="264">
        <f t="shared" si="3"/>
        <v>132</v>
      </c>
      <c r="B133" s="264" t="s">
        <v>2639</v>
      </c>
      <c r="C133" s="264" t="s">
        <v>279</v>
      </c>
      <c r="D133" s="264">
        <v>15</v>
      </c>
      <c r="E133" s="264" t="s">
        <v>2759</v>
      </c>
      <c r="F133" s="264" t="s">
        <v>3134</v>
      </c>
      <c r="G133" s="264"/>
      <c r="H133" s="264"/>
      <c r="I133" s="264" t="s">
        <v>682</v>
      </c>
      <c r="J133" s="264" t="s">
        <v>5427</v>
      </c>
      <c r="K133" s="438"/>
      <c r="L133" s="264"/>
      <c r="M133" s="264"/>
      <c r="N133" s="264"/>
      <c r="O133" s="264" t="s">
        <v>2956</v>
      </c>
      <c r="P133" s="264" t="s">
        <v>3217</v>
      </c>
      <c r="Q133" s="264"/>
    </row>
    <row r="134" spans="1:17" ht="12">
      <c r="A134" s="263">
        <f t="shared" si="3"/>
        <v>133</v>
      </c>
      <c r="B134" s="263" t="s">
        <v>2640</v>
      </c>
      <c r="C134" s="263" t="s">
        <v>279</v>
      </c>
      <c r="D134" s="263">
        <v>15</v>
      </c>
      <c r="E134" s="263" t="s">
        <v>2760</v>
      </c>
      <c r="F134" s="263" t="s">
        <v>3134</v>
      </c>
      <c r="G134" s="263"/>
      <c r="H134" s="263"/>
      <c r="I134" s="263" t="s">
        <v>682</v>
      </c>
      <c r="J134" s="263" t="s">
        <v>5427</v>
      </c>
      <c r="K134" s="437" t="s">
        <v>2864</v>
      </c>
      <c r="L134" s="263"/>
      <c r="M134" s="263"/>
      <c r="N134" s="263"/>
      <c r="O134" s="263" t="s">
        <v>2956</v>
      </c>
      <c r="P134" s="263" t="s">
        <v>3217</v>
      </c>
      <c r="Q134" s="263"/>
    </row>
    <row r="135" spans="1:17" ht="12">
      <c r="A135" s="263">
        <f t="shared" si="3"/>
        <v>134</v>
      </c>
      <c r="B135" s="263" t="s">
        <v>2641</v>
      </c>
      <c r="C135" s="263" t="s">
        <v>279</v>
      </c>
      <c r="D135" s="263">
        <v>15</v>
      </c>
      <c r="E135" s="263" t="s">
        <v>2</v>
      </c>
      <c r="F135" s="263" t="s">
        <v>3134</v>
      </c>
      <c r="G135" s="263"/>
      <c r="H135" s="263"/>
      <c r="I135" s="263" t="s">
        <v>682</v>
      </c>
      <c r="J135" s="263" t="s">
        <v>5427</v>
      </c>
      <c r="K135" s="437" t="s">
        <v>5863</v>
      </c>
      <c r="L135" s="263"/>
      <c r="M135" s="263"/>
      <c r="N135" s="263"/>
      <c r="O135" s="263" t="s">
        <v>2956</v>
      </c>
      <c r="P135" s="263" t="s">
        <v>3217</v>
      </c>
      <c r="Q135" s="263"/>
    </row>
    <row r="136" spans="1:17" ht="12">
      <c r="A136" s="263">
        <f t="shared" si="3"/>
        <v>135</v>
      </c>
      <c r="B136" s="263" t="s">
        <v>2642</v>
      </c>
      <c r="C136" s="263" t="s">
        <v>275</v>
      </c>
      <c r="D136" s="263">
        <v>2</v>
      </c>
      <c r="E136" s="263" t="s">
        <v>336</v>
      </c>
      <c r="F136" s="263" t="s">
        <v>3134</v>
      </c>
      <c r="G136" s="263"/>
      <c r="H136" s="263"/>
      <c r="I136" s="263" t="s">
        <v>682</v>
      </c>
      <c r="J136" s="263" t="s">
        <v>5427</v>
      </c>
      <c r="K136" s="437" t="s">
        <v>5864</v>
      </c>
      <c r="L136" s="263"/>
      <c r="M136" s="263"/>
      <c r="N136" s="263"/>
      <c r="O136" s="263" t="s">
        <v>2956</v>
      </c>
      <c r="P136" s="263" t="s">
        <v>3217</v>
      </c>
      <c r="Q136" s="263"/>
    </row>
    <row r="137" spans="1:17" ht="12">
      <c r="A137" s="263">
        <f t="shared" si="3"/>
        <v>136</v>
      </c>
      <c r="B137" s="263" t="s">
        <v>2643</v>
      </c>
      <c r="C137" s="263" t="s">
        <v>275</v>
      </c>
      <c r="D137" s="263">
        <v>2</v>
      </c>
      <c r="E137" s="263" t="s">
        <v>2761</v>
      </c>
      <c r="F137" s="263" t="s">
        <v>3134</v>
      </c>
      <c r="G137" s="263"/>
      <c r="H137" s="263"/>
      <c r="I137" s="263" t="s">
        <v>682</v>
      </c>
      <c r="J137" s="263" t="s">
        <v>5427</v>
      </c>
      <c r="K137" s="437" t="s">
        <v>2865</v>
      </c>
      <c r="L137" s="263"/>
      <c r="M137" s="263"/>
      <c r="N137" s="263"/>
      <c r="O137" s="263" t="s">
        <v>2956</v>
      </c>
      <c r="P137" s="263" t="s">
        <v>3217</v>
      </c>
      <c r="Q137" s="263"/>
    </row>
    <row r="138" spans="1:17" ht="12">
      <c r="A138" s="263">
        <f t="shared" si="3"/>
        <v>137</v>
      </c>
      <c r="B138" s="263" t="s">
        <v>2644</v>
      </c>
      <c r="C138" s="263" t="s">
        <v>275</v>
      </c>
      <c r="D138" s="263">
        <v>2</v>
      </c>
      <c r="E138" s="263" t="s">
        <v>2762</v>
      </c>
      <c r="F138" s="263" t="s">
        <v>3134</v>
      </c>
      <c r="G138" s="263"/>
      <c r="H138" s="263"/>
      <c r="I138" s="263" t="s">
        <v>682</v>
      </c>
      <c r="J138" s="263" t="s">
        <v>5427</v>
      </c>
      <c r="K138" s="437" t="s">
        <v>2866</v>
      </c>
      <c r="L138" s="263"/>
      <c r="M138" s="263"/>
      <c r="N138" s="263"/>
      <c r="O138" s="263" t="s">
        <v>2956</v>
      </c>
      <c r="P138" s="263" t="s">
        <v>3217</v>
      </c>
      <c r="Q138" s="263"/>
    </row>
    <row r="139" spans="1:17" ht="12">
      <c r="A139" s="263">
        <f t="shared" si="3"/>
        <v>138</v>
      </c>
      <c r="B139" s="263" t="s">
        <v>2645</v>
      </c>
      <c r="C139" s="263" t="s">
        <v>275</v>
      </c>
      <c r="D139" s="263">
        <v>3</v>
      </c>
      <c r="E139" s="263" t="s">
        <v>2763</v>
      </c>
      <c r="F139" s="263" t="s">
        <v>3134</v>
      </c>
      <c r="G139" s="263"/>
      <c r="H139" s="263"/>
      <c r="I139" s="263" t="s">
        <v>682</v>
      </c>
      <c r="J139" s="263" t="s">
        <v>5427</v>
      </c>
      <c r="K139" s="437" t="s">
        <v>96</v>
      </c>
      <c r="L139" s="263"/>
      <c r="M139" s="263"/>
      <c r="N139" s="263"/>
      <c r="O139" s="263" t="s">
        <v>2956</v>
      </c>
      <c r="P139" s="263" t="s">
        <v>3217</v>
      </c>
      <c r="Q139" s="263"/>
    </row>
    <row r="140" spans="1:17" ht="12">
      <c r="A140" s="263">
        <f t="shared" si="3"/>
        <v>139</v>
      </c>
      <c r="B140" s="263" t="s">
        <v>2646</v>
      </c>
      <c r="C140" s="263" t="s">
        <v>275</v>
      </c>
      <c r="D140" s="263">
        <v>3</v>
      </c>
      <c r="E140" s="263" t="s">
        <v>2764</v>
      </c>
      <c r="F140" s="263" t="s">
        <v>3134</v>
      </c>
      <c r="G140" s="263"/>
      <c r="H140" s="263"/>
      <c r="I140" s="263" t="s">
        <v>682</v>
      </c>
      <c r="J140" s="263" t="s">
        <v>5427</v>
      </c>
      <c r="K140" s="437" t="s">
        <v>97</v>
      </c>
      <c r="L140" s="263"/>
      <c r="M140" s="263"/>
      <c r="N140" s="263"/>
      <c r="O140" s="263" t="s">
        <v>2956</v>
      </c>
      <c r="P140" s="263" t="s">
        <v>3217</v>
      </c>
      <c r="Q140" s="263"/>
    </row>
    <row r="141" spans="1:17" ht="12">
      <c r="A141" s="263">
        <f t="shared" si="3"/>
        <v>140</v>
      </c>
      <c r="B141" s="263" t="s">
        <v>2647</v>
      </c>
      <c r="C141" s="263" t="s">
        <v>275</v>
      </c>
      <c r="D141" s="263">
        <v>3</v>
      </c>
      <c r="E141" s="263" t="s">
        <v>2765</v>
      </c>
      <c r="F141" s="263" t="s">
        <v>3134</v>
      </c>
      <c r="G141" s="263"/>
      <c r="H141" s="263"/>
      <c r="I141" s="263" t="s">
        <v>682</v>
      </c>
      <c r="J141" s="263" t="s">
        <v>5427</v>
      </c>
      <c r="K141" s="437" t="s">
        <v>98</v>
      </c>
      <c r="L141" s="263"/>
      <c r="M141" s="263"/>
      <c r="N141" s="263"/>
      <c r="O141" s="263" t="s">
        <v>2956</v>
      </c>
      <c r="P141" s="263" t="s">
        <v>3217</v>
      </c>
      <c r="Q141" s="263"/>
    </row>
    <row r="142" spans="1:17" ht="12">
      <c r="A142" s="263">
        <f t="shared" si="3"/>
        <v>141</v>
      </c>
      <c r="B142" s="263" t="s">
        <v>2648</v>
      </c>
      <c r="C142" s="263" t="s">
        <v>275</v>
      </c>
      <c r="D142" s="263">
        <v>4</v>
      </c>
      <c r="E142" s="263" t="s">
        <v>2766</v>
      </c>
      <c r="F142" s="263" t="s">
        <v>3134</v>
      </c>
      <c r="G142" s="263"/>
      <c r="H142" s="263"/>
      <c r="I142" s="263" t="s">
        <v>682</v>
      </c>
      <c r="J142" s="263" t="s">
        <v>5427</v>
      </c>
      <c r="K142" s="437" t="s">
        <v>2766</v>
      </c>
      <c r="L142" s="263"/>
      <c r="M142" s="263"/>
      <c r="N142" s="263"/>
      <c r="O142" s="263" t="s">
        <v>2956</v>
      </c>
      <c r="P142" s="263" t="s">
        <v>3217</v>
      </c>
      <c r="Q142" s="263"/>
    </row>
    <row r="143" spans="1:17" ht="12">
      <c r="A143" s="263">
        <f t="shared" si="3"/>
        <v>142</v>
      </c>
      <c r="B143" s="263" t="s">
        <v>2649</v>
      </c>
      <c r="C143" s="263" t="s">
        <v>275</v>
      </c>
      <c r="D143" s="263">
        <v>4</v>
      </c>
      <c r="E143" s="263" t="s">
        <v>2767</v>
      </c>
      <c r="F143" s="263" t="s">
        <v>3134</v>
      </c>
      <c r="G143" s="263"/>
      <c r="H143" s="263"/>
      <c r="I143" s="263" t="s">
        <v>682</v>
      </c>
      <c r="J143" s="263" t="s">
        <v>5427</v>
      </c>
      <c r="K143" s="437" t="s">
        <v>2867</v>
      </c>
      <c r="L143" s="263"/>
      <c r="M143" s="263"/>
      <c r="N143" s="263"/>
      <c r="O143" s="263" t="s">
        <v>2956</v>
      </c>
      <c r="P143" s="263" t="s">
        <v>3217</v>
      </c>
      <c r="Q143" s="263"/>
    </row>
    <row r="144" spans="1:17" ht="12">
      <c r="A144" s="263">
        <f t="shared" si="3"/>
        <v>143</v>
      </c>
      <c r="B144" s="263" t="s">
        <v>2650</v>
      </c>
      <c r="C144" s="263" t="s">
        <v>275</v>
      </c>
      <c r="D144" s="263">
        <v>4</v>
      </c>
      <c r="E144" s="263" t="s">
        <v>2768</v>
      </c>
      <c r="F144" s="263" t="s">
        <v>3134</v>
      </c>
      <c r="G144" s="263"/>
      <c r="H144" s="263"/>
      <c r="I144" s="263" t="s">
        <v>682</v>
      </c>
      <c r="J144" s="263" t="s">
        <v>5427</v>
      </c>
      <c r="K144" s="437" t="s">
        <v>2868</v>
      </c>
      <c r="L144" s="263"/>
      <c r="M144" s="263"/>
      <c r="N144" s="263"/>
      <c r="O144" s="263" t="s">
        <v>2956</v>
      </c>
      <c r="P144" s="263" t="s">
        <v>3217</v>
      </c>
      <c r="Q144" s="263"/>
    </row>
    <row r="145" spans="1:17" s="181" customFormat="1" ht="12">
      <c r="A145" s="264">
        <f t="shared" si="3"/>
        <v>144</v>
      </c>
      <c r="B145" s="264" t="s">
        <v>2651</v>
      </c>
      <c r="C145" s="264" t="s">
        <v>279</v>
      </c>
      <c r="D145" s="264">
        <v>5</v>
      </c>
      <c r="E145" s="264" t="s">
        <v>2769</v>
      </c>
      <c r="F145" s="264" t="s">
        <v>3134</v>
      </c>
      <c r="G145" s="264"/>
      <c r="H145" s="264"/>
      <c r="I145" s="264" t="s">
        <v>682</v>
      </c>
      <c r="J145" s="264" t="s">
        <v>5427</v>
      </c>
      <c r="K145" s="438"/>
      <c r="L145" s="264"/>
      <c r="M145" s="264"/>
      <c r="N145" s="264"/>
      <c r="O145" s="264" t="s">
        <v>2956</v>
      </c>
      <c r="P145" s="264" t="s">
        <v>3217</v>
      </c>
      <c r="Q145" s="264"/>
    </row>
    <row r="146" spans="1:17" s="181" customFormat="1" ht="12">
      <c r="A146" s="264">
        <f t="shared" ref="A146:A208" si="4">ROW()-1</f>
        <v>145</v>
      </c>
      <c r="B146" s="264" t="s">
        <v>2652</v>
      </c>
      <c r="C146" s="264" t="s">
        <v>279</v>
      </c>
      <c r="D146" s="264">
        <v>3</v>
      </c>
      <c r="E146" s="264" t="s">
        <v>2770</v>
      </c>
      <c r="F146" s="264" t="s">
        <v>3134</v>
      </c>
      <c r="G146" s="264"/>
      <c r="H146" s="264"/>
      <c r="I146" s="264" t="s">
        <v>682</v>
      </c>
      <c r="J146" s="264" t="s">
        <v>5427</v>
      </c>
      <c r="K146" s="438"/>
      <c r="L146" s="264"/>
      <c r="M146" s="264"/>
      <c r="N146" s="264"/>
      <c r="O146" s="264" t="s">
        <v>2956</v>
      </c>
      <c r="P146" s="264" t="s">
        <v>3217</v>
      </c>
      <c r="Q146" s="264"/>
    </row>
    <row r="147" spans="1:17" s="181" customFormat="1" ht="12">
      <c r="A147" s="264">
        <f t="shared" si="4"/>
        <v>146</v>
      </c>
      <c r="B147" s="264" t="s">
        <v>2653</v>
      </c>
      <c r="C147" s="264" t="s">
        <v>279</v>
      </c>
      <c r="D147" s="264">
        <v>15</v>
      </c>
      <c r="E147" s="264" t="s">
        <v>2771</v>
      </c>
      <c r="F147" s="264" t="s">
        <v>3134</v>
      </c>
      <c r="G147" s="264"/>
      <c r="H147" s="264"/>
      <c r="I147" s="264" t="s">
        <v>682</v>
      </c>
      <c r="J147" s="264" t="s">
        <v>5427</v>
      </c>
      <c r="K147" s="438"/>
      <c r="L147" s="264"/>
      <c r="M147" s="264"/>
      <c r="N147" s="264"/>
      <c r="O147" s="264" t="s">
        <v>2956</v>
      </c>
      <c r="P147" s="264" t="s">
        <v>3217</v>
      </c>
      <c r="Q147" s="264"/>
    </row>
    <row r="148" spans="1:17" s="181" customFormat="1" ht="12">
      <c r="A148" s="264">
        <f t="shared" si="4"/>
        <v>147</v>
      </c>
      <c r="B148" s="264" t="s">
        <v>2654</v>
      </c>
      <c r="C148" s="264" t="s">
        <v>279</v>
      </c>
      <c r="D148" s="264">
        <v>5</v>
      </c>
      <c r="E148" s="264" t="s">
        <v>2772</v>
      </c>
      <c r="F148" s="264" t="s">
        <v>3134</v>
      </c>
      <c r="G148" s="264"/>
      <c r="H148" s="264"/>
      <c r="I148" s="264" t="s">
        <v>682</v>
      </c>
      <c r="J148" s="264" t="s">
        <v>5427</v>
      </c>
      <c r="K148" s="438"/>
      <c r="L148" s="264"/>
      <c r="M148" s="264"/>
      <c r="N148" s="264"/>
      <c r="O148" s="264" t="s">
        <v>2956</v>
      </c>
      <c r="P148" s="264" t="s">
        <v>3217</v>
      </c>
      <c r="Q148" s="264"/>
    </row>
    <row r="149" spans="1:17" s="181" customFormat="1" ht="12">
      <c r="A149" s="264">
        <f t="shared" si="4"/>
        <v>148</v>
      </c>
      <c r="B149" s="264" t="s">
        <v>2655</v>
      </c>
      <c r="C149" s="264" t="s">
        <v>279</v>
      </c>
      <c r="D149" s="264">
        <v>5</v>
      </c>
      <c r="E149" s="264" t="s">
        <v>2773</v>
      </c>
      <c r="F149" s="264" t="s">
        <v>3134</v>
      </c>
      <c r="G149" s="264"/>
      <c r="H149" s="264"/>
      <c r="I149" s="264" t="s">
        <v>682</v>
      </c>
      <c r="J149" s="264" t="s">
        <v>5427</v>
      </c>
      <c r="K149" s="438"/>
      <c r="L149" s="264"/>
      <c r="M149" s="264"/>
      <c r="N149" s="264"/>
      <c r="O149" s="264" t="s">
        <v>2956</v>
      </c>
      <c r="P149" s="264" t="s">
        <v>3217</v>
      </c>
      <c r="Q149" s="264"/>
    </row>
    <row r="150" spans="1:17" s="181" customFormat="1" ht="12">
      <c r="A150" s="264">
        <f t="shared" si="4"/>
        <v>149</v>
      </c>
      <c r="B150" s="264" t="s">
        <v>2656</v>
      </c>
      <c r="C150" s="264" t="s">
        <v>279</v>
      </c>
      <c r="D150" s="264">
        <v>5</v>
      </c>
      <c r="E150" s="264" t="s">
        <v>2774</v>
      </c>
      <c r="F150" s="264" t="s">
        <v>3134</v>
      </c>
      <c r="G150" s="264"/>
      <c r="H150" s="264"/>
      <c r="I150" s="264" t="s">
        <v>682</v>
      </c>
      <c r="J150" s="264" t="s">
        <v>5427</v>
      </c>
      <c r="K150" s="438"/>
      <c r="L150" s="264"/>
      <c r="M150" s="264"/>
      <c r="N150" s="264"/>
      <c r="O150" s="264" t="s">
        <v>2956</v>
      </c>
      <c r="P150" s="264" t="s">
        <v>3217</v>
      </c>
      <c r="Q150" s="264"/>
    </row>
    <row r="151" spans="1:17" s="181" customFormat="1" ht="12">
      <c r="A151" s="264">
        <f t="shared" si="4"/>
        <v>150</v>
      </c>
      <c r="B151" s="264" t="s">
        <v>2657</v>
      </c>
      <c r="C151" s="264" t="s">
        <v>279</v>
      </c>
      <c r="D151" s="264">
        <v>15</v>
      </c>
      <c r="E151" s="264" t="s">
        <v>2775</v>
      </c>
      <c r="F151" s="264" t="s">
        <v>3134</v>
      </c>
      <c r="G151" s="264"/>
      <c r="H151" s="264"/>
      <c r="I151" s="264" t="s">
        <v>682</v>
      </c>
      <c r="J151" s="264" t="s">
        <v>5427</v>
      </c>
      <c r="K151" s="438"/>
      <c r="L151" s="264"/>
      <c r="M151" s="264"/>
      <c r="N151" s="264"/>
      <c r="O151" s="264" t="s">
        <v>2956</v>
      </c>
      <c r="P151" s="264" t="s">
        <v>3217</v>
      </c>
      <c r="Q151" s="264"/>
    </row>
    <row r="152" spans="1:17" s="181" customFormat="1" ht="12">
      <c r="A152" s="264">
        <f t="shared" si="4"/>
        <v>151</v>
      </c>
      <c r="B152" s="264" t="s">
        <v>2658</v>
      </c>
      <c r="C152" s="264" t="s">
        <v>279</v>
      </c>
      <c r="D152" s="264">
        <v>5</v>
      </c>
      <c r="E152" s="264" t="s">
        <v>2776</v>
      </c>
      <c r="F152" s="264" t="s">
        <v>3134</v>
      </c>
      <c r="G152" s="264"/>
      <c r="H152" s="264"/>
      <c r="I152" s="264" t="s">
        <v>682</v>
      </c>
      <c r="J152" s="264" t="s">
        <v>5427</v>
      </c>
      <c r="K152" s="438"/>
      <c r="L152" s="264"/>
      <c r="M152" s="264"/>
      <c r="N152" s="264"/>
      <c r="O152" s="264" t="s">
        <v>2956</v>
      </c>
      <c r="P152" s="264" t="s">
        <v>3217</v>
      </c>
      <c r="Q152" s="264"/>
    </row>
    <row r="153" spans="1:17" s="181" customFormat="1" ht="12">
      <c r="A153" s="264">
        <f t="shared" si="4"/>
        <v>152</v>
      </c>
      <c r="B153" s="264" t="s">
        <v>2659</v>
      </c>
      <c r="C153" s="264" t="s">
        <v>279</v>
      </c>
      <c r="D153" s="264">
        <v>5</v>
      </c>
      <c r="E153" s="264" t="s">
        <v>2777</v>
      </c>
      <c r="F153" s="264" t="s">
        <v>3134</v>
      </c>
      <c r="G153" s="264"/>
      <c r="H153" s="264"/>
      <c r="I153" s="264" t="s">
        <v>682</v>
      </c>
      <c r="J153" s="264" t="s">
        <v>5427</v>
      </c>
      <c r="K153" s="438"/>
      <c r="L153" s="264"/>
      <c r="M153" s="264"/>
      <c r="N153" s="264"/>
      <c r="O153" s="264" t="s">
        <v>2956</v>
      </c>
      <c r="P153" s="264" t="s">
        <v>3217</v>
      </c>
      <c r="Q153" s="264"/>
    </row>
    <row r="154" spans="1:17" s="181" customFormat="1" ht="12">
      <c r="A154" s="264">
        <f t="shared" si="4"/>
        <v>153</v>
      </c>
      <c r="B154" s="264" t="s">
        <v>2660</v>
      </c>
      <c r="C154" s="264" t="s">
        <v>279</v>
      </c>
      <c r="D154" s="264">
        <v>5</v>
      </c>
      <c r="E154" s="264" t="s">
        <v>989</v>
      </c>
      <c r="F154" s="264" t="s">
        <v>3134</v>
      </c>
      <c r="G154" s="264"/>
      <c r="H154" s="264"/>
      <c r="I154" s="264" t="s">
        <v>682</v>
      </c>
      <c r="J154" s="264" t="s">
        <v>5427</v>
      </c>
      <c r="K154" s="438"/>
      <c r="L154" s="264"/>
      <c r="M154" s="264"/>
      <c r="N154" s="264"/>
      <c r="O154" s="264" t="s">
        <v>2956</v>
      </c>
      <c r="P154" s="264" t="s">
        <v>3217</v>
      </c>
      <c r="Q154" s="264"/>
    </row>
    <row r="155" spans="1:17" ht="12">
      <c r="A155" s="263">
        <f t="shared" si="4"/>
        <v>154</v>
      </c>
      <c r="B155" s="263" t="s">
        <v>2661</v>
      </c>
      <c r="C155" s="263" t="s">
        <v>275</v>
      </c>
      <c r="D155" s="263">
        <v>4</v>
      </c>
      <c r="E155" s="263" t="s">
        <v>2778</v>
      </c>
      <c r="F155" s="263" t="s">
        <v>3134</v>
      </c>
      <c r="G155" s="263"/>
      <c r="H155" s="263"/>
      <c r="I155" s="263" t="s">
        <v>682</v>
      </c>
      <c r="J155" s="263" t="s">
        <v>5427</v>
      </c>
      <c r="K155" s="437" t="s">
        <v>2878</v>
      </c>
      <c r="L155" s="263"/>
      <c r="M155" s="263"/>
      <c r="N155" s="263"/>
      <c r="O155" s="263" t="s">
        <v>2956</v>
      </c>
      <c r="P155" s="263" t="s">
        <v>3217</v>
      </c>
      <c r="Q155" s="263"/>
    </row>
    <row r="156" spans="1:17" s="181" customFormat="1" ht="12">
      <c r="A156" s="264">
        <f t="shared" si="4"/>
        <v>155</v>
      </c>
      <c r="B156" s="264" t="s">
        <v>2662</v>
      </c>
      <c r="C156" s="264" t="s">
        <v>279</v>
      </c>
      <c r="D156" s="264">
        <v>15</v>
      </c>
      <c r="E156" s="264" t="s">
        <v>2779</v>
      </c>
      <c r="F156" s="264" t="s">
        <v>3134</v>
      </c>
      <c r="G156" s="264"/>
      <c r="H156" s="264"/>
      <c r="I156" s="264" t="s">
        <v>682</v>
      </c>
      <c r="J156" s="264" t="s">
        <v>5427</v>
      </c>
      <c r="K156" s="438"/>
      <c r="L156" s="264"/>
      <c r="M156" s="264"/>
      <c r="N156" s="264"/>
      <c r="O156" s="264" t="s">
        <v>2956</v>
      </c>
      <c r="P156" s="264" t="s">
        <v>3217</v>
      </c>
      <c r="Q156" s="264"/>
    </row>
    <row r="157" spans="1:17" s="181" customFormat="1" ht="12">
      <c r="A157" s="264">
        <f t="shared" si="4"/>
        <v>156</v>
      </c>
      <c r="B157" s="264" t="s">
        <v>2663</v>
      </c>
      <c r="C157" s="264" t="s">
        <v>279</v>
      </c>
      <c r="D157" s="264">
        <v>15</v>
      </c>
      <c r="E157" s="264" t="s">
        <v>2780</v>
      </c>
      <c r="F157" s="264" t="s">
        <v>3134</v>
      </c>
      <c r="G157" s="264"/>
      <c r="H157" s="264"/>
      <c r="I157" s="264" t="s">
        <v>682</v>
      </c>
      <c r="J157" s="264" t="s">
        <v>5427</v>
      </c>
      <c r="K157" s="438"/>
      <c r="L157" s="264"/>
      <c r="M157" s="264"/>
      <c r="N157" s="264"/>
      <c r="O157" s="264" t="s">
        <v>2956</v>
      </c>
      <c r="P157" s="264" t="s">
        <v>3217</v>
      </c>
      <c r="Q157" s="264"/>
    </row>
    <row r="158" spans="1:17" ht="12">
      <c r="A158" s="263">
        <f t="shared" si="4"/>
        <v>157</v>
      </c>
      <c r="B158" s="263" t="s">
        <v>2664</v>
      </c>
      <c r="C158" s="263" t="s">
        <v>275</v>
      </c>
      <c r="D158" s="263">
        <v>1</v>
      </c>
      <c r="E158" s="263" t="s">
        <v>3</v>
      </c>
      <c r="F158" s="263" t="s">
        <v>3134</v>
      </c>
      <c r="G158" s="263"/>
      <c r="H158" s="263"/>
      <c r="I158" s="263" t="s">
        <v>682</v>
      </c>
      <c r="J158" s="263" t="s">
        <v>5427</v>
      </c>
      <c r="K158" s="437" t="s">
        <v>3353</v>
      </c>
      <c r="L158" s="263"/>
      <c r="M158" s="263"/>
      <c r="N158" s="263"/>
      <c r="O158" s="263" t="s">
        <v>2956</v>
      </c>
      <c r="P158" s="263" t="s">
        <v>3217</v>
      </c>
      <c r="Q158" s="263"/>
    </row>
    <row r="159" spans="1:17" ht="12">
      <c r="A159" s="263">
        <f t="shared" si="4"/>
        <v>158</v>
      </c>
      <c r="B159" s="263" t="s">
        <v>2665</v>
      </c>
      <c r="C159" s="263" t="s">
        <v>275</v>
      </c>
      <c r="D159" s="263">
        <v>2</v>
      </c>
      <c r="E159" s="263" t="s">
        <v>331</v>
      </c>
      <c r="F159" s="263" t="s">
        <v>3134</v>
      </c>
      <c r="G159" s="263"/>
      <c r="H159" s="263"/>
      <c r="I159" s="263" t="s">
        <v>682</v>
      </c>
      <c r="J159" s="263" t="s">
        <v>5427</v>
      </c>
      <c r="K159" s="437" t="s">
        <v>249</v>
      </c>
      <c r="L159" s="263"/>
      <c r="M159" s="263"/>
      <c r="N159" s="263"/>
      <c r="O159" s="263" t="s">
        <v>2956</v>
      </c>
      <c r="P159" s="263" t="s">
        <v>3217</v>
      </c>
      <c r="Q159" s="263"/>
    </row>
    <row r="160" spans="1:17" ht="12">
      <c r="A160" s="263">
        <f t="shared" si="4"/>
        <v>159</v>
      </c>
      <c r="B160" s="263" t="s">
        <v>2666</v>
      </c>
      <c r="C160" s="263" t="s">
        <v>275</v>
      </c>
      <c r="D160" s="263">
        <v>6</v>
      </c>
      <c r="E160" s="263" t="s">
        <v>2239</v>
      </c>
      <c r="F160" s="263" t="s">
        <v>3134</v>
      </c>
      <c r="G160" s="263"/>
      <c r="H160" s="263"/>
      <c r="I160" s="263" t="s">
        <v>682</v>
      </c>
      <c r="J160" s="263" t="s">
        <v>5427</v>
      </c>
      <c r="K160" s="437" t="s">
        <v>2239</v>
      </c>
      <c r="L160" s="263"/>
      <c r="M160" s="263"/>
      <c r="N160" s="263"/>
      <c r="O160" s="263" t="s">
        <v>2956</v>
      </c>
      <c r="P160" s="263" t="s">
        <v>3217</v>
      </c>
      <c r="Q160" s="263"/>
    </row>
    <row r="161" spans="1:17" s="181" customFormat="1" ht="12">
      <c r="A161" s="264">
        <f t="shared" si="4"/>
        <v>160</v>
      </c>
      <c r="B161" s="264" t="s">
        <v>2667</v>
      </c>
      <c r="C161" s="264" t="s">
        <v>275</v>
      </c>
      <c r="D161" s="264">
        <v>1</v>
      </c>
      <c r="E161" s="264" t="s">
        <v>2781</v>
      </c>
      <c r="F161" s="264" t="s">
        <v>3134</v>
      </c>
      <c r="G161" s="264"/>
      <c r="H161" s="264"/>
      <c r="I161" s="264" t="s">
        <v>682</v>
      </c>
      <c r="J161" s="264" t="s">
        <v>5427</v>
      </c>
      <c r="K161" s="438"/>
      <c r="L161" s="264"/>
      <c r="M161" s="264"/>
      <c r="N161" s="264"/>
      <c r="O161" s="264" t="s">
        <v>2956</v>
      </c>
      <c r="P161" s="264" t="s">
        <v>3217</v>
      </c>
      <c r="Q161" s="264"/>
    </row>
    <row r="162" spans="1:17" ht="12">
      <c r="A162" s="263">
        <f t="shared" si="4"/>
        <v>161</v>
      </c>
      <c r="B162" s="263" t="s">
        <v>2668</v>
      </c>
      <c r="C162" s="263" t="s">
        <v>275</v>
      </c>
      <c r="D162" s="263">
        <v>1</v>
      </c>
      <c r="E162" s="263" t="s">
        <v>5</v>
      </c>
      <c r="F162" s="263" t="s">
        <v>3134</v>
      </c>
      <c r="G162" s="263"/>
      <c r="H162" s="263"/>
      <c r="I162" s="263" t="s">
        <v>682</v>
      </c>
      <c r="J162" s="263" t="s">
        <v>5427</v>
      </c>
      <c r="K162" s="437" t="s">
        <v>5865</v>
      </c>
      <c r="L162" s="263"/>
      <c r="M162" s="263"/>
      <c r="N162" s="263"/>
      <c r="O162" s="263" t="s">
        <v>2956</v>
      </c>
      <c r="P162" s="263" t="s">
        <v>3217</v>
      </c>
      <c r="Q162" s="263"/>
    </row>
    <row r="163" spans="1:17" s="181" customFormat="1" ht="12">
      <c r="A163" s="264">
        <f t="shared" si="4"/>
        <v>162</v>
      </c>
      <c r="B163" s="264" t="s">
        <v>2669</v>
      </c>
      <c r="C163" s="264" t="s">
        <v>279</v>
      </c>
      <c r="D163" s="264">
        <v>3</v>
      </c>
      <c r="E163" s="264" t="s">
        <v>2782</v>
      </c>
      <c r="F163" s="264" t="s">
        <v>3134</v>
      </c>
      <c r="G163" s="264"/>
      <c r="H163" s="264"/>
      <c r="I163" s="264" t="s">
        <v>682</v>
      </c>
      <c r="J163" s="264" t="s">
        <v>5427</v>
      </c>
      <c r="K163" s="438"/>
      <c r="L163" s="264"/>
      <c r="M163" s="264"/>
      <c r="N163" s="264"/>
      <c r="O163" s="264" t="s">
        <v>2956</v>
      </c>
      <c r="P163" s="264" t="s">
        <v>3217</v>
      </c>
      <c r="Q163" s="264"/>
    </row>
    <row r="164" spans="1:17" s="181" customFormat="1" ht="12">
      <c r="A164" s="264">
        <f t="shared" si="4"/>
        <v>163</v>
      </c>
      <c r="B164" s="264" t="s">
        <v>2670</v>
      </c>
      <c r="C164" s="264" t="s">
        <v>275</v>
      </c>
      <c r="D164" s="264">
        <v>2</v>
      </c>
      <c r="E164" s="264" t="s">
        <v>328</v>
      </c>
      <c r="F164" s="264" t="s">
        <v>3134</v>
      </c>
      <c r="G164" s="264"/>
      <c r="H164" s="264"/>
      <c r="I164" s="264" t="s">
        <v>682</v>
      </c>
      <c r="J164" s="264" t="s">
        <v>5427</v>
      </c>
      <c r="K164" s="438"/>
      <c r="L164" s="264"/>
      <c r="M164" s="264"/>
      <c r="N164" s="264"/>
      <c r="O164" s="264" t="s">
        <v>2956</v>
      </c>
      <c r="P164" s="264" t="s">
        <v>3217</v>
      </c>
      <c r="Q164" s="264"/>
    </row>
    <row r="165" spans="1:17" ht="12">
      <c r="A165" s="263">
        <f t="shared" si="4"/>
        <v>164</v>
      </c>
      <c r="B165" s="263" t="s">
        <v>2671</v>
      </c>
      <c r="C165" s="263" t="s">
        <v>279</v>
      </c>
      <c r="D165" s="263">
        <v>15</v>
      </c>
      <c r="E165" s="263" t="s">
        <v>4</v>
      </c>
      <c r="F165" s="263" t="s">
        <v>3134</v>
      </c>
      <c r="G165" s="263"/>
      <c r="H165" s="263"/>
      <c r="I165" s="263" t="s">
        <v>682</v>
      </c>
      <c r="J165" s="263" t="s">
        <v>5427</v>
      </c>
      <c r="K165" s="437" t="s">
        <v>3359</v>
      </c>
      <c r="L165" s="263"/>
      <c r="M165" s="263"/>
      <c r="N165" s="263"/>
      <c r="O165" s="263" t="s">
        <v>2956</v>
      </c>
      <c r="P165" s="263" t="s">
        <v>3217</v>
      </c>
      <c r="Q165" s="263"/>
    </row>
    <row r="166" spans="1:17" s="181" customFormat="1" ht="12">
      <c r="A166" s="264">
        <f t="shared" si="4"/>
        <v>165</v>
      </c>
      <c r="B166" s="264" t="s">
        <v>2672</v>
      </c>
      <c r="C166" s="264" t="s">
        <v>275</v>
      </c>
      <c r="D166" s="264">
        <v>1</v>
      </c>
      <c r="E166" s="264" t="s">
        <v>2783</v>
      </c>
      <c r="F166" s="264" t="s">
        <v>3134</v>
      </c>
      <c r="G166" s="264"/>
      <c r="H166" s="264"/>
      <c r="I166" s="264" t="s">
        <v>682</v>
      </c>
      <c r="J166" s="264" t="s">
        <v>5427</v>
      </c>
      <c r="K166" s="438"/>
      <c r="L166" s="264"/>
      <c r="M166" s="264"/>
      <c r="N166" s="264"/>
      <c r="O166" s="264" t="s">
        <v>2956</v>
      </c>
      <c r="P166" s="264" t="s">
        <v>3217</v>
      </c>
      <c r="Q166" s="264"/>
    </row>
    <row r="167" spans="1:17" ht="12">
      <c r="A167" s="263">
        <f t="shared" si="4"/>
        <v>166</v>
      </c>
      <c r="B167" s="263" t="s">
        <v>2673</v>
      </c>
      <c r="C167" s="263" t="s">
        <v>275</v>
      </c>
      <c r="D167" s="263">
        <v>1</v>
      </c>
      <c r="E167" s="263" t="s">
        <v>2784</v>
      </c>
      <c r="F167" s="263" t="s">
        <v>3134</v>
      </c>
      <c r="G167" s="263"/>
      <c r="H167" s="263"/>
      <c r="I167" s="263" t="s">
        <v>682</v>
      </c>
      <c r="J167" s="263" t="s">
        <v>5427</v>
      </c>
      <c r="K167" s="437" t="s">
        <v>2884</v>
      </c>
      <c r="L167" s="263"/>
      <c r="M167" s="263"/>
      <c r="N167" s="263"/>
      <c r="O167" s="263" t="s">
        <v>2956</v>
      </c>
      <c r="P167" s="263" t="s">
        <v>3217</v>
      </c>
      <c r="Q167" s="263"/>
    </row>
    <row r="168" spans="1:17" ht="12">
      <c r="A168" s="263">
        <f t="shared" si="4"/>
        <v>167</v>
      </c>
      <c r="B168" s="263" t="s">
        <v>2674</v>
      </c>
      <c r="C168" s="263" t="s">
        <v>275</v>
      </c>
      <c r="D168" s="263">
        <v>1</v>
      </c>
      <c r="E168" s="263" t="s">
        <v>305</v>
      </c>
      <c r="F168" s="263" t="s">
        <v>3134</v>
      </c>
      <c r="G168" s="263"/>
      <c r="H168" s="263"/>
      <c r="I168" s="263" t="s">
        <v>682</v>
      </c>
      <c r="J168" s="263" t="s">
        <v>5427</v>
      </c>
      <c r="K168" s="437" t="s">
        <v>2885</v>
      </c>
      <c r="L168" s="263"/>
      <c r="M168" s="263"/>
      <c r="N168" s="263"/>
      <c r="O168" s="263" t="s">
        <v>2956</v>
      </c>
      <c r="P168" s="263" t="s">
        <v>3217</v>
      </c>
      <c r="Q168" s="263"/>
    </row>
    <row r="169" spans="1:17" s="181" customFormat="1" ht="12">
      <c r="A169" s="264">
        <f t="shared" si="4"/>
        <v>168</v>
      </c>
      <c r="B169" s="264" t="s">
        <v>2675</v>
      </c>
      <c r="C169" s="264" t="s">
        <v>279</v>
      </c>
      <c r="D169" s="264">
        <v>15</v>
      </c>
      <c r="E169" s="264" t="s">
        <v>734</v>
      </c>
      <c r="F169" s="264" t="s">
        <v>3134</v>
      </c>
      <c r="G169" s="264"/>
      <c r="H169" s="264"/>
      <c r="I169" s="264" t="s">
        <v>682</v>
      </c>
      <c r="J169" s="264" t="s">
        <v>5427</v>
      </c>
      <c r="K169" s="438"/>
      <c r="L169" s="264"/>
      <c r="M169" s="264"/>
      <c r="N169" s="264"/>
      <c r="O169" s="264" t="s">
        <v>2956</v>
      </c>
      <c r="P169" s="264" t="s">
        <v>3217</v>
      </c>
      <c r="Q169" s="264"/>
    </row>
    <row r="170" spans="1:17" s="181" customFormat="1" ht="12">
      <c r="A170" s="264">
        <f t="shared" si="4"/>
        <v>169</v>
      </c>
      <c r="B170" s="264" t="s">
        <v>2676</v>
      </c>
      <c r="C170" s="264" t="s">
        <v>279</v>
      </c>
      <c r="D170" s="264">
        <v>15</v>
      </c>
      <c r="E170" s="264" t="s">
        <v>2785</v>
      </c>
      <c r="F170" s="264" t="s">
        <v>3134</v>
      </c>
      <c r="G170" s="264"/>
      <c r="H170" s="264"/>
      <c r="I170" s="264" t="s">
        <v>682</v>
      </c>
      <c r="J170" s="264" t="s">
        <v>5427</v>
      </c>
      <c r="K170" s="438"/>
      <c r="L170" s="264"/>
      <c r="M170" s="264"/>
      <c r="N170" s="264"/>
      <c r="O170" s="264" t="s">
        <v>2956</v>
      </c>
      <c r="P170" s="264" t="s">
        <v>3217</v>
      </c>
      <c r="Q170" s="264"/>
    </row>
    <row r="171" spans="1:17" s="181" customFormat="1" ht="12">
      <c r="A171" s="264">
        <f t="shared" si="4"/>
        <v>170</v>
      </c>
      <c r="B171" s="264" t="s">
        <v>2677</v>
      </c>
      <c r="C171" s="264" t="s">
        <v>275</v>
      </c>
      <c r="D171" s="264">
        <v>1</v>
      </c>
      <c r="E171" s="264" t="s">
        <v>2786</v>
      </c>
      <c r="F171" s="264" t="s">
        <v>3134</v>
      </c>
      <c r="G171" s="264"/>
      <c r="H171" s="264"/>
      <c r="I171" s="264" t="s">
        <v>682</v>
      </c>
      <c r="J171" s="264" t="s">
        <v>5427</v>
      </c>
      <c r="K171" s="438"/>
      <c r="L171" s="264"/>
      <c r="M171" s="264"/>
      <c r="N171" s="264"/>
      <c r="O171" s="264" t="s">
        <v>2956</v>
      </c>
      <c r="P171" s="264" t="s">
        <v>3217</v>
      </c>
      <c r="Q171" s="264"/>
    </row>
    <row r="172" spans="1:17" s="181" customFormat="1" ht="12">
      <c r="A172" s="264">
        <f t="shared" si="4"/>
        <v>171</v>
      </c>
      <c r="B172" s="264" t="s">
        <v>2678</v>
      </c>
      <c r="C172" s="264" t="s">
        <v>279</v>
      </c>
      <c r="D172" s="264">
        <v>15</v>
      </c>
      <c r="E172" s="264" t="s">
        <v>2787</v>
      </c>
      <c r="F172" s="264" t="s">
        <v>3134</v>
      </c>
      <c r="G172" s="264"/>
      <c r="H172" s="264"/>
      <c r="I172" s="264" t="s">
        <v>682</v>
      </c>
      <c r="J172" s="264" t="s">
        <v>5427</v>
      </c>
      <c r="K172" s="438"/>
      <c r="L172" s="264"/>
      <c r="M172" s="264"/>
      <c r="N172" s="264"/>
      <c r="O172" s="264" t="s">
        <v>2956</v>
      </c>
      <c r="P172" s="264" t="s">
        <v>3217</v>
      </c>
      <c r="Q172" s="264"/>
    </row>
    <row r="173" spans="1:17" s="181" customFormat="1" ht="12">
      <c r="A173" s="264">
        <f t="shared" si="4"/>
        <v>172</v>
      </c>
      <c r="B173" s="264" t="s">
        <v>2679</v>
      </c>
      <c r="C173" s="264" t="s">
        <v>275</v>
      </c>
      <c r="D173" s="264">
        <v>1</v>
      </c>
      <c r="E173" s="264" t="s">
        <v>2788</v>
      </c>
      <c r="F173" s="264" t="s">
        <v>3134</v>
      </c>
      <c r="G173" s="264"/>
      <c r="H173" s="264"/>
      <c r="I173" s="264" t="s">
        <v>682</v>
      </c>
      <c r="J173" s="264" t="s">
        <v>5427</v>
      </c>
      <c r="K173" s="438"/>
      <c r="L173" s="264"/>
      <c r="M173" s="264"/>
      <c r="N173" s="264"/>
      <c r="O173" s="264" t="s">
        <v>2956</v>
      </c>
      <c r="P173" s="264" t="s">
        <v>3217</v>
      </c>
      <c r="Q173" s="264"/>
    </row>
    <row r="174" spans="1:17" s="181" customFormat="1" ht="12">
      <c r="A174" s="264">
        <f t="shared" si="4"/>
        <v>173</v>
      </c>
      <c r="B174" s="264" t="s">
        <v>2680</v>
      </c>
      <c r="C174" s="264" t="s">
        <v>275</v>
      </c>
      <c r="D174" s="264">
        <v>1</v>
      </c>
      <c r="E174" s="264" t="s">
        <v>2789</v>
      </c>
      <c r="F174" s="264" t="s">
        <v>3134</v>
      </c>
      <c r="G174" s="264"/>
      <c r="H174" s="264"/>
      <c r="I174" s="264" t="s">
        <v>682</v>
      </c>
      <c r="J174" s="264" t="s">
        <v>5427</v>
      </c>
      <c r="K174" s="438"/>
      <c r="L174" s="264"/>
      <c r="M174" s="264"/>
      <c r="N174" s="264"/>
      <c r="O174" s="264" t="s">
        <v>2956</v>
      </c>
      <c r="P174" s="264" t="s">
        <v>3217</v>
      </c>
      <c r="Q174" s="264"/>
    </row>
    <row r="175" spans="1:17" ht="12">
      <c r="A175" s="263">
        <f t="shared" si="4"/>
        <v>174</v>
      </c>
      <c r="B175" s="263" t="s">
        <v>2681</v>
      </c>
      <c r="C175" s="263" t="s">
        <v>279</v>
      </c>
      <c r="D175" s="263">
        <v>15</v>
      </c>
      <c r="E175" s="263" t="s">
        <v>2790</v>
      </c>
      <c r="F175" s="263" t="s">
        <v>3134</v>
      </c>
      <c r="G175" s="263"/>
      <c r="H175" s="263"/>
      <c r="I175" s="263" t="s">
        <v>682</v>
      </c>
      <c r="J175" s="263" t="s">
        <v>5427</v>
      </c>
      <c r="K175" s="437" t="s">
        <v>2890</v>
      </c>
      <c r="L175" s="263"/>
      <c r="M175" s="263"/>
      <c r="N175" s="263"/>
      <c r="O175" s="263" t="s">
        <v>2956</v>
      </c>
      <c r="P175" s="263" t="s">
        <v>3217</v>
      </c>
      <c r="Q175" s="263"/>
    </row>
    <row r="176" spans="1:17" s="181" customFormat="1" ht="12">
      <c r="A176" s="264">
        <f t="shared" si="4"/>
        <v>175</v>
      </c>
      <c r="B176" s="264" t="s">
        <v>2682</v>
      </c>
      <c r="C176" s="264" t="s">
        <v>275</v>
      </c>
      <c r="D176" s="264">
        <v>1</v>
      </c>
      <c r="E176" s="264" t="s">
        <v>2791</v>
      </c>
      <c r="F176" s="264" t="s">
        <v>3134</v>
      </c>
      <c r="G176" s="264"/>
      <c r="H176" s="264"/>
      <c r="I176" s="264" t="s">
        <v>682</v>
      </c>
      <c r="J176" s="264" t="s">
        <v>5427</v>
      </c>
      <c r="K176" s="438"/>
      <c r="L176" s="264"/>
      <c r="M176" s="264"/>
      <c r="N176" s="264"/>
      <c r="O176" s="264" t="s">
        <v>2956</v>
      </c>
      <c r="P176" s="264" t="s">
        <v>3217</v>
      </c>
      <c r="Q176" s="264"/>
    </row>
    <row r="177" spans="1:17" s="181" customFormat="1" ht="12">
      <c r="A177" s="264">
        <f t="shared" si="4"/>
        <v>176</v>
      </c>
      <c r="B177" s="264" t="s">
        <v>2683</v>
      </c>
      <c r="C177" s="264" t="s">
        <v>275</v>
      </c>
      <c r="D177" s="264">
        <v>1</v>
      </c>
      <c r="E177" s="264" t="s">
        <v>2523</v>
      </c>
      <c r="F177" s="264" t="s">
        <v>3134</v>
      </c>
      <c r="G177" s="264"/>
      <c r="H177" s="264"/>
      <c r="I177" s="264" t="s">
        <v>682</v>
      </c>
      <c r="J177" s="264" t="s">
        <v>5427</v>
      </c>
      <c r="K177" s="438"/>
      <c r="L177" s="264"/>
      <c r="M177" s="264"/>
      <c r="N177" s="264"/>
      <c r="O177" s="264" t="s">
        <v>2956</v>
      </c>
      <c r="P177" s="264" t="s">
        <v>3217</v>
      </c>
      <c r="Q177" s="264"/>
    </row>
    <row r="178" spans="1:17" ht="12">
      <c r="A178" s="263">
        <f t="shared" si="4"/>
        <v>177</v>
      </c>
      <c r="B178" s="263" t="s">
        <v>2684</v>
      </c>
      <c r="C178" s="263" t="s">
        <v>279</v>
      </c>
      <c r="D178" s="263">
        <v>15</v>
      </c>
      <c r="E178" s="263" t="s">
        <v>2792</v>
      </c>
      <c r="F178" s="263" t="s">
        <v>3134</v>
      </c>
      <c r="G178" s="263"/>
      <c r="H178" s="263"/>
      <c r="I178" s="263" t="s">
        <v>682</v>
      </c>
      <c r="J178" s="263" t="s">
        <v>5427</v>
      </c>
      <c r="K178" s="437" t="s">
        <v>2893</v>
      </c>
      <c r="L178" s="263"/>
      <c r="M178" s="263"/>
      <c r="N178" s="263"/>
      <c r="O178" s="263" t="s">
        <v>2956</v>
      </c>
      <c r="P178" s="263" t="s">
        <v>3217</v>
      </c>
      <c r="Q178" s="263"/>
    </row>
    <row r="179" spans="1:17" s="181" customFormat="1" ht="12">
      <c r="A179" s="264">
        <f t="shared" si="4"/>
        <v>178</v>
      </c>
      <c r="B179" s="264" t="s">
        <v>2685</v>
      </c>
      <c r="C179" s="264" t="s">
        <v>279</v>
      </c>
      <c r="D179" s="264">
        <v>15</v>
      </c>
      <c r="E179" s="264" t="s">
        <v>2524</v>
      </c>
      <c r="F179" s="264" t="s">
        <v>3134</v>
      </c>
      <c r="G179" s="264"/>
      <c r="H179" s="264"/>
      <c r="I179" s="264" t="s">
        <v>682</v>
      </c>
      <c r="J179" s="264" t="s">
        <v>5427</v>
      </c>
      <c r="K179" s="438"/>
      <c r="L179" s="264"/>
      <c r="M179" s="264"/>
      <c r="N179" s="264"/>
      <c r="O179" s="264" t="s">
        <v>2956</v>
      </c>
      <c r="P179" s="264" t="s">
        <v>3217</v>
      </c>
      <c r="Q179" s="264"/>
    </row>
    <row r="180" spans="1:17" s="181" customFormat="1" ht="12">
      <c r="A180" s="264">
        <f t="shared" si="4"/>
        <v>179</v>
      </c>
      <c r="B180" s="264" t="s">
        <v>2686</v>
      </c>
      <c r="C180" s="264" t="s">
        <v>279</v>
      </c>
      <c r="D180" s="264">
        <v>5</v>
      </c>
      <c r="E180" s="264" t="s">
        <v>2525</v>
      </c>
      <c r="F180" s="264" t="s">
        <v>3134</v>
      </c>
      <c r="G180" s="264"/>
      <c r="H180" s="264"/>
      <c r="I180" s="264" t="s">
        <v>682</v>
      </c>
      <c r="J180" s="264" t="s">
        <v>5427</v>
      </c>
      <c r="K180" s="438"/>
      <c r="L180" s="264"/>
      <c r="M180" s="264"/>
      <c r="N180" s="264"/>
      <c r="O180" s="264" t="s">
        <v>2956</v>
      </c>
      <c r="P180" s="264" t="s">
        <v>3217</v>
      </c>
      <c r="Q180" s="264"/>
    </row>
    <row r="181" spans="1:17" s="181" customFormat="1" ht="12">
      <c r="A181" s="264">
        <f t="shared" si="4"/>
        <v>180</v>
      </c>
      <c r="B181" s="264" t="s">
        <v>2687</v>
      </c>
      <c r="C181" s="264" t="s">
        <v>279</v>
      </c>
      <c r="D181" s="264">
        <v>5</v>
      </c>
      <c r="E181" s="264" t="s">
        <v>2526</v>
      </c>
      <c r="F181" s="264" t="s">
        <v>3134</v>
      </c>
      <c r="G181" s="264"/>
      <c r="H181" s="264"/>
      <c r="I181" s="264" t="s">
        <v>682</v>
      </c>
      <c r="J181" s="264" t="s">
        <v>5427</v>
      </c>
      <c r="K181" s="438"/>
      <c r="L181" s="264"/>
      <c r="M181" s="264"/>
      <c r="N181" s="264"/>
      <c r="O181" s="264" t="s">
        <v>2956</v>
      </c>
      <c r="P181" s="264" t="s">
        <v>3217</v>
      </c>
      <c r="Q181" s="264"/>
    </row>
    <row r="182" spans="1:17" s="181" customFormat="1" ht="12">
      <c r="A182" s="264">
        <f t="shared" si="4"/>
        <v>181</v>
      </c>
      <c r="B182" s="264" t="s">
        <v>2688</v>
      </c>
      <c r="C182" s="264" t="s">
        <v>279</v>
      </c>
      <c r="D182" s="264">
        <v>5</v>
      </c>
      <c r="E182" s="264" t="s">
        <v>2527</v>
      </c>
      <c r="F182" s="264" t="s">
        <v>3134</v>
      </c>
      <c r="G182" s="264"/>
      <c r="H182" s="264"/>
      <c r="I182" s="264" t="s">
        <v>682</v>
      </c>
      <c r="J182" s="264" t="s">
        <v>5427</v>
      </c>
      <c r="K182" s="438"/>
      <c r="L182" s="264"/>
      <c r="M182" s="264"/>
      <c r="N182" s="264"/>
      <c r="O182" s="264" t="s">
        <v>2956</v>
      </c>
      <c r="P182" s="264" t="s">
        <v>3217</v>
      </c>
      <c r="Q182" s="264"/>
    </row>
    <row r="183" spans="1:17" s="181" customFormat="1" ht="12">
      <c r="A183" s="264">
        <f t="shared" si="4"/>
        <v>182</v>
      </c>
      <c r="B183" s="264" t="s">
        <v>2689</v>
      </c>
      <c r="C183" s="264" t="s">
        <v>279</v>
      </c>
      <c r="D183" s="264">
        <v>5</v>
      </c>
      <c r="E183" s="264" t="s">
        <v>2528</v>
      </c>
      <c r="F183" s="264" t="s">
        <v>3134</v>
      </c>
      <c r="G183" s="264"/>
      <c r="H183" s="264"/>
      <c r="I183" s="264" t="s">
        <v>682</v>
      </c>
      <c r="J183" s="264" t="s">
        <v>5427</v>
      </c>
      <c r="K183" s="438"/>
      <c r="L183" s="264"/>
      <c r="M183" s="264"/>
      <c r="N183" s="264"/>
      <c r="O183" s="264" t="s">
        <v>2956</v>
      </c>
      <c r="P183" s="264" t="s">
        <v>3217</v>
      </c>
      <c r="Q183" s="264"/>
    </row>
    <row r="184" spans="1:17" s="181" customFormat="1" ht="12">
      <c r="A184" s="264">
        <f t="shared" si="4"/>
        <v>183</v>
      </c>
      <c r="B184" s="264" t="s">
        <v>2690</v>
      </c>
      <c r="C184" s="264" t="s">
        <v>279</v>
      </c>
      <c r="D184" s="264">
        <v>5</v>
      </c>
      <c r="E184" s="264" t="s">
        <v>2529</v>
      </c>
      <c r="F184" s="264" t="s">
        <v>3134</v>
      </c>
      <c r="G184" s="264"/>
      <c r="H184" s="264"/>
      <c r="I184" s="264" t="s">
        <v>682</v>
      </c>
      <c r="J184" s="264" t="s">
        <v>5427</v>
      </c>
      <c r="K184" s="438"/>
      <c r="L184" s="264"/>
      <c r="M184" s="264"/>
      <c r="N184" s="264"/>
      <c r="O184" s="264" t="s">
        <v>2956</v>
      </c>
      <c r="P184" s="264" t="s">
        <v>3217</v>
      </c>
      <c r="Q184" s="264"/>
    </row>
    <row r="185" spans="1:17" s="181" customFormat="1" ht="12">
      <c r="A185" s="264">
        <f t="shared" si="4"/>
        <v>184</v>
      </c>
      <c r="B185" s="264" t="s">
        <v>2691</v>
      </c>
      <c r="C185" s="264" t="s">
        <v>279</v>
      </c>
      <c r="D185" s="264">
        <v>5</v>
      </c>
      <c r="E185" s="264" t="s">
        <v>2530</v>
      </c>
      <c r="F185" s="264" t="s">
        <v>3134</v>
      </c>
      <c r="G185" s="264"/>
      <c r="H185" s="264"/>
      <c r="I185" s="264" t="s">
        <v>682</v>
      </c>
      <c r="J185" s="264" t="s">
        <v>5427</v>
      </c>
      <c r="K185" s="438"/>
      <c r="L185" s="264"/>
      <c r="M185" s="264"/>
      <c r="N185" s="264"/>
      <c r="O185" s="264" t="s">
        <v>2956</v>
      </c>
      <c r="P185" s="264" t="s">
        <v>3217</v>
      </c>
      <c r="Q185" s="264"/>
    </row>
    <row r="186" spans="1:17" s="181" customFormat="1" ht="12">
      <c r="A186" s="264">
        <f t="shared" si="4"/>
        <v>185</v>
      </c>
      <c r="B186" s="264" t="s">
        <v>2692</v>
      </c>
      <c r="C186" s="264" t="s">
        <v>279</v>
      </c>
      <c r="D186" s="264">
        <v>5</v>
      </c>
      <c r="E186" s="264" t="s">
        <v>2531</v>
      </c>
      <c r="F186" s="264" t="s">
        <v>3134</v>
      </c>
      <c r="G186" s="264"/>
      <c r="H186" s="264"/>
      <c r="I186" s="264" t="s">
        <v>682</v>
      </c>
      <c r="J186" s="264" t="s">
        <v>5427</v>
      </c>
      <c r="K186" s="438"/>
      <c r="L186" s="264"/>
      <c r="M186" s="264"/>
      <c r="N186" s="264"/>
      <c r="O186" s="264" t="s">
        <v>2956</v>
      </c>
      <c r="P186" s="264" t="s">
        <v>3217</v>
      </c>
      <c r="Q186" s="264"/>
    </row>
    <row r="187" spans="1:17" s="181" customFormat="1" ht="12">
      <c r="A187" s="264">
        <f t="shared" si="4"/>
        <v>186</v>
      </c>
      <c r="B187" s="264" t="s">
        <v>2693</v>
      </c>
      <c r="C187" s="264" t="s">
        <v>275</v>
      </c>
      <c r="D187" s="264">
        <v>1</v>
      </c>
      <c r="E187" s="264" t="s">
        <v>2532</v>
      </c>
      <c r="F187" s="264" t="s">
        <v>3134</v>
      </c>
      <c r="G187" s="264"/>
      <c r="H187" s="264"/>
      <c r="I187" s="264" t="s">
        <v>682</v>
      </c>
      <c r="J187" s="264" t="s">
        <v>5427</v>
      </c>
      <c r="K187" s="438"/>
      <c r="L187" s="264"/>
      <c r="M187" s="264"/>
      <c r="N187" s="264"/>
      <c r="O187" s="264" t="s">
        <v>2956</v>
      </c>
      <c r="P187" s="264" t="s">
        <v>3217</v>
      </c>
      <c r="Q187" s="264"/>
    </row>
    <row r="188" spans="1:17" s="181" customFormat="1" ht="12">
      <c r="A188" s="264">
        <f t="shared" si="4"/>
        <v>187</v>
      </c>
      <c r="B188" s="264" t="s">
        <v>2694</v>
      </c>
      <c r="C188" s="264" t="s">
        <v>275</v>
      </c>
      <c r="D188" s="264">
        <v>1</v>
      </c>
      <c r="E188" s="264" t="s">
        <v>2533</v>
      </c>
      <c r="F188" s="264" t="s">
        <v>3134</v>
      </c>
      <c r="G188" s="264"/>
      <c r="H188" s="264"/>
      <c r="I188" s="264" t="s">
        <v>682</v>
      </c>
      <c r="J188" s="264" t="s">
        <v>5427</v>
      </c>
      <c r="K188" s="438"/>
      <c r="L188" s="264"/>
      <c r="M188" s="264"/>
      <c r="N188" s="264"/>
      <c r="O188" s="264" t="s">
        <v>2956</v>
      </c>
      <c r="P188" s="264" t="s">
        <v>3217</v>
      </c>
      <c r="Q188" s="264"/>
    </row>
    <row r="189" spans="1:17" s="181" customFormat="1" ht="12">
      <c r="A189" s="264">
        <f t="shared" si="4"/>
        <v>188</v>
      </c>
      <c r="B189" s="264" t="s">
        <v>2695</v>
      </c>
      <c r="C189" s="264" t="s">
        <v>279</v>
      </c>
      <c r="D189" s="264">
        <v>15</v>
      </c>
      <c r="E189" s="264" t="s">
        <v>2793</v>
      </c>
      <c r="F189" s="264" t="s">
        <v>3134</v>
      </c>
      <c r="G189" s="264"/>
      <c r="H189" s="264"/>
      <c r="I189" s="264" t="s">
        <v>682</v>
      </c>
      <c r="J189" s="264" t="s">
        <v>5427</v>
      </c>
      <c r="K189" s="438"/>
      <c r="L189" s="264"/>
      <c r="M189" s="264"/>
      <c r="N189" s="264"/>
      <c r="O189" s="264" t="s">
        <v>2956</v>
      </c>
      <c r="P189" s="264" t="s">
        <v>3217</v>
      </c>
      <c r="Q189" s="264"/>
    </row>
    <row r="190" spans="1:17" s="181" customFormat="1" ht="12">
      <c r="A190" s="264">
        <f t="shared" si="4"/>
        <v>189</v>
      </c>
      <c r="B190" s="264" t="s">
        <v>2696</v>
      </c>
      <c r="C190" s="264" t="s">
        <v>279</v>
      </c>
      <c r="D190" s="264">
        <v>15</v>
      </c>
      <c r="E190" s="264" t="s">
        <v>2794</v>
      </c>
      <c r="F190" s="264" t="s">
        <v>3134</v>
      </c>
      <c r="G190" s="264"/>
      <c r="H190" s="264"/>
      <c r="I190" s="264" t="s">
        <v>682</v>
      </c>
      <c r="J190" s="264" t="s">
        <v>5427</v>
      </c>
      <c r="K190" s="438"/>
      <c r="L190" s="264"/>
      <c r="M190" s="264"/>
      <c r="N190" s="264"/>
      <c r="O190" s="264" t="s">
        <v>2956</v>
      </c>
      <c r="P190" s="264" t="s">
        <v>3217</v>
      </c>
      <c r="Q190" s="264"/>
    </row>
    <row r="191" spans="1:17" s="181" customFormat="1" ht="12">
      <c r="A191" s="264">
        <f t="shared" si="4"/>
        <v>190</v>
      </c>
      <c r="B191" s="264" t="s">
        <v>2697</v>
      </c>
      <c r="C191" s="264" t="s">
        <v>275</v>
      </c>
      <c r="D191" s="264">
        <v>3</v>
      </c>
      <c r="E191" s="264" t="s">
        <v>2536</v>
      </c>
      <c r="F191" s="264" t="s">
        <v>3134</v>
      </c>
      <c r="G191" s="264"/>
      <c r="H191" s="264"/>
      <c r="I191" s="264" t="s">
        <v>682</v>
      </c>
      <c r="J191" s="264" t="s">
        <v>5427</v>
      </c>
      <c r="K191" s="438"/>
      <c r="L191" s="264"/>
      <c r="M191" s="264"/>
      <c r="N191" s="264"/>
      <c r="O191" s="264" t="s">
        <v>2956</v>
      </c>
      <c r="P191" s="264" t="s">
        <v>3217</v>
      </c>
      <c r="Q191" s="264"/>
    </row>
    <row r="192" spans="1:17" s="181" customFormat="1" ht="12">
      <c r="A192" s="264">
        <f t="shared" si="4"/>
        <v>191</v>
      </c>
      <c r="B192" s="264" t="s">
        <v>2698</v>
      </c>
      <c r="C192" s="264" t="s">
        <v>275</v>
      </c>
      <c r="D192" s="264">
        <v>1</v>
      </c>
      <c r="E192" s="264" t="s">
        <v>2795</v>
      </c>
      <c r="F192" s="264" t="s">
        <v>3134</v>
      </c>
      <c r="G192" s="264"/>
      <c r="H192" s="264"/>
      <c r="I192" s="264" t="s">
        <v>682</v>
      </c>
      <c r="J192" s="264" t="s">
        <v>5427</v>
      </c>
      <c r="K192" s="438"/>
      <c r="L192" s="264"/>
      <c r="M192" s="264"/>
      <c r="N192" s="264"/>
      <c r="O192" s="264" t="s">
        <v>2956</v>
      </c>
      <c r="P192" s="264" t="s">
        <v>3217</v>
      </c>
      <c r="Q192" s="264"/>
    </row>
    <row r="193" spans="1:17" s="181" customFormat="1" ht="12">
      <c r="A193" s="264">
        <f t="shared" si="4"/>
        <v>192</v>
      </c>
      <c r="B193" s="264" t="s">
        <v>2699</v>
      </c>
      <c r="C193" s="264" t="s">
        <v>275</v>
      </c>
      <c r="D193" s="264">
        <v>1</v>
      </c>
      <c r="E193" s="264" t="s">
        <v>2796</v>
      </c>
      <c r="F193" s="264" t="s">
        <v>3134</v>
      </c>
      <c r="G193" s="264"/>
      <c r="H193" s="264"/>
      <c r="I193" s="264" t="s">
        <v>682</v>
      </c>
      <c r="J193" s="264" t="s">
        <v>5427</v>
      </c>
      <c r="K193" s="438"/>
      <c r="L193" s="264"/>
      <c r="M193" s="264"/>
      <c r="N193" s="264"/>
      <c r="O193" s="264" t="s">
        <v>2956</v>
      </c>
      <c r="P193" s="264" t="s">
        <v>3217</v>
      </c>
      <c r="Q193" s="264"/>
    </row>
    <row r="194" spans="1:17" ht="12">
      <c r="A194" s="263">
        <f t="shared" si="4"/>
        <v>193</v>
      </c>
      <c r="B194" s="263" t="s">
        <v>2700</v>
      </c>
      <c r="C194" s="263" t="s">
        <v>275</v>
      </c>
      <c r="D194" s="263">
        <v>1</v>
      </c>
      <c r="E194" s="263" t="s">
        <v>2797</v>
      </c>
      <c r="F194" s="263" t="s">
        <v>3134</v>
      </c>
      <c r="G194" s="263"/>
      <c r="H194" s="263"/>
      <c r="I194" s="263" t="s">
        <v>682</v>
      </c>
      <c r="J194" s="263" t="s">
        <v>5427</v>
      </c>
      <c r="K194" s="437" t="s">
        <v>2907</v>
      </c>
      <c r="L194" s="263"/>
      <c r="M194" s="263"/>
      <c r="N194" s="263"/>
      <c r="O194" s="263" t="s">
        <v>2956</v>
      </c>
      <c r="P194" s="263" t="s">
        <v>3217</v>
      </c>
      <c r="Q194" s="263"/>
    </row>
    <row r="195" spans="1:17" ht="12">
      <c r="A195" s="263">
        <f t="shared" si="4"/>
        <v>194</v>
      </c>
      <c r="B195" s="263" t="s">
        <v>2701</v>
      </c>
      <c r="C195" s="263" t="s">
        <v>275</v>
      </c>
      <c r="D195" s="263">
        <v>1</v>
      </c>
      <c r="E195" s="263" t="s">
        <v>2798</v>
      </c>
      <c r="F195" s="263" t="s">
        <v>3134</v>
      </c>
      <c r="G195" s="263"/>
      <c r="H195" s="263"/>
      <c r="I195" s="263" t="s">
        <v>682</v>
      </c>
      <c r="J195" s="263" t="s">
        <v>5427</v>
      </c>
      <c r="K195" s="437" t="s">
        <v>2908</v>
      </c>
      <c r="L195" s="263"/>
      <c r="M195" s="263"/>
      <c r="N195" s="263"/>
      <c r="O195" s="263" t="s">
        <v>2956</v>
      </c>
      <c r="P195" s="263" t="s">
        <v>3217</v>
      </c>
      <c r="Q195" s="263" t="s">
        <v>3453</v>
      </c>
    </row>
    <row r="196" spans="1:17" ht="12">
      <c r="A196" s="263">
        <f t="shared" si="4"/>
        <v>195</v>
      </c>
      <c r="B196" s="263" t="s">
        <v>2702</v>
      </c>
      <c r="C196" s="263" t="s">
        <v>275</v>
      </c>
      <c r="D196" s="263">
        <v>1</v>
      </c>
      <c r="E196" s="263" t="s">
        <v>2799</v>
      </c>
      <c r="F196" s="263" t="s">
        <v>3134</v>
      </c>
      <c r="G196" s="263"/>
      <c r="H196" s="263"/>
      <c r="I196" s="263" t="s">
        <v>682</v>
      </c>
      <c r="J196" s="263" t="s">
        <v>5427</v>
      </c>
      <c r="K196" s="437" t="s">
        <v>2799</v>
      </c>
      <c r="L196" s="263"/>
      <c r="M196" s="263"/>
      <c r="N196" s="263"/>
      <c r="O196" s="263" t="s">
        <v>2956</v>
      </c>
      <c r="P196" s="263" t="s">
        <v>3217</v>
      </c>
      <c r="Q196" s="263"/>
    </row>
    <row r="197" spans="1:17" ht="12">
      <c r="A197" s="263">
        <f t="shared" si="4"/>
        <v>196</v>
      </c>
      <c r="B197" s="263" t="s">
        <v>2703</v>
      </c>
      <c r="C197" s="263" t="s">
        <v>275</v>
      </c>
      <c r="D197" s="263">
        <v>2</v>
      </c>
      <c r="E197" s="263" t="s">
        <v>2800</v>
      </c>
      <c r="F197" s="263" t="s">
        <v>3134</v>
      </c>
      <c r="G197" s="263"/>
      <c r="H197" s="263"/>
      <c r="I197" s="263" t="s">
        <v>682</v>
      </c>
      <c r="J197" s="263" t="s">
        <v>5427</v>
      </c>
      <c r="K197" s="437" t="s">
        <v>2909</v>
      </c>
      <c r="L197" s="263"/>
      <c r="M197" s="263"/>
      <c r="N197" s="263"/>
      <c r="O197" s="263" t="s">
        <v>2956</v>
      </c>
      <c r="P197" s="263" t="s">
        <v>3217</v>
      </c>
      <c r="Q197" s="263"/>
    </row>
    <row r="198" spans="1:17" ht="12">
      <c r="A198" s="263">
        <f t="shared" si="4"/>
        <v>197</v>
      </c>
      <c r="B198" s="263" t="s">
        <v>2704</v>
      </c>
      <c r="C198" s="263" t="s">
        <v>275</v>
      </c>
      <c r="D198" s="263">
        <v>2</v>
      </c>
      <c r="E198" s="263" t="s">
        <v>2801</v>
      </c>
      <c r="F198" s="263" t="s">
        <v>3134</v>
      </c>
      <c r="G198" s="263"/>
      <c r="H198" s="263"/>
      <c r="I198" s="263" t="s">
        <v>682</v>
      </c>
      <c r="J198" s="263" t="s">
        <v>5427</v>
      </c>
      <c r="K198" s="437" t="s">
        <v>2910</v>
      </c>
      <c r="L198" s="263"/>
      <c r="M198" s="263"/>
      <c r="N198" s="263"/>
      <c r="O198" s="263" t="s">
        <v>2956</v>
      </c>
      <c r="P198" s="263" t="s">
        <v>3217</v>
      </c>
      <c r="Q198" s="263"/>
    </row>
    <row r="199" spans="1:17" s="341" customFormat="1" ht="33.75">
      <c r="A199" s="339">
        <f t="shared" si="4"/>
        <v>198</v>
      </c>
      <c r="B199" s="339" t="s">
        <v>3204</v>
      </c>
      <c r="C199" s="339" t="s">
        <v>275</v>
      </c>
      <c r="D199" s="339">
        <v>20</v>
      </c>
      <c r="E199" s="339" t="s">
        <v>3552</v>
      </c>
      <c r="F199" s="339" t="s">
        <v>3134</v>
      </c>
      <c r="G199" s="339"/>
      <c r="H199" s="339"/>
      <c r="I199" s="339" t="s">
        <v>682</v>
      </c>
      <c r="J199" s="263" t="s">
        <v>5427</v>
      </c>
      <c r="K199" s="437" t="s">
        <v>252</v>
      </c>
      <c r="L199" s="339"/>
      <c r="M199" s="339"/>
      <c r="N199" s="339"/>
      <c r="O199" s="339" t="s">
        <v>3207</v>
      </c>
      <c r="P199" s="340" t="s">
        <v>3555</v>
      </c>
      <c r="Q199" s="339"/>
    </row>
    <row r="200" spans="1:17" s="341" customFormat="1" ht="33.75">
      <c r="A200" s="339">
        <f t="shared" si="4"/>
        <v>199</v>
      </c>
      <c r="B200" s="339" t="s">
        <v>3205</v>
      </c>
      <c r="C200" s="339" t="s">
        <v>3218</v>
      </c>
      <c r="D200" s="339">
        <v>20</v>
      </c>
      <c r="E200" s="339" t="s">
        <v>3219</v>
      </c>
      <c r="F200" s="339" t="s">
        <v>3134</v>
      </c>
      <c r="G200" s="339"/>
      <c r="H200" s="339"/>
      <c r="I200" s="339" t="s">
        <v>682</v>
      </c>
      <c r="J200" s="263" t="s">
        <v>5427</v>
      </c>
      <c r="K200" s="437" t="s">
        <v>3565</v>
      </c>
      <c r="L200" s="339"/>
      <c r="M200" s="339"/>
      <c r="N200" s="339"/>
      <c r="O200" s="339" t="s">
        <v>3207</v>
      </c>
      <c r="P200" s="340" t="s">
        <v>3556</v>
      </c>
      <c r="Q200" s="339"/>
    </row>
    <row r="201" spans="1:17" s="341" customFormat="1" ht="33.75">
      <c r="A201" s="339">
        <f t="shared" si="4"/>
        <v>200</v>
      </c>
      <c r="B201" s="339" t="s">
        <v>3206</v>
      </c>
      <c r="C201" s="339" t="s">
        <v>275</v>
      </c>
      <c r="D201" s="339">
        <v>20</v>
      </c>
      <c r="E201" s="339" t="s">
        <v>3220</v>
      </c>
      <c r="F201" s="339" t="s">
        <v>3134</v>
      </c>
      <c r="G201" s="339"/>
      <c r="H201" s="339"/>
      <c r="I201" s="339" t="s">
        <v>682</v>
      </c>
      <c r="J201" s="263" t="s">
        <v>5427</v>
      </c>
      <c r="K201" s="437" t="s">
        <v>3576</v>
      </c>
      <c r="L201" s="339"/>
      <c r="M201" s="339"/>
      <c r="N201" s="339"/>
      <c r="O201" s="339" t="s">
        <v>3207</v>
      </c>
      <c r="P201" s="340" t="s">
        <v>3555</v>
      </c>
      <c r="Q201" s="339"/>
    </row>
    <row r="202" spans="1:17" s="252" customFormat="1" ht="33.75">
      <c r="A202" s="239">
        <f t="shared" si="4"/>
        <v>201</v>
      </c>
      <c r="B202" s="245" t="s">
        <v>3414</v>
      </c>
      <c r="C202" s="339" t="s">
        <v>275</v>
      </c>
      <c r="D202" s="339">
        <v>20</v>
      </c>
      <c r="E202" s="344" t="s">
        <v>3418</v>
      </c>
      <c r="F202" s="348" t="s">
        <v>3133</v>
      </c>
      <c r="G202" s="320"/>
      <c r="H202" s="320"/>
      <c r="I202" s="339" t="s">
        <v>682</v>
      </c>
      <c r="J202" s="263" t="s">
        <v>5427</v>
      </c>
      <c r="K202" s="437" t="s">
        <v>3486</v>
      </c>
      <c r="L202" s="320"/>
      <c r="M202" s="320"/>
      <c r="N202" s="320"/>
      <c r="O202" s="339" t="s">
        <v>3207</v>
      </c>
      <c r="P202" s="340" t="s">
        <v>3557</v>
      </c>
      <c r="Q202" s="320"/>
    </row>
    <row r="203" spans="1:17" s="252" customFormat="1" ht="33.75">
      <c r="A203" s="239">
        <f t="shared" si="4"/>
        <v>202</v>
      </c>
      <c r="B203" s="245" t="s">
        <v>3415</v>
      </c>
      <c r="C203" s="339" t="s">
        <v>3218</v>
      </c>
      <c r="D203" s="339">
        <v>20</v>
      </c>
      <c r="E203" s="344" t="s">
        <v>3419</v>
      </c>
      <c r="F203" s="348" t="s">
        <v>3133</v>
      </c>
      <c r="G203" s="320"/>
      <c r="H203" s="320"/>
      <c r="I203" s="339" t="s">
        <v>682</v>
      </c>
      <c r="J203" s="263" t="s">
        <v>5427</v>
      </c>
      <c r="K203" s="437" t="s">
        <v>3476</v>
      </c>
      <c r="L203" s="320"/>
      <c r="M203" s="320"/>
      <c r="N203" s="320"/>
      <c r="O203" s="339" t="s">
        <v>3207</v>
      </c>
      <c r="P203" s="340" t="s">
        <v>3557</v>
      </c>
      <c r="Q203" s="320"/>
    </row>
    <row r="204" spans="1:17" s="252" customFormat="1" ht="33.75">
      <c r="A204" s="239">
        <f t="shared" si="4"/>
        <v>203</v>
      </c>
      <c r="B204" s="245" t="s">
        <v>3416</v>
      </c>
      <c r="C204" s="339" t="s">
        <v>275</v>
      </c>
      <c r="D204" s="339">
        <v>20</v>
      </c>
      <c r="E204" s="344" t="s">
        <v>3420</v>
      </c>
      <c r="F204" s="348" t="s">
        <v>3133</v>
      </c>
      <c r="G204" s="320"/>
      <c r="H204" s="320"/>
      <c r="I204" s="339" t="s">
        <v>682</v>
      </c>
      <c r="J204" s="263" t="s">
        <v>5427</v>
      </c>
      <c r="K204" s="437" t="s">
        <v>3577</v>
      </c>
      <c r="L204" s="320"/>
      <c r="M204" s="320"/>
      <c r="N204" s="320"/>
      <c r="O204" s="339" t="s">
        <v>3207</v>
      </c>
      <c r="P204" s="340" t="s">
        <v>3558</v>
      </c>
      <c r="Q204" s="320"/>
    </row>
    <row r="205" spans="1:17" s="252" customFormat="1" ht="12">
      <c r="A205" s="239">
        <f t="shared" si="4"/>
        <v>204</v>
      </c>
      <c r="B205" s="245" t="s">
        <v>3559</v>
      </c>
      <c r="C205" s="339" t="s">
        <v>275</v>
      </c>
      <c r="D205" s="339">
        <v>20</v>
      </c>
      <c r="E205" s="320" t="s">
        <v>3581</v>
      </c>
      <c r="F205" s="348" t="s">
        <v>3133</v>
      </c>
      <c r="G205" s="320"/>
      <c r="H205" s="320"/>
      <c r="I205" s="339" t="s">
        <v>682</v>
      </c>
      <c r="J205" s="263" t="s">
        <v>5427</v>
      </c>
      <c r="K205" s="437" t="s">
        <v>3569</v>
      </c>
      <c r="L205" s="320"/>
      <c r="M205" s="320"/>
      <c r="N205" s="320"/>
      <c r="O205" s="339" t="s">
        <v>3207</v>
      </c>
      <c r="P205" s="340" t="s">
        <v>3563</v>
      </c>
      <c r="Q205" s="320"/>
    </row>
    <row r="206" spans="1:17" s="252" customFormat="1" ht="12">
      <c r="A206" s="239">
        <f t="shared" si="4"/>
        <v>205</v>
      </c>
      <c r="B206" s="245" t="s">
        <v>3560</v>
      </c>
      <c r="C206" s="339" t="s">
        <v>275</v>
      </c>
      <c r="D206" s="339">
        <v>20</v>
      </c>
      <c r="E206" s="320" t="s">
        <v>3582</v>
      </c>
      <c r="F206" s="348" t="s">
        <v>3133</v>
      </c>
      <c r="G206" s="320"/>
      <c r="H206" s="320"/>
      <c r="I206" s="339" t="s">
        <v>682</v>
      </c>
      <c r="J206" s="263" t="s">
        <v>5427</v>
      </c>
      <c r="K206" s="437" t="s">
        <v>3578</v>
      </c>
      <c r="L206" s="320"/>
      <c r="M206" s="320"/>
      <c r="N206" s="320"/>
      <c r="O206" s="339" t="s">
        <v>3207</v>
      </c>
      <c r="P206" s="340" t="s">
        <v>3563</v>
      </c>
      <c r="Q206" s="320"/>
    </row>
    <row r="207" spans="1:17" s="252" customFormat="1" ht="12">
      <c r="A207" s="239">
        <f t="shared" si="4"/>
        <v>206</v>
      </c>
      <c r="B207" s="245" t="s">
        <v>3561</v>
      </c>
      <c r="C207" s="339" t="s">
        <v>275</v>
      </c>
      <c r="D207" s="339">
        <v>20</v>
      </c>
      <c r="E207" s="320" t="s">
        <v>3583</v>
      </c>
      <c r="F207" s="348" t="s">
        <v>3133</v>
      </c>
      <c r="G207" s="320"/>
      <c r="H207" s="320"/>
      <c r="I207" s="339" t="s">
        <v>682</v>
      </c>
      <c r="J207" s="263" t="s">
        <v>5427</v>
      </c>
      <c r="K207" s="437" t="s">
        <v>1055</v>
      </c>
      <c r="L207" s="320"/>
      <c r="M207" s="320"/>
      <c r="N207" s="320"/>
      <c r="O207" s="339" t="s">
        <v>3207</v>
      </c>
      <c r="P207" s="340" t="s">
        <v>3563</v>
      </c>
      <c r="Q207" s="320"/>
    </row>
    <row r="208" spans="1:17" s="252" customFormat="1" ht="12">
      <c r="A208" s="239">
        <f t="shared" si="4"/>
        <v>207</v>
      </c>
      <c r="B208" s="245" t="s">
        <v>3562</v>
      </c>
      <c r="C208" s="339" t="s">
        <v>275</v>
      </c>
      <c r="D208" s="339">
        <v>20</v>
      </c>
      <c r="E208" s="320" t="s">
        <v>3584</v>
      </c>
      <c r="F208" s="348" t="s">
        <v>3133</v>
      </c>
      <c r="G208" s="320"/>
      <c r="H208" s="320"/>
      <c r="I208" s="339" t="s">
        <v>682</v>
      </c>
      <c r="J208" s="263" t="s">
        <v>5427</v>
      </c>
      <c r="K208" s="437" t="s">
        <v>3579</v>
      </c>
      <c r="L208" s="320"/>
      <c r="M208" s="320"/>
      <c r="N208" s="320"/>
      <c r="O208" s="339" t="s">
        <v>3207</v>
      </c>
      <c r="P208" s="340" t="s">
        <v>3563</v>
      </c>
      <c r="Q208" s="320"/>
    </row>
    <row r="209" spans="1:17" ht="12">
      <c r="A209" s="263"/>
      <c r="B209" s="263" t="s">
        <v>5782</v>
      </c>
      <c r="C209" s="263" t="s">
        <v>279</v>
      </c>
      <c r="D209" s="263">
        <v>15</v>
      </c>
      <c r="E209" s="263" t="s">
        <v>5783</v>
      </c>
      <c r="F209" s="263"/>
      <c r="G209" s="263"/>
      <c r="H209" s="263"/>
      <c r="I209" s="178" t="s">
        <v>1697</v>
      </c>
      <c r="J209" s="263" t="s">
        <v>5427</v>
      </c>
      <c r="K209" s="437" t="s">
        <v>5784</v>
      </c>
      <c r="L209" s="263"/>
      <c r="M209" s="263"/>
      <c r="N209" s="263"/>
      <c r="O209" s="263"/>
      <c r="P209" s="263"/>
      <c r="Q209" s="263"/>
    </row>
    <row r="210" spans="1:17" ht="12">
      <c r="A210" s="263"/>
      <c r="B210" s="263" t="s">
        <v>5785</v>
      </c>
      <c r="C210" s="263" t="s">
        <v>279</v>
      </c>
      <c r="D210" s="263">
        <v>15</v>
      </c>
      <c r="E210" s="263" t="s">
        <v>5786</v>
      </c>
      <c r="F210" s="263"/>
      <c r="G210" s="263"/>
      <c r="H210" s="263"/>
      <c r="I210" s="178" t="s">
        <v>1697</v>
      </c>
      <c r="J210" s="263" t="s">
        <v>5427</v>
      </c>
      <c r="K210" s="437" t="s">
        <v>5787</v>
      </c>
      <c r="L210" s="263"/>
      <c r="M210" s="263"/>
      <c r="N210" s="263"/>
      <c r="O210" s="263"/>
      <c r="P210" s="263"/>
      <c r="Q210" s="263"/>
    </row>
    <row r="211" spans="1:17" ht="12">
      <c r="A211" s="263"/>
      <c r="B211" s="263" t="s">
        <v>5788</v>
      </c>
      <c r="C211" s="263" t="s">
        <v>279</v>
      </c>
      <c r="D211" s="263">
        <v>15</v>
      </c>
      <c r="E211" s="263" t="s">
        <v>5789</v>
      </c>
      <c r="F211" s="263"/>
      <c r="G211" s="263"/>
      <c r="H211" s="263"/>
      <c r="I211" s="178" t="s">
        <v>1697</v>
      </c>
      <c r="J211" s="263" t="s">
        <v>5427</v>
      </c>
      <c r="K211" s="437" t="s">
        <v>854</v>
      </c>
      <c r="L211" s="263"/>
      <c r="M211" s="263"/>
      <c r="N211" s="263"/>
      <c r="O211" s="263"/>
      <c r="P211" s="263"/>
      <c r="Q211" s="263"/>
    </row>
    <row r="212" spans="1:17" ht="12">
      <c r="A212" s="263"/>
      <c r="B212" s="263" t="s">
        <v>5790</v>
      </c>
      <c r="C212" s="263" t="s">
        <v>279</v>
      </c>
      <c r="D212" s="263">
        <v>15</v>
      </c>
      <c r="E212" s="263" t="s">
        <v>5791</v>
      </c>
      <c r="F212" s="263"/>
      <c r="G212" s="263"/>
      <c r="H212" s="263"/>
      <c r="I212" s="178" t="s">
        <v>1697</v>
      </c>
      <c r="J212" s="263" t="s">
        <v>5427</v>
      </c>
      <c r="K212" s="437" t="s">
        <v>3483</v>
      </c>
      <c r="L212" s="263"/>
      <c r="M212" s="263"/>
      <c r="N212" s="263"/>
      <c r="O212" s="263"/>
      <c r="P212" s="263"/>
      <c r="Q212" s="263"/>
    </row>
    <row r="213" spans="1:17" ht="12">
      <c r="A213" s="263"/>
      <c r="B213" s="263" t="s">
        <v>5792</v>
      </c>
      <c r="C213" s="263" t="s">
        <v>279</v>
      </c>
      <c r="D213" s="263">
        <v>15</v>
      </c>
      <c r="E213" s="263" t="s">
        <v>5793</v>
      </c>
      <c r="F213" s="263"/>
      <c r="G213" s="263"/>
      <c r="H213" s="263"/>
      <c r="I213" s="178" t="s">
        <v>1697</v>
      </c>
      <c r="J213" s="263" t="s">
        <v>5427</v>
      </c>
      <c r="K213" s="437" t="s">
        <v>5794</v>
      </c>
      <c r="L213" s="263"/>
      <c r="M213" s="263"/>
      <c r="N213" s="263"/>
      <c r="O213" s="263"/>
      <c r="P213" s="263"/>
      <c r="Q213" s="263"/>
    </row>
    <row r="214" spans="1:17" ht="12">
      <c r="A214" s="263"/>
      <c r="B214" s="263" t="s">
        <v>5795</v>
      </c>
      <c r="C214" s="263" t="s">
        <v>275</v>
      </c>
      <c r="D214" s="263"/>
      <c r="E214" s="263" t="s">
        <v>5796</v>
      </c>
      <c r="F214" s="263"/>
      <c r="H214" s="263"/>
      <c r="I214" s="178" t="s">
        <v>1697</v>
      </c>
      <c r="J214" s="263" t="s">
        <v>5427</v>
      </c>
      <c r="K214" s="437" t="s">
        <v>5797</v>
      </c>
      <c r="L214" s="263"/>
      <c r="M214" s="263"/>
      <c r="N214" s="263"/>
      <c r="O214" s="263"/>
      <c r="P214" s="263" t="s">
        <v>5798</v>
      </c>
      <c r="Q214" s="263"/>
    </row>
    <row r="215" spans="1:17" ht="12">
      <c r="A215" s="263"/>
      <c r="B215" s="263" t="s">
        <v>5799</v>
      </c>
      <c r="C215" s="263" t="s">
        <v>275</v>
      </c>
      <c r="D215" s="263"/>
      <c r="E215" s="263" t="s">
        <v>5800</v>
      </c>
      <c r="F215" s="263"/>
      <c r="G215" s="263"/>
      <c r="H215" s="263"/>
      <c r="I215" s="178" t="s">
        <v>1697</v>
      </c>
      <c r="J215" s="263" t="s">
        <v>5427</v>
      </c>
      <c r="K215" s="437" t="s">
        <v>5801</v>
      </c>
      <c r="L215" s="263"/>
      <c r="M215" s="263"/>
      <c r="N215" s="263"/>
      <c r="O215" s="263"/>
      <c r="P215" s="263" t="s">
        <v>5802</v>
      </c>
      <c r="Q215" s="263"/>
    </row>
    <row r="216" spans="1:17" ht="12">
      <c r="A216" s="263"/>
      <c r="B216" s="263" t="s">
        <v>5803</v>
      </c>
      <c r="C216" s="263" t="s">
        <v>275</v>
      </c>
      <c r="D216" s="263"/>
      <c r="E216" s="263" t="s">
        <v>5804</v>
      </c>
      <c r="F216" s="263"/>
      <c r="G216" s="263"/>
      <c r="H216" s="263"/>
      <c r="I216" s="178" t="s">
        <v>1697</v>
      </c>
      <c r="J216" s="263" t="s">
        <v>5427</v>
      </c>
      <c r="K216" s="437" t="s">
        <v>5805</v>
      </c>
      <c r="L216" s="263"/>
      <c r="M216" s="263"/>
      <c r="N216" s="263"/>
      <c r="O216" s="263"/>
      <c r="P216" s="263"/>
      <c r="Q216" s="263"/>
    </row>
    <row r="217" spans="1:17" ht="12">
      <c r="A217" s="263"/>
      <c r="B217" s="263" t="s">
        <v>5806</v>
      </c>
      <c r="C217" s="263" t="s">
        <v>275</v>
      </c>
      <c r="D217" s="263"/>
      <c r="E217" s="263" t="s">
        <v>5807</v>
      </c>
      <c r="F217" s="263"/>
      <c r="G217" s="263"/>
      <c r="I217" s="178" t="s">
        <v>1697</v>
      </c>
      <c r="J217" s="263" t="s">
        <v>5427</v>
      </c>
      <c r="K217" s="437" t="s">
        <v>5808</v>
      </c>
      <c r="L217" s="263"/>
      <c r="M217" s="263"/>
      <c r="N217" s="263"/>
      <c r="O217" s="263"/>
      <c r="P217" s="263"/>
      <c r="Q217" s="263"/>
    </row>
    <row r="218" spans="1:17" ht="12">
      <c r="A218" s="263"/>
      <c r="B218" s="263" t="s">
        <v>5809</v>
      </c>
      <c r="C218" s="263" t="s">
        <v>275</v>
      </c>
      <c r="D218" s="263"/>
      <c r="E218" s="263" t="s">
        <v>5810</v>
      </c>
      <c r="F218" s="263"/>
      <c r="G218" s="263"/>
      <c r="H218" s="263"/>
      <c r="I218" s="178" t="s">
        <v>1697</v>
      </c>
      <c r="J218" s="263" t="s">
        <v>5427</v>
      </c>
      <c r="K218" s="437" t="s">
        <v>5866</v>
      </c>
      <c r="L218" s="263"/>
      <c r="M218" s="263"/>
      <c r="N218" s="263"/>
      <c r="O218" s="263"/>
      <c r="P218" s="263"/>
      <c r="Q218" s="263"/>
    </row>
    <row r="219" spans="1:17" ht="12">
      <c r="A219" s="263"/>
      <c r="B219" s="263" t="s">
        <v>5811</v>
      </c>
      <c r="C219" s="263" t="s">
        <v>275</v>
      </c>
      <c r="D219" s="263"/>
      <c r="E219" s="263" t="s">
        <v>5812</v>
      </c>
      <c r="F219" s="263"/>
      <c r="G219" s="263"/>
      <c r="H219" s="263"/>
      <c r="I219" s="178" t="s">
        <v>1697</v>
      </c>
      <c r="J219" s="263" t="s">
        <v>5427</v>
      </c>
      <c r="K219" s="437" t="s">
        <v>5813</v>
      </c>
      <c r="L219" s="263"/>
      <c r="M219" s="263"/>
      <c r="N219" s="263"/>
      <c r="O219" s="263"/>
      <c r="P219" s="263"/>
      <c r="Q219" s="263"/>
    </row>
    <row r="220" spans="1:17" ht="12">
      <c r="A220" s="263"/>
      <c r="B220" s="263" t="s">
        <v>5814</v>
      </c>
      <c r="C220" s="263" t="s">
        <v>275</v>
      </c>
      <c r="D220" s="263"/>
      <c r="E220" s="263" t="s">
        <v>2545</v>
      </c>
      <c r="F220" s="263"/>
      <c r="G220" s="263"/>
      <c r="H220" s="263"/>
      <c r="I220" s="178" t="s">
        <v>1697</v>
      </c>
      <c r="J220" s="263" t="s">
        <v>5427</v>
      </c>
      <c r="K220" s="437" t="s">
        <v>5867</v>
      </c>
      <c r="L220" s="263"/>
      <c r="M220" s="263"/>
      <c r="N220" s="263"/>
      <c r="O220" s="263"/>
      <c r="P220" s="263"/>
      <c r="Q220" s="263"/>
    </row>
    <row r="221" spans="1:17" ht="12">
      <c r="A221" s="263"/>
      <c r="B221" s="263" t="s">
        <v>5815</v>
      </c>
      <c r="C221" s="263" t="s">
        <v>275</v>
      </c>
      <c r="D221" s="263"/>
      <c r="E221" s="263" t="s">
        <v>3112</v>
      </c>
      <c r="F221" s="263"/>
      <c r="G221" s="263"/>
      <c r="H221" s="263"/>
      <c r="I221" s="178" t="s">
        <v>1697</v>
      </c>
      <c r="J221" s="263" t="s">
        <v>5427</v>
      </c>
      <c r="K221" s="437" t="s">
        <v>5868</v>
      </c>
      <c r="L221" s="263"/>
      <c r="M221" s="263"/>
      <c r="N221" s="263"/>
      <c r="O221" s="263"/>
      <c r="P221" s="263"/>
      <c r="Q221" s="263"/>
    </row>
    <row r="222" spans="1:17" s="181" customFormat="1">
      <c r="A222" s="264">
        <f>ROW()-1</f>
        <v>221</v>
      </c>
      <c r="B222" s="264" t="s">
        <v>2331</v>
      </c>
      <c r="C222" s="264" t="s">
        <v>279</v>
      </c>
      <c r="D222" s="264">
        <v>5</v>
      </c>
      <c r="E222" s="264" t="s">
        <v>754</v>
      </c>
      <c r="F222" s="264" t="s">
        <v>3134</v>
      </c>
      <c r="G222" s="264" t="s">
        <v>3135</v>
      </c>
      <c r="H222" s="264"/>
      <c r="I222" s="264" t="s">
        <v>626</v>
      </c>
      <c r="J222" s="264"/>
      <c r="K222" s="264" t="s">
        <v>756</v>
      </c>
      <c r="L222" s="264" t="s">
        <v>755</v>
      </c>
      <c r="M222" s="264" t="s">
        <v>29</v>
      </c>
      <c r="N222" s="264" t="s">
        <v>760</v>
      </c>
      <c r="O222" s="264" t="s">
        <v>3216</v>
      </c>
      <c r="P222" s="264" t="s">
        <v>3217</v>
      </c>
      <c r="Q222" s="264"/>
    </row>
    <row r="223" spans="1:17" s="181" customFormat="1">
      <c r="A223" s="264">
        <f t="shared" ref="A223:A299" si="5">ROW()-1</f>
        <v>222</v>
      </c>
      <c r="B223" s="264" t="s">
        <v>2332</v>
      </c>
      <c r="C223" s="264" t="s">
        <v>279</v>
      </c>
      <c r="D223" s="264">
        <v>5</v>
      </c>
      <c r="E223" s="264" t="s">
        <v>757</v>
      </c>
      <c r="F223" s="264" t="s">
        <v>3134</v>
      </c>
      <c r="G223" s="264"/>
      <c r="H223" s="264"/>
      <c r="I223" s="264" t="s">
        <v>626</v>
      </c>
      <c r="J223" s="264"/>
      <c r="K223" s="264" t="s">
        <v>761</v>
      </c>
      <c r="L223" s="264" t="s">
        <v>759</v>
      </c>
      <c r="M223" s="264" t="s">
        <v>29</v>
      </c>
      <c r="N223" s="264" t="s">
        <v>760</v>
      </c>
      <c r="O223" s="264" t="s">
        <v>3216</v>
      </c>
      <c r="P223" s="264" t="s">
        <v>3217</v>
      </c>
      <c r="Q223" s="264"/>
    </row>
    <row r="224" spans="1:17" s="181" customFormat="1">
      <c r="A224" s="264">
        <f t="shared" si="5"/>
        <v>223</v>
      </c>
      <c r="B224" s="264" t="s">
        <v>2333</v>
      </c>
      <c r="C224" s="264" t="s">
        <v>275</v>
      </c>
      <c r="D224" s="264">
        <v>1</v>
      </c>
      <c r="E224" s="264" t="s">
        <v>1337</v>
      </c>
      <c r="F224" s="264" t="s">
        <v>3134</v>
      </c>
      <c r="G224" s="264"/>
      <c r="H224" s="264"/>
      <c r="I224" s="264" t="s">
        <v>626</v>
      </c>
      <c r="J224" s="264"/>
      <c r="K224" s="264" t="s">
        <v>763</v>
      </c>
      <c r="L224" s="264" t="s">
        <v>762</v>
      </c>
      <c r="M224" s="264" t="s">
        <v>29</v>
      </c>
      <c r="N224" s="264" t="s">
        <v>760</v>
      </c>
      <c r="O224" s="264" t="s">
        <v>3216</v>
      </c>
      <c r="P224" s="264" t="s">
        <v>3217</v>
      </c>
      <c r="Q224" s="264"/>
    </row>
    <row r="225" spans="1:17" s="181" customFormat="1">
      <c r="A225" s="264">
        <f t="shared" si="5"/>
        <v>224</v>
      </c>
      <c r="B225" s="264" t="s">
        <v>2334</v>
      </c>
      <c r="C225" s="264" t="s">
        <v>279</v>
      </c>
      <c r="D225" s="264">
        <v>5</v>
      </c>
      <c r="E225" s="264" t="s">
        <v>764</v>
      </c>
      <c r="F225" s="264" t="s">
        <v>3134</v>
      </c>
      <c r="G225" s="264"/>
      <c r="H225" s="264"/>
      <c r="I225" s="264" t="s">
        <v>626</v>
      </c>
      <c r="J225" s="264"/>
      <c r="K225" s="264" t="s">
        <v>766</v>
      </c>
      <c r="L225" s="264" t="s">
        <v>765</v>
      </c>
      <c r="M225" s="264" t="s">
        <v>29</v>
      </c>
      <c r="N225" s="264" t="s">
        <v>760</v>
      </c>
      <c r="O225" s="264" t="s">
        <v>3216</v>
      </c>
      <c r="P225" s="264" t="s">
        <v>3217</v>
      </c>
      <c r="Q225" s="264"/>
    </row>
    <row r="226" spans="1:17" s="181" customFormat="1">
      <c r="A226" s="264">
        <f t="shared" si="5"/>
        <v>225</v>
      </c>
      <c r="B226" s="264" t="s">
        <v>2335</v>
      </c>
      <c r="C226" s="264" t="s">
        <v>275</v>
      </c>
      <c r="D226" s="264">
        <v>1</v>
      </c>
      <c r="E226" s="264" t="s">
        <v>767</v>
      </c>
      <c r="F226" s="264" t="s">
        <v>3134</v>
      </c>
      <c r="G226" s="264"/>
      <c r="H226" s="264"/>
      <c r="I226" s="264" t="s">
        <v>626</v>
      </c>
      <c r="J226" s="264"/>
      <c r="K226" s="264" t="s">
        <v>769</v>
      </c>
      <c r="L226" s="264" t="s">
        <v>768</v>
      </c>
      <c r="M226" s="264" t="s">
        <v>29</v>
      </c>
      <c r="N226" s="264" t="s">
        <v>760</v>
      </c>
      <c r="O226" s="264" t="s">
        <v>3216</v>
      </c>
      <c r="P226" s="264" t="s">
        <v>3217</v>
      </c>
      <c r="Q226" s="264"/>
    </row>
    <row r="227" spans="1:17" s="181" customFormat="1">
      <c r="A227" s="264">
        <f t="shared" si="5"/>
        <v>226</v>
      </c>
      <c r="B227" s="264" t="s">
        <v>2336</v>
      </c>
      <c r="C227" s="264" t="s">
        <v>275</v>
      </c>
      <c r="D227" s="264">
        <v>1</v>
      </c>
      <c r="E227" s="264" t="s">
        <v>770</v>
      </c>
      <c r="F227" s="264" t="s">
        <v>3134</v>
      </c>
      <c r="G227" s="264"/>
      <c r="H227" s="264"/>
      <c r="I227" s="264" t="s">
        <v>626</v>
      </c>
      <c r="J227" s="264"/>
      <c r="K227" s="264" t="s">
        <v>772</v>
      </c>
      <c r="L227" s="264" t="s">
        <v>771</v>
      </c>
      <c r="M227" s="264" t="s">
        <v>29</v>
      </c>
      <c r="N227" s="264" t="s">
        <v>760</v>
      </c>
      <c r="O227" s="264" t="s">
        <v>3216</v>
      </c>
      <c r="P227" s="264" t="s">
        <v>3217</v>
      </c>
      <c r="Q227" s="264"/>
    </row>
    <row r="228" spans="1:17" s="181" customFormat="1">
      <c r="A228" s="264">
        <f t="shared" si="5"/>
        <v>227</v>
      </c>
      <c r="B228" s="264" t="s">
        <v>2337</v>
      </c>
      <c r="C228" s="264" t="s">
        <v>279</v>
      </c>
      <c r="D228" s="264">
        <v>5</v>
      </c>
      <c r="E228" s="264" t="s">
        <v>1346</v>
      </c>
      <c r="F228" s="264" t="s">
        <v>3134</v>
      </c>
      <c r="G228" s="264"/>
      <c r="H228" s="264"/>
      <c r="I228" s="264" t="s">
        <v>626</v>
      </c>
      <c r="J228" s="264"/>
      <c r="K228" s="264" t="s">
        <v>774</v>
      </c>
      <c r="L228" s="264" t="s">
        <v>773</v>
      </c>
      <c r="M228" s="264" t="s">
        <v>29</v>
      </c>
      <c r="N228" s="264" t="s">
        <v>760</v>
      </c>
      <c r="O228" s="264" t="s">
        <v>3216</v>
      </c>
      <c r="P228" s="264" t="s">
        <v>3217</v>
      </c>
      <c r="Q228" s="264"/>
    </row>
    <row r="229" spans="1:17" s="181" customFormat="1">
      <c r="A229" s="264">
        <f t="shared" si="5"/>
        <v>228</v>
      </c>
      <c r="B229" s="264" t="s">
        <v>2338</v>
      </c>
      <c r="C229" s="264" t="s">
        <v>279</v>
      </c>
      <c r="D229" s="264">
        <v>5</v>
      </c>
      <c r="E229" s="264" t="s">
        <v>775</v>
      </c>
      <c r="F229" s="264" t="s">
        <v>3134</v>
      </c>
      <c r="G229" s="264"/>
      <c r="H229" s="264"/>
      <c r="I229" s="264" t="s">
        <v>626</v>
      </c>
      <c r="J229" s="264"/>
      <c r="K229" s="264" t="s">
        <v>777</v>
      </c>
      <c r="L229" s="264" t="s">
        <v>776</v>
      </c>
      <c r="M229" s="264" t="s">
        <v>29</v>
      </c>
      <c r="N229" s="264" t="s">
        <v>760</v>
      </c>
      <c r="O229" s="264" t="s">
        <v>3216</v>
      </c>
      <c r="P229" s="264" t="s">
        <v>3217</v>
      </c>
      <c r="Q229" s="264"/>
    </row>
    <row r="230" spans="1:17" s="181" customFormat="1">
      <c r="A230" s="264">
        <f t="shared" si="5"/>
        <v>229</v>
      </c>
      <c r="B230" s="264" t="s">
        <v>2339</v>
      </c>
      <c r="C230" s="264" t="s">
        <v>279</v>
      </c>
      <c r="D230" s="264">
        <v>15</v>
      </c>
      <c r="E230" s="264" t="s">
        <v>3111</v>
      </c>
      <c r="F230" s="264" t="s">
        <v>3134</v>
      </c>
      <c r="G230" s="264"/>
      <c r="H230" s="264"/>
      <c r="I230" s="264" t="s">
        <v>626</v>
      </c>
      <c r="J230" s="264"/>
      <c r="K230" s="264" t="s">
        <v>779</v>
      </c>
      <c r="L230" s="264" t="s">
        <v>778</v>
      </c>
      <c r="M230" s="264" t="s">
        <v>29</v>
      </c>
      <c r="N230" s="264" t="s">
        <v>760</v>
      </c>
      <c r="O230" s="264" t="s">
        <v>3216</v>
      </c>
      <c r="P230" s="264" t="s">
        <v>3217</v>
      </c>
      <c r="Q230" s="264"/>
    </row>
    <row r="231" spans="1:17" s="181" customFormat="1">
      <c r="A231" s="264">
        <f t="shared" si="5"/>
        <v>230</v>
      </c>
      <c r="B231" s="264" t="s">
        <v>2340</v>
      </c>
      <c r="C231" s="264" t="s">
        <v>279</v>
      </c>
      <c r="D231" s="264">
        <v>15</v>
      </c>
      <c r="E231" s="264" t="s">
        <v>780</v>
      </c>
      <c r="F231" s="264" t="s">
        <v>3134</v>
      </c>
      <c r="G231" s="264"/>
      <c r="H231" s="264"/>
      <c r="I231" s="264" t="s">
        <v>626</v>
      </c>
      <c r="J231" s="264"/>
      <c r="K231" s="264" t="s">
        <v>782</v>
      </c>
      <c r="L231" s="264" t="s">
        <v>781</v>
      </c>
      <c r="M231" s="264" t="s">
        <v>29</v>
      </c>
      <c r="N231" s="264" t="s">
        <v>760</v>
      </c>
      <c r="O231" s="264" t="s">
        <v>3216</v>
      </c>
      <c r="P231" s="264" t="s">
        <v>3217</v>
      </c>
      <c r="Q231" s="264"/>
    </row>
    <row r="232" spans="1:17">
      <c r="A232" s="263">
        <f t="shared" si="5"/>
        <v>231</v>
      </c>
      <c r="B232" s="263" t="s">
        <v>2341</v>
      </c>
      <c r="C232" s="263" t="s">
        <v>279</v>
      </c>
      <c r="D232" s="263">
        <v>5</v>
      </c>
      <c r="E232" s="263" t="s">
        <v>783</v>
      </c>
      <c r="F232" s="263" t="s">
        <v>3134</v>
      </c>
      <c r="G232" s="263"/>
      <c r="H232" s="263"/>
      <c r="I232" s="263" t="s">
        <v>626</v>
      </c>
      <c r="J232" s="263" t="s">
        <v>5613</v>
      </c>
      <c r="K232" s="263" t="s">
        <v>785</v>
      </c>
      <c r="L232" s="263" t="s">
        <v>784</v>
      </c>
      <c r="M232" s="263" t="s">
        <v>29</v>
      </c>
      <c r="N232" s="263" t="s">
        <v>760</v>
      </c>
      <c r="O232" s="263" t="s">
        <v>3216</v>
      </c>
      <c r="P232" s="263" t="s">
        <v>3217</v>
      </c>
      <c r="Q232" s="263"/>
    </row>
    <row r="233" spans="1:17" s="181" customFormat="1">
      <c r="A233" s="264">
        <f t="shared" si="5"/>
        <v>232</v>
      </c>
      <c r="B233" s="264" t="s">
        <v>2342</v>
      </c>
      <c r="C233" s="264" t="s">
        <v>275</v>
      </c>
      <c r="D233" s="264">
        <v>1</v>
      </c>
      <c r="E233" s="264" t="s">
        <v>786</v>
      </c>
      <c r="F233" s="264" t="s">
        <v>3134</v>
      </c>
      <c r="G233" s="264"/>
      <c r="H233" s="264"/>
      <c r="I233" s="264" t="s">
        <v>626</v>
      </c>
      <c r="J233" s="264"/>
      <c r="K233" s="264" t="s">
        <v>788</v>
      </c>
      <c r="L233" s="264" t="s">
        <v>787</v>
      </c>
      <c r="M233" s="264" t="s">
        <v>29</v>
      </c>
      <c r="N233" s="264" t="s">
        <v>760</v>
      </c>
      <c r="O233" s="264" t="s">
        <v>3216</v>
      </c>
      <c r="P233" s="264" t="s">
        <v>3217</v>
      </c>
      <c r="Q233" s="264"/>
    </row>
    <row r="234" spans="1:17" s="181" customFormat="1">
      <c r="A234" s="264">
        <f t="shared" si="5"/>
        <v>233</v>
      </c>
      <c r="B234" s="264" t="s">
        <v>2343</v>
      </c>
      <c r="C234" s="264" t="s">
        <v>275</v>
      </c>
      <c r="D234" s="264">
        <v>1</v>
      </c>
      <c r="E234" s="264" t="s">
        <v>789</v>
      </c>
      <c r="F234" s="264" t="s">
        <v>3134</v>
      </c>
      <c r="G234" s="264"/>
      <c r="H234" s="264"/>
      <c r="I234" s="264" t="s">
        <v>626</v>
      </c>
      <c r="J234" s="264"/>
      <c r="K234" s="264" t="s">
        <v>791</v>
      </c>
      <c r="L234" s="264" t="s">
        <v>790</v>
      </c>
      <c r="M234" s="264" t="s">
        <v>29</v>
      </c>
      <c r="N234" s="264" t="s">
        <v>760</v>
      </c>
      <c r="O234" s="264" t="s">
        <v>3216</v>
      </c>
      <c r="P234" s="264" t="s">
        <v>3217</v>
      </c>
      <c r="Q234" s="264"/>
    </row>
    <row r="235" spans="1:17" s="181" customFormat="1">
      <c r="A235" s="264">
        <f t="shared" si="5"/>
        <v>234</v>
      </c>
      <c r="B235" s="264"/>
      <c r="C235" s="264" t="s">
        <v>275</v>
      </c>
      <c r="D235" s="264">
        <v>1</v>
      </c>
      <c r="E235" s="264" t="s">
        <v>792</v>
      </c>
      <c r="F235" s="264" t="s">
        <v>3134</v>
      </c>
      <c r="G235" s="264"/>
      <c r="H235" s="264"/>
      <c r="I235" s="264" t="s">
        <v>626</v>
      </c>
      <c r="J235" s="264"/>
      <c r="K235" s="264" t="s">
        <v>794</v>
      </c>
      <c r="L235" s="264" t="s">
        <v>793</v>
      </c>
      <c r="M235" s="264" t="s">
        <v>29</v>
      </c>
      <c r="N235" s="264" t="s">
        <v>760</v>
      </c>
      <c r="O235" s="264" t="s">
        <v>2986</v>
      </c>
      <c r="P235" s="264" t="s">
        <v>3217</v>
      </c>
      <c r="Q235" s="264"/>
    </row>
    <row r="236" spans="1:17" s="181" customFormat="1">
      <c r="A236" s="264">
        <f t="shared" si="5"/>
        <v>235</v>
      </c>
      <c r="B236" s="264"/>
      <c r="C236" s="264" t="s">
        <v>275</v>
      </c>
      <c r="D236" s="264">
        <v>1</v>
      </c>
      <c r="E236" s="264" t="s">
        <v>795</v>
      </c>
      <c r="F236" s="264" t="s">
        <v>3134</v>
      </c>
      <c r="G236" s="264"/>
      <c r="H236" s="264"/>
      <c r="I236" s="264" t="s">
        <v>626</v>
      </c>
      <c r="J236" s="264"/>
      <c r="K236" s="264" t="s">
        <v>797</v>
      </c>
      <c r="L236" s="264" t="s">
        <v>796</v>
      </c>
      <c r="M236" s="264" t="s">
        <v>29</v>
      </c>
      <c r="N236" s="264" t="s">
        <v>760</v>
      </c>
      <c r="O236" s="264" t="s">
        <v>2986</v>
      </c>
      <c r="P236" s="264" t="s">
        <v>3217</v>
      </c>
      <c r="Q236" s="264"/>
    </row>
    <row r="237" spans="1:17" s="181" customFormat="1">
      <c r="A237" s="264">
        <f t="shared" si="5"/>
        <v>236</v>
      </c>
      <c r="B237" s="264" t="s">
        <v>2344</v>
      </c>
      <c r="C237" s="264" t="s">
        <v>279</v>
      </c>
      <c r="D237" s="264">
        <v>5</v>
      </c>
      <c r="E237" s="264" t="s">
        <v>798</v>
      </c>
      <c r="F237" s="264" t="s">
        <v>3134</v>
      </c>
      <c r="G237" s="264"/>
      <c r="H237" s="264"/>
      <c r="I237" s="264" t="s">
        <v>626</v>
      </c>
      <c r="J237" s="264"/>
      <c r="K237" s="264" t="s">
        <v>800</v>
      </c>
      <c r="L237" s="264" t="s">
        <v>799</v>
      </c>
      <c r="M237" s="264" t="s">
        <v>29</v>
      </c>
      <c r="N237" s="264" t="s">
        <v>760</v>
      </c>
      <c r="O237" s="264" t="s">
        <v>3216</v>
      </c>
      <c r="P237" s="264" t="s">
        <v>3217</v>
      </c>
      <c r="Q237" s="264"/>
    </row>
    <row r="238" spans="1:17" s="181" customFormat="1">
      <c r="A238" s="264">
        <f t="shared" si="5"/>
        <v>237</v>
      </c>
      <c r="B238" s="264" t="s">
        <v>2345</v>
      </c>
      <c r="C238" s="264" t="s">
        <v>279</v>
      </c>
      <c r="D238" s="264">
        <v>5</v>
      </c>
      <c r="E238" s="264" t="s">
        <v>801</v>
      </c>
      <c r="F238" s="264" t="s">
        <v>3134</v>
      </c>
      <c r="G238" s="264"/>
      <c r="H238" s="264"/>
      <c r="I238" s="264" t="s">
        <v>626</v>
      </c>
      <c r="J238" s="264"/>
      <c r="K238" s="264" t="s">
        <v>803</v>
      </c>
      <c r="L238" s="264" t="s">
        <v>802</v>
      </c>
      <c r="M238" s="264" t="s">
        <v>29</v>
      </c>
      <c r="N238" s="264" t="s">
        <v>760</v>
      </c>
      <c r="O238" s="264" t="s">
        <v>3216</v>
      </c>
      <c r="P238" s="264" t="s">
        <v>3217</v>
      </c>
      <c r="Q238" s="264"/>
    </row>
    <row r="239" spans="1:17">
      <c r="A239" s="263">
        <f t="shared" si="5"/>
        <v>238</v>
      </c>
      <c r="B239" s="263" t="s">
        <v>2346</v>
      </c>
      <c r="C239" s="263" t="s">
        <v>279</v>
      </c>
      <c r="D239" s="263">
        <v>5</v>
      </c>
      <c r="E239" s="263" t="s">
        <v>804</v>
      </c>
      <c r="F239" s="263" t="s">
        <v>3134</v>
      </c>
      <c r="G239" s="263"/>
      <c r="H239" s="263"/>
      <c r="I239" s="263" t="s">
        <v>626</v>
      </c>
      <c r="J239" s="263" t="s">
        <v>5613</v>
      </c>
      <c r="K239" s="263" t="s">
        <v>806</v>
      </c>
      <c r="L239" s="263" t="s">
        <v>805</v>
      </c>
      <c r="M239" s="263" t="s">
        <v>29</v>
      </c>
      <c r="N239" s="263" t="s">
        <v>760</v>
      </c>
      <c r="O239" s="263" t="s">
        <v>3216</v>
      </c>
      <c r="P239" s="263" t="s">
        <v>3217</v>
      </c>
      <c r="Q239" s="263"/>
    </row>
    <row r="240" spans="1:17">
      <c r="A240" s="263">
        <f t="shared" si="5"/>
        <v>239</v>
      </c>
      <c r="B240" s="263" t="s">
        <v>2347</v>
      </c>
      <c r="C240" s="263" t="s">
        <v>275</v>
      </c>
      <c r="D240" s="263">
        <v>1</v>
      </c>
      <c r="E240" s="263" t="s">
        <v>807</v>
      </c>
      <c r="F240" s="263" t="s">
        <v>3134</v>
      </c>
      <c r="G240" s="263"/>
      <c r="H240" s="263"/>
      <c r="I240" s="263" t="s">
        <v>626</v>
      </c>
      <c r="J240" s="263" t="s">
        <v>5613</v>
      </c>
      <c r="K240" s="263" t="s">
        <v>809</v>
      </c>
      <c r="L240" s="263" t="s">
        <v>808</v>
      </c>
      <c r="M240" s="263" t="s">
        <v>29</v>
      </c>
      <c r="N240" s="263" t="s">
        <v>760</v>
      </c>
      <c r="O240" s="263" t="s">
        <v>3216</v>
      </c>
      <c r="P240" s="263" t="s">
        <v>3217</v>
      </c>
      <c r="Q240" s="263"/>
    </row>
    <row r="241" spans="1:17">
      <c r="A241" s="263">
        <f t="shared" si="5"/>
        <v>240</v>
      </c>
      <c r="B241" s="263" t="s">
        <v>2348</v>
      </c>
      <c r="C241" s="263" t="s">
        <v>279</v>
      </c>
      <c r="D241" s="263">
        <v>15</v>
      </c>
      <c r="E241" s="263" t="s">
        <v>810</v>
      </c>
      <c r="F241" s="263" t="s">
        <v>3134</v>
      </c>
      <c r="G241" s="263"/>
      <c r="H241" s="263"/>
      <c r="I241" s="263" t="s">
        <v>626</v>
      </c>
      <c r="J241" s="263" t="s">
        <v>5613</v>
      </c>
      <c r="K241" s="263" t="s">
        <v>812</v>
      </c>
      <c r="L241" s="263" t="s">
        <v>811</v>
      </c>
      <c r="M241" s="263" t="s">
        <v>29</v>
      </c>
      <c r="N241" s="263" t="s">
        <v>760</v>
      </c>
      <c r="O241" s="263" t="s">
        <v>3216</v>
      </c>
      <c r="P241" s="263" t="s">
        <v>3217</v>
      </c>
      <c r="Q241" s="263"/>
    </row>
    <row r="242" spans="1:17">
      <c r="A242" s="263">
        <f t="shared" si="5"/>
        <v>241</v>
      </c>
      <c r="B242" s="263" t="s">
        <v>2349</v>
      </c>
      <c r="C242" s="263" t="s">
        <v>279</v>
      </c>
      <c r="D242" s="263">
        <v>5</v>
      </c>
      <c r="E242" s="263" t="s">
        <v>813</v>
      </c>
      <c r="F242" s="263" t="s">
        <v>3134</v>
      </c>
      <c r="G242" s="263"/>
      <c r="H242" s="263"/>
      <c r="I242" s="263" t="s">
        <v>626</v>
      </c>
      <c r="J242" s="263" t="s">
        <v>5613</v>
      </c>
      <c r="K242" s="263" t="s">
        <v>815</v>
      </c>
      <c r="L242" s="263" t="s">
        <v>814</v>
      </c>
      <c r="M242" s="263" t="s">
        <v>29</v>
      </c>
      <c r="N242" s="263" t="s">
        <v>760</v>
      </c>
      <c r="O242" s="263" t="s">
        <v>3216</v>
      </c>
      <c r="P242" s="263" t="s">
        <v>3217</v>
      </c>
      <c r="Q242" s="263"/>
    </row>
    <row r="243" spans="1:17">
      <c r="A243" s="263">
        <f t="shared" si="5"/>
        <v>242</v>
      </c>
      <c r="B243" s="263" t="s">
        <v>2350</v>
      </c>
      <c r="C243" s="263" t="s">
        <v>275</v>
      </c>
      <c r="D243" s="263">
        <v>1</v>
      </c>
      <c r="E243" s="263" t="s">
        <v>816</v>
      </c>
      <c r="F243" s="263" t="s">
        <v>3134</v>
      </c>
      <c r="G243" s="263"/>
      <c r="H243" s="263"/>
      <c r="I243" s="263" t="s">
        <v>626</v>
      </c>
      <c r="J243" s="263" t="s">
        <v>5613</v>
      </c>
      <c r="K243" s="263" t="s">
        <v>818</v>
      </c>
      <c r="L243" s="263" t="s">
        <v>817</v>
      </c>
      <c r="M243" s="263" t="s">
        <v>29</v>
      </c>
      <c r="N243" s="263" t="s">
        <v>760</v>
      </c>
      <c r="O243" s="263" t="s">
        <v>3216</v>
      </c>
      <c r="P243" s="263" t="s">
        <v>3217</v>
      </c>
      <c r="Q243" s="263"/>
    </row>
    <row r="244" spans="1:17">
      <c r="A244" s="263">
        <f t="shared" si="5"/>
        <v>243</v>
      </c>
      <c r="B244" s="263" t="s">
        <v>2351</v>
      </c>
      <c r="C244" s="263" t="s">
        <v>275</v>
      </c>
      <c r="D244" s="263">
        <v>2</v>
      </c>
      <c r="E244" s="263" t="s">
        <v>819</v>
      </c>
      <c r="F244" s="263" t="s">
        <v>3134</v>
      </c>
      <c r="G244" s="263"/>
      <c r="H244" s="263"/>
      <c r="I244" s="263" t="s">
        <v>626</v>
      </c>
      <c r="J244" s="263" t="s">
        <v>5613</v>
      </c>
      <c r="K244" s="263" t="s">
        <v>821</v>
      </c>
      <c r="L244" s="263" t="s">
        <v>820</v>
      </c>
      <c r="M244" s="263" t="s">
        <v>29</v>
      </c>
      <c r="N244" s="263" t="s">
        <v>760</v>
      </c>
      <c r="O244" s="263" t="s">
        <v>3216</v>
      </c>
      <c r="P244" s="263" t="s">
        <v>3217</v>
      </c>
      <c r="Q244" s="263"/>
    </row>
    <row r="245" spans="1:17">
      <c r="A245" s="263">
        <f t="shared" si="5"/>
        <v>244</v>
      </c>
      <c r="B245" s="263" t="s">
        <v>2352</v>
      </c>
      <c r="C245" s="263" t="s">
        <v>275</v>
      </c>
      <c r="D245" s="263">
        <v>1</v>
      </c>
      <c r="E245" s="263" t="s">
        <v>822</v>
      </c>
      <c r="F245" s="263" t="s">
        <v>3134</v>
      </c>
      <c r="G245" s="263"/>
      <c r="H245" s="263"/>
      <c r="I245" s="263" t="s">
        <v>626</v>
      </c>
      <c r="J245" s="263" t="s">
        <v>5613</v>
      </c>
      <c r="K245" s="263" t="s">
        <v>824</v>
      </c>
      <c r="L245" s="263" t="s">
        <v>823</v>
      </c>
      <c r="M245" s="263" t="s">
        <v>29</v>
      </c>
      <c r="N245" s="263" t="s">
        <v>760</v>
      </c>
      <c r="O245" s="263" t="s">
        <v>3216</v>
      </c>
      <c r="P245" s="263" t="s">
        <v>3217</v>
      </c>
      <c r="Q245" s="263"/>
    </row>
    <row r="246" spans="1:17">
      <c r="A246" s="263">
        <f t="shared" si="5"/>
        <v>245</v>
      </c>
      <c r="B246" s="263" t="s">
        <v>2353</v>
      </c>
      <c r="C246" s="263" t="s">
        <v>275</v>
      </c>
      <c r="D246" s="263">
        <v>2</v>
      </c>
      <c r="E246" s="263" t="s">
        <v>825</v>
      </c>
      <c r="F246" s="263" t="s">
        <v>3134</v>
      </c>
      <c r="G246" s="263"/>
      <c r="H246" s="263"/>
      <c r="I246" s="263" t="s">
        <v>626</v>
      </c>
      <c r="J246" s="263" t="s">
        <v>5613</v>
      </c>
      <c r="K246" s="263" t="s">
        <v>827</v>
      </c>
      <c r="L246" s="263" t="s">
        <v>826</v>
      </c>
      <c r="M246" s="263" t="s">
        <v>29</v>
      </c>
      <c r="N246" s="263" t="s">
        <v>760</v>
      </c>
      <c r="O246" s="263" t="s">
        <v>3216</v>
      </c>
      <c r="P246" s="263" t="s">
        <v>3217</v>
      </c>
      <c r="Q246" s="263"/>
    </row>
    <row r="247" spans="1:17">
      <c r="A247" s="263">
        <f t="shared" si="5"/>
        <v>246</v>
      </c>
      <c r="B247" s="263" t="s">
        <v>2354</v>
      </c>
      <c r="C247" s="263" t="s">
        <v>275</v>
      </c>
      <c r="D247" s="263">
        <v>2</v>
      </c>
      <c r="E247" s="263" t="s">
        <v>828</v>
      </c>
      <c r="F247" s="263" t="s">
        <v>3134</v>
      </c>
      <c r="G247" s="263"/>
      <c r="H247" s="263"/>
      <c r="I247" s="263" t="s">
        <v>626</v>
      </c>
      <c r="J247" s="263" t="s">
        <v>5613</v>
      </c>
      <c r="K247" s="263" t="s">
        <v>830</v>
      </c>
      <c r="L247" s="263" t="s">
        <v>829</v>
      </c>
      <c r="M247" s="263" t="s">
        <v>29</v>
      </c>
      <c r="N247" s="263" t="s">
        <v>760</v>
      </c>
      <c r="O247" s="263" t="s">
        <v>3216</v>
      </c>
      <c r="P247" s="263" t="s">
        <v>3217</v>
      </c>
      <c r="Q247" s="263"/>
    </row>
    <row r="248" spans="1:17">
      <c r="A248" s="263">
        <f t="shared" si="5"/>
        <v>247</v>
      </c>
      <c r="B248" s="263" t="s">
        <v>2355</v>
      </c>
      <c r="C248" s="263" t="s">
        <v>279</v>
      </c>
      <c r="D248" s="263">
        <v>5</v>
      </c>
      <c r="E248" s="263" t="s">
        <v>831</v>
      </c>
      <c r="F248" s="263" t="s">
        <v>3134</v>
      </c>
      <c r="G248" s="263"/>
      <c r="H248" s="263"/>
      <c r="I248" s="263" t="s">
        <v>626</v>
      </c>
      <c r="J248" s="263" t="s">
        <v>5613</v>
      </c>
      <c r="K248" s="263" t="s">
        <v>833</v>
      </c>
      <c r="L248" s="263" t="s">
        <v>832</v>
      </c>
      <c r="M248" s="263" t="s">
        <v>29</v>
      </c>
      <c r="N248" s="263" t="s">
        <v>760</v>
      </c>
      <c r="O248" s="263" t="s">
        <v>3216</v>
      </c>
      <c r="P248" s="263" t="s">
        <v>3217</v>
      </c>
      <c r="Q248" s="263"/>
    </row>
    <row r="249" spans="1:17">
      <c r="A249" s="263">
        <f t="shared" si="5"/>
        <v>248</v>
      </c>
      <c r="B249" s="263" t="s">
        <v>2356</v>
      </c>
      <c r="C249" s="263" t="s">
        <v>279</v>
      </c>
      <c r="D249" s="263">
        <v>15</v>
      </c>
      <c r="E249" s="263" t="s">
        <v>834</v>
      </c>
      <c r="F249" s="263" t="s">
        <v>3134</v>
      </c>
      <c r="G249" s="263"/>
      <c r="H249" s="263"/>
      <c r="I249" s="263" t="s">
        <v>626</v>
      </c>
      <c r="J249" s="263" t="s">
        <v>5613</v>
      </c>
      <c r="K249" s="263" t="s">
        <v>836</v>
      </c>
      <c r="L249" s="263" t="s">
        <v>835</v>
      </c>
      <c r="M249" s="263" t="s">
        <v>29</v>
      </c>
      <c r="N249" s="263" t="s">
        <v>760</v>
      </c>
      <c r="O249" s="263" t="s">
        <v>3216</v>
      </c>
      <c r="P249" s="263" t="s">
        <v>3217</v>
      </c>
      <c r="Q249" s="263"/>
    </row>
    <row r="250" spans="1:17">
      <c r="A250" s="263">
        <f t="shared" si="5"/>
        <v>249</v>
      </c>
      <c r="B250" s="263" t="s">
        <v>2357</v>
      </c>
      <c r="C250" s="263" t="s">
        <v>279</v>
      </c>
      <c r="D250" s="263">
        <v>15</v>
      </c>
      <c r="E250" s="263" t="s">
        <v>837</v>
      </c>
      <c r="F250" s="263" t="s">
        <v>3134</v>
      </c>
      <c r="G250" s="263"/>
      <c r="H250" s="263"/>
      <c r="I250" s="263" t="s">
        <v>626</v>
      </c>
      <c r="J250" s="263" t="s">
        <v>5613</v>
      </c>
      <c r="K250" s="263" t="s">
        <v>839</v>
      </c>
      <c r="L250" s="263" t="s">
        <v>838</v>
      </c>
      <c r="M250" s="263" t="s">
        <v>29</v>
      </c>
      <c r="N250" s="263" t="s">
        <v>760</v>
      </c>
      <c r="O250" s="263" t="s">
        <v>3216</v>
      </c>
      <c r="P250" s="263" t="s">
        <v>3217</v>
      </c>
      <c r="Q250" s="263"/>
    </row>
    <row r="251" spans="1:17">
      <c r="A251" s="263">
        <f t="shared" si="5"/>
        <v>250</v>
      </c>
      <c r="B251" s="263" t="s">
        <v>2358</v>
      </c>
      <c r="C251" s="263" t="s">
        <v>279</v>
      </c>
      <c r="D251" s="263">
        <v>15</v>
      </c>
      <c r="E251" s="263" t="s">
        <v>840</v>
      </c>
      <c r="F251" s="263" t="s">
        <v>3134</v>
      </c>
      <c r="G251" s="263"/>
      <c r="H251" s="263"/>
      <c r="I251" s="263" t="s">
        <v>626</v>
      </c>
      <c r="J251" s="263" t="s">
        <v>5613</v>
      </c>
      <c r="K251" s="263" t="s">
        <v>3637</v>
      </c>
      <c r="L251" s="263" t="s">
        <v>841</v>
      </c>
      <c r="M251" s="263" t="s">
        <v>29</v>
      </c>
      <c r="N251" s="263" t="s">
        <v>760</v>
      </c>
      <c r="O251" s="263" t="s">
        <v>3216</v>
      </c>
      <c r="P251" s="263" t="s">
        <v>3217</v>
      </c>
      <c r="Q251" s="320" t="s">
        <v>3500</v>
      </c>
    </row>
    <row r="252" spans="1:17">
      <c r="A252" s="263">
        <f t="shared" si="5"/>
        <v>251</v>
      </c>
      <c r="B252" s="263" t="s">
        <v>2359</v>
      </c>
      <c r="C252" s="263" t="s">
        <v>279</v>
      </c>
      <c r="D252" s="263">
        <v>15</v>
      </c>
      <c r="E252" s="263" t="s">
        <v>843</v>
      </c>
      <c r="F252" s="263" t="s">
        <v>3134</v>
      </c>
      <c r="G252" s="263"/>
      <c r="H252" s="263"/>
      <c r="I252" s="263" t="s">
        <v>626</v>
      </c>
      <c r="J252" s="263" t="s">
        <v>5613</v>
      </c>
      <c r="K252" s="263" t="s">
        <v>845</v>
      </c>
      <c r="L252" s="263" t="s">
        <v>844</v>
      </c>
      <c r="M252" s="263" t="s">
        <v>29</v>
      </c>
      <c r="N252" s="263" t="s">
        <v>760</v>
      </c>
      <c r="O252" s="263" t="s">
        <v>3216</v>
      </c>
      <c r="P252" s="263" t="s">
        <v>3217</v>
      </c>
      <c r="Q252" s="263"/>
    </row>
    <row r="253" spans="1:17">
      <c r="A253" s="263">
        <f t="shared" si="5"/>
        <v>252</v>
      </c>
      <c r="B253" s="263" t="s">
        <v>2360</v>
      </c>
      <c r="C253" s="263" t="s">
        <v>279</v>
      </c>
      <c r="D253" s="263">
        <v>15</v>
      </c>
      <c r="E253" s="263" t="s">
        <v>846</v>
      </c>
      <c r="F253" s="263" t="s">
        <v>3134</v>
      </c>
      <c r="G253" s="263"/>
      <c r="H253" s="263"/>
      <c r="I253" s="263" t="s">
        <v>626</v>
      </c>
      <c r="J253" s="263" t="s">
        <v>5613</v>
      </c>
      <c r="K253" s="263" t="s">
        <v>848</v>
      </c>
      <c r="L253" s="263" t="s">
        <v>847</v>
      </c>
      <c r="M253" s="263" t="s">
        <v>29</v>
      </c>
      <c r="N253" s="263" t="s">
        <v>760</v>
      </c>
      <c r="O253" s="263" t="s">
        <v>3216</v>
      </c>
      <c r="P253" s="263" t="s">
        <v>3217</v>
      </c>
      <c r="Q253" s="263"/>
    </row>
    <row r="254" spans="1:17">
      <c r="A254" s="263">
        <f t="shared" si="5"/>
        <v>253</v>
      </c>
      <c r="B254" s="263" t="s">
        <v>2361</v>
      </c>
      <c r="C254" s="263" t="s">
        <v>279</v>
      </c>
      <c r="D254" s="263">
        <v>15</v>
      </c>
      <c r="E254" s="263" t="s">
        <v>849</v>
      </c>
      <c r="F254" s="263" t="s">
        <v>3134</v>
      </c>
      <c r="G254" s="263"/>
      <c r="H254" s="263"/>
      <c r="I254" s="263" t="s">
        <v>626</v>
      </c>
      <c r="J254" s="263" t="s">
        <v>5613</v>
      </c>
      <c r="K254" s="263" t="s">
        <v>851</v>
      </c>
      <c r="L254" s="263" t="s">
        <v>850</v>
      </c>
      <c r="M254" s="263" t="s">
        <v>29</v>
      </c>
      <c r="N254" s="263" t="s">
        <v>760</v>
      </c>
      <c r="O254" s="263" t="s">
        <v>3216</v>
      </c>
      <c r="P254" s="263" t="s">
        <v>3217</v>
      </c>
      <c r="Q254" s="263"/>
    </row>
    <row r="255" spans="1:17">
      <c r="A255" s="263">
        <f t="shared" si="5"/>
        <v>254</v>
      </c>
      <c r="B255" s="263" t="s">
        <v>2362</v>
      </c>
      <c r="C255" s="263" t="s">
        <v>279</v>
      </c>
      <c r="D255" s="263">
        <v>5</v>
      </c>
      <c r="E255" s="263" t="s">
        <v>852</v>
      </c>
      <c r="F255" s="263" t="s">
        <v>3134</v>
      </c>
      <c r="G255" s="263"/>
      <c r="H255" s="263"/>
      <c r="I255" s="263" t="s">
        <v>626</v>
      </c>
      <c r="J255" s="263" t="s">
        <v>5613</v>
      </c>
      <c r="K255" s="263" t="s">
        <v>854</v>
      </c>
      <c r="L255" s="263" t="s">
        <v>853</v>
      </c>
      <c r="M255" s="263" t="s">
        <v>29</v>
      </c>
      <c r="N255" s="263" t="s">
        <v>760</v>
      </c>
      <c r="O255" s="263" t="s">
        <v>3216</v>
      </c>
      <c r="P255" s="263" t="s">
        <v>3217</v>
      </c>
      <c r="Q255" s="263"/>
    </row>
    <row r="256" spans="1:17">
      <c r="A256" s="263">
        <f t="shared" si="5"/>
        <v>255</v>
      </c>
      <c r="B256" s="263" t="s">
        <v>2363</v>
      </c>
      <c r="C256" s="263" t="s">
        <v>275</v>
      </c>
      <c r="D256" s="263">
        <v>1</v>
      </c>
      <c r="E256" s="263" t="s">
        <v>855</v>
      </c>
      <c r="F256" s="263" t="s">
        <v>3134</v>
      </c>
      <c r="G256" s="263"/>
      <c r="H256" s="263"/>
      <c r="I256" s="263" t="s">
        <v>626</v>
      </c>
      <c r="J256" s="263" t="s">
        <v>5613</v>
      </c>
      <c r="K256" s="263" t="s">
        <v>857</v>
      </c>
      <c r="L256" s="263" t="s">
        <v>856</v>
      </c>
      <c r="M256" s="263" t="s">
        <v>29</v>
      </c>
      <c r="N256" s="263" t="s">
        <v>760</v>
      </c>
      <c r="O256" s="263" t="s">
        <v>3216</v>
      </c>
      <c r="P256" s="263" t="s">
        <v>3217</v>
      </c>
      <c r="Q256" s="263"/>
    </row>
    <row r="257" spans="1:17">
      <c r="A257" s="263">
        <f t="shared" si="5"/>
        <v>256</v>
      </c>
      <c r="B257" s="263" t="s">
        <v>2364</v>
      </c>
      <c r="C257" s="263" t="s">
        <v>279</v>
      </c>
      <c r="D257" s="263">
        <v>15</v>
      </c>
      <c r="E257" s="263" t="s">
        <v>858</v>
      </c>
      <c r="F257" s="263" t="s">
        <v>3134</v>
      </c>
      <c r="G257" s="263"/>
      <c r="H257" s="263"/>
      <c r="I257" s="263" t="s">
        <v>626</v>
      </c>
      <c r="J257" s="263" t="s">
        <v>5613</v>
      </c>
      <c r="K257" s="263" t="s">
        <v>191</v>
      </c>
      <c r="L257" s="263" t="s">
        <v>859</v>
      </c>
      <c r="M257" s="263" t="s">
        <v>29</v>
      </c>
      <c r="N257" s="263" t="s">
        <v>760</v>
      </c>
      <c r="O257" s="263" t="s">
        <v>3216</v>
      </c>
      <c r="P257" s="263" t="s">
        <v>3217</v>
      </c>
      <c r="Q257" s="263"/>
    </row>
    <row r="258" spans="1:17">
      <c r="A258" s="263">
        <f t="shared" si="5"/>
        <v>257</v>
      </c>
      <c r="B258" s="263" t="s">
        <v>2365</v>
      </c>
      <c r="C258" s="263" t="s">
        <v>279</v>
      </c>
      <c r="D258" s="263">
        <v>15</v>
      </c>
      <c r="E258" s="263" t="s">
        <v>860</v>
      </c>
      <c r="F258" s="263" t="s">
        <v>3134</v>
      </c>
      <c r="G258" s="263"/>
      <c r="H258" s="263"/>
      <c r="I258" s="263" t="s">
        <v>626</v>
      </c>
      <c r="J258" s="263" t="s">
        <v>5613</v>
      </c>
      <c r="K258" s="263" t="s">
        <v>862</v>
      </c>
      <c r="L258" s="263" t="s">
        <v>861</v>
      </c>
      <c r="M258" s="263" t="s">
        <v>29</v>
      </c>
      <c r="N258" s="263" t="s">
        <v>760</v>
      </c>
      <c r="O258" s="263" t="s">
        <v>3216</v>
      </c>
      <c r="P258" s="263" t="s">
        <v>3217</v>
      </c>
      <c r="Q258" s="263"/>
    </row>
    <row r="259" spans="1:17" s="181" customFormat="1">
      <c r="A259" s="264">
        <f t="shared" si="5"/>
        <v>258</v>
      </c>
      <c r="B259" s="264" t="s">
        <v>2366</v>
      </c>
      <c r="C259" s="264" t="s">
        <v>279</v>
      </c>
      <c r="D259" s="264">
        <v>15</v>
      </c>
      <c r="E259" s="264" t="s">
        <v>863</v>
      </c>
      <c r="F259" s="264" t="s">
        <v>3134</v>
      </c>
      <c r="G259" s="264"/>
      <c r="H259" s="264"/>
      <c r="I259" s="264" t="s">
        <v>626</v>
      </c>
      <c r="J259" s="264"/>
      <c r="K259" s="264" t="s">
        <v>865</v>
      </c>
      <c r="L259" s="264" t="s">
        <v>864</v>
      </c>
      <c r="M259" s="264" t="s">
        <v>29</v>
      </c>
      <c r="N259" s="264" t="s">
        <v>760</v>
      </c>
      <c r="O259" s="264" t="s">
        <v>3216</v>
      </c>
      <c r="P259" s="264" t="s">
        <v>3217</v>
      </c>
      <c r="Q259" s="264"/>
    </row>
    <row r="260" spans="1:17" s="181" customFormat="1">
      <c r="A260" s="264">
        <f t="shared" si="5"/>
        <v>259</v>
      </c>
      <c r="B260" s="264" t="s">
        <v>2367</v>
      </c>
      <c r="C260" s="264" t="s">
        <v>279</v>
      </c>
      <c r="D260" s="264">
        <v>5</v>
      </c>
      <c r="E260" s="264" t="s">
        <v>866</v>
      </c>
      <c r="F260" s="264" t="s">
        <v>3134</v>
      </c>
      <c r="G260" s="264"/>
      <c r="H260" s="264"/>
      <c r="I260" s="264" t="s">
        <v>626</v>
      </c>
      <c r="J260" s="264"/>
      <c r="K260" s="264" t="s">
        <v>761</v>
      </c>
      <c r="L260" s="264" t="s">
        <v>867</v>
      </c>
      <c r="M260" s="264" t="s">
        <v>29</v>
      </c>
      <c r="N260" s="264" t="s">
        <v>760</v>
      </c>
      <c r="O260" s="264" t="s">
        <v>3216</v>
      </c>
      <c r="P260" s="264" t="s">
        <v>3217</v>
      </c>
      <c r="Q260" s="264"/>
    </row>
    <row r="261" spans="1:17" s="181" customFormat="1">
      <c r="A261" s="264">
        <f t="shared" si="5"/>
        <v>260</v>
      </c>
      <c r="B261" s="264" t="s">
        <v>2368</v>
      </c>
      <c r="C261" s="264" t="s">
        <v>279</v>
      </c>
      <c r="D261" s="264">
        <v>15</v>
      </c>
      <c r="E261" s="264" t="s">
        <v>868</v>
      </c>
      <c r="F261" s="264" t="s">
        <v>3134</v>
      </c>
      <c r="G261" s="264"/>
      <c r="H261" s="264"/>
      <c r="I261" s="264" t="s">
        <v>626</v>
      </c>
      <c r="J261" s="264"/>
      <c r="K261" s="264" t="s">
        <v>870</v>
      </c>
      <c r="L261" s="264" t="s">
        <v>869</v>
      </c>
      <c r="M261" s="264" t="s">
        <v>29</v>
      </c>
      <c r="N261" s="264" t="s">
        <v>760</v>
      </c>
      <c r="O261" s="264" t="s">
        <v>3216</v>
      </c>
      <c r="P261" s="264" t="s">
        <v>3217</v>
      </c>
      <c r="Q261" s="264"/>
    </row>
    <row r="262" spans="1:17">
      <c r="A262" s="263">
        <f t="shared" si="5"/>
        <v>261</v>
      </c>
      <c r="B262" s="263" t="s">
        <v>2369</v>
      </c>
      <c r="C262" s="263" t="s">
        <v>279</v>
      </c>
      <c r="D262" s="263">
        <v>15</v>
      </c>
      <c r="E262" s="263" t="s">
        <v>871</v>
      </c>
      <c r="F262" s="263" t="s">
        <v>3134</v>
      </c>
      <c r="G262" s="263"/>
      <c r="H262" s="263"/>
      <c r="I262" s="263" t="s">
        <v>626</v>
      </c>
      <c r="J262" s="263" t="s">
        <v>5613</v>
      </c>
      <c r="K262" s="263" t="s">
        <v>873</v>
      </c>
      <c r="L262" s="263" t="s">
        <v>872</v>
      </c>
      <c r="M262" s="263" t="s">
        <v>29</v>
      </c>
      <c r="N262" s="263" t="s">
        <v>760</v>
      </c>
      <c r="O262" s="263" t="s">
        <v>3216</v>
      </c>
      <c r="P262" s="263" t="s">
        <v>3217</v>
      </c>
      <c r="Q262" s="263"/>
    </row>
    <row r="263" spans="1:17" s="181" customFormat="1">
      <c r="A263" s="264">
        <f t="shared" si="5"/>
        <v>262</v>
      </c>
      <c r="B263" s="264" t="s">
        <v>2370</v>
      </c>
      <c r="C263" s="264" t="s">
        <v>279</v>
      </c>
      <c r="D263" s="264">
        <v>5</v>
      </c>
      <c r="E263" s="264" t="s">
        <v>874</v>
      </c>
      <c r="F263" s="264" t="s">
        <v>3134</v>
      </c>
      <c r="G263" s="264"/>
      <c r="H263" s="264"/>
      <c r="I263" s="264" t="s">
        <v>626</v>
      </c>
      <c r="J263" s="264"/>
      <c r="K263" s="264" t="s">
        <v>876</v>
      </c>
      <c r="L263" s="264" t="s">
        <v>875</v>
      </c>
      <c r="M263" s="264" t="s">
        <v>29</v>
      </c>
      <c r="N263" s="264" t="s">
        <v>760</v>
      </c>
      <c r="O263" s="264" t="s">
        <v>3216</v>
      </c>
      <c r="P263" s="264" t="s">
        <v>3217</v>
      </c>
      <c r="Q263" s="264"/>
    </row>
    <row r="264" spans="1:17" s="181" customFormat="1">
      <c r="A264" s="264">
        <f t="shared" si="5"/>
        <v>263</v>
      </c>
      <c r="B264" s="264" t="s">
        <v>2371</v>
      </c>
      <c r="C264" s="264" t="s">
        <v>279</v>
      </c>
      <c r="D264" s="264">
        <v>5</v>
      </c>
      <c r="E264" s="264" t="s">
        <v>877</v>
      </c>
      <c r="F264" s="264" t="s">
        <v>3134</v>
      </c>
      <c r="G264" s="264"/>
      <c r="H264" s="264"/>
      <c r="I264" s="264" t="s">
        <v>626</v>
      </c>
      <c r="J264" s="264"/>
      <c r="K264" s="264" t="s">
        <v>877</v>
      </c>
      <c r="L264" s="264" t="s">
        <v>878</v>
      </c>
      <c r="M264" s="264" t="s">
        <v>29</v>
      </c>
      <c r="N264" s="264" t="s">
        <v>760</v>
      </c>
      <c r="O264" s="264" t="s">
        <v>3216</v>
      </c>
      <c r="P264" s="264" t="s">
        <v>3217</v>
      </c>
      <c r="Q264" s="264"/>
    </row>
    <row r="265" spans="1:17" s="181" customFormat="1">
      <c r="A265" s="264">
        <f t="shared" si="5"/>
        <v>264</v>
      </c>
      <c r="B265" s="264" t="s">
        <v>2372</v>
      </c>
      <c r="C265" s="264" t="s">
        <v>279</v>
      </c>
      <c r="D265" s="264">
        <v>15</v>
      </c>
      <c r="E265" s="264" t="s">
        <v>879</v>
      </c>
      <c r="F265" s="264" t="s">
        <v>3134</v>
      </c>
      <c r="G265" s="264"/>
      <c r="H265" s="264"/>
      <c r="I265" s="264" t="s">
        <v>626</v>
      </c>
      <c r="J265" s="264"/>
      <c r="K265" s="264" t="s">
        <v>881</v>
      </c>
      <c r="L265" s="264" t="s">
        <v>880</v>
      </c>
      <c r="M265" s="264" t="s">
        <v>29</v>
      </c>
      <c r="N265" s="264" t="s">
        <v>760</v>
      </c>
      <c r="O265" s="264" t="s">
        <v>3216</v>
      </c>
      <c r="P265" s="264" t="s">
        <v>3217</v>
      </c>
      <c r="Q265" s="264"/>
    </row>
    <row r="266" spans="1:17" s="181" customFormat="1">
      <c r="A266" s="264">
        <f t="shared" si="5"/>
        <v>265</v>
      </c>
      <c r="B266" s="264" t="s">
        <v>2373</v>
      </c>
      <c r="C266" s="264" t="s">
        <v>279</v>
      </c>
      <c r="D266" s="264">
        <v>5</v>
      </c>
      <c r="E266" s="264" t="s">
        <v>882</v>
      </c>
      <c r="F266" s="264" t="s">
        <v>3134</v>
      </c>
      <c r="G266" s="264"/>
      <c r="H266" s="264"/>
      <c r="I266" s="264" t="s">
        <v>626</v>
      </c>
      <c r="J266" s="264"/>
      <c r="K266" s="264" t="s">
        <v>882</v>
      </c>
      <c r="L266" s="264" t="s">
        <v>883</v>
      </c>
      <c r="M266" s="264" t="s">
        <v>29</v>
      </c>
      <c r="N266" s="264" t="s">
        <v>760</v>
      </c>
      <c r="O266" s="264" t="s">
        <v>3216</v>
      </c>
      <c r="P266" s="264" t="s">
        <v>3217</v>
      </c>
      <c r="Q266" s="264"/>
    </row>
    <row r="267" spans="1:17" s="181" customFormat="1">
      <c r="A267" s="264">
        <f t="shared" si="5"/>
        <v>266</v>
      </c>
      <c r="B267" s="264" t="s">
        <v>2374</v>
      </c>
      <c r="C267" s="264" t="s">
        <v>279</v>
      </c>
      <c r="D267" s="264">
        <v>5</v>
      </c>
      <c r="E267" s="264" t="s">
        <v>884</v>
      </c>
      <c r="F267" s="264" t="s">
        <v>3134</v>
      </c>
      <c r="G267" s="264"/>
      <c r="H267" s="264"/>
      <c r="I267" s="264" t="s">
        <v>626</v>
      </c>
      <c r="J267" s="264"/>
      <c r="K267" s="264" t="s">
        <v>884</v>
      </c>
      <c r="L267" s="264" t="s">
        <v>885</v>
      </c>
      <c r="M267" s="264" t="s">
        <v>29</v>
      </c>
      <c r="N267" s="264" t="s">
        <v>760</v>
      </c>
      <c r="O267" s="264" t="s">
        <v>3216</v>
      </c>
      <c r="P267" s="264" t="s">
        <v>3217</v>
      </c>
      <c r="Q267" s="264"/>
    </row>
    <row r="268" spans="1:17" s="181" customFormat="1">
      <c r="A268" s="264">
        <f t="shared" si="5"/>
        <v>267</v>
      </c>
      <c r="B268" s="264" t="s">
        <v>2375</v>
      </c>
      <c r="C268" s="264" t="s">
        <v>279</v>
      </c>
      <c r="D268" s="264">
        <v>15</v>
      </c>
      <c r="E268" s="264" t="s">
        <v>886</v>
      </c>
      <c r="F268" s="264" t="s">
        <v>3134</v>
      </c>
      <c r="G268" s="264"/>
      <c r="H268" s="264"/>
      <c r="I268" s="264" t="s">
        <v>626</v>
      </c>
      <c r="J268" s="264"/>
      <c r="K268" s="264" t="s">
        <v>888</v>
      </c>
      <c r="L268" s="264" t="s">
        <v>887</v>
      </c>
      <c r="M268" s="264" t="s">
        <v>29</v>
      </c>
      <c r="N268" s="264" t="s">
        <v>760</v>
      </c>
      <c r="O268" s="264" t="s">
        <v>3216</v>
      </c>
      <c r="P268" s="264" t="s">
        <v>3217</v>
      </c>
      <c r="Q268" s="264"/>
    </row>
    <row r="269" spans="1:17" s="181" customFormat="1">
      <c r="A269" s="264">
        <f t="shared" si="5"/>
        <v>268</v>
      </c>
      <c r="B269" s="264" t="s">
        <v>2376</v>
      </c>
      <c r="C269" s="264" t="s">
        <v>279</v>
      </c>
      <c r="D269" s="264">
        <v>5</v>
      </c>
      <c r="E269" s="264" t="s">
        <v>889</v>
      </c>
      <c r="F269" s="264" t="s">
        <v>3134</v>
      </c>
      <c r="G269" s="264"/>
      <c r="H269" s="264"/>
      <c r="I269" s="264" t="s">
        <v>626</v>
      </c>
      <c r="J269" s="264"/>
      <c r="K269" s="264" t="s">
        <v>889</v>
      </c>
      <c r="L269" s="264" t="s">
        <v>890</v>
      </c>
      <c r="M269" s="264" t="s">
        <v>29</v>
      </c>
      <c r="N269" s="264" t="s">
        <v>760</v>
      </c>
      <c r="O269" s="264" t="s">
        <v>3216</v>
      </c>
      <c r="P269" s="264" t="s">
        <v>3217</v>
      </c>
      <c r="Q269" s="264"/>
    </row>
    <row r="270" spans="1:17" s="181" customFormat="1">
      <c r="A270" s="264">
        <f t="shared" si="5"/>
        <v>269</v>
      </c>
      <c r="B270" s="264" t="s">
        <v>2377</v>
      </c>
      <c r="C270" s="264" t="s">
        <v>279</v>
      </c>
      <c r="D270" s="264">
        <v>5</v>
      </c>
      <c r="E270" s="264" t="s">
        <v>1411</v>
      </c>
      <c r="F270" s="264" t="s">
        <v>3134</v>
      </c>
      <c r="G270" s="264"/>
      <c r="H270" s="264"/>
      <c r="I270" s="264" t="s">
        <v>626</v>
      </c>
      <c r="J270" s="264"/>
      <c r="K270" s="264" t="s">
        <v>892</v>
      </c>
      <c r="L270" s="264" t="s">
        <v>891</v>
      </c>
      <c r="M270" s="264" t="s">
        <v>29</v>
      </c>
      <c r="N270" s="264" t="s">
        <v>760</v>
      </c>
      <c r="O270" s="264" t="s">
        <v>3216</v>
      </c>
      <c r="P270" s="264" t="s">
        <v>3217</v>
      </c>
      <c r="Q270" s="264"/>
    </row>
    <row r="271" spans="1:17" s="181" customFormat="1">
      <c r="A271" s="264">
        <f t="shared" si="5"/>
        <v>270</v>
      </c>
      <c r="B271" s="264" t="s">
        <v>2378</v>
      </c>
      <c r="C271" s="264" t="s">
        <v>279</v>
      </c>
      <c r="D271" s="264">
        <v>15</v>
      </c>
      <c r="E271" s="264" t="s">
        <v>893</v>
      </c>
      <c r="F271" s="264" t="s">
        <v>3134</v>
      </c>
      <c r="G271" s="264"/>
      <c r="H271" s="264"/>
      <c r="I271" s="264" t="s">
        <v>626</v>
      </c>
      <c r="J271" s="264"/>
      <c r="K271" s="264" t="s">
        <v>895</v>
      </c>
      <c r="L271" s="264" t="s">
        <v>894</v>
      </c>
      <c r="M271" s="264" t="s">
        <v>29</v>
      </c>
      <c r="N271" s="264" t="s">
        <v>760</v>
      </c>
      <c r="O271" s="264" t="s">
        <v>3216</v>
      </c>
      <c r="P271" s="264" t="s">
        <v>3217</v>
      </c>
      <c r="Q271" s="264"/>
    </row>
    <row r="272" spans="1:17" s="181" customFormat="1">
      <c r="A272" s="264">
        <f t="shared" si="5"/>
        <v>271</v>
      </c>
      <c r="B272" s="264" t="s">
        <v>2379</v>
      </c>
      <c r="C272" s="264" t="s">
        <v>279</v>
      </c>
      <c r="D272" s="264">
        <v>5</v>
      </c>
      <c r="E272" s="264" t="s">
        <v>896</v>
      </c>
      <c r="F272" s="264" t="s">
        <v>3134</v>
      </c>
      <c r="G272" s="264"/>
      <c r="H272" s="264"/>
      <c r="I272" s="264" t="s">
        <v>626</v>
      </c>
      <c r="J272" s="264"/>
      <c r="K272" s="264" t="s">
        <v>898</v>
      </c>
      <c r="L272" s="264" t="s">
        <v>897</v>
      </c>
      <c r="M272" s="264" t="s">
        <v>29</v>
      </c>
      <c r="N272" s="264" t="s">
        <v>760</v>
      </c>
      <c r="O272" s="264" t="s">
        <v>3216</v>
      </c>
      <c r="P272" s="264" t="s">
        <v>3217</v>
      </c>
      <c r="Q272" s="264"/>
    </row>
    <row r="273" spans="1:17">
      <c r="A273" s="263">
        <f t="shared" si="5"/>
        <v>272</v>
      </c>
      <c r="B273" s="263" t="s">
        <v>2380</v>
      </c>
      <c r="C273" s="263" t="s">
        <v>275</v>
      </c>
      <c r="D273" s="263">
        <v>4</v>
      </c>
      <c r="E273" s="263" t="s">
        <v>3112</v>
      </c>
      <c r="F273" s="263" t="s">
        <v>3134</v>
      </c>
      <c r="G273" s="263"/>
      <c r="H273" s="263"/>
      <c r="I273" s="263" t="s">
        <v>625</v>
      </c>
      <c r="J273" s="263" t="s">
        <v>5673</v>
      </c>
      <c r="K273" s="263" t="s">
        <v>900</v>
      </c>
      <c r="L273" s="263" t="s">
        <v>899</v>
      </c>
      <c r="M273" s="263" t="s">
        <v>29</v>
      </c>
      <c r="N273" s="263" t="s">
        <v>903</v>
      </c>
      <c r="O273" s="263" t="s">
        <v>3216</v>
      </c>
      <c r="P273" s="263" t="s">
        <v>3217</v>
      </c>
      <c r="Q273" s="263"/>
    </row>
    <row r="274" spans="1:17">
      <c r="A274" s="263">
        <f t="shared" si="5"/>
        <v>273</v>
      </c>
      <c r="B274" s="263" t="s">
        <v>2381</v>
      </c>
      <c r="C274" s="263" t="s">
        <v>275</v>
      </c>
      <c r="D274" s="263">
        <v>4</v>
      </c>
      <c r="E274" s="263" t="s">
        <v>901</v>
      </c>
      <c r="F274" s="263" t="s">
        <v>3134</v>
      </c>
      <c r="G274" s="263"/>
      <c r="H274" s="263"/>
      <c r="I274" s="263" t="s">
        <v>625</v>
      </c>
      <c r="J274" s="263" t="s">
        <v>5673</v>
      </c>
      <c r="K274" s="263" t="s">
        <v>904</v>
      </c>
      <c r="L274" s="263" t="s">
        <v>902</v>
      </c>
      <c r="M274" s="263" t="s">
        <v>29</v>
      </c>
      <c r="N274" s="263" t="s">
        <v>903</v>
      </c>
      <c r="O274" s="263" t="s">
        <v>3216</v>
      </c>
      <c r="P274" s="263" t="s">
        <v>3217</v>
      </c>
      <c r="Q274" s="263"/>
    </row>
    <row r="275" spans="1:17">
      <c r="A275" s="263">
        <f t="shared" si="5"/>
        <v>274</v>
      </c>
      <c r="B275" s="263" t="s">
        <v>2382</v>
      </c>
      <c r="C275" s="263" t="s">
        <v>275</v>
      </c>
      <c r="D275" s="263">
        <v>4</v>
      </c>
      <c r="E275" s="263" t="s">
        <v>905</v>
      </c>
      <c r="F275" s="263" t="s">
        <v>3134</v>
      </c>
      <c r="G275" s="263"/>
      <c r="H275" s="263"/>
      <c r="I275" s="263" t="s">
        <v>625</v>
      </c>
      <c r="J275" s="263" t="s">
        <v>5673</v>
      </c>
      <c r="K275" s="263" t="s">
        <v>5898</v>
      </c>
      <c r="L275" s="263" t="s">
        <v>906</v>
      </c>
      <c r="M275" s="263" t="s">
        <v>29</v>
      </c>
      <c r="N275" s="263" t="s">
        <v>903</v>
      </c>
      <c r="O275" s="263" t="s">
        <v>3216</v>
      </c>
      <c r="P275" s="263" t="s">
        <v>3217</v>
      </c>
      <c r="Q275" s="263"/>
    </row>
    <row r="276" spans="1:17">
      <c r="A276" s="263">
        <f t="shared" si="5"/>
        <v>275</v>
      </c>
      <c r="B276" s="263" t="s">
        <v>2383</v>
      </c>
      <c r="C276" s="263" t="s">
        <v>275</v>
      </c>
      <c r="D276" s="263">
        <v>4</v>
      </c>
      <c r="E276" s="263" t="s">
        <v>908</v>
      </c>
      <c r="F276" s="263" t="s">
        <v>3134</v>
      </c>
      <c r="G276" s="263"/>
      <c r="H276" s="263"/>
      <c r="I276" s="263" t="s">
        <v>625</v>
      </c>
      <c r="J276" s="263" t="s">
        <v>5673</v>
      </c>
      <c r="K276" s="263" t="s">
        <v>5899</v>
      </c>
      <c r="L276" s="263" t="s">
        <v>909</v>
      </c>
      <c r="M276" s="263" t="s">
        <v>29</v>
      </c>
      <c r="N276" s="263" t="s">
        <v>903</v>
      </c>
      <c r="O276" s="263" t="s">
        <v>3216</v>
      </c>
      <c r="P276" s="263" t="s">
        <v>3217</v>
      </c>
      <c r="Q276" s="263"/>
    </row>
    <row r="277" spans="1:17">
      <c r="A277" s="263">
        <f t="shared" si="5"/>
        <v>276</v>
      </c>
      <c r="B277" s="263" t="s">
        <v>2384</v>
      </c>
      <c r="C277" s="263" t="s">
        <v>275</v>
      </c>
      <c r="D277" s="263">
        <v>4</v>
      </c>
      <c r="E277" s="263" t="s">
        <v>911</v>
      </c>
      <c r="F277" s="263" t="s">
        <v>3134</v>
      </c>
      <c r="G277" s="263"/>
      <c r="H277" s="263"/>
      <c r="I277" s="263" t="s">
        <v>625</v>
      </c>
      <c r="J277" s="263" t="s">
        <v>5673</v>
      </c>
      <c r="K277" s="263" t="s">
        <v>913</v>
      </c>
      <c r="L277" s="263" t="s">
        <v>912</v>
      </c>
      <c r="M277" s="263" t="s">
        <v>29</v>
      </c>
      <c r="N277" s="263" t="s">
        <v>903</v>
      </c>
      <c r="O277" s="263" t="s">
        <v>3216</v>
      </c>
      <c r="P277" s="263" t="s">
        <v>3217</v>
      </c>
      <c r="Q277" s="263"/>
    </row>
    <row r="278" spans="1:17">
      <c r="A278" s="263">
        <f t="shared" si="5"/>
        <v>277</v>
      </c>
      <c r="B278" s="263" t="s">
        <v>2385</v>
      </c>
      <c r="C278" s="263" t="s">
        <v>275</v>
      </c>
      <c r="D278" s="263">
        <v>4</v>
      </c>
      <c r="E278" s="263" t="s">
        <v>914</v>
      </c>
      <c r="F278" s="263" t="s">
        <v>3134</v>
      </c>
      <c r="G278" s="263"/>
      <c r="H278" s="263"/>
      <c r="I278" s="263" t="s">
        <v>625</v>
      </c>
      <c r="J278" s="263" t="s">
        <v>5673</v>
      </c>
      <c r="K278" s="263" t="s">
        <v>916</v>
      </c>
      <c r="L278" s="263" t="s">
        <v>915</v>
      </c>
      <c r="M278" s="263" t="s">
        <v>29</v>
      </c>
      <c r="N278" s="263" t="s">
        <v>903</v>
      </c>
      <c r="O278" s="263" t="s">
        <v>3216</v>
      </c>
      <c r="P278" s="263" t="s">
        <v>3217</v>
      </c>
      <c r="Q278" s="263"/>
    </row>
    <row r="279" spans="1:17" s="341" customFormat="1">
      <c r="A279" s="339">
        <f t="shared" si="5"/>
        <v>278</v>
      </c>
      <c r="B279" s="339" t="s">
        <v>2386</v>
      </c>
      <c r="C279" s="339" t="s">
        <v>275</v>
      </c>
      <c r="D279" s="339">
        <v>4</v>
      </c>
      <c r="E279" s="339" t="s">
        <v>917</v>
      </c>
      <c r="F279" s="339" t="s">
        <v>3134</v>
      </c>
      <c r="G279" s="339"/>
      <c r="H279" s="339"/>
      <c r="I279" s="339" t="s">
        <v>5869</v>
      </c>
      <c r="J279" s="263" t="s">
        <v>5877</v>
      </c>
      <c r="K279" s="339" t="s">
        <v>12</v>
      </c>
      <c r="L279" s="339" t="s">
        <v>5402</v>
      </c>
      <c r="M279" s="339" t="s">
        <v>29</v>
      </c>
      <c r="N279" s="339" t="s">
        <v>903</v>
      </c>
      <c r="O279" s="339" t="s">
        <v>3216</v>
      </c>
      <c r="P279" s="340"/>
      <c r="Q279" s="339"/>
    </row>
    <row r="280" spans="1:17" s="341" customFormat="1">
      <c r="A280" s="339">
        <f t="shared" si="5"/>
        <v>279</v>
      </c>
      <c r="B280" s="339" t="s">
        <v>2387</v>
      </c>
      <c r="C280" s="339" t="s">
        <v>275</v>
      </c>
      <c r="D280" s="339">
        <v>4</v>
      </c>
      <c r="E280" s="339" t="s">
        <v>919</v>
      </c>
      <c r="F280" s="339" t="s">
        <v>3134</v>
      </c>
      <c r="G280" s="339"/>
      <c r="H280" s="339"/>
      <c r="I280" s="339" t="s">
        <v>625</v>
      </c>
      <c r="J280" s="263" t="s">
        <v>5673</v>
      </c>
      <c r="K280" s="339" t="s">
        <v>921</v>
      </c>
      <c r="L280" s="339" t="s">
        <v>920</v>
      </c>
      <c r="M280" s="339" t="s">
        <v>29</v>
      </c>
      <c r="N280" s="339" t="s">
        <v>903</v>
      </c>
      <c r="O280" s="339" t="s">
        <v>3216</v>
      </c>
      <c r="P280" s="340" t="s">
        <v>3564</v>
      </c>
      <c r="Q280" s="339"/>
    </row>
    <row r="281" spans="1:17" s="181" customFormat="1">
      <c r="A281" s="264">
        <f t="shared" si="5"/>
        <v>280</v>
      </c>
      <c r="B281" s="264" t="s">
        <v>2388</v>
      </c>
      <c r="C281" s="264" t="s">
        <v>275</v>
      </c>
      <c r="D281" s="264">
        <v>4</v>
      </c>
      <c r="E281" s="264" t="s">
        <v>922</v>
      </c>
      <c r="F281" s="264" t="s">
        <v>3134</v>
      </c>
      <c r="G281" s="264"/>
      <c r="H281" s="264"/>
      <c r="I281" s="264" t="s">
        <v>625</v>
      </c>
      <c r="J281" s="264"/>
      <c r="K281" s="264" t="s">
        <v>924</v>
      </c>
      <c r="L281" s="264" t="s">
        <v>923</v>
      </c>
      <c r="M281" s="264" t="s">
        <v>29</v>
      </c>
      <c r="N281" s="264" t="s">
        <v>903</v>
      </c>
      <c r="O281" s="264" t="s">
        <v>3216</v>
      </c>
      <c r="P281" s="264" t="s">
        <v>3217</v>
      </c>
      <c r="Q281" s="264"/>
    </row>
    <row r="282" spans="1:17">
      <c r="A282" s="263">
        <f t="shared" si="5"/>
        <v>281</v>
      </c>
      <c r="B282" s="263" t="s">
        <v>2389</v>
      </c>
      <c r="C282" s="263" t="s">
        <v>275</v>
      </c>
      <c r="D282" s="263">
        <v>4</v>
      </c>
      <c r="E282" s="263" t="s">
        <v>925</v>
      </c>
      <c r="F282" s="263" t="s">
        <v>3134</v>
      </c>
      <c r="G282" s="263"/>
      <c r="H282" s="263"/>
      <c r="I282" s="263" t="s">
        <v>625</v>
      </c>
      <c r="J282" s="263" t="s">
        <v>5673</v>
      </c>
      <c r="K282" s="263" t="s">
        <v>926</v>
      </c>
      <c r="L282" s="263" t="s">
        <v>3108</v>
      </c>
      <c r="M282" s="263" t="s">
        <v>29</v>
      </c>
      <c r="N282" s="263" t="s">
        <v>903</v>
      </c>
      <c r="O282" s="263" t="s">
        <v>3216</v>
      </c>
      <c r="P282" s="263" t="s">
        <v>3217</v>
      </c>
      <c r="Q282" s="263"/>
    </row>
    <row r="283" spans="1:17" s="181" customFormat="1">
      <c r="A283" s="264">
        <f t="shared" si="5"/>
        <v>282</v>
      </c>
      <c r="B283" s="264" t="s">
        <v>2390</v>
      </c>
      <c r="C283" s="264" t="s">
        <v>275</v>
      </c>
      <c r="D283" s="264">
        <v>4</v>
      </c>
      <c r="E283" s="264" t="s">
        <v>284</v>
      </c>
      <c r="F283" s="264" t="s">
        <v>3134</v>
      </c>
      <c r="G283" s="264"/>
      <c r="H283" s="264"/>
      <c r="I283" s="264" t="s">
        <v>625</v>
      </c>
      <c r="J283" s="264"/>
      <c r="K283" s="264" t="s">
        <v>192</v>
      </c>
      <c r="L283" s="264" t="s">
        <v>927</v>
      </c>
      <c r="M283" s="264" t="s">
        <v>29</v>
      </c>
      <c r="N283" s="264" t="s">
        <v>903</v>
      </c>
      <c r="O283" s="264" t="s">
        <v>3216</v>
      </c>
      <c r="P283" s="264" t="s">
        <v>3217</v>
      </c>
      <c r="Q283" s="264"/>
    </row>
    <row r="284" spans="1:17">
      <c r="A284" s="263">
        <f t="shared" si="5"/>
        <v>283</v>
      </c>
      <c r="B284" s="263" t="s">
        <v>2391</v>
      </c>
      <c r="C284" s="263" t="s">
        <v>275</v>
      </c>
      <c r="D284" s="263">
        <v>4</v>
      </c>
      <c r="E284" s="263" t="s">
        <v>3113</v>
      </c>
      <c r="F284" s="263" t="s">
        <v>3134</v>
      </c>
      <c r="G284" s="263"/>
      <c r="H284" s="263"/>
      <c r="I284" s="263" t="s">
        <v>625</v>
      </c>
      <c r="J284" s="263" t="s">
        <v>5673</v>
      </c>
      <c r="K284" s="263" t="s">
        <v>3210</v>
      </c>
      <c r="L284" s="263" t="s">
        <v>3109</v>
      </c>
      <c r="M284" s="263"/>
      <c r="N284" s="263">
        <v>64</v>
      </c>
      <c r="O284" s="263" t="s">
        <v>2956</v>
      </c>
      <c r="P284" s="263" t="s">
        <v>3217</v>
      </c>
      <c r="Q284" s="263"/>
    </row>
    <row r="285" spans="1:17">
      <c r="A285" s="263">
        <f t="shared" si="5"/>
        <v>284</v>
      </c>
      <c r="B285" s="263" t="s">
        <v>2519</v>
      </c>
      <c r="C285" s="263" t="s">
        <v>275</v>
      </c>
      <c r="D285" s="263">
        <v>1</v>
      </c>
      <c r="E285" s="263" t="s">
        <v>1295</v>
      </c>
      <c r="F285" s="263" t="s">
        <v>3134</v>
      </c>
      <c r="G285" s="263"/>
      <c r="H285" s="263"/>
      <c r="I285" s="263" t="s">
        <v>5872</v>
      </c>
      <c r="J285" s="263" t="s">
        <v>5669</v>
      </c>
      <c r="K285" s="263" t="s">
        <v>5874</v>
      </c>
      <c r="L285" s="263" t="s">
        <v>5875</v>
      </c>
      <c r="M285" s="263" t="s">
        <v>3120</v>
      </c>
      <c r="N285" s="263"/>
      <c r="O285" s="263" t="s">
        <v>3216</v>
      </c>
      <c r="P285" s="263" t="s">
        <v>3217</v>
      </c>
      <c r="Q285" s="263"/>
    </row>
    <row r="286" spans="1:17">
      <c r="A286" s="263">
        <f t="shared" si="5"/>
        <v>285</v>
      </c>
      <c r="B286" s="263" t="s">
        <v>2961</v>
      </c>
      <c r="C286" s="263" t="s">
        <v>275</v>
      </c>
      <c r="D286" s="263">
        <v>1</v>
      </c>
      <c r="E286" s="263" t="s">
        <v>3114</v>
      </c>
      <c r="F286" s="263" t="s">
        <v>3134</v>
      </c>
      <c r="G286" s="263"/>
      <c r="H286" s="263"/>
      <c r="I286" s="263" t="s">
        <v>5873</v>
      </c>
      <c r="J286" s="263" t="s">
        <v>5870</v>
      </c>
      <c r="K286" s="263" t="s">
        <v>5871</v>
      </c>
      <c r="L286" s="263"/>
      <c r="M286" s="263"/>
      <c r="N286" s="263">
        <v>18</v>
      </c>
      <c r="O286" s="263" t="s">
        <v>2956</v>
      </c>
      <c r="P286" s="263" t="s">
        <v>3217</v>
      </c>
      <c r="Q286" s="263"/>
    </row>
    <row r="287" spans="1:17">
      <c r="A287" s="263">
        <f t="shared" si="5"/>
        <v>286</v>
      </c>
      <c r="B287" s="263" t="s">
        <v>2962</v>
      </c>
      <c r="C287" s="263" t="s">
        <v>279</v>
      </c>
      <c r="D287" s="263">
        <v>15</v>
      </c>
      <c r="E287" s="263" t="s">
        <v>5385</v>
      </c>
      <c r="F287" s="263" t="s">
        <v>3134</v>
      </c>
      <c r="G287" s="263"/>
      <c r="H287" s="263"/>
      <c r="I287" s="263" t="s">
        <v>626</v>
      </c>
      <c r="J287" s="263" t="s">
        <v>5613</v>
      </c>
      <c r="K287" s="263" t="s">
        <v>5385</v>
      </c>
      <c r="L287" s="263" t="s">
        <v>4437</v>
      </c>
      <c r="M287" s="263" t="s">
        <v>29</v>
      </c>
      <c r="N287" s="263" t="s">
        <v>760</v>
      </c>
      <c r="O287" s="263"/>
      <c r="P287" s="263"/>
      <c r="Q287" s="263"/>
    </row>
    <row r="288" spans="1:17">
      <c r="A288" s="263">
        <f t="shared" si="5"/>
        <v>287</v>
      </c>
      <c r="B288" s="263" t="s">
        <v>3643</v>
      </c>
      <c r="C288" s="263" t="s">
        <v>275</v>
      </c>
      <c r="D288" s="263"/>
      <c r="E288" s="263" t="s">
        <v>5386</v>
      </c>
      <c r="F288" s="263" t="s">
        <v>3134</v>
      </c>
      <c r="G288" s="263"/>
      <c r="H288" s="263"/>
      <c r="I288" s="263" t="s">
        <v>626</v>
      </c>
      <c r="J288" s="263" t="s">
        <v>5613</v>
      </c>
      <c r="K288" s="263" t="s">
        <v>5386</v>
      </c>
      <c r="L288" s="263" t="s">
        <v>3654</v>
      </c>
      <c r="M288" s="263" t="s">
        <v>29</v>
      </c>
      <c r="N288" s="263" t="s">
        <v>760</v>
      </c>
      <c r="O288" s="263"/>
      <c r="P288" s="263"/>
      <c r="Q288" s="263"/>
    </row>
    <row r="289" spans="1:17">
      <c r="A289" s="263">
        <f t="shared" si="5"/>
        <v>288</v>
      </c>
      <c r="B289" s="263" t="s">
        <v>3644</v>
      </c>
      <c r="C289" s="263" t="s">
        <v>279</v>
      </c>
      <c r="D289" s="263">
        <v>15</v>
      </c>
      <c r="E289" s="263" t="s">
        <v>5387</v>
      </c>
      <c r="F289" s="263" t="s">
        <v>3134</v>
      </c>
      <c r="G289" s="263"/>
      <c r="H289" s="263"/>
      <c r="I289" s="263" t="s">
        <v>626</v>
      </c>
      <c r="J289" s="263" t="s">
        <v>5613</v>
      </c>
      <c r="K289" s="263" t="s">
        <v>5387</v>
      </c>
      <c r="L289" s="263" t="s">
        <v>5395</v>
      </c>
      <c r="M289" s="263" t="s">
        <v>29</v>
      </c>
      <c r="N289" s="263" t="s">
        <v>760</v>
      </c>
      <c r="O289" s="263"/>
      <c r="P289" s="263"/>
      <c r="Q289" s="263"/>
    </row>
    <row r="290" spans="1:17">
      <c r="A290" s="263">
        <f t="shared" si="5"/>
        <v>289</v>
      </c>
      <c r="B290" s="263" t="s">
        <v>3645</v>
      </c>
      <c r="C290" s="263" t="s">
        <v>275</v>
      </c>
      <c r="D290" s="263"/>
      <c r="E290" s="263" t="s">
        <v>5388</v>
      </c>
      <c r="F290" s="263" t="s">
        <v>3134</v>
      </c>
      <c r="G290" s="263"/>
      <c r="H290" s="263"/>
      <c r="I290" s="263" t="s">
        <v>626</v>
      </c>
      <c r="J290" s="263" t="s">
        <v>5613</v>
      </c>
      <c r="K290" s="263" t="s">
        <v>5388</v>
      </c>
      <c r="L290" s="263" t="s">
        <v>5396</v>
      </c>
      <c r="M290" s="263" t="s">
        <v>29</v>
      </c>
      <c r="N290" s="263" t="s">
        <v>760</v>
      </c>
      <c r="O290" s="263"/>
      <c r="P290" s="263"/>
      <c r="Q290" s="263"/>
    </row>
    <row r="291" spans="1:17">
      <c r="A291" s="263">
        <f t="shared" si="5"/>
        <v>290</v>
      </c>
      <c r="B291" s="263" t="s">
        <v>3646</v>
      </c>
      <c r="C291" s="263" t="s">
        <v>275</v>
      </c>
      <c r="D291" s="263"/>
      <c r="E291" s="263" t="s">
        <v>5389</v>
      </c>
      <c r="F291" s="263" t="s">
        <v>3134</v>
      </c>
      <c r="G291" s="263"/>
      <c r="H291" s="263"/>
      <c r="I291" s="263" t="s">
        <v>626</v>
      </c>
      <c r="J291" s="263" t="s">
        <v>5613</v>
      </c>
      <c r="K291" s="263" t="s">
        <v>5389</v>
      </c>
      <c r="L291" s="263" t="s">
        <v>5397</v>
      </c>
      <c r="M291" s="263" t="s">
        <v>29</v>
      </c>
      <c r="N291" s="263" t="s">
        <v>760</v>
      </c>
      <c r="O291" s="263"/>
      <c r="P291" s="263"/>
      <c r="Q291" s="263"/>
    </row>
    <row r="292" spans="1:17">
      <c r="A292" s="263">
        <f t="shared" si="5"/>
        <v>291</v>
      </c>
      <c r="B292" s="263" t="s">
        <v>3647</v>
      </c>
      <c r="C292" s="263" t="s">
        <v>279</v>
      </c>
      <c r="D292" s="263">
        <v>15</v>
      </c>
      <c r="E292" s="263" t="s">
        <v>5390</v>
      </c>
      <c r="F292" s="263" t="s">
        <v>3134</v>
      </c>
      <c r="G292" s="263"/>
      <c r="H292" s="263"/>
      <c r="I292" s="263" t="s">
        <v>626</v>
      </c>
      <c r="J292" s="263" t="s">
        <v>5613</v>
      </c>
      <c r="K292" s="263" t="s">
        <v>5390</v>
      </c>
      <c r="L292" s="263" t="s">
        <v>5398</v>
      </c>
      <c r="M292" s="263" t="s">
        <v>29</v>
      </c>
      <c r="N292" s="263" t="s">
        <v>760</v>
      </c>
      <c r="O292" s="263"/>
      <c r="P292" s="263"/>
      <c r="Q292" s="263"/>
    </row>
    <row r="293" spans="1:17">
      <c r="A293" s="263">
        <f t="shared" si="5"/>
        <v>292</v>
      </c>
      <c r="B293" s="263" t="s">
        <v>3648</v>
      </c>
      <c r="C293" s="263" t="s">
        <v>275</v>
      </c>
      <c r="D293" s="263"/>
      <c r="E293" s="263" t="s">
        <v>5391</v>
      </c>
      <c r="F293" s="263" t="s">
        <v>3134</v>
      </c>
      <c r="G293" s="263"/>
      <c r="H293" s="263"/>
      <c r="I293" s="263" t="s">
        <v>626</v>
      </c>
      <c r="J293" s="263" t="s">
        <v>5613</v>
      </c>
      <c r="K293" s="263" t="s">
        <v>5391</v>
      </c>
      <c r="L293" s="263" t="s">
        <v>5399</v>
      </c>
      <c r="M293" s="263" t="s">
        <v>29</v>
      </c>
      <c r="N293" s="263" t="s">
        <v>760</v>
      </c>
      <c r="O293" s="263"/>
      <c r="P293" s="263"/>
      <c r="Q293" s="263"/>
    </row>
    <row r="294" spans="1:17">
      <c r="A294" s="263">
        <f t="shared" si="5"/>
        <v>293</v>
      </c>
      <c r="B294" s="263" t="s">
        <v>3649</v>
      </c>
      <c r="C294" s="263" t="s">
        <v>275</v>
      </c>
      <c r="D294" s="263"/>
      <c r="E294" s="263" t="s">
        <v>5392</v>
      </c>
      <c r="F294" s="263" t="s">
        <v>3134</v>
      </c>
      <c r="G294" s="263"/>
      <c r="H294" s="263"/>
      <c r="I294" s="263" t="s">
        <v>626</v>
      </c>
      <c r="J294" s="263" t="s">
        <v>5613</v>
      </c>
      <c r="K294" s="263" t="s">
        <v>5392</v>
      </c>
      <c r="L294" s="263" t="s">
        <v>5400</v>
      </c>
      <c r="M294" s="263" t="s">
        <v>29</v>
      </c>
      <c r="N294" s="263" t="s">
        <v>760</v>
      </c>
      <c r="O294" s="263"/>
      <c r="P294" s="263"/>
      <c r="Q294" s="263"/>
    </row>
    <row r="295" spans="1:17">
      <c r="A295" s="263">
        <f t="shared" si="5"/>
        <v>294</v>
      </c>
      <c r="B295" s="263" t="s">
        <v>3650</v>
      </c>
      <c r="C295" s="263" t="s">
        <v>275</v>
      </c>
      <c r="D295" s="263"/>
      <c r="E295" s="263" t="s">
        <v>5393</v>
      </c>
      <c r="F295" s="263" t="s">
        <v>3134</v>
      </c>
      <c r="G295" s="263"/>
      <c r="H295" s="263"/>
      <c r="I295" s="263" t="s">
        <v>626</v>
      </c>
      <c r="J295" s="263" t="s">
        <v>5613</v>
      </c>
      <c r="K295" s="263" t="s">
        <v>5393</v>
      </c>
      <c r="L295" s="263" t="s">
        <v>5401</v>
      </c>
      <c r="M295" s="263" t="s">
        <v>29</v>
      </c>
      <c r="N295" s="263" t="s">
        <v>760</v>
      </c>
      <c r="O295" s="263"/>
      <c r="P295" s="263"/>
      <c r="Q295" s="263"/>
    </row>
    <row r="296" spans="1:17">
      <c r="A296" s="263">
        <f t="shared" si="5"/>
        <v>295</v>
      </c>
      <c r="B296" s="263" t="s">
        <v>3651</v>
      </c>
      <c r="C296" s="263" t="s">
        <v>279</v>
      </c>
      <c r="D296" s="263">
        <v>15</v>
      </c>
      <c r="E296" s="263" t="s">
        <v>5394</v>
      </c>
      <c r="F296" s="263" t="s">
        <v>3134</v>
      </c>
      <c r="G296" s="263"/>
      <c r="H296" s="263"/>
      <c r="I296" s="263" t="s">
        <v>626</v>
      </c>
      <c r="J296" s="263" t="s">
        <v>5613</v>
      </c>
      <c r="K296" s="263" t="s">
        <v>5394</v>
      </c>
      <c r="L296" s="263" t="s">
        <v>3663</v>
      </c>
      <c r="M296" s="263" t="s">
        <v>29</v>
      </c>
      <c r="N296" s="263" t="s">
        <v>760</v>
      </c>
      <c r="O296" s="263"/>
      <c r="P296" s="263"/>
      <c r="Q296" s="263"/>
    </row>
    <row r="297" spans="1:17">
      <c r="A297" s="263">
        <f t="shared" si="5"/>
        <v>296</v>
      </c>
      <c r="B297" s="263" t="s">
        <v>3712</v>
      </c>
      <c r="C297" s="263" t="s">
        <v>279</v>
      </c>
      <c r="D297" s="263">
        <v>15</v>
      </c>
      <c r="E297" s="263" t="s">
        <v>5197</v>
      </c>
      <c r="F297" s="263" t="s">
        <v>3134</v>
      </c>
      <c r="G297" s="263"/>
      <c r="H297" s="263"/>
      <c r="I297" s="263" t="s">
        <v>625</v>
      </c>
      <c r="J297" s="263" t="s">
        <v>5673</v>
      </c>
      <c r="K297" s="263" t="s">
        <v>5197</v>
      </c>
      <c r="L297" s="263" t="s">
        <v>5402</v>
      </c>
      <c r="M297" s="263" t="s">
        <v>29</v>
      </c>
      <c r="N297" s="263" t="s">
        <v>903</v>
      </c>
      <c r="O297" s="263"/>
      <c r="P297" s="263"/>
      <c r="Q297" s="263"/>
    </row>
    <row r="298" spans="1:17">
      <c r="A298" s="263">
        <f t="shared" si="5"/>
        <v>297</v>
      </c>
      <c r="B298" s="263" t="s">
        <v>3713</v>
      </c>
      <c r="C298" s="263" t="s">
        <v>275</v>
      </c>
      <c r="D298" s="263">
        <v>4</v>
      </c>
      <c r="E298" s="263" t="s">
        <v>5404</v>
      </c>
      <c r="F298" s="263" t="s">
        <v>3134</v>
      </c>
      <c r="G298" s="263"/>
      <c r="H298" s="263"/>
      <c r="I298" s="263" t="s">
        <v>625</v>
      </c>
      <c r="J298" s="263" t="s">
        <v>5673</v>
      </c>
      <c r="K298" s="263" t="s">
        <v>5404</v>
      </c>
      <c r="L298" s="263" t="s">
        <v>5403</v>
      </c>
      <c r="M298" s="263" t="s">
        <v>29</v>
      </c>
      <c r="N298" s="263" t="s">
        <v>903</v>
      </c>
      <c r="O298" s="263"/>
      <c r="P298" s="263"/>
      <c r="Q298" s="263"/>
    </row>
    <row r="299" spans="1:17" s="181" customFormat="1">
      <c r="A299" s="264">
        <f t="shared" si="5"/>
        <v>298</v>
      </c>
      <c r="B299" s="264" t="s">
        <v>2392</v>
      </c>
      <c r="C299" s="264" t="s">
        <v>279</v>
      </c>
      <c r="D299" s="264">
        <v>5</v>
      </c>
      <c r="E299" s="264" t="s">
        <v>928</v>
      </c>
      <c r="F299" s="264" t="s">
        <v>3134</v>
      </c>
      <c r="G299" s="264"/>
      <c r="H299" s="264"/>
      <c r="I299" s="266" t="s">
        <v>5819</v>
      </c>
      <c r="J299" s="264"/>
      <c r="K299" s="264" t="s">
        <v>930</v>
      </c>
      <c r="L299" s="264" t="s">
        <v>929</v>
      </c>
      <c r="M299" s="264" t="s">
        <v>932</v>
      </c>
      <c r="N299" s="264"/>
      <c r="O299" s="264" t="s">
        <v>3216</v>
      </c>
      <c r="P299" s="264" t="s">
        <v>3217</v>
      </c>
      <c r="Q299" s="264"/>
    </row>
    <row r="300" spans="1:17" s="181" customFormat="1">
      <c r="A300" s="264">
        <f t="shared" ref="A300:A387" si="6">ROW()-1</f>
        <v>299</v>
      </c>
      <c r="B300" s="264" t="s">
        <v>2393</v>
      </c>
      <c r="C300" s="264" t="s">
        <v>279</v>
      </c>
      <c r="D300" s="264">
        <v>15</v>
      </c>
      <c r="E300" s="264" t="s">
        <v>931</v>
      </c>
      <c r="F300" s="264" t="s">
        <v>3134</v>
      </c>
      <c r="G300" s="264"/>
      <c r="H300" s="264"/>
      <c r="I300" s="266" t="s">
        <v>5819</v>
      </c>
      <c r="J300" s="264"/>
      <c r="K300" s="264" t="s">
        <v>934</v>
      </c>
      <c r="L300" s="264" t="s">
        <v>933</v>
      </c>
      <c r="M300" s="264" t="s">
        <v>932</v>
      </c>
      <c r="N300" s="264"/>
      <c r="O300" s="264" t="s">
        <v>3216</v>
      </c>
      <c r="P300" s="264" t="s">
        <v>3217</v>
      </c>
      <c r="Q300" s="264"/>
    </row>
    <row r="301" spans="1:17" s="181" customFormat="1">
      <c r="A301" s="264">
        <f t="shared" si="6"/>
        <v>300</v>
      </c>
      <c r="B301" s="264" t="s">
        <v>2394</v>
      </c>
      <c r="C301" s="264" t="s">
        <v>279</v>
      </c>
      <c r="D301" s="264">
        <v>15</v>
      </c>
      <c r="E301" s="264" t="s">
        <v>935</v>
      </c>
      <c r="F301" s="264" t="s">
        <v>3134</v>
      </c>
      <c r="G301" s="264"/>
      <c r="H301" s="264"/>
      <c r="I301" s="266" t="s">
        <v>5819</v>
      </c>
      <c r="J301" s="264"/>
      <c r="K301" s="264" t="s">
        <v>937</v>
      </c>
      <c r="L301" s="264" t="s">
        <v>936</v>
      </c>
      <c r="M301" s="264" t="s">
        <v>932</v>
      </c>
      <c r="N301" s="264"/>
      <c r="O301" s="264" t="s">
        <v>3216</v>
      </c>
      <c r="P301" s="264" t="s">
        <v>3217</v>
      </c>
      <c r="Q301" s="264"/>
    </row>
    <row r="302" spans="1:17">
      <c r="A302" s="263">
        <f t="shared" si="6"/>
        <v>301</v>
      </c>
      <c r="B302" s="263" t="s">
        <v>2395</v>
      </c>
      <c r="C302" s="263" t="s">
        <v>279</v>
      </c>
      <c r="D302" s="263">
        <v>5</v>
      </c>
      <c r="E302" s="263" t="s">
        <v>938</v>
      </c>
      <c r="F302" s="263" t="s">
        <v>3134</v>
      </c>
      <c r="G302" s="263"/>
      <c r="H302" s="263"/>
      <c r="I302" s="265" t="s">
        <v>5819</v>
      </c>
      <c r="J302" s="263"/>
      <c r="K302" s="263" t="s">
        <v>940</v>
      </c>
      <c r="L302" s="263" t="s">
        <v>939</v>
      </c>
      <c r="M302" s="263" t="s">
        <v>932</v>
      </c>
      <c r="N302" s="263"/>
      <c r="O302" s="263" t="s">
        <v>3216</v>
      </c>
      <c r="P302" s="263" t="s">
        <v>3217</v>
      </c>
      <c r="Q302" s="263"/>
    </row>
    <row r="303" spans="1:17" s="181" customFormat="1">
      <c r="A303" s="264">
        <f t="shared" si="6"/>
        <v>302</v>
      </c>
      <c r="B303" s="264" t="s">
        <v>2396</v>
      </c>
      <c r="C303" s="264" t="s">
        <v>279</v>
      </c>
      <c r="D303" s="264">
        <v>15</v>
      </c>
      <c r="E303" s="264" t="s">
        <v>941</v>
      </c>
      <c r="F303" s="264" t="s">
        <v>3134</v>
      </c>
      <c r="G303" s="264"/>
      <c r="H303" s="264"/>
      <c r="I303" s="266" t="s">
        <v>5819</v>
      </c>
      <c r="J303" s="264"/>
      <c r="K303" s="264" t="s">
        <v>943</v>
      </c>
      <c r="L303" s="264" t="s">
        <v>942</v>
      </c>
      <c r="M303" s="264" t="s">
        <v>932</v>
      </c>
      <c r="N303" s="264"/>
      <c r="O303" s="264" t="s">
        <v>3216</v>
      </c>
      <c r="P303" s="264" t="s">
        <v>3217</v>
      </c>
      <c r="Q303" s="264"/>
    </row>
    <row r="304" spans="1:17" s="181" customFormat="1">
      <c r="A304" s="264">
        <f t="shared" si="6"/>
        <v>303</v>
      </c>
      <c r="B304" s="264" t="s">
        <v>2397</v>
      </c>
      <c r="C304" s="264" t="s">
        <v>279</v>
      </c>
      <c r="D304" s="264">
        <v>5</v>
      </c>
      <c r="E304" s="264" t="s">
        <v>944</v>
      </c>
      <c r="F304" s="264" t="s">
        <v>3134</v>
      </c>
      <c r="G304" s="264"/>
      <c r="H304" s="264"/>
      <c r="I304" s="266" t="s">
        <v>5819</v>
      </c>
      <c r="J304" s="264"/>
      <c r="K304" s="264" t="s">
        <v>946</v>
      </c>
      <c r="L304" s="264" t="s">
        <v>945</v>
      </c>
      <c r="M304" s="264" t="s">
        <v>932</v>
      </c>
      <c r="N304" s="264"/>
      <c r="O304" s="264" t="s">
        <v>3216</v>
      </c>
      <c r="P304" s="264" t="s">
        <v>3217</v>
      </c>
      <c r="Q304" s="264"/>
    </row>
    <row r="305" spans="1:17" s="181" customFormat="1">
      <c r="A305" s="264">
        <f t="shared" si="6"/>
        <v>304</v>
      </c>
      <c r="B305" s="264" t="s">
        <v>2398</v>
      </c>
      <c r="C305" s="264" t="s">
        <v>279</v>
      </c>
      <c r="D305" s="264">
        <v>5</v>
      </c>
      <c r="E305" s="264" t="s">
        <v>947</v>
      </c>
      <c r="F305" s="264" t="s">
        <v>3134</v>
      </c>
      <c r="G305" s="264"/>
      <c r="H305" s="264"/>
      <c r="I305" s="266" t="s">
        <v>5819</v>
      </c>
      <c r="J305" s="264"/>
      <c r="K305" s="264" t="s">
        <v>949</v>
      </c>
      <c r="L305" s="264" t="s">
        <v>948</v>
      </c>
      <c r="M305" s="264" t="s">
        <v>932</v>
      </c>
      <c r="N305" s="264"/>
      <c r="O305" s="264" t="s">
        <v>3216</v>
      </c>
      <c r="P305" s="264" t="s">
        <v>3217</v>
      </c>
      <c r="Q305" s="264"/>
    </row>
    <row r="306" spans="1:17" s="181" customFormat="1">
      <c r="A306" s="264">
        <f t="shared" si="6"/>
        <v>305</v>
      </c>
      <c r="B306" s="264" t="s">
        <v>2399</v>
      </c>
      <c r="C306" s="264" t="s">
        <v>279</v>
      </c>
      <c r="D306" s="264">
        <v>15</v>
      </c>
      <c r="E306" s="264" t="s">
        <v>950</v>
      </c>
      <c r="F306" s="264" t="s">
        <v>3134</v>
      </c>
      <c r="G306" s="264"/>
      <c r="H306" s="264"/>
      <c r="I306" s="266" t="s">
        <v>5819</v>
      </c>
      <c r="J306" s="264"/>
      <c r="K306" s="264" t="s">
        <v>952</v>
      </c>
      <c r="L306" s="264" t="s">
        <v>951</v>
      </c>
      <c r="M306" s="264" t="s">
        <v>932</v>
      </c>
      <c r="N306" s="264"/>
      <c r="O306" s="264" t="s">
        <v>3216</v>
      </c>
      <c r="P306" s="264" t="s">
        <v>3217</v>
      </c>
      <c r="Q306" s="264"/>
    </row>
    <row r="307" spans="1:17" s="181" customFormat="1">
      <c r="A307" s="264">
        <f t="shared" si="6"/>
        <v>306</v>
      </c>
      <c r="B307" s="264" t="s">
        <v>2400</v>
      </c>
      <c r="C307" s="264" t="s">
        <v>279</v>
      </c>
      <c r="D307" s="264">
        <v>5</v>
      </c>
      <c r="E307" s="264" t="s">
        <v>953</v>
      </c>
      <c r="F307" s="264" t="s">
        <v>3134</v>
      </c>
      <c r="G307" s="264"/>
      <c r="H307" s="264"/>
      <c r="I307" s="266" t="s">
        <v>5819</v>
      </c>
      <c r="J307" s="264"/>
      <c r="K307" s="264" t="s">
        <v>955</v>
      </c>
      <c r="L307" s="264" t="s">
        <v>954</v>
      </c>
      <c r="M307" s="264" t="s">
        <v>932</v>
      </c>
      <c r="N307" s="264"/>
      <c r="O307" s="264" t="s">
        <v>3216</v>
      </c>
      <c r="P307" s="264" t="s">
        <v>3217</v>
      </c>
      <c r="Q307" s="264"/>
    </row>
    <row r="308" spans="1:17" s="181" customFormat="1">
      <c r="A308" s="264">
        <f t="shared" si="6"/>
        <v>307</v>
      </c>
      <c r="B308" s="264" t="s">
        <v>2401</v>
      </c>
      <c r="C308" s="264" t="s">
        <v>279</v>
      </c>
      <c r="D308" s="264">
        <v>5</v>
      </c>
      <c r="E308" s="264" t="s">
        <v>956</v>
      </c>
      <c r="F308" s="264" t="s">
        <v>3134</v>
      </c>
      <c r="G308" s="264"/>
      <c r="H308" s="264"/>
      <c r="I308" s="266" t="s">
        <v>5819</v>
      </c>
      <c r="J308" s="264"/>
      <c r="K308" s="264" t="s">
        <v>956</v>
      </c>
      <c r="L308" s="264" t="s">
        <v>957</v>
      </c>
      <c r="M308" s="264" t="s">
        <v>932</v>
      </c>
      <c r="N308" s="264"/>
      <c r="O308" s="264" t="s">
        <v>3216</v>
      </c>
      <c r="P308" s="264" t="s">
        <v>3217</v>
      </c>
      <c r="Q308" s="264"/>
    </row>
    <row r="309" spans="1:17" s="181" customFormat="1">
      <c r="A309" s="264">
        <f t="shared" si="6"/>
        <v>308</v>
      </c>
      <c r="B309" s="264" t="s">
        <v>2402</v>
      </c>
      <c r="C309" s="264" t="s">
        <v>279</v>
      </c>
      <c r="D309" s="264">
        <v>5</v>
      </c>
      <c r="E309" s="264" t="s">
        <v>958</v>
      </c>
      <c r="F309" s="264" t="s">
        <v>3134</v>
      </c>
      <c r="G309" s="264"/>
      <c r="H309" s="264"/>
      <c r="I309" s="266" t="s">
        <v>5819</v>
      </c>
      <c r="J309" s="264"/>
      <c r="K309" s="264" t="s">
        <v>960</v>
      </c>
      <c r="L309" s="264" t="s">
        <v>959</v>
      </c>
      <c r="M309" s="264" t="s">
        <v>932</v>
      </c>
      <c r="N309" s="264"/>
      <c r="O309" s="264" t="s">
        <v>3216</v>
      </c>
      <c r="P309" s="264" t="s">
        <v>3217</v>
      </c>
      <c r="Q309" s="264"/>
    </row>
    <row r="310" spans="1:17" s="181" customFormat="1">
      <c r="A310" s="264">
        <f t="shared" si="6"/>
        <v>309</v>
      </c>
      <c r="B310" s="264" t="s">
        <v>2403</v>
      </c>
      <c r="C310" s="264" t="s">
        <v>279</v>
      </c>
      <c r="D310" s="264">
        <v>15</v>
      </c>
      <c r="E310" s="264" t="s">
        <v>961</v>
      </c>
      <c r="F310" s="264" t="s">
        <v>3134</v>
      </c>
      <c r="G310" s="264"/>
      <c r="H310" s="264"/>
      <c r="I310" s="266" t="s">
        <v>5819</v>
      </c>
      <c r="J310" s="264"/>
      <c r="K310" s="264" t="s">
        <v>963</v>
      </c>
      <c r="L310" s="264" t="s">
        <v>962</v>
      </c>
      <c r="M310" s="264" t="s">
        <v>932</v>
      </c>
      <c r="N310" s="264"/>
      <c r="O310" s="264" t="s">
        <v>3216</v>
      </c>
      <c r="P310" s="264" t="s">
        <v>3217</v>
      </c>
      <c r="Q310" s="264"/>
    </row>
    <row r="311" spans="1:17" s="181" customFormat="1">
      <c r="A311" s="264">
        <f t="shared" si="6"/>
        <v>310</v>
      </c>
      <c r="B311" s="264" t="s">
        <v>2404</v>
      </c>
      <c r="C311" s="264" t="s">
        <v>279</v>
      </c>
      <c r="D311" s="264">
        <v>15</v>
      </c>
      <c r="E311" s="264" t="s">
        <v>964</v>
      </c>
      <c r="F311" s="264" t="s">
        <v>3134</v>
      </c>
      <c r="G311" s="264"/>
      <c r="H311" s="264"/>
      <c r="I311" s="266" t="s">
        <v>5819</v>
      </c>
      <c r="J311" s="264"/>
      <c r="K311" s="264" t="s">
        <v>966</v>
      </c>
      <c r="L311" s="264" t="s">
        <v>965</v>
      </c>
      <c r="M311" s="264" t="s">
        <v>932</v>
      </c>
      <c r="N311" s="264"/>
      <c r="O311" s="264" t="s">
        <v>3216</v>
      </c>
      <c r="P311" s="264" t="s">
        <v>3217</v>
      </c>
      <c r="Q311" s="264"/>
    </row>
    <row r="312" spans="1:17" s="181" customFormat="1">
      <c r="A312" s="264">
        <f t="shared" si="6"/>
        <v>311</v>
      </c>
      <c r="B312" s="264" t="s">
        <v>2405</v>
      </c>
      <c r="C312" s="264" t="s">
        <v>279</v>
      </c>
      <c r="D312" s="264">
        <v>15</v>
      </c>
      <c r="E312" s="264" t="s">
        <v>967</v>
      </c>
      <c r="F312" s="264" t="s">
        <v>3134</v>
      </c>
      <c r="G312" s="264"/>
      <c r="H312" s="264"/>
      <c r="I312" s="266" t="s">
        <v>5819</v>
      </c>
      <c r="J312" s="264"/>
      <c r="K312" s="264" t="s">
        <v>969</v>
      </c>
      <c r="L312" s="264" t="s">
        <v>968</v>
      </c>
      <c r="M312" s="264" t="s">
        <v>932</v>
      </c>
      <c r="N312" s="264"/>
      <c r="O312" s="264" t="s">
        <v>3216</v>
      </c>
      <c r="P312" s="264" t="s">
        <v>3217</v>
      </c>
      <c r="Q312" s="264"/>
    </row>
    <row r="313" spans="1:17" s="181" customFormat="1">
      <c r="A313" s="264">
        <f t="shared" si="6"/>
        <v>312</v>
      </c>
      <c r="B313" s="264" t="s">
        <v>2406</v>
      </c>
      <c r="C313" s="264" t="s">
        <v>279</v>
      </c>
      <c r="D313" s="264">
        <v>5</v>
      </c>
      <c r="E313" s="264" t="s">
        <v>970</v>
      </c>
      <c r="F313" s="264" t="s">
        <v>3134</v>
      </c>
      <c r="G313" s="264"/>
      <c r="H313" s="264"/>
      <c r="I313" s="266" t="s">
        <v>5819</v>
      </c>
      <c r="J313" s="264"/>
      <c r="K313" s="264" t="s">
        <v>972</v>
      </c>
      <c r="L313" s="264" t="s">
        <v>971</v>
      </c>
      <c r="M313" s="264" t="s">
        <v>932</v>
      </c>
      <c r="N313" s="264"/>
      <c r="O313" s="264" t="s">
        <v>3216</v>
      </c>
      <c r="P313" s="264" t="s">
        <v>3217</v>
      </c>
      <c r="Q313" s="264"/>
    </row>
    <row r="314" spans="1:17">
      <c r="A314" s="263">
        <f t="shared" si="6"/>
        <v>313</v>
      </c>
      <c r="B314" s="263" t="s">
        <v>2407</v>
      </c>
      <c r="C314" s="263" t="s">
        <v>279</v>
      </c>
      <c r="D314" s="263">
        <v>5</v>
      </c>
      <c r="E314" s="263" t="s">
        <v>973</v>
      </c>
      <c r="F314" s="263" t="s">
        <v>3134</v>
      </c>
      <c r="G314" s="263"/>
      <c r="H314" s="263"/>
      <c r="I314" s="265" t="s">
        <v>5819</v>
      </c>
      <c r="J314" s="263" t="s">
        <v>5453</v>
      </c>
      <c r="K314" s="263" t="s">
        <v>975</v>
      </c>
      <c r="L314" s="263" t="s">
        <v>974</v>
      </c>
      <c r="M314" s="263" t="s">
        <v>932</v>
      </c>
      <c r="N314" s="263"/>
      <c r="O314" s="263" t="s">
        <v>3216</v>
      </c>
      <c r="P314" s="263" t="s">
        <v>3217</v>
      </c>
      <c r="Q314" s="263"/>
    </row>
    <row r="315" spans="1:17">
      <c r="A315" s="263">
        <f t="shared" si="6"/>
        <v>314</v>
      </c>
      <c r="B315" s="263" t="s">
        <v>2408</v>
      </c>
      <c r="C315" s="263" t="s">
        <v>279</v>
      </c>
      <c r="D315" s="263">
        <v>5</v>
      </c>
      <c r="E315" s="263" t="s">
        <v>976</v>
      </c>
      <c r="F315" s="263" t="s">
        <v>3134</v>
      </c>
      <c r="G315" s="263"/>
      <c r="H315" s="263"/>
      <c r="I315" s="265" t="s">
        <v>5819</v>
      </c>
      <c r="J315" s="263" t="s">
        <v>5453</v>
      </c>
      <c r="K315" s="263" t="s">
        <v>978</v>
      </c>
      <c r="L315" s="263" t="s">
        <v>977</v>
      </c>
      <c r="M315" s="263" t="s">
        <v>932</v>
      </c>
      <c r="N315" s="263"/>
      <c r="O315" s="263" t="s">
        <v>3216</v>
      </c>
      <c r="P315" s="263" t="s">
        <v>3217</v>
      </c>
      <c r="Q315" s="263"/>
    </row>
    <row r="316" spans="1:17">
      <c r="A316" s="263">
        <f t="shared" si="6"/>
        <v>315</v>
      </c>
      <c r="B316" s="263" t="s">
        <v>2409</v>
      </c>
      <c r="C316" s="263" t="s">
        <v>279</v>
      </c>
      <c r="D316" s="263">
        <v>5</v>
      </c>
      <c r="E316" s="263" t="s">
        <v>979</v>
      </c>
      <c r="F316" s="263" t="s">
        <v>3134</v>
      </c>
      <c r="G316" s="263"/>
      <c r="H316" s="263"/>
      <c r="I316" s="265" t="s">
        <v>5819</v>
      </c>
      <c r="J316" s="263" t="s">
        <v>5453</v>
      </c>
      <c r="K316" s="263" t="s">
        <v>981</v>
      </c>
      <c r="L316" s="263" t="s">
        <v>980</v>
      </c>
      <c r="M316" s="263" t="s">
        <v>932</v>
      </c>
      <c r="N316" s="263"/>
      <c r="O316" s="263" t="s">
        <v>3216</v>
      </c>
      <c r="P316" s="263" t="s">
        <v>3217</v>
      </c>
      <c r="Q316" s="263"/>
    </row>
    <row r="317" spans="1:17">
      <c r="A317" s="263">
        <f t="shared" si="6"/>
        <v>316</v>
      </c>
      <c r="B317" s="263" t="s">
        <v>2410</v>
      </c>
      <c r="C317" s="263" t="s">
        <v>279</v>
      </c>
      <c r="D317" s="263">
        <v>15</v>
      </c>
      <c r="E317" s="263" t="s">
        <v>1429</v>
      </c>
      <c r="F317" s="263" t="s">
        <v>3134</v>
      </c>
      <c r="G317" s="263"/>
      <c r="H317" s="263"/>
      <c r="I317" s="265" t="s">
        <v>5819</v>
      </c>
      <c r="J317" s="263" t="s">
        <v>5453</v>
      </c>
      <c r="K317" s="263" t="s">
        <v>983</v>
      </c>
      <c r="L317" s="263" t="s">
        <v>982</v>
      </c>
      <c r="M317" s="263" t="s">
        <v>932</v>
      </c>
      <c r="N317" s="263"/>
      <c r="O317" s="263" t="s">
        <v>3216</v>
      </c>
      <c r="P317" s="263" t="s">
        <v>3217</v>
      </c>
      <c r="Q317" s="263"/>
    </row>
    <row r="318" spans="1:17" s="181" customFormat="1">
      <c r="A318" s="264">
        <f t="shared" si="6"/>
        <v>317</v>
      </c>
      <c r="B318" s="264" t="s">
        <v>2411</v>
      </c>
      <c r="C318" s="264" t="s">
        <v>279</v>
      </c>
      <c r="D318" s="264">
        <v>5</v>
      </c>
      <c r="E318" s="264" t="s">
        <v>984</v>
      </c>
      <c r="F318" s="264" t="s">
        <v>3134</v>
      </c>
      <c r="G318" s="264"/>
      <c r="H318" s="264"/>
      <c r="I318" s="266" t="s">
        <v>5819</v>
      </c>
      <c r="J318" s="264"/>
      <c r="K318" s="264" t="s">
        <v>986</v>
      </c>
      <c r="L318" s="264" t="s">
        <v>985</v>
      </c>
      <c r="M318" s="264" t="s">
        <v>932</v>
      </c>
      <c r="N318" s="264"/>
      <c r="O318" s="264" t="s">
        <v>3216</v>
      </c>
      <c r="P318" s="264" t="s">
        <v>3217</v>
      </c>
      <c r="Q318" s="264"/>
    </row>
    <row r="319" spans="1:17" s="181" customFormat="1">
      <c r="A319" s="264">
        <f t="shared" si="6"/>
        <v>318</v>
      </c>
      <c r="B319" s="264" t="s">
        <v>2412</v>
      </c>
      <c r="C319" s="264" t="s">
        <v>279</v>
      </c>
      <c r="D319" s="264">
        <v>5</v>
      </c>
      <c r="E319" s="264" t="s">
        <v>987</v>
      </c>
      <c r="F319" s="264" t="s">
        <v>3134</v>
      </c>
      <c r="G319" s="264"/>
      <c r="H319" s="264"/>
      <c r="I319" s="266" t="s">
        <v>5819</v>
      </c>
      <c r="J319" s="264"/>
      <c r="K319" s="264" t="s">
        <v>989</v>
      </c>
      <c r="L319" s="264" t="s">
        <v>988</v>
      </c>
      <c r="M319" s="264" t="s">
        <v>932</v>
      </c>
      <c r="N319" s="264"/>
      <c r="O319" s="264" t="s">
        <v>3216</v>
      </c>
      <c r="P319" s="264" t="s">
        <v>3217</v>
      </c>
      <c r="Q319" s="264"/>
    </row>
    <row r="320" spans="1:17" s="181" customFormat="1">
      <c r="A320" s="264">
        <f t="shared" si="6"/>
        <v>319</v>
      </c>
      <c r="B320" s="264" t="s">
        <v>2413</v>
      </c>
      <c r="C320" s="264" t="s">
        <v>279</v>
      </c>
      <c r="D320" s="264">
        <v>5</v>
      </c>
      <c r="E320" s="264" t="s">
        <v>990</v>
      </c>
      <c r="F320" s="264" t="s">
        <v>3134</v>
      </c>
      <c r="G320" s="264"/>
      <c r="H320" s="264"/>
      <c r="I320" s="266" t="s">
        <v>5819</v>
      </c>
      <c r="J320" s="264"/>
      <c r="K320" s="264" t="s">
        <v>992</v>
      </c>
      <c r="L320" s="264" t="s">
        <v>991</v>
      </c>
      <c r="M320" s="264" t="s">
        <v>932</v>
      </c>
      <c r="N320" s="264"/>
      <c r="O320" s="264" t="s">
        <v>3216</v>
      </c>
      <c r="P320" s="264" t="s">
        <v>3217</v>
      </c>
      <c r="Q320" s="264"/>
    </row>
    <row r="321" spans="1:17" s="181" customFormat="1">
      <c r="A321" s="264">
        <f t="shared" si="6"/>
        <v>320</v>
      </c>
      <c r="B321" s="264" t="s">
        <v>2414</v>
      </c>
      <c r="C321" s="264" t="s">
        <v>279</v>
      </c>
      <c r="D321" s="264">
        <v>5</v>
      </c>
      <c r="E321" s="264" t="s">
        <v>993</v>
      </c>
      <c r="F321" s="264" t="s">
        <v>3134</v>
      </c>
      <c r="G321" s="264"/>
      <c r="H321" s="264"/>
      <c r="I321" s="266" t="s">
        <v>5819</v>
      </c>
      <c r="J321" s="264"/>
      <c r="K321" s="264" t="s">
        <v>995</v>
      </c>
      <c r="L321" s="264" t="s">
        <v>994</v>
      </c>
      <c r="M321" s="264" t="s">
        <v>932</v>
      </c>
      <c r="N321" s="264"/>
      <c r="O321" s="264" t="s">
        <v>3216</v>
      </c>
      <c r="P321" s="264" t="s">
        <v>3217</v>
      </c>
      <c r="Q321" s="264"/>
    </row>
    <row r="322" spans="1:17" s="181" customFormat="1">
      <c r="A322" s="264">
        <f t="shared" si="6"/>
        <v>321</v>
      </c>
      <c r="B322" s="264" t="s">
        <v>2415</v>
      </c>
      <c r="C322" s="264" t="s">
        <v>279</v>
      </c>
      <c r="D322" s="264">
        <v>5</v>
      </c>
      <c r="E322" s="264" t="s">
        <v>996</v>
      </c>
      <c r="F322" s="264" t="s">
        <v>3134</v>
      </c>
      <c r="G322" s="264"/>
      <c r="H322" s="264"/>
      <c r="I322" s="266" t="s">
        <v>5819</v>
      </c>
      <c r="J322" s="264"/>
      <c r="K322" s="264" t="s">
        <v>998</v>
      </c>
      <c r="L322" s="264" t="s">
        <v>997</v>
      </c>
      <c r="M322" s="264" t="s">
        <v>932</v>
      </c>
      <c r="N322" s="264"/>
      <c r="O322" s="264" t="s">
        <v>3216</v>
      </c>
      <c r="P322" s="264" t="s">
        <v>3217</v>
      </c>
      <c r="Q322" s="264"/>
    </row>
    <row r="323" spans="1:17" s="181" customFormat="1">
      <c r="A323" s="264">
        <f t="shared" si="6"/>
        <v>322</v>
      </c>
      <c r="B323" s="264" t="s">
        <v>2416</v>
      </c>
      <c r="C323" s="264" t="s">
        <v>279</v>
      </c>
      <c r="D323" s="264">
        <v>5</v>
      </c>
      <c r="E323" s="264" t="s">
        <v>999</v>
      </c>
      <c r="F323" s="264" t="s">
        <v>3134</v>
      </c>
      <c r="G323" s="264"/>
      <c r="H323" s="264"/>
      <c r="I323" s="266" t="s">
        <v>5819</v>
      </c>
      <c r="J323" s="264"/>
      <c r="K323" s="264" t="s">
        <v>1001</v>
      </c>
      <c r="L323" s="264" t="s">
        <v>1000</v>
      </c>
      <c r="M323" s="264" t="s">
        <v>932</v>
      </c>
      <c r="N323" s="264"/>
      <c r="O323" s="264" t="s">
        <v>3216</v>
      </c>
      <c r="P323" s="264" t="s">
        <v>3217</v>
      </c>
      <c r="Q323" s="264"/>
    </row>
    <row r="324" spans="1:17" s="181" customFormat="1">
      <c r="A324" s="264">
        <f t="shared" si="6"/>
        <v>323</v>
      </c>
      <c r="B324" s="264" t="s">
        <v>2417</v>
      </c>
      <c r="C324" s="264" t="s">
        <v>279</v>
      </c>
      <c r="D324" s="264">
        <v>5</v>
      </c>
      <c r="E324" s="264" t="s">
        <v>1002</v>
      </c>
      <c r="F324" s="264" t="s">
        <v>3134</v>
      </c>
      <c r="G324" s="264"/>
      <c r="H324" s="264"/>
      <c r="I324" s="266" t="s">
        <v>5819</v>
      </c>
      <c r="J324" s="264"/>
      <c r="K324" s="264" t="s">
        <v>1004</v>
      </c>
      <c r="L324" s="264" t="s">
        <v>1003</v>
      </c>
      <c r="M324" s="264" t="s">
        <v>932</v>
      </c>
      <c r="N324" s="264"/>
      <c r="O324" s="264" t="s">
        <v>3216</v>
      </c>
      <c r="P324" s="264" t="s">
        <v>3217</v>
      </c>
      <c r="Q324" s="264"/>
    </row>
    <row r="325" spans="1:17" s="181" customFormat="1">
      <c r="A325" s="264">
        <f t="shared" si="6"/>
        <v>324</v>
      </c>
      <c r="B325" s="264" t="s">
        <v>2418</v>
      </c>
      <c r="C325" s="264" t="s">
        <v>279</v>
      </c>
      <c r="D325" s="264">
        <v>5</v>
      </c>
      <c r="E325" s="264" t="s">
        <v>1005</v>
      </c>
      <c r="F325" s="264" t="s">
        <v>3134</v>
      </c>
      <c r="G325" s="264"/>
      <c r="H325" s="264"/>
      <c r="I325" s="266" t="s">
        <v>5819</v>
      </c>
      <c r="J325" s="264"/>
      <c r="K325" s="264" t="s">
        <v>1007</v>
      </c>
      <c r="L325" s="264" t="s">
        <v>1006</v>
      </c>
      <c r="M325" s="264" t="s">
        <v>932</v>
      </c>
      <c r="N325" s="264"/>
      <c r="O325" s="264" t="s">
        <v>3216</v>
      </c>
      <c r="P325" s="264" t="s">
        <v>3217</v>
      </c>
      <c r="Q325" s="264"/>
    </row>
    <row r="326" spans="1:17" s="181" customFormat="1">
      <c r="A326" s="264">
        <f t="shared" si="6"/>
        <v>325</v>
      </c>
      <c r="B326" s="264" t="s">
        <v>2419</v>
      </c>
      <c r="C326" s="264" t="s">
        <v>279</v>
      </c>
      <c r="D326" s="264">
        <v>5</v>
      </c>
      <c r="E326" s="264" t="s">
        <v>1008</v>
      </c>
      <c r="F326" s="264" t="s">
        <v>3134</v>
      </c>
      <c r="G326" s="264"/>
      <c r="H326" s="264"/>
      <c r="I326" s="266" t="s">
        <v>5819</v>
      </c>
      <c r="J326" s="264"/>
      <c r="K326" s="264" t="s">
        <v>1010</v>
      </c>
      <c r="L326" s="264" t="s">
        <v>1009</v>
      </c>
      <c r="M326" s="264" t="s">
        <v>932</v>
      </c>
      <c r="N326" s="264"/>
      <c r="O326" s="264" t="s">
        <v>3216</v>
      </c>
      <c r="P326" s="264" t="s">
        <v>3217</v>
      </c>
      <c r="Q326" s="264"/>
    </row>
    <row r="327" spans="1:17" s="181" customFormat="1">
      <c r="A327" s="264">
        <f t="shared" si="6"/>
        <v>326</v>
      </c>
      <c r="B327" s="264" t="s">
        <v>2420</v>
      </c>
      <c r="C327" s="264" t="s">
        <v>279</v>
      </c>
      <c r="D327" s="264">
        <v>5</v>
      </c>
      <c r="E327" s="264" t="s">
        <v>1011</v>
      </c>
      <c r="F327" s="264" t="s">
        <v>3134</v>
      </c>
      <c r="G327" s="264"/>
      <c r="H327" s="264"/>
      <c r="I327" s="266" t="s">
        <v>5819</v>
      </c>
      <c r="J327" s="264"/>
      <c r="K327" s="264" t="s">
        <v>1013</v>
      </c>
      <c r="L327" s="264" t="s">
        <v>1012</v>
      </c>
      <c r="M327" s="264" t="s">
        <v>932</v>
      </c>
      <c r="N327" s="264"/>
      <c r="O327" s="264" t="s">
        <v>3216</v>
      </c>
      <c r="P327" s="264" t="s">
        <v>3217</v>
      </c>
      <c r="Q327" s="264"/>
    </row>
    <row r="328" spans="1:17">
      <c r="A328" s="263">
        <f t="shared" si="6"/>
        <v>327</v>
      </c>
      <c r="B328" s="263" t="s">
        <v>2421</v>
      </c>
      <c r="C328" s="263" t="s">
        <v>279</v>
      </c>
      <c r="D328" s="263">
        <v>5</v>
      </c>
      <c r="E328" s="263" t="s">
        <v>1014</v>
      </c>
      <c r="F328" s="263" t="s">
        <v>3134</v>
      </c>
      <c r="G328" s="263"/>
      <c r="H328" s="263"/>
      <c r="I328" s="265" t="s">
        <v>5819</v>
      </c>
      <c r="J328" s="263"/>
      <c r="K328" s="263" t="s">
        <v>1016</v>
      </c>
      <c r="L328" s="263" t="s">
        <v>1015</v>
      </c>
      <c r="M328" s="263" t="s">
        <v>932</v>
      </c>
      <c r="N328" s="263"/>
      <c r="O328" s="263" t="s">
        <v>3216</v>
      </c>
      <c r="P328" s="263" t="s">
        <v>3217</v>
      </c>
      <c r="Q328" s="263"/>
    </row>
    <row r="329" spans="1:17" s="181" customFormat="1">
      <c r="A329" s="264">
        <f t="shared" si="6"/>
        <v>328</v>
      </c>
      <c r="B329" s="264" t="s">
        <v>2422</v>
      </c>
      <c r="C329" s="264" t="s">
        <v>279</v>
      </c>
      <c r="D329" s="264">
        <v>5</v>
      </c>
      <c r="E329" s="264" t="s">
        <v>1017</v>
      </c>
      <c r="F329" s="264" t="s">
        <v>3134</v>
      </c>
      <c r="G329" s="264"/>
      <c r="H329" s="264"/>
      <c r="I329" s="266" t="s">
        <v>5819</v>
      </c>
      <c r="J329" s="264"/>
      <c r="K329" s="264" t="s">
        <v>1019</v>
      </c>
      <c r="L329" s="264" t="s">
        <v>1018</v>
      </c>
      <c r="M329" s="264" t="s">
        <v>932</v>
      </c>
      <c r="N329" s="264"/>
      <c r="O329" s="264" t="s">
        <v>3216</v>
      </c>
      <c r="P329" s="264" t="s">
        <v>3217</v>
      </c>
      <c r="Q329" s="264"/>
    </row>
    <row r="330" spans="1:17" s="181" customFormat="1">
      <c r="A330" s="264">
        <f t="shared" si="6"/>
        <v>329</v>
      </c>
      <c r="B330" s="264" t="s">
        <v>2423</v>
      </c>
      <c r="C330" s="264" t="s">
        <v>279</v>
      </c>
      <c r="D330" s="264">
        <v>5</v>
      </c>
      <c r="E330" s="264" t="s">
        <v>1020</v>
      </c>
      <c r="F330" s="264" t="s">
        <v>3134</v>
      </c>
      <c r="G330" s="264"/>
      <c r="H330" s="264"/>
      <c r="I330" s="266" t="s">
        <v>5819</v>
      </c>
      <c r="J330" s="264"/>
      <c r="K330" s="264" t="s">
        <v>1022</v>
      </c>
      <c r="L330" s="264" t="s">
        <v>1021</v>
      </c>
      <c r="M330" s="264" t="s">
        <v>932</v>
      </c>
      <c r="N330" s="264"/>
      <c r="O330" s="264" t="s">
        <v>3216</v>
      </c>
      <c r="P330" s="264" t="s">
        <v>3217</v>
      </c>
      <c r="Q330" s="264"/>
    </row>
    <row r="331" spans="1:17">
      <c r="A331" s="263">
        <f t="shared" si="6"/>
        <v>330</v>
      </c>
      <c r="B331" s="263" t="s">
        <v>2425</v>
      </c>
      <c r="C331" s="263" t="s">
        <v>279</v>
      </c>
      <c r="D331" s="263">
        <v>4</v>
      </c>
      <c r="E331" s="263" t="s">
        <v>1023</v>
      </c>
      <c r="F331" s="263" t="s">
        <v>3134</v>
      </c>
      <c r="G331" s="263"/>
      <c r="H331" s="263"/>
      <c r="I331" s="265" t="s">
        <v>5819</v>
      </c>
      <c r="J331" s="263" t="s">
        <v>5453</v>
      </c>
      <c r="K331" s="263" t="s">
        <v>5876</v>
      </c>
      <c r="L331" s="263" t="s">
        <v>5454</v>
      </c>
      <c r="M331" s="263"/>
      <c r="N331" s="263"/>
      <c r="O331" s="263"/>
      <c r="P331" s="263"/>
      <c r="Q331" s="263"/>
    </row>
    <row r="332" spans="1:17">
      <c r="A332" s="263">
        <f t="shared" si="6"/>
        <v>331</v>
      </c>
      <c r="B332" s="263" t="s">
        <v>2427</v>
      </c>
      <c r="C332" s="263" t="s">
        <v>275</v>
      </c>
      <c r="D332" s="263">
        <v>2</v>
      </c>
      <c r="E332" s="263" t="s">
        <v>1026</v>
      </c>
      <c r="F332" s="263" t="s">
        <v>3134</v>
      </c>
      <c r="G332" s="263"/>
      <c r="H332" s="263"/>
      <c r="I332" s="265" t="s">
        <v>5869</v>
      </c>
      <c r="J332" s="263" t="s">
        <v>5877</v>
      </c>
      <c r="K332" s="263" t="s">
        <v>12</v>
      </c>
      <c r="L332" s="263"/>
      <c r="M332" s="263"/>
      <c r="N332" s="263"/>
      <c r="O332" s="263"/>
      <c r="P332" s="263"/>
      <c r="Q332" s="263"/>
    </row>
    <row r="333" spans="1:17" s="181" customFormat="1" ht="33.75">
      <c r="A333" s="264">
        <f t="shared" si="6"/>
        <v>332</v>
      </c>
      <c r="B333" s="264"/>
      <c r="C333" s="264" t="s">
        <v>275</v>
      </c>
      <c r="D333" s="264">
        <v>2</v>
      </c>
      <c r="E333" s="264" t="s">
        <v>1028</v>
      </c>
      <c r="F333" s="264" t="s">
        <v>3221</v>
      </c>
      <c r="G333" s="264"/>
      <c r="H333" s="264"/>
      <c r="I333" s="266" t="s">
        <v>3032</v>
      </c>
      <c r="J333" s="264"/>
      <c r="K333" s="264" t="s">
        <v>1030</v>
      </c>
      <c r="L333" s="264" t="s">
        <v>1029</v>
      </c>
      <c r="M333" s="264" t="s">
        <v>932</v>
      </c>
      <c r="N333" s="264"/>
      <c r="O333" s="264" t="s">
        <v>2986</v>
      </c>
      <c r="P333" s="264" t="s">
        <v>3222</v>
      </c>
      <c r="Q333" s="264"/>
    </row>
    <row r="334" spans="1:17">
      <c r="A334" s="263">
        <f t="shared" si="6"/>
        <v>333</v>
      </c>
      <c r="B334" s="263" t="s">
        <v>2428</v>
      </c>
      <c r="C334" s="263" t="s">
        <v>279</v>
      </c>
      <c r="D334" s="263">
        <v>4</v>
      </c>
      <c r="E334" s="263" t="s">
        <v>1031</v>
      </c>
      <c r="F334" s="263" t="s">
        <v>3134</v>
      </c>
      <c r="G334" s="263"/>
      <c r="H334" s="263"/>
      <c r="I334" s="265" t="s">
        <v>5819</v>
      </c>
      <c r="J334" s="263" t="s">
        <v>5453</v>
      </c>
      <c r="K334" s="263" t="s">
        <v>1033</v>
      </c>
      <c r="L334" s="263" t="s">
        <v>1032</v>
      </c>
      <c r="M334" s="263" t="s">
        <v>932</v>
      </c>
      <c r="N334" s="263"/>
      <c r="O334" s="263" t="s">
        <v>3216</v>
      </c>
      <c r="P334" s="263" t="s">
        <v>3217</v>
      </c>
      <c r="Q334" s="263"/>
    </row>
    <row r="335" spans="1:17">
      <c r="A335" s="263">
        <f t="shared" si="6"/>
        <v>334</v>
      </c>
      <c r="B335" s="263" t="s">
        <v>2429</v>
      </c>
      <c r="C335" s="263" t="s">
        <v>275</v>
      </c>
      <c r="D335" s="263">
        <v>2</v>
      </c>
      <c r="E335" s="263" t="s">
        <v>1034</v>
      </c>
      <c r="F335" s="263" t="s">
        <v>3134</v>
      </c>
      <c r="G335" s="263"/>
      <c r="H335" s="263"/>
      <c r="I335" s="265" t="s">
        <v>5819</v>
      </c>
      <c r="J335" s="263" t="s">
        <v>5453</v>
      </c>
      <c r="K335" s="263" t="s">
        <v>1036</v>
      </c>
      <c r="L335" s="263" t="s">
        <v>1035</v>
      </c>
      <c r="M335" s="263" t="s">
        <v>932</v>
      </c>
      <c r="N335" s="263"/>
      <c r="O335" s="263" t="s">
        <v>3216</v>
      </c>
      <c r="P335" s="263" t="s">
        <v>3217</v>
      </c>
      <c r="Q335" s="263"/>
    </row>
    <row r="336" spans="1:17">
      <c r="A336" s="263">
        <f t="shared" si="6"/>
        <v>335</v>
      </c>
      <c r="B336" s="263" t="s">
        <v>2430</v>
      </c>
      <c r="C336" s="263" t="s">
        <v>279</v>
      </c>
      <c r="D336" s="263">
        <v>4</v>
      </c>
      <c r="E336" s="263" t="s">
        <v>1037</v>
      </c>
      <c r="F336" s="263" t="s">
        <v>3134</v>
      </c>
      <c r="G336" s="263"/>
      <c r="H336" s="263"/>
      <c r="I336" s="265" t="s">
        <v>5819</v>
      </c>
      <c r="J336" s="263" t="s">
        <v>5453</v>
      </c>
      <c r="K336" s="263" t="s">
        <v>1039</v>
      </c>
      <c r="L336" s="263" t="s">
        <v>1038</v>
      </c>
      <c r="M336" s="263" t="s">
        <v>932</v>
      </c>
      <c r="N336" s="263"/>
      <c r="O336" s="263" t="s">
        <v>3216</v>
      </c>
      <c r="P336" s="263" t="s">
        <v>3217</v>
      </c>
      <c r="Q336" s="263"/>
    </row>
    <row r="337" spans="1:17">
      <c r="A337" s="263">
        <f t="shared" si="6"/>
        <v>336</v>
      </c>
      <c r="B337" s="263" t="s">
        <v>2431</v>
      </c>
      <c r="C337" s="263" t="s">
        <v>275</v>
      </c>
      <c r="D337" s="263">
        <v>2</v>
      </c>
      <c r="E337" s="263" t="s">
        <v>1040</v>
      </c>
      <c r="F337" s="263" t="s">
        <v>3134</v>
      </c>
      <c r="G337" s="263"/>
      <c r="H337" s="263"/>
      <c r="I337" s="265" t="s">
        <v>5819</v>
      </c>
      <c r="J337" s="263" t="s">
        <v>5453</v>
      </c>
      <c r="K337" s="263" t="s">
        <v>1042</v>
      </c>
      <c r="L337" s="263" t="s">
        <v>1041</v>
      </c>
      <c r="M337" s="263" t="s">
        <v>932</v>
      </c>
      <c r="N337" s="263"/>
      <c r="O337" s="263" t="s">
        <v>3216</v>
      </c>
      <c r="P337" s="263" t="s">
        <v>3217</v>
      </c>
      <c r="Q337" s="263"/>
    </row>
    <row r="338" spans="1:17">
      <c r="A338" s="263">
        <f t="shared" si="6"/>
        <v>337</v>
      </c>
      <c r="B338" s="263" t="s">
        <v>2432</v>
      </c>
      <c r="C338" s="263" t="s">
        <v>279</v>
      </c>
      <c r="D338" s="263">
        <v>4</v>
      </c>
      <c r="E338" s="263" t="s">
        <v>1043</v>
      </c>
      <c r="F338" s="263" t="s">
        <v>3134</v>
      </c>
      <c r="G338" s="263"/>
      <c r="H338" s="263"/>
      <c r="I338" s="265" t="s">
        <v>5819</v>
      </c>
      <c r="J338" s="263" t="s">
        <v>5453</v>
      </c>
      <c r="K338" s="263" t="s">
        <v>1045</v>
      </c>
      <c r="L338" s="263" t="s">
        <v>1044</v>
      </c>
      <c r="M338" s="263" t="s">
        <v>932</v>
      </c>
      <c r="N338" s="263"/>
      <c r="O338" s="263" t="s">
        <v>3216</v>
      </c>
      <c r="P338" s="263" t="s">
        <v>3217</v>
      </c>
      <c r="Q338" s="263"/>
    </row>
    <row r="339" spans="1:17">
      <c r="A339" s="263">
        <f t="shared" si="6"/>
        <v>338</v>
      </c>
      <c r="B339" s="263" t="s">
        <v>2433</v>
      </c>
      <c r="C339" s="263" t="s">
        <v>275</v>
      </c>
      <c r="D339" s="263">
        <v>2</v>
      </c>
      <c r="E339" s="263" t="s">
        <v>1046</v>
      </c>
      <c r="F339" s="263" t="s">
        <v>3134</v>
      </c>
      <c r="G339" s="263"/>
      <c r="H339" s="263"/>
      <c r="I339" s="265" t="s">
        <v>5819</v>
      </c>
      <c r="J339" s="263" t="s">
        <v>5453</v>
      </c>
      <c r="K339" s="263" t="s">
        <v>1048</v>
      </c>
      <c r="L339" s="263" t="s">
        <v>1047</v>
      </c>
      <c r="M339" s="263" t="s">
        <v>932</v>
      </c>
      <c r="N339" s="263"/>
      <c r="O339" s="263" t="s">
        <v>3216</v>
      </c>
      <c r="P339" s="263" t="s">
        <v>3217</v>
      </c>
      <c r="Q339" s="263"/>
    </row>
    <row r="340" spans="1:17">
      <c r="A340" s="263">
        <f t="shared" si="6"/>
        <v>339</v>
      </c>
      <c r="B340" s="263" t="s">
        <v>2434</v>
      </c>
      <c r="C340" s="263" t="s">
        <v>275</v>
      </c>
      <c r="D340" s="263">
        <v>9</v>
      </c>
      <c r="E340" s="263" t="s">
        <v>1049</v>
      </c>
      <c r="F340" s="263" t="s">
        <v>3134</v>
      </c>
      <c r="G340" s="263"/>
      <c r="H340" s="263"/>
      <c r="I340" s="265" t="s">
        <v>5819</v>
      </c>
      <c r="J340" s="263" t="s">
        <v>5453</v>
      </c>
      <c r="K340" s="263" t="s">
        <v>1050</v>
      </c>
      <c r="L340" s="263" t="s">
        <v>3110</v>
      </c>
      <c r="M340" s="263" t="s">
        <v>932</v>
      </c>
      <c r="N340" s="263"/>
      <c r="O340" s="263" t="s">
        <v>3216</v>
      </c>
      <c r="P340" s="263" t="s">
        <v>3217</v>
      </c>
      <c r="Q340" s="263"/>
    </row>
    <row r="341" spans="1:17">
      <c r="A341" s="263">
        <f t="shared" si="6"/>
        <v>340</v>
      </c>
      <c r="B341" s="263" t="s">
        <v>2435</v>
      </c>
      <c r="C341" s="263" t="s">
        <v>279</v>
      </c>
      <c r="D341" s="263">
        <v>15</v>
      </c>
      <c r="E341" s="263" t="s">
        <v>1433</v>
      </c>
      <c r="F341" s="263" t="s">
        <v>3134</v>
      </c>
      <c r="G341" s="263"/>
      <c r="H341" s="263"/>
      <c r="I341" s="265" t="s">
        <v>5819</v>
      </c>
      <c r="J341" s="263" t="s">
        <v>5453</v>
      </c>
      <c r="K341" s="263" t="s">
        <v>1052</v>
      </c>
      <c r="L341" s="263" t="s">
        <v>1051</v>
      </c>
      <c r="M341" s="263" t="s">
        <v>932</v>
      </c>
      <c r="N341" s="263"/>
      <c r="O341" s="263" t="s">
        <v>3216</v>
      </c>
      <c r="P341" s="263" t="s">
        <v>3217</v>
      </c>
      <c r="Q341" s="320" t="s">
        <v>3501</v>
      </c>
    </row>
    <row r="342" spans="1:17">
      <c r="A342" s="263">
        <f t="shared" si="6"/>
        <v>341</v>
      </c>
      <c r="B342" s="263" t="s">
        <v>2436</v>
      </c>
      <c r="C342" s="263" t="s">
        <v>279</v>
      </c>
      <c r="D342" s="263">
        <v>15</v>
      </c>
      <c r="E342" s="263" t="s">
        <v>1053</v>
      </c>
      <c r="F342" s="263" t="s">
        <v>3134</v>
      </c>
      <c r="G342" s="263"/>
      <c r="H342" s="263"/>
      <c r="I342" s="265" t="s">
        <v>5819</v>
      </c>
      <c r="J342" s="263" t="s">
        <v>5453</v>
      </c>
      <c r="K342" s="263" t="s">
        <v>1055</v>
      </c>
      <c r="L342" s="263" t="s">
        <v>1054</v>
      </c>
      <c r="M342" s="263" t="s">
        <v>932</v>
      </c>
      <c r="N342" s="263"/>
      <c r="O342" s="263" t="s">
        <v>3216</v>
      </c>
      <c r="P342" s="263" t="s">
        <v>3217</v>
      </c>
      <c r="Q342" s="320" t="s">
        <v>3501</v>
      </c>
    </row>
    <row r="343" spans="1:17">
      <c r="A343" s="263">
        <f t="shared" si="6"/>
        <v>342</v>
      </c>
      <c r="B343" s="263" t="s">
        <v>2437</v>
      </c>
      <c r="C343" s="263" t="s">
        <v>279</v>
      </c>
      <c r="D343" s="263">
        <v>9.1999999999999993</v>
      </c>
      <c r="E343" s="263" t="s">
        <v>1056</v>
      </c>
      <c r="F343" s="263" t="s">
        <v>3134</v>
      </c>
      <c r="G343" s="263"/>
      <c r="H343" s="263"/>
      <c r="I343" s="265" t="s">
        <v>5819</v>
      </c>
      <c r="J343" s="263" t="s">
        <v>5453</v>
      </c>
      <c r="K343" s="263" t="s">
        <v>1058</v>
      </c>
      <c r="L343" s="263" t="s">
        <v>1057</v>
      </c>
      <c r="M343" s="263" t="s">
        <v>932</v>
      </c>
      <c r="N343" s="263"/>
      <c r="O343" s="263" t="s">
        <v>3216</v>
      </c>
      <c r="P343" s="263" t="s">
        <v>3217</v>
      </c>
      <c r="Q343" s="263"/>
    </row>
    <row r="344" spans="1:17">
      <c r="A344" s="263">
        <f t="shared" si="6"/>
        <v>343</v>
      </c>
      <c r="B344" s="263" t="s">
        <v>2438</v>
      </c>
      <c r="C344" s="263" t="s">
        <v>275</v>
      </c>
      <c r="D344" s="263">
        <v>2</v>
      </c>
      <c r="E344" s="263" t="s">
        <v>1059</v>
      </c>
      <c r="F344" s="263" t="s">
        <v>3134</v>
      </c>
      <c r="G344" s="263"/>
      <c r="H344" s="263"/>
      <c r="I344" s="265" t="s">
        <v>5819</v>
      </c>
      <c r="J344" s="263" t="s">
        <v>5453</v>
      </c>
      <c r="K344" s="263" t="s">
        <v>1061</v>
      </c>
      <c r="L344" s="263" t="s">
        <v>1060</v>
      </c>
      <c r="M344" s="263" t="s">
        <v>932</v>
      </c>
      <c r="N344" s="263"/>
      <c r="O344" s="263" t="s">
        <v>3216</v>
      </c>
      <c r="P344" s="263" t="s">
        <v>3217</v>
      </c>
      <c r="Q344" s="263"/>
    </row>
    <row r="345" spans="1:17">
      <c r="A345" s="263">
        <f t="shared" si="6"/>
        <v>344</v>
      </c>
      <c r="B345" s="263" t="s">
        <v>2439</v>
      </c>
      <c r="C345" s="263" t="s">
        <v>279</v>
      </c>
      <c r="D345" s="263">
        <v>4</v>
      </c>
      <c r="E345" s="263" t="s">
        <v>1062</v>
      </c>
      <c r="F345" s="263" t="s">
        <v>3134</v>
      </c>
      <c r="G345" s="263"/>
      <c r="H345" s="263"/>
      <c r="I345" s="265" t="s">
        <v>5819</v>
      </c>
      <c r="J345" s="263" t="s">
        <v>5453</v>
      </c>
      <c r="K345" s="263" t="s">
        <v>1064</v>
      </c>
      <c r="L345" s="263" t="s">
        <v>1063</v>
      </c>
      <c r="M345" s="263" t="s">
        <v>932</v>
      </c>
      <c r="N345" s="263"/>
      <c r="O345" s="263" t="s">
        <v>3216</v>
      </c>
      <c r="P345" s="263" t="s">
        <v>3217</v>
      </c>
      <c r="Q345" s="263"/>
    </row>
    <row r="346" spans="1:17">
      <c r="A346" s="263">
        <f t="shared" si="6"/>
        <v>345</v>
      </c>
      <c r="B346" s="263" t="s">
        <v>2440</v>
      </c>
      <c r="C346" s="263" t="s">
        <v>275</v>
      </c>
      <c r="D346" s="263">
        <v>2</v>
      </c>
      <c r="E346" s="263" t="s">
        <v>1065</v>
      </c>
      <c r="F346" s="263" t="s">
        <v>3134</v>
      </c>
      <c r="G346" s="263"/>
      <c r="H346" s="263"/>
      <c r="I346" s="265" t="s">
        <v>5819</v>
      </c>
      <c r="J346" s="263" t="s">
        <v>5453</v>
      </c>
      <c r="K346" s="263" t="s">
        <v>1067</v>
      </c>
      <c r="L346" s="263" t="s">
        <v>1066</v>
      </c>
      <c r="M346" s="263" t="s">
        <v>932</v>
      </c>
      <c r="N346" s="263"/>
      <c r="O346" s="263" t="s">
        <v>3216</v>
      </c>
      <c r="P346" s="263" t="s">
        <v>3217</v>
      </c>
      <c r="Q346" s="263"/>
    </row>
    <row r="347" spans="1:17">
      <c r="A347" s="263">
        <f t="shared" ref="A347:A448" si="7">ROW()-1</f>
        <v>346</v>
      </c>
      <c r="B347" s="263" t="s">
        <v>2520</v>
      </c>
      <c r="C347" s="263" t="s">
        <v>275</v>
      </c>
      <c r="D347" s="263">
        <v>1</v>
      </c>
      <c r="E347" s="263" t="s">
        <v>1295</v>
      </c>
      <c r="F347" s="263" t="s">
        <v>3134</v>
      </c>
      <c r="G347" s="263"/>
      <c r="H347" s="263"/>
      <c r="I347" s="263" t="s">
        <v>3124</v>
      </c>
      <c r="J347" s="263" t="s">
        <v>5878</v>
      </c>
      <c r="K347" s="263" t="s">
        <v>5874</v>
      </c>
      <c r="L347" s="263" t="s">
        <v>5879</v>
      </c>
      <c r="M347" s="263" t="s">
        <v>3121</v>
      </c>
      <c r="N347" s="263"/>
      <c r="O347" s="263" t="s">
        <v>3216</v>
      </c>
      <c r="P347" s="263" t="s">
        <v>3217</v>
      </c>
      <c r="Q347" s="263"/>
    </row>
    <row r="348" spans="1:17" s="252" customFormat="1" ht="22.5">
      <c r="A348" s="239">
        <f t="shared" si="7"/>
        <v>347</v>
      </c>
      <c r="B348" s="239" t="s">
        <v>3422</v>
      </c>
      <c r="C348" s="197" t="s">
        <v>3426</v>
      </c>
      <c r="D348" s="344">
        <v>4</v>
      </c>
      <c r="E348" s="344" t="s">
        <v>3522</v>
      </c>
      <c r="F348" s="320" t="s">
        <v>3428</v>
      </c>
      <c r="G348" s="320"/>
      <c r="H348" s="324" t="s">
        <v>3470</v>
      </c>
      <c r="I348" s="265" t="s">
        <v>5819</v>
      </c>
      <c r="J348" s="263" t="s">
        <v>5453</v>
      </c>
      <c r="K348" s="344" t="s">
        <v>3458</v>
      </c>
      <c r="L348" s="345" t="s">
        <v>3454</v>
      </c>
      <c r="M348" s="197" t="s">
        <v>932</v>
      </c>
      <c r="N348" s="346">
        <v>103</v>
      </c>
      <c r="O348" s="320" t="s">
        <v>3471</v>
      </c>
      <c r="P348" s="340" t="s">
        <v>3499</v>
      </c>
    </row>
    <row r="349" spans="1:17" s="252" customFormat="1" ht="33.75">
      <c r="A349" s="239">
        <f t="shared" si="7"/>
        <v>348</v>
      </c>
      <c r="B349" s="239" t="s">
        <v>3423</v>
      </c>
      <c r="C349" s="344" t="s">
        <v>275</v>
      </c>
      <c r="D349" s="344">
        <v>2</v>
      </c>
      <c r="E349" s="344" t="s">
        <v>3523</v>
      </c>
      <c r="F349" s="320" t="s">
        <v>3428</v>
      </c>
      <c r="G349" s="320"/>
      <c r="H349" s="324" t="s">
        <v>3470</v>
      </c>
      <c r="I349" s="265" t="s">
        <v>5819</v>
      </c>
      <c r="J349" s="263" t="s">
        <v>5453</v>
      </c>
      <c r="K349" s="344" t="s">
        <v>3526</v>
      </c>
      <c r="L349" s="345" t="s">
        <v>3455</v>
      </c>
      <c r="M349" s="197" t="s">
        <v>932</v>
      </c>
      <c r="N349" s="346">
        <v>103</v>
      </c>
      <c r="O349" s="320" t="s">
        <v>3471</v>
      </c>
      <c r="P349" s="340" t="s">
        <v>3551</v>
      </c>
    </row>
    <row r="350" spans="1:17" s="252" customFormat="1">
      <c r="A350" s="239">
        <f t="shared" si="7"/>
        <v>349</v>
      </c>
      <c r="B350" s="239" t="s">
        <v>3424</v>
      </c>
      <c r="C350" s="344" t="s">
        <v>275</v>
      </c>
      <c r="D350" s="344">
        <v>1</v>
      </c>
      <c r="E350" s="344" t="s">
        <v>3524</v>
      </c>
      <c r="F350" s="320" t="s">
        <v>3428</v>
      </c>
      <c r="G350" s="320"/>
      <c r="H350" s="324" t="s">
        <v>3470</v>
      </c>
      <c r="I350" s="239" t="s">
        <v>3030</v>
      </c>
      <c r="J350" s="263" t="s">
        <v>5453</v>
      </c>
      <c r="K350" s="344" t="s">
        <v>3457</v>
      </c>
      <c r="L350" s="345" t="s">
        <v>3456</v>
      </c>
      <c r="M350" s="197" t="s">
        <v>932</v>
      </c>
      <c r="N350" s="346">
        <v>103</v>
      </c>
      <c r="O350" s="320" t="s">
        <v>3471</v>
      </c>
      <c r="P350" s="339" t="s">
        <v>3472</v>
      </c>
    </row>
    <row r="351" spans="1:17" s="252" customFormat="1">
      <c r="A351" s="239">
        <f t="shared" si="7"/>
        <v>350</v>
      </c>
      <c r="B351" s="239" t="s">
        <v>3462</v>
      </c>
      <c r="C351" s="197" t="s">
        <v>3218</v>
      </c>
      <c r="D351" s="344">
        <v>15</v>
      </c>
      <c r="E351" s="344" t="s">
        <v>3464</v>
      </c>
      <c r="F351" s="320" t="s">
        <v>3133</v>
      </c>
      <c r="G351" s="320"/>
      <c r="H351" s="324" t="s">
        <v>3331</v>
      </c>
      <c r="I351" s="239" t="s">
        <v>3030</v>
      </c>
      <c r="J351" s="263" t="s">
        <v>5453</v>
      </c>
      <c r="K351" s="344" t="s">
        <v>3473</v>
      </c>
      <c r="L351" s="345" t="s">
        <v>3467</v>
      </c>
      <c r="M351" s="197" t="s">
        <v>932</v>
      </c>
      <c r="N351" s="346">
        <v>103</v>
      </c>
      <c r="O351" s="320" t="s">
        <v>499</v>
      </c>
      <c r="P351" s="339" t="s">
        <v>3469</v>
      </c>
    </row>
    <row r="352" spans="1:17" s="252" customFormat="1">
      <c r="A352" s="239">
        <f t="shared" si="7"/>
        <v>351</v>
      </c>
      <c r="B352" s="239" t="s">
        <v>3463</v>
      </c>
      <c r="C352" s="197" t="s">
        <v>3218</v>
      </c>
      <c r="D352" s="344">
        <v>15</v>
      </c>
      <c r="E352" s="344" t="s">
        <v>3465</v>
      </c>
      <c r="F352" s="320" t="s">
        <v>3133</v>
      </c>
      <c r="G352" s="320"/>
      <c r="H352" s="324" t="s">
        <v>3331</v>
      </c>
      <c r="I352" s="239" t="s">
        <v>3030</v>
      </c>
      <c r="J352" s="263" t="s">
        <v>5453</v>
      </c>
      <c r="K352" s="344" t="s">
        <v>3466</v>
      </c>
      <c r="L352" s="345" t="s">
        <v>3468</v>
      </c>
      <c r="M352" s="197" t="s">
        <v>932</v>
      </c>
      <c r="N352" s="346">
        <v>103</v>
      </c>
      <c r="O352" s="320" t="s">
        <v>499</v>
      </c>
      <c r="P352" s="339" t="s">
        <v>3469</v>
      </c>
    </row>
    <row r="353" spans="1:17" s="252" customFormat="1">
      <c r="A353" s="239">
        <f t="shared" si="7"/>
        <v>352</v>
      </c>
      <c r="B353" s="320" t="s">
        <v>5276</v>
      </c>
      <c r="C353" s="344"/>
      <c r="D353" s="344"/>
      <c r="E353" s="344" t="s">
        <v>4496</v>
      </c>
      <c r="F353" s="320"/>
      <c r="G353" s="320"/>
      <c r="H353" s="324"/>
      <c r="I353" s="263" t="s">
        <v>3030</v>
      </c>
      <c r="J353" s="263" t="s">
        <v>5453</v>
      </c>
      <c r="K353" s="263" t="s">
        <v>1055</v>
      </c>
      <c r="L353" s="263" t="s">
        <v>4495</v>
      </c>
      <c r="M353" s="263" t="s">
        <v>932</v>
      </c>
      <c r="N353" s="346"/>
      <c r="O353" s="320"/>
      <c r="P353" s="339"/>
    </row>
    <row r="354" spans="1:17" s="252" customFormat="1">
      <c r="A354" s="239">
        <f t="shared" si="7"/>
        <v>353</v>
      </c>
      <c r="B354" s="320" t="s">
        <v>5405</v>
      </c>
      <c r="C354" s="344"/>
      <c r="D354" s="344"/>
      <c r="E354" s="344" t="s">
        <v>4498</v>
      </c>
      <c r="F354" s="320"/>
      <c r="G354" s="320"/>
      <c r="H354" s="324"/>
      <c r="I354" s="263" t="s">
        <v>3030</v>
      </c>
      <c r="J354" s="263" t="s">
        <v>5453</v>
      </c>
      <c r="K354" s="263" t="s">
        <v>1055</v>
      </c>
      <c r="L354" s="263" t="s">
        <v>4497</v>
      </c>
      <c r="M354" s="263" t="s">
        <v>932</v>
      </c>
      <c r="N354" s="346"/>
      <c r="O354" s="320"/>
      <c r="P354" s="339"/>
      <c r="Q354" s="252" t="s">
        <v>3664</v>
      </c>
    </row>
    <row r="355" spans="1:17" s="252" customFormat="1">
      <c r="A355" s="239">
        <f t="shared" si="7"/>
        <v>354</v>
      </c>
      <c r="B355" s="320" t="s">
        <v>3676</v>
      </c>
      <c r="C355" s="344"/>
      <c r="D355" s="344"/>
      <c r="E355" s="344" t="s">
        <v>4500</v>
      </c>
      <c r="F355" s="320"/>
      <c r="G355" s="320"/>
      <c r="H355" s="324"/>
      <c r="I355" s="263" t="s">
        <v>3030</v>
      </c>
      <c r="J355" s="263" t="s">
        <v>5453</v>
      </c>
      <c r="K355" s="263" t="s">
        <v>1055</v>
      </c>
      <c r="L355" s="263" t="s">
        <v>4499</v>
      </c>
      <c r="M355" s="263" t="s">
        <v>932</v>
      </c>
      <c r="N355" s="346"/>
      <c r="O355" s="320" t="s">
        <v>3664</v>
      </c>
      <c r="P355" s="339"/>
    </row>
    <row r="356" spans="1:17" s="252" customFormat="1">
      <c r="A356" s="239">
        <f t="shared" si="7"/>
        <v>355</v>
      </c>
      <c r="B356" s="320" t="s">
        <v>3677</v>
      </c>
      <c r="C356" s="344"/>
      <c r="D356" s="344"/>
      <c r="E356" s="344" t="s">
        <v>5407</v>
      </c>
      <c r="F356" s="320"/>
      <c r="G356" s="320"/>
      <c r="H356" s="324" t="s">
        <v>3664</v>
      </c>
      <c r="I356" s="263" t="s">
        <v>3030</v>
      </c>
      <c r="J356" s="263" t="s">
        <v>5453</v>
      </c>
      <c r="K356" s="263" t="s">
        <v>1055</v>
      </c>
      <c r="L356" s="263" t="s">
        <v>4501</v>
      </c>
      <c r="M356" s="263" t="s">
        <v>932</v>
      </c>
      <c r="N356" s="346"/>
      <c r="O356" s="320"/>
      <c r="P356" s="339"/>
    </row>
    <row r="357" spans="1:17">
      <c r="A357" s="320">
        <f t="shared" si="2"/>
        <v>356</v>
      </c>
      <c r="B357" s="263" t="s">
        <v>4927</v>
      </c>
      <c r="C357" s="343" t="s">
        <v>279</v>
      </c>
      <c r="D357" s="343">
        <v>15</v>
      </c>
      <c r="E357" s="263" t="s">
        <v>3855</v>
      </c>
      <c r="F357" s="263"/>
      <c r="G357" s="263" t="s">
        <v>5160</v>
      </c>
      <c r="H357" s="263"/>
      <c r="I357" s="320" t="s">
        <v>3030</v>
      </c>
      <c r="J357" s="263" t="s">
        <v>5453</v>
      </c>
      <c r="K357" s="263" t="s">
        <v>5469</v>
      </c>
      <c r="L357" s="263" t="s">
        <v>4506</v>
      </c>
      <c r="M357" s="263"/>
      <c r="N357" s="263"/>
      <c r="O357" s="263"/>
      <c r="P357" s="263" t="s">
        <v>4506</v>
      </c>
      <c r="Q357" s="263"/>
    </row>
    <row r="358" spans="1:17">
      <c r="A358" s="320">
        <f t="shared" si="2"/>
        <v>357</v>
      </c>
      <c r="B358" s="263" t="s">
        <v>3923</v>
      </c>
      <c r="C358" s="343" t="s">
        <v>279</v>
      </c>
      <c r="D358" s="343">
        <v>15</v>
      </c>
      <c r="E358" s="263" t="s">
        <v>3924</v>
      </c>
      <c r="F358" s="263" t="s">
        <v>5167</v>
      </c>
      <c r="G358" s="263"/>
      <c r="H358" s="263"/>
      <c r="I358" s="320" t="s">
        <v>3030</v>
      </c>
      <c r="J358" s="263" t="s">
        <v>5453</v>
      </c>
      <c r="K358" s="263" t="s">
        <v>3924</v>
      </c>
      <c r="L358" s="263" t="s">
        <v>5155</v>
      </c>
      <c r="M358" s="263"/>
      <c r="N358" s="263"/>
      <c r="O358" s="263"/>
      <c r="P358" s="263" t="s">
        <v>5155</v>
      </c>
      <c r="Q358" s="263"/>
    </row>
    <row r="359" spans="1:17" s="252" customFormat="1">
      <c r="A359" s="239">
        <f t="shared" si="7"/>
        <v>358</v>
      </c>
      <c r="B359" s="320" t="s">
        <v>3925</v>
      </c>
      <c r="C359" s="344"/>
      <c r="D359" s="344"/>
      <c r="E359" s="344" t="s">
        <v>5408</v>
      </c>
      <c r="F359" s="320"/>
      <c r="G359" s="320"/>
      <c r="H359" s="324"/>
      <c r="I359" s="263" t="s">
        <v>3030</v>
      </c>
      <c r="J359" s="263" t="s">
        <v>5453</v>
      </c>
      <c r="K359" s="263" t="s">
        <v>1055</v>
      </c>
      <c r="L359" s="263" t="s">
        <v>994</v>
      </c>
      <c r="M359" s="263" t="s">
        <v>932</v>
      </c>
      <c r="N359" s="346"/>
      <c r="O359" s="320"/>
      <c r="P359" s="339"/>
    </row>
    <row r="360" spans="1:17" s="252" customFormat="1">
      <c r="A360" s="239">
        <f t="shared" si="7"/>
        <v>359</v>
      </c>
      <c r="B360" s="320" t="s">
        <v>3927</v>
      </c>
      <c r="C360" s="344"/>
      <c r="D360" s="344"/>
      <c r="E360" s="344" t="s">
        <v>5409</v>
      </c>
      <c r="F360" s="320"/>
      <c r="G360" s="320"/>
      <c r="H360" s="324"/>
      <c r="I360" s="263" t="s">
        <v>3030</v>
      </c>
      <c r="J360" s="263" t="s">
        <v>5453</v>
      </c>
      <c r="K360" s="263" t="s">
        <v>1055</v>
      </c>
      <c r="L360" s="263" t="s">
        <v>5413</v>
      </c>
      <c r="M360" s="263" t="s">
        <v>932</v>
      </c>
      <c r="N360" s="346"/>
      <c r="O360" s="320"/>
      <c r="P360" s="339"/>
    </row>
    <row r="361" spans="1:17" s="252" customFormat="1">
      <c r="A361" s="239">
        <f t="shared" si="7"/>
        <v>360</v>
      </c>
      <c r="B361" s="320" t="s">
        <v>3929</v>
      </c>
      <c r="C361" s="344"/>
      <c r="D361" s="344"/>
      <c r="E361" s="344" t="s">
        <v>3938</v>
      </c>
      <c r="F361" s="320"/>
      <c r="G361" s="320"/>
      <c r="H361" s="324"/>
      <c r="I361" s="263" t="s">
        <v>3030</v>
      </c>
      <c r="J361" s="263" t="s">
        <v>5453</v>
      </c>
      <c r="K361" s="263" t="s">
        <v>1055</v>
      </c>
      <c r="L361" s="263" t="s">
        <v>5414</v>
      </c>
      <c r="M361" s="263" t="s">
        <v>932</v>
      </c>
      <c r="N361" s="346"/>
      <c r="O361" s="320"/>
      <c r="P361" s="339"/>
    </row>
    <row r="362" spans="1:17" s="252" customFormat="1">
      <c r="A362" s="239">
        <f t="shared" si="7"/>
        <v>361</v>
      </c>
      <c r="B362" s="320" t="s">
        <v>3931</v>
      </c>
      <c r="C362" s="344"/>
      <c r="D362" s="344"/>
      <c r="E362" s="344" t="s">
        <v>3899</v>
      </c>
      <c r="F362" s="320"/>
      <c r="G362" s="320"/>
      <c r="H362" s="324"/>
      <c r="I362" s="263" t="s">
        <v>3030</v>
      </c>
      <c r="J362" s="263" t="s">
        <v>5453</v>
      </c>
      <c r="K362" s="263" t="s">
        <v>1055</v>
      </c>
      <c r="L362" s="263" t="s">
        <v>4515</v>
      </c>
      <c r="M362" s="263" t="s">
        <v>932</v>
      </c>
      <c r="N362" s="346"/>
      <c r="O362" s="320"/>
      <c r="P362" s="339"/>
    </row>
    <row r="363" spans="1:17" s="252" customFormat="1">
      <c r="A363" s="239">
        <f t="shared" si="7"/>
        <v>362</v>
      </c>
      <c r="B363" s="320" t="s">
        <v>3933</v>
      </c>
      <c r="C363" s="344"/>
      <c r="D363" s="344"/>
      <c r="E363" s="344" t="s">
        <v>5410</v>
      </c>
      <c r="F363" s="320"/>
      <c r="G363" s="320"/>
      <c r="H363" s="324"/>
      <c r="I363" s="263" t="s">
        <v>3030</v>
      </c>
      <c r="J363" s="263" t="s">
        <v>5453</v>
      </c>
      <c r="K363" s="263" t="s">
        <v>1055</v>
      </c>
      <c r="L363" s="263" t="s">
        <v>4541</v>
      </c>
      <c r="M363" s="263" t="s">
        <v>932</v>
      </c>
      <c r="N363" s="346"/>
      <c r="O363" s="320"/>
      <c r="P363" s="339"/>
    </row>
    <row r="364" spans="1:17" s="341" customFormat="1">
      <c r="A364" s="239">
        <f t="shared" si="7"/>
        <v>363</v>
      </c>
      <c r="B364" s="339" t="s">
        <v>3935</v>
      </c>
      <c r="C364" s="339"/>
      <c r="D364" s="339"/>
      <c r="E364" s="339" t="s">
        <v>5411</v>
      </c>
      <c r="F364" s="339"/>
      <c r="G364" s="339"/>
      <c r="H364" s="339"/>
      <c r="I364" s="263" t="s">
        <v>3030</v>
      </c>
      <c r="J364" s="263" t="s">
        <v>5453</v>
      </c>
      <c r="K364" s="263" t="s">
        <v>1055</v>
      </c>
      <c r="L364" s="263" t="s">
        <v>4543</v>
      </c>
      <c r="M364" s="263" t="s">
        <v>932</v>
      </c>
      <c r="N364" s="339"/>
      <c r="O364" s="339"/>
      <c r="P364" s="339"/>
      <c r="Q364" s="339"/>
    </row>
    <row r="365" spans="1:17">
      <c r="A365" s="239">
        <f t="shared" si="7"/>
        <v>364</v>
      </c>
      <c r="B365" s="263" t="s">
        <v>3937</v>
      </c>
      <c r="C365" s="263"/>
      <c r="D365" s="263"/>
      <c r="E365" s="263" t="s">
        <v>4532</v>
      </c>
      <c r="F365" s="263"/>
      <c r="G365" s="263"/>
      <c r="H365" s="263"/>
      <c r="I365" s="263" t="s">
        <v>3030</v>
      </c>
      <c r="J365" s="263" t="s">
        <v>5453</v>
      </c>
      <c r="K365" s="263" t="s">
        <v>1055</v>
      </c>
      <c r="L365" s="263" t="s">
        <v>4531</v>
      </c>
      <c r="M365" s="263" t="s">
        <v>932</v>
      </c>
      <c r="N365" s="263"/>
      <c r="O365" s="263"/>
      <c r="P365" s="263"/>
      <c r="Q365" s="263"/>
    </row>
    <row r="366" spans="1:17">
      <c r="A366" s="239">
        <f t="shared" si="7"/>
        <v>365</v>
      </c>
      <c r="B366" s="263" t="s">
        <v>5406</v>
      </c>
      <c r="C366" s="263"/>
      <c r="D366" s="263"/>
      <c r="E366" s="263" t="s">
        <v>5412</v>
      </c>
      <c r="F366" s="263"/>
      <c r="G366" s="263"/>
      <c r="H366" s="263"/>
      <c r="I366" s="263" t="s">
        <v>3030</v>
      </c>
      <c r="J366" s="263" t="s">
        <v>5453</v>
      </c>
      <c r="K366" s="263" t="s">
        <v>1055</v>
      </c>
      <c r="L366" s="263" t="s">
        <v>4533</v>
      </c>
      <c r="M366" s="263" t="s">
        <v>932</v>
      </c>
      <c r="N366" s="263"/>
      <c r="O366" s="263"/>
      <c r="P366" s="263"/>
      <c r="Q366" s="263"/>
    </row>
    <row r="367" spans="1:17">
      <c r="A367" s="239">
        <f t="shared" si="7"/>
        <v>366</v>
      </c>
      <c r="B367" s="263" t="s">
        <v>5820</v>
      </c>
      <c r="C367" s="344" t="s">
        <v>275</v>
      </c>
      <c r="E367" s="263" t="s">
        <v>5824</v>
      </c>
      <c r="F367" s="263"/>
      <c r="G367" s="263"/>
      <c r="H367" s="324" t="s">
        <v>3328</v>
      </c>
      <c r="I367" s="265" t="s">
        <v>5819</v>
      </c>
      <c r="J367" s="263" t="s">
        <v>5453</v>
      </c>
      <c r="K367" s="178" t="s">
        <v>5825</v>
      </c>
      <c r="L367" s="263" t="s">
        <v>5466</v>
      </c>
      <c r="M367" s="263"/>
      <c r="N367" s="263"/>
      <c r="O367" s="263"/>
      <c r="P367" s="263"/>
      <c r="Q367" s="263"/>
    </row>
    <row r="368" spans="1:17">
      <c r="A368" s="239">
        <f t="shared" si="7"/>
        <v>367</v>
      </c>
      <c r="B368" s="263" t="s">
        <v>5821</v>
      </c>
      <c r="C368" s="344" t="s">
        <v>275</v>
      </c>
      <c r="E368" s="263" t="s">
        <v>5826</v>
      </c>
      <c r="F368" s="263"/>
      <c r="G368" s="263"/>
      <c r="H368" s="324" t="s">
        <v>3328</v>
      </c>
      <c r="I368" s="265" t="s">
        <v>5819</v>
      </c>
      <c r="J368" s="263" t="s">
        <v>5453</v>
      </c>
      <c r="K368" s="178" t="s">
        <v>5487</v>
      </c>
      <c r="L368" s="263" t="s">
        <v>5467</v>
      </c>
      <c r="M368" s="263"/>
      <c r="N368" s="263"/>
      <c r="O368" s="263"/>
      <c r="P368" s="263"/>
      <c r="Q368" s="263"/>
    </row>
    <row r="369" spans="1:17">
      <c r="A369" s="239">
        <f t="shared" si="7"/>
        <v>368</v>
      </c>
      <c r="B369" s="263" t="s">
        <v>5822</v>
      </c>
      <c r="C369" s="344" t="s">
        <v>275</v>
      </c>
      <c r="E369" s="263" t="s">
        <v>5827</v>
      </c>
      <c r="F369" s="263"/>
      <c r="G369" s="263"/>
      <c r="H369" s="324" t="s">
        <v>3328</v>
      </c>
      <c r="I369" s="265" t="s">
        <v>5819</v>
      </c>
      <c r="J369" s="263" t="s">
        <v>5453</v>
      </c>
      <c r="K369" s="178" t="s">
        <v>5488</v>
      </c>
      <c r="L369" s="263" t="s">
        <v>5468</v>
      </c>
      <c r="M369" s="263"/>
      <c r="N369" s="263"/>
      <c r="O369" s="263"/>
      <c r="P369" s="263"/>
      <c r="Q369" s="263"/>
    </row>
    <row r="370" spans="1:17">
      <c r="A370" s="239">
        <f t="shared" si="7"/>
        <v>369</v>
      </c>
      <c r="B370" s="263" t="s">
        <v>5823</v>
      </c>
      <c r="C370" s="344" t="s">
        <v>275</v>
      </c>
      <c r="E370" s="263" t="s">
        <v>5828</v>
      </c>
      <c r="F370" s="263"/>
      <c r="G370" s="263"/>
      <c r="H370" s="324" t="s">
        <v>3328</v>
      </c>
      <c r="I370" s="265" t="s">
        <v>5819</v>
      </c>
      <c r="J370" s="263" t="s">
        <v>5453</v>
      </c>
      <c r="K370" s="178" t="s">
        <v>5829</v>
      </c>
      <c r="L370" s="263" t="s">
        <v>5465</v>
      </c>
      <c r="M370" s="263"/>
      <c r="N370" s="263"/>
      <c r="O370" s="263"/>
      <c r="P370" s="263"/>
      <c r="Q370" s="263"/>
    </row>
    <row r="371" spans="1:17" s="181" customFormat="1">
      <c r="A371" s="264">
        <f t="shared" si="6"/>
        <v>370</v>
      </c>
      <c r="B371" s="264" t="s">
        <v>2441</v>
      </c>
      <c r="C371" s="264" t="s">
        <v>275</v>
      </c>
      <c r="D371" s="264">
        <v>1</v>
      </c>
      <c r="E371" s="264" t="s">
        <v>1068</v>
      </c>
      <c r="F371" s="264" t="s">
        <v>3134</v>
      </c>
      <c r="G371" s="264"/>
      <c r="H371" s="264"/>
      <c r="I371" s="264" t="s">
        <v>3122</v>
      </c>
      <c r="J371" s="264"/>
      <c r="K371" s="264" t="s">
        <v>1070</v>
      </c>
      <c r="L371" s="264" t="s">
        <v>1069</v>
      </c>
      <c r="M371" s="264" t="s">
        <v>32</v>
      </c>
      <c r="N371" s="264"/>
      <c r="O371" s="264" t="s">
        <v>3216</v>
      </c>
      <c r="P371" s="264" t="s">
        <v>3217</v>
      </c>
      <c r="Q371" s="264"/>
    </row>
    <row r="372" spans="1:17" s="181" customFormat="1">
      <c r="A372" s="264">
        <f t="shared" si="6"/>
        <v>371</v>
      </c>
      <c r="B372" s="264" t="s">
        <v>2442</v>
      </c>
      <c r="C372" s="264" t="s">
        <v>275</v>
      </c>
      <c r="D372" s="264">
        <v>1</v>
      </c>
      <c r="E372" s="264" t="s">
        <v>3115</v>
      </c>
      <c r="F372" s="264" t="s">
        <v>3134</v>
      </c>
      <c r="G372" s="264"/>
      <c r="H372" s="264"/>
      <c r="I372" s="264" t="s">
        <v>3122</v>
      </c>
      <c r="J372" s="264"/>
      <c r="K372" s="264" t="s">
        <v>3211</v>
      </c>
      <c r="L372" s="264" t="s">
        <v>1071</v>
      </c>
      <c r="M372" s="264" t="s">
        <v>32</v>
      </c>
      <c r="N372" s="264"/>
      <c r="O372" s="264" t="s">
        <v>3216</v>
      </c>
      <c r="P372" s="264" t="s">
        <v>3217</v>
      </c>
      <c r="Q372" s="264"/>
    </row>
    <row r="373" spans="1:17" s="181" customFormat="1">
      <c r="A373" s="264">
        <f t="shared" si="6"/>
        <v>372</v>
      </c>
      <c r="B373" s="264" t="s">
        <v>2443</v>
      </c>
      <c r="C373" s="264" t="s">
        <v>275</v>
      </c>
      <c r="D373" s="264">
        <v>1</v>
      </c>
      <c r="E373" s="264" t="s">
        <v>1072</v>
      </c>
      <c r="F373" s="264" t="s">
        <v>3134</v>
      </c>
      <c r="G373" s="264"/>
      <c r="H373" s="264"/>
      <c r="I373" s="264" t="s">
        <v>3122</v>
      </c>
      <c r="J373" s="264"/>
      <c r="K373" s="264" t="s">
        <v>3212</v>
      </c>
      <c r="L373" s="264" t="s">
        <v>1073</v>
      </c>
      <c r="M373" s="264" t="s">
        <v>32</v>
      </c>
      <c r="N373" s="264"/>
      <c r="O373" s="264" t="s">
        <v>3216</v>
      </c>
      <c r="P373" s="264" t="s">
        <v>3217</v>
      </c>
      <c r="Q373" s="264"/>
    </row>
    <row r="374" spans="1:17" s="181" customFormat="1">
      <c r="A374" s="264">
        <f t="shared" si="6"/>
        <v>373</v>
      </c>
      <c r="B374" s="264" t="s">
        <v>2444</v>
      </c>
      <c r="C374" s="264" t="s">
        <v>275</v>
      </c>
      <c r="D374" s="264">
        <v>1</v>
      </c>
      <c r="E374" s="264" t="s">
        <v>1074</v>
      </c>
      <c r="F374" s="264" t="s">
        <v>3134</v>
      </c>
      <c r="G374" s="264"/>
      <c r="H374" s="264"/>
      <c r="I374" s="264" t="s">
        <v>3122</v>
      </c>
      <c r="J374" s="264"/>
      <c r="K374" s="264" t="s">
        <v>3213</v>
      </c>
      <c r="L374" s="264" t="s">
        <v>1075</v>
      </c>
      <c r="M374" s="264" t="s">
        <v>32</v>
      </c>
      <c r="N374" s="264"/>
      <c r="O374" s="264" t="s">
        <v>3216</v>
      </c>
      <c r="P374" s="264" t="s">
        <v>3217</v>
      </c>
      <c r="Q374" s="264"/>
    </row>
    <row r="375" spans="1:17" s="181" customFormat="1">
      <c r="A375" s="264">
        <f t="shared" si="6"/>
        <v>374</v>
      </c>
      <c r="B375" s="264" t="s">
        <v>2445</v>
      </c>
      <c r="C375" s="264" t="s">
        <v>275</v>
      </c>
      <c r="D375" s="264">
        <v>1</v>
      </c>
      <c r="E375" s="264" t="s">
        <v>1076</v>
      </c>
      <c r="F375" s="264" t="s">
        <v>3134</v>
      </c>
      <c r="G375" s="264"/>
      <c r="H375" s="264"/>
      <c r="I375" s="264" t="s">
        <v>3122</v>
      </c>
      <c r="J375" s="264"/>
      <c r="K375" s="264" t="s">
        <v>1078</v>
      </c>
      <c r="L375" s="264" t="s">
        <v>1077</v>
      </c>
      <c r="M375" s="264" t="s">
        <v>32</v>
      </c>
      <c r="N375" s="264"/>
      <c r="O375" s="264" t="s">
        <v>3216</v>
      </c>
      <c r="P375" s="264" t="s">
        <v>3217</v>
      </c>
      <c r="Q375" s="264"/>
    </row>
    <row r="376" spans="1:17" s="181" customFormat="1">
      <c r="A376" s="264">
        <f t="shared" si="6"/>
        <v>375</v>
      </c>
      <c r="B376" s="264" t="s">
        <v>2446</v>
      </c>
      <c r="C376" s="264" t="s">
        <v>275</v>
      </c>
      <c r="D376" s="264">
        <v>1</v>
      </c>
      <c r="E376" s="264" t="s">
        <v>1079</v>
      </c>
      <c r="F376" s="264" t="s">
        <v>3134</v>
      </c>
      <c r="G376" s="264"/>
      <c r="H376" s="264"/>
      <c r="I376" s="264" t="s">
        <v>3122</v>
      </c>
      <c r="J376" s="264"/>
      <c r="K376" s="264" t="s">
        <v>1081</v>
      </c>
      <c r="L376" s="264" t="s">
        <v>1080</v>
      </c>
      <c r="M376" s="264" t="s">
        <v>32</v>
      </c>
      <c r="N376" s="264"/>
      <c r="O376" s="264" t="s">
        <v>3216</v>
      </c>
      <c r="P376" s="264" t="s">
        <v>3217</v>
      </c>
      <c r="Q376" s="264"/>
    </row>
    <row r="377" spans="1:17" s="181" customFormat="1">
      <c r="A377" s="264">
        <f t="shared" si="6"/>
        <v>376</v>
      </c>
      <c r="B377" s="264" t="s">
        <v>2447</v>
      </c>
      <c r="C377" s="264" t="s">
        <v>275</v>
      </c>
      <c r="D377" s="264">
        <v>1</v>
      </c>
      <c r="E377" s="264" t="s">
        <v>1082</v>
      </c>
      <c r="F377" s="264" t="s">
        <v>3134</v>
      </c>
      <c r="G377" s="264"/>
      <c r="H377" s="264"/>
      <c r="I377" s="264" t="s">
        <v>3122</v>
      </c>
      <c r="J377" s="264"/>
      <c r="K377" s="264" t="s">
        <v>1084</v>
      </c>
      <c r="L377" s="264" t="s">
        <v>1083</v>
      </c>
      <c r="M377" s="264" t="s">
        <v>32</v>
      </c>
      <c r="N377" s="264"/>
      <c r="O377" s="264" t="s">
        <v>3216</v>
      </c>
      <c r="P377" s="264" t="s">
        <v>3217</v>
      </c>
      <c r="Q377" s="264"/>
    </row>
    <row r="378" spans="1:17" s="181" customFormat="1">
      <c r="A378" s="264">
        <f t="shared" si="6"/>
        <v>377</v>
      </c>
      <c r="B378" s="264" t="s">
        <v>2448</v>
      </c>
      <c r="C378" s="264" t="s">
        <v>275</v>
      </c>
      <c r="D378" s="264">
        <v>1</v>
      </c>
      <c r="E378" s="264" t="s">
        <v>1085</v>
      </c>
      <c r="F378" s="264" t="s">
        <v>3134</v>
      </c>
      <c r="G378" s="264"/>
      <c r="H378" s="264"/>
      <c r="I378" s="264" t="s">
        <v>3122</v>
      </c>
      <c r="J378" s="264"/>
      <c r="K378" s="264" t="s">
        <v>1087</v>
      </c>
      <c r="L378" s="264" t="s">
        <v>1086</v>
      </c>
      <c r="M378" s="264" t="s">
        <v>32</v>
      </c>
      <c r="N378" s="264"/>
      <c r="O378" s="264" t="s">
        <v>3216</v>
      </c>
      <c r="P378" s="264" t="s">
        <v>3217</v>
      </c>
      <c r="Q378" s="264"/>
    </row>
    <row r="379" spans="1:17" s="181" customFormat="1">
      <c r="A379" s="264">
        <f t="shared" si="6"/>
        <v>378</v>
      </c>
      <c r="B379" s="264" t="s">
        <v>2449</v>
      </c>
      <c r="C379" s="264" t="s">
        <v>275</v>
      </c>
      <c r="D379" s="264">
        <v>1</v>
      </c>
      <c r="E379" s="264" t="s">
        <v>1088</v>
      </c>
      <c r="F379" s="264" t="s">
        <v>3134</v>
      </c>
      <c r="G379" s="264"/>
      <c r="H379" s="264"/>
      <c r="I379" s="264" t="s">
        <v>3122</v>
      </c>
      <c r="J379" s="264"/>
      <c r="K379" s="264" t="s">
        <v>1090</v>
      </c>
      <c r="L379" s="264" t="s">
        <v>1089</v>
      </c>
      <c r="M379" s="264" t="s">
        <v>32</v>
      </c>
      <c r="N379" s="264"/>
      <c r="O379" s="264" t="s">
        <v>3216</v>
      </c>
      <c r="P379" s="264" t="s">
        <v>3217</v>
      </c>
      <c r="Q379" s="264"/>
    </row>
    <row r="380" spans="1:17" s="181" customFormat="1">
      <c r="A380" s="264">
        <f t="shared" si="6"/>
        <v>379</v>
      </c>
      <c r="B380" s="264" t="s">
        <v>2450</v>
      </c>
      <c r="C380" s="264" t="s">
        <v>275</v>
      </c>
      <c r="D380" s="264">
        <v>1</v>
      </c>
      <c r="E380" s="264" t="s">
        <v>1091</v>
      </c>
      <c r="F380" s="264" t="s">
        <v>3134</v>
      </c>
      <c r="G380" s="264"/>
      <c r="H380" s="264"/>
      <c r="I380" s="264" t="s">
        <v>3122</v>
      </c>
      <c r="J380" s="264"/>
      <c r="K380" s="264" t="s">
        <v>1093</v>
      </c>
      <c r="L380" s="264" t="s">
        <v>1092</v>
      </c>
      <c r="M380" s="264" t="s">
        <v>32</v>
      </c>
      <c r="N380" s="264"/>
      <c r="O380" s="264" t="s">
        <v>3216</v>
      </c>
      <c r="P380" s="264" t="s">
        <v>3217</v>
      </c>
      <c r="Q380" s="264"/>
    </row>
    <row r="381" spans="1:17" s="181" customFormat="1">
      <c r="A381" s="264">
        <f t="shared" si="6"/>
        <v>380</v>
      </c>
      <c r="B381" s="264" t="s">
        <v>2451</v>
      </c>
      <c r="C381" s="264" t="s">
        <v>275</v>
      </c>
      <c r="D381" s="264">
        <v>1</v>
      </c>
      <c r="E381" s="264" t="s">
        <v>1094</v>
      </c>
      <c r="F381" s="264" t="s">
        <v>3134</v>
      </c>
      <c r="G381" s="264"/>
      <c r="H381" s="264"/>
      <c r="I381" s="264" t="s">
        <v>3122</v>
      </c>
      <c r="J381" s="264"/>
      <c r="K381" s="264" t="s">
        <v>1096</v>
      </c>
      <c r="L381" s="264" t="s">
        <v>1095</v>
      </c>
      <c r="M381" s="264" t="s">
        <v>32</v>
      </c>
      <c r="N381" s="264"/>
      <c r="O381" s="264" t="s">
        <v>3216</v>
      </c>
      <c r="P381" s="264" t="s">
        <v>3217</v>
      </c>
      <c r="Q381" s="264"/>
    </row>
    <row r="382" spans="1:17" s="181" customFormat="1">
      <c r="A382" s="264">
        <f t="shared" si="6"/>
        <v>381</v>
      </c>
      <c r="B382" s="264" t="s">
        <v>2452</v>
      </c>
      <c r="C382" s="264" t="s">
        <v>275</v>
      </c>
      <c r="D382" s="264">
        <v>1</v>
      </c>
      <c r="E382" s="264" t="s">
        <v>1097</v>
      </c>
      <c r="F382" s="264" t="s">
        <v>3134</v>
      </c>
      <c r="G382" s="264"/>
      <c r="H382" s="264"/>
      <c r="I382" s="264" t="s">
        <v>3122</v>
      </c>
      <c r="J382" s="264"/>
      <c r="K382" s="264" t="s">
        <v>1099</v>
      </c>
      <c r="L382" s="264" t="s">
        <v>1098</v>
      </c>
      <c r="M382" s="264" t="s">
        <v>32</v>
      </c>
      <c r="N382" s="264"/>
      <c r="O382" s="264" t="s">
        <v>3216</v>
      </c>
      <c r="P382" s="264" t="s">
        <v>3217</v>
      </c>
      <c r="Q382" s="264"/>
    </row>
    <row r="383" spans="1:17" s="181" customFormat="1">
      <c r="A383" s="264">
        <f t="shared" si="6"/>
        <v>382</v>
      </c>
      <c r="B383" s="264" t="s">
        <v>2453</v>
      </c>
      <c r="C383" s="264" t="s">
        <v>275</v>
      </c>
      <c r="D383" s="264">
        <v>1</v>
      </c>
      <c r="E383" s="264" t="s">
        <v>1100</v>
      </c>
      <c r="F383" s="264" t="s">
        <v>3134</v>
      </c>
      <c r="G383" s="264"/>
      <c r="H383" s="264"/>
      <c r="I383" s="264" t="s">
        <v>3122</v>
      </c>
      <c r="J383" s="264"/>
      <c r="K383" s="264" t="s">
        <v>1102</v>
      </c>
      <c r="L383" s="264" t="s">
        <v>1101</v>
      </c>
      <c r="M383" s="264" t="s">
        <v>32</v>
      </c>
      <c r="N383" s="264"/>
      <c r="O383" s="264" t="s">
        <v>3216</v>
      </c>
      <c r="P383" s="264" t="s">
        <v>3217</v>
      </c>
      <c r="Q383" s="264"/>
    </row>
    <row r="384" spans="1:17" s="181" customFormat="1">
      <c r="A384" s="264">
        <f t="shared" si="6"/>
        <v>383</v>
      </c>
      <c r="B384" s="264" t="s">
        <v>2454</v>
      </c>
      <c r="C384" s="264" t="s">
        <v>275</v>
      </c>
      <c r="D384" s="264">
        <v>1</v>
      </c>
      <c r="E384" s="264" t="s">
        <v>1103</v>
      </c>
      <c r="F384" s="264" t="s">
        <v>3134</v>
      </c>
      <c r="G384" s="264"/>
      <c r="H384" s="264"/>
      <c r="I384" s="264" t="s">
        <v>3122</v>
      </c>
      <c r="J384" s="264"/>
      <c r="K384" s="264" t="s">
        <v>1105</v>
      </c>
      <c r="L384" s="264" t="s">
        <v>1104</v>
      </c>
      <c r="M384" s="264" t="s">
        <v>32</v>
      </c>
      <c r="N384" s="264"/>
      <c r="O384" s="264" t="s">
        <v>3216</v>
      </c>
      <c r="P384" s="264" t="s">
        <v>3217</v>
      </c>
      <c r="Q384" s="264"/>
    </row>
    <row r="385" spans="1:17" s="181" customFormat="1">
      <c r="A385" s="264">
        <f t="shared" si="6"/>
        <v>384</v>
      </c>
      <c r="B385" s="264" t="s">
        <v>2455</v>
      </c>
      <c r="C385" s="264" t="s">
        <v>275</v>
      </c>
      <c r="D385" s="264">
        <v>1</v>
      </c>
      <c r="E385" s="264" t="s">
        <v>1106</v>
      </c>
      <c r="F385" s="264" t="s">
        <v>3134</v>
      </c>
      <c r="G385" s="264"/>
      <c r="H385" s="264"/>
      <c r="I385" s="264" t="s">
        <v>3122</v>
      </c>
      <c r="J385" s="264"/>
      <c r="K385" s="264" t="s">
        <v>1108</v>
      </c>
      <c r="L385" s="264" t="s">
        <v>1107</v>
      </c>
      <c r="M385" s="264" t="s">
        <v>32</v>
      </c>
      <c r="N385" s="264"/>
      <c r="O385" s="264" t="s">
        <v>3216</v>
      </c>
      <c r="P385" s="264" t="s">
        <v>3217</v>
      </c>
      <c r="Q385" s="264"/>
    </row>
    <row r="386" spans="1:17" s="181" customFormat="1">
      <c r="A386" s="264">
        <f t="shared" si="6"/>
        <v>385</v>
      </c>
      <c r="B386" s="264" t="s">
        <v>2456</v>
      </c>
      <c r="C386" s="264" t="s">
        <v>275</v>
      </c>
      <c r="D386" s="264">
        <v>1</v>
      </c>
      <c r="E386" s="264" t="s">
        <v>1109</v>
      </c>
      <c r="F386" s="264" t="s">
        <v>3134</v>
      </c>
      <c r="G386" s="264"/>
      <c r="H386" s="264"/>
      <c r="I386" s="264" t="s">
        <v>3122</v>
      </c>
      <c r="J386" s="264"/>
      <c r="K386" s="264" t="s">
        <v>1111</v>
      </c>
      <c r="L386" s="264" t="s">
        <v>1110</v>
      </c>
      <c r="M386" s="264" t="s">
        <v>32</v>
      </c>
      <c r="N386" s="264"/>
      <c r="O386" s="264" t="s">
        <v>3216</v>
      </c>
      <c r="P386" s="264" t="s">
        <v>3217</v>
      </c>
      <c r="Q386" s="264"/>
    </row>
    <row r="387" spans="1:17" s="181" customFormat="1">
      <c r="A387" s="264">
        <f t="shared" si="6"/>
        <v>386</v>
      </c>
      <c r="B387" s="264" t="s">
        <v>2457</v>
      </c>
      <c r="C387" s="264" t="s">
        <v>275</v>
      </c>
      <c r="D387" s="264">
        <v>1</v>
      </c>
      <c r="E387" s="264" t="s">
        <v>1112</v>
      </c>
      <c r="F387" s="264" t="s">
        <v>3134</v>
      </c>
      <c r="G387" s="264"/>
      <c r="H387" s="264"/>
      <c r="I387" s="264" t="s">
        <v>3122</v>
      </c>
      <c r="J387" s="264"/>
      <c r="K387" s="264" t="s">
        <v>1114</v>
      </c>
      <c r="L387" s="264" t="s">
        <v>1113</v>
      </c>
      <c r="M387" s="264" t="s">
        <v>32</v>
      </c>
      <c r="N387" s="264"/>
      <c r="O387" s="264" t="s">
        <v>3216</v>
      </c>
      <c r="P387" s="264" t="s">
        <v>3217</v>
      </c>
      <c r="Q387" s="264"/>
    </row>
    <row r="388" spans="1:17" s="181" customFormat="1">
      <c r="A388" s="264">
        <f t="shared" si="7"/>
        <v>387</v>
      </c>
      <c r="B388" s="264" t="s">
        <v>2458</v>
      </c>
      <c r="C388" s="264" t="s">
        <v>275</v>
      </c>
      <c r="D388" s="264">
        <v>1</v>
      </c>
      <c r="E388" s="264" t="s">
        <v>1115</v>
      </c>
      <c r="F388" s="264" t="s">
        <v>3134</v>
      </c>
      <c r="G388" s="264"/>
      <c r="H388" s="264"/>
      <c r="I388" s="264" t="s">
        <v>3122</v>
      </c>
      <c r="J388" s="264"/>
      <c r="K388" s="264" t="s">
        <v>1117</v>
      </c>
      <c r="L388" s="264" t="s">
        <v>1116</v>
      </c>
      <c r="M388" s="264" t="s">
        <v>32</v>
      </c>
      <c r="N388" s="264"/>
      <c r="O388" s="264" t="s">
        <v>3216</v>
      </c>
      <c r="P388" s="264" t="s">
        <v>3217</v>
      </c>
      <c r="Q388" s="264"/>
    </row>
    <row r="389" spans="1:17" s="181" customFormat="1">
      <c r="A389" s="264">
        <f t="shared" si="7"/>
        <v>388</v>
      </c>
      <c r="B389" s="264" t="s">
        <v>2459</v>
      </c>
      <c r="C389" s="264" t="s">
        <v>275</v>
      </c>
      <c r="D389" s="264">
        <v>1</v>
      </c>
      <c r="E389" s="264" t="s">
        <v>1118</v>
      </c>
      <c r="F389" s="264" t="s">
        <v>3134</v>
      </c>
      <c r="G389" s="264"/>
      <c r="H389" s="264"/>
      <c r="I389" s="264" t="s">
        <v>3122</v>
      </c>
      <c r="J389" s="264"/>
      <c r="K389" s="264" t="s">
        <v>1120</v>
      </c>
      <c r="L389" s="264" t="s">
        <v>1119</v>
      </c>
      <c r="M389" s="264" t="s">
        <v>32</v>
      </c>
      <c r="N389" s="264"/>
      <c r="O389" s="264" t="s">
        <v>3216</v>
      </c>
      <c r="P389" s="264" t="s">
        <v>3217</v>
      </c>
      <c r="Q389" s="264"/>
    </row>
    <row r="390" spans="1:17" s="181" customFormat="1">
      <c r="A390" s="264">
        <f t="shared" si="7"/>
        <v>389</v>
      </c>
      <c r="B390" s="264" t="s">
        <v>2460</v>
      </c>
      <c r="C390" s="264" t="s">
        <v>275</v>
      </c>
      <c r="D390" s="264">
        <v>1</v>
      </c>
      <c r="E390" s="264" t="s">
        <v>1121</v>
      </c>
      <c r="F390" s="264" t="s">
        <v>3134</v>
      </c>
      <c r="G390" s="264"/>
      <c r="H390" s="264"/>
      <c r="I390" s="264" t="s">
        <v>3122</v>
      </c>
      <c r="J390" s="264"/>
      <c r="K390" s="264" t="s">
        <v>1123</v>
      </c>
      <c r="L390" s="264" t="s">
        <v>1122</v>
      </c>
      <c r="M390" s="264" t="s">
        <v>32</v>
      </c>
      <c r="N390" s="264"/>
      <c r="O390" s="264" t="s">
        <v>3216</v>
      </c>
      <c r="P390" s="264" t="s">
        <v>3217</v>
      </c>
      <c r="Q390" s="264"/>
    </row>
    <row r="391" spans="1:17" s="181" customFormat="1">
      <c r="A391" s="264">
        <f t="shared" si="7"/>
        <v>390</v>
      </c>
      <c r="B391" s="264" t="s">
        <v>2461</v>
      </c>
      <c r="C391" s="264" t="s">
        <v>275</v>
      </c>
      <c r="D391" s="264">
        <v>1</v>
      </c>
      <c r="E391" s="264" t="s">
        <v>1124</v>
      </c>
      <c r="F391" s="264" t="s">
        <v>3134</v>
      </c>
      <c r="G391" s="264"/>
      <c r="H391" s="264"/>
      <c r="I391" s="264" t="s">
        <v>3122</v>
      </c>
      <c r="J391" s="264"/>
      <c r="K391" s="264" t="s">
        <v>1126</v>
      </c>
      <c r="L391" s="264" t="s">
        <v>1125</v>
      </c>
      <c r="M391" s="264" t="s">
        <v>32</v>
      </c>
      <c r="N391" s="264"/>
      <c r="O391" s="264" t="s">
        <v>3216</v>
      </c>
      <c r="P391" s="264" t="s">
        <v>3217</v>
      </c>
      <c r="Q391" s="264"/>
    </row>
    <row r="392" spans="1:17" s="181" customFormat="1">
      <c r="A392" s="264">
        <f t="shared" si="7"/>
        <v>391</v>
      </c>
      <c r="B392" s="264" t="s">
        <v>2462</v>
      </c>
      <c r="C392" s="264" t="s">
        <v>275</v>
      </c>
      <c r="D392" s="264">
        <v>1</v>
      </c>
      <c r="E392" s="264" t="s">
        <v>1127</v>
      </c>
      <c r="F392" s="264" t="s">
        <v>3134</v>
      </c>
      <c r="G392" s="264"/>
      <c r="H392" s="264"/>
      <c r="I392" s="264" t="s">
        <v>3122</v>
      </c>
      <c r="J392" s="264"/>
      <c r="K392" s="264" t="s">
        <v>1129</v>
      </c>
      <c r="L392" s="264" t="s">
        <v>1128</v>
      </c>
      <c r="M392" s="264" t="s">
        <v>32</v>
      </c>
      <c r="N392" s="264"/>
      <c r="O392" s="264" t="s">
        <v>3216</v>
      </c>
      <c r="P392" s="264" t="s">
        <v>3217</v>
      </c>
      <c r="Q392" s="264"/>
    </row>
    <row r="393" spans="1:17" s="181" customFormat="1">
      <c r="A393" s="264">
        <f t="shared" si="7"/>
        <v>392</v>
      </c>
      <c r="B393" s="264" t="s">
        <v>2463</v>
      </c>
      <c r="C393" s="264" t="s">
        <v>275</v>
      </c>
      <c r="D393" s="264">
        <v>1</v>
      </c>
      <c r="E393" s="264" t="s">
        <v>1130</v>
      </c>
      <c r="F393" s="264" t="s">
        <v>3134</v>
      </c>
      <c r="G393" s="264"/>
      <c r="H393" s="264"/>
      <c r="I393" s="264" t="s">
        <v>3122</v>
      </c>
      <c r="J393" s="264"/>
      <c r="K393" s="264" t="s">
        <v>1132</v>
      </c>
      <c r="L393" s="264" t="s">
        <v>1131</v>
      </c>
      <c r="M393" s="264" t="s">
        <v>32</v>
      </c>
      <c r="N393" s="264"/>
      <c r="O393" s="264" t="s">
        <v>3216</v>
      </c>
      <c r="P393" s="264" t="s">
        <v>3217</v>
      </c>
      <c r="Q393" s="264"/>
    </row>
    <row r="394" spans="1:17" s="181" customFormat="1">
      <c r="A394" s="264">
        <f t="shared" si="7"/>
        <v>393</v>
      </c>
      <c r="B394" s="264" t="s">
        <v>2464</v>
      </c>
      <c r="C394" s="264" t="s">
        <v>275</v>
      </c>
      <c r="D394" s="264">
        <v>1</v>
      </c>
      <c r="E394" s="264" t="s">
        <v>1133</v>
      </c>
      <c r="F394" s="264" t="s">
        <v>3134</v>
      </c>
      <c r="G394" s="264"/>
      <c r="H394" s="264"/>
      <c r="I394" s="264" t="s">
        <v>3122</v>
      </c>
      <c r="J394" s="264"/>
      <c r="K394" s="264" t="s">
        <v>1135</v>
      </c>
      <c r="L394" s="264" t="s">
        <v>1134</v>
      </c>
      <c r="M394" s="264" t="s">
        <v>32</v>
      </c>
      <c r="N394" s="264"/>
      <c r="O394" s="264" t="s">
        <v>3216</v>
      </c>
      <c r="P394" s="264" t="s">
        <v>3217</v>
      </c>
      <c r="Q394" s="264"/>
    </row>
    <row r="395" spans="1:17" s="181" customFormat="1">
      <c r="A395" s="264">
        <f t="shared" si="7"/>
        <v>394</v>
      </c>
      <c r="B395" s="264" t="s">
        <v>2465</v>
      </c>
      <c r="C395" s="264" t="s">
        <v>275</v>
      </c>
      <c r="D395" s="264">
        <v>1</v>
      </c>
      <c r="E395" s="264" t="s">
        <v>1136</v>
      </c>
      <c r="F395" s="264" t="s">
        <v>3134</v>
      </c>
      <c r="G395" s="264"/>
      <c r="H395" s="264"/>
      <c r="I395" s="264" t="s">
        <v>3122</v>
      </c>
      <c r="J395" s="264"/>
      <c r="K395" s="264" t="s">
        <v>1138</v>
      </c>
      <c r="L395" s="264" t="s">
        <v>1137</v>
      </c>
      <c r="M395" s="264" t="s">
        <v>32</v>
      </c>
      <c r="N395" s="264"/>
      <c r="O395" s="264" t="s">
        <v>3216</v>
      </c>
      <c r="P395" s="264" t="s">
        <v>3217</v>
      </c>
      <c r="Q395" s="264"/>
    </row>
    <row r="396" spans="1:17" s="181" customFormat="1">
      <c r="A396" s="264">
        <f t="shared" si="7"/>
        <v>395</v>
      </c>
      <c r="B396" s="264" t="s">
        <v>2466</v>
      </c>
      <c r="C396" s="264" t="s">
        <v>275</v>
      </c>
      <c r="D396" s="264">
        <v>1</v>
      </c>
      <c r="E396" s="264" t="s">
        <v>1139</v>
      </c>
      <c r="F396" s="264" t="s">
        <v>3134</v>
      </c>
      <c r="G396" s="264"/>
      <c r="H396" s="264"/>
      <c r="I396" s="264" t="s">
        <v>3122</v>
      </c>
      <c r="J396" s="264"/>
      <c r="K396" s="264" t="s">
        <v>1141</v>
      </c>
      <c r="L396" s="264" t="s">
        <v>1140</v>
      </c>
      <c r="M396" s="264" t="s">
        <v>32</v>
      </c>
      <c r="N396" s="264"/>
      <c r="O396" s="264" t="s">
        <v>3216</v>
      </c>
      <c r="P396" s="264" t="s">
        <v>3217</v>
      </c>
      <c r="Q396" s="264"/>
    </row>
    <row r="397" spans="1:17" s="181" customFormat="1">
      <c r="A397" s="264">
        <f t="shared" si="7"/>
        <v>396</v>
      </c>
      <c r="B397" s="264" t="s">
        <v>2467</v>
      </c>
      <c r="C397" s="264" t="s">
        <v>275</v>
      </c>
      <c r="D397" s="264">
        <v>1</v>
      </c>
      <c r="E397" s="264" t="s">
        <v>1142</v>
      </c>
      <c r="F397" s="264" t="s">
        <v>3134</v>
      </c>
      <c r="G397" s="264"/>
      <c r="H397" s="264"/>
      <c r="I397" s="264" t="s">
        <v>3122</v>
      </c>
      <c r="J397" s="264"/>
      <c r="K397" s="264" t="s">
        <v>1144</v>
      </c>
      <c r="L397" s="264" t="s">
        <v>1143</v>
      </c>
      <c r="M397" s="264" t="s">
        <v>32</v>
      </c>
      <c r="N397" s="264"/>
      <c r="O397" s="264" t="s">
        <v>3216</v>
      </c>
      <c r="P397" s="264" t="s">
        <v>3217</v>
      </c>
      <c r="Q397" s="264"/>
    </row>
    <row r="398" spans="1:17" s="181" customFormat="1">
      <c r="A398" s="264">
        <f t="shared" si="7"/>
        <v>397</v>
      </c>
      <c r="B398" s="264" t="s">
        <v>2468</v>
      </c>
      <c r="C398" s="264" t="s">
        <v>275</v>
      </c>
      <c r="D398" s="264">
        <v>1</v>
      </c>
      <c r="E398" s="264" t="s">
        <v>1145</v>
      </c>
      <c r="F398" s="264" t="s">
        <v>3134</v>
      </c>
      <c r="G398" s="264"/>
      <c r="H398" s="264"/>
      <c r="I398" s="264" t="s">
        <v>3122</v>
      </c>
      <c r="J398" s="264"/>
      <c r="K398" s="264" t="s">
        <v>1147</v>
      </c>
      <c r="L398" s="264" t="s">
        <v>1146</v>
      </c>
      <c r="M398" s="264" t="s">
        <v>32</v>
      </c>
      <c r="N398" s="264"/>
      <c r="O398" s="264" t="s">
        <v>3216</v>
      </c>
      <c r="P398" s="264" t="s">
        <v>3217</v>
      </c>
      <c r="Q398" s="264"/>
    </row>
    <row r="399" spans="1:17" s="181" customFormat="1">
      <c r="A399" s="264">
        <f t="shared" si="7"/>
        <v>398</v>
      </c>
      <c r="B399" s="264" t="s">
        <v>2469</v>
      </c>
      <c r="C399" s="264" t="s">
        <v>275</v>
      </c>
      <c r="D399" s="264">
        <v>1</v>
      </c>
      <c r="E399" s="264" t="s">
        <v>1148</v>
      </c>
      <c r="F399" s="264" t="s">
        <v>3134</v>
      </c>
      <c r="G399" s="264"/>
      <c r="H399" s="264"/>
      <c r="I399" s="264" t="s">
        <v>3122</v>
      </c>
      <c r="J399" s="264"/>
      <c r="K399" s="264" t="s">
        <v>1150</v>
      </c>
      <c r="L399" s="264" t="s">
        <v>1149</v>
      </c>
      <c r="M399" s="264" t="s">
        <v>32</v>
      </c>
      <c r="N399" s="264"/>
      <c r="O399" s="264" t="s">
        <v>3216</v>
      </c>
      <c r="P399" s="264" t="s">
        <v>3217</v>
      </c>
      <c r="Q399" s="264"/>
    </row>
    <row r="400" spans="1:17" s="181" customFormat="1">
      <c r="A400" s="264">
        <f t="shared" si="7"/>
        <v>399</v>
      </c>
      <c r="B400" s="264" t="s">
        <v>2470</v>
      </c>
      <c r="C400" s="264" t="s">
        <v>275</v>
      </c>
      <c r="D400" s="264">
        <v>1</v>
      </c>
      <c r="E400" s="264" t="s">
        <v>1151</v>
      </c>
      <c r="F400" s="264" t="s">
        <v>3134</v>
      </c>
      <c r="G400" s="264"/>
      <c r="H400" s="264"/>
      <c r="I400" s="264" t="s">
        <v>3122</v>
      </c>
      <c r="J400" s="264"/>
      <c r="K400" s="264" t="s">
        <v>1153</v>
      </c>
      <c r="L400" s="264" t="s">
        <v>1152</v>
      </c>
      <c r="M400" s="264" t="s">
        <v>32</v>
      </c>
      <c r="N400" s="264"/>
      <c r="O400" s="264" t="s">
        <v>3216</v>
      </c>
      <c r="P400" s="264" t="s">
        <v>3217</v>
      </c>
      <c r="Q400" s="264"/>
    </row>
    <row r="401" spans="1:17" s="181" customFormat="1">
      <c r="A401" s="264">
        <f t="shared" si="7"/>
        <v>400</v>
      </c>
      <c r="B401" s="264" t="s">
        <v>2471</v>
      </c>
      <c r="C401" s="264" t="s">
        <v>275</v>
      </c>
      <c r="D401" s="264">
        <v>1</v>
      </c>
      <c r="E401" s="264" t="s">
        <v>1154</v>
      </c>
      <c r="F401" s="264" t="s">
        <v>3134</v>
      </c>
      <c r="G401" s="264"/>
      <c r="H401" s="264"/>
      <c r="I401" s="264" t="s">
        <v>3122</v>
      </c>
      <c r="J401" s="264"/>
      <c r="K401" s="264" t="s">
        <v>1156</v>
      </c>
      <c r="L401" s="264" t="s">
        <v>1155</v>
      </c>
      <c r="M401" s="264" t="s">
        <v>32</v>
      </c>
      <c r="N401" s="264"/>
      <c r="O401" s="264" t="s">
        <v>3216</v>
      </c>
      <c r="P401" s="264" t="s">
        <v>3217</v>
      </c>
      <c r="Q401" s="264"/>
    </row>
    <row r="402" spans="1:17" s="181" customFormat="1">
      <c r="A402" s="264">
        <f t="shared" si="7"/>
        <v>401</v>
      </c>
      <c r="B402" s="264" t="s">
        <v>2472</v>
      </c>
      <c r="C402" s="264" t="s">
        <v>275</v>
      </c>
      <c r="D402" s="264">
        <v>1</v>
      </c>
      <c r="E402" s="264" t="s">
        <v>1157</v>
      </c>
      <c r="F402" s="264" t="s">
        <v>3134</v>
      </c>
      <c r="G402" s="264"/>
      <c r="H402" s="264"/>
      <c r="I402" s="264" t="s">
        <v>3122</v>
      </c>
      <c r="J402" s="264"/>
      <c r="K402" s="264" t="s">
        <v>1159</v>
      </c>
      <c r="L402" s="264" t="s">
        <v>1158</v>
      </c>
      <c r="M402" s="264" t="s">
        <v>32</v>
      </c>
      <c r="N402" s="264"/>
      <c r="O402" s="264" t="s">
        <v>3216</v>
      </c>
      <c r="P402" s="264" t="s">
        <v>3217</v>
      </c>
      <c r="Q402" s="264"/>
    </row>
    <row r="403" spans="1:17" s="181" customFormat="1">
      <c r="A403" s="264">
        <f t="shared" si="7"/>
        <v>402</v>
      </c>
      <c r="B403" s="264" t="s">
        <v>2473</v>
      </c>
      <c r="C403" s="264" t="s">
        <v>275</v>
      </c>
      <c r="D403" s="264">
        <v>1</v>
      </c>
      <c r="E403" s="264" t="s">
        <v>1160</v>
      </c>
      <c r="F403" s="264" t="s">
        <v>3134</v>
      </c>
      <c r="G403" s="264"/>
      <c r="H403" s="264"/>
      <c r="I403" s="264" t="s">
        <v>3122</v>
      </c>
      <c r="J403" s="264"/>
      <c r="K403" s="264" t="s">
        <v>1093</v>
      </c>
      <c r="L403" s="264" t="s">
        <v>1161</v>
      </c>
      <c r="M403" s="264" t="s">
        <v>32</v>
      </c>
      <c r="N403" s="264"/>
      <c r="O403" s="264" t="s">
        <v>3216</v>
      </c>
      <c r="P403" s="264" t="s">
        <v>3217</v>
      </c>
      <c r="Q403" s="264"/>
    </row>
    <row r="404" spans="1:17" s="181" customFormat="1">
      <c r="A404" s="264">
        <f t="shared" si="7"/>
        <v>403</v>
      </c>
      <c r="B404" s="264" t="s">
        <v>2474</v>
      </c>
      <c r="C404" s="264" t="s">
        <v>275</v>
      </c>
      <c r="D404" s="264">
        <v>1</v>
      </c>
      <c r="E404" s="264" t="s">
        <v>1162</v>
      </c>
      <c r="F404" s="264" t="s">
        <v>3134</v>
      </c>
      <c r="G404" s="264"/>
      <c r="H404" s="264"/>
      <c r="I404" s="264" t="s">
        <v>3122</v>
      </c>
      <c r="J404" s="264"/>
      <c r="K404" s="264" t="s">
        <v>1164</v>
      </c>
      <c r="L404" s="264" t="s">
        <v>1163</v>
      </c>
      <c r="M404" s="264" t="s">
        <v>32</v>
      </c>
      <c r="N404" s="264"/>
      <c r="O404" s="264" t="s">
        <v>3216</v>
      </c>
      <c r="P404" s="264" t="s">
        <v>3217</v>
      </c>
      <c r="Q404" s="264"/>
    </row>
    <row r="405" spans="1:17" s="181" customFormat="1">
      <c r="A405" s="264">
        <f t="shared" si="7"/>
        <v>404</v>
      </c>
      <c r="B405" s="264" t="s">
        <v>2475</v>
      </c>
      <c r="C405" s="264" t="s">
        <v>275</v>
      </c>
      <c r="D405" s="264">
        <v>1</v>
      </c>
      <c r="E405" s="264" t="s">
        <v>1165</v>
      </c>
      <c r="F405" s="264" t="s">
        <v>3134</v>
      </c>
      <c r="G405" s="264"/>
      <c r="H405" s="264"/>
      <c r="I405" s="264" t="s">
        <v>3122</v>
      </c>
      <c r="J405" s="264"/>
      <c r="K405" s="264" t="s">
        <v>1167</v>
      </c>
      <c r="L405" s="264" t="s">
        <v>1166</v>
      </c>
      <c r="M405" s="264" t="s">
        <v>32</v>
      </c>
      <c r="N405" s="264"/>
      <c r="O405" s="264" t="s">
        <v>3216</v>
      </c>
      <c r="P405" s="264" t="s">
        <v>3217</v>
      </c>
      <c r="Q405" s="264"/>
    </row>
    <row r="406" spans="1:17" s="181" customFormat="1">
      <c r="A406" s="264">
        <f t="shared" si="7"/>
        <v>405</v>
      </c>
      <c r="B406" s="264" t="s">
        <v>2476</v>
      </c>
      <c r="C406" s="264" t="s">
        <v>275</v>
      </c>
      <c r="D406" s="264">
        <v>1</v>
      </c>
      <c r="E406" s="264" t="s">
        <v>1168</v>
      </c>
      <c r="F406" s="264" t="s">
        <v>3134</v>
      </c>
      <c r="G406" s="264"/>
      <c r="H406" s="264"/>
      <c r="I406" s="264" t="s">
        <v>3122</v>
      </c>
      <c r="J406" s="264"/>
      <c r="K406" s="264" t="s">
        <v>1170</v>
      </c>
      <c r="L406" s="264" t="s">
        <v>1169</v>
      </c>
      <c r="M406" s="264" t="s">
        <v>32</v>
      </c>
      <c r="N406" s="264"/>
      <c r="O406" s="264" t="s">
        <v>3216</v>
      </c>
      <c r="P406" s="264" t="s">
        <v>3217</v>
      </c>
      <c r="Q406" s="264"/>
    </row>
    <row r="407" spans="1:17" s="181" customFormat="1">
      <c r="A407" s="264">
        <f t="shared" si="7"/>
        <v>406</v>
      </c>
      <c r="B407" s="264" t="s">
        <v>2477</v>
      </c>
      <c r="C407" s="264" t="s">
        <v>275</v>
      </c>
      <c r="D407" s="264">
        <v>1</v>
      </c>
      <c r="E407" s="264" t="s">
        <v>1171</v>
      </c>
      <c r="F407" s="264" t="s">
        <v>3134</v>
      </c>
      <c r="G407" s="264"/>
      <c r="H407" s="264"/>
      <c r="I407" s="264" t="s">
        <v>3122</v>
      </c>
      <c r="J407" s="264"/>
      <c r="K407" s="264" t="s">
        <v>1173</v>
      </c>
      <c r="L407" s="264" t="s">
        <v>1172</v>
      </c>
      <c r="M407" s="264" t="s">
        <v>32</v>
      </c>
      <c r="N407" s="264"/>
      <c r="O407" s="264" t="s">
        <v>3216</v>
      </c>
      <c r="P407" s="264" t="s">
        <v>3217</v>
      </c>
      <c r="Q407" s="264"/>
    </row>
    <row r="408" spans="1:17" s="181" customFormat="1">
      <c r="A408" s="264">
        <f t="shared" si="7"/>
        <v>407</v>
      </c>
      <c r="B408" s="264" t="s">
        <v>2478</v>
      </c>
      <c r="C408" s="264" t="s">
        <v>275</v>
      </c>
      <c r="D408" s="264">
        <v>1</v>
      </c>
      <c r="E408" s="264" t="s">
        <v>1174</v>
      </c>
      <c r="F408" s="264" t="s">
        <v>3134</v>
      </c>
      <c r="G408" s="264"/>
      <c r="H408" s="264"/>
      <c r="I408" s="264" t="s">
        <v>3122</v>
      </c>
      <c r="J408" s="264"/>
      <c r="K408" s="264" t="s">
        <v>1176</v>
      </c>
      <c r="L408" s="264" t="s">
        <v>1175</v>
      </c>
      <c r="M408" s="264" t="s">
        <v>32</v>
      </c>
      <c r="N408" s="264"/>
      <c r="O408" s="264" t="s">
        <v>3216</v>
      </c>
      <c r="P408" s="264" t="s">
        <v>3217</v>
      </c>
      <c r="Q408" s="264"/>
    </row>
    <row r="409" spans="1:17" s="181" customFormat="1">
      <c r="A409" s="264">
        <f t="shared" si="7"/>
        <v>408</v>
      </c>
      <c r="B409" s="264" t="s">
        <v>2479</v>
      </c>
      <c r="C409" s="264" t="s">
        <v>275</v>
      </c>
      <c r="D409" s="264">
        <v>1</v>
      </c>
      <c r="E409" s="264" t="s">
        <v>1177</v>
      </c>
      <c r="F409" s="264" t="s">
        <v>3134</v>
      </c>
      <c r="G409" s="264"/>
      <c r="H409" s="264"/>
      <c r="I409" s="264" t="s">
        <v>3122</v>
      </c>
      <c r="J409" s="264"/>
      <c r="K409" s="264" t="s">
        <v>1179</v>
      </c>
      <c r="L409" s="264" t="s">
        <v>1178</v>
      </c>
      <c r="M409" s="264" t="s">
        <v>32</v>
      </c>
      <c r="N409" s="264"/>
      <c r="O409" s="264" t="s">
        <v>3216</v>
      </c>
      <c r="P409" s="264" t="s">
        <v>3217</v>
      </c>
      <c r="Q409" s="264"/>
    </row>
    <row r="410" spans="1:17" s="181" customFormat="1">
      <c r="A410" s="264">
        <f t="shared" si="7"/>
        <v>409</v>
      </c>
      <c r="B410" s="264" t="s">
        <v>2480</v>
      </c>
      <c r="C410" s="264" t="s">
        <v>275</v>
      </c>
      <c r="D410" s="264">
        <v>1</v>
      </c>
      <c r="E410" s="264" t="s">
        <v>1180</v>
      </c>
      <c r="F410" s="264" t="s">
        <v>3134</v>
      </c>
      <c r="G410" s="264"/>
      <c r="H410" s="264"/>
      <c r="I410" s="264" t="s">
        <v>3122</v>
      </c>
      <c r="J410" s="264"/>
      <c r="K410" s="264" t="s">
        <v>1182</v>
      </c>
      <c r="L410" s="264" t="s">
        <v>1181</v>
      </c>
      <c r="M410" s="264" t="s">
        <v>32</v>
      </c>
      <c r="N410" s="264"/>
      <c r="O410" s="264" t="s">
        <v>3216</v>
      </c>
      <c r="P410" s="264" t="s">
        <v>3217</v>
      </c>
      <c r="Q410" s="264"/>
    </row>
    <row r="411" spans="1:17" s="181" customFormat="1">
      <c r="A411" s="264">
        <f t="shared" si="7"/>
        <v>410</v>
      </c>
      <c r="B411" s="264" t="s">
        <v>2481</v>
      </c>
      <c r="C411" s="264" t="s">
        <v>275</v>
      </c>
      <c r="D411" s="264">
        <v>1</v>
      </c>
      <c r="E411" s="264" t="s">
        <v>1183</v>
      </c>
      <c r="F411" s="264" t="s">
        <v>3134</v>
      </c>
      <c r="G411" s="264"/>
      <c r="H411" s="264"/>
      <c r="I411" s="264" t="s">
        <v>3123</v>
      </c>
      <c r="J411" s="264"/>
      <c r="K411" s="264" t="s">
        <v>1185</v>
      </c>
      <c r="L411" s="264" t="s">
        <v>1184</v>
      </c>
      <c r="M411" s="264" t="s">
        <v>3119</v>
      </c>
      <c r="N411" s="264"/>
      <c r="O411" s="264" t="s">
        <v>3216</v>
      </c>
      <c r="P411" s="264" t="s">
        <v>3217</v>
      </c>
      <c r="Q411" s="264"/>
    </row>
    <row r="412" spans="1:17" s="181" customFormat="1">
      <c r="A412" s="264">
        <f t="shared" si="7"/>
        <v>411</v>
      </c>
      <c r="B412" s="264" t="s">
        <v>2482</v>
      </c>
      <c r="C412" s="264" t="s">
        <v>275</v>
      </c>
      <c r="D412" s="264">
        <v>1</v>
      </c>
      <c r="E412" s="264" t="s">
        <v>1186</v>
      </c>
      <c r="F412" s="264" t="s">
        <v>3134</v>
      </c>
      <c r="G412" s="264"/>
      <c r="H412" s="264"/>
      <c r="I412" s="264" t="s">
        <v>3123</v>
      </c>
      <c r="J412" s="264"/>
      <c r="K412" s="264" t="s">
        <v>1188</v>
      </c>
      <c r="L412" s="264" t="s">
        <v>1187</v>
      </c>
      <c r="M412" s="264" t="s">
        <v>3119</v>
      </c>
      <c r="N412" s="264"/>
      <c r="O412" s="264" t="s">
        <v>3216</v>
      </c>
      <c r="P412" s="264" t="s">
        <v>3217</v>
      </c>
      <c r="Q412" s="264"/>
    </row>
    <row r="413" spans="1:17" s="181" customFormat="1">
      <c r="A413" s="264">
        <f t="shared" si="7"/>
        <v>412</v>
      </c>
      <c r="B413" s="264" t="s">
        <v>2483</v>
      </c>
      <c r="C413" s="264" t="s">
        <v>275</v>
      </c>
      <c r="D413" s="264">
        <v>1</v>
      </c>
      <c r="E413" s="264" t="s">
        <v>1189</v>
      </c>
      <c r="F413" s="264" t="s">
        <v>3134</v>
      </c>
      <c r="G413" s="264"/>
      <c r="H413" s="264"/>
      <c r="I413" s="264" t="s">
        <v>3123</v>
      </c>
      <c r="J413" s="264"/>
      <c r="K413" s="264" t="s">
        <v>1191</v>
      </c>
      <c r="L413" s="264" t="s">
        <v>1190</v>
      </c>
      <c r="M413" s="264" t="s">
        <v>3119</v>
      </c>
      <c r="N413" s="264"/>
      <c r="O413" s="264" t="s">
        <v>3216</v>
      </c>
      <c r="P413" s="264" t="s">
        <v>3217</v>
      </c>
      <c r="Q413" s="264"/>
    </row>
    <row r="414" spans="1:17" s="181" customFormat="1">
      <c r="A414" s="264">
        <f t="shared" si="7"/>
        <v>413</v>
      </c>
      <c r="B414" s="264" t="s">
        <v>2484</v>
      </c>
      <c r="C414" s="264" t="s">
        <v>275</v>
      </c>
      <c r="D414" s="264">
        <v>1</v>
      </c>
      <c r="E414" s="264" t="s">
        <v>1192</v>
      </c>
      <c r="F414" s="264" t="s">
        <v>3134</v>
      </c>
      <c r="G414" s="264"/>
      <c r="H414" s="264"/>
      <c r="I414" s="264" t="s">
        <v>3123</v>
      </c>
      <c r="J414" s="264"/>
      <c r="K414" s="264" t="s">
        <v>1194</v>
      </c>
      <c r="L414" s="264" t="s">
        <v>1193</v>
      </c>
      <c r="M414" s="264" t="s">
        <v>3119</v>
      </c>
      <c r="N414" s="264"/>
      <c r="O414" s="264" t="s">
        <v>3216</v>
      </c>
      <c r="P414" s="264" t="s">
        <v>3217</v>
      </c>
      <c r="Q414" s="264"/>
    </row>
    <row r="415" spans="1:17" s="181" customFormat="1">
      <c r="A415" s="264">
        <f t="shared" si="7"/>
        <v>414</v>
      </c>
      <c r="B415" s="264" t="s">
        <v>2485</v>
      </c>
      <c r="C415" s="264" t="s">
        <v>275</v>
      </c>
      <c r="D415" s="264">
        <v>1</v>
      </c>
      <c r="E415" s="264" t="s">
        <v>1195</v>
      </c>
      <c r="F415" s="264" t="s">
        <v>3134</v>
      </c>
      <c r="G415" s="264"/>
      <c r="H415" s="264"/>
      <c r="I415" s="264" t="s">
        <v>3123</v>
      </c>
      <c r="J415" s="264"/>
      <c r="K415" s="264" t="s">
        <v>1197</v>
      </c>
      <c r="L415" s="264" t="s">
        <v>1196</v>
      </c>
      <c r="M415" s="264" t="s">
        <v>3119</v>
      </c>
      <c r="N415" s="264"/>
      <c r="O415" s="264" t="s">
        <v>3216</v>
      </c>
      <c r="P415" s="264" t="s">
        <v>3217</v>
      </c>
      <c r="Q415" s="264"/>
    </row>
    <row r="416" spans="1:17" s="181" customFormat="1">
      <c r="A416" s="264">
        <f t="shared" si="7"/>
        <v>415</v>
      </c>
      <c r="B416" s="264" t="s">
        <v>2486</v>
      </c>
      <c r="C416" s="264" t="s">
        <v>275</v>
      </c>
      <c r="D416" s="264">
        <v>1</v>
      </c>
      <c r="E416" s="264" t="s">
        <v>1198</v>
      </c>
      <c r="F416" s="264" t="s">
        <v>3134</v>
      </c>
      <c r="G416" s="264"/>
      <c r="H416" s="264"/>
      <c r="I416" s="264" t="s">
        <v>3123</v>
      </c>
      <c r="J416" s="264"/>
      <c r="K416" s="264" t="s">
        <v>1200</v>
      </c>
      <c r="L416" s="264" t="s">
        <v>1199</v>
      </c>
      <c r="M416" s="264" t="s">
        <v>3119</v>
      </c>
      <c r="N416" s="264"/>
      <c r="O416" s="264" t="s">
        <v>3216</v>
      </c>
      <c r="P416" s="264" t="s">
        <v>3217</v>
      </c>
      <c r="Q416" s="264"/>
    </row>
    <row r="417" spans="1:17" s="181" customFormat="1">
      <c r="A417" s="264">
        <f t="shared" si="7"/>
        <v>416</v>
      </c>
      <c r="B417" s="264" t="s">
        <v>2487</v>
      </c>
      <c r="C417" s="264" t="s">
        <v>275</v>
      </c>
      <c r="D417" s="264">
        <v>1</v>
      </c>
      <c r="E417" s="264" t="s">
        <v>1201</v>
      </c>
      <c r="F417" s="264" t="s">
        <v>3134</v>
      </c>
      <c r="G417" s="264"/>
      <c r="H417" s="264"/>
      <c r="I417" s="264" t="s">
        <v>3123</v>
      </c>
      <c r="J417" s="264"/>
      <c r="K417" s="264" t="s">
        <v>1203</v>
      </c>
      <c r="L417" s="264" t="s">
        <v>1202</v>
      </c>
      <c r="M417" s="264" t="s">
        <v>3119</v>
      </c>
      <c r="N417" s="264"/>
      <c r="O417" s="264" t="s">
        <v>3216</v>
      </c>
      <c r="P417" s="264" t="s">
        <v>3217</v>
      </c>
      <c r="Q417" s="264"/>
    </row>
    <row r="418" spans="1:17" s="181" customFormat="1">
      <c r="A418" s="264">
        <f t="shared" si="7"/>
        <v>417</v>
      </c>
      <c r="B418" s="264" t="s">
        <v>2488</v>
      </c>
      <c r="C418" s="264" t="s">
        <v>275</v>
      </c>
      <c r="D418" s="264">
        <v>1</v>
      </c>
      <c r="E418" s="264" t="s">
        <v>1204</v>
      </c>
      <c r="F418" s="264" t="s">
        <v>3134</v>
      </c>
      <c r="G418" s="264"/>
      <c r="H418" s="264"/>
      <c r="I418" s="264" t="s">
        <v>3123</v>
      </c>
      <c r="J418" s="264"/>
      <c r="K418" s="264" t="s">
        <v>1206</v>
      </c>
      <c r="L418" s="264" t="s">
        <v>1205</v>
      </c>
      <c r="M418" s="264" t="s">
        <v>3119</v>
      </c>
      <c r="N418" s="264"/>
      <c r="O418" s="264" t="s">
        <v>3216</v>
      </c>
      <c r="P418" s="264" t="s">
        <v>3217</v>
      </c>
      <c r="Q418" s="264"/>
    </row>
    <row r="419" spans="1:17" s="181" customFormat="1">
      <c r="A419" s="264">
        <f t="shared" si="7"/>
        <v>418</v>
      </c>
      <c r="B419" s="264" t="s">
        <v>2489</v>
      </c>
      <c r="C419" s="264" t="s">
        <v>275</v>
      </c>
      <c r="D419" s="264">
        <v>1</v>
      </c>
      <c r="E419" s="264" t="s">
        <v>1207</v>
      </c>
      <c r="F419" s="264" t="s">
        <v>3134</v>
      </c>
      <c r="G419" s="264"/>
      <c r="H419" s="264"/>
      <c r="I419" s="264" t="s">
        <v>3123</v>
      </c>
      <c r="J419" s="264"/>
      <c r="K419" s="264" t="s">
        <v>1209</v>
      </c>
      <c r="L419" s="264" t="s">
        <v>1208</v>
      </c>
      <c r="M419" s="264" t="s">
        <v>3119</v>
      </c>
      <c r="N419" s="264"/>
      <c r="O419" s="264" t="s">
        <v>3216</v>
      </c>
      <c r="P419" s="264" t="s">
        <v>3217</v>
      </c>
      <c r="Q419" s="264"/>
    </row>
    <row r="420" spans="1:17" s="181" customFormat="1">
      <c r="A420" s="264">
        <f t="shared" si="7"/>
        <v>419</v>
      </c>
      <c r="B420" s="264" t="s">
        <v>2490</v>
      </c>
      <c r="C420" s="264" t="s">
        <v>275</v>
      </c>
      <c r="D420" s="264">
        <v>1</v>
      </c>
      <c r="E420" s="264" t="s">
        <v>1210</v>
      </c>
      <c r="F420" s="264" t="s">
        <v>3134</v>
      </c>
      <c r="G420" s="264"/>
      <c r="H420" s="264"/>
      <c r="I420" s="264" t="s">
        <v>3123</v>
      </c>
      <c r="J420" s="264"/>
      <c r="K420" s="264" t="s">
        <v>1212</v>
      </c>
      <c r="L420" s="264" t="s">
        <v>1211</v>
      </c>
      <c r="M420" s="264" t="s">
        <v>3119</v>
      </c>
      <c r="N420" s="264"/>
      <c r="O420" s="264" t="s">
        <v>3216</v>
      </c>
      <c r="P420" s="264" t="s">
        <v>3217</v>
      </c>
      <c r="Q420" s="264"/>
    </row>
    <row r="421" spans="1:17" s="181" customFormat="1">
      <c r="A421" s="264">
        <f t="shared" si="7"/>
        <v>420</v>
      </c>
      <c r="B421" s="264" t="s">
        <v>2491</v>
      </c>
      <c r="C421" s="264" t="s">
        <v>275</v>
      </c>
      <c r="D421" s="264">
        <v>1</v>
      </c>
      <c r="E421" s="264" t="s">
        <v>1213</v>
      </c>
      <c r="F421" s="264" t="s">
        <v>3134</v>
      </c>
      <c r="G421" s="264"/>
      <c r="H421" s="264"/>
      <c r="I421" s="264" t="s">
        <v>3123</v>
      </c>
      <c r="J421" s="264"/>
      <c r="K421" s="264" t="s">
        <v>1215</v>
      </c>
      <c r="L421" s="264" t="s">
        <v>1214</v>
      </c>
      <c r="M421" s="264" t="s">
        <v>3119</v>
      </c>
      <c r="N421" s="264"/>
      <c r="O421" s="264" t="s">
        <v>3216</v>
      </c>
      <c r="P421" s="264" t="s">
        <v>3217</v>
      </c>
      <c r="Q421" s="264"/>
    </row>
    <row r="422" spans="1:17" s="181" customFormat="1">
      <c r="A422" s="264">
        <f t="shared" si="7"/>
        <v>421</v>
      </c>
      <c r="B422" s="264" t="s">
        <v>2492</v>
      </c>
      <c r="C422" s="264" t="s">
        <v>275</v>
      </c>
      <c r="D422" s="264">
        <v>1</v>
      </c>
      <c r="E422" s="264" t="s">
        <v>1216</v>
      </c>
      <c r="F422" s="264" t="s">
        <v>3134</v>
      </c>
      <c r="G422" s="264"/>
      <c r="H422" s="264"/>
      <c r="I422" s="264" t="s">
        <v>3123</v>
      </c>
      <c r="J422" s="264"/>
      <c r="K422" s="264" t="s">
        <v>1218</v>
      </c>
      <c r="L422" s="264" t="s">
        <v>1217</v>
      </c>
      <c r="M422" s="264" t="s">
        <v>3119</v>
      </c>
      <c r="N422" s="264"/>
      <c r="O422" s="264" t="s">
        <v>3216</v>
      </c>
      <c r="P422" s="264" t="s">
        <v>3217</v>
      </c>
      <c r="Q422" s="264"/>
    </row>
    <row r="423" spans="1:17" s="181" customFormat="1">
      <c r="A423" s="264">
        <f t="shared" si="7"/>
        <v>422</v>
      </c>
      <c r="B423" s="264" t="s">
        <v>2493</v>
      </c>
      <c r="C423" s="264" t="s">
        <v>275</v>
      </c>
      <c r="D423" s="264">
        <v>1</v>
      </c>
      <c r="E423" s="264" t="s">
        <v>1219</v>
      </c>
      <c r="F423" s="264" t="s">
        <v>3134</v>
      </c>
      <c r="G423" s="264"/>
      <c r="H423" s="264"/>
      <c r="I423" s="264" t="s">
        <v>3123</v>
      </c>
      <c r="J423" s="264"/>
      <c r="K423" s="264" t="s">
        <v>1221</v>
      </c>
      <c r="L423" s="264" t="s">
        <v>1220</v>
      </c>
      <c r="M423" s="264" t="s">
        <v>3119</v>
      </c>
      <c r="N423" s="264"/>
      <c r="O423" s="264" t="s">
        <v>3216</v>
      </c>
      <c r="P423" s="264" t="s">
        <v>3217</v>
      </c>
      <c r="Q423" s="264"/>
    </row>
    <row r="424" spans="1:17" s="181" customFormat="1">
      <c r="A424" s="264">
        <f t="shared" si="7"/>
        <v>423</v>
      </c>
      <c r="B424" s="264" t="s">
        <v>2494</v>
      </c>
      <c r="C424" s="264" t="s">
        <v>275</v>
      </c>
      <c r="D424" s="264">
        <v>1</v>
      </c>
      <c r="E424" s="264" t="s">
        <v>1222</v>
      </c>
      <c r="F424" s="264" t="s">
        <v>3134</v>
      </c>
      <c r="G424" s="264"/>
      <c r="H424" s="264"/>
      <c r="I424" s="264" t="s">
        <v>3123</v>
      </c>
      <c r="J424" s="264"/>
      <c r="K424" s="264" t="s">
        <v>1224</v>
      </c>
      <c r="L424" s="264" t="s">
        <v>1223</v>
      </c>
      <c r="M424" s="264" t="s">
        <v>3119</v>
      </c>
      <c r="N424" s="264"/>
      <c r="O424" s="264" t="s">
        <v>3216</v>
      </c>
      <c r="P424" s="264" t="s">
        <v>3217</v>
      </c>
      <c r="Q424" s="264"/>
    </row>
    <row r="425" spans="1:17" s="181" customFormat="1">
      <c r="A425" s="264">
        <f t="shared" si="7"/>
        <v>424</v>
      </c>
      <c r="B425" s="264" t="s">
        <v>2495</v>
      </c>
      <c r="C425" s="264" t="s">
        <v>275</v>
      </c>
      <c r="D425" s="264">
        <v>1</v>
      </c>
      <c r="E425" s="264" t="s">
        <v>1225</v>
      </c>
      <c r="F425" s="264" t="s">
        <v>3134</v>
      </c>
      <c r="G425" s="264"/>
      <c r="H425" s="264"/>
      <c r="I425" s="264" t="s">
        <v>3123</v>
      </c>
      <c r="J425" s="264"/>
      <c r="K425" s="264" t="s">
        <v>1227</v>
      </c>
      <c r="L425" s="264" t="s">
        <v>1226</v>
      </c>
      <c r="M425" s="264" t="s">
        <v>3119</v>
      </c>
      <c r="N425" s="264"/>
      <c r="O425" s="264" t="s">
        <v>3216</v>
      </c>
      <c r="P425" s="264" t="s">
        <v>3217</v>
      </c>
      <c r="Q425" s="264"/>
    </row>
    <row r="426" spans="1:17" s="181" customFormat="1">
      <c r="A426" s="264">
        <f t="shared" si="7"/>
        <v>425</v>
      </c>
      <c r="B426" s="264" t="s">
        <v>2496</v>
      </c>
      <c r="C426" s="264" t="s">
        <v>275</v>
      </c>
      <c r="D426" s="264">
        <v>1</v>
      </c>
      <c r="E426" s="264" t="s">
        <v>1228</v>
      </c>
      <c r="F426" s="264" t="s">
        <v>3134</v>
      </c>
      <c r="G426" s="264"/>
      <c r="H426" s="264"/>
      <c r="I426" s="264" t="s">
        <v>3123</v>
      </c>
      <c r="J426" s="264"/>
      <c r="K426" s="264" t="s">
        <v>1230</v>
      </c>
      <c r="L426" s="264" t="s">
        <v>1229</v>
      </c>
      <c r="M426" s="264" t="s">
        <v>3119</v>
      </c>
      <c r="N426" s="264"/>
      <c r="O426" s="264" t="s">
        <v>3216</v>
      </c>
      <c r="P426" s="264" t="s">
        <v>3217</v>
      </c>
      <c r="Q426" s="264"/>
    </row>
    <row r="427" spans="1:17" s="181" customFormat="1">
      <c r="A427" s="264">
        <f t="shared" si="7"/>
        <v>426</v>
      </c>
      <c r="B427" s="264" t="s">
        <v>2497</v>
      </c>
      <c r="C427" s="264" t="s">
        <v>275</v>
      </c>
      <c r="D427" s="264">
        <v>1</v>
      </c>
      <c r="E427" s="264" t="s">
        <v>1231</v>
      </c>
      <c r="F427" s="264" t="s">
        <v>3134</v>
      </c>
      <c r="G427" s="264"/>
      <c r="H427" s="264"/>
      <c r="I427" s="264" t="s">
        <v>3123</v>
      </c>
      <c r="J427" s="264"/>
      <c r="K427" s="264" t="s">
        <v>1233</v>
      </c>
      <c r="L427" s="264" t="s">
        <v>1232</v>
      </c>
      <c r="M427" s="264" t="s">
        <v>3119</v>
      </c>
      <c r="N427" s="264"/>
      <c r="O427" s="264" t="s">
        <v>3216</v>
      </c>
      <c r="P427" s="264" t="s">
        <v>3217</v>
      </c>
      <c r="Q427" s="264"/>
    </row>
    <row r="428" spans="1:17" s="181" customFormat="1">
      <c r="A428" s="264">
        <f t="shared" si="7"/>
        <v>427</v>
      </c>
      <c r="B428" s="264" t="s">
        <v>2498</v>
      </c>
      <c r="C428" s="264" t="s">
        <v>275</v>
      </c>
      <c r="D428" s="264">
        <v>1</v>
      </c>
      <c r="E428" s="264" t="s">
        <v>1234</v>
      </c>
      <c r="F428" s="264" t="s">
        <v>3134</v>
      </c>
      <c r="G428" s="264"/>
      <c r="H428" s="264"/>
      <c r="I428" s="264" t="s">
        <v>3123</v>
      </c>
      <c r="J428" s="264"/>
      <c r="K428" s="264" t="s">
        <v>1236</v>
      </c>
      <c r="L428" s="264" t="s">
        <v>1235</v>
      </c>
      <c r="M428" s="264" t="s">
        <v>3119</v>
      </c>
      <c r="N428" s="264"/>
      <c r="O428" s="264" t="s">
        <v>3216</v>
      </c>
      <c r="P428" s="264" t="s">
        <v>3217</v>
      </c>
      <c r="Q428" s="264"/>
    </row>
    <row r="429" spans="1:17" s="181" customFormat="1">
      <c r="A429" s="264">
        <f t="shared" si="7"/>
        <v>428</v>
      </c>
      <c r="B429" s="264" t="s">
        <v>2499</v>
      </c>
      <c r="C429" s="264" t="s">
        <v>275</v>
      </c>
      <c r="D429" s="264">
        <v>1</v>
      </c>
      <c r="E429" s="264" t="s">
        <v>1237</v>
      </c>
      <c r="F429" s="264" t="s">
        <v>3134</v>
      </c>
      <c r="G429" s="264"/>
      <c r="H429" s="264"/>
      <c r="I429" s="264" t="s">
        <v>3123</v>
      </c>
      <c r="J429" s="264"/>
      <c r="K429" s="264" t="s">
        <v>1239</v>
      </c>
      <c r="L429" s="264" t="s">
        <v>1238</v>
      </c>
      <c r="M429" s="264" t="s">
        <v>3119</v>
      </c>
      <c r="N429" s="264"/>
      <c r="O429" s="264" t="s">
        <v>3216</v>
      </c>
      <c r="P429" s="264" t="s">
        <v>3217</v>
      </c>
      <c r="Q429" s="264"/>
    </row>
    <row r="430" spans="1:17" s="181" customFormat="1">
      <c r="A430" s="264">
        <f t="shared" si="7"/>
        <v>429</v>
      </c>
      <c r="B430" s="264" t="s">
        <v>2500</v>
      </c>
      <c r="C430" s="264" t="s">
        <v>275</v>
      </c>
      <c r="D430" s="264">
        <v>1</v>
      </c>
      <c r="E430" s="264" t="s">
        <v>1240</v>
      </c>
      <c r="F430" s="264" t="s">
        <v>3134</v>
      </c>
      <c r="G430" s="264"/>
      <c r="H430" s="264"/>
      <c r="I430" s="264" t="s">
        <v>3123</v>
      </c>
      <c r="J430" s="264"/>
      <c r="K430" s="264" t="s">
        <v>1242</v>
      </c>
      <c r="L430" s="264" t="s">
        <v>1241</v>
      </c>
      <c r="M430" s="264" t="s">
        <v>3119</v>
      </c>
      <c r="N430" s="264"/>
      <c r="O430" s="264" t="s">
        <v>3216</v>
      </c>
      <c r="P430" s="264" t="s">
        <v>3217</v>
      </c>
      <c r="Q430" s="264"/>
    </row>
    <row r="431" spans="1:17" s="181" customFormat="1">
      <c r="A431" s="264">
        <f t="shared" si="7"/>
        <v>430</v>
      </c>
      <c r="B431" s="264" t="s">
        <v>2501</v>
      </c>
      <c r="C431" s="264" t="s">
        <v>275</v>
      </c>
      <c r="D431" s="264">
        <v>1</v>
      </c>
      <c r="E431" s="264" t="s">
        <v>1243</v>
      </c>
      <c r="F431" s="264" t="s">
        <v>3134</v>
      </c>
      <c r="G431" s="264"/>
      <c r="H431" s="264"/>
      <c r="I431" s="264" t="s">
        <v>3123</v>
      </c>
      <c r="J431" s="264"/>
      <c r="K431" s="264" t="s">
        <v>1245</v>
      </c>
      <c r="L431" s="264" t="s">
        <v>1244</v>
      </c>
      <c r="M431" s="264" t="s">
        <v>3119</v>
      </c>
      <c r="N431" s="264"/>
      <c r="O431" s="264" t="s">
        <v>3216</v>
      </c>
      <c r="P431" s="264" t="s">
        <v>3217</v>
      </c>
      <c r="Q431" s="264"/>
    </row>
    <row r="432" spans="1:17" s="181" customFormat="1">
      <c r="A432" s="264">
        <f t="shared" si="7"/>
        <v>431</v>
      </c>
      <c r="B432" s="264" t="s">
        <v>2502</v>
      </c>
      <c r="C432" s="264" t="s">
        <v>275</v>
      </c>
      <c r="D432" s="264">
        <v>1</v>
      </c>
      <c r="E432" s="264" t="s">
        <v>1246</v>
      </c>
      <c r="F432" s="264" t="s">
        <v>3134</v>
      </c>
      <c r="G432" s="264"/>
      <c r="H432" s="264"/>
      <c r="I432" s="264" t="s">
        <v>3123</v>
      </c>
      <c r="J432" s="264"/>
      <c r="K432" s="264" t="s">
        <v>1248</v>
      </c>
      <c r="L432" s="264" t="s">
        <v>1247</v>
      </c>
      <c r="M432" s="264" t="s">
        <v>3119</v>
      </c>
      <c r="N432" s="264"/>
      <c r="O432" s="264" t="s">
        <v>3216</v>
      </c>
      <c r="P432" s="264" t="s">
        <v>3217</v>
      </c>
      <c r="Q432" s="264"/>
    </row>
    <row r="433" spans="1:17" s="181" customFormat="1">
      <c r="A433" s="264">
        <f t="shared" si="7"/>
        <v>432</v>
      </c>
      <c r="B433" s="264" t="s">
        <v>2503</v>
      </c>
      <c r="C433" s="264" t="s">
        <v>275</v>
      </c>
      <c r="D433" s="264">
        <v>1</v>
      </c>
      <c r="E433" s="264" t="s">
        <v>1249</v>
      </c>
      <c r="F433" s="264" t="s">
        <v>3134</v>
      </c>
      <c r="G433" s="264"/>
      <c r="H433" s="264"/>
      <c r="I433" s="264" t="s">
        <v>3123</v>
      </c>
      <c r="J433" s="264"/>
      <c r="K433" s="264" t="s">
        <v>1251</v>
      </c>
      <c r="L433" s="264" t="s">
        <v>1250</v>
      </c>
      <c r="M433" s="264" t="s">
        <v>3119</v>
      </c>
      <c r="N433" s="264"/>
      <c r="O433" s="264" t="s">
        <v>3216</v>
      </c>
      <c r="P433" s="264" t="s">
        <v>3217</v>
      </c>
      <c r="Q433" s="264"/>
    </row>
    <row r="434" spans="1:17" s="181" customFormat="1">
      <c r="A434" s="264">
        <f t="shared" si="7"/>
        <v>433</v>
      </c>
      <c r="B434" s="264" t="s">
        <v>2504</v>
      </c>
      <c r="C434" s="264" t="s">
        <v>275</v>
      </c>
      <c r="D434" s="264">
        <v>1</v>
      </c>
      <c r="E434" s="264" t="s">
        <v>1252</v>
      </c>
      <c r="F434" s="264" t="s">
        <v>3134</v>
      </c>
      <c r="G434" s="264"/>
      <c r="H434" s="264"/>
      <c r="I434" s="264" t="s">
        <v>3123</v>
      </c>
      <c r="J434" s="264"/>
      <c r="K434" s="264" t="s">
        <v>1254</v>
      </c>
      <c r="L434" s="264" t="s">
        <v>1253</v>
      </c>
      <c r="M434" s="264" t="s">
        <v>3119</v>
      </c>
      <c r="N434" s="264"/>
      <c r="O434" s="264" t="s">
        <v>3216</v>
      </c>
      <c r="P434" s="264" t="s">
        <v>3217</v>
      </c>
      <c r="Q434" s="264"/>
    </row>
    <row r="435" spans="1:17" s="181" customFormat="1">
      <c r="A435" s="264">
        <f t="shared" si="7"/>
        <v>434</v>
      </c>
      <c r="B435" s="264" t="s">
        <v>2505</v>
      </c>
      <c r="C435" s="264" t="s">
        <v>275</v>
      </c>
      <c r="D435" s="264">
        <v>1</v>
      </c>
      <c r="E435" s="264" t="s">
        <v>1255</v>
      </c>
      <c r="F435" s="264" t="s">
        <v>3134</v>
      </c>
      <c r="G435" s="264"/>
      <c r="H435" s="264"/>
      <c r="I435" s="264" t="s">
        <v>3123</v>
      </c>
      <c r="J435" s="264"/>
      <c r="K435" s="264" t="s">
        <v>1257</v>
      </c>
      <c r="L435" s="264" t="s">
        <v>1256</v>
      </c>
      <c r="M435" s="264" t="s">
        <v>3119</v>
      </c>
      <c r="N435" s="264"/>
      <c r="O435" s="264" t="s">
        <v>3216</v>
      </c>
      <c r="P435" s="264" t="s">
        <v>3217</v>
      </c>
      <c r="Q435" s="264"/>
    </row>
    <row r="436" spans="1:17" s="181" customFormat="1">
      <c r="A436" s="264">
        <f t="shared" si="7"/>
        <v>435</v>
      </c>
      <c r="B436" s="264" t="s">
        <v>2506</v>
      </c>
      <c r="C436" s="264" t="s">
        <v>275</v>
      </c>
      <c r="D436" s="264">
        <v>1</v>
      </c>
      <c r="E436" s="264" t="s">
        <v>1258</v>
      </c>
      <c r="F436" s="264" t="s">
        <v>3134</v>
      </c>
      <c r="G436" s="264"/>
      <c r="H436" s="264"/>
      <c r="I436" s="264" t="s">
        <v>3123</v>
      </c>
      <c r="J436" s="264"/>
      <c r="K436" s="264" t="s">
        <v>3214</v>
      </c>
      <c r="L436" s="264" t="s">
        <v>1259</v>
      </c>
      <c r="M436" s="264" t="s">
        <v>3119</v>
      </c>
      <c r="N436" s="264"/>
      <c r="O436" s="264" t="s">
        <v>3216</v>
      </c>
      <c r="P436" s="264" t="s">
        <v>3217</v>
      </c>
      <c r="Q436" s="264"/>
    </row>
    <row r="437" spans="1:17" s="181" customFormat="1">
      <c r="A437" s="264">
        <f t="shared" si="7"/>
        <v>436</v>
      </c>
      <c r="B437" s="264" t="s">
        <v>2507</v>
      </c>
      <c r="C437" s="264" t="s">
        <v>275</v>
      </c>
      <c r="D437" s="264">
        <v>1</v>
      </c>
      <c r="E437" s="264" t="s">
        <v>1260</v>
      </c>
      <c r="F437" s="264" t="s">
        <v>3134</v>
      </c>
      <c r="G437" s="264"/>
      <c r="H437" s="264"/>
      <c r="I437" s="264" t="s">
        <v>3123</v>
      </c>
      <c r="J437" s="264"/>
      <c r="K437" s="264" t="s">
        <v>1262</v>
      </c>
      <c r="L437" s="264" t="s">
        <v>1261</v>
      </c>
      <c r="M437" s="264" t="s">
        <v>3119</v>
      </c>
      <c r="N437" s="264"/>
      <c r="O437" s="264" t="s">
        <v>3216</v>
      </c>
      <c r="P437" s="264" t="s">
        <v>3217</v>
      </c>
      <c r="Q437" s="264"/>
    </row>
    <row r="438" spans="1:17" s="181" customFormat="1">
      <c r="A438" s="264">
        <f t="shared" si="7"/>
        <v>437</v>
      </c>
      <c r="B438" s="264" t="s">
        <v>2508</v>
      </c>
      <c r="C438" s="264" t="s">
        <v>275</v>
      </c>
      <c r="D438" s="264">
        <v>1</v>
      </c>
      <c r="E438" s="264" t="s">
        <v>1263</v>
      </c>
      <c r="F438" s="264" t="s">
        <v>3134</v>
      </c>
      <c r="G438" s="264"/>
      <c r="H438" s="264"/>
      <c r="I438" s="264" t="s">
        <v>3123</v>
      </c>
      <c r="J438" s="264"/>
      <c r="K438" s="264" t="s">
        <v>1265</v>
      </c>
      <c r="L438" s="264" t="s">
        <v>1264</v>
      </c>
      <c r="M438" s="264" t="s">
        <v>3119</v>
      </c>
      <c r="N438" s="264"/>
      <c r="O438" s="264" t="s">
        <v>3216</v>
      </c>
      <c r="P438" s="264" t="s">
        <v>3217</v>
      </c>
      <c r="Q438" s="264"/>
    </row>
    <row r="439" spans="1:17" s="181" customFormat="1">
      <c r="A439" s="264">
        <f t="shared" si="7"/>
        <v>438</v>
      </c>
      <c r="B439" s="264" t="s">
        <v>2509</v>
      </c>
      <c r="C439" s="264" t="s">
        <v>275</v>
      </c>
      <c r="D439" s="264">
        <v>1</v>
      </c>
      <c r="E439" s="264" t="s">
        <v>1266</v>
      </c>
      <c r="F439" s="264" t="s">
        <v>3134</v>
      </c>
      <c r="G439" s="264"/>
      <c r="H439" s="264"/>
      <c r="I439" s="264" t="s">
        <v>3123</v>
      </c>
      <c r="J439" s="264"/>
      <c r="K439" s="264" t="s">
        <v>1268</v>
      </c>
      <c r="L439" s="264" t="s">
        <v>1267</v>
      </c>
      <c r="M439" s="264" t="s">
        <v>3119</v>
      </c>
      <c r="N439" s="264"/>
      <c r="O439" s="264" t="s">
        <v>3216</v>
      </c>
      <c r="P439" s="264" t="s">
        <v>3217</v>
      </c>
      <c r="Q439" s="264"/>
    </row>
    <row r="440" spans="1:17" s="181" customFormat="1">
      <c r="A440" s="264">
        <f t="shared" si="7"/>
        <v>439</v>
      </c>
      <c r="B440" s="264" t="s">
        <v>2510</v>
      </c>
      <c r="C440" s="264" t="s">
        <v>275</v>
      </c>
      <c r="D440" s="264">
        <v>1</v>
      </c>
      <c r="E440" s="264" t="s">
        <v>1269</v>
      </c>
      <c r="F440" s="264" t="s">
        <v>3134</v>
      </c>
      <c r="G440" s="264"/>
      <c r="H440" s="264"/>
      <c r="I440" s="264" t="s">
        <v>3123</v>
      </c>
      <c r="J440" s="264"/>
      <c r="K440" s="264" t="s">
        <v>3215</v>
      </c>
      <c r="L440" s="264" t="s">
        <v>1270</v>
      </c>
      <c r="M440" s="264" t="s">
        <v>3119</v>
      </c>
      <c r="N440" s="264"/>
      <c r="O440" s="264" t="s">
        <v>3216</v>
      </c>
      <c r="P440" s="264" t="s">
        <v>3217</v>
      </c>
      <c r="Q440" s="264"/>
    </row>
    <row r="441" spans="1:17" s="181" customFormat="1">
      <c r="A441" s="264">
        <f t="shared" si="7"/>
        <v>440</v>
      </c>
      <c r="B441" s="264" t="s">
        <v>2511</v>
      </c>
      <c r="C441" s="264" t="s">
        <v>275</v>
      </c>
      <c r="D441" s="264">
        <v>1</v>
      </c>
      <c r="E441" s="264" t="s">
        <v>1271</v>
      </c>
      <c r="F441" s="264" t="s">
        <v>3134</v>
      </c>
      <c r="G441" s="264"/>
      <c r="H441" s="264"/>
      <c r="I441" s="264" t="s">
        <v>3123</v>
      </c>
      <c r="J441" s="264"/>
      <c r="K441" s="264" t="s">
        <v>1273</v>
      </c>
      <c r="L441" s="264" t="s">
        <v>1272</v>
      </c>
      <c r="M441" s="264" t="s">
        <v>3119</v>
      </c>
      <c r="N441" s="264"/>
      <c r="O441" s="264" t="s">
        <v>3216</v>
      </c>
      <c r="P441" s="264" t="s">
        <v>3217</v>
      </c>
      <c r="Q441" s="264"/>
    </row>
    <row r="442" spans="1:17" s="181" customFormat="1">
      <c r="A442" s="264">
        <f t="shared" si="7"/>
        <v>441</v>
      </c>
      <c r="B442" s="264" t="s">
        <v>2512</v>
      </c>
      <c r="C442" s="264" t="s">
        <v>275</v>
      </c>
      <c r="D442" s="264">
        <v>1</v>
      </c>
      <c r="E442" s="264" t="s">
        <v>1274</v>
      </c>
      <c r="F442" s="264" t="s">
        <v>3134</v>
      </c>
      <c r="G442" s="264"/>
      <c r="H442" s="264"/>
      <c r="I442" s="264" t="s">
        <v>3123</v>
      </c>
      <c r="J442" s="264"/>
      <c r="K442" s="264" t="s">
        <v>1276</v>
      </c>
      <c r="L442" s="264" t="s">
        <v>1275</v>
      </c>
      <c r="M442" s="264" t="s">
        <v>3119</v>
      </c>
      <c r="N442" s="264"/>
      <c r="O442" s="264" t="s">
        <v>3216</v>
      </c>
      <c r="P442" s="264" t="s">
        <v>3217</v>
      </c>
      <c r="Q442" s="264"/>
    </row>
    <row r="443" spans="1:17" s="181" customFormat="1">
      <c r="A443" s="264">
        <f t="shared" si="7"/>
        <v>442</v>
      </c>
      <c r="B443" s="264" t="s">
        <v>2513</v>
      </c>
      <c r="C443" s="264" t="s">
        <v>275</v>
      </c>
      <c r="D443" s="264">
        <v>1</v>
      </c>
      <c r="E443" s="264" t="s">
        <v>1277</v>
      </c>
      <c r="F443" s="264" t="s">
        <v>3134</v>
      </c>
      <c r="G443" s="264"/>
      <c r="H443" s="264"/>
      <c r="I443" s="264" t="s">
        <v>3123</v>
      </c>
      <c r="J443" s="264"/>
      <c r="K443" s="264" t="s">
        <v>1279</v>
      </c>
      <c r="L443" s="264" t="s">
        <v>1278</v>
      </c>
      <c r="M443" s="264" t="s">
        <v>3119</v>
      </c>
      <c r="N443" s="264"/>
      <c r="O443" s="264" t="s">
        <v>3216</v>
      </c>
      <c r="P443" s="264" t="s">
        <v>3217</v>
      </c>
      <c r="Q443" s="264"/>
    </row>
    <row r="444" spans="1:17" s="181" customFormat="1">
      <c r="A444" s="264">
        <f t="shared" si="7"/>
        <v>443</v>
      </c>
      <c r="B444" s="264" t="s">
        <v>2514</v>
      </c>
      <c r="C444" s="264" t="s">
        <v>275</v>
      </c>
      <c r="D444" s="264">
        <v>1</v>
      </c>
      <c r="E444" s="264" t="s">
        <v>1280</v>
      </c>
      <c r="F444" s="264" t="s">
        <v>3134</v>
      </c>
      <c r="G444" s="264"/>
      <c r="H444" s="264"/>
      <c r="I444" s="264" t="s">
        <v>3123</v>
      </c>
      <c r="J444" s="264"/>
      <c r="K444" s="264" t="s">
        <v>1282</v>
      </c>
      <c r="L444" s="264" t="s">
        <v>1281</v>
      </c>
      <c r="M444" s="264" t="s">
        <v>3119</v>
      </c>
      <c r="N444" s="264"/>
      <c r="O444" s="264" t="s">
        <v>3216</v>
      </c>
      <c r="P444" s="264" t="s">
        <v>3217</v>
      </c>
      <c r="Q444" s="264"/>
    </row>
    <row r="445" spans="1:17" s="181" customFormat="1">
      <c r="A445" s="264">
        <f t="shared" si="7"/>
        <v>444</v>
      </c>
      <c r="B445" s="264" t="s">
        <v>2515</v>
      </c>
      <c r="C445" s="264" t="s">
        <v>275</v>
      </c>
      <c r="D445" s="264">
        <v>1</v>
      </c>
      <c r="E445" s="264" t="s">
        <v>1283</v>
      </c>
      <c r="F445" s="264" t="s">
        <v>3134</v>
      </c>
      <c r="G445" s="264"/>
      <c r="H445" s="264"/>
      <c r="I445" s="264" t="s">
        <v>3123</v>
      </c>
      <c r="J445" s="264"/>
      <c r="K445" s="264" t="s">
        <v>1285</v>
      </c>
      <c r="L445" s="264" t="s">
        <v>1284</v>
      </c>
      <c r="M445" s="264" t="s">
        <v>3119</v>
      </c>
      <c r="N445" s="264"/>
      <c r="O445" s="264" t="s">
        <v>3216</v>
      </c>
      <c r="P445" s="264" t="s">
        <v>3217</v>
      </c>
      <c r="Q445" s="264"/>
    </row>
    <row r="446" spans="1:17" s="181" customFormat="1">
      <c r="A446" s="264">
        <f t="shared" si="7"/>
        <v>445</v>
      </c>
      <c r="B446" s="264" t="s">
        <v>2516</v>
      </c>
      <c r="C446" s="264" t="s">
        <v>275</v>
      </c>
      <c r="D446" s="264">
        <v>1</v>
      </c>
      <c r="E446" s="264" t="s">
        <v>1286</v>
      </c>
      <c r="F446" s="264" t="s">
        <v>3134</v>
      </c>
      <c r="G446" s="264"/>
      <c r="H446" s="264"/>
      <c r="I446" s="264" t="s">
        <v>3123</v>
      </c>
      <c r="J446" s="264"/>
      <c r="K446" s="264" t="s">
        <v>1288</v>
      </c>
      <c r="L446" s="264" t="s">
        <v>1287</v>
      </c>
      <c r="M446" s="264" t="s">
        <v>3119</v>
      </c>
      <c r="N446" s="264"/>
      <c r="O446" s="264" t="s">
        <v>3216</v>
      </c>
      <c r="P446" s="264" t="s">
        <v>3217</v>
      </c>
      <c r="Q446" s="264"/>
    </row>
    <row r="447" spans="1:17" s="181" customFormat="1">
      <c r="A447" s="264">
        <f t="shared" si="7"/>
        <v>446</v>
      </c>
      <c r="B447" s="264" t="s">
        <v>2517</v>
      </c>
      <c r="C447" s="264" t="s">
        <v>275</v>
      </c>
      <c r="D447" s="264">
        <v>1</v>
      </c>
      <c r="E447" s="264" t="s">
        <v>1289</v>
      </c>
      <c r="F447" s="264" t="s">
        <v>3134</v>
      </c>
      <c r="G447" s="264"/>
      <c r="H447" s="264"/>
      <c r="I447" s="264" t="s">
        <v>3123</v>
      </c>
      <c r="J447" s="264"/>
      <c r="K447" s="264" t="s">
        <v>1291</v>
      </c>
      <c r="L447" s="264" t="s">
        <v>1290</v>
      </c>
      <c r="M447" s="264" t="s">
        <v>3119</v>
      </c>
      <c r="N447" s="264"/>
      <c r="O447" s="264" t="s">
        <v>3216</v>
      </c>
      <c r="P447" s="264" t="s">
        <v>3217</v>
      </c>
      <c r="Q447" s="264"/>
    </row>
    <row r="448" spans="1:17" s="181" customFormat="1">
      <c r="A448" s="264">
        <f t="shared" si="7"/>
        <v>447</v>
      </c>
      <c r="B448" s="264" t="s">
        <v>2518</v>
      </c>
      <c r="C448" s="264" t="s">
        <v>275</v>
      </c>
      <c r="D448" s="264">
        <v>1</v>
      </c>
      <c r="E448" s="264" t="s">
        <v>1292</v>
      </c>
      <c r="F448" s="264" t="s">
        <v>3134</v>
      </c>
      <c r="G448" s="264"/>
      <c r="H448" s="264"/>
      <c r="I448" s="264" t="s">
        <v>3123</v>
      </c>
      <c r="J448" s="264"/>
      <c r="K448" s="264" t="s">
        <v>1294</v>
      </c>
      <c r="L448" s="264" t="s">
        <v>1293</v>
      </c>
      <c r="M448" s="264" t="s">
        <v>3119</v>
      </c>
      <c r="N448" s="264"/>
      <c r="O448" s="264" t="s">
        <v>3216</v>
      </c>
      <c r="P448" s="264" t="s">
        <v>3217</v>
      </c>
      <c r="Q448" s="264"/>
    </row>
    <row r="449" spans="1:17" s="252" customFormat="1">
      <c r="A449" s="320">
        <f t="shared" ref="A449:A527" si="8">ROW()-1</f>
        <v>448</v>
      </c>
      <c r="B449" s="320" t="s">
        <v>3107</v>
      </c>
      <c r="C449" s="343" t="s">
        <v>279</v>
      </c>
      <c r="D449" s="343">
        <v>12</v>
      </c>
      <c r="E449" s="344" t="s">
        <v>3116</v>
      </c>
      <c r="F449" s="320" t="s">
        <v>3133</v>
      </c>
      <c r="G449" s="320"/>
      <c r="H449" s="324" t="s">
        <v>3623</v>
      </c>
      <c r="I449" s="345" t="s">
        <v>3125</v>
      </c>
      <c r="J449" s="344" t="s">
        <v>5892</v>
      </c>
      <c r="K449" s="344" t="s">
        <v>3343</v>
      </c>
      <c r="L449" s="320"/>
      <c r="M449" s="344"/>
      <c r="N449" s="346"/>
      <c r="O449" s="320" t="s">
        <v>3624</v>
      </c>
      <c r="P449" s="320" t="s">
        <v>3622</v>
      </c>
      <c r="Q449" s="320"/>
    </row>
    <row r="450" spans="1:17" s="252" customFormat="1">
      <c r="A450" s="320">
        <f t="shared" si="8"/>
        <v>449</v>
      </c>
      <c r="B450" s="320" t="s">
        <v>3618</v>
      </c>
      <c r="C450" s="343" t="s">
        <v>279</v>
      </c>
      <c r="D450" s="343">
        <v>2</v>
      </c>
      <c r="E450" s="344" t="s">
        <v>3625</v>
      </c>
      <c r="F450" s="320" t="s">
        <v>3133</v>
      </c>
      <c r="G450" s="320"/>
      <c r="H450" s="324" t="s">
        <v>3623</v>
      </c>
      <c r="I450" s="345" t="s">
        <v>3125</v>
      </c>
      <c r="J450" s="344" t="s">
        <v>5892</v>
      </c>
      <c r="K450" s="344" t="s">
        <v>3619</v>
      </c>
      <c r="L450" s="320"/>
      <c r="M450" s="344"/>
      <c r="N450" s="346"/>
      <c r="O450" s="320" t="s">
        <v>3626</v>
      </c>
      <c r="P450" s="320" t="s">
        <v>3627</v>
      </c>
      <c r="Q450" s="320"/>
    </row>
    <row r="451" spans="1:17" s="252" customFormat="1">
      <c r="A451" s="320">
        <f t="shared" si="8"/>
        <v>450</v>
      </c>
      <c r="B451" s="320" t="s">
        <v>3720</v>
      </c>
      <c r="C451" s="343" t="s">
        <v>279</v>
      </c>
      <c r="D451" s="343">
        <v>15</v>
      </c>
      <c r="E451" s="344" t="s">
        <v>5415</v>
      </c>
      <c r="F451" s="320" t="s">
        <v>3133</v>
      </c>
      <c r="G451" s="320"/>
      <c r="H451" s="324" t="s">
        <v>3332</v>
      </c>
      <c r="I451" s="345" t="s">
        <v>3125</v>
      </c>
      <c r="J451" s="344" t="s">
        <v>5892</v>
      </c>
      <c r="K451" s="344" t="s">
        <v>5419</v>
      </c>
      <c r="L451" s="320"/>
      <c r="M451" s="344"/>
      <c r="N451" s="346"/>
      <c r="O451" s="320"/>
      <c r="P451" s="320"/>
      <c r="Q451" s="320"/>
    </row>
    <row r="452" spans="1:17" s="252" customFormat="1">
      <c r="A452" s="320">
        <f t="shared" si="8"/>
        <v>451</v>
      </c>
      <c r="B452" s="320" t="s">
        <v>3721</v>
      </c>
      <c r="C452" s="343" t="s">
        <v>279</v>
      </c>
      <c r="D452" s="343">
        <v>15</v>
      </c>
      <c r="E452" s="344" t="s">
        <v>5416</v>
      </c>
      <c r="F452" s="320" t="s">
        <v>3133</v>
      </c>
      <c r="G452" s="320"/>
      <c r="H452" s="324" t="s">
        <v>3332</v>
      </c>
      <c r="I452" s="345" t="s">
        <v>3125</v>
      </c>
      <c r="J452" s="344" t="s">
        <v>5892</v>
      </c>
      <c r="K452" s="344" t="s">
        <v>5420</v>
      </c>
      <c r="L452" s="320"/>
      <c r="M452" s="344"/>
      <c r="N452" s="346"/>
      <c r="O452" s="320"/>
      <c r="P452" s="320"/>
      <c r="Q452" s="320"/>
    </row>
    <row r="453" spans="1:17" s="252" customFormat="1">
      <c r="A453" s="320">
        <f t="shared" si="8"/>
        <v>452</v>
      </c>
      <c r="B453" s="320" t="s">
        <v>3722</v>
      </c>
      <c r="C453" s="343" t="s">
        <v>279</v>
      </c>
      <c r="D453" s="343">
        <v>15</v>
      </c>
      <c r="E453" s="344" t="s">
        <v>5417</v>
      </c>
      <c r="F453" s="320" t="s">
        <v>3133</v>
      </c>
      <c r="G453" s="320"/>
      <c r="H453" s="324" t="s">
        <v>3332</v>
      </c>
      <c r="I453" s="345" t="s">
        <v>3125</v>
      </c>
      <c r="J453" s="344" t="s">
        <v>5892</v>
      </c>
      <c r="K453" s="344" t="s">
        <v>5421</v>
      </c>
      <c r="L453" s="320"/>
      <c r="M453" s="344"/>
      <c r="N453" s="346"/>
      <c r="O453" s="320"/>
      <c r="P453" s="320"/>
      <c r="Q453" s="320"/>
    </row>
    <row r="454" spans="1:17" s="252" customFormat="1">
      <c r="A454" s="320">
        <f t="shared" si="8"/>
        <v>453</v>
      </c>
      <c r="B454" s="320" t="s">
        <v>3723</v>
      </c>
      <c r="C454" s="343" t="s">
        <v>279</v>
      </c>
      <c r="D454" s="343">
        <v>15</v>
      </c>
      <c r="E454" s="344" t="s">
        <v>3752</v>
      </c>
      <c r="F454" s="320" t="s">
        <v>3133</v>
      </c>
      <c r="G454" s="320"/>
      <c r="H454" s="324" t="s">
        <v>3332</v>
      </c>
      <c r="I454" s="345" t="s">
        <v>3125</v>
      </c>
      <c r="J454" s="344" t="s">
        <v>5892</v>
      </c>
      <c r="K454" s="344" t="s">
        <v>5419</v>
      </c>
      <c r="L454" s="320"/>
      <c r="M454" s="344"/>
      <c r="N454" s="346"/>
      <c r="O454" s="320"/>
      <c r="P454" s="320"/>
      <c r="Q454" s="320"/>
    </row>
    <row r="455" spans="1:17" s="252" customFormat="1">
      <c r="A455" s="320">
        <f t="shared" si="8"/>
        <v>454</v>
      </c>
      <c r="B455" s="320" t="s">
        <v>3724</v>
      </c>
      <c r="C455" s="343" t="s">
        <v>279</v>
      </c>
      <c r="D455" s="343">
        <v>15</v>
      </c>
      <c r="E455" s="344" t="s">
        <v>3753</v>
      </c>
      <c r="F455" s="320" t="s">
        <v>3133</v>
      </c>
      <c r="G455" s="320"/>
      <c r="H455" s="324" t="s">
        <v>3332</v>
      </c>
      <c r="I455" s="345" t="s">
        <v>3125</v>
      </c>
      <c r="J455" s="344" t="s">
        <v>5892</v>
      </c>
      <c r="K455" s="344" t="s">
        <v>5420</v>
      </c>
      <c r="L455" s="320"/>
      <c r="M455" s="344"/>
      <c r="N455" s="346"/>
      <c r="O455" s="320"/>
      <c r="P455" s="320"/>
      <c r="Q455" s="320"/>
    </row>
    <row r="456" spans="1:17" s="252" customFormat="1">
      <c r="A456" s="320">
        <f t="shared" si="8"/>
        <v>455</v>
      </c>
      <c r="B456" s="320" t="s">
        <v>3725</v>
      </c>
      <c r="C456" s="343" t="s">
        <v>279</v>
      </c>
      <c r="D456" s="343">
        <v>15</v>
      </c>
      <c r="E456" s="344" t="s">
        <v>3754</v>
      </c>
      <c r="F456" s="320" t="s">
        <v>3133</v>
      </c>
      <c r="G456" s="320"/>
      <c r="H456" s="324" t="s">
        <v>3332</v>
      </c>
      <c r="I456" s="345" t="s">
        <v>3125</v>
      </c>
      <c r="J456" s="344" t="s">
        <v>5892</v>
      </c>
      <c r="K456" s="344" t="s">
        <v>5422</v>
      </c>
      <c r="L456" s="320"/>
      <c r="M456" s="344"/>
      <c r="N456" s="346"/>
      <c r="O456" s="320"/>
      <c r="P456" s="320"/>
      <c r="Q456" s="320"/>
    </row>
    <row r="457" spans="1:17" s="252" customFormat="1">
      <c r="A457" s="320">
        <f t="shared" si="8"/>
        <v>456</v>
      </c>
      <c r="B457" s="320" t="s">
        <v>4206</v>
      </c>
      <c r="C457" s="343" t="s">
        <v>279</v>
      </c>
      <c r="D457" s="343">
        <v>15</v>
      </c>
      <c r="E457" s="344" t="s">
        <v>3755</v>
      </c>
      <c r="F457" s="320" t="s">
        <v>3133</v>
      </c>
      <c r="G457" s="320"/>
      <c r="H457" s="324" t="s">
        <v>3332</v>
      </c>
      <c r="I457" s="345" t="s">
        <v>3125</v>
      </c>
      <c r="J457" s="344" t="s">
        <v>5892</v>
      </c>
      <c r="K457" s="344" t="s">
        <v>5423</v>
      </c>
      <c r="L457" s="320"/>
      <c r="M457" s="344"/>
      <c r="N457" s="346"/>
      <c r="O457" s="320"/>
      <c r="P457" s="320"/>
      <c r="Q457" s="320"/>
    </row>
    <row r="458" spans="1:17" s="252" customFormat="1">
      <c r="A458" s="320">
        <f t="shared" si="8"/>
        <v>457</v>
      </c>
      <c r="B458" s="320" t="s">
        <v>3726</v>
      </c>
      <c r="C458" s="343" t="s">
        <v>279</v>
      </c>
      <c r="D458" s="343">
        <v>15</v>
      </c>
      <c r="E458" s="344" t="s">
        <v>3756</v>
      </c>
      <c r="F458" s="320" t="s">
        <v>3133</v>
      </c>
      <c r="G458" s="320"/>
      <c r="H458" s="324" t="s">
        <v>3332</v>
      </c>
      <c r="I458" s="345" t="s">
        <v>3125</v>
      </c>
      <c r="J458" s="344" t="s">
        <v>5892</v>
      </c>
      <c r="K458" s="344" t="s">
        <v>5424</v>
      </c>
      <c r="L458" s="320"/>
      <c r="M458" s="344"/>
      <c r="N458" s="346"/>
      <c r="O458" s="320"/>
      <c r="P458" s="320"/>
      <c r="Q458" s="320"/>
    </row>
    <row r="459" spans="1:17" s="252" customFormat="1">
      <c r="A459" s="320">
        <f t="shared" si="8"/>
        <v>458</v>
      </c>
      <c r="B459" s="320" t="s">
        <v>3727</v>
      </c>
      <c r="C459" s="343" t="s">
        <v>279</v>
      </c>
      <c r="D459" s="343">
        <v>15</v>
      </c>
      <c r="E459" s="344" t="s">
        <v>3757</v>
      </c>
      <c r="F459" s="320" t="s">
        <v>3133</v>
      </c>
      <c r="G459" s="320"/>
      <c r="H459" s="324" t="s">
        <v>3332</v>
      </c>
      <c r="I459" s="345" t="s">
        <v>3125</v>
      </c>
      <c r="J459" s="344" t="s">
        <v>5892</v>
      </c>
      <c r="K459" s="344" t="s">
        <v>5425</v>
      </c>
      <c r="L459" s="320"/>
      <c r="M459" s="344"/>
      <c r="N459" s="346"/>
      <c r="O459" s="320"/>
      <c r="P459" s="320"/>
      <c r="Q459" s="320"/>
    </row>
    <row r="460" spans="1:17" s="252" customFormat="1">
      <c r="A460" s="320">
        <f t="shared" si="8"/>
        <v>459</v>
      </c>
      <c r="B460" s="320" t="s">
        <v>3731</v>
      </c>
      <c r="C460" s="343" t="s">
        <v>279</v>
      </c>
      <c r="D460" s="343">
        <v>15</v>
      </c>
      <c r="E460" s="344" t="s">
        <v>5418</v>
      </c>
      <c r="F460" s="320" t="s">
        <v>3133</v>
      </c>
      <c r="G460" s="320"/>
      <c r="H460" s="324" t="s">
        <v>3332</v>
      </c>
      <c r="I460" s="345" t="s">
        <v>3125</v>
      </c>
      <c r="J460" s="344" t="s">
        <v>5892</v>
      </c>
      <c r="K460" s="344" t="s">
        <v>5426</v>
      </c>
      <c r="L460" s="320"/>
      <c r="M460" s="344"/>
      <c r="N460" s="346"/>
      <c r="O460" s="320"/>
      <c r="P460" s="320"/>
      <c r="Q460" s="320"/>
    </row>
    <row r="461" spans="1:17" s="252" customFormat="1">
      <c r="A461" s="320">
        <f t="shared" si="8"/>
        <v>460</v>
      </c>
      <c r="B461" s="320" t="s">
        <v>3732</v>
      </c>
      <c r="C461" s="263" t="s">
        <v>275</v>
      </c>
      <c r="D461" s="263">
        <v>1</v>
      </c>
      <c r="E461" s="344" t="s">
        <v>3746</v>
      </c>
      <c r="F461" s="320"/>
      <c r="G461" s="320"/>
      <c r="H461" s="324" t="s">
        <v>5816</v>
      </c>
      <c r="I461" s="345" t="s">
        <v>5448</v>
      </c>
      <c r="J461" s="344" t="s">
        <v>5444</v>
      </c>
      <c r="K461" s="344" t="s">
        <v>5445</v>
      </c>
      <c r="L461" s="320"/>
      <c r="M461" s="344"/>
      <c r="N461" s="346"/>
      <c r="O461" s="320"/>
      <c r="P461" s="320"/>
      <c r="Q461" s="320"/>
    </row>
    <row r="462" spans="1:17" s="252" customFormat="1">
      <c r="A462" s="320">
        <f t="shared" si="8"/>
        <v>461</v>
      </c>
      <c r="B462" s="320" t="s">
        <v>3733</v>
      </c>
      <c r="C462" s="343" t="s">
        <v>279</v>
      </c>
      <c r="D462" s="343">
        <v>15</v>
      </c>
      <c r="E462" s="344" t="s">
        <v>3747</v>
      </c>
      <c r="F462" s="320"/>
      <c r="G462" s="320"/>
      <c r="H462" s="324" t="s">
        <v>5816</v>
      </c>
      <c r="I462" s="345" t="s">
        <v>5448</v>
      </c>
      <c r="J462" s="344" t="s">
        <v>5444</v>
      </c>
      <c r="K462" s="344" t="s">
        <v>5446</v>
      </c>
      <c r="L462" s="320"/>
      <c r="M462" s="344"/>
      <c r="N462" s="346"/>
      <c r="O462" s="320"/>
      <c r="P462" s="320"/>
      <c r="Q462" s="320"/>
    </row>
    <row r="463" spans="1:17" s="252" customFormat="1">
      <c r="A463" s="320">
        <f t="shared" si="8"/>
        <v>462</v>
      </c>
      <c r="B463" s="320" t="s">
        <v>3734</v>
      </c>
      <c r="C463" s="343" t="s">
        <v>279</v>
      </c>
      <c r="D463" s="343">
        <v>15</v>
      </c>
      <c r="E463" s="344" t="s">
        <v>3748</v>
      </c>
      <c r="F463" s="320"/>
      <c r="G463" s="320"/>
      <c r="H463" s="324" t="s">
        <v>5816</v>
      </c>
      <c r="I463" s="345" t="s">
        <v>5448</v>
      </c>
      <c r="J463" s="344" t="s">
        <v>5444</v>
      </c>
      <c r="K463" s="344" t="s">
        <v>5447</v>
      </c>
      <c r="L463" s="320"/>
      <c r="M463" s="344"/>
      <c r="N463" s="346"/>
      <c r="O463" s="320"/>
      <c r="P463" s="320"/>
      <c r="Q463" s="320"/>
    </row>
    <row r="464" spans="1:17" s="252" customFormat="1">
      <c r="A464" s="320">
        <f t="shared" si="8"/>
        <v>463</v>
      </c>
      <c r="B464" s="320" t="s">
        <v>5442</v>
      </c>
      <c r="C464" s="343" t="s">
        <v>279</v>
      </c>
      <c r="D464" s="343">
        <v>15</v>
      </c>
      <c r="E464" s="344" t="s">
        <v>5451</v>
      </c>
      <c r="F464" s="320" t="s">
        <v>3133</v>
      </c>
      <c r="G464" s="320"/>
      <c r="H464" s="324" t="s">
        <v>3332</v>
      </c>
      <c r="I464" s="345" t="s">
        <v>3125</v>
      </c>
      <c r="J464" s="344" t="s">
        <v>5892</v>
      </c>
      <c r="K464" s="344" t="s">
        <v>5449</v>
      </c>
      <c r="L464" s="320"/>
      <c r="M464" s="344"/>
      <c r="N464" s="346"/>
      <c r="O464" s="320"/>
      <c r="P464" s="320"/>
      <c r="Q464" s="320"/>
    </row>
    <row r="465" spans="1:17" s="252" customFormat="1">
      <c r="A465" s="320">
        <f t="shared" si="8"/>
        <v>464</v>
      </c>
      <c r="B465" s="320" t="s">
        <v>5443</v>
      </c>
      <c r="C465" s="343" t="s">
        <v>279</v>
      </c>
      <c r="D465" s="343">
        <v>15</v>
      </c>
      <c r="E465" s="344" t="s">
        <v>5452</v>
      </c>
      <c r="F465" s="320" t="s">
        <v>3133</v>
      </c>
      <c r="G465" s="320"/>
      <c r="H465" s="324" t="s">
        <v>3332</v>
      </c>
      <c r="I465" s="345" t="s">
        <v>3125</v>
      </c>
      <c r="J465" s="344" t="s">
        <v>5892</v>
      </c>
      <c r="K465" s="344" t="s">
        <v>5450</v>
      </c>
      <c r="L465" s="320"/>
      <c r="M465" s="344"/>
      <c r="N465" s="346"/>
      <c r="O465" s="320"/>
      <c r="P465" s="320"/>
      <c r="Q465" s="320"/>
    </row>
    <row r="466" spans="1:17">
      <c r="A466" s="320">
        <f t="shared" si="8"/>
        <v>465</v>
      </c>
      <c r="B466" s="178" t="s">
        <v>3783</v>
      </c>
      <c r="E466" s="178" t="s">
        <v>4458</v>
      </c>
      <c r="H466" s="178" t="s">
        <v>3327</v>
      </c>
      <c r="I466" s="263" t="s">
        <v>626</v>
      </c>
      <c r="J466" s="178" t="s">
        <v>5613</v>
      </c>
      <c r="K466" s="178" t="s">
        <v>5515</v>
      </c>
      <c r="L466" s="178" t="s">
        <v>4457</v>
      </c>
    </row>
    <row r="467" spans="1:17">
      <c r="A467" s="320">
        <f t="shared" si="8"/>
        <v>466</v>
      </c>
      <c r="B467" s="178" t="s">
        <v>3784</v>
      </c>
      <c r="E467" s="178" t="s">
        <v>4460</v>
      </c>
      <c r="H467" s="178" t="s">
        <v>3327</v>
      </c>
      <c r="I467" s="263" t="s">
        <v>626</v>
      </c>
      <c r="J467" s="178" t="s">
        <v>5613</v>
      </c>
      <c r="K467" s="178" t="s">
        <v>5516</v>
      </c>
      <c r="L467" s="178" t="s">
        <v>4459</v>
      </c>
    </row>
    <row r="468" spans="1:17">
      <c r="A468" s="320">
        <f t="shared" si="8"/>
        <v>467</v>
      </c>
      <c r="B468" s="178" t="s">
        <v>3785</v>
      </c>
      <c r="E468" s="178" t="s">
        <v>4462</v>
      </c>
      <c r="H468" s="178" t="s">
        <v>3327</v>
      </c>
      <c r="I468" s="263" t="s">
        <v>626</v>
      </c>
      <c r="J468" s="178" t="s">
        <v>5613</v>
      </c>
      <c r="K468" s="178" t="s">
        <v>4462</v>
      </c>
      <c r="L468" s="178" t="s">
        <v>4461</v>
      </c>
    </row>
    <row r="469" spans="1:17">
      <c r="A469" s="320">
        <f t="shared" si="8"/>
        <v>468</v>
      </c>
      <c r="B469" s="178" t="s">
        <v>3786</v>
      </c>
      <c r="E469" s="178" t="s">
        <v>4464</v>
      </c>
      <c r="H469" s="178" t="s">
        <v>3327</v>
      </c>
      <c r="I469" s="263" t="s">
        <v>626</v>
      </c>
      <c r="J469" s="178" t="s">
        <v>5613</v>
      </c>
      <c r="K469" s="178" t="s">
        <v>4464</v>
      </c>
      <c r="L469" s="178" t="s">
        <v>4463</v>
      </c>
    </row>
    <row r="470" spans="1:17">
      <c r="A470" s="320">
        <f t="shared" si="8"/>
        <v>469</v>
      </c>
      <c r="B470" s="178" t="s">
        <v>3787</v>
      </c>
      <c r="E470" s="178" t="s">
        <v>4466</v>
      </c>
      <c r="H470" s="178" t="s">
        <v>3327</v>
      </c>
      <c r="I470" s="263" t="s">
        <v>626</v>
      </c>
      <c r="J470" s="178" t="s">
        <v>5613</v>
      </c>
      <c r="K470" s="178" t="s">
        <v>5517</v>
      </c>
      <c r="L470" s="178" t="s">
        <v>4465</v>
      </c>
    </row>
    <row r="471" spans="1:17">
      <c r="A471" s="320">
        <f t="shared" si="8"/>
        <v>470</v>
      </c>
      <c r="B471" s="178" t="s">
        <v>3788</v>
      </c>
      <c r="E471" s="178" t="s">
        <v>4468</v>
      </c>
      <c r="H471" s="178" t="s">
        <v>3327</v>
      </c>
      <c r="I471" s="263" t="s">
        <v>626</v>
      </c>
      <c r="J471" s="178" t="s">
        <v>5613</v>
      </c>
      <c r="K471" s="178" t="s">
        <v>5518</v>
      </c>
      <c r="L471" s="178" t="s">
        <v>4467</v>
      </c>
    </row>
    <row r="472" spans="1:17">
      <c r="A472" s="320">
        <f t="shared" si="8"/>
        <v>471</v>
      </c>
      <c r="B472" s="178" t="s">
        <v>3789</v>
      </c>
      <c r="E472" s="178" t="s">
        <v>4470</v>
      </c>
      <c r="H472" s="178" t="s">
        <v>3327</v>
      </c>
      <c r="I472" s="263" t="s">
        <v>626</v>
      </c>
      <c r="J472" s="178" t="s">
        <v>5613</v>
      </c>
      <c r="K472" s="178" t="s">
        <v>5519</v>
      </c>
      <c r="L472" s="178" t="s">
        <v>4469</v>
      </c>
    </row>
    <row r="473" spans="1:17">
      <c r="A473" s="320">
        <f t="shared" si="8"/>
        <v>472</v>
      </c>
      <c r="B473" s="178" t="s">
        <v>3790</v>
      </c>
      <c r="E473" s="178" t="s">
        <v>4472</v>
      </c>
      <c r="H473" s="178" t="s">
        <v>3327</v>
      </c>
      <c r="I473" s="263" t="s">
        <v>626</v>
      </c>
      <c r="J473" s="178" t="s">
        <v>5613</v>
      </c>
      <c r="K473" s="178" t="s">
        <v>4472</v>
      </c>
      <c r="L473" s="178" t="s">
        <v>4471</v>
      </c>
    </row>
    <row r="474" spans="1:17">
      <c r="A474" s="320">
        <f t="shared" si="8"/>
        <v>473</v>
      </c>
      <c r="B474" s="178" t="s">
        <v>3791</v>
      </c>
      <c r="E474" s="178" t="s">
        <v>4474</v>
      </c>
      <c r="H474" s="178" t="s">
        <v>3327</v>
      </c>
      <c r="I474" s="263" t="s">
        <v>626</v>
      </c>
      <c r="J474" s="178" t="s">
        <v>5613</v>
      </c>
      <c r="K474" s="178" t="s">
        <v>5520</v>
      </c>
      <c r="L474" s="178" t="s">
        <v>4473</v>
      </c>
    </row>
    <row r="475" spans="1:17">
      <c r="A475" s="320">
        <f t="shared" si="8"/>
        <v>474</v>
      </c>
      <c r="B475" s="178" t="s">
        <v>3792</v>
      </c>
      <c r="E475" s="178" t="s">
        <v>4476</v>
      </c>
      <c r="F475" s="178" t="s">
        <v>3664</v>
      </c>
      <c r="H475" s="178" t="s">
        <v>3327</v>
      </c>
      <c r="I475" s="263" t="s">
        <v>626</v>
      </c>
      <c r="J475" s="178" t="s">
        <v>5613</v>
      </c>
      <c r="K475" s="178" t="s">
        <v>4476</v>
      </c>
      <c r="L475" s="178" t="s">
        <v>4475</v>
      </c>
    </row>
    <row r="476" spans="1:17">
      <c r="A476" s="320">
        <f t="shared" si="8"/>
        <v>475</v>
      </c>
      <c r="B476" s="178" t="s">
        <v>3793</v>
      </c>
      <c r="E476" s="178" t="s">
        <v>3825</v>
      </c>
      <c r="H476" s="178" t="s">
        <v>3327</v>
      </c>
      <c r="I476" s="263" t="s">
        <v>626</v>
      </c>
      <c r="J476" s="178" t="s">
        <v>5613</v>
      </c>
      <c r="K476" s="178" t="s">
        <v>5521</v>
      </c>
      <c r="L476" s="178" t="s">
        <v>4477</v>
      </c>
    </row>
    <row r="477" spans="1:17">
      <c r="A477" s="320">
        <f t="shared" si="8"/>
        <v>476</v>
      </c>
      <c r="B477" s="178" t="s">
        <v>4316</v>
      </c>
      <c r="E477" s="178" t="s">
        <v>4479</v>
      </c>
      <c r="H477" s="178" t="s">
        <v>3327</v>
      </c>
      <c r="I477" s="263" t="s">
        <v>626</v>
      </c>
      <c r="J477" s="178" t="s">
        <v>5613</v>
      </c>
      <c r="K477" s="178" t="s">
        <v>5522</v>
      </c>
      <c r="L477" s="178" t="s">
        <v>4478</v>
      </c>
    </row>
    <row r="478" spans="1:17">
      <c r="A478" s="320">
        <f t="shared" si="8"/>
        <v>477</v>
      </c>
      <c r="B478" s="178" t="s">
        <v>5226</v>
      </c>
      <c r="E478" s="178" t="s">
        <v>3828</v>
      </c>
      <c r="H478" s="178" t="s">
        <v>3327</v>
      </c>
      <c r="I478" s="263" t="s">
        <v>626</v>
      </c>
      <c r="J478" s="178" t="s">
        <v>5613</v>
      </c>
      <c r="K478" s="178" t="s">
        <v>5523</v>
      </c>
      <c r="L478" s="178" t="s">
        <v>4480</v>
      </c>
    </row>
    <row r="479" spans="1:17">
      <c r="A479" s="320">
        <f t="shared" si="8"/>
        <v>478</v>
      </c>
      <c r="B479" s="178" t="s">
        <v>4318</v>
      </c>
      <c r="E479" s="178" t="s">
        <v>4482</v>
      </c>
      <c r="H479" s="178" t="s">
        <v>3327</v>
      </c>
      <c r="I479" s="263" t="s">
        <v>626</v>
      </c>
      <c r="J479" s="178" t="s">
        <v>5613</v>
      </c>
      <c r="K479" s="178" t="s">
        <v>5524</v>
      </c>
      <c r="L479" s="178" t="s">
        <v>4481</v>
      </c>
    </row>
    <row r="480" spans="1:17">
      <c r="A480" s="320">
        <f t="shared" si="8"/>
        <v>479</v>
      </c>
      <c r="B480" s="178" t="s">
        <v>5227</v>
      </c>
      <c r="E480" s="178" t="s">
        <v>3834</v>
      </c>
      <c r="H480" s="178" t="s">
        <v>3327</v>
      </c>
      <c r="I480" s="263" t="s">
        <v>626</v>
      </c>
      <c r="J480" s="178" t="s">
        <v>5613</v>
      </c>
      <c r="K480" s="178" t="s">
        <v>3834</v>
      </c>
      <c r="L480" s="178" t="s">
        <v>5525</v>
      </c>
    </row>
    <row r="481" spans="1:12">
      <c r="A481" s="320">
        <f t="shared" si="8"/>
        <v>480</v>
      </c>
      <c r="B481" s="178" t="s">
        <v>3794</v>
      </c>
      <c r="E481" s="178" t="s">
        <v>4150</v>
      </c>
      <c r="H481" s="324" t="s">
        <v>3328</v>
      </c>
      <c r="I481" s="265" t="s">
        <v>5819</v>
      </c>
      <c r="J481" s="178" t="s">
        <v>5453</v>
      </c>
      <c r="K481" s="178" t="s">
        <v>5533</v>
      </c>
      <c r="L481" s="178" t="s">
        <v>4550</v>
      </c>
    </row>
    <row r="482" spans="1:12">
      <c r="A482" s="320">
        <f t="shared" si="8"/>
        <v>481</v>
      </c>
      <c r="B482" s="178" t="s">
        <v>3795</v>
      </c>
      <c r="E482" s="178" t="s">
        <v>5228</v>
      </c>
      <c r="H482" s="324" t="s">
        <v>3328</v>
      </c>
      <c r="I482" s="265" t="s">
        <v>5819</v>
      </c>
      <c r="J482" s="178" t="s">
        <v>5453</v>
      </c>
      <c r="K482" s="178" t="s">
        <v>5534</v>
      </c>
      <c r="L482" s="178" t="s">
        <v>4552</v>
      </c>
    </row>
    <row r="483" spans="1:12">
      <c r="A483" s="320">
        <f t="shared" si="8"/>
        <v>482</v>
      </c>
      <c r="B483" s="178" t="s">
        <v>3796</v>
      </c>
      <c r="E483" s="178" t="s">
        <v>5229</v>
      </c>
      <c r="H483" s="324" t="s">
        <v>3328</v>
      </c>
      <c r="I483" s="265" t="s">
        <v>5819</v>
      </c>
      <c r="J483" s="178" t="s">
        <v>5453</v>
      </c>
      <c r="K483" s="178" t="s">
        <v>5535</v>
      </c>
      <c r="L483" s="178" t="s">
        <v>4554</v>
      </c>
    </row>
    <row r="484" spans="1:12">
      <c r="A484" s="320">
        <f t="shared" si="8"/>
        <v>483</v>
      </c>
      <c r="B484" s="178" t="s">
        <v>3797</v>
      </c>
      <c r="E484" s="178" t="s">
        <v>3858</v>
      </c>
      <c r="H484" s="324" t="s">
        <v>3328</v>
      </c>
      <c r="I484" s="265" t="s">
        <v>5819</v>
      </c>
      <c r="J484" s="178" t="s">
        <v>5453</v>
      </c>
      <c r="K484" s="178" t="s">
        <v>5536</v>
      </c>
      <c r="L484" s="178" t="s">
        <v>4556</v>
      </c>
    </row>
    <row r="485" spans="1:12">
      <c r="A485" s="320">
        <f t="shared" si="8"/>
        <v>484</v>
      </c>
      <c r="B485" s="178" t="s">
        <v>3798</v>
      </c>
      <c r="E485" s="178" t="s">
        <v>4152</v>
      </c>
      <c r="H485" s="324" t="s">
        <v>3328</v>
      </c>
      <c r="I485" s="265" t="s">
        <v>5819</v>
      </c>
      <c r="J485" s="178" t="s">
        <v>5453</v>
      </c>
      <c r="K485" s="178" t="s">
        <v>5537</v>
      </c>
      <c r="L485" s="178" t="s">
        <v>4558</v>
      </c>
    </row>
    <row r="486" spans="1:12">
      <c r="A486" s="320">
        <f t="shared" si="8"/>
        <v>485</v>
      </c>
      <c r="B486" s="178" t="s">
        <v>3799</v>
      </c>
      <c r="E486" s="178" t="s">
        <v>2894</v>
      </c>
      <c r="H486" s="324" t="s">
        <v>3328</v>
      </c>
      <c r="I486" s="265" t="s">
        <v>5819</v>
      </c>
      <c r="J486" s="178" t="s">
        <v>5453</v>
      </c>
      <c r="K486" s="178" t="s">
        <v>2894</v>
      </c>
      <c r="L486" s="178" t="s">
        <v>4560</v>
      </c>
    </row>
    <row r="487" spans="1:12">
      <c r="A487" s="320">
        <f t="shared" si="8"/>
        <v>486</v>
      </c>
      <c r="B487" s="178" t="s">
        <v>4339</v>
      </c>
      <c r="E487" s="178" t="s">
        <v>5230</v>
      </c>
      <c r="H487" s="324" t="s">
        <v>3328</v>
      </c>
      <c r="I487" s="265" t="s">
        <v>5819</v>
      </c>
      <c r="J487" s="178" t="s">
        <v>5453</v>
      </c>
      <c r="K487" s="178" t="s">
        <v>5538</v>
      </c>
      <c r="L487" s="178" t="s">
        <v>4562</v>
      </c>
    </row>
    <row r="488" spans="1:12">
      <c r="A488" s="320">
        <f t="shared" si="8"/>
        <v>487</v>
      </c>
      <c r="B488" s="178" t="s">
        <v>3800</v>
      </c>
      <c r="E488" s="178" t="s">
        <v>5231</v>
      </c>
      <c r="H488" s="324" t="s">
        <v>3328</v>
      </c>
      <c r="I488" s="265" t="s">
        <v>5819</v>
      </c>
      <c r="J488" s="178" t="s">
        <v>5453</v>
      </c>
      <c r="K488" s="178" t="s">
        <v>5539</v>
      </c>
      <c r="L488" s="178" t="s">
        <v>4564</v>
      </c>
    </row>
    <row r="489" spans="1:12">
      <c r="A489" s="320">
        <f t="shared" si="8"/>
        <v>488</v>
      </c>
      <c r="B489" s="178" t="s">
        <v>3801</v>
      </c>
      <c r="E489" s="178" t="s">
        <v>5232</v>
      </c>
      <c r="H489" s="324" t="s">
        <v>3328</v>
      </c>
      <c r="I489" s="265" t="s">
        <v>5819</v>
      </c>
      <c r="J489" s="178" t="s">
        <v>5453</v>
      </c>
      <c r="K489" s="178" t="s">
        <v>5540</v>
      </c>
      <c r="L489" s="178" t="s">
        <v>4566</v>
      </c>
    </row>
    <row r="490" spans="1:12">
      <c r="A490" s="320">
        <f t="shared" si="8"/>
        <v>489</v>
      </c>
      <c r="B490" s="178" t="s">
        <v>3802</v>
      </c>
      <c r="E490" s="178" t="s">
        <v>3865</v>
      </c>
      <c r="H490" s="324" t="s">
        <v>3328</v>
      </c>
      <c r="I490" s="265" t="s">
        <v>5819</v>
      </c>
      <c r="J490" s="178" t="s">
        <v>5453</v>
      </c>
      <c r="K490" s="178" t="s">
        <v>3865</v>
      </c>
      <c r="L490" s="178" t="s">
        <v>4568</v>
      </c>
    </row>
    <row r="491" spans="1:12">
      <c r="A491" s="320">
        <f t="shared" si="8"/>
        <v>490</v>
      </c>
      <c r="B491" s="178" t="s">
        <v>3803</v>
      </c>
      <c r="E491" s="178" t="s">
        <v>3837</v>
      </c>
      <c r="H491" s="324" t="s">
        <v>3328</v>
      </c>
      <c r="I491" s="265" t="s">
        <v>5819</v>
      </c>
      <c r="J491" s="178" t="s">
        <v>5453</v>
      </c>
      <c r="K491" s="178" t="s">
        <v>5541</v>
      </c>
      <c r="L491" s="178" t="s">
        <v>4570</v>
      </c>
    </row>
    <row r="492" spans="1:12">
      <c r="A492" s="320">
        <f t="shared" si="8"/>
        <v>491</v>
      </c>
      <c r="B492" s="178" t="s">
        <v>3804</v>
      </c>
      <c r="E492" s="178" t="s">
        <v>5233</v>
      </c>
      <c r="H492" s="324" t="s">
        <v>3328</v>
      </c>
      <c r="I492" s="265" t="s">
        <v>5819</v>
      </c>
      <c r="J492" s="178" t="s">
        <v>5453</v>
      </c>
      <c r="K492" s="178" t="s">
        <v>5543</v>
      </c>
      <c r="L492" s="178" t="s">
        <v>5542</v>
      </c>
    </row>
    <row r="493" spans="1:12">
      <c r="A493" s="320">
        <f t="shared" si="8"/>
        <v>492</v>
      </c>
      <c r="B493" s="178" t="s">
        <v>3805</v>
      </c>
      <c r="E493" s="178" t="s">
        <v>3845</v>
      </c>
      <c r="H493" s="324" t="s">
        <v>3328</v>
      </c>
      <c r="I493" s="265" t="s">
        <v>5819</v>
      </c>
      <c r="J493" s="178" t="s">
        <v>5453</v>
      </c>
      <c r="K493" s="178" t="s">
        <v>5544</v>
      </c>
      <c r="L493" s="178" t="s">
        <v>4574</v>
      </c>
    </row>
    <row r="494" spans="1:12">
      <c r="A494" s="320">
        <f t="shared" si="8"/>
        <v>493</v>
      </c>
      <c r="B494" s="178" t="s">
        <v>3806</v>
      </c>
      <c r="E494" s="178" t="s">
        <v>5234</v>
      </c>
      <c r="F494" s="178" t="s">
        <v>3664</v>
      </c>
      <c r="H494" s="324" t="s">
        <v>3328</v>
      </c>
      <c r="I494" s="265" t="s">
        <v>5819</v>
      </c>
      <c r="J494" s="178" t="s">
        <v>5453</v>
      </c>
      <c r="K494" s="178" t="s">
        <v>5234</v>
      </c>
      <c r="L494" s="178" t="s">
        <v>4576</v>
      </c>
    </row>
    <row r="495" spans="1:12">
      <c r="A495" s="320">
        <f t="shared" si="8"/>
        <v>494</v>
      </c>
      <c r="B495" s="178" t="s">
        <v>3807</v>
      </c>
      <c r="E495" s="178" t="s">
        <v>5235</v>
      </c>
      <c r="H495" s="324" t="s">
        <v>3328</v>
      </c>
      <c r="I495" s="265" t="s">
        <v>5819</v>
      </c>
      <c r="J495" s="178" t="s">
        <v>5453</v>
      </c>
      <c r="K495" s="178" t="s">
        <v>5235</v>
      </c>
      <c r="L495" s="178" t="s">
        <v>4578</v>
      </c>
    </row>
    <row r="496" spans="1:12">
      <c r="A496" s="320">
        <f t="shared" si="8"/>
        <v>495</v>
      </c>
      <c r="B496" s="178" t="s">
        <v>3808</v>
      </c>
      <c r="E496" s="178" t="s">
        <v>5236</v>
      </c>
      <c r="H496" s="324" t="s">
        <v>3328</v>
      </c>
      <c r="I496" s="265" t="s">
        <v>5819</v>
      </c>
      <c r="J496" s="178" t="s">
        <v>5453</v>
      </c>
      <c r="K496" s="178" t="s">
        <v>5236</v>
      </c>
      <c r="L496" s="178" t="s">
        <v>4580</v>
      </c>
    </row>
    <row r="497" spans="1:12">
      <c r="A497" s="320">
        <f t="shared" si="8"/>
        <v>496</v>
      </c>
      <c r="B497" s="178" t="s">
        <v>3809</v>
      </c>
      <c r="E497" s="178" t="s">
        <v>5237</v>
      </c>
      <c r="H497" s="324" t="s">
        <v>3328</v>
      </c>
      <c r="I497" s="265" t="s">
        <v>5819</v>
      </c>
      <c r="J497" s="178" t="s">
        <v>5453</v>
      </c>
      <c r="K497" s="178" t="s">
        <v>5545</v>
      </c>
      <c r="L497" s="178" t="s">
        <v>4582</v>
      </c>
    </row>
    <row r="498" spans="1:12">
      <c r="A498" s="320">
        <f t="shared" si="8"/>
        <v>497</v>
      </c>
      <c r="B498" s="178" t="s">
        <v>3810</v>
      </c>
      <c r="E498" s="178" t="s">
        <v>5238</v>
      </c>
      <c r="H498" s="324" t="s">
        <v>3328</v>
      </c>
      <c r="I498" s="265" t="s">
        <v>5819</v>
      </c>
      <c r="J498" s="178" t="s">
        <v>5453</v>
      </c>
      <c r="K498" s="178" t="s">
        <v>5546</v>
      </c>
      <c r="L498" s="178" t="s">
        <v>4584</v>
      </c>
    </row>
    <row r="499" spans="1:12">
      <c r="A499" s="320">
        <f t="shared" si="8"/>
        <v>498</v>
      </c>
      <c r="B499" s="178" t="s">
        <v>3811</v>
      </c>
      <c r="E499" s="178" t="s">
        <v>5239</v>
      </c>
      <c r="H499" s="324" t="s">
        <v>3328</v>
      </c>
      <c r="I499" s="265" t="s">
        <v>5819</v>
      </c>
      <c r="J499" s="178" t="s">
        <v>5453</v>
      </c>
      <c r="K499" s="178" t="s">
        <v>5547</v>
      </c>
      <c r="L499" s="178" t="s">
        <v>4586</v>
      </c>
    </row>
    <row r="500" spans="1:12">
      <c r="A500" s="320">
        <f t="shared" si="8"/>
        <v>499</v>
      </c>
      <c r="B500" s="178" t="s">
        <v>3812</v>
      </c>
      <c r="E500" s="178" t="s">
        <v>5240</v>
      </c>
      <c r="H500" s="324" t="s">
        <v>3328</v>
      </c>
      <c r="I500" s="265" t="s">
        <v>5819</v>
      </c>
      <c r="J500" s="178" t="s">
        <v>5453</v>
      </c>
      <c r="K500" s="178" t="s">
        <v>5548</v>
      </c>
      <c r="L500" s="178" t="s">
        <v>4588</v>
      </c>
    </row>
    <row r="501" spans="1:12">
      <c r="A501" s="320">
        <f t="shared" si="8"/>
        <v>500</v>
      </c>
      <c r="B501" s="178" t="s">
        <v>3813</v>
      </c>
      <c r="E501" s="178" t="s">
        <v>5241</v>
      </c>
      <c r="H501" s="324" t="s">
        <v>3328</v>
      </c>
      <c r="I501" s="265" t="s">
        <v>5819</v>
      </c>
      <c r="J501" s="178" t="s">
        <v>5453</v>
      </c>
      <c r="K501" s="178" t="s">
        <v>5549</v>
      </c>
      <c r="L501" s="178" t="s">
        <v>4590</v>
      </c>
    </row>
    <row r="502" spans="1:12">
      <c r="A502" s="320">
        <f t="shared" si="8"/>
        <v>501</v>
      </c>
      <c r="B502" s="178" t="s">
        <v>3814</v>
      </c>
      <c r="E502" s="178" t="s">
        <v>5242</v>
      </c>
      <c r="H502" s="324" t="s">
        <v>3328</v>
      </c>
      <c r="I502" s="265" t="s">
        <v>5819</v>
      </c>
      <c r="J502" s="178" t="s">
        <v>5453</v>
      </c>
      <c r="K502" s="178" t="s">
        <v>5550</v>
      </c>
      <c r="L502" s="178" t="s">
        <v>4592</v>
      </c>
    </row>
    <row r="503" spans="1:12">
      <c r="A503" s="320">
        <f t="shared" si="8"/>
        <v>502</v>
      </c>
      <c r="B503" s="178" t="s">
        <v>3815</v>
      </c>
      <c r="E503" s="178" t="s">
        <v>5243</v>
      </c>
      <c r="H503" s="324" t="s">
        <v>3328</v>
      </c>
      <c r="I503" s="265" t="s">
        <v>5819</v>
      </c>
      <c r="J503" s="178" t="s">
        <v>5453</v>
      </c>
      <c r="K503" s="178" t="s">
        <v>5551</v>
      </c>
      <c r="L503" s="178" t="s">
        <v>4594</v>
      </c>
    </row>
    <row r="504" spans="1:12">
      <c r="A504" s="320">
        <f t="shared" si="8"/>
        <v>503</v>
      </c>
      <c r="B504" s="178" t="s">
        <v>3816</v>
      </c>
      <c r="E504" s="178" t="s">
        <v>5244</v>
      </c>
      <c r="H504" s="324" t="s">
        <v>3328</v>
      </c>
      <c r="I504" s="265" t="s">
        <v>5819</v>
      </c>
      <c r="J504" s="178" t="s">
        <v>5453</v>
      </c>
      <c r="K504" s="178" t="s">
        <v>5552</v>
      </c>
      <c r="L504" s="178" t="s">
        <v>4596</v>
      </c>
    </row>
    <row r="505" spans="1:12">
      <c r="A505" s="320">
        <f t="shared" si="8"/>
        <v>504</v>
      </c>
      <c r="B505" s="178" t="s">
        <v>3817</v>
      </c>
      <c r="E505" s="178" t="s">
        <v>5245</v>
      </c>
      <c r="H505" s="324" t="s">
        <v>3328</v>
      </c>
      <c r="I505" s="265" t="s">
        <v>5819</v>
      </c>
      <c r="J505" s="178" t="s">
        <v>5453</v>
      </c>
      <c r="K505" s="178" t="s">
        <v>5245</v>
      </c>
      <c r="L505" s="178" t="s">
        <v>4598</v>
      </c>
    </row>
    <row r="506" spans="1:12">
      <c r="A506" s="320">
        <f t="shared" si="8"/>
        <v>505</v>
      </c>
      <c r="B506" s="178" t="s">
        <v>3818</v>
      </c>
      <c r="E506" s="178" t="s">
        <v>5246</v>
      </c>
      <c r="H506" s="324" t="s">
        <v>3328</v>
      </c>
      <c r="I506" s="265" t="s">
        <v>5819</v>
      </c>
      <c r="J506" s="178" t="s">
        <v>5453</v>
      </c>
      <c r="K506" s="178" t="s">
        <v>5246</v>
      </c>
      <c r="L506" s="178" t="s">
        <v>4600</v>
      </c>
    </row>
    <row r="507" spans="1:12">
      <c r="A507" s="320">
        <f t="shared" si="8"/>
        <v>506</v>
      </c>
      <c r="B507" s="178" t="s">
        <v>3819</v>
      </c>
      <c r="E507" s="178" t="s">
        <v>5247</v>
      </c>
      <c r="H507" s="324" t="s">
        <v>3328</v>
      </c>
      <c r="I507" s="265" t="s">
        <v>5819</v>
      </c>
      <c r="J507" s="178" t="s">
        <v>5453</v>
      </c>
      <c r="K507" s="178" t="s">
        <v>5553</v>
      </c>
      <c r="L507" s="178" t="s">
        <v>4602</v>
      </c>
    </row>
    <row r="508" spans="1:12">
      <c r="A508" s="320">
        <f t="shared" si="8"/>
        <v>507</v>
      </c>
      <c r="B508" s="178" t="s">
        <v>3820</v>
      </c>
      <c r="E508" s="178" t="s">
        <v>5248</v>
      </c>
      <c r="H508" s="324" t="s">
        <v>3328</v>
      </c>
      <c r="I508" s="265" t="s">
        <v>5819</v>
      </c>
      <c r="J508" s="178" t="s">
        <v>5453</v>
      </c>
      <c r="K508" s="178" t="s">
        <v>5248</v>
      </c>
      <c r="L508" s="178" t="s">
        <v>4604</v>
      </c>
    </row>
    <row r="509" spans="1:12">
      <c r="A509" s="320">
        <f t="shared" si="8"/>
        <v>508</v>
      </c>
      <c r="B509" s="178" t="s">
        <v>4340</v>
      </c>
      <c r="E509" s="178" t="s">
        <v>5249</v>
      </c>
      <c r="H509" s="324" t="s">
        <v>3328</v>
      </c>
      <c r="I509" s="265" t="s">
        <v>5819</v>
      </c>
      <c r="J509" s="178" t="s">
        <v>5453</v>
      </c>
      <c r="K509" s="178" t="s">
        <v>5554</v>
      </c>
      <c r="L509" s="178" t="s">
        <v>4606</v>
      </c>
    </row>
    <row r="510" spans="1:12">
      <c r="A510" s="320">
        <f t="shared" si="8"/>
        <v>509</v>
      </c>
      <c r="B510" s="178" t="s">
        <v>3821</v>
      </c>
      <c r="E510" s="178" t="s">
        <v>3856</v>
      </c>
      <c r="H510" s="324" t="s">
        <v>3328</v>
      </c>
      <c r="I510" s="265" t="s">
        <v>5819</v>
      </c>
      <c r="J510" s="178" t="s">
        <v>5453</v>
      </c>
      <c r="K510" s="178" t="s">
        <v>5555</v>
      </c>
    </row>
    <row r="511" spans="1:12">
      <c r="A511" s="320">
        <f t="shared" si="8"/>
        <v>510</v>
      </c>
      <c r="B511" s="178" t="s">
        <v>3822</v>
      </c>
      <c r="E511" s="178" t="s">
        <v>3859</v>
      </c>
      <c r="H511" s="324" t="s">
        <v>3328</v>
      </c>
      <c r="I511" s="265" t="s">
        <v>5819</v>
      </c>
      <c r="J511" s="178" t="s">
        <v>5453</v>
      </c>
      <c r="K511" s="178" t="s">
        <v>5556</v>
      </c>
    </row>
    <row r="512" spans="1:12">
      <c r="A512" s="320">
        <f t="shared" si="8"/>
        <v>511</v>
      </c>
      <c r="B512" s="178" t="s">
        <v>3823</v>
      </c>
      <c r="E512" s="178" t="s">
        <v>5250</v>
      </c>
      <c r="H512" s="324" t="s">
        <v>3328</v>
      </c>
      <c r="I512" s="265" t="s">
        <v>5819</v>
      </c>
      <c r="J512" s="178" t="s">
        <v>5453</v>
      </c>
      <c r="K512" s="178" t="s">
        <v>5557</v>
      </c>
    </row>
    <row r="513" spans="1:17">
      <c r="A513" s="320">
        <f t="shared" si="8"/>
        <v>512</v>
      </c>
      <c r="B513" s="178" t="s">
        <v>3824</v>
      </c>
      <c r="E513" s="178" t="s">
        <v>5251</v>
      </c>
      <c r="H513" s="324" t="s">
        <v>3328</v>
      </c>
      <c r="I513" s="265" t="s">
        <v>5819</v>
      </c>
      <c r="J513" s="178" t="s">
        <v>5453</v>
      </c>
      <c r="K513" s="178" t="s">
        <v>5558</v>
      </c>
      <c r="L513" s="178" t="s">
        <v>4614</v>
      </c>
    </row>
    <row r="514" spans="1:17">
      <c r="A514" s="320">
        <f t="shared" si="8"/>
        <v>513</v>
      </c>
      <c r="B514" s="178" t="s">
        <v>4341</v>
      </c>
      <c r="E514" s="178" t="s">
        <v>5252</v>
      </c>
      <c r="H514" s="324" t="s">
        <v>3328</v>
      </c>
      <c r="I514" s="265" t="s">
        <v>5819</v>
      </c>
      <c r="J514" s="178" t="s">
        <v>5453</v>
      </c>
      <c r="K514" s="178" t="s">
        <v>5559</v>
      </c>
      <c r="L514" s="178" t="s">
        <v>4616</v>
      </c>
    </row>
    <row r="515" spans="1:17">
      <c r="A515" s="320">
        <f t="shared" si="8"/>
        <v>514</v>
      </c>
      <c r="B515" s="178" t="s">
        <v>4342</v>
      </c>
      <c r="E515" s="178" t="s">
        <v>3844</v>
      </c>
      <c r="H515" s="324" t="s">
        <v>3328</v>
      </c>
      <c r="I515" s="265" t="s">
        <v>5819</v>
      </c>
      <c r="J515" s="178" t="s">
        <v>5453</v>
      </c>
      <c r="K515" s="178" t="s">
        <v>5560</v>
      </c>
      <c r="L515" s="178" t="s">
        <v>4618</v>
      </c>
    </row>
    <row r="516" spans="1:17">
      <c r="A516" s="320">
        <f t="shared" si="8"/>
        <v>515</v>
      </c>
      <c r="B516" s="178" t="s">
        <v>4343</v>
      </c>
      <c r="E516" s="178" t="s">
        <v>3861</v>
      </c>
      <c r="H516" s="324" t="s">
        <v>3328</v>
      </c>
      <c r="I516" s="265" t="s">
        <v>5819</v>
      </c>
      <c r="J516" s="178" t="s">
        <v>5453</v>
      </c>
      <c r="K516" s="178" t="s">
        <v>5561</v>
      </c>
      <c r="L516" s="178" t="s">
        <v>4620</v>
      </c>
    </row>
    <row r="517" spans="1:17">
      <c r="A517" s="320">
        <f t="shared" si="8"/>
        <v>516</v>
      </c>
      <c r="B517" s="178" t="s">
        <v>4344</v>
      </c>
      <c r="E517" s="178" t="s">
        <v>5253</v>
      </c>
      <c r="H517" s="324" t="s">
        <v>3328</v>
      </c>
      <c r="I517" s="265" t="s">
        <v>5819</v>
      </c>
      <c r="J517" s="178" t="s">
        <v>5453</v>
      </c>
      <c r="K517" s="178" t="s">
        <v>5562</v>
      </c>
      <c r="L517" s="178" t="s">
        <v>4622</v>
      </c>
    </row>
    <row r="518" spans="1:17">
      <c r="A518" s="320">
        <f t="shared" si="8"/>
        <v>517</v>
      </c>
      <c r="B518" s="178" t="s">
        <v>4345</v>
      </c>
      <c r="E518" s="178" t="s">
        <v>3846</v>
      </c>
      <c r="H518" s="324" t="s">
        <v>3328</v>
      </c>
      <c r="I518" s="265" t="s">
        <v>5819</v>
      </c>
      <c r="J518" s="178" t="s">
        <v>5453</v>
      </c>
      <c r="K518" s="178" t="s">
        <v>3846</v>
      </c>
      <c r="L518" s="178" t="s">
        <v>4624</v>
      </c>
    </row>
    <row r="519" spans="1:17">
      <c r="A519" s="320">
        <f t="shared" si="8"/>
        <v>518</v>
      </c>
      <c r="B519" s="178" t="s">
        <v>4346</v>
      </c>
      <c r="E519" s="178" t="s">
        <v>3847</v>
      </c>
      <c r="H519" s="324" t="s">
        <v>3328</v>
      </c>
      <c r="I519" s="265" t="s">
        <v>5819</v>
      </c>
      <c r="J519" s="178" t="s">
        <v>5453</v>
      </c>
      <c r="K519" s="178" t="s">
        <v>5563</v>
      </c>
      <c r="L519" s="178" t="s">
        <v>4626</v>
      </c>
    </row>
    <row r="520" spans="1:17">
      <c r="A520" s="320">
        <f t="shared" si="8"/>
        <v>519</v>
      </c>
      <c r="B520" s="178" t="s">
        <v>4347</v>
      </c>
      <c r="E520" s="178" t="s">
        <v>5564</v>
      </c>
      <c r="H520" s="324" t="s">
        <v>3328</v>
      </c>
      <c r="I520" s="265" t="s">
        <v>5819</v>
      </c>
      <c r="J520" s="178" t="s">
        <v>5453</v>
      </c>
      <c r="K520" s="178" t="s">
        <v>5564</v>
      </c>
      <c r="L520" s="178" t="s">
        <v>4628</v>
      </c>
    </row>
    <row r="521" spans="1:17">
      <c r="A521" s="320">
        <f t="shared" si="8"/>
        <v>520</v>
      </c>
      <c r="B521" s="178" t="s">
        <v>4348</v>
      </c>
      <c r="E521" s="178" t="s">
        <v>5254</v>
      </c>
      <c r="H521" s="324" t="s">
        <v>3328</v>
      </c>
      <c r="I521" s="265" t="s">
        <v>5819</v>
      </c>
      <c r="J521" s="178" t="s">
        <v>5453</v>
      </c>
      <c r="K521" s="178" t="s">
        <v>5565</v>
      </c>
      <c r="L521" s="178" t="s">
        <v>4630</v>
      </c>
    </row>
    <row r="522" spans="1:17">
      <c r="A522" s="320">
        <f t="shared" si="8"/>
        <v>521</v>
      </c>
      <c r="B522" s="178" t="s">
        <v>4349</v>
      </c>
      <c r="E522" s="178" t="s">
        <v>5817</v>
      </c>
      <c r="H522" s="324" t="s">
        <v>3328</v>
      </c>
      <c r="I522" s="265" t="s">
        <v>5819</v>
      </c>
      <c r="J522" s="178" t="s">
        <v>5453</v>
      </c>
      <c r="K522" s="178" t="s">
        <v>5566</v>
      </c>
      <c r="L522" s="178" t="s">
        <v>4632</v>
      </c>
    </row>
    <row r="523" spans="1:17">
      <c r="A523" s="320">
        <f t="shared" si="8"/>
        <v>522</v>
      </c>
      <c r="B523" s="178" t="s">
        <v>4350</v>
      </c>
      <c r="E523" s="178" t="s">
        <v>3852</v>
      </c>
      <c r="H523" s="324" t="s">
        <v>3328</v>
      </c>
      <c r="I523" s="265" t="s">
        <v>5819</v>
      </c>
      <c r="J523" s="178" t="s">
        <v>5453</v>
      </c>
      <c r="K523" s="178" t="s">
        <v>5567</v>
      </c>
      <c r="L523" s="178" t="s">
        <v>4634</v>
      </c>
    </row>
    <row r="524" spans="1:17">
      <c r="A524" s="320">
        <f t="shared" si="8"/>
        <v>523</v>
      </c>
      <c r="B524" s="178" t="s">
        <v>4351</v>
      </c>
      <c r="E524" s="178" t="s">
        <v>3854</v>
      </c>
      <c r="H524" s="324" t="s">
        <v>3328</v>
      </c>
      <c r="I524" s="265" t="s">
        <v>5819</v>
      </c>
      <c r="J524" s="178" t="s">
        <v>5453</v>
      </c>
      <c r="K524" s="178" t="s">
        <v>5818</v>
      </c>
      <c r="L524" s="178" t="s">
        <v>4636</v>
      </c>
    </row>
    <row r="525" spans="1:17">
      <c r="A525" s="320">
        <f t="shared" si="8"/>
        <v>524</v>
      </c>
      <c r="B525" s="178" t="s">
        <v>4352</v>
      </c>
      <c r="E525" s="178" t="s">
        <v>3840</v>
      </c>
      <c r="H525" s="324" t="s">
        <v>3328</v>
      </c>
      <c r="I525" s="265" t="s">
        <v>5819</v>
      </c>
      <c r="J525" s="178" t="s">
        <v>5453</v>
      </c>
      <c r="K525" s="178" t="s">
        <v>3840</v>
      </c>
      <c r="L525" s="178" t="s">
        <v>4638</v>
      </c>
    </row>
    <row r="526" spans="1:17">
      <c r="A526" s="320">
        <f t="shared" si="8"/>
        <v>525</v>
      </c>
      <c r="B526" s="178" t="s">
        <v>4353</v>
      </c>
      <c r="E526" s="178" t="s">
        <v>3864</v>
      </c>
      <c r="H526" s="324" t="s">
        <v>3328</v>
      </c>
      <c r="I526" s="265" t="s">
        <v>5819</v>
      </c>
      <c r="J526" s="178" t="s">
        <v>5453</v>
      </c>
      <c r="K526" s="178" t="s">
        <v>5568</v>
      </c>
      <c r="L526" s="178" t="s">
        <v>4640</v>
      </c>
    </row>
    <row r="527" spans="1:17">
      <c r="A527" s="320">
        <f t="shared" si="8"/>
        <v>526</v>
      </c>
      <c r="B527" s="263" t="s">
        <v>4354</v>
      </c>
      <c r="C527" s="343" t="s">
        <v>279</v>
      </c>
      <c r="D527" s="343">
        <v>15</v>
      </c>
      <c r="E527" s="263" t="s">
        <v>5156</v>
      </c>
      <c r="F527" s="263" t="s">
        <v>5157</v>
      </c>
      <c r="G527" s="263"/>
      <c r="H527" s="324" t="s">
        <v>3328</v>
      </c>
      <c r="I527" s="265" t="s">
        <v>5819</v>
      </c>
      <c r="J527" s="178" t="s">
        <v>5453</v>
      </c>
      <c r="K527" s="263" t="s">
        <v>5569</v>
      </c>
      <c r="L527" s="263" t="s">
        <v>4642</v>
      </c>
      <c r="M527" s="263"/>
      <c r="N527" s="263"/>
      <c r="O527" s="263"/>
      <c r="P527" s="263" t="s">
        <v>4642</v>
      </c>
      <c r="Q527" s="263"/>
    </row>
    <row r="528" spans="1:17">
      <c r="A528" s="320">
        <f t="shared" si="2"/>
        <v>527</v>
      </c>
      <c r="B528" s="263" t="s">
        <v>4355</v>
      </c>
      <c r="C528" s="343" t="s">
        <v>279</v>
      </c>
      <c r="D528" s="343">
        <v>15</v>
      </c>
      <c r="E528" s="263" t="s">
        <v>5158</v>
      </c>
      <c r="F528" s="263"/>
      <c r="G528" s="263"/>
      <c r="H528" s="324" t="s">
        <v>3328</v>
      </c>
      <c r="I528" s="265" t="s">
        <v>5819</v>
      </c>
      <c r="J528" s="178" t="s">
        <v>5453</v>
      </c>
      <c r="K528" s="263" t="s">
        <v>5570</v>
      </c>
      <c r="L528" s="263" t="s">
        <v>4644</v>
      </c>
      <c r="M528" s="263"/>
      <c r="N528" s="263"/>
      <c r="O528" s="263"/>
      <c r="P528" s="263" t="s">
        <v>4644</v>
      </c>
      <c r="Q528" s="263"/>
    </row>
    <row r="529" spans="1:17">
      <c r="A529" s="320">
        <f t="shared" si="2"/>
        <v>528</v>
      </c>
      <c r="B529" s="263" t="s">
        <v>4356</v>
      </c>
      <c r="C529" s="343" t="s">
        <v>279</v>
      </c>
      <c r="D529" s="343">
        <v>15</v>
      </c>
      <c r="E529" s="263" t="s">
        <v>5159</v>
      </c>
      <c r="F529" s="263" t="s">
        <v>5160</v>
      </c>
      <c r="G529" s="263"/>
      <c r="H529" s="324" t="s">
        <v>3328</v>
      </c>
      <c r="I529" s="265" t="s">
        <v>5819</v>
      </c>
      <c r="J529" s="178" t="s">
        <v>5453</v>
      </c>
      <c r="K529" s="263" t="s">
        <v>5571</v>
      </c>
      <c r="L529" s="263" t="s">
        <v>4646</v>
      </c>
      <c r="M529" s="263"/>
      <c r="N529" s="263"/>
      <c r="O529" s="263"/>
      <c r="P529" s="263" t="s">
        <v>4646</v>
      </c>
      <c r="Q529" s="263"/>
    </row>
    <row r="530" spans="1:17">
      <c r="A530" s="320">
        <f t="shared" si="2"/>
        <v>529</v>
      </c>
      <c r="B530" s="263" t="s">
        <v>4357</v>
      </c>
      <c r="C530" s="343" t="s">
        <v>279</v>
      </c>
      <c r="D530" s="343">
        <v>15</v>
      </c>
      <c r="E530" s="263" t="s">
        <v>5161</v>
      </c>
      <c r="F530" s="263"/>
      <c r="G530" s="263"/>
      <c r="H530" s="324" t="s">
        <v>3328</v>
      </c>
      <c r="I530" s="265" t="s">
        <v>5819</v>
      </c>
      <c r="J530" s="178" t="s">
        <v>5453</v>
      </c>
      <c r="K530" s="263" t="s">
        <v>5572</v>
      </c>
      <c r="L530" s="263" t="s">
        <v>4648</v>
      </c>
      <c r="M530" s="263"/>
      <c r="N530" s="263"/>
      <c r="O530" s="263"/>
      <c r="P530" s="263" t="s">
        <v>4648</v>
      </c>
      <c r="Q530" s="263"/>
    </row>
    <row r="531" spans="1:17">
      <c r="A531" s="320">
        <f t="shared" si="2"/>
        <v>530</v>
      </c>
      <c r="B531" s="263" t="s">
        <v>4358</v>
      </c>
      <c r="C531" s="343" t="s">
        <v>279</v>
      </c>
      <c r="D531" s="343">
        <v>15</v>
      </c>
      <c r="E531" s="263" t="s">
        <v>5162</v>
      </c>
      <c r="F531" s="263" t="s">
        <v>5163</v>
      </c>
      <c r="G531" s="263"/>
      <c r="H531" s="324" t="s">
        <v>3328</v>
      </c>
      <c r="I531" s="265" t="s">
        <v>5819</v>
      </c>
      <c r="J531" s="178" t="s">
        <v>5453</v>
      </c>
      <c r="K531" s="263" t="s">
        <v>5573</v>
      </c>
      <c r="L531" s="263" t="s">
        <v>4650</v>
      </c>
      <c r="M531" s="263"/>
      <c r="N531" s="263"/>
      <c r="O531" s="263"/>
      <c r="P531" s="263" t="s">
        <v>4650</v>
      </c>
      <c r="Q531" s="263"/>
    </row>
    <row r="532" spans="1:17">
      <c r="A532" s="320">
        <f t="shared" si="2"/>
        <v>531</v>
      </c>
      <c r="B532" s="263" t="s">
        <v>4359</v>
      </c>
      <c r="C532" s="343" t="s">
        <v>279</v>
      </c>
      <c r="D532" s="343">
        <v>15</v>
      </c>
      <c r="E532" s="263" t="s">
        <v>5164</v>
      </c>
      <c r="F532" s="263" t="s">
        <v>5165</v>
      </c>
      <c r="G532" s="263"/>
      <c r="H532" s="324" t="s">
        <v>3328</v>
      </c>
      <c r="I532" s="265" t="s">
        <v>5819</v>
      </c>
      <c r="J532" s="178" t="s">
        <v>5453</v>
      </c>
      <c r="K532" s="263" t="s">
        <v>5574</v>
      </c>
      <c r="L532" s="263" t="s">
        <v>4652</v>
      </c>
      <c r="M532" s="263"/>
      <c r="N532" s="263"/>
      <c r="O532" s="263"/>
      <c r="P532" s="263" t="s">
        <v>4652</v>
      </c>
      <c r="Q532" s="263"/>
    </row>
    <row r="533" spans="1:17">
      <c r="A533" s="320">
        <f t="shared" si="2"/>
        <v>532</v>
      </c>
      <c r="B533" s="263" t="s">
        <v>4360</v>
      </c>
      <c r="C533" s="343" t="s">
        <v>279</v>
      </c>
      <c r="D533" s="343">
        <v>15</v>
      </c>
      <c r="E533" s="263" t="s">
        <v>5166</v>
      </c>
      <c r="F533" s="263"/>
      <c r="G533" s="263"/>
      <c r="H533" s="324" t="s">
        <v>3328</v>
      </c>
      <c r="I533" s="265" t="s">
        <v>5819</v>
      </c>
      <c r="J533" s="178" t="s">
        <v>5453</v>
      </c>
      <c r="K533" s="263" t="s">
        <v>5575</v>
      </c>
      <c r="L533" s="263" t="s">
        <v>5154</v>
      </c>
      <c r="M533" s="263"/>
      <c r="N533" s="263"/>
      <c r="O533" s="263"/>
      <c r="P533" s="263" t="s">
        <v>5154</v>
      </c>
      <c r="Q533" s="263"/>
    </row>
  </sheetData>
  <phoneticPr fontId="2" type="noConversion"/>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O114"/>
  <sheetViews>
    <sheetView zoomScale="90" zoomScaleNormal="90" workbookViewId="0">
      <pane xSplit="7" ySplit="4" topLeftCell="H5" activePane="bottomRight" state="frozen"/>
      <selection pane="topRight" activeCell="H1" sqref="H1"/>
      <selection pane="bottomLeft" activeCell="A5" sqref="A5"/>
      <selection pane="bottomRight" activeCell="J24" sqref="J24"/>
    </sheetView>
  </sheetViews>
  <sheetFormatPr defaultRowHeight="11.25"/>
  <cols>
    <col min="1" max="1" width="5.875" style="178" customWidth="1"/>
    <col min="2" max="2" width="8" style="178" bestFit="1" customWidth="1"/>
    <col min="3" max="3" width="12.625" style="195" customWidth="1"/>
    <col min="4" max="4" width="27.625" style="196" customWidth="1"/>
    <col min="5" max="5" width="11.625" style="178" customWidth="1"/>
    <col min="6" max="6" width="9" style="178"/>
    <col min="7" max="7" width="18.75" style="196" customWidth="1"/>
    <col min="8" max="8" width="9" style="178"/>
    <col min="9" max="9" width="12.25" style="178" customWidth="1"/>
    <col min="10" max="10" width="47.25" style="178" customWidth="1"/>
    <col min="11" max="11" width="21.5" style="178" customWidth="1"/>
    <col min="12" max="16384" width="9" style="178"/>
  </cols>
  <sheetData>
    <row r="1" spans="1:15" ht="20.100000000000001" customHeight="1">
      <c r="A1" s="178" t="s">
        <v>1699</v>
      </c>
    </row>
    <row r="2" spans="1:15" ht="20.100000000000001" customHeight="1">
      <c r="A2" s="178" t="s">
        <v>1330</v>
      </c>
    </row>
    <row r="3" spans="1:15" s="195" customFormat="1" ht="20.100000000000001" customHeight="1">
      <c r="A3" s="211" t="s">
        <v>1700</v>
      </c>
      <c r="B3" s="212" t="s">
        <v>1701</v>
      </c>
      <c r="C3" s="211" t="s">
        <v>2816</v>
      </c>
      <c r="D3" s="212" t="s">
        <v>1456</v>
      </c>
      <c r="E3" s="212" t="s">
        <v>1454</v>
      </c>
      <c r="F3" s="211" t="s">
        <v>1702</v>
      </c>
      <c r="G3" s="234" t="s">
        <v>3098</v>
      </c>
      <c r="H3" s="234" t="s">
        <v>3091</v>
      </c>
      <c r="I3" s="211" t="s">
        <v>3095</v>
      </c>
      <c r="J3" s="211" t="s">
        <v>3101</v>
      </c>
      <c r="K3" s="211" t="s">
        <v>3094</v>
      </c>
    </row>
    <row r="4" spans="1:15" s="110" customFormat="1" ht="20.100000000000001" customHeight="1">
      <c r="A4" s="213">
        <f>ROW()-3</f>
        <v>1</v>
      </c>
      <c r="B4" s="214" t="s">
        <v>1703</v>
      </c>
      <c r="C4" s="215" t="s">
        <v>2808</v>
      </c>
      <c r="D4" s="226"/>
      <c r="E4" s="214" t="s">
        <v>275</v>
      </c>
      <c r="F4" s="213">
        <v>4</v>
      </c>
      <c r="G4" s="225" t="s">
        <v>3096</v>
      </c>
      <c r="H4" s="263" t="s">
        <v>2329</v>
      </c>
      <c r="I4" s="263"/>
      <c r="J4" s="263" t="s">
        <v>3232</v>
      </c>
      <c r="K4" s="263"/>
    </row>
    <row r="5" spans="1:15" s="110" customFormat="1" ht="20.100000000000001" customHeight="1">
      <c r="A5" s="213">
        <f t="shared" ref="A5:A68" si="0">ROW()-3</f>
        <v>2</v>
      </c>
      <c r="B5" s="214" t="s">
        <v>1703</v>
      </c>
      <c r="C5" s="215" t="s">
        <v>3233</v>
      </c>
      <c r="D5" s="226" t="s">
        <v>3145</v>
      </c>
      <c r="E5" s="216" t="s">
        <v>279</v>
      </c>
      <c r="F5" s="213">
        <v>3</v>
      </c>
      <c r="G5" s="225"/>
      <c r="H5" s="263" t="s">
        <v>2329</v>
      </c>
      <c r="I5" s="263"/>
      <c r="J5" s="263" t="s">
        <v>3232</v>
      </c>
      <c r="K5" s="263"/>
    </row>
    <row r="6" spans="1:15" ht="20.100000000000001" customHeight="1">
      <c r="A6" s="213">
        <f t="shared" si="0"/>
        <v>3</v>
      </c>
      <c r="B6" s="214" t="s">
        <v>1703</v>
      </c>
      <c r="C6" s="215"/>
      <c r="D6" s="226" t="s">
        <v>1704</v>
      </c>
      <c r="E6" s="214" t="s">
        <v>275</v>
      </c>
      <c r="F6" s="213">
        <v>6</v>
      </c>
      <c r="G6" s="225"/>
      <c r="H6" s="263" t="s">
        <v>2329</v>
      </c>
      <c r="I6" s="263"/>
      <c r="J6" s="263" t="s">
        <v>3242</v>
      </c>
      <c r="K6" s="263"/>
      <c r="N6" s="210"/>
      <c r="O6" s="178" t="s">
        <v>1705</v>
      </c>
    </row>
    <row r="7" spans="1:15" ht="20.100000000000001" customHeight="1">
      <c r="A7" s="213">
        <f t="shared" si="0"/>
        <v>4</v>
      </c>
      <c r="B7" s="214" t="s">
        <v>1703</v>
      </c>
      <c r="C7" s="217"/>
      <c r="D7" s="227" t="s">
        <v>1706</v>
      </c>
      <c r="E7" s="214" t="s">
        <v>275</v>
      </c>
      <c r="F7" s="216">
        <v>14</v>
      </c>
      <c r="G7" s="225"/>
      <c r="H7" s="263" t="s">
        <v>2329</v>
      </c>
      <c r="I7" s="263"/>
      <c r="J7" s="263" t="s">
        <v>3242</v>
      </c>
      <c r="K7" s="263"/>
      <c r="N7" s="218"/>
      <c r="O7" s="178" t="s">
        <v>1707</v>
      </c>
    </row>
    <row r="8" spans="1:15" ht="20.100000000000001" customHeight="1">
      <c r="A8" s="213">
        <f t="shared" si="0"/>
        <v>5</v>
      </c>
      <c r="B8" s="214" t="s">
        <v>1703</v>
      </c>
      <c r="C8" s="217"/>
      <c r="D8" s="227" t="s">
        <v>1708</v>
      </c>
      <c r="E8" s="214" t="s">
        <v>275</v>
      </c>
      <c r="F8" s="216">
        <v>10</v>
      </c>
      <c r="G8" s="225"/>
      <c r="H8" s="263" t="s">
        <v>2329</v>
      </c>
      <c r="I8" s="263"/>
      <c r="J8" s="263" t="s">
        <v>3242</v>
      </c>
      <c r="K8" s="263"/>
      <c r="N8" s="219"/>
      <c r="O8" s="178" t="s">
        <v>1709</v>
      </c>
    </row>
    <row r="9" spans="1:15" ht="20.100000000000001" customHeight="1">
      <c r="A9" s="213">
        <f t="shared" si="0"/>
        <v>6</v>
      </c>
      <c r="B9" s="214" t="s">
        <v>1703</v>
      </c>
      <c r="C9" s="217"/>
      <c r="D9" s="227" t="s">
        <v>1710</v>
      </c>
      <c r="E9" s="214" t="s">
        <v>275</v>
      </c>
      <c r="F9" s="216">
        <v>8</v>
      </c>
      <c r="G9" s="225"/>
      <c r="H9" s="263" t="s">
        <v>2329</v>
      </c>
      <c r="I9" s="263"/>
      <c r="J9" s="263" t="s">
        <v>3242</v>
      </c>
      <c r="K9" s="263"/>
      <c r="N9" s="178" t="s">
        <v>1711</v>
      </c>
    </row>
    <row r="10" spans="1:15" ht="20.100000000000001" customHeight="1">
      <c r="A10" s="213">
        <f t="shared" si="0"/>
        <v>7</v>
      </c>
      <c r="B10" s="214" t="s">
        <v>1703</v>
      </c>
      <c r="C10" s="217" t="s">
        <v>1713</v>
      </c>
      <c r="D10" s="227" t="s">
        <v>1712</v>
      </c>
      <c r="E10" s="214" t="s">
        <v>275</v>
      </c>
      <c r="F10" s="216">
        <v>2</v>
      </c>
      <c r="G10" s="225"/>
      <c r="H10" s="263"/>
      <c r="I10" s="263"/>
      <c r="J10" s="263"/>
      <c r="K10" s="263"/>
    </row>
    <row r="11" spans="1:15" ht="20.100000000000001" customHeight="1">
      <c r="A11" s="213">
        <f t="shared" si="0"/>
        <v>8</v>
      </c>
      <c r="B11" s="214" t="s">
        <v>1703</v>
      </c>
      <c r="C11" s="215" t="s">
        <v>1715</v>
      </c>
      <c r="D11" s="228" t="s">
        <v>1714</v>
      </c>
      <c r="E11" s="216" t="s">
        <v>279</v>
      </c>
      <c r="F11" s="213">
        <v>15</v>
      </c>
      <c r="G11" s="225"/>
      <c r="H11" s="263"/>
      <c r="I11" s="263"/>
      <c r="J11" s="263"/>
      <c r="K11" s="263"/>
    </row>
    <row r="12" spans="1:15" ht="20.100000000000001" customHeight="1">
      <c r="A12" s="213">
        <f t="shared" si="0"/>
        <v>9</v>
      </c>
      <c r="B12" s="214" t="s">
        <v>1703</v>
      </c>
      <c r="C12" s="215" t="s">
        <v>1717</v>
      </c>
      <c r="D12" s="228" t="s">
        <v>1716</v>
      </c>
      <c r="E12" s="216" t="s">
        <v>279</v>
      </c>
      <c r="F12" s="213">
        <v>15</v>
      </c>
      <c r="G12" s="225"/>
      <c r="H12" s="263"/>
      <c r="I12" s="263"/>
      <c r="J12" s="263"/>
      <c r="K12" s="263"/>
    </row>
    <row r="13" spans="1:15" ht="20.100000000000001" customHeight="1">
      <c r="A13" s="213">
        <f t="shared" si="0"/>
        <v>10</v>
      </c>
      <c r="B13" s="214" t="s">
        <v>1703</v>
      </c>
      <c r="C13" s="215" t="s">
        <v>1719</v>
      </c>
      <c r="D13" s="229" t="s">
        <v>1718</v>
      </c>
      <c r="E13" s="216" t="s">
        <v>279</v>
      </c>
      <c r="F13" s="221">
        <v>9</v>
      </c>
      <c r="G13" s="225"/>
      <c r="H13" s="263"/>
      <c r="I13" s="263"/>
      <c r="J13" s="263"/>
      <c r="K13" s="263"/>
    </row>
    <row r="14" spans="1:15" ht="20.100000000000001" customHeight="1">
      <c r="A14" s="213">
        <f t="shared" si="0"/>
        <v>11</v>
      </c>
      <c r="B14" s="214" t="s">
        <v>1703</v>
      </c>
      <c r="C14" s="215" t="s">
        <v>1721</v>
      </c>
      <c r="D14" s="229" t="s">
        <v>1720</v>
      </c>
      <c r="E14" s="216" t="s">
        <v>279</v>
      </c>
      <c r="F14" s="221">
        <v>9</v>
      </c>
      <c r="G14" s="225"/>
      <c r="H14" s="263"/>
      <c r="I14" s="263"/>
      <c r="J14" s="263"/>
      <c r="K14" s="263"/>
    </row>
    <row r="15" spans="1:15" ht="20.100000000000001" customHeight="1">
      <c r="A15" s="213">
        <f t="shared" si="0"/>
        <v>12</v>
      </c>
      <c r="B15" s="214" t="s">
        <v>1703</v>
      </c>
      <c r="C15" s="215" t="s">
        <v>1723</v>
      </c>
      <c r="D15" s="230" t="s">
        <v>1722</v>
      </c>
      <c r="E15" s="214" t="s">
        <v>275</v>
      </c>
      <c r="F15" s="216">
        <v>2</v>
      </c>
      <c r="G15" s="225"/>
      <c r="H15" s="263"/>
      <c r="I15" s="263"/>
      <c r="J15" s="263"/>
      <c r="K15" s="263" t="s">
        <v>3225</v>
      </c>
    </row>
    <row r="16" spans="1:15" ht="20.100000000000001" customHeight="1">
      <c r="A16" s="213">
        <f t="shared" si="0"/>
        <v>13</v>
      </c>
      <c r="B16" s="214" t="s">
        <v>1703</v>
      </c>
      <c r="C16" s="215" t="s">
        <v>1725</v>
      </c>
      <c r="D16" s="229" t="s">
        <v>1724</v>
      </c>
      <c r="E16" s="214" t="s">
        <v>275</v>
      </c>
      <c r="F16" s="216">
        <v>2</v>
      </c>
      <c r="G16" s="225"/>
      <c r="H16" s="263"/>
      <c r="I16" s="263"/>
      <c r="J16" s="263" t="s">
        <v>3502</v>
      </c>
      <c r="K16" s="263"/>
    </row>
    <row r="17" spans="1:11" ht="20.100000000000001" customHeight="1">
      <c r="A17" s="213">
        <f t="shared" si="0"/>
        <v>14</v>
      </c>
      <c r="B17" s="214" t="s">
        <v>1703</v>
      </c>
      <c r="C17" s="215" t="s">
        <v>1727</v>
      </c>
      <c r="D17" s="231" t="s">
        <v>1726</v>
      </c>
      <c r="E17" s="216" t="s">
        <v>279</v>
      </c>
      <c r="F17" s="213">
        <v>5</v>
      </c>
      <c r="G17" s="225"/>
      <c r="H17" s="263"/>
      <c r="I17" s="263"/>
      <c r="J17" s="263"/>
      <c r="K17" s="263" t="s">
        <v>3226</v>
      </c>
    </row>
    <row r="18" spans="1:11" ht="20.100000000000001" customHeight="1">
      <c r="A18" s="213">
        <f t="shared" si="0"/>
        <v>15</v>
      </c>
      <c r="B18" s="214" t="s">
        <v>1703</v>
      </c>
      <c r="C18" s="215" t="s">
        <v>1729</v>
      </c>
      <c r="D18" s="231" t="s">
        <v>1728</v>
      </c>
      <c r="E18" s="216" t="s">
        <v>279</v>
      </c>
      <c r="F18" s="213">
        <v>5</v>
      </c>
      <c r="G18" s="225"/>
      <c r="H18" s="263"/>
      <c r="I18" s="263"/>
      <c r="J18" s="263"/>
      <c r="K18" s="263" t="s">
        <v>3227</v>
      </c>
    </row>
    <row r="19" spans="1:11" ht="20.100000000000001" customHeight="1">
      <c r="A19" s="213">
        <f t="shared" si="0"/>
        <v>16</v>
      </c>
      <c r="B19" s="214" t="s">
        <v>1703</v>
      </c>
      <c r="C19" s="215" t="s">
        <v>1731</v>
      </c>
      <c r="D19" s="231" t="s">
        <v>1730</v>
      </c>
      <c r="E19" s="216" t="s">
        <v>279</v>
      </c>
      <c r="F19" s="213">
        <v>5</v>
      </c>
      <c r="G19" s="225"/>
      <c r="H19" s="263"/>
      <c r="I19" s="263"/>
      <c r="J19" s="263"/>
      <c r="K19" s="263" t="s">
        <v>3228</v>
      </c>
    </row>
    <row r="20" spans="1:11" ht="20.100000000000001" customHeight="1">
      <c r="A20" s="213">
        <f t="shared" si="0"/>
        <v>17</v>
      </c>
      <c r="B20" s="214" t="s">
        <v>1703</v>
      </c>
      <c r="C20" s="215" t="s">
        <v>1733</v>
      </c>
      <c r="D20" s="231" t="s">
        <v>1732</v>
      </c>
      <c r="E20" s="216" t="s">
        <v>279</v>
      </c>
      <c r="F20" s="213">
        <v>5</v>
      </c>
      <c r="G20" s="225"/>
      <c r="H20" s="263"/>
      <c r="I20" s="263"/>
      <c r="J20" s="263"/>
      <c r="K20" s="263" t="s">
        <v>3229</v>
      </c>
    </row>
    <row r="21" spans="1:11" ht="20.100000000000001" customHeight="1">
      <c r="A21" s="213">
        <f t="shared" si="0"/>
        <v>18</v>
      </c>
      <c r="B21" s="214" t="s">
        <v>1703</v>
      </c>
      <c r="C21" s="215" t="s">
        <v>1736</v>
      </c>
      <c r="D21" s="228" t="s">
        <v>1734</v>
      </c>
      <c r="E21" s="220" t="s">
        <v>1735</v>
      </c>
      <c r="F21" s="220">
        <v>60</v>
      </c>
      <c r="G21" s="225"/>
      <c r="H21" s="263"/>
      <c r="I21" s="263"/>
      <c r="J21" s="263"/>
      <c r="K21" s="263"/>
    </row>
    <row r="22" spans="1:11" ht="20.100000000000001" customHeight="1">
      <c r="A22" s="213">
        <f t="shared" si="0"/>
        <v>19</v>
      </c>
      <c r="B22" s="214" t="s">
        <v>1703</v>
      </c>
      <c r="C22" s="215" t="s">
        <v>1738</v>
      </c>
      <c r="D22" s="228" t="s">
        <v>1737</v>
      </c>
      <c r="E22" s="220" t="s">
        <v>1735</v>
      </c>
      <c r="F22" s="220">
        <v>60</v>
      </c>
      <c r="G22" s="225"/>
      <c r="H22" s="263"/>
      <c r="I22" s="263"/>
      <c r="J22" s="263"/>
      <c r="K22" s="263"/>
    </row>
    <row r="23" spans="1:11" ht="20.100000000000001" customHeight="1">
      <c r="A23" s="213">
        <f t="shared" si="0"/>
        <v>20</v>
      </c>
      <c r="B23" s="214" t="s">
        <v>1703</v>
      </c>
      <c r="C23" s="215" t="s">
        <v>1740</v>
      </c>
      <c r="D23" s="228" t="s">
        <v>1739</v>
      </c>
      <c r="E23" s="220" t="s">
        <v>1735</v>
      </c>
      <c r="F23" s="220">
        <v>60</v>
      </c>
      <c r="G23" s="225"/>
      <c r="H23" s="263"/>
      <c r="I23" s="263"/>
      <c r="J23" s="263"/>
      <c r="K23" s="263"/>
    </row>
    <row r="24" spans="1:11" ht="20.100000000000001" customHeight="1">
      <c r="A24" s="213">
        <f t="shared" si="0"/>
        <v>21</v>
      </c>
      <c r="B24" s="214" t="s">
        <v>1703</v>
      </c>
      <c r="C24" s="215" t="s">
        <v>1742</v>
      </c>
      <c r="D24" s="228" t="s">
        <v>1741</v>
      </c>
      <c r="E24" s="214" t="s">
        <v>275</v>
      </c>
      <c r="F24" s="220">
        <v>60</v>
      </c>
      <c r="G24" s="225"/>
      <c r="H24" s="263"/>
      <c r="I24" s="263"/>
      <c r="J24" s="263"/>
      <c r="K24" s="263"/>
    </row>
    <row r="25" spans="1:11" ht="20.100000000000001" customHeight="1">
      <c r="A25" s="213">
        <f t="shared" si="0"/>
        <v>22</v>
      </c>
      <c r="B25" s="214" t="s">
        <v>1703</v>
      </c>
      <c r="C25" s="215" t="s">
        <v>1744</v>
      </c>
      <c r="D25" s="225" t="s">
        <v>1743</v>
      </c>
      <c r="E25" s="216" t="s">
        <v>279</v>
      </c>
      <c r="F25" s="213">
        <v>15</v>
      </c>
      <c r="G25" s="225"/>
      <c r="H25" s="263"/>
      <c r="I25" s="263"/>
      <c r="J25" s="263"/>
      <c r="K25" s="263"/>
    </row>
    <row r="26" spans="1:11" ht="20.100000000000001" customHeight="1">
      <c r="A26" s="213">
        <f t="shared" si="0"/>
        <v>23</v>
      </c>
      <c r="B26" s="214" t="s">
        <v>1703</v>
      </c>
      <c r="C26" s="215" t="s">
        <v>1746</v>
      </c>
      <c r="D26" s="225" t="s">
        <v>1745</v>
      </c>
      <c r="E26" s="216" t="s">
        <v>279</v>
      </c>
      <c r="F26" s="213">
        <v>15</v>
      </c>
      <c r="G26" s="225"/>
      <c r="H26" s="263"/>
      <c r="I26" s="263"/>
      <c r="J26" s="263"/>
      <c r="K26" s="263"/>
    </row>
    <row r="27" spans="1:11" ht="20.100000000000001" customHeight="1">
      <c r="A27" s="213">
        <f t="shared" si="0"/>
        <v>24</v>
      </c>
      <c r="B27" s="214" t="s">
        <v>1703</v>
      </c>
      <c r="C27" s="215" t="s">
        <v>1748</v>
      </c>
      <c r="D27" s="225" t="s">
        <v>1747</v>
      </c>
      <c r="E27" s="216" t="s">
        <v>279</v>
      </c>
      <c r="F27" s="213">
        <v>15</v>
      </c>
      <c r="G27" s="225"/>
      <c r="H27" s="263"/>
      <c r="I27" s="263"/>
      <c r="J27" s="263"/>
      <c r="K27" s="263"/>
    </row>
    <row r="28" spans="1:11" ht="20.100000000000001" customHeight="1">
      <c r="A28" s="213">
        <f t="shared" si="0"/>
        <v>25</v>
      </c>
      <c r="B28" s="214" t="s">
        <v>1703</v>
      </c>
      <c r="C28" s="215" t="s">
        <v>1750</v>
      </c>
      <c r="D28" s="225" t="s">
        <v>1749</v>
      </c>
      <c r="E28" s="216" t="s">
        <v>279</v>
      </c>
      <c r="F28" s="213">
        <v>15</v>
      </c>
      <c r="G28" s="225"/>
      <c r="H28" s="263"/>
      <c r="I28" s="263"/>
      <c r="J28" s="263"/>
      <c r="K28" s="263"/>
    </row>
    <row r="29" spans="1:11" ht="20.100000000000001" customHeight="1">
      <c r="A29" s="213">
        <f t="shared" si="0"/>
        <v>26</v>
      </c>
      <c r="B29" s="214" t="s">
        <v>1703</v>
      </c>
      <c r="C29" s="215" t="s">
        <v>1753</v>
      </c>
      <c r="D29" s="194" t="s">
        <v>1751</v>
      </c>
      <c r="E29" s="221" t="s">
        <v>1752</v>
      </c>
      <c r="F29" s="221">
        <v>15</v>
      </c>
      <c r="G29" s="225"/>
      <c r="H29" s="263"/>
      <c r="I29" s="263"/>
      <c r="J29" s="263"/>
      <c r="K29" s="263"/>
    </row>
    <row r="30" spans="1:11" ht="20.100000000000001" customHeight="1">
      <c r="A30" s="213">
        <f t="shared" si="0"/>
        <v>27</v>
      </c>
      <c r="B30" s="214" t="s">
        <v>1703</v>
      </c>
      <c r="C30" s="215" t="s">
        <v>1755</v>
      </c>
      <c r="D30" s="194" t="s">
        <v>1754</v>
      </c>
      <c r="E30" s="221" t="s">
        <v>1752</v>
      </c>
      <c r="F30" s="221">
        <v>15</v>
      </c>
      <c r="G30" s="225"/>
      <c r="H30" s="263"/>
      <c r="I30" s="263"/>
      <c r="J30" s="263"/>
      <c r="K30" s="263"/>
    </row>
    <row r="31" spans="1:11" ht="20.100000000000001" customHeight="1">
      <c r="A31" s="213">
        <f t="shared" si="0"/>
        <v>28</v>
      </c>
      <c r="B31" s="214" t="s">
        <v>1703</v>
      </c>
      <c r="C31" s="215" t="s">
        <v>1757</v>
      </c>
      <c r="D31" s="194" t="s">
        <v>1756</v>
      </c>
      <c r="E31" s="221" t="s">
        <v>1752</v>
      </c>
      <c r="F31" s="221">
        <v>15</v>
      </c>
      <c r="G31" s="225"/>
      <c r="H31" s="263"/>
      <c r="I31" s="263"/>
      <c r="J31" s="263"/>
      <c r="K31" s="263"/>
    </row>
    <row r="32" spans="1:11" ht="20.100000000000001" customHeight="1">
      <c r="A32" s="213">
        <f t="shared" si="0"/>
        <v>29</v>
      </c>
      <c r="B32" s="214" t="s">
        <v>1703</v>
      </c>
      <c r="C32" s="215" t="s">
        <v>1759</v>
      </c>
      <c r="D32" s="225" t="s">
        <v>1758</v>
      </c>
      <c r="E32" s="213" t="s">
        <v>1752</v>
      </c>
      <c r="F32" s="213">
        <v>15</v>
      </c>
      <c r="G32" s="225"/>
      <c r="H32" s="263"/>
      <c r="I32" s="263"/>
      <c r="J32" s="263"/>
      <c r="K32" s="263"/>
    </row>
    <row r="33" spans="1:11" ht="20.100000000000001" customHeight="1">
      <c r="A33" s="213">
        <f t="shared" si="0"/>
        <v>30</v>
      </c>
      <c r="B33" s="214" t="s">
        <v>1703</v>
      </c>
      <c r="C33" s="215" t="s">
        <v>1761</v>
      </c>
      <c r="D33" s="225" t="s">
        <v>1760</v>
      </c>
      <c r="E33" s="213" t="s">
        <v>1752</v>
      </c>
      <c r="F33" s="213">
        <v>15</v>
      </c>
      <c r="G33" s="225"/>
      <c r="H33" s="263"/>
      <c r="I33" s="263"/>
      <c r="J33" s="263"/>
      <c r="K33" s="263"/>
    </row>
    <row r="34" spans="1:11" ht="20.100000000000001" customHeight="1">
      <c r="A34" s="213">
        <f t="shared" si="0"/>
        <v>31</v>
      </c>
      <c r="B34" s="214" t="s">
        <v>1703</v>
      </c>
      <c r="C34" s="215" t="s">
        <v>1763</v>
      </c>
      <c r="D34" s="225" t="s">
        <v>1762</v>
      </c>
      <c r="E34" s="213" t="s">
        <v>1752</v>
      </c>
      <c r="F34" s="213">
        <v>15</v>
      </c>
      <c r="G34" s="225"/>
      <c r="H34" s="263"/>
      <c r="I34" s="263"/>
      <c r="J34" s="263"/>
      <c r="K34" s="263"/>
    </row>
    <row r="35" spans="1:11" ht="20.100000000000001" customHeight="1">
      <c r="A35" s="213">
        <f t="shared" si="0"/>
        <v>32</v>
      </c>
      <c r="B35" s="214" t="s">
        <v>1703</v>
      </c>
      <c r="C35" s="215" t="s">
        <v>1765</v>
      </c>
      <c r="D35" s="225" t="s">
        <v>1764</v>
      </c>
      <c r="E35" s="216" t="s">
        <v>279</v>
      </c>
      <c r="F35" s="213">
        <v>15</v>
      </c>
      <c r="G35" s="225"/>
      <c r="H35" s="263"/>
      <c r="I35" s="263"/>
      <c r="J35" s="263"/>
      <c r="K35" s="263"/>
    </row>
    <row r="36" spans="1:11" ht="20.100000000000001" customHeight="1">
      <c r="A36" s="213">
        <f t="shared" si="0"/>
        <v>33</v>
      </c>
      <c r="B36" s="214" t="s">
        <v>1703</v>
      </c>
      <c r="C36" s="215" t="s">
        <v>1767</v>
      </c>
      <c r="D36" s="225" t="s">
        <v>1766</v>
      </c>
      <c r="E36" s="216" t="s">
        <v>279</v>
      </c>
      <c r="F36" s="213">
        <v>15</v>
      </c>
      <c r="G36" s="225"/>
      <c r="H36" s="263"/>
      <c r="I36" s="263"/>
      <c r="J36" s="263"/>
      <c r="K36" s="263"/>
    </row>
    <row r="37" spans="1:11" ht="20.100000000000001" customHeight="1">
      <c r="A37" s="213">
        <f t="shared" si="0"/>
        <v>34</v>
      </c>
      <c r="B37" s="214" t="s">
        <v>1703</v>
      </c>
      <c r="C37" s="215" t="s">
        <v>1769</v>
      </c>
      <c r="D37" s="194" t="s">
        <v>1768</v>
      </c>
      <c r="E37" s="216" t="s">
        <v>279</v>
      </c>
      <c r="F37" s="213">
        <v>15</v>
      </c>
      <c r="G37" s="225"/>
      <c r="H37" s="263"/>
      <c r="I37" s="263"/>
      <c r="J37" s="263"/>
      <c r="K37" s="263"/>
    </row>
    <row r="38" spans="1:11" ht="20.100000000000001" customHeight="1">
      <c r="A38" s="213">
        <f t="shared" si="0"/>
        <v>35</v>
      </c>
      <c r="B38" s="214" t="s">
        <v>1703</v>
      </c>
      <c r="C38" s="215" t="s">
        <v>1771</v>
      </c>
      <c r="D38" s="194" t="s">
        <v>1770</v>
      </c>
      <c r="E38" s="216" t="s">
        <v>279</v>
      </c>
      <c r="F38" s="213">
        <v>15</v>
      </c>
      <c r="G38" s="225"/>
      <c r="H38" s="263"/>
      <c r="I38" s="263"/>
      <c r="J38" s="263"/>
      <c r="K38" s="263"/>
    </row>
    <row r="39" spans="1:11" ht="20.100000000000001" customHeight="1">
      <c r="A39" s="213">
        <f t="shared" si="0"/>
        <v>36</v>
      </c>
      <c r="B39" s="214" t="s">
        <v>1703</v>
      </c>
      <c r="C39" s="215" t="s">
        <v>1773</v>
      </c>
      <c r="D39" s="194" t="s">
        <v>1772</v>
      </c>
      <c r="E39" s="221" t="s">
        <v>1752</v>
      </c>
      <c r="F39" s="221">
        <v>5</v>
      </c>
      <c r="G39" s="225"/>
      <c r="H39" s="263"/>
      <c r="I39" s="263"/>
      <c r="J39" s="263"/>
      <c r="K39" s="263"/>
    </row>
    <row r="40" spans="1:11" ht="20.100000000000001" customHeight="1">
      <c r="A40" s="213">
        <f t="shared" si="0"/>
        <v>37</v>
      </c>
      <c r="B40" s="214" t="s">
        <v>1703</v>
      </c>
      <c r="C40" s="215" t="s">
        <v>1775</v>
      </c>
      <c r="D40" s="194" t="s">
        <v>1774</v>
      </c>
      <c r="E40" s="221" t="s">
        <v>1752</v>
      </c>
      <c r="F40" s="221">
        <v>5</v>
      </c>
      <c r="G40" s="225"/>
      <c r="H40" s="263"/>
      <c r="I40" s="263"/>
      <c r="J40" s="263"/>
      <c r="K40" s="263"/>
    </row>
    <row r="41" spans="1:11" ht="20.100000000000001" customHeight="1">
      <c r="A41" s="213">
        <f t="shared" si="0"/>
        <v>38</v>
      </c>
      <c r="B41" s="214" t="s">
        <v>1703</v>
      </c>
      <c r="C41" s="215" t="s">
        <v>1777</v>
      </c>
      <c r="D41" s="231" t="s">
        <v>1776</v>
      </c>
      <c r="E41" s="221" t="s">
        <v>1752</v>
      </c>
      <c r="F41" s="221">
        <v>15</v>
      </c>
      <c r="G41" s="225"/>
      <c r="H41" s="263"/>
      <c r="I41" s="263"/>
      <c r="J41" s="263"/>
      <c r="K41" s="263" t="s">
        <v>3230</v>
      </c>
    </row>
    <row r="42" spans="1:11" ht="20.100000000000001" customHeight="1">
      <c r="A42" s="213">
        <f t="shared" si="0"/>
        <v>39</v>
      </c>
      <c r="B42" s="214" t="s">
        <v>1703</v>
      </c>
      <c r="C42" s="215" t="s">
        <v>1779</v>
      </c>
      <c r="D42" s="231" t="s">
        <v>1778</v>
      </c>
      <c r="E42" s="221" t="s">
        <v>1752</v>
      </c>
      <c r="F42" s="221">
        <v>15</v>
      </c>
      <c r="G42" s="225"/>
      <c r="H42" s="263"/>
      <c r="I42" s="263"/>
      <c r="J42" s="263"/>
      <c r="K42" s="263" t="s">
        <v>3231</v>
      </c>
    </row>
    <row r="43" spans="1:11" ht="20.100000000000001" customHeight="1">
      <c r="A43" s="213">
        <f t="shared" si="0"/>
        <v>40</v>
      </c>
      <c r="B43" s="214" t="s">
        <v>1703</v>
      </c>
      <c r="C43" s="215" t="s">
        <v>1781</v>
      </c>
      <c r="D43" s="194" t="s">
        <v>1780</v>
      </c>
      <c r="E43" s="221" t="s">
        <v>1752</v>
      </c>
      <c r="F43" s="221">
        <v>15</v>
      </c>
      <c r="G43" s="225"/>
      <c r="H43" s="263"/>
      <c r="I43" s="263"/>
      <c r="J43" s="263"/>
      <c r="K43" s="263"/>
    </row>
    <row r="44" spans="1:11" ht="20.100000000000001" customHeight="1">
      <c r="A44" s="213">
        <f t="shared" si="0"/>
        <v>41</v>
      </c>
      <c r="B44" s="214" t="s">
        <v>1703</v>
      </c>
      <c r="C44" s="215" t="s">
        <v>1783</v>
      </c>
      <c r="D44" s="194" t="s">
        <v>1782</v>
      </c>
      <c r="E44" s="221" t="s">
        <v>1752</v>
      </c>
      <c r="F44" s="221">
        <v>15</v>
      </c>
      <c r="G44" s="225"/>
      <c r="H44" s="263"/>
      <c r="I44" s="263"/>
      <c r="J44" s="263"/>
      <c r="K44" s="263"/>
    </row>
    <row r="45" spans="1:11" ht="20.100000000000001" customHeight="1">
      <c r="A45" s="213">
        <f t="shared" si="0"/>
        <v>42</v>
      </c>
      <c r="B45" s="214" t="s">
        <v>1703</v>
      </c>
      <c r="C45" s="215" t="s">
        <v>1785</v>
      </c>
      <c r="D45" s="225" t="s">
        <v>1784</v>
      </c>
      <c r="E45" s="214" t="s">
        <v>275</v>
      </c>
      <c r="F45" s="213">
        <v>2</v>
      </c>
      <c r="G45" s="225"/>
      <c r="H45" s="263"/>
      <c r="I45" s="263"/>
      <c r="J45" s="263"/>
      <c r="K45" s="263"/>
    </row>
    <row r="46" spans="1:11" ht="20.100000000000001" customHeight="1">
      <c r="A46" s="213">
        <f t="shared" si="0"/>
        <v>43</v>
      </c>
      <c r="B46" s="214" t="s">
        <v>1703</v>
      </c>
      <c r="C46" s="215" t="s">
        <v>1787</v>
      </c>
      <c r="D46" s="225" t="s">
        <v>1786</v>
      </c>
      <c r="E46" s="214" t="s">
        <v>275</v>
      </c>
      <c r="F46" s="213">
        <v>2</v>
      </c>
      <c r="G46" s="225"/>
      <c r="H46" s="263"/>
      <c r="I46" s="263"/>
      <c r="J46" s="263"/>
      <c r="K46" s="263"/>
    </row>
    <row r="47" spans="1:11" ht="20.100000000000001" customHeight="1">
      <c r="A47" s="213">
        <f t="shared" si="0"/>
        <v>44</v>
      </c>
      <c r="B47" s="214" t="s">
        <v>1703</v>
      </c>
      <c r="C47" s="215" t="s">
        <v>1789</v>
      </c>
      <c r="D47" s="225" t="s">
        <v>1788</v>
      </c>
      <c r="E47" s="214" t="s">
        <v>275</v>
      </c>
      <c r="F47" s="213">
        <v>4</v>
      </c>
      <c r="G47" s="225"/>
      <c r="H47" s="263"/>
      <c r="I47" s="263"/>
      <c r="J47" s="263"/>
      <c r="K47" s="263"/>
    </row>
    <row r="48" spans="1:11" ht="20.100000000000001" customHeight="1">
      <c r="A48" s="213">
        <f t="shared" si="0"/>
        <v>45</v>
      </c>
      <c r="B48" s="214" t="s">
        <v>1703</v>
      </c>
      <c r="C48" s="215" t="s">
        <v>1791</v>
      </c>
      <c r="D48" s="225" t="s">
        <v>1790</v>
      </c>
      <c r="E48" s="214" t="s">
        <v>275</v>
      </c>
      <c r="F48" s="213">
        <v>2</v>
      </c>
      <c r="G48" s="225"/>
      <c r="H48" s="263"/>
      <c r="I48" s="263"/>
      <c r="J48" s="339" t="s">
        <v>3554</v>
      </c>
      <c r="K48" s="263"/>
    </row>
    <row r="49" spans="1:11" ht="20.100000000000001" customHeight="1">
      <c r="A49" s="213">
        <f t="shared" si="0"/>
        <v>46</v>
      </c>
      <c r="B49" s="214" t="s">
        <v>1703</v>
      </c>
      <c r="C49" s="215" t="s">
        <v>1793</v>
      </c>
      <c r="D49" s="194" t="s">
        <v>1792</v>
      </c>
      <c r="E49" s="221" t="s">
        <v>1735</v>
      </c>
      <c r="F49" s="221">
        <v>2</v>
      </c>
      <c r="G49" s="225"/>
      <c r="H49" s="263"/>
      <c r="I49" s="263"/>
      <c r="J49" s="263"/>
      <c r="K49" s="263"/>
    </row>
    <row r="50" spans="1:11" ht="20.100000000000001" customHeight="1">
      <c r="A50" s="213">
        <f t="shared" si="0"/>
        <v>47</v>
      </c>
      <c r="B50" s="214" t="s">
        <v>1703</v>
      </c>
      <c r="C50" s="215" t="s">
        <v>1795</v>
      </c>
      <c r="D50" s="194" t="s">
        <v>1794</v>
      </c>
      <c r="E50" s="221" t="s">
        <v>1735</v>
      </c>
      <c r="F50" s="221">
        <v>2</v>
      </c>
      <c r="G50" s="225"/>
      <c r="H50" s="263"/>
      <c r="I50" s="263"/>
      <c r="J50" s="263"/>
      <c r="K50" s="263"/>
    </row>
    <row r="51" spans="1:11" ht="20.100000000000001" customHeight="1">
      <c r="A51" s="213">
        <f t="shared" si="0"/>
        <v>48</v>
      </c>
      <c r="B51" s="214" t="s">
        <v>1703</v>
      </c>
      <c r="C51" s="215" t="s">
        <v>1797</v>
      </c>
      <c r="D51" s="194" t="s">
        <v>1796</v>
      </c>
      <c r="E51" s="221" t="s">
        <v>1735</v>
      </c>
      <c r="F51" s="221">
        <v>2</v>
      </c>
      <c r="G51" s="225"/>
      <c r="H51" s="263"/>
      <c r="I51" s="263"/>
      <c r="J51" s="263"/>
      <c r="K51" s="263"/>
    </row>
    <row r="52" spans="1:11" ht="20.100000000000001" customHeight="1">
      <c r="A52" s="213">
        <f t="shared" si="0"/>
        <v>49</v>
      </c>
      <c r="B52" s="214" t="s">
        <v>1703</v>
      </c>
      <c r="C52" s="215" t="s">
        <v>1799</v>
      </c>
      <c r="D52" s="194" t="s">
        <v>1798</v>
      </c>
      <c r="E52" s="221" t="s">
        <v>1735</v>
      </c>
      <c r="F52" s="221">
        <v>2</v>
      </c>
      <c r="G52" s="225"/>
      <c r="H52" s="263"/>
      <c r="I52" s="263"/>
      <c r="J52" s="263"/>
      <c r="K52" s="263"/>
    </row>
    <row r="53" spans="1:11" ht="20.100000000000001" customHeight="1">
      <c r="A53" s="213">
        <f t="shared" si="0"/>
        <v>50</v>
      </c>
      <c r="B53" s="214" t="s">
        <v>1703</v>
      </c>
      <c r="C53" s="215" t="s">
        <v>1801</v>
      </c>
      <c r="D53" s="194" t="s">
        <v>1800</v>
      </c>
      <c r="E53" s="214" t="s">
        <v>275</v>
      </c>
      <c r="F53" s="213">
        <v>4</v>
      </c>
      <c r="G53" s="225"/>
      <c r="H53" s="263"/>
      <c r="I53" s="263"/>
      <c r="J53" s="263"/>
      <c r="K53" s="263"/>
    </row>
    <row r="54" spans="1:11" ht="20.100000000000001" customHeight="1">
      <c r="A54" s="213">
        <f t="shared" si="0"/>
        <v>51</v>
      </c>
      <c r="B54" s="214" t="s">
        <v>1703</v>
      </c>
      <c r="C54" s="215" t="s">
        <v>1803</v>
      </c>
      <c r="D54" s="225" t="s">
        <v>1802</v>
      </c>
      <c r="E54" s="214" t="s">
        <v>275</v>
      </c>
      <c r="F54" s="213">
        <v>4</v>
      </c>
      <c r="G54" s="225"/>
      <c r="H54" s="263"/>
      <c r="I54" s="263"/>
      <c r="J54" s="263"/>
      <c r="K54" s="263"/>
    </row>
    <row r="55" spans="1:11" ht="20.100000000000001" customHeight="1">
      <c r="A55" s="213">
        <f t="shared" si="0"/>
        <v>52</v>
      </c>
      <c r="B55" s="223" t="s">
        <v>1703</v>
      </c>
      <c r="C55" s="222" t="s">
        <v>1805</v>
      </c>
      <c r="D55" s="232" t="s">
        <v>1804</v>
      </c>
      <c r="E55" s="223" t="s">
        <v>1752</v>
      </c>
      <c r="F55" s="222">
        <v>5</v>
      </c>
      <c r="G55" s="225"/>
      <c r="H55" s="263"/>
      <c r="I55" s="263"/>
      <c r="J55" s="263"/>
      <c r="K55" s="263"/>
    </row>
    <row r="56" spans="1:11" ht="20.100000000000001" customHeight="1">
      <c r="A56" s="213">
        <f t="shared" si="0"/>
        <v>53</v>
      </c>
      <c r="B56" s="223" t="s">
        <v>1703</v>
      </c>
      <c r="C56" s="222" t="s">
        <v>1807</v>
      </c>
      <c r="D56" s="232" t="s">
        <v>1806</v>
      </c>
      <c r="E56" s="223" t="s">
        <v>1752</v>
      </c>
      <c r="F56" s="222">
        <v>5</v>
      </c>
      <c r="G56" s="225"/>
      <c r="H56" s="263"/>
      <c r="I56" s="263"/>
      <c r="J56" s="263"/>
      <c r="K56" s="263"/>
    </row>
    <row r="57" spans="1:11" ht="20.100000000000001" customHeight="1">
      <c r="A57" s="267">
        <f t="shared" si="0"/>
        <v>54</v>
      </c>
      <c r="B57" s="268" t="s">
        <v>1703</v>
      </c>
      <c r="C57" s="270" t="s">
        <v>1809</v>
      </c>
      <c r="D57" s="269" t="s">
        <v>1808</v>
      </c>
      <c r="E57" s="268" t="s">
        <v>1735</v>
      </c>
      <c r="F57" s="270">
        <v>2</v>
      </c>
      <c r="G57" s="271"/>
      <c r="H57" s="263" t="s">
        <v>3236</v>
      </c>
      <c r="I57" s="263"/>
      <c r="J57" s="263" t="s">
        <v>3237</v>
      </c>
      <c r="K57" s="263"/>
    </row>
    <row r="58" spans="1:11" ht="20.100000000000001" customHeight="1">
      <c r="A58" s="267">
        <f t="shared" si="0"/>
        <v>55</v>
      </c>
      <c r="B58" s="268" t="s">
        <v>1703</v>
      </c>
      <c r="C58" s="270" t="s">
        <v>1810</v>
      </c>
      <c r="D58" s="269" t="s">
        <v>3429</v>
      </c>
      <c r="E58" s="268" t="s">
        <v>2041</v>
      </c>
      <c r="F58" s="270">
        <v>2</v>
      </c>
      <c r="G58" s="271"/>
      <c r="H58" s="263" t="s">
        <v>517</v>
      </c>
      <c r="I58" s="263"/>
      <c r="J58" s="263" t="s">
        <v>3430</v>
      </c>
      <c r="K58" s="263"/>
    </row>
    <row r="59" spans="1:11" ht="20.100000000000001" customHeight="1">
      <c r="A59" s="213">
        <f t="shared" si="0"/>
        <v>56</v>
      </c>
      <c r="B59" s="223" t="s">
        <v>1703</v>
      </c>
      <c r="C59" s="222" t="s">
        <v>1812</v>
      </c>
      <c r="D59" s="232" t="s">
        <v>1811</v>
      </c>
      <c r="E59" s="223" t="s">
        <v>1735</v>
      </c>
      <c r="F59" s="222">
        <v>2</v>
      </c>
      <c r="G59" s="225"/>
      <c r="H59" s="263"/>
      <c r="I59" s="263"/>
      <c r="J59" s="263"/>
      <c r="K59" s="263"/>
    </row>
    <row r="60" spans="1:11" ht="20.100000000000001" customHeight="1">
      <c r="A60" s="213">
        <f t="shared" si="0"/>
        <v>57</v>
      </c>
      <c r="B60" s="223" t="s">
        <v>1703</v>
      </c>
      <c r="C60" s="222" t="s">
        <v>1814</v>
      </c>
      <c r="D60" s="232" t="s">
        <v>1813</v>
      </c>
      <c r="E60" s="223" t="s">
        <v>1735</v>
      </c>
      <c r="F60" s="222">
        <v>2</v>
      </c>
      <c r="G60" s="225"/>
      <c r="H60" s="263"/>
      <c r="I60" s="263"/>
      <c r="J60" s="263"/>
      <c r="K60" s="263"/>
    </row>
    <row r="61" spans="1:11" ht="20.100000000000001" customHeight="1">
      <c r="A61" s="267">
        <f t="shared" si="0"/>
        <v>58</v>
      </c>
      <c r="B61" s="268" t="s">
        <v>3431</v>
      </c>
      <c r="C61" s="270" t="s">
        <v>3433</v>
      </c>
      <c r="D61" s="269" t="s">
        <v>3432</v>
      </c>
      <c r="E61" s="268" t="s">
        <v>2041</v>
      </c>
      <c r="F61" s="270">
        <v>2</v>
      </c>
      <c r="G61" s="271"/>
      <c r="H61" s="263" t="s">
        <v>517</v>
      </c>
      <c r="I61" s="263"/>
      <c r="J61" s="263" t="s">
        <v>3430</v>
      </c>
      <c r="K61" s="263"/>
    </row>
    <row r="62" spans="1:11" ht="20.100000000000001" customHeight="1">
      <c r="A62" s="267">
        <f t="shared" si="0"/>
        <v>59</v>
      </c>
      <c r="B62" s="268" t="s">
        <v>1703</v>
      </c>
      <c r="C62" s="270" t="s">
        <v>3436</v>
      </c>
      <c r="D62" s="269" t="s">
        <v>3434</v>
      </c>
      <c r="E62" s="268" t="s">
        <v>3435</v>
      </c>
      <c r="F62" s="270">
        <v>2</v>
      </c>
      <c r="G62" s="271"/>
      <c r="H62" s="263" t="s">
        <v>517</v>
      </c>
      <c r="I62" s="263"/>
      <c r="J62" s="263" t="s">
        <v>3430</v>
      </c>
      <c r="K62" s="263"/>
    </row>
    <row r="63" spans="1:11" ht="20.100000000000001" customHeight="1">
      <c r="A63" s="213">
        <f t="shared" si="0"/>
        <v>60</v>
      </c>
      <c r="B63" s="214" t="s">
        <v>1703</v>
      </c>
      <c r="C63" s="215" t="s">
        <v>1816</v>
      </c>
      <c r="D63" s="225" t="s">
        <v>1815</v>
      </c>
      <c r="E63" s="214" t="s">
        <v>275</v>
      </c>
      <c r="F63" s="213">
        <v>2</v>
      </c>
      <c r="G63" s="225"/>
      <c r="H63" s="263"/>
      <c r="I63" s="263"/>
      <c r="J63" s="263"/>
      <c r="K63" s="263"/>
    </row>
    <row r="64" spans="1:11" ht="20.100000000000001" customHeight="1">
      <c r="A64" s="213">
        <f t="shared" si="0"/>
        <v>61</v>
      </c>
      <c r="B64" s="214" t="s">
        <v>1703</v>
      </c>
      <c r="C64" s="215" t="s">
        <v>1818</v>
      </c>
      <c r="D64" s="225" t="s">
        <v>1817</v>
      </c>
      <c r="E64" s="214" t="s">
        <v>275</v>
      </c>
      <c r="F64" s="213">
        <v>2</v>
      </c>
      <c r="G64" s="225"/>
      <c r="H64" s="263"/>
      <c r="I64" s="263"/>
      <c r="J64" s="263"/>
      <c r="K64" s="263"/>
    </row>
    <row r="65" spans="1:11" ht="20.100000000000001" customHeight="1">
      <c r="A65" s="213">
        <f t="shared" si="0"/>
        <v>62</v>
      </c>
      <c r="B65" s="214" t="s">
        <v>1703</v>
      </c>
      <c r="C65" s="215" t="s">
        <v>1820</v>
      </c>
      <c r="D65" s="228" t="s">
        <v>1819</v>
      </c>
      <c r="E65" s="216" t="s">
        <v>279</v>
      </c>
      <c r="F65" s="213">
        <v>15</v>
      </c>
      <c r="G65" s="225"/>
      <c r="H65" s="263"/>
      <c r="I65" s="263"/>
      <c r="J65" s="263"/>
      <c r="K65" s="263"/>
    </row>
    <row r="66" spans="1:11" ht="20.100000000000001" customHeight="1">
      <c r="A66" s="213">
        <f t="shared" si="0"/>
        <v>63</v>
      </c>
      <c r="B66" s="214" t="s">
        <v>1703</v>
      </c>
      <c r="C66" s="215" t="s">
        <v>1822</v>
      </c>
      <c r="D66" s="228" t="s">
        <v>1821</v>
      </c>
      <c r="E66" s="216" t="s">
        <v>279</v>
      </c>
      <c r="F66" s="213">
        <v>15</v>
      </c>
      <c r="G66" s="225"/>
      <c r="H66" s="263"/>
      <c r="I66" s="263"/>
      <c r="J66" s="263"/>
      <c r="K66" s="263"/>
    </row>
    <row r="67" spans="1:11" ht="20.100000000000001" customHeight="1">
      <c r="A67" s="213">
        <f t="shared" si="0"/>
        <v>64</v>
      </c>
      <c r="B67" s="214" t="s">
        <v>1703</v>
      </c>
      <c r="C67" s="215" t="s">
        <v>1824</v>
      </c>
      <c r="D67" s="228" t="s">
        <v>1823</v>
      </c>
      <c r="E67" s="220" t="s">
        <v>1752</v>
      </c>
      <c r="F67" s="220">
        <v>15</v>
      </c>
      <c r="G67" s="225"/>
      <c r="H67" s="263"/>
      <c r="I67" s="263"/>
      <c r="J67" s="263"/>
      <c r="K67" s="263"/>
    </row>
    <row r="68" spans="1:11" ht="20.100000000000001" customHeight="1">
      <c r="A68" s="213">
        <f t="shared" si="0"/>
        <v>65</v>
      </c>
      <c r="B68" s="214" t="s">
        <v>1703</v>
      </c>
      <c r="C68" s="215" t="s">
        <v>1826</v>
      </c>
      <c r="D68" s="228" t="s">
        <v>1825</v>
      </c>
      <c r="E68" s="220" t="s">
        <v>1752</v>
      </c>
      <c r="F68" s="220">
        <v>15</v>
      </c>
      <c r="G68" s="225"/>
      <c r="H68" s="263"/>
      <c r="I68" s="263"/>
      <c r="J68" s="263"/>
      <c r="K68" s="263"/>
    </row>
    <row r="69" spans="1:11" ht="20.100000000000001" customHeight="1">
      <c r="A69" s="213">
        <f t="shared" ref="A69:A114" si="1">ROW()-3</f>
        <v>66</v>
      </c>
      <c r="B69" s="214" t="s">
        <v>1703</v>
      </c>
      <c r="C69" s="215" t="s">
        <v>1828</v>
      </c>
      <c r="D69" s="194" t="s">
        <v>1827</v>
      </c>
      <c r="E69" s="221" t="s">
        <v>1735</v>
      </c>
      <c r="F69" s="221">
        <v>1</v>
      </c>
      <c r="G69" s="225"/>
      <c r="H69" s="263"/>
      <c r="I69" s="263"/>
      <c r="J69" s="263"/>
      <c r="K69" s="263"/>
    </row>
    <row r="70" spans="1:11" ht="20.100000000000001" customHeight="1">
      <c r="A70" s="213">
        <f t="shared" si="1"/>
        <v>67</v>
      </c>
      <c r="B70" s="214" t="s">
        <v>1703</v>
      </c>
      <c r="C70" s="215" t="s">
        <v>1830</v>
      </c>
      <c r="D70" s="194" t="s">
        <v>1829</v>
      </c>
      <c r="E70" s="221" t="s">
        <v>1735</v>
      </c>
      <c r="F70" s="221">
        <v>1</v>
      </c>
      <c r="G70" s="225"/>
      <c r="H70" s="263"/>
      <c r="I70" s="263"/>
      <c r="J70" s="263"/>
      <c r="K70" s="263"/>
    </row>
    <row r="71" spans="1:11" ht="20.100000000000001" customHeight="1">
      <c r="A71" s="213">
        <f t="shared" si="1"/>
        <v>68</v>
      </c>
      <c r="B71" s="214" t="s">
        <v>1703</v>
      </c>
      <c r="C71" s="215" t="s">
        <v>1832</v>
      </c>
      <c r="D71" s="194" t="s">
        <v>1831</v>
      </c>
      <c r="E71" s="220" t="s">
        <v>1735</v>
      </c>
      <c r="F71" s="220">
        <v>2</v>
      </c>
      <c r="G71" s="225"/>
      <c r="H71" s="263"/>
      <c r="I71" s="263"/>
      <c r="J71" s="263"/>
      <c r="K71" s="263"/>
    </row>
    <row r="72" spans="1:11" ht="20.100000000000001" customHeight="1">
      <c r="A72" s="213">
        <f t="shared" si="1"/>
        <v>69</v>
      </c>
      <c r="B72" s="214" t="s">
        <v>1703</v>
      </c>
      <c r="C72" s="215" t="s">
        <v>1834</v>
      </c>
      <c r="D72" s="228" t="s">
        <v>1833</v>
      </c>
      <c r="E72" s="220" t="s">
        <v>1735</v>
      </c>
      <c r="F72" s="220">
        <v>2</v>
      </c>
      <c r="G72" s="225"/>
      <c r="H72" s="263"/>
      <c r="I72" s="263"/>
      <c r="J72" s="263"/>
      <c r="K72" s="263"/>
    </row>
    <row r="73" spans="1:11" ht="20.100000000000001" customHeight="1">
      <c r="A73" s="213">
        <f t="shared" si="1"/>
        <v>70</v>
      </c>
      <c r="B73" s="214" t="s">
        <v>1703</v>
      </c>
      <c r="C73" s="215" t="s">
        <v>1836</v>
      </c>
      <c r="D73" s="194" t="s">
        <v>1835</v>
      </c>
      <c r="E73" s="221" t="s">
        <v>1735</v>
      </c>
      <c r="F73" s="221">
        <v>2</v>
      </c>
      <c r="G73" s="225"/>
      <c r="H73" s="263"/>
      <c r="I73" s="263"/>
      <c r="J73" s="263"/>
      <c r="K73" s="263"/>
    </row>
    <row r="74" spans="1:11" ht="20.100000000000001" customHeight="1">
      <c r="A74" s="213">
        <f t="shared" si="1"/>
        <v>71</v>
      </c>
      <c r="B74" s="214" t="s">
        <v>1703</v>
      </c>
      <c r="C74" s="215" t="s">
        <v>1838</v>
      </c>
      <c r="D74" s="194" t="s">
        <v>1837</v>
      </c>
      <c r="E74" s="221" t="s">
        <v>1735</v>
      </c>
      <c r="F74" s="221">
        <v>2</v>
      </c>
      <c r="G74" s="225"/>
      <c r="H74" s="263"/>
      <c r="I74" s="263"/>
      <c r="J74" s="263"/>
      <c r="K74" s="263"/>
    </row>
    <row r="75" spans="1:11" ht="20.100000000000001" customHeight="1">
      <c r="A75" s="213">
        <f t="shared" si="1"/>
        <v>72</v>
      </c>
      <c r="B75" s="214" t="s">
        <v>1703</v>
      </c>
      <c r="C75" s="215" t="s">
        <v>1840</v>
      </c>
      <c r="D75" s="228" t="s">
        <v>1839</v>
      </c>
      <c r="E75" s="220" t="s">
        <v>1735</v>
      </c>
      <c r="F75" s="220">
        <v>2</v>
      </c>
      <c r="G75" s="225"/>
      <c r="H75" s="263"/>
      <c r="I75" s="263"/>
      <c r="J75" s="263"/>
      <c r="K75" s="263"/>
    </row>
    <row r="76" spans="1:11" ht="20.100000000000001" customHeight="1">
      <c r="A76" s="213">
        <f t="shared" si="1"/>
        <v>73</v>
      </c>
      <c r="B76" s="214" t="s">
        <v>1703</v>
      </c>
      <c r="C76" s="215" t="s">
        <v>1842</v>
      </c>
      <c r="D76" s="228" t="s">
        <v>1841</v>
      </c>
      <c r="E76" s="220" t="s">
        <v>1735</v>
      </c>
      <c r="F76" s="220">
        <v>2</v>
      </c>
      <c r="G76" s="225"/>
      <c r="H76" s="263"/>
      <c r="I76" s="263"/>
      <c r="J76" s="263"/>
      <c r="K76" s="263"/>
    </row>
    <row r="77" spans="1:11" ht="20.100000000000001" customHeight="1">
      <c r="A77" s="213">
        <f t="shared" si="1"/>
        <v>74</v>
      </c>
      <c r="B77" s="214" t="s">
        <v>1703</v>
      </c>
      <c r="C77" s="215" t="s">
        <v>1844</v>
      </c>
      <c r="D77" s="228" t="s">
        <v>1843</v>
      </c>
      <c r="E77" s="220" t="s">
        <v>1752</v>
      </c>
      <c r="F77" s="220">
        <v>15</v>
      </c>
      <c r="G77" s="225"/>
      <c r="H77" s="263"/>
      <c r="I77" s="263"/>
      <c r="J77" s="263"/>
      <c r="K77" s="263"/>
    </row>
    <row r="78" spans="1:11" ht="20.100000000000001" customHeight="1">
      <c r="A78" s="213">
        <f t="shared" si="1"/>
        <v>75</v>
      </c>
      <c r="B78" s="214" t="s">
        <v>1703</v>
      </c>
      <c r="C78" s="215" t="s">
        <v>1846</v>
      </c>
      <c r="D78" s="228" t="s">
        <v>1845</v>
      </c>
      <c r="E78" s="220" t="s">
        <v>1752</v>
      </c>
      <c r="F78" s="220">
        <v>15</v>
      </c>
      <c r="G78" s="225"/>
      <c r="H78" s="263"/>
      <c r="I78" s="263"/>
      <c r="J78" s="263"/>
      <c r="K78" s="263"/>
    </row>
    <row r="79" spans="1:11" ht="20.100000000000001" customHeight="1">
      <c r="A79" s="213">
        <f t="shared" si="1"/>
        <v>76</v>
      </c>
      <c r="B79" s="214" t="s">
        <v>1703</v>
      </c>
      <c r="C79" s="215" t="s">
        <v>1848</v>
      </c>
      <c r="D79" s="194" t="s">
        <v>1847</v>
      </c>
      <c r="E79" s="221" t="s">
        <v>1752</v>
      </c>
      <c r="F79" s="221">
        <v>15</v>
      </c>
      <c r="G79" s="225"/>
      <c r="H79" s="263"/>
      <c r="I79" s="263"/>
      <c r="J79" s="263"/>
      <c r="K79" s="263"/>
    </row>
    <row r="80" spans="1:11" ht="20.100000000000001" customHeight="1">
      <c r="A80" s="213">
        <f t="shared" si="1"/>
        <v>77</v>
      </c>
      <c r="B80" s="214" t="s">
        <v>1703</v>
      </c>
      <c r="C80" s="215" t="s">
        <v>1850</v>
      </c>
      <c r="D80" s="194" t="s">
        <v>1849</v>
      </c>
      <c r="E80" s="221" t="s">
        <v>1752</v>
      </c>
      <c r="F80" s="221">
        <v>15</v>
      </c>
      <c r="G80" s="225"/>
      <c r="H80" s="263"/>
      <c r="I80" s="263"/>
      <c r="J80" s="263"/>
      <c r="K80" s="263"/>
    </row>
    <row r="81" spans="1:11" ht="20.100000000000001" customHeight="1">
      <c r="A81" s="213">
        <f t="shared" si="1"/>
        <v>78</v>
      </c>
      <c r="B81" s="214" t="s">
        <v>1703</v>
      </c>
      <c r="C81" s="215" t="s">
        <v>1852</v>
      </c>
      <c r="D81" s="194" t="s">
        <v>1851</v>
      </c>
      <c r="E81" s="221" t="s">
        <v>1752</v>
      </c>
      <c r="F81" s="221">
        <v>15</v>
      </c>
      <c r="G81" s="225"/>
      <c r="H81" s="263"/>
      <c r="I81" s="263"/>
      <c r="J81" s="263"/>
      <c r="K81" s="263"/>
    </row>
    <row r="82" spans="1:11" ht="20.100000000000001" customHeight="1">
      <c r="A82" s="213">
        <f t="shared" si="1"/>
        <v>79</v>
      </c>
      <c r="B82" s="214" t="s">
        <v>1703</v>
      </c>
      <c r="C82" s="215" t="s">
        <v>1854</v>
      </c>
      <c r="D82" s="194" t="s">
        <v>1853</v>
      </c>
      <c r="E82" s="221" t="s">
        <v>1752</v>
      </c>
      <c r="F82" s="221">
        <v>15</v>
      </c>
      <c r="G82" s="225"/>
      <c r="H82" s="263"/>
      <c r="I82" s="263"/>
      <c r="J82" s="263"/>
      <c r="K82" s="263"/>
    </row>
    <row r="83" spans="1:11" ht="20.100000000000001" customHeight="1">
      <c r="A83" s="213">
        <f t="shared" si="1"/>
        <v>80</v>
      </c>
      <c r="B83" s="214" t="s">
        <v>1703</v>
      </c>
      <c r="C83" s="215" t="s">
        <v>1856</v>
      </c>
      <c r="D83" s="194" t="s">
        <v>1855</v>
      </c>
      <c r="E83" s="221" t="s">
        <v>1752</v>
      </c>
      <c r="F83" s="221">
        <v>15</v>
      </c>
      <c r="G83" s="225"/>
      <c r="H83" s="263"/>
      <c r="I83" s="263"/>
      <c r="J83" s="263"/>
      <c r="K83" s="263"/>
    </row>
    <row r="84" spans="1:11" ht="20.100000000000001" customHeight="1">
      <c r="A84" s="213">
        <f t="shared" si="1"/>
        <v>81</v>
      </c>
      <c r="B84" s="214" t="s">
        <v>1703</v>
      </c>
      <c r="C84" s="215" t="s">
        <v>1858</v>
      </c>
      <c r="D84" s="194" t="s">
        <v>1857</v>
      </c>
      <c r="E84" s="221" t="s">
        <v>1752</v>
      </c>
      <c r="F84" s="221">
        <v>15</v>
      </c>
      <c r="G84" s="225"/>
      <c r="H84" s="263"/>
      <c r="I84" s="263"/>
      <c r="J84" s="263"/>
      <c r="K84" s="263"/>
    </row>
    <row r="85" spans="1:11" ht="20.100000000000001" customHeight="1">
      <c r="A85" s="213">
        <f t="shared" si="1"/>
        <v>82</v>
      </c>
      <c r="B85" s="214" t="s">
        <v>1703</v>
      </c>
      <c r="C85" s="215" t="s">
        <v>1860</v>
      </c>
      <c r="D85" s="194" t="s">
        <v>1859</v>
      </c>
      <c r="E85" s="221" t="s">
        <v>1735</v>
      </c>
      <c r="F85" s="221">
        <v>1</v>
      </c>
      <c r="G85" s="225"/>
      <c r="H85" s="263"/>
      <c r="I85" s="263"/>
      <c r="J85" s="263"/>
      <c r="K85" s="263"/>
    </row>
    <row r="86" spans="1:11" ht="20.100000000000001" customHeight="1">
      <c r="A86" s="213">
        <f t="shared" si="1"/>
        <v>83</v>
      </c>
      <c r="B86" s="214" t="s">
        <v>1703</v>
      </c>
      <c r="C86" s="215" t="s">
        <v>1862</v>
      </c>
      <c r="D86" s="194" t="s">
        <v>1861</v>
      </c>
      <c r="E86" s="221" t="s">
        <v>1735</v>
      </c>
      <c r="F86" s="221">
        <v>1</v>
      </c>
      <c r="G86" s="225"/>
      <c r="H86" s="263"/>
      <c r="I86" s="263"/>
      <c r="J86" s="263"/>
      <c r="K86" s="263"/>
    </row>
    <row r="87" spans="1:11" ht="20.100000000000001" customHeight="1">
      <c r="A87" s="213">
        <f t="shared" si="1"/>
        <v>84</v>
      </c>
      <c r="B87" s="214" t="s">
        <v>1703</v>
      </c>
      <c r="C87" s="215" t="s">
        <v>1864</v>
      </c>
      <c r="D87" s="194" t="s">
        <v>1863</v>
      </c>
      <c r="E87" s="221" t="s">
        <v>1752</v>
      </c>
      <c r="F87" s="221">
        <v>15</v>
      </c>
      <c r="G87" s="225"/>
      <c r="H87" s="263"/>
      <c r="I87" s="263"/>
      <c r="J87" s="263"/>
      <c r="K87" s="263"/>
    </row>
    <row r="88" spans="1:11" ht="20.100000000000001" customHeight="1">
      <c r="A88" s="213">
        <f t="shared" si="1"/>
        <v>85</v>
      </c>
      <c r="B88" s="214" t="s">
        <v>1703</v>
      </c>
      <c r="C88" s="215" t="s">
        <v>1866</v>
      </c>
      <c r="D88" s="194" t="s">
        <v>1865</v>
      </c>
      <c r="E88" s="221" t="s">
        <v>1752</v>
      </c>
      <c r="F88" s="221">
        <v>15</v>
      </c>
      <c r="G88" s="225"/>
      <c r="H88" s="263"/>
      <c r="I88" s="263"/>
      <c r="J88" s="263"/>
      <c r="K88" s="263"/>
    </row>
    <row r="89" spans="1:11" ht="20.100000000000001" customHeight="1">
      <c r="A89" s="213">
        <f t="shared" si="1"/>
        <v>86</v>
      </c>
      <c r="B89" s="214" t="s">
        <v>1703</v>
      </c>
      <c r="C89" s="215" t="s">
        <v>1868</v>
      </c>
      <c r="D89" s="194" t="s">
        <v>1867</v>
      </c>
      <c r="E89" s="221" t="s">
        <v>1735</v>
      </c>
      <c r="F89" s="221">
        <v>1</v>
      </c>
      <c r="G89" s="225"/>
      <c r="H89" s="263"/>
      <c r="I89" s="263"/>
      <c r="J89" s="263"/>
      <c r="K89" s="263"/>
    </row>
    <row r="90" spans="1:11" ht="20.100000000000001" customHeight="1">
      <c r="A90" s="213">
        <f t="shared" si="1"/>
        <v>87</v>
      </c>
      <c r="B90" s="214" t="s">
        <v>1703</v>
      </c>
      <c r="C90" s="215" t="s">
        <v>1870</v>
      </c>
      <c r="D90" s="194" t="s">
        <v>1869</v>
      </c>
      <c r="E90" s="221" t="s">
        <v>1735</v>
      </c>
      <c r="F90" s="221">
        <v>1</v>
      </c>
      <c r="G90" s="225"/>
      <c r="H90" s="263"/>
      <c r="I90" s="263"/>
      <c r="J90" s="263"/>
      <c r="K90" s="263"/>
    </row>
    <row r="91" spans="1:11" ht="20.100000000000001" customHeight="1">
      <c r="A91" s="213">
        <f t="shared" si="1"/>
        <v>88</v>
      </c>
      <c r="B91" s="223" t="s">
        <v>1703</v>
      </c>
      <c r="C91" s="222" t="s">
        <v>1872</v>
      </c>
      <c r="D91" s="232" t="s">
        <v>1871</v>
      </c>
      <c r="E91" s="222" t="s">
        <v>1735</v>
      </c>
      <c r="F91" s="222">
        <v>4</v>
      </c>
      <c r="G91" s="225"/>
      <c r="H91" s="263"/>
      <c r="I91" s="263"/>
      <c r="J91" s="263"/>
      <c r="K91" s="263"/>
    </row>
    <row r="92" spans="1:11" ht="20.100000000000001" customHeight="1">
      <c r="A92" s="267">
        <f t="shared" si="1"/>
        <v>89</v>
      </c>
      <c r="B92" s="268" t="s">
        <v>1703</v>
      </c>
      <c r="C92" s="270" t="s">
        <v>1873</v>
      </c>
      <c r="D92" s="269" t="s">
        <v>3437</v>
      </c>
      <c r="E92" s="268" t="s">
        <v>2041</v>
      </c>
      <c r="F92" s="270">
        <v>4</v>
      </c>
      <c r="G92" s="271"/>
      <c r="H92" s="263" t="s">
        <v>517</v>
      </c>
      <c r="I92" s="263"/>
      <c r="J92" s="263" t="s">
        <v>3430</v>
      </c>
      <c r="K92" s="263"/>
    </row>
    <row r="93" spans="1:11" ht="20.100000000000001" customHeight="1">
      <c r="A93" s="213">
        <f t="shared" si="1"/>
        <v>90</v>
      </c>
      <c r="B93" s="223" t="s">
        <v>1703</v>
      </c>
      <c r="C93" s="222" t="s">
        <v>1875</v>
      </c>
      <c r="D93" s="232" t="s">
        <v>1874</v>
      </c>
      <c r="E93" s="222" t="s">
        <v>1735</v>
      </c>
      <c r="F93" s="222">
        <v>4</v>
      </c>
      <c r="G93" s="225"/>
      <c r="H93" s="263"/>
      <c r="I93" s="263"/>
      <c r="J93" s="263"/>
      <c r="K93" s="263"/>
    </row>
    <row r="94" spans="1:11" ht="20.100000000000001" customHeight="1">
      <c r="A94" s="267">
        <f t="shared" si="1"/>
        <v>91</v>
      </c>
      <c r="B94" s="268" t="s">
        <v>1703</v>
      </c>
      <c r="C94" s="270" t="s">
        <v>3440</v>
      </c>
      <c r="D94" s="269" t="s">
        <v>3438</v>
      </c>
      <c r="E94" s="268" t="s">
        <v>3439</v>
      </c>
      <c r="F94" s="270">
        <v>4</v>
      </c>
      <c r="G94" s="271"/>
      <c r="H94" s="263" t="s">
        <v>517</v>
      </c>
      <c r="I94" s="263"/>
      <c r="J94" s="263" t="s">
        <v>3441</v>
      </c>
      <c r="K94" s="263"/>
    </row>
    <row r="95" spans="1:11" ht="20.100000000000001" customHeight="1">
      <c r="A95" s="213">
        <f t="shared" si="1"/>
        <v>92</v>
      </c>
      <c r="B95" s="223" t="s">
        <v>1703</v>
      </c>
      <c r="C95" s="222" t="s">
        <v>1877</v>
      </c>
      <c r="D95" s="232" t="s">
        <v>1876</v>
      </c>
      <c r="E95" s="222" t="s">
        <v>1735</v>
      </c>
      <c r="F95" s="222">
        <v>4</v>
      </c>
      <c r="G95" s="225"/>
      <c r="H95" s="263"/>
      <c r="I95" s="263"/>
      <c r="J95" s="263"/>
      <c r="K95" s="263"/>
    </row>
    <row r="96" spans="1:11" ht="20.100000000000001" customHeight="1">
      <c r="A96" s="267">
        <f t="shared" si="1"/>
        <v>93</v>
      </c>
      <c r="B96" s="268" t="s">
        <v>3442</v>
      </c>
      <c r="C96" s="270" t="s">
        <v>3444</v>
      </c>
      <c r="D96" s="269" t="s">
        <v>3443</v>
      </c>
      <c r="E96" s="268" t="s">
        <v>2041</v>
      </c>
      <c r="F96" s="270">
        <v>4</v>
      </c>
      <c r="G96" s="271"/>
      <c r="H96" s="263" t="s">
        <v>517</v>
      </c>
      <c r="I96" s="263"/>
      <c r="J96" s="263" t="s">
        <v>3430</v>
      </c>
      <c r="K96" s="263"/>
    </row>
    <row r="97" spans="1:11" ht="20.100000000000001" customHeight="1">
      <c r="A97" s="213">
        <f t="shared" si="1"/>
        <v>94</v>
      </c>
      <c r="B97" s="223" t="s">
        <v>1703</v>
      </c>
      <c r="C97" s="222" t="s">
        <v>1879</v>
      </c>
      <c r="D97" s="232" t="s">
        <v>1878</v>
      </c>
      <c r="E97" s="222" t="s">
        <v>1735</v>
      </c>
      <c r="F97" s="222">
        <v>4</v>
      </c>
      <c r="G97" s="225"/>
      <c r="H97" s="263"/>
      <c r="I97" s="263"/>
      <c r="J97" s="263"/>
      <c r="K97" s="263"/>
    </row>
    <row r="98" spans="1:11" ht="20.100000000000001" customHeight="1">
      <c r="A98" s="267">
        <f t="shared" si="1"/>
        <v>95</v>
      </c>
      <c r="B98" s="268" t="s">
        <v>3445</v>
      </c>
      <c r="C98" s="270" t="s">
        <v>3447</v>
      </c>
      <c r="D98" s="269" t="s">
        <v>1880</v>
      </c>
      <c r="E98" s="268" t="s">
        <v>3446</v>
      </c>
      <c r="F98" s="270">
        <v>4</v>
      </c>
      <c r="G98" s="271"/>
      <c r="H98" s="263" t="s">
        <v>3448</v>
      </c>
      <c r="I98" s="263"/>
      <c r="J98" s="263" t="s">
        <v>3441</v>
      </c>
      <c r="K98" s="263"/>
    </row>
    <row r="99" spans="1:11" ht="20.100000000000001" customHeight="1">
      <c r="A99" s="213">
        <f t="shared" si="1"/>
        <v>96</v>
      </c>
      <c r="B99" s="223" t="s">
        <v>1703</v>
      </c>
      <c r="C99" s="222" t="s">
        <v>1882</v>
      </c>
      <c r="D99" s="232" t="s">
        <v>1881</v>
      </c>
      <c r="E99" s="222" t="s">
        <v>1735</v>
      </c>
      <c r="F99" s="222">
        <v>1</v>
      </c>
      <c r="G99" s="225"/>
      <c r="H99" s="263"/>
      <c r="I99" s="263"/>
      <c r="J99" s="263"/>
      <c r="K99" s="263"/>
    </row>
    <row r="100" spans="1:11" ht="20.100000000000001" customHeight="1">
      <c r="A100" s="267">
        <f t="shared" si="1"/>
        <v>97</v>
      </c>
      <c r="B100" s="268" t="s">
        <v>3431</v>
      </c>
      <c r="C100" s="270" t="s">
        <v>3450</v>
      </c>
      <c r="D100" s="269" t="s">
        <v>3449</v>
      </c>
      <c r="E100" s="268" t="s">
        <v>3435</v>
      </c>
      <c r="F100" s="270">
        <v>1</v>
      </c>
      <c r="G100" s="271"/>
      <c r="H100" s="263" t="s">
        <v>3451</v>
      </c>
      <c r="I100" s="263"/>
      <c r="J100" s="263" t="s">
        <v>3441</v>
      </c>
      <c r="K100" s="263"/>
    </row>
    <row r="101" spans="1:11" ht="20.100000000000001" customHeight="1">
      <c r="A101" s="213">
        <f t="shared" si="1"/>
        <v>98</v>
      </c>
      <c r="B101" s="223" t="s">
        <v>1883</v>
      </c>
      <c r="C101" s="222" t="s">
        <v>1885</v>
      </c>
      <c r="D101" s="232" t="s">
        <v>1884</v>
      </c>
      <c r="E101" s="222" t="s">
        <v>1752</v>
      </c>
      <c r="F101" s="222">
        <v>15</v>
      </c>
      <c r="G101" s="225"/>
      <c r="H101" s="263"/>
      <c r="I101" s="263"/>
      <c r="J101" s="263"/>
      <c r="K101" s="263"/>
    </row>
    <row r="102" spans="1:11" ht="20.100000000000001" customHeight="1">
      <c r="A102" s="213">
        <f t="shared" si="1"/>
        <v>99</v>
      </c>
      <c r="B102" s="223" t="s">
        <v>1883</v>
      </c>
      <c r="C102" s="222" t="s">
        <v>1887</v>
      </c>
      <c r="D102" s="232" t="s">
        <v>1886</v>
      </c>
      <c r="E102" s="222" t="s">
        <v>1752</v>
      </c>
      <c r="F102" s="222">
        <v>15</v>
      </c>
      <c r="G102" s="225"/>
      <c r="H102" s="263"/>
      <c r="I102" s="263"/>
      <c r="J102" s="263"/>
      <c r="K102" s="263"/>
    </row>
    <row r="103" spans="1:11" ht="20.100000000000001" customHeight="1">
      <c r="A103" s="213">
        <f t="shared" si="1"/>
        <v>100</v>
      </c>
      <c r="B103" s="223" t="s">
        <v>1883</v>
      </c>
      <c r="C103" s="222" t="s">
        <v>1889</v>
      </c>
      <c r="D103" s="232" t="s">
        <v>1888</v>
      </c>
      <c r="E103" s="222" t="s">
        <v>1752</v>
      </c>
      <c r="F103" s="222">
        <v>15</v>
      </c>
      <c r="G103" s="225"/>
      <c r="H103" s="263"/>
      <c r="I103" s="263"/>
      <c r="J103" s="263"/>
      <c r="K103" s="263"/>
    </row>
    <row r="104" spans="1:11" ht="20.100000000000001" customHeight="1">
      <c r="A104" s="213">
        <f t="shared" si="1"/>
        <v>101</v>
      </c>
      <c r="B104" s="223" t="s">
        <v>1883</v>
      </c>
      <c r="C104" s="222" t="s">
        <v>1891</v>
      </c>
      <c r="D104" s="232" t="s">
        <v>1890</v>
      </c>
      <c r="E104" s="222" t="s">
        <v>1752</v>
      </c>
      <c r="F104" s="222">
        <v>15</v>
      </c>
      <c r="G104" s="225"/>
      <c r="H104" s="263"/>
      <c r="I104" s="263"/>
      <c r="J104" s="263"/>
      <c r="K104" s="263"/>
    </row>
    <row r="105" spans="1:11" ht="20.100000000000001" customHeight="1">
      <c r="A105" s="213">
        <f t="shared" si="1"/>
        <v>102</v>
      </c>
      <c r="B105" s="214" t="s">
        <v>1703</v>
      </c>
      <c r="C105" s="215" t="s">
        <v>3234</v>
      </c>
      <c r="D105" s="225" t="s">
        <v>1892</v>
      </c>
      <c r="E105" s="216" t="s">
        <v>279</v>
      </c>
      <c r="F105" s="213">
        <v>15</v>
      </c>
      <c r="G105" s="225"/>
      <c r="H105" s="263"/>
      <c r="I105" s="263"/>
      <c r="J105" s="263"/>
      <c r="K105" s="263" t="s">
        <v>3196</v>
      </c>
    </row>
    <row r="106" spans="1:11" ht="20.100000000000001" customHeight="1">
      <c r="A106" s="213">
        <f t="shared" si="1"/>
        <v>103</v>
      </c>
      <c r="B106" s="214" t="s">
        <v>1703</v>
      </c>
      <c r="C106" s="215" t="s">
        <v>3235</v>
      </c>
      <c r="D106" s="225" t="s">
        <v>1893</v>
      </c>
      <c r="E106" s="216" t="s">
        <v>279</v>
      </c>
      <c r="F106" s="213">
        <v>15</v>
      </c>
      <c r="G106" s="225"/>
      <c r="H106" s="263"/>
      <c r="I106" s="263"/>
      <c r="J106" s="263"/>
      <c r="K106" s="263" t="s">
        <v>3196</v>
      </c>
    </row>
    <row r="107" spans="1:11" ht="20.100000000000001" customHeight="1">
      <c r="A107" s="350">
        <f t="shared" si="1"/>
        <v>104</v>
      </c>
      <c r="B107" s="351" t="s">
        <v>3431</v>
      </c>
      <c r="C107" s="352" t="s">
        <v>3631</v>
      </c>
      <c r="D107" s="353" t="s">
        <v>3632</v>
      </c>
      <c r="E107" s="354" t="s">
        <v>279</v>
      </c>
      <c r="F107" s="350">
        <v>15</v>
      </c>
      <c r="G107" s="353"/>
      <c r="H107" s="263"/>
      <c r="I107" s="263"/>
      <c r="J107" s="263" t="s">
        <v>3633</v>
      </c>
      <c r="K107" s="263"/>
    </row>
    <row r="108" spans="1:11" ht="20.100000000000001" customHeight="1">
      <c r="A108" s="213">
        <f t="shared" si="1"/>
        <v>105</v>
      </c>
      <c r="B108" s="214" t="s">
        <v>1703</v>
      </c>
      <c r="C108" s="215" t="s">
        <v>1895</v>
      </c>
      <c r="D108" s="225" t="s">
        <v>1894</v>
      </c>
      <c r="E108" s="216" t="s">
        <v>279</v>
      </c>
      <c r="F108" s="213">
        <v>15</v>
      </c>
      <c r="G108" s="225"/>
      <c r="H108" s="263"/>
      <c r="I108" s="263"/>
      <c r="J108" s="263"/>
      <c r="K108" s="263" t="s">
        <v>3196</v>
      </c>
    </row>
    <row r="109" spans="1:11" ht="20.100000000000001" customHeight="1">
      <c r="A109" s="213">
        <f t="shared" si="1"/>
        <v>106</v>
      </c>
      <c r="B109" s="214" t="s">
        <v>1703</v>
      </c>
      <c r="C109" s="215" t="s">
        <v>1897</v>
      </c>
      <c r="D109" s="225" t="s">
        <v>1896</v>
      </c>
      <c r="E109" s="216" t="s">
        <v>279</v>
      </c>
      <c r="F109" s="213">
        <v>15</v>
      </c>
      <c r="G109" s="225"/>
      <c r="H109" s="263"/>
      <c r="I109" s="263"/>
      <c r="J109" s="263"/>
      <c r="K109" s="263" t="s">
        <v>3196</v>
      </c>
    </row>
    <row r="110" spans="1:11" ht="20.100000000000001" customHeight="1">
      <c r="A110" s="213">
        <f t="shared" si="1"/>
        <v>107</v>
      </c>
      <c r="B110" s="214" t="s">
        <v>1703</v>
      </c>
      <c r="C110" s="215" t="s">
        <v>2028</v>
      </c>
      <c r="D110" s="225" t="s">
        <v>1898</v>
      </c>
      <c r="E110" s="216" t="s">
        <v>279</v>
      </c>
      <c r="F110" s="213">
        <v>15</v>
      </c>
      <c r="G110" s="225"/>
      <c r="H110" s="263"/>
      <c r="I110" s="263"/>
      <c r="J110" s="263"/>
      <c r="K110" s="263" t="s">
        <v>3196</v>
      </c>
    </row>
    <row r="111" spans="1:11" ht="20.100000000000001" customHeight="1">
      <c r="A111" s="213">
        <f t="shared" si="1"/>
        <v>108</v>
      </c>
      <c r="B111" s="214" t="s">
        <v>1703</v>
      </c>
      <c r="C111" s="215" t="s">
        <v>3195</v>
      </c>
      <c r="D111" s="233" t="s">
        <v>3239</v>
      </c>
      <c r="E111" s="221" t="s">
        <v>1735</v>
      </c>
      <c r="F111" s="224">
        <v>20</v>
      </c>
      <c r="G111" s="225"/>
      <c r="H111" s="263" t="s">
        <v>3241</v>
      </c>
      <c r="I111" s="263"/>
      <c r="J111" s="263" t="s">
        <v>3232</v>
      </c>
      <c r="K111" s="263"/>
    </row>
    <row r="112" spans="1:11" ht="20.100000000000001" customHeight="1">
      <c r="A112" s="213">
        <f t="shared" si="1"/>
        <v>109</v>
      </c>
      <c r="B112" s="214" t="s">
        <v>1703</v>
      </c>
      <c r="C112" s="215" t="s">
        <v>3238</v>
      </c>
      <c r="D112" s="233" t="s">
        <v>3240</v>
      </c>
      <c r="E112" s="216" t="s">
        <v>279</v>
      </c>
      <c r="F112" s="213">
        <v>15</v>
      </c>
      <c r="G112" s="225"/>
      <c r="H112" s="263" t="s">
        <v>3241</v>
      </c>
      <c r="I112" s="263"/>
      <c r="J112" s="263" t="s">
        <v>3232</v>
      </c>
      <c r="K112" s="263"/>
    </row>
    <row r="113" spans="1:11" ht="20.100000000000001" customHeight="1">
      <c r="A113" s="213">
        <f t="shared" si="1"/>
        <v>110</v>
      </c>
      <c r="B113" s="214" t="s">
        <v>1703</v>
      </c>
      <c r="C113" s="215" t="s">
        <v>3092</v>
      </c>
      <c r="D113" s="225" t="s">
        <v>3143</v>
      </c>
      <c r="E113" s="216" t="s">
        <v>279</v>
      </c>
      <c r="F113" s="213">
        <v>3</v>
      </c>
      <c r="G113" s="225" t="s">
        <v>3093</v>
      </c>
      <c r="H113" s="263"/>
      <c r="I113" s="263"/>
      <c r="J113" s="263"/>
      <c r="K113" s="263"/>
    </row>
    <row r="114" spans="1:11" ht="20.100000000000001" customHeight="1">
      <c r="A114" s="213">
        <f t="shared" si="1"/>
        <v>111</v>
      </c>
      <c r="B114" s="214" t="s">
        <v>1703</v>
      </c>
      <c r="C114" s="215" t="s">
        <v>3142</v>
      </c>
      <c r="D114" s="225" t="s">
        <v>3144</v>
      </c>
      <c r="E114" s="221" t="s">
        <v>1735</v>
      </c>
      <c r="F114" s="213"/>
      <c r="G114" s="225"/>
      <c r="H114" s="263"/>
      <c r="I114" s="263"/>
      <c r="J114" s="263"/>
      <c r="K114" s="263"/>
    </row>
  </sheetData>
  <autoFilter ref="A3:O114" xr:uid="{00000000-0009-0000-0000-00000B000000}"/>
  <phoneticPr fontId="2" type="noConversion"/>
  <conditionalFormatting sqref="D37:D38">
    <cfRule type="duplicateValues" dxfId="11" priority="5"/>
  </conditionalFormatting>
  <conditionalFormatting sqref="D43:D44">
    <cfRule type="duplicateValues" dxfId="10" priority="4"/>
  </conditionalFormatting>
  <conditionalFormatting sqref="D17:D18">
    <cfRule type="duplicateValues" dxfId="9" priority="2"/>
  </conditionalFormatting>
  <conditionalFormatting sqref="D19:D20">
    <cfRule type="duplicateValues" dxfId="8" priority="1"/>
  </conditionalFormatting>
  <conditionalFormatting sqref="D39:D42">
    <cfRule type="duplicateValues" dxfId="7" priority="8"/>
  </conditionalFormatting>
  <conditionalFormatting sqref="D65:D66">
    <cfRule type="duplicateValues" dxfId="6" priority="9"/>
  </conditionalFormatting>
  <conditionalFormatting sqref="D67:D91 D93 D95 D97 D99">
    <cfRule type="duplicateValues" dxfId="5" priority="10"/>
  </conditionalFormatting>
  <conditionalFormatting sqref="D49:D52">
    <cfRule type="duplicateValues" dxfId="4" priority="12"/>
  </conditionalFormatting>
  <conditionalFormatting sqref="D31:D34">
    <cfRule type="duplicateValues" dxfId="3" priority="13"/>
  </conditionalFormatting>
  <conditionalFormatting sqref="D29:D30">
    <cfRule type="duplicateValues" dxfId="2" priority="15"/>
  </conditionalFormatting>
  <conditionalFormatting sqref="D21:D24">
    <cfRule type="duplicateValues" dxfId="1" priority="17"/>
  </conditionalFormatting>
  <conditionalFormatting sqref="D11:D12">
    <cfRule type="duplicateValues" dxfId="0" priority="18"/>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11"/>
  <sheetViews>
    <sheetView topLeftCell="A16" workbookViewId="0">
      <selection activeCell="G36" sqref="G36"/>
    </sheetView>
  </sheetViews>
  <sheetFormatPr defaultRowHeight="13.5"/>
  <cols>
    <col min="1" max="1" width="4.5" style="10" bestFit="1" customWidth="1"/>
    <col min="2" max="2" width="109.125" style="10" bestFit="1" customWidth="1"/>
    <col min="3" max="3" width="7.25" style="10" bestFit="1" customWidth="1"/>
    <col min="4" max="4" width="4.625" style="10" bestFit="1" customWidth="1"/>
    <col min="5" max="5" width="20.625" style="10" bestFit="1" customWidth="1"/>
    <col min="6" max="6" width="14" style="10" bestFit="1" customWidth="1"/>
    <col min="7" max="7" width="11.5" style="10" bestFit="1" customWidth="1"/>
    <col min="8" max="8" width="10.125" style="10" bestFit="1" customWidth="1"/>
    <col min="9" max="9" width="31.75" style="10" bestFit="1" customWidth="1"/>
    <col min="10" max="16384" width="9" style="10"/>
  </cols>
  <sheetData>
    <row r="1" spans="1:9" s="63" customFormat="1">
      <c r="A1" s="55" t="s">
        <v>1435</v>
      </c>
      <c r="B1" s="55" t="s">
        <v>747</v>
      </c>
      <c r="C1" s="55" t="s">
        <v>748</v>
      </c>
      <c r="D1" s="55" t="s">
        <v>749</v>
      </c>
      <c r="E1" s="55" t="s">
        <v>750</v>
      </c>
      <c r="F1" s="55" t="s">
        <v>751</v>
      </c>
      <c r="G1" s="55" t="s">
        <v>752</v>
      </c>
      <c r="H1" s="55" t="s">
        <v>753</v>
      </c>
      <c r="I1" s="55" t="s">
        <v>747</v>
      </c>
    </row>
    <row r="2" spans="1:9">
      <c r="A2" s="1">
        <v>1</v>
      </c>
      <c r="B2" s="1" t="s">
        <v>1392</v>
      </c>
      <c r="C2" s="1" t="s">
        <v>279</v>
      </c>
      <c r="D2" s="1">
        <v>9</v>
      </c>
      <c r="E2" s="1" t="s">
        <v>758</v>
      </c>
      <c r="F2" s="1" t="s">
        <v>29</v>
      </c>
      <c r="G2" s="1" t="s">
        <v>1393</v>
      </c>
      <c r="H2" s="64">
        <v>62</v>
      </c>
      <c r="I2" s="65" t="s">
        <v>1394</v>
      </c>
    </row>
    <row r="3" spans="1:9">
      <c r="A3" s="1">
        <v>2</v>
      </c>
      <c r="B3" s="1" t="s">
        <v>1395</v>
      </c>
      <c r="C3" s="1" t="s">
        <v>279</v>
      </c>
      <c r="D3" s="1">
        <v>9</v>
      </c>
      <c r="E3" s="1" t="s">
        <v>758</v>
      </c>
      <c r="F3" s="1" t="s">
        <v>29</v>
      </c>
      <c r="G3" s="1" t="s">
        <v>1396</v>
      </c>
      <c r="H3" s="64">
        <v>62</v>
      </c>
      <c r="I3" s="65" t="s">
        <v>1397</v>
      </c>
    </row>
    <row r="4" spans="1:9">
      <c r="A4" s="1">
        <v>3</v>
      </c>
      <c r="B4" s="1" t="s">
        <v>1401</v>
      </c>
      <c r="C4" s="1" t="s">
        <v>279</v>
      </c>
      <c r="D4" s="1">
        <v>9</v>
      </c>
      <c r="E4" s="1" t="s">
        <v>758</v>
      </c>
      <c r="F4" s="1" t="s">
        <v>29</v>
      </c>
      <c r="G4" s="1" t="s">
        <v>1402</v>
      </c>
      <c r="H4" s="64">
        <v>62</v>
      </c>
      <c r="I4" s="65" t="s">
        <v>1403</v>
      </c>
    </row>
    <row r="5" spans="1:9">
      <c r="A5" s="1">
        <v>4</v>
      </c>
      <c r="B5" s="1" t="s">
        <v>1404</v>
      </c>
      <c r="C5" s="1" t="s">
        <v>279</v>
      </c>
      <c r="D5" s="1">
        <v>9</v>
      </c>
      <c r="E5" s="1" t="s">
        <v>758</v>
      </c>
      <c r="F5" s="1" t="s">
        <v>29</v>
      </c>
      <c r="G5" s="1" t="s">
        <v>1405</v>
      </c>
      <c r="H5" s="64">
        <v>62</v>
      </c>
      <c r="I5" s="65" t="s">
        <v>1406</v>
      </c>
    </row>
    <row r="6" spans="1:9">
      <c r="A6" s="1">
        <v>5</v>
      </c>
      <c r="B6" s="1" t="s">
        <v>1371</v>
      </c>
      <c r="C6" s="1" t="s">
        <v>279</v>
      </c>
      <c r="D6" s="1">
        <v>9</v>
      </c>
      <c r="E6" s="1" t="s">
        <v>758</v>
      </c>
      <c r="F6" s="1" t="s">
        <v>29</v>
      </c>
      <c r="G6" s="1" t="s">
        <v>1372</v>
      </c>
      <c r="H6" s="64">
        <v>62</v>
      </c>
      <c r="I6" s="65" t="s">
        <v>1373</v>
      </c>
    </row>
    <row r="7" spans="1:9">
      <c r="A7" s="1">
        <v>6</v>
      </c>
      <c r="B7" s="1" t="s">
        <v>1389</v>
      </c>
      <c r="C7" s="1" t="s">
        <v>279</v>
      </c>
      <c r="D7" s="1">
        <v>9</v>
      </c>
      <c r="E7" s="1" t="s">
        <v>758</v>
      </c>
      <c r="F7" s="1" t="s">
        <v>29</v>
      </c>
      <c r="G7" s="1" t="s">
        <v>1390</v>
      </c>
      <c r="H7" s="64">
        <v>62</v>
      </c>
      <c r="I7" s="65" t="s">
        <v>1391</v>
      </c>
    </row>
    <row r="8" spans="1:9">
      <c r="A8" s="1">
        <v>7</v>
      </c>
      <c r="B8" s="1" t="s">
        <v>1374</v>
      </c>
      <c r="C8" s="1" t="s">
        <v>279</v>
      </c>
      <c r="D8" s="1">
        <v>9</v>
      </c>
      <c r="E8" s="1" t="s">
        <v>758</v>
      </c>
      <c r="F8" s="1" t="s">
        <v>29</v>
      </c>
      <c r="G8" s="1" t="s">
        <v>1375</v>
      </c>
      <c r="H8" s="64">
        <v>62</v>
      </c>
      <c r="I8" s="65" t="s">
        <v>1376</v>
      </c>
    </row>
    <row r="9" spans="1:9">
      <c r="A9" s="1">
        <v>8</v>
      </c>
      <c r="B9" s="1" t="s">
        <v>1398</v>
      </c>
      <c r="C9" s="1" t="s">
        <v>279</v>
      </c>
      <c r="D9" s="1">
        <v>9</v>
      </c>
      <c r="E9" s="1" t="s">
        <v>758</v>
      </c>
      <c r="F9" s="1" t="s">
        <v>29</v>
      </c>
      <c r="G9" s="1" t="s">
        <v>1399</v>
      </c>
      <c r="H9" s="64">
        <v>62</v>
      </c>
      <c r="I9" s="65" t="s">
        <v>1400</v>
      </c>
    </row>
    <row r="10" spans="1:9">
      <c r="A10" s="1">
        <v>9</v>
      </c>
      <c r="B10" s="1" t="s">
        <v>1377</v>
      </c>
      <c r="C10" s="1" t="s">
        <v>279</v>
      </c>
      <c r="D10" s="1">
        <v>9</v>
      </c>
      <c r="E10" s="1" t="s">
        <v>758</v>
      </c>
      <c r="F10" s="1" t="s">
        <v>29</v>
      </c>
      <c r="G10" s="1" t="s">
        <v>1378</v>
      </c>
      <c r="H10" s="64">
        <v>62</v>
      </c>
      <c r="I10" s="65" t="s">
        <v>1379</v>
      </c>
    </row>
    <row r="11" spans="1:9">
      <c r="A11" s="1">
        <v>10</v>
      </c>
      <c r="B11" s="1" t="s">
        <v>1380</v>
      </c>
      <c r="C11" s="1" t="s">
        <v>279</v>
      </c>
      <c r="D11" s="1">
        <v>9</v>
      </c>
      <c r="E11" s="1" t="s">
        <v>758</v>
      </c>
      <c r="F11" s="1" t="s">
        <v>29</v>
      </c>
      <c r="G11" s="1" t="s">
        <v>1381</v>
      </c>
      <c r="H11" s="64">
        <v>62</v>
      </c>
      <c r="I11" s="65" t="s">
        <v>1382</v>
      </c>
    </row>
    <row r="12" spans="1:9">
      <c r="A12" s="1">
        <v>11</v>
      </c>
      <c r="B12" s="1" t="s">
        <v>1383</v>
      </c>
      <c r="C12" s="1" t="s">
        <v>279</v>
      </c>
      <c r="D12" s="1">
        <v>9</v>
      </c>
      <c r="E12" s="1" t="s">
        <v>758</v>
      </c>
      <c r="F12" s="1" t="s">
        <v>29</v>
      </c>
      <c r="G12" s="1" t="s">
        <v>1384</v>
      </c>
      <c r="H12" s="64">
        <v>62</v>
      </c>
      <c r="I12" s="65" t="s">
        <v>1385</v>
      </c>
    </row>
    <row r="13" spans="1:9">
      <c r="A13" s="1">
        <v>12</v>
      </c>
      <c r="B13" s="1" t="s">
        <v>896</v>
      </c>
      <c r="C13" s="1" t="s">
        <v>279</v>
      </c>
      <c r="D13" s="1">
        <v>9</v>
      </c>
      <c r="E13" s="1" t="s">
        <v>758</v>
      </c>
      <c r="F13" s="1" t="s">
        <v>29</v>
      </c>
      <c r="G13" s="1" t="s">
        <v>897</v>
      </c>
      <c r="H13" s="64">
        <v>62</v>
      </c>
      <c r="I13" s="65" t="s">
        <v>1414</v>
      </c>
    </row>
    <row r="14" spans="1:9">
      <c r="A14" s="1">
        <v>13</v>
      </c>
      <c r="B14" s="1" t="s">
        <v>801</v>
      </c>
      <c r="C14" s="1" t="s">
        <v>279</v>
      </c>
      <c r="D14" s="1">
        <v>9</v>
      </c>
      <c r="E14" s="1" t="s">
        <v>758</v>
      </c>
      <c r="F14" s="1" t="s">
        <v>29</v>
      </c>
      <c r="G14" s="1" t="s">
        <v>802</v>
      </c>
      <c r="H14" s="64">
        <v>62</v>
      </c>
      <c r="I14" s="65" t="s">
        <v>803</v>
      </c>
    </row>
    <row r="15" spans="1:9">
      <c r="A15" s="1">
        <v>14</v>
      </c>
      <c r="B15" s="1" t="s">
        <v>1411</v>
      </c>
      <c r="C15" s="1" t="s">
        <v>279</v>
      </c>
      <c r="D15" s="1">
        <v>9</v>
      </c>
      <c r="E15" s="1" t="s">
        <v>758</v>
      </c>
      <c r="F15" s="1" t="s">
        <v>29</v>
      </c>
      <c r="G15" s="1" t="s">
        <v>891</v>
      </c>
      <c r="H15" s="64">
        <v>62</v>
      </c>
      <c r="I15" s="65" t="s">
        <v>1412</v>
      </c>
    </row>
    <row r="16" spans="1:9">
      <c r="A16" s="1">
        <v>15</v>
      </c>
      <c r="B16" s="1" t="s">
        <v>1350</v>
      </c>
      <c r="C16" s="1" t="s">
        <v>279</v>
      </c>
      <c r="D16" s="1">
        <v>9</v>
      </c>
      <c r="E16" s="1" t="s">
        <v>758</v>
      </c>
      <c r="F16" s="1" t="s">
        <v>29</v>
      </c>
      <c r="G16" s="1" t="s">
        <v>1351</v>
      </c>
      <c r="H16" s="64">
        <v>62</v>
      </c>
      <c r="I16" s="65" t="s">
        <v>1352</v>
      </c>
    </row>
    <row r="17" spans="1:9">
      <c r="A17" s="1">
        <v>16</v>
      </c>
      <c r="B17" s="1" t="s">
        <v>1436</v>
      </c>
      <c r="C17" s="1" t="s">
        <v>275</v>
      </c>
      <c r="D17" s="1">
        <v>3</v>
      </c>
      <c r="E17" s="1" t="s">
        <v>758</v>
      </c>
      <c r="F17" s="1" t="s">
        <v>29</v>
      </c>
      <c r="G17" s="1" t="s">
        <v>1437</v>
      </c>
      <c r="H17" s="64">
        <v>64</v>
      </c>
      <c r="I17" s="65" t="s">
        <v>1415</v>
      </c>
    </row>
    <row r="18" spans="1:9">
      <c r="A18" s="1">
        <v>17</v>
      </c>
      <c r="B18" s="1" t="s">
        <v>1438</v>
      </c>
      <c r="C18" s="1" t="s">
        <v>275</v>
      </c>
      <c r="D18" s="1">
        <v>3</v>
      </c>
      <c r="E18" s="1" t="s">
        <v>758</v>
      </c>
      <c r="F18" s="1" t="s">
        <v>29</v>
      </c>
      <c r="G18" s="1" t="s">
        <v>1437</v>
      </c>
      <c r="H18" s="64">
        <v>64</v>
      </c>
      <c r="I18" s="65" t="s">
        <v>1415</v>
      </c>
    </row>
    <row r="19" spans="1:9">
      <c r="A19" s="1">
        <v>18</v>
      </c>
      <c r="B19" s="1" t="s">
        <v>1439</v>
      </c>
      <c r="C19" s="1" t="s">
        <v>275</v>
      </c>
      <c r="D19" s="1">
        <v>3</v>
      </c>
      <c r="E19" s="1" t="s">
        <v>758</v>
      </c>
      <c r="F19" s="1" t="s">
        <v>29</v>
      </c>
      <c r="G19" s="1" t="s">
        <v>1440</v>
      </c>
      <c r="H19" s="64">
        <v>64</v>
      </c>
      <c r="I19" s="65" t="s">
        <v>1415</v>
      </c>
    </row>
    <row r="20" spans="1:9">
      <c r="A20" s="1">
        <v>19</v>
      </c>
      <c r="B20" s="1" t="s">
        <v>764</v>
      </c>
      <c r="C20" s="1" t="s">
        <v>279</v>
      </c>
      <c r="D20" s="1">
        <v>9</v>
      </c>
      <c r="E20" s="1" t="s">
        <v>758</v>
      </c>
      <c r="F20" s="1" t="s">
        <v>29</v>
      </c>
      <c r="G20" s="1" t="s">
        <v>1338</v>
      </c>
      <c r="H20" s="64">
        <v>62</v>
      </c>
      <c r="I20" s="65" t="s">
        <v>1339</v>
      </c>
    </row>
    <row r="21" spans="1:9">
      <c r="A21" s="1">
        <v>20</v>
      </c>
      <c r="B21" s="1" t="s">
        <v>1343</v>
      </c>
      <c r="C21" s="1" t="s">
        <v>279</v>
      </c>
      <c r="D21" s="1">
        <v>9</v>
      </c>
      <c r="E21" s="1" t="s">
        <v>758</v>
      </c>
      <c r="F21" s="1" t="s">
        <v>29</v>
      </c>
      <c r="G21" s="1" t="s">
        <v>1344</v>
      </c>
      <c r="H21" s="64">
        <v>62</v>
      </c>
      <c r="I21" s="65" t="s">
        <v>1345</v>
      </c>
    </row>
    <row r="22" spans="1:9">
      <c r="A22" s="1">
        <v>21</v>
      </c>
      <c r="B22" s="1" t="s">
        <v>783</v>
      </c>
      <c r="C22" s="1" t="s">
        <v>279</v>
      </c>
      <c r="D22" s="1">
        <v>9</v>
      </c>
      <c r="E22" s="1" t="s">
        <v>758</v>
      </c>
      <c r="F22" s="1" t="s">
        <v>29</v>
      </c>
      <c r="G22" s="1" t="s">
        <v>784</v>
      </c>
      <c r="H22" s="64">
        <v>62</v>
      </c>
      <c r="I22" s="65" t="s">
        <v>785</v>
      </c>
    </row>
    <row r="23" spans="1:9">
      <c r="A23" s="1">
        <v>22</v>
      </c>
      <c r="B23" s="1" t="s">
        <v>1347</v>
      </c>
      <c r="C23" s="1" t="s">
        <v>279</v>
      </c>
      <c r="D23" s="1">
        <v>9</v>
      </c>
      <c r="E23" s="1" t="s">
        <v>758</v>
      </c>
      <c r="F23" s="1" t="s">
        <v>29</v>
      </c>
      <c r="G23" s="1" t="s">
        <v>1348</v>
      </c>
      <c r="H23" s="64">
        <v>62</v>
      </c>
      <c r="I23" s="65" t="s">
        <v>1349</v>
      </c>
    </row>
    <row r="24" spans="1:9">
      <c r="A24" s="1">
        <v>23</v>
      </c>
      <c r="B24" s="1" t="s">
        <v>1353</v>
      </c>
      <c r="C24" s="1" t="s">
        <v>279</v>
      </c>
      <c r="D24" s="1">
        <v>9</v>
      </c>
      <c r="E24" s="1" t="s">
        <v>758</v>
      </c>
      <c r="F24" s="1" t="s">
        <v>29</v>
      </c>
      <c r="G24" s="1" t="s">
        <v>1354</v>
      </c>
      <c r="H24" s="64">
        <v>62</v>
      </c>
      <c r="I24" s="65" t="s">
        <v>1355</v>
      </c>
    </row>
    <row r="25" spans="1:9">
      <c r="A25" s="1">
        <v>24</v>
      </c>
      <c r="B25" s="1" t="s">
        <v>1368</v>
      </c>
      <c r="C25" s="1" t="s">
        <v>279</v>
      </c>
      <c r="D25" s="1">
        <v>9</v>
      </c>
      <c r="E25" s="1" t="s">
        <v>758</v>
      </c>
      <c r="F25" s="1" t="s">
        <v>29</v>
      </c>
      <c r="G25" s="1" t="s">
        <v>1369</v>
      </c>
      <c r="H25" s="64">
        <v>62</v>
      </c>
      <c r="I25" s="65" t="s">
        <v>1370</v>
      </c>
    </row>
    <row r="26" spans="1:9">
      <c r="A26" s="1">
        <v>25</v>
      </c>
      <c r="B26" s="1" t="s">
        <v>874</v>
      </c>
      <c r="C26" s="1" t="s">
        <v>279</v>
      </c>
      <c r="D26" s="1">
        <v>9</v>
      </c>
      <c r="E26" s="1" t="s">
        <v>758</v>
      </c>
      <c r="F26" s="1" t="s">
        <v>29</v>
      </c>
      <c r="G26" s="1" t="s">
        <v>875</v>
      </c>
      <c r="H26" s="64">
        <v>62</v>
      </c>
      <c r="I26" s="65" t="s">
        <v>978</v>
      </c>
    </row>
    <row r="27" spans="1:9">
      <c r="A27" s="1">
        <v>26</v>
      </c>
      <c r="B27" s="1" t="s">
        <v>754</v>
      </c>
      <c r="C27" s="1" t="s">
        <v>279</v>
      </c>
      <c r="D27" s="1">
        <v>9</v>
      </c>
      <c r="E27" s="1" t="s">
        <v>758</v>
      </c>
      <c r="F27" s="1" t="s">
        <v>29</v>
      </c>
      <c r="G27" s="1" t="s">
        <v>755</v>
      </c>
      <c r="H27" s="64">
        <v>62</v>
      </c>
      <c r="I27" s="65" t="s">
        <v>756</v>
      </c>
    </row>
    <row r="28" spans="1:9">
      <c r="A28" s="1">
        <v>27</v>
      </c>
      <c r="B28" s="1" t="s">
        <v>798</v>
      </c>
      <c r="C28" s="1" t="s">
        <v>279</v>
      </c>
      <c r="D28" s="1">
        <v>9</v>
      </c>
      <c r="E28" s="1" t="s">
        <v>758</v>
      </c>
      <c r="F28" s="1" t="s">
        <v>29</v>
      </c>
      <c r="G28" s="1" t="s">
        <v>799</v>
      </c>
      <c r="H28" s="64">
        <v>62</v>
      </c>
      <c r="I28" s="65" t="s">
        <v>800</v>
      </c>
    </row>
    <row r="29" spans="1:9">
      <c r="A29" s="1">
        <v>28</v>
      </c>
      <c r="B29" s="1" t="s">
        <v>767</v>
      </c>
      <c r="C29" s="1" t="s">
        <v>279</v>
      </c>
      <c r="D29" s="1">
        <v>9</v>
      </c>
      <c r="E29" s="1" t="s">
        <v>758</v>
      </c>
      <c r="F29" s="1" t="s">
        <v>29</v>
      </c>
      <c r="G29" s="1" t="s">
        <v>768</v>
      </c>
      <c r="H29" s="64">
        <v>62</v>
      </c>
      <c r="I29" s="65" t="s">
        <v>769</v>
      </c>
    </row>
    <row r="30" spans="1:9">
      <c r="A30" s="1">
        <v>29</v>
      </c>
      <c r="B30" s="1" t="s">
        <v>1337</v>
      </c>
      <c r="C30" s="1" t="s">
        <v>279</v>
      </c>
      <c r="D30" s="1">
        <v>9</v>
      </c>
      <c r="E30" s="1" t="s">
        <v>758</v>
      </c>
      <c r="F30" s="1" t="s">
        <v>29</v>
      </c>
      <c r="G30" s="1" t="s">
        <v>762</v>
      </c>
      <c r="H30" s="64">
        <v>62</v>
      </c>
      <c r="I30" s="65" t="s">
        <v>763</v>
      </c>
    </row>
    <row r="31" spans="1:9">
      <c r="A31" s="1">
        <v>30</v>
      </c>
      <c r="B31" s="1" t="s">
        <v>770</v>
      </c>
      <c r="C31" s="1" t="s">
        <v>279</v>
      </c>
      <c r="D31" s="1">
        <v>9</v>
      </c>
      <c r="E31" s="1" t="s">
        <v>758</v>
      </c>
      <c r="F31" s="1" t="s">
        <v>29</v>
      </c>
      <c r="G31" s="1" t="s">
        <v>771</v>
      </c>
      <c r="H31" s="64">
        <v>62</v>
      </c>
      <c r="I31" s="65" t="s">
        <v>772</v>
      </c>
    </row>
    <row r="32" spans="1:9">
      <c r="A32" s="1">
        <v>31</v>
      </c>
      <c r="B32" s="1" t="s">
        <v>786</v>
      </c>
      <c r="C32" s="1" t="s">
        <v>279</v>
      </c>
      <c r="D32" s="1">
        <v>9</v>
      </c>
      <c r="E32" s="1" t="s">
        <v>758</v>
      </c>
      <c r="F32" s="1" t="s">
        <v>29</v>
      </c>
      <c r="G32" s="1" t="s">
        <v>787</v>
      </c>
      <c r="H32" s="64">
        <v>62</v>
      </c>
      <c r="I32" s="65" t="s">
        <v>788</v>
      </c>
    </row>
    <row r="33" spans="1:9">
      <c r="A33" s="1">
        <v>32</v>
      </c>
      <c r="B33" s="1" t="s">
        <v>789</v>
      </c>
      <c r="C33" s="1" t="s">
        <v>279</v>
      </c>
      <c r="D33" s="1">
        <v>9</v>
      </c>
      <c r="E33" s="1" t="s">
        <v>758</v>
      </c>
      <c r="F33" s="1" t="s">
        <v>29</v>
      </c>
      <c r="G33" s="1" t="s">
        <v>790</v>
      </c>
      <c r="H33" s="64">
        <v>62</v>
      </c>
      <c r="I33" s="65" t="s">
        <v>791</v>
      </c>
    </row>
    <row r="34" spans="1:9">
      <c r="A34" s="1">
        <v>33</v>
      </c>
      <c r="B34" s="1" t="s">
        <v>795</v>
      </c>
      <c r="C34" s="1" t="s">
        <v>279</v>
      </c>
      <c r="D34" s="1">
        <v>9</v>
      </c>
      <c r="E34" s="1" t="s">
        <v>758</v>
      </c>
      <c r="F34" s="1" t="s">
        <v>29</v>
      </c>
      <c r="G34" s="1" t="s">
        <v>796</v>
      </c>
      <c r="H34" s="64">
        <v>62</v>
      </c>
      <c r="I34" s="65" t="s">
        <v>797</v>
      </c>
    </row>
    <row r="35" spans="1:9">
      <c r="A35" s="1">
        <v>34</v>
      </c>
      <c r="B35" s="1" t="s">
        <v>792</v>
      </c>
      <c r="C35" s="1" t="s">
        <v>279</v>
      </c>
      <c r="D35" s="1">
        <v>9</v>
      </c>
      <c r="E35" s="1" t="s">
        <v>758</v>
      </c>
      <c r="F35" s="1" t="s">
        <v>29</v>
      </c>
      <c r="G35" s="1" t="s">
        <v>793</v>
      </c>
      <c r="H35" s="64">
        <v>62</v>
      </c>
      <c r="I35" s="65" t="s">
        <v>794</v>
      </c>
    </row>
    <row r="36" spans="1:9">
      <c r="A36" s="1">
        <v>35</v>
      </c>
      <c r="B36" s="1" t="s">
        <v>855</v>
      </c>
      <c r="C36" s="1" t="s">
        <v>279</v>
      </c>
      <c r="D36" s="1">
        <v>9</v>
      </c>
      <c r="E36" s="1" t="s">
        <v>758</v>
      </c>
      <c r="F36" s="1" t="s">
        <v>29</v>
      </c>
      <c r="G36" s="1" t="s">
        <v>856</v>
      </c>
      <c r="H36" s="64">
        <v>62</v>
      </c>
      <c r="I36" s="65" t="s">
        <v>857</v>
      </c>
    </row>
    <row r="37" spans="1:9">
      <c r="A37" s="1">
        <v>36</v>
      </c>
      <c r="B37" s="1" t="s">
        <v>1333</v>
      </c>
      <c r="C37" s="1" t="s">
        <v>279</v>
      </c>
      <c r="D37" s="1">
        <v>9</v>
      </c>
      <c r="E37" s="1" t="s">
        <v>758</v>
      </c>
      <c r="F37" s="1" t="s">
        <v>29</v>
      </c>
      <c r="G37" s="1" t="s">
        <v>1335</v>
      </c>
      <c r="H37" s="64">
        <v>61</v>
      </c>
      <c r="I37" s="65" t="s">
        <v>1336</v>
      </c>
    </row>
    <row r="38" spans="1:9">
      <c r="A38" s="1">
        <v>37</v>
      </c>
      <c r="B38" s="1" t="s">
        <v>871</v>
      </c>
      <c r="C38" s="1" t="s">
        <v>279</v>
      </c>
      <c r="D38" s="1">
        <v>9</v>
      </c>
      <c r="E38" s="1" t="s">
        <v>758</v>
      </c>
      <c r="F38" s="1" t="s">
        <v>29</v>
      </c>
      <c r="G38" s="1" t="s">
        <v>872</v>
      </c>
      <c r="H38" s="64">
        <v>62</v>
      </c>
      <c r="I38" s="65" t="s">
        <v>1410</v>
      </c>
    </row>
    <row r="39" spans="1:9">
      <c r="A39" s="1">
        <v>38</v>
      </c>
      <c r="B39" s="1" t="s">
        <v>1340</v>
      </c>
      <c r="C39" s="1" t="s">
        <v>279</v>
      </c>
      <c r="D39" s="1">
        <v>9</v>
      </c>
      <c r="E39" s="1" t="s">
        <v>758</v>
      </c>
      <c r="F39" s="1" t="s">
        <v>29</v>
      </c>
      <c r="G39" s="1" t="s">
        <v>1341</v>
      </c>
      <c r="H39" s="64">
        <v>62</v>
      </c>
      <c r="I39" s="65" t="s">
        <v>1342</v>
      </c>
    </row>
    <row r="40" spans="1:9">
      <c r="A40" s="1">
        <v>39</v>
      </c>
      <c r="B40" s="1" t="s">
        <v>1346</v>
      </c>
      <c r="C40" s="1" t="s">
        <v>279</v>
      </c>
      <c r="D40" s="1">
        <v>9</v>
      </c>
      <c r="E40" s="1" t="s">
        <v>758</v>
      </c>
      <c r="F40" s="1" t="s">
        <v>29</v>
      </c>
      <c r="G40" s="1" t="s">
        <v>773</v>
      </c>
      <c r="H40" s="64">
        <v>62</v>
      </c>
      <c r="I40" s="65" t="s">
        <v>774</v>
      </c>
    </row>
    <row r="41" spans="1:9">
      <c r="A41" s="1">
        <v>40</v>
      </c>
      <c r="B41" s="1" t="s">
        <v>1356</v>
      </c>
      <c r="C41" s="1" t="s">
        <v>279</v>
      </c>
      <c r="D41" s="1">
        <v>9</v>
      </c>
      <c r="E41" s="1" t="s">
        <v>758</v>
      </c>
      <c r="F41" s="1" t="s">
        <v>29</v>
      </c>
      <c r="G41" s="1" t="s">
        <v>1357</v>
      </c>
      <c r="H41" s="64">
        <v>62</v>
      </c>
      <c r="I41" s="65" t="s">
        <v>1358</v>
      </c>
    </row>
    <row r="42" spans="1:9">
      <c r="A42" s="1">
        <v>41</v>
      </c>
      <c r="B42" s="1" t="s">
        <v>1365</v>
      </c>
      <c r="C42" s="1" t="s">
        <v>279</v>
      </c>
      <c r="D42" s="1">
        <v>9</v>
      </c>
      <c r="E42" s="1" t="s">
        <v>758</v>
      </c>
      <c r="F42" s="1" t="s">
        <v>29</v>
      </c>
      <c r="G42" s="1" t="s">
        <v>1366</v>
      </c>
      <c r="H42" s="64">
        <v>62</v>
      </c>
      <c r="I42" s="65" t="s">
        <v>1367</v>
      </c>
    </row>
    <row r="43" spans="1:9">
      <c r="A43" s="1">
        <v>42</v>
      </c>
      <c r="B43" s="1" t="s">
        <v>1386</v>
      </c>
      <c r="C43" s="1" t="s">
        <v>279</v>
      </c>
      <c r="D43" s="1">
        <v>9</v>
      </c>
      <c r="E43" s="1" t="s">
        <v>758</v>
      </c>
      <c r="F43" s="1" t="s">
        <v>29</v>
      </c>
      <c r="G43" s="1" t="s">
        <v>1387</v>
      </c>
      <c r="H43" s="64">
        <v>62</v>
      </c>
      <c r="I43" s="65" t="s">
        <v>1388</v>
      </c>
    </row>
    <row r="44" spans="1:9">
      <c r="A44" s="1">
        <v>43</v>
      </c>
      <c r="B44" s="1" t="s">
        <v>1359</v>
      </c>
      <c r="C44" s="1" t="s">
        <v>279</v>
      </c>
      <c r="D44" s="1">
        <v>9</v>
      </c>
      <c r="E44" s="1" t="s">
        <v>758</v>
      </c>
      <c r="F44" s="1" t="s">
        <v>29</v>
      </c>
      <c r="G44" s="1" t="s">
        <v>1360</v>
      </c>
      <c r="H44" s="64">
        <v>62</v>
      </c>
      <c r="I44" s="65" t="s">
        <v>1361</v>
      </c>
    </row>
    <row r="45" spans="1:9">
      <c r="A45" s="1">
        <v>44</v>
      </c>
      <c r="B45" s="1" t="s">
        <v>1362</v>
      </c>
      <c r="C45" s="1" t="s">
        <v>279</v>
      </c>
      <c r="D45" s="1">
        <v>9</v>
      </c>
      <c r="E45" s="1" t="s">
        <v>758</v>
      </c>
      <c r="F45" s="1" t="s">
        <v>29</v>
      </c>
      <c r="G45" s="1" t="s">
        <v>1363</v>
      </c>
      <c r="H45" s="64">
        <v>62</v>
      </c>
      <c r="I45" s="65" t="s">
        <v>1364</v>
      </c>
    </row>
    <row r="46" spans="1:9">
      <c r="A46" s="1">
        <v>45</v>
      </c>
      <c r="B46" s="1" t="s">
        <v>1407</v>
      </c>
      <c r="C46" s="1" t="s">
        <v>279</v>
      </c>
      <c r="D46" s="1">
        <v>9</v>
      </c>
      <c r="E46" s="1" t="s">
        <v>758</v>
      </c>
      <c r="F46" s="1" t="s">
        <v>29</v>
      </c>
      <c r="G46" s="1" t="s">
        <v>1408</v>
      </c>
      <c r="H46" s="64">
        <v>62</v>
      </c>
      <c r="I46" s="65" t="s">
        <v>1409</v>
      </c>
    </row>
    <row r="47" spans="1:9">
      <c r="A47" s="1">
        <v>46</v>
      </c>
      <c r="B47" s="1" t="s">
        <v>757</v>
      </c>
      <c r="C47" s="1" t="s">
        <v>279</v>
      </c>
      <c r="D47" s="1">
        <v>9</v>
      </c>
      <c r="E47" s="1" t="s">
        <v>758</v>
      </c>
      <c r="F47" s="1" t="s">
        <v>29</v>
      </c>
      <c r="G47" s="1" t="s">
        <v>759</v>
      </c>
      <c r="H47" s="64">
        <v>62</v>
      </c>
      <c r="I47" s="65" t="s">
        <v>761</v>
      </c>
    </row>
    <row r="48" spans="1:9">
      <c r="A48" s="1">
        <v>47</v>
      </c>
      <c r="B48" s="1" t="s">
        <v>866</v>
      </c>
      <c r="C48" s="1" t="s">
        <v>279</v>
      </c>
      <c r="D48" s="1">
        <v>9</v>
      </c>
      <c r="E48" s="1" t="s">
        <v>758</v>
      </c>
      <c r="F48" s="1" t="s">
        <v>29</v>
      </c>
      <c r="G48" s="1" t="s">
        <v>867</v>
      </c>
      <c r="H48" s="64">
        <v>62</v>
      </c>
      <c r="I48" s="65" t="s">
        <v>761</v>
      </c>
    </row>
    <row r="49" spans="1:9">
      <c r="A49" s="1">
        <v>48</v>
      </c>
      <c r="B49" s="1" t="s">
        <v>868</v>
      </c>
      <c r="C49" s="1" t="s">
        <v>279</v>
      </c>
      <c r="D49" s="1">
        <v>9</v>
      </c>
      <c r="E49" s="1" t="s">
        <v>758</v>
      </c>
      <c r="F49" s="1" t="s">
        <v>29</v>
      </c>
      <c r="G49" s="1" t="s">
        <v>869</v>
      </c>
      <c r="H49" s="64">
        <v>62</v>
      </c>
      <c r="I49" s="65" t="s">
        <v>870</v>
      </c>
    </row>
    <row r="50" spans="1:9">
      <c r="A50" s="1">
        <v>49</v>
      </c>
      <c r="B50" s="1" t="s">
        <v>863</v>
      </c>
      <c r="C50" s="1" t="s">
        <v>279</v>
      </c>
      <c r="D50" s="1">
        <v>9</v>
      </c>
      <c r="E50" s="1" t="s">
        <v>758</v>
      </c>
      <c r="F50" s="1" t="s">
        <v>29</v>
      </c>
      <c r="G50" s="1" t="s">
        <v>864</v>
      </c>
      <c r="H50" s="64">
        <v>62</v>
      </c>
      <c r="I50" s="65" t="s">
        <v>865</v>
      </c>
    </row>
    <row r="51" spans="1:9">
      <c r="A51" s="1">
        <v>50</v>
      </c>
      <c r="B51" s="1" t="s">
        <v>893</v>
      </c>
      <c r="C51" s="1" t="s">
        <v>279</v>
      </c>
      <c r="D51" s="1">
        <v>9</v>
      </c>
      <c r="E51" s="1" t="s">
        <v>758</v>
      </c>
      <c r="F51" s="1" t="s">
        <v>29</v>
      </c>
      <c r="G51" s="1" t="s">
        <v>894</v>
      </c>
      <c r="H51" s="64">
        <v>62</v>
      </c>
      <c r="I51" s="65" t="s">
        <v>1413</v>
      </c>
    </row>
    <row r="52" spans="1:9">
      <c r="A52" s="1">
        <v>51</v>
      </c>
      <c r="B52" s="1" t="s">
        <v>917</v>
      </c>
      <c r="C52" s="1" t="s">
        <v>279</v>
      </c>
      <c r="D52" s="1">
        <v>4</v>
      </c>
      <c r="E52" s="1" t="s">
        <v>758</v>
      </c>
      <c r="F52" s="1" t="s">
        <v>29</v>
      </c>
      <c r="G52" s="1" t="s">
        <v>918</v>
      </c>
      <c r="H52" s="64">
        <v>64</v>
      </c>
      <c r="I52" s="65" t="s">
        <v>1415</v>
      </c>
    </row>
    <row r="53" spans="1:9">
      <c r="A53" s="1">
        <v>52</v>
      </c>
      <c r="B53" s="1" t="s">
        <v>1441</v>
      </c>
      <c r="C53" s="1" t="s">
        <v>279</v>
      </c>
      <c r="D53" s="1">
        <v>4</v>
      </c>
      <c r="E53" s="1" t="s">
        <v>758</v>
      </c>
      <c r="F53" s="1" t="s">
        <v>29</v>
      </c>
      <c r="G53" s="1" t="s">
        <v>920</v>
      </c>
      <c r="H53" s="64">
        <v>64</v>
      </c>
      <c r="I53" s="65" t="s">
        <v>921</v>
      </c>
    </row>
    <row r="54" spans="1:9">
      <c r="A54" s="1">
        <v>53</v>
      </c>
      <c r="B54" s="1" t="s">
        <v>914</v>
      </c>
      <c r="C54" s="1" t="s">
        <v>279</v>
      </c>
      <c r="D54" s="1">
        <v>4</v>
      </c>
      <c r="E54" s="1" t="s">
        <v>758</v>
      </c>
      <c r="F54" s="1" t="s">
        <v>29</v>
      </c>
      <c r="G54" s="1" t="s">
        <v>915</v>
      </c>
      <c r="H54" s="64">
        <v>64</v>
      </c>
      <c r="I54" s="65" t="s">
        <v>916</v>
      </c>
    </row>
    <row r="55" spans="1:9">
      <c r="A55" s="1">
        <v>54</v>
      </c>
      <c r="B55" s="1" t="s">
        <v>1442</v>
      </c>
      <c r="C55" s="1" t="s">
        <v>279</v>
      </c>
      <c r="D55" s="1">
        <v>4</v>
      </c>
      <c r="E55" s="1" t="s">
        <v>758</v>
      </c>
      <c r="F55" s="1" t="s">
        <v>29</v>
      </c>
      <c r="G55" s="1" t="s">
        <v>906</v>
      </c>
      <c r="H55" s="64">
        <v>64</v>
      </c>
      <c r="I55" s="65" t="s">
        <v>907</v>
      </c>
    </row>
    <row r="56" spans="1:9">
      <c r="A56" s="1">
        <v>55</v>
      </c>
      <c r="B56" s="1" t="s">
        <v>1443</v>
      </c>
      <c r="C56" s="1" t="s">
        <v>279</v>
      </c>
      <c r="D56" s="1">
        <v>4</v>
      </c>
      <c r="E56" s="1" t="s">
        <v>758</v>
      </c>
      <c r="F56" s="1" t="s">
        <v>29</v>
      </c>
      <c r="G56" s="1" t="s">
        <v>909</v>
      </c>
      <c r="H56" s="64">
        <v>64</v>
      </c>
      <c r="I56" s="65" t="s">
        <v>910</v>
      </c>
    </row>
    <row r="57" spans="1:9">
      <c r="A57" s="1">
        <v>56</v>
      </c>
      <c r="B57" s="66" t="s">
        <v>1444</v>
      </c>
      <c r="C57" s="66" t="s">
        <v>279</v>
      </c>
      <c r="D57" s="66">
        <v>9</v>
      </c>
      <c r="E57" s="66" t="s">
        <v>1445</v>
      </c>
      <c r="F57" s="67" t="s">
        <v>1446</v>
      </c>
      <c r="G57" s="66"/>
      <c r="H57" s="65" t="e">
        <v>#N/A</v>
      </c>
      <c r="I57" s="65" t="e">
        <v>#N/A</v>
      </c>
    </row>
    <row r="58" spans="1:9">
      <c r="A58" s="1">
        <v>57</v>
      </c>
      <c r="B58" s="1" t="s">
        <v>858</v>
      </c>
      <c r="C58" s="1" t="s">
        <v>279</v>
      </c>
      <c r="D58" s="1">
        <v>9</v>
      </c>
      <c r="E58" s="1" t="s">
        <v>758</v>
      </c>
      <c r="F58" s="1" t="s">
        <v>29</v>
      </c>
      <c r="G58" s="1" t="s">
        <v>859</v>
      </c>
      <c r="H58" s="64">
        <v>62</v>
      </c>
      <c r="I58" s="65" t="s">
        <v>191</v>
      </c>
    </row>
    <row r="59" spans="1:9">
      <c r="A59" s="1">
        <v>58</v>
      </c>
      <c r="B59" s="1" t="s">
        <v>1447</v>
      </c>
      <c r="C59" s="1" t="s">
        <v>279</v>
      </c>
      <c r="D59" s="1">
        <v>9</v>
      </c>
      <c r="E59" s="1" t="s">
        <v>758</v>
      </c>
      <c r="F59" s="1" t="s">
        <v>29</v>
      </c>
      <c r="G59" s="1" t="s">
        <v>841</v>
      </c>
      <c r="H59" s="65" t="e">
        <v>#N/A</v>
      </c>
      <c r="I59" s="65" t="e">
        <v>#N/A</v>
      </c>
    </row>
    <row r="60" spans="1:9">
      <c r="A60" s="1">
        <v>59</v>
      </c>
      <c r="B60" s="1" t="s">
        <v>1418</v>
      </c>
      <c r="C60" s="1" t="s">
        <v>279</v>
      </c>
      <c r="D60" s="1">
        <v>4</v>
      </c>
      <c r="E60" s="1" t="s">
        <v>758</v>
      </c>
      <c r="F60" s="1" t="s">
        <v>29</v>
      </c>
      <c r="G60" s="1" t="s">
        <v>923</v>
      </c>
      <c r="H60" s="64">
        <v>64</v>
      </c>
      <c r="I60" s="65" t="s">
        <v>1419</v>
      </c>
    </row>
    <row r="61" spans="1:9">
      <c r="A61" s="1">
        <v>60</v>
      </c>
      <c r="B61" s="1" t="s">
        <v>922</v>
      </c>
      <c r="C61" s="1" t="s">
        <v>279</v>
      </c>
      <c r="D61" s="1">
        <v>4</v>
      </c>
      <c r="E61" s="1" t="s">
        <v>758</v>
      </c>
      <c r="F61" s="1" t="s">
        <v>29</v>
      </c>
      <c r="G61" s="1" t="s">
        <v>923</v>
      </c>
      <c r="H61" s="64">
        <v>64</v>
      </c>
      <c r="I61" s="65" t="s">
        <v>1419</v>
      </c>
    </row>
    <row r="62" spans="1:9">
      <c r="A62" s="1">
        <v>61</v>
      </c>
      <c r="B62" s="1" t="s">
        <v>1420</v>
      </c>
      <c r="C62" s="1" t="s">
        <v>279</v>
      </c>
      <c r="D62" s="1">
        <v>4</v>
      </c>
      <c r="E62" s="1" t="s">
        <v>758</v>
      </c>
      <c r="F62" s="1" t="s">
        <v>29</v>
      </c>
      <c r="G62" s="1" t="s">
        <v>923</v>
      </c>
      <c r="H62" s="64">
        <v>64</v>
      </c>
      <c r="I62" s="65" t="s">
        <v>1419</v>
      </c>
    </row>
    <row r="63" spans="1:9">
      <c r="A63" s="1">
        <v>62</v>
      </c>
      <c r="B63" s="1" t="s">
        <v>1422</v>
      </c>
      <c r="C63" s="1" t="s">
        <v>279</v>
      </c>
      <c r="D63" s="1">
        <v>4</v>
      </c>
      <c r="E63" s="1" t="s">
        <v>758</v>
      </c>
      <c r="F63" s="1" t="s">
        <v>29</v>
      </c>
      <c r="G63" s="1" t="s">
        <v>923</v>
      </c>
      <c r="H63" s="64">
        <v>64</v>
      </c>
      <c r="I63" s="65" t="s">
        <v>1419</v>
      </c>
    </row>
    <row r="64" spans="1:9">
      <c r="A64" s="1">
        <v>63</v>
      </c>
      <c r="B64" s="1" t="s">
        <v>1424</v>
      </c>
      <c r="C64" s="1" t="s">
        <v>279</v>
      </c>
      <c r="D64" s="1">
        <v>4</v>
      </c>
      <c r="E64" s="1" t="s">
        <v>758</v>
      </c>
      <c r="F64" s="22" t="s">
        <v>29</v>
      </c>
      <c r="G64" s="1" t="s">
        <v>923</v>
      </c>
      <c r="H64" s="64">
        <v>64</v>
      </c>
      <c r="I64" s="65" t="s">
        <v>1419</v>
      </c>
    </row>
    <row r="65" spans="1:9">
      <c r="A65" s="1">
        <v>64</v>
      </c>
      <c r="B65" s="1" t="s">
        <v>1023</v>
      </c>
      <c r="C65" s="1" t="s">
        <v>279</v>
      </c>
      <c r="D65" s="1">
        <v>4</v>
      </c>
      <c r="E65" s="1" t="s">
        <v>1426</v>
      </c>
      <c r="F65" s="1" t="s">
        <v>932</v>
      </c>
      <c r="G65" s="1" t="s">
        <v>1024</v>
      </c>
      <c r="H65" s="64"/>
      <c r="I65" s="65" t="s">
        <v>1025</v>
      </c>
    </row>
    <row r="66" spans="1:9">
      <c r="A66" s="1">
        <v>65</v>
      </c>
      <c r="B66" s="1" t="s">
        <v>1427</v>
      </c>
      <c r="C66" s="1" t="s">
        <v>279</v>
      </c>
      <c r="D66" s="1">
        <v>2</v>
      </c>
      <c r="E66" s="1" t="s">
        <v>1426</v>
      </c>
      <c r="F66" s="1" t="s">
        <v>932</v>
      </c>
      <c r="G66" s="1" t="s">
        <v>1428</v>
      </c>
      <c r="H66" s="64"/>
      <c r="I66" s="65" t="s">
        <v>1027</v>
      </c>
    </row>
    <row r="67" spans="1:9">
      <c r="A67" s="1">
        <v>66</v>
      </c>
      <c r="B67" s="1" t="s">
        <v>987</v>
      </c>
      <c r="C67" s="1" t="s">
        <v>279</v>
      </c>
      <c r="D67" s="1">
        <v>3</v>
      </c>
      <c r="E67" s="1" t="s">
        <v>1426</v>
      </c>
      <c r="F67" s="1" t="s">
        <v>932</v>
      </c>
      <c r="G67" s="1" t="s">
        <v>988</v>
      </c>
      <c r="H67" s="64"/>
      <c r="I67" s="65" t="s">
        <v>989</v>
      </c>
    </row>
    <row r="68" spans="1:9">
      <c r="A68" s="1">
        <v>67</v>
      </c>
      <c r="B68" s="1" t="s">
        <v>979</v>
      </c>
      <c r="C68" s="1" t="s">
        <v>279</v>
      </c>
      <c r="D68" s="1">
        <v>3</v>
      </c>
      <c r="E68" s="1" t="s">
        <v>1426</v>
      </c>
      <c r="F68" s="1" t="s">
        <v>932</v>
      </c>
      <c r="G68" s="1" t="s">
        <v>980</v>
      </c>
      <c r="H68" s="64"/>
      <c r="I68" s="65" t="s">
        <v>981</v>
      </c>
    </row>
    <row r="69" spans="1:9">
      <c r="A69" s="1">
        <v>68</v>
      </c>
      <c r="B69" s="1" t="s">
        <v>1429</v>
      </c>
      <c r="C69" s="1" t="s">
        <v>279</v>
      </c>
      <c r="D69" s="1">
        <v>9</v>
      </c>
      <c r="E69" s="1" t="s">
        <v>1426</v>
      </c>
      <c r="F69" s="1" t="s">
        <v>932</v>
      </c>
      <c r="G69" s="1" t="s">
        <v>982</v>
      </c>
      <c r="H69" s="64"/>
      <c r="I69" s="65" t="s">
        <v>983</v>
      </c>
    </row>
    <row r="70" spans="1:9">
      <c r="A70" s="1">
        <v>69</v>
      </c>
      <c r="B70" s="1" t="s">
        <v>961</v>
      </c>
      <c r="C70" s="1" t="s">
        <v>279</v>
      </c>
      <c r="D70" s="1">
        <v>9</v>
      </c>
      <c r="E70" s="1" t="s">
        <v>1426</v>
      </c>
      <c r="F70" s="1" t="s">
        <v>932</v>
      </c>
      <c r="G70" s="1" t="s">
        <v>962</v>
      </c>
      <c r="H70" s="64"/>
      <c r="I70" s="65" t="s">
        <v>963</v>
      </c>
    </row>
    <row r="71" spans="1:9">
      <c r="A71" s="1">
        <v>70</v>
      </c>
      <c r="B71" s="1" t="s">
        <v>964</v>
      </c>
      <c r="C71" s="1" t="s">
        <v>279</v>
      </c>
      <c r="D71" s="1">
        <v>9</v>
      </c>
      <c r="E71" s="1" t="s">
        <v>1426</v>
      </c>
      <c r="F71" s="1" t="s">
        <v>932</v>
      </c>
      <c r="G71" s="1" t="s">
        <v>965</v>
      </c>
      <c r="H71" s="64"/>
      <c r="I71" s="65" t="s">
        <v>966</v>
      </c>
    </row>
    <row r="72" spans="1:9">
      <c r="A72" s="1">
        <v>71</v>
      </c>
      <c r="B72" s="1" t="s">
        <v>1430</v>
      </c>
      <c r="C72" s="1" t="s">
        <v>279</v>
      </c>
      <c r="D72" s="1">
        <v>3</v>
      </c>
      <c r="E72" s="1" t="s">
        <v>1426</v>
      </c>
      <c r="F72" s="1" t="s">
        <v>932</v>
      </c>
      <c r="G72" s="1" t="s">
        <v>1431</v>
      </c>
      <c r="H72" s="64"/>
      <c r="I72" s="65" t="s">
        <v>1432</v>
      </c>
    </row>
    <row r="73" spans="1:9">
      <c r="A73" s="1">
        <v>72</v>
      </c>
      <c r="B73" s="1" t="s">
        <v>1433</v>
      </c>
      <c r="C73" s="1" t="s">
        <v>279</v>
      </c>
      <c r="D73" s="1">
        <v>9</v>
      </c>
      <c r="E73" s="1" t="s">
        <v>1426</v>
      </c>
      <c r="F73" s="1" t="s">
        <v>932</v>
      </c>
      <c r="G73" s="1" t="s">
        <v>1051</v>
      </c>
      <c r="H73" s="64"/>
      <c r="I73" s="65" t="s">
        <v>1052</v>
      </c>
    </row>
    <row r="74" spans="1:9">
      <c r="A74" s="1">
        <v>73</v>
      </c>
      <c r="B74" s="1" t="s">
        <v>445</v>
      </c>
      <c r="C74" s="1" t="s">
        <v>275</v>
      </c>
      <c r="D74" s="1">
        <v>2</v>
      </c>
      <c r="E74" s="1" t="s">
        <v>1296</v>
      </c>
      <c r="F74" s="1"/>
      <c r="G74" s="1"/>
      <c r="H74" s="64"/>
      <c r="I74" s="65" t="s">
        <v>445</v>
      </c>
    </row>
    <row r="75" spans="1:9">
      <c r="A75" s="1">
        <v>74</v>
      </c>
      <c r="B75" s="1" t="s">
        <v>1448</v>
      </c>
      <c r="C75" s="1" t="s">
        <v>279</v>
      </c>
      <c r="D75" s="1">
        <v>9</v>
      </c>
      <c r="E75" s="1" t="s">
        <v>1296</v>
      </c>
      <c r="F75" s="1"/>
      <c r="G75" s="1"/>
      <c r="H75" s="64"/>
      <c r="I75" s="65" t="e">
        <v>#N/A</v>
      </c>
    </row>
    <row r="76" spans="1:9">
      <c r="A76" s="1">
        <v>75</v>
      </c>
      <c r="B76" s="1" t="s">
        <v>1449</v>
      </c>
      <c r="C76" s="1" t="s">
        <v>279</v>
      </c>
      <c r="D76" s="1">
        <v>9</v>
      </c>
      <c r="E76" s="1" t="s">
        <v>1296</v>
      </c>
      <c r="F76" s="1"/>
      <c r="G76" s="1"/>
      <c r="H76" s="64"/>
      <c r="I76" s="65" t="e">
        <v>#N/A</v>
      </c>
    </row>
    <row r="77" spans="1:9">
      <c r="A77" s="1">
        <v>76</v>
      </c>
      <c r="B77" s="1" t="s">
        <v>1297</v>
      </c>
      <c r="C77" s="1" t="s">
        <v>279</v>
      </c>
      <c r="D77" s="1">
        <v>9</v>
      </c>
      <c r="E77" s="1" t="s">
        <v>1296</v>
      </c>
      <c r="F77" s="1"/>
      <c r="G77" s="1"/>
      <c r="H77" s="64"/>
      <c r="I77" s="65" t="s">
        <v>1298</v>
      </c>
    </row>
    <row r="78" spans="1:9">
      <c r="A78" s="1">
        <v>77</v>
      </c>
      <c r="B78" s="1" t="s">
        <v>687</v>
      </c>
      <c r="C78" s="1" t="s">
        <v>275</v>
      </c>
      <c r="D78" s="1">
        <v>1</v>
      </c>
      <c r="E78" s="1" t="s">
        <v>1296</v>
      </c>
      <c r="F78" s="1"/>
      <c r="G78" s="1"/>
      <c r="H78" s="64"/>
      <c r="I78" s="65" t="s">
        <v>687</v>
      </c>
    </row>
    <row r="79" spans="1:9">
      <c r="A79" s="1">
        <v>78</v>
      </c>
      <c r="B79" s="1" t="s">
        <v>688</v>
      </c>
      <c r="C79" s="1" t="s">
        <v>275</v>
      </c>
      <c r="D79" s="1">
        <v>14</v>
      </c>
      <c r="E79" s="1" t="s">
        <v>1296</v>
      </c>
      <c r="F79" s="1"/>
      <c r="G79" s="1"/>
      <c r="H79" s="64"/>
      <c r="I79" s="65" t="s">
        <v>50</v>
      </c>
    </row>
    <row r="80" spans="1:9">
      <c r="A80" s="1">
        <v>79</v>
      </c>
      <c r="B80" s="1" t="s">
        <v>689</v>
      </c>
      <c r="C80" s="1" t="s">
        <v>275</v>
      </c>
      <c r="D80" s="1">
        <v>1</v>
      </c>
      <c r="E80" s="1" t="s">
        <v>1296</v>
      </c>
      <c r="F80" s="1"/>
      <c r="G80" s="1"/>
      <c r="H80" s="64"/>
      <c r="I80" s="65" t="s">
        <v>1299</v>
      </c>
    </row>
    <row r="81" spans="1:9">
      <c r="A81" s="1">
        <v>80</v>
      </c>
      <c r="B81" s="1" t="s">
        <v>690</v>
      </c>
      <c r="C81" s="1" t="s">
        <v>275</v>
      </c>
      <c r="D81" s="1">
        <v>1</v>
      </c>
      <c r="E81" s="1" t="s">
        <v>1296</v>
      </c>
      <c r="F81" s="1"/>
      <c r="G81" s="1"/>
      <c r="H81" s="64"/>
      <c r="I81" s="65" t="s">
        <v>1300</v>
      </c>
    </row>
    <row r="82" spans="1:9">
      <c r="A82" s="1">
        <v>81</v>
      </c>
      <c r="B82" s="1" t="s">
        <v>691</v>
      </c>
      <c r="C82" s="1" t="s">
        <v>275</v>
      </c>
      <c r="D82" s="1">
        <v>1</v>
      </c>
      <c r="E82" s="1" t="s">
        <v>1296</v>
      </c>
      <c r="F82" s="1"/>
      <c r="G82" s="1"/>
      <c r="H82" s="64"/>
      <c r="I82" s="65" t="s">
        <v>1301</v>
      </c>
    </row>
    <row r="83" spans="1:9">
      <c r="A83" s="1">
        <v>82</v>
      </c>
      <c r="B83" s="1" t="s">
        <v>692</v>
      </c>
      <c r="C83" s="1" t="s">
        <v>275</v>
      </c>
      <c r="D83" s="1">
        <v>1</v>
      </c>
      <c r="E83" s="1" t="s">
        <v>1296</v>
      </c>
      <c r="F83" s="1"/>
      <c r="G83" s="1"/>
      <c r="H83" s="64"/>
      <c r="I83" s="65" t="s">
        <v>1302</v>
      </c>
    </row>
    <row r="84" spans="1:9">
      <c r="A84" s="1">
        <v>83</v>
      </c>
      <c r="B84" s="1" t="s">
        <v>693</v>
      </c>
      <c r="C84" s="1" t="s">
        <v>275</v>
      </c>
      <c r="D84" s="1">
        <v>1</v>
      </c>
      <c r="E84" s="1" t="s">
        <v>1296</v>
      </c>
      <c r="F84" s="1"/>
      <c r="G84" s="1"/>
      <c r="H84" s="64"/>
      <c r="I84" s="65" t="s">
        <v>1303</v>
      </c>
    </row>
    <row r="85" spans="1:9">
      <c r="A85" s="1">
        <v>84</v>
      </c>
      <c r="B85" s="1" t="s">
        <v>694</v>
      </c>
      <c r="C85" s="1" t="s">
        <v>275</v>
      </c>
      <c r="D85" s="1">
        <v>1</v>
      </c>
      <c r="E85" s="1" t="s">
        <v>1296</v>
      </c>
      <c r="F85" s="1"/>
      <c r="G85" s="1"/>
      <c r="H85" s="64"/>
      <c r="I85" s="65" t="s">
        <v>1304</v>
      </c>
    </row>
    <row r="86" spans="1:9">
      <c r="A86" s="1">
        <v>85</v>
      </c>
      <c r="B86" s="1" t="s">
        <v>695</v>
      </c>
      <c r="C86" s="1" t="s">
        <v>275</v>
      </c>
      <c r="D86" s="1">
        <v>1</v>
      </c>
      <c r="E86" s="1" t="s">
        <v>1296</v>
      </c>
      <c r="F86" s="1"/>
      <c r="G86" s="1"/>
      <c r="H86" s="64"/>
      <c r="I86" s="65" t="s">
        <v>1305</v>
      </c>
    </row>
    <row r="87" spans="1:9">
      <c r="A87" s="1">
        <v>86</v>
      </c>
      <c r="B87" s="1" t="s">
        <v>696</v>
      </c>
      <c r="C87" s="1" t="s">
        <v>275</v>
      </c>
      <c r="D87" s="1">
        <v>1</v>
      </c>
      <c r="E87" s="1" t="s">
        <v>1296</v>
      </c>
      <c r="F87" s="1"/>
      <c r="G87" s="1"/>
      <c r="H87" s="64"/>
      <c r="I87" s="65" t="s">
        <v>1306</v>
      </c>
    </row>
    <row r="88" spans="1:9">
      <c r="A88" s="1">
        <v>87</v>
      </c>
      <c r="B88" s="1" t="s">
        <v>697</v>
      </c>
      <c r="C88" s="1" t="s">
        <v>275</v>
      </c>
      <c r="D88" s="1">
        <v>1</v>
      </c>
      <c r="E88" s="1" t="s">
        <v>1296</v>
      </c>
      <c r="F88" s="1"/>
      <c r="G88" s="1"/>
      <c r="H88" s="64"/>
      <c r="I88" s="65" t="s">
        <v>1307</v>
      </c>
    </row>
    <row r="89" spans="1:9">
      <c r="A89" s="1">
        <v>88</v>
      </c>
      <c r="B89" s="1" t="s">
        <v>698</v>
      </c>
      <c r="C89" s="1" t="s">
        <v>275</v>
      </c>
      <c r="D89" s="1">
        <v>1</v>
      </c>
      <c r="E89" s="1" t="s">
        <v>1296</v>
      </c>
      <c r="F89" s="1"/>
      <c r="G89" s="1"/>
      <c r="H89" s="64"/>
      <c r="I89" s="65" t="s">
        <v>1308</v>
      </c>
    </row>
    <row r="90" spans="1:9">
      <c r="A90" s="1">
        <v>89</v>
      </c>
      <c r="B90" s="1" t="s">
        <v>699</v>
      </c>
      <c r="C90" s="1" t="s">
        <v>275</v>
      </c>
      <c r="D90" s="1">
        <v>1</v>
      </c>
      <c r="E90" s="1" t="s">
        <v>1296</v>
      </c>
      <c r="F90" s="1"/>
      <c r="G90" s="1"/>
      <c r="H90" s="64"/>
      <c r="I90" s="65" t="s">
        <v>1309</v>
      </c>
    </row>
    <row r="91" spans="1:9">
      <c r="A91" s="1">
        <v>90</v>
      </c>
      <c r="B91" s="1" t="s">
        <v>700</v>
      </c>
      <c r="C91" s="1" t="s">
        <v>275</v>
      </c>
      <c r="D91" s="1">
        <v>1</v>
      </c>
      <c r="E91" s="1" t="s">
        <v>1296</v>
      </c>
      <c r="F91" s="1"/>
      <c r="G91" s="1"/>
      <c r="H91" s="64"/>
      <c r="I91" s="65" t="s">
        <v>1310</v>
      </c>
    </row>
    <row r="92" spans="1:9">
      <c r="A92" s="1">
        <v>91</v>
      </c>
      <c r="B92" s="1" t="s">
        <v>701</v>
      </c>
      <c r="C92" s="1" t="s">
        <v>275</v>
      </c>
      <c r="D92" s="1">
        <v>1</v>
      </c>
      <c r="E92" s="1" t="s">
        <v>1296</v>
      </c>
      <c r="F92" s="1"/>
      <c r="G92" s="1"/>
      <c r="H92" s="64"/>
      <c r="I92" s="65" t="s">
        <v>1311</v>
      </c>
    </row>
    <row r="93" spans="1:9">
      <c r="A93" s="1">
        <v>92</v>
      </c>
      <c r="B93" s="1" t="s">
        <v>177</v>
      </c>
      <c r="C93" s="1" t="s">
        <v>279</v>
      </c>
      <c r="D93" s="1">
        <v>15</v>
      </c>
      <c r="E93" s="1" t="s">
        <v>1296</v>
      </c>
      <c r="F93" s="1"/>
      <c r="G93" s="1"/>
      <c r="H93" s="64"/>
      <c r="I93" s="65" t="s">
        <v>177</v>
      </c>
    </row>
    <row r="94" spans="1:9">
      <c r="A94" s="1">
        <v>93</v>
      </c>
      <c r="B94" s="1" t="s">
        <v>178</v>
      </c>
      <c r="C94" s="1" t="s">
        <v>279</v>
      </c>
      <c r="D94" s="1">
        <v>15</v>
      </c>
      <c r="E94" s="1" t="s">
        <v>1296</v>
      </c>
      <c r="F94" s="1"/>
      <c r="G94" s="1"/>
      <c r="H94" s="64"/>
      <c r="I94" s="65" t="s">
        <v>178</v>
      </c>
    </row>
    <row r="95" spans="1:9">
      <c r="A95" s="1">
        <v>94</v>
      </c>
      <c r="B95" s="1" t="s">
        <v>179</v>
      </c>
      <c r="C95" s="1" t="s">
        <v>279</v>
      </c>
      <c r="D95" s="1">
        <v>15</v>
      </c>
      <c r="E95" s="1" t="s">
        <v>1296</v>
      </c>
      <c r="F95" s="1"/>
      <c r="G95" s="1"/>
      <c r="H95" s="64"/>
      <c r="I95" s="65" t="s">
        <v>179</v>
      </c>
    </row>
    <row r="96" spans="1:9">
      <c r="A96" s="1">
        <v>95</v>
      </c>
      <c r="B96" s="1" t="s">
        <v>180</v>
      </c>
      <c r="C96" s="1" t="s">
        <v>279</v>
      </c>
      <c r="D96" s="1">
        <v>15</v>
      </c>
      <c r="E96" s="1" t="s">
        <v>1296</v>
      </c>
      <c r="F96" s="1"/>
      <c r="G96" s="1"/>
      <c r="H96" s="64"/>
      <c r="I96" s="65" t="s">
        <v>180</v>
      </c>
    </row>
    <row r="97" spans="1:9">
      <c r="A97" s="1">
        <v>96</v>
      </c>
      <c r="B97" s="1" t="s">
        <v>1318</v>
      </c>
      <c r="C97" s="1" t="s">
        <v>279</v>
      </c>
      <c r="D97" s="1">
        <v>15</v>
      </c>
      <c r="E97" s="1" t="s">
        <v>1450</v>
      </c>
      <c r="F97" s="1"/>
      <c r="G97" s="1"/>
      <c r="H97" s="64"/>
      <c r="I97" s="65" t="s">
        <v>182</v>
      </c>
    </row>
    <row r="98" spans="1:9">
      <c r="A98" s="1">
        <v>97</v>
      </c>
      <c r="B98" s="1" t="s">
        <v>342</v>
      </c>
      <c r="C98" s="1" t="s">
        <v>279</v>
      </c>
      <c r="D98" s="1">
        <v>15</v>
      </c>
      <c r="E98" s="1" t="s">
        <v>1296</v>
      </c>
      <c r="F98" s="1"/>
      <c r="G98" s="1"/>
      <c r="H98" s="64"/>
      <c r="I98" s="65" t="s">
        <v>1321</v>
      </c>
    </row>
    <row r="99" spans="1:9">
      <c r="A99" s="1">
        <v>98</v>
      </c>
      <c r="B99" s="1" t="s">
        <v>731</v>
      </c>
      <c r="C99" s="1" t="s">
        <v>275</v>
      </c>
      <c r="D99" s="1">
        <v>1</v>
      </c>
      <c r="E99" s="1" t="s">
        <v>1451</v>
      </c>
      <c r="F99" s="1"/>
      <c r="G99" s="1"/>
      <c r="H99" s="64"/>
      <c r="I99" s="65" t="s">
        <v>1312</v>
      </c>
    </row>
    <row r="100" spans="1:9">
      <c r="A100" s="1">
        <v>99</v>
      </c>
      <c r="B100" s="1" t="s">
        <v>730</v>
      </c>
      <c r="C100" s="1" t="s">
        <v>275</v>
      </c>
      <c r="D100" s="1">
        <v>1</v>
      </c>
      <c r="E100" s="1" t="s">
        <v>1452</v>
      </c>
      <c r="F100" s="1"/>
      <c r="G100" s="1"/>
      <c r="H100" s="64"/>
      <c r="I100" s="65" t="s">
        <v>1313</v>
      </c>
    </row>
    <row r="101" spans="1:9">
      <c r="A101" s="1">
        <v>100</v>
      </c>
      <c r="B101" s="1" t="s">
        <v>732</v>
      </c>
      <c r="C101" s="1" t="s">
        <v>275</v>
      </c>
      <c r="D101" s="1">
        <v>1</v>
      </c>
      <c r="E101" s="1" t="s">
        <v>1452</v>
      </c>
      <c r="F101" s="1"/>
      <c r="G101" s="1"/>
      <c r="H101" s="64"/>
      <c r="I101" s="65" t="s">
        <v>1314</v>
      </c>
    </row>
    <row r="102" spans="1:9">
      <c r="A102" s="1">
        <v>101</v>
      </c>
      <c r="B102" s="1" t="s">
        <v>733</v>
      </c>
      <c r="C102" s="1" t="s">
        <v>275</v>
      </c>
      <c r="D102" s="1">
        <v>1</v>
      </c>
      <c r="E102" s="1" t="s">
        <v>1296</v>
      </c>
      <c r="F102" s="1"/>
      <c r="G102" s="1"/>
      <c r="H102" s="64"/>
      <c r="I102" s="65" t="s">
        <v>1315</v>
      </c>
    </row>
    <row r="103" spans="1:9">
      <c r="A103" s="1">
        <v>102</v>
      </c>
      <c r="B103" s="1" t="s">
        <v>181</v>
      </c>
      <c r="C103" s="1" t="s">
        <v>275</v>
      </c>
      <c r="D103" s="1">
        <v>1</v>
      </c>
      <c r="E103" s="1" t="s">
        <v>1296</v>
      </c>
      <c r="F103" s="1"/>
      <c r="G103" s="1"/>
      <c r="H103" s="64"/>
      <c r="I103" s="65" t="s">
        <v>181</v>
      </c>
    </row>
    <row r="104" spans="1:9">
      <c r="A104" s="1">
        <v>103</v>
      </c>
      <c r="B104" s="1" t="s">
        <v>685</v>
      </c>
      <c r="C104" s="1" t="s">
        <v>275</v>
      </c>
      <c r="D104" s="1">
        <v>2</v>
      </c>
      <c r="E104" s="1" t="s">
        <v>1451</v>
      </c>
      <c r="F104" s="1"/>
      <c r="G104" s="1"/>
      <c r="H104" s="64"/>
      <c r="I104" s="65" t="s">
        <v>1316</v>
      </c>
    </row>
    <row r="105" spans="1:9">
      <c r="A105" s="1">
        <v>104</v>
      </c>
      <c r="B105" s="1" t="s">
        <v>686</v>
      </c>
      <c r="C105" s="1" t="s">
        <v>279</v>
      </c>
      <c r="D105" s="1">
        <v>15</v>
      </c>
      <c r="E105" s="1" t="s">
        <v>1451</v>
      </c>
      <c r="F105" s="1"/>
      <c r="G105" s="1"/>
      <c r="H105" s="64"/>
      <c r="I105" s="65" t="s">
        <v>1317</v>
      </c>
    </row>
    <row r="106" spans="1:9">
      <c r="A106" s="1">
        <v>105</v>
      </c>
      <c r="B106" s="1" t="s">
        <v>1322</v>
      </c>
      <c r="C106" s="1" t="s">
        <v>279</v>
      </c>
      <c r="D106" s="1">
        <v>15</v>
      </c>
      <c r="E106" s="1" t="s">
        <v>1296</v>
      </c>
      <c r="F106" s="1"/>
      <c r="G106" s="1"/>
      <c r="H106" s="64"/>
      <c r="I106" s="65" t="s">
        <v>1323</v>
      </c>
    </row>
    <row r="107" spans="1:9">
      <c r="A107" s="1">
        <v>106</v>
      </c>
      <c r="B107" s="1" t="s">
        <v>343</v>
      </c>
      <c r="C107" s="1" t="s">
        <v>279</v>
      </c>
      <c r="D107" s="1">
        <v>15</v>
      </c>
      <c r="E107" s="1" t="s">
        <v>1296</v>
      </c>
      <c r="F107" s="1"/>
      <c r="G107" s="1"/>
      <c r="H107" s="64"/>
      <c r="I107" s="65" t="s">
        <v>1324</v>
      </c>
    </row>
    <row r="108" spans="1:9">
      <c r="A108" s="1">
        <v>107</v>
      </c>
      <c r="B108" s="1" t="s">
        <v>344</v>
      </c>
      <c r="C108" s="1" t="s">
        <v>279</v>
      </c>
      <c r="D108" s="1">
        <v>15</v>
      </c>
      <c r="E108" s="1" t="s">
        <v>1296</v>
      </c>
      <c r="F108" s="1"/>
      <c r="G108" s="1"/>
      <c r="H108" s="64"/>
      <c r="I108" s="65" t="s">
        <v>1325</v>
      </c>
    </row>
    <row r="109" spans="1:9">
      <c r="A109" s="1">
        <v>108</v>
      </c>
      <c r="B109" s="1" t="s">
        <v>345</v>
      </c>
      <c r="C109" s="1" t="s">
        <v>279</v>
      </c>
      <c r="D109" s="1">
        <v>15</v>
      </c>
      <c r="E109" s="1" t="s">
        <v>1452</v>
      </c>
      <c r="F109" s="1"/>
      <c r="G109" s="1"/>
      <c r="H109" s="64"/>
      <c r="I109" s="65" t="s">
        <v>1326</v>
      </c>
    </row>
    <row r="110" spans="1:9">
      <c r="A110" s="1">
        <v>109</v>
      </c>
      <c r="B110" s="1" t="s">
        <v>346</v>
      </c>
      <c r="C110" s="1" t="s">
        <v>279</v>
      </c>
      <c r="D110" s="1">
        <v>15</v>
      </c>
      <c r="E110" s="1" t="s">
        <v>1296</v>
      </c>
      <c r="F110" s="1"/>
      <c r="G110" s="1"/>
      <c r="H110" s="64"/>
      <c r="I110" s="65" t="s">
        <v>739</v>
      </c>
    </row>
    <row r="111" spans="1:9">
      <c r="A111" s="1">
        <v>110</v>
      </c>
      <c r="B111" s="1" t="s">
        <v>1698</v>
      </c>
      <c r="C111" s="1" t="s">
        <v>279</v>
      </c>
      <c r="D111" s="1">
        <v>15</v>
      </c>
      <c r="E111" s="1" t="s">
        <v>1452</v>
      </c>
      <c r="F111" s="1"/>
      <c r="G111" s="1"/>
      <c r="H111" s="64"/>
      <c r="I111" s="65" t="s">
        <v>1320</v>
      </c>
    </row>
    <row r="112" spans="1:9">
      <c r="A112" s="1"/>
      <c r="B112" s="1"/>
      <c r="C112" s="1"/>
      <c r="D112" s="1"/>
      <c r="E112" s="22"/>
      <c r="F112" s="1"/>
      <c r="G112" s="1"/>
      <c r="H112" s="1"/>
      <c r="I112" s="65"/>
    </row>
    <row r="113" spans="1:9">
      <c r="A113" s="1"/>
      <c r="B113" s="1"/>
      <c r="C113" s="1"/>
      <c r="D113" s="1"/>
      <c r="E113" s="22"/>
      <c r="F113" s="1"/>
      <c r="G113" s="1"/>
      <c r="H113" s="1"/>
      <c r="I113" s="1"/>
    </row>
    <row r="114" spans="1:9">
      <c r="A114" s="1"/>
      <c r="B114" s="1"/>
      <c r="C114" s="1"/>
      <c r="D114" s="1"/>
      <c r="E114" s="22"/>
      <c r="F114" s="1"/>
      <c r="G114" s="1"/>
      <c r="H114" s="1"/>
      <c r="I114" s="1"/>
    </row>
    <row r="115" spans="1:9">
      <c r="A115" s="1"/>
      <c r="B115" s="1"/>
      <c r="C115" s="1"/>
      <c r="D115" s="1"/>
      <c r="E115" s="22"/>
      <c r="F115" s="1"/>
      <c r="G115" s="1"/>
      <c r="H115" s="1"/>
      <c r="I115" s="1"/>
    </row>
    <row r="116" spans="1:9">
      <c r="A116" s="1"/>
      <c r="B116" s="1"/>
      <c r="C116" s="1"/>
      <c r="D116" s="1"/>
      <c r="E116" s="22"/>
      <c r="F116" s="1"/>
      <c r="G116" s="1"/>
      <c r="H116" s="1"/>
      <c r="I116" s="1"/>
    </row>
    <row r="117" spans="1:9">
      <c r="A117" s="1"/>
      <c r="B117" s="1"/>
      <c r="C117" s="1"/>
      <c r="D117" s="1"/>
      <c r="E117" s="22"/>
      <c r="F117" s="1"/>
      <c r="G117" s="1"/>
      <c r="H117" s="1"/>
      <c r="I117" s="1"/>
    </row>
    <row r="118" spans="1:9">
      <c r="A118" s="1"/>
      <c r="B118" s="1"/>
      <c r="C118" s="1"/>
      <c r="D118" s="1"/>
      <c r="E118" s="22"/>
      <c r="F118" s="1"/>
      <c r="G118" s="1"/>
      <c r="H118" s="1"/>
      <c r="I118" s="1"/>
    </row>
    <row r="119" spans="1:9">
      <c r="A119" s="1"/>
      <c r="B119" s="1"/>
      <c r="C119" s="1"/>
      <c r="D119" s="1"/>
      <c r="E119" s="22"/>
      <c r="F119" s="1"/>
      <c r="G119" s="1"/>
      <c r="H119" s="1"/>
      <c r="I119" s="1"/>
    </row>
    <row r="120" spans="1:9">
      <c r="A120" s="1"/>
      <c r="B120" s="1"/>
      <c r="C120" s="1"/>
      <c r="D120" s="1"/>
      <c r="E120" s="22"/>
      <c r="F120" s="1"/>
      <c r="G120" s="1"/>
      <c r="H120" s="1"/>
      <c r="I120" s="1"/>
    </row>
    <row r="121" spans="1:9">
      <c r="A121" s="1"/>
      <c r="B121" s="1"/>
      <c r="C121" s="1"/>
      <c r="D121" s="1"/>
      <c r="E121" s="22"/>
      <c r="F121" s="1"/>
      <c r="G121" s="1"/>
      <c r="H121" s="1"/>
      <c r="I121" s="1"/>
    </row>
    <row r="122" spans="1:9">
      <c r="A122" s="1"/>
      <c r="B122" s="1"/>
      <c r="C122" s="1"/>
      <c r="D122" s="1"/>
      <c r="E122" s="22"/>
      <c r="F122" s="1"/>
      <c r="G122" s="1"/>
      <c r="H122" s="1"/>
      <c r="I122" s="65"/>
    </row>
    <row r="123" spans="1:9">
      <c r="A123" s="1"/>
      <c r="B123" s="1"/>
      <c r="C123" s="1"/>
      <c r="D123" s="1"/>
      <c r="E123" s="22"/>
      <c r="F123" s="1"/>
      <c r="G123" s="1"/>
      <c r="H123" s="1"/>
      <c r="I123" s="65"/>
    </row>
    <row r="124" spans="1:9">
      <c r="A124" s="1"/>
      <c r="B124" s="1"/>
      <c r="C124" s="1"/>
      <c r="D124" s="1"/>
      <c r="E124" s="22"/>
      <c r="F124" s="1"/>
      <c r="G124" s="1"/>
      <c r="H124" s="1"/>
      <c r="I124" s="65"/>
    </row>
    <row r="125" spans="1:9">
      <c r="A125" s="1"/>
      <c r="B125" s="1"/>
      <c r="C125" s="1"/>
      <c r="D125" s="1"/>
      <c r="E125" s="22"/>
      <c r="F125" s="1"/>
      <c r="G125" s="1"/>
      <c r="H125" s="1"/>
      <c r="I125" s="65"/>
    </row>
    <row r="126" spans="1:9">
      <c r="A126" s="1"/>
      <c r="B126" s="1"/>
      <c r="C126" s="1"/>
      <c r="D126" s="1"/>
      <c r="E126" s="22"/>
      <c r="F126" s="1"/>
      <c r="G126" s="1"/>
      <c r="H126" s="1"/>
      <c r="I126" s="65"/>
    </row>
    <row r="127" spans="1:9">
      <c r="A127" s="1"/>
      <c r="B127" s="1"/>
      <c r="C127" s="1"/>
      <c r="D127" s="1"/>
      <c r="E127" s="22"/>
      <c r="F127" s="1"/>
      <c r="G127" s="1"/>
      <c r="H127" s="1"/>
      <c r="I127" s="65"/>
    </row>
    <row r="128" spans="1:9">
      <c r="A128" s="1"/>
      <c r="B128" s="1"/>
      <c r="C128" s="1"/>
      <c r="D128" s="1"/>
      <c r="E128" s="22"/>
      <c r="F128" s="1"/>
      <c r="G128" s="1"/>
      <c r="H128" s="1"/>
      <c r="I128" s="65"/>
    </row>
    <row r="129" spans="1:9">
      <c r="A129" s="1"/>
      <c r="B129" s="1"/>
      <c r="C129" s="1"/>
      <c r="D129" s="1"/>
      <c r="E129" s="22"/>
      <c r="F129" s="1"/>
      <c r="G129" s="1"/>
      <c r="H129" s="1"/>
      <c r="I129" s="65"/>
    </row>
    <row r="130" spans="1:9">
      <c r="A130" s="1"/>
      <c r="B130" s="1"/>
      <c r="C130" s="1"/>
      <c r="D130" s="1"/>
      <c r="E130" s="22"/>
      <c r="F130" s="1"/>
      <c r="G130" s="1"/>
      <c r="H130" s="1"/>
      <c r="I130" s="65"/>
    </row>
    <row r="131" spans="1:9">
      <c r="A131" s="1"/>
      <c r="B131" s="1"/>
      <c r="C131" s="1"/>
      <c r="D131" s="1"/>
      <c r="E131" s="22"/>
      <c r="F131" s="1"/>
      <c r="G131" s="1"/>
      <c r="H131" s="1"/>
      <c r="I131" s="65"/>
    </row>
    <row r="132" spans="1:9">
      <c r="A132" s="1"/>
      <c r="B132" s="1"/>
      <c r="C132" s="1"/>
      <c r="D132" s="1"/>
      <c r="E132" s="22"/>
      <c r="F132" s="1"/>
      <c r="G132" s="1"/>
      <c r="H132" s="1"/>
      <c r="I132" s="65"/>
    </row>
    <row r="133" spans="1:9">
      <c r="A133" s="1"/>
      <c r="B133" s="1"/>
      <c r="C133" s="1"/>
      <c r="D133" s="1"/>
      <c r="E133" s="22"/>
      <c r="F133" s="1"/>
      <c r="G133" s="1"/>
      <c r="H133" s="1"/>
      <c r="I133" s="65"/>
    </row>
    <row r="134" spans="1:9">
      <c r="A134" s="1"/>
      <c r="B134" s="1"/>
      <c r="C134" s="1"/>
      <c r="D134" s="1"/>
      <c r="E134" s="22"/>
      <c r="F134" s="1"/>
      <c r="G134" s="1"/>
      <c r="H134" s="1"/>
      <c r="I134" s="65"/>
    </row>
    <row r="135" spans="1:9">
      <c r="A135" s="1"/>
      <c r="B135" s="1"/>
      <c r="C135" s="1"/>
      <c r="D135" s="1"/>
      <c r="E135" s="22"/>
      <c r="F135" s="1"/>
      <c r="G135" s="1"/>
      <c r="H135" s="1"/>
      <c r="I135" s="65"/>
    </row>
    <row r="136" spans="1:9">
      <c r="A136" s="1"/>
      <c r="B136" s="1"/>
      <c r="C136" s="1"/>
      <c r="D136" s="1"/>
      <c r="E136" s="22"/>
      <c r="F136" s="1"/>
      <c r="G136" s="1"/>
      <c r="H136" s="1"/>
      <c r="I136" s="65"/>
    </row>
    <row r="137" spans="1:9">
      <c r="A137" s="1"/>
      <c r="B137" s="1"/>
      <c r="C137" s="1"/>
      <c r="D137" s="1"/>
      <c r="E137" s="22"/>
      <c r="F137" s="1"/>
      <c r="G137" s="1"/>
      <c r="H137" s="1"/>
      <c r="I137" s="65"/>
    </row>
    <row r="138" spans="1:9">
      <c r="A138" s="1"/>
      <c r="B138" s="1"/>
      <c r="C138" s="1"/>
      <c r="D138" s="1"/>
      <c r="E138" s="22"/>
      <c r="F138" s="1"/>
      <c r="G138" s="1"/>
      <c r="H138" s="1"/>
      <c r="I138" s="65"/>
    </row>
    <row r="139" spans="1:9">
      <c r="A139" s="1"/>
      <c r="B139" s="1"/>
      <c r="C139" s="1"/>
      <c r="D139" s="1"/>
      <c r="E139" s="22"/>
      <c r="F139" s="1"/>
      <c r="G139" s="1"/>
      <c r="H139" s="1"/>
      <c r="I139" s="65"/>
    </row>
    <row r="140" spans="1:9">
      <c r="A140" s="1"/>
      <c r="B140" s="1"/>
      <c r="C140" s="1"/>
      <c r="D140" s="1"/>
      <c r="E140" s="22"/>
      <c r="F140" s="1"/>
      <c r="G140" s="1"/>
      <c r="H140" s="1"/>
      <c r="I140" s="65"/>
    </row>
    <row r="141" spans="1:9">
      <c r="A141" s="1"/>
      <c r="B141" s="1"/>
      <c r="C141" s="1"/>
      <c r="D141" s="1"/>
      <c r="E141" s="22"/>
      <c r="F141" s="1"/>
      <c r="G141" s="1"/>
      <c r="H141" s="1"/>
      <c r="I141" s="65"/>
    </row>
    <row r="142" spans="1:9">
      <c r="A142" s="1"/>
      <c r="B142" s="1"/>
      <c r="C142" s="1"/>
      <c r="D142" s="1"/>
      <c r="E142" s="22"/>
      <c r="F142" s="1"/>
      <c r="G142" s="1"/>
      <c r="H142" s="1"/>
      <c r="I142" s="65"/>
    </row>
    <row r="143" spans="1:9">
      <c r="A143" s="1"/>
      <c r="B143" s="1"/>
      <c r="C143" s="1"/>
      <c r="D143" s="1"/>
      <c r="E143" s="22"/>
      <c r="F143" s="1"/>
      <c r="G143" s="1"/>
      <c r="H143" s="1"/>
      <c r="I143" s="65"/>
    </row>
    <row r="144" spans="1:9">
      <c r="A144" s="1"/>
      <c r="B144" s="1"/>
      <c r="C144" s="1"/>
      <c r="D144" s="1"/>
      <c r="E144" s="22"/>
      <c r="F144" s="1"/>
      <c r="G144" s="1"/>
      <c r="H144" s="1"/>
      <c r="I144" s="65"/>
    </row>
    <row r="145" spans="1:9">
      <c r="A145" s="1"/>
      <c r="B145" s="1"/>
      <c r="C145" s="1"/>
      <c r="D145" s="1"/>
      <c r="E145" s="22"/>
      <c r="F145" s="1"/>
      <c r="G145" s="1"/>
      <c r="H145" s="1"/>
      <c r="I145" s="65"/>
    </row>
    <row r="146" spans="1:9">
      <c r="A146" s="1"/>
      <c r="B146" s="1"/>
      <c r="C146" s="1"/>
      <c r="D146" s="1"/>
      <c r="E146" s="22"/>
      <c r="F146" s="1"/>
      <c r="G146" s="1"/>
      <c r="H146" s="1"/>
      <c r="I146" s="65"/>
    </row>
    <row r="147" spans="1:9">
      <c r="A147" s="1"/>
      <c r="B147" s="1"/>
      <c r="C147" s="1"/>
      <c r="D147" s="1"/>
      <c r="E147" s="22"/>
      <c r="F147" s="1"/>
      <c r="G147" s="1"/>
      <c r="H147" s="1"/>
      <c r="I147" s="65"/>
    </row>
    <row r="148" spans="1:9">
      <c r="A148" s="1"/>
      <c r="B148" s="1"/>
      <c r="C148" s="1"/>
      <c r="D148" s="1"/>
      <c r="E148" s="22"/>
      <c r="F148" s="1"/>
      <c r="G148" s="1"/>
      <c r="H148" s="1"/>
      <c r="I148" s="65"/>
    </row>
    <row r="149" spans="1:9">
      <c r="A149" s="1"/>
      <c r="B149" s="1"/>
      <c r="C149" s="1"/>
      <c r="D149" s="1"/>
      <c r="E149" s="22"/>
      <c r="F149" s="1"/>
      <c r="G149" s="1"/>
      <c r="H149" s="1"/>
      <c r="I149" s="65"/>
    </row>
    <row r="150" spans="1:9">
      <c r="A150" s="1"/>
      <c r="B150" s="1"/>
      <c r="C150" s="1"/>
      <c r="D150" s="1"/>
      <c r="E150" s="22"/>
      <c r="F150" s="1"/>
      <c r="G150" s="1"/>
      <c r="H150" s="1"/>
      <c r="I150" s="65"/>
    </row>
    <row r="151" spans="1:9">
      <c r="A151" s="1"/>
      <c r="B151" s="1"/>
      <c r="C151" s="1"/>
      <c r="D151" s="1"/>
      <c r="E151" s="22"/>
      <c r="F151" s="1"/>
      <c r="G151" s="1"/>
      <c r="H151" s="1"/>
      <c r="I151" s="65"/>
    </row>
    <row r="152" spans="1:9">
      <c r="A152" s="1"/>
      <c r="B152" s="1"/>
      <c r="C152" s="1"/>
      <c r="D152" s="1"/>
      <c r="E152" s="22"/>
      <c r="F152" s="1"/>
      <c r="G152" s="1"/>
      <c r="H152" s="1"/>
      <c r="I152" s="65"/>
    </row>
    <row r="153" spans="1:9">
      <c r="A153" s="1"/>
      <c r="B153" s="1"/>
      <c r="C153" s="1"/>
      <c r="D153" s="1"/>
      <c r="E153" s="22"/>
      <c r="F153" s="1"/>
      <c r="G153" s="1"/>
      <c r="H153" s="1"/>
      <c r="I153" s="65"/>
    </row>
    <row r="154" spans="1:9">
      <c r="A154" s="1"/>
      <c r="B154" s="1"/>
      <c r="C154" s="1"/>
      <c r="D154" s="1"/>
      <c r="E154" s="22"/>
      <c r="F154" s="1"/>
      <c r="G154" s="1"/>
      <c r="H154" s="1"/>
      <c r="I154" s="65"/>
    </row>
    <row r="155" spans="1:9">
      <c r="A155" s="1"/>
      <c r="B155" s="1"/>
      <c r="C155" s="1"/>
      <c r="D155" s="1"/>
      <c r="E155" s="22"/>
      <c r="F155" s="1"/>
      <c r="G155" s="1"/>
      <c r="H155" s="1"/>
      <c r="I155" s="65"/>
    </row>
    <row r="156" spans="1:9">
      <c r="A156" s="1"/>
      <c r="B156" s="1"/>
      <c r="C156" s="1"/>
      <c r="D156" s="1"/>
      <c r="E156" s="22"/>
      <c r="F156" s="1"/>
      <c r="G156" s="1"/>
      <c r="H156" s="1"/>
      <c r="I156" s="65"/>
    </row>
    <row r="157" spans="1:9">
      <c r="A157" s="1"/>
      <c r="B157" s="1"/>
      <c r="C157" s="1"/>
      <c r="D157" s="1"/>
      <c r="E157" s="22"/>
      <c r="F157" s="1"/>
      <c r="G157" s="1"/>
      <c r="H157" s="1"/>
      <c r="I157" s="65"/>
    </row>
    <row r="158" spans="1:9">
      <c r="A158" s="1"/>
      <c r="B158" s="1"/>
      <c r="C158" s="1"/>
      <c r="D158" s="1"/>
      <c r="E158" s="22"/>
      <c r="F158" s="1"/>
      <c r="G158" s="1"/>
      <c r="H158" s="1"/>
      <c r="I158" s="65"/>
    </row>
    <row r="159" spans="1:9">
      <c r="A159" s="1"/>
      <c r="B159" s="1"/>
      <c r="C159" s="1"/>
      <c r="D159" s="1"/>
      <c r="E159" s="22"/>
      <c r="F159" s="1"/>
      <c r="G159" s="1"/>
      <c r="H159" s="1"/>
      <c r="I159" s="65"/>
    </row>
    <row r="160" spans="1:9">
      <c r="A160" s="1"/>
      <c r="B160" s="1"/>
      <c r="C160" s="1"/>
      <c r="D160" s="1"/>
      <c r="E160" s="22"/>
      <c r="F160" s="1"/>
      <c r="G160" s="1"/>
      <c r="H160" s="1"/>
      <c r="I160" s="65"/>
    </row>
    <row r="161" spans="1:9">
      <c r="A161" s="1"/>
      <c r="B161" s="1"/>
      <c r="C161" s="1"/>
      <c r="D161" s="1"/>
      <c r="E161" s="22"/>
      <c r="F161" s="1"/>
      <c r="G161" s="1"/>
      <c r="H161" s="1"/>
      <c r="I161" s="65"/>
    </row>
    <row r="162" spans="1:9">
      <c r="A162" s="1"/>
      <c r="B162" s="1"/>
      <c r="C162" s="1"/>
      <c r="D162" s="1"/>
      <c r="E162" s="22"/>
      <c r="F162" s="1"/>
      <c r="G162" s="1"/>
      <c r="H162" s="1"/>
      <c r="I162" s="65"/>
    </row>
    <row r="163" spans="1:9">
      <c r="A163" s="1"/>
      <c r="B163" s="1"/>
      <c r="C163" s="1"/>
      <c r="D163" s="1"/>
      <c r="E163" s="22"/>
      <c r="F163" s="1"/>
      <c r="G163" s="1"/>
      <c r="H163" s="1"/>
      <c r="I163" s="65"/>
    </row>
    <row r="164" spans="1:9">
      <c r="A164" s="1"/>
      <c r="B164" s="1"/>
      <c r="C164" s="1"/>
      <c r="D164" s="1"/>
      <c r="E164" s="22"/>
      <c r="F164" s="1"/>
      <c r="G164" s="1"/>
      <c r="H164" s="1"/>
      <c r="I164" s="65"/>
    </row>
    <row r="165" spans="1:9">
      <c r="A165" s="1"/>
      <c r="B165" s="1"/>
      <c r="C165" s="1"/>
      <c r="D165" s="1"/>
      <c r="E165" s="22"/>
      <c r="F165" s="1"/>
      <c r="G165" s="1"/>
      <c r="H165" s="1"/>
      <c r="I165" s="65"/>
    </row>
    <row r="166" spans="1:9">
      <c r="A166" s="1"/>
      <c r="B166" s="1"/>
      <c r="C166" s="1"/>
      <c r="D166" s="1"/>
      <c r="E166" s="22"/>
      <c r="F166" s="1"/>
      <c r="G166" s="1"/>
      <c r="H166" s="1"/>
      <c r="I166" s="65"/>
    </row>
    <row r="167" spans="1:9">
      <c r="A167" s="1"/>
      <c r="B167" s="1"/>
      <c r="C167" s="1"/>
      <c r="D167" s="1"/>
      <c r="E167" s="22"/>
      <c r="F167" s="1"/>
      <c r="G167" s="1"/>
      <c r="H167" s="1"/>
      <c r="I167" s="65"/>
    </row>
    <row r="168" spans="1:9">
      <c r="A168" s="1"/>
      <c r="B168" s="1"/>
      <c r="C168" s="1"/>
      <c r="D168" s="1"/>
      <c r="E168" s="22"/>
      <c r="F168" s="1"/>
      <c r="G168" s="1"/>
      <c r="H168" s="1"/>
      <c r="I168" s="65"/>
    </row>
    <row r="169" spans="1:9">
      <c r="A169" s="1"/>
      <c r="B169" s="1"/>
      <c r="C169" s="1"/>
      <c r="D169" s="1"/>
      <c r="E169" s="22"/>
      <c r="F169" s="1"/>
      <c r="G169" s="1"/>
      <c r="H169" s="1"/>
      <c r="I169" s="65"/>
    </row>
    <row r="170" spans="1:9">
      <c r="A170" s="1"/>
      <c r="B170" s="1"/>
      <c r="C170" s="1"/>
      <c r="D170" s="1"/>
      <c r="E170" s="22"/>
      <c r="F170" s="1"/>
      <c r="G170" s="1"/>
      <c r="H170" s="1"/>
      <c r="I170" s="65"/>
    </row>
    <row r="171" spans="1:9">
      <c r="A171" s="1"/>
      <c r="B171" s="1"/>
      <c r="C171" s="1"/>
      <c r="D171" s="1"/>
      <c r="E171" s="22"/>
      <c r="F171" s="1"/>
      <c r="G171" s="1"/>
      <c r="H171" s="1"/>
      <c r="I171" s="65"/>
    </row>
    <row r="172" spans="1:9">
      <c r="A172" s="1"/>
      <c r="B172" s="1"/>
      <c r="C172" s="1"/>
      <c r="D172" s="1"/>
      <c r="E172" s="22"/>
      <c r="F172" s="1"/>
      <c r="G172" s="1"/>
      <c r="H172" s="1"/>
      <c r="I172" s="65"/>
    </row>
    <row r="173" spans="1:9">
      <c r="A173" s="1"/>
      <c r="B173" s="1"/>
      <c r="C173" s="1"/>
      <c r="D173" s="1"/>
      <c r="E173" s="22"/>
      <c r="F173" s="1"/>
      <c r="G173" s="1"/>
      <c r="H173" s="1"/>
      <c r="I173" s="65"/>
    </row>
    <row r="174" spans="1:9">
      <c r="A174" s="1"/>
      <c r="B174" s="1"/>
      <c r="C174" s="1"/>
      <c r="D174" s="1"/>
      <c r="E174" s="22"/>
      <c r="F174" s="1"/>
      <c r="G174" s="1"/>
      <c r="H174" s="1"/>
      <c r="I174" s="65"/>
    </row>
    <row r="175" spans="1:9">
      <c r="A175" s="1"/>
      <c r="B175" s="1"/>
      <c r="C175" s="1"/>
      <c r="D175" s="1"/>
      <c r="E175" s="22"/>
      <c r="F175" s="1"/>
      <c r="G175" s="1"/>
      <c r="H175" s="1"/>
      <c r="I175" s="65"/>
    </row>
    <row r="176" spans="1:9">
      <c r="A176" s="1"/>
      <c r="B176" s="1"/>
      <c r="C176" s="1"/>
      <c r="D176" s="1"/>
      <c r="E176" s="22"/>
      <c r="F176" s="1"/>
      <c r="G176" s="1"/>
      <c r="H176" s="1"/>
      <c r="I176" s="65"/>
    </row>
    <row r="177" spans="1:9">
      <c r="A177" s="1"/>
      <c r="B177" s="1"/>
      <c r="C177" s="1"/>
      <c r="D177" s="1"/>
      <c r="E177" s="22"/>
      <c r="F177" s="1"/>
      <c r="G177" s="1"/>
      <c r="H177" s="1"/>
      <c r="I177" s="65"/>
    </row>
    <row r="178" spans="1:9">
      <c r="A178" s="1"/>
      <c r="B178" s="1"/>
      <c r="C178" s="1"/>
      <c r="D178" s="1"/>
      <c r="E178" s="22"/>
      <c r="F178" s="1"/>
      <c r="G178" s="1"/>
      <c r="H178" s="1"/>
      <c r="I178" s="65"/>
    </row>
    <row r="179" spans="1:9">
      <c r="A179" s="1"/>
      <c r="B179" s="1"/>
      <c r="C179" s="1"/>
      <c r="D179" s="1"/>
      <c r="E179" s="22"/>
      <c r="F179" s="1"/>
      <c r="G179" s="1"/>
      <c r="H179" s="1"/>
      <c r="I179" s="65"/>
    </row>
    <row r="180" spans="1:9">
      <c r="A180" s="1"/>
      <c r="B180" s="1"/>
      <c r="C180" s="1"/>
      <c r="D180" s="1"/>
      <c r="E180" s="22"/>
      <c r="F180" s="1"/>
      <c r="G180" s="1"/>
      <c r="H180" s="1"/>
      <c r="I180" s="65"/>
    </row>
    <row r="181" spans="1:9">
      <c r="A181" s="1"/>
      <c r="B181" s="1"/>
      <c r="C181" s="1"/>
      <c r="D181" s="1"/>
      <c r="E181" s="22"/>
      <c r="F181" s="1"/>
      <c r="G181" s="1"/>
      <c r="H181" s="1"/>
      <c r="I181" s="65"/>
    </row>
    <row r="182" spans="1:9">
      <c r="A182" s="1"/>
      <c r="B182" s="1"/>
      <c r="C182" s="1"/>
      <c r="D182" s="1"/>
      <c r="E182" s="22"/>
      <c r="F182" s="1"/>
      <c r="G182" s="1"/>
      <c r="H182" s="1"/>
      <c r="I182" s="65"/>
    </row>
    <row r="183" spans="1:9">
      <c r="A183" s="1"/>
      <c r="B183" s="1"/>
      <c r="C183" s="1"/>
      <c r="D183" s="1"/>
      <c r="E183" s="22"/>
      <c r="F183" s="1"/>
      <c r="G183" s="1"/>
      <c r="H183" s="1"/>
      <c r="I183" s="65"/>
    </row>
    <row r="184" spans="1:9">
      <c r="A184" s="1"/>
      <c r="B184" s="1"/>
      <c r="C184" s="1"/>
      <c r="D184" s="1"/>
      <c r="E184" s="22"/>
      <c r="F184" s="1"/>
      <c r="G184" s="1"/>
      <c r="H184" s="1"/>
      <c r="I184" s="65"/>
    </row>
    <row r="185" spans="1:9">
      <c r="A185" s="1"/>
      <c r="B185" s="1"/>
      <c r="C185" s="1"/>
      <c r="D185" s="1"/>
      <c r="E185" s="22"/>
      <c r="F185" s="1"/>
      <c r="G185" s="1"/>
      <c r="H185" s="1"/>
      <c r="I185" s="65"/>
    </row>
    <row r="186" spans="1:9">
      <c r="A186" s="1"/>
      <c r="B186" s="1"/>
      <c r="C186" s="1"/>
      <c r="D186" s="1"/>
      <c r="E186" s="22"/>
      <c r="F186" s="1"/>
      <c r="G186" s="1"/>
      <c r="H186" s="1"/>
      <c r="I186" s="65"/>
    </row>
    <row r="187" spans="1:9">
      <c r="A187" s="1"/>
      <c r="B187" s="1"/>
      <c r="C187" s="1"/>
      <c r="D187" s="1"/>
      <c r="E187" s="22"/>
      <c r="F187" s="1"/>
      <c r="G187" s="1"/>
      <c r="H187" s="1"/>
      <c r="I187" s="65"/>
    </row>
    <row r="188" spans="1:9">
      <c r="A188" s="1"/>
      <c r="B188" s="1"/>
      <c r="C188" s="1"/>
      <c r="D188" s="1"/>
      <c r="E188" s="22"/>
      <c r="F188" s="1"/>
      <c r="G188" s="1"/>
      <c r="H188" s="1"/>
      <c r="I188" s="65"/>
    </row>
    <row r="189" spans="1:9">
      <c r="A189" s="1"/>
      <c r="B189" s="1"/>
      <c r="C189" s="1"/>
      <c r="D189" s="1"/>
      <c r="E189" s="22"/>
      <c r="F189" s="1"/>
      <c r="G189" s="1"/>
      <c r="H189" s="1"/>
      <c r="I189" s="65"/>
    </row>
    <row r="190" spans="1:9">
      <c r="A190" s="1"/>
      <c r="B190" s="66"/>
      <c r="C190" s="66"/>
      <c r="D190" s="66"/>
      <c r="E190" s="66"/>
      <c r="F190" s="67"/>
      <c r="G190" s="66"/>
      <c r="H190" s="66"/>
      <c r="I190" s="65"/>
    </row>
    <row r="191" spans="1:9">
      <c r="A191" s="1"/>
      <c r="B191" s="1"/>
      <c r="C191" s="1"/>
      <c r="D191" s="1"/>
      <c r="E191" s="1"/>
      <c r="F191" s="1"/>
      <c r="G191" s="1"/>
      <c r="H191" s="1"/>
      <c r="I191" s="65"/>
    </row>
    <row r="192" spans="1:9">
      <c r="A192" s="1"/>
      <c r="B192" s="1"/>
      <c r="C192" s="1"/>
      <c r="D192" s="1"/>
      <c r="E192" s="1"/>
      <c r="F192" s="1"/>
      <c r="G192" s="1"/>
      <c r="H192" s="1"/>
      <c r="I192" s="65"/>
    </row>
    <row r="193" spans="1:9">
      <c r="A193" s="1"/>
      <c r="B193" s="1"/>
      <c r="C193" s="1"/>
      <c r="D193" s="1"/>
      <c r="E193" s="1"/>
      <c r="F193" s="1"/>
      <c r="G193" s="1"/>
      <c r="H193" s="1"/>
      <c r="I193" s="65"/>
    </row>
    <row r="194" spans="1:9">
      <c r="A194" s="1"/>
      <c r="B194" s="1"/>
      <c r="C194" s="1"/>
      <c r="D194" s="1"/>
      <c r="E194" s="1"/>
      <c r="F194" s="1"/>
      <c r="G194" s="1"/>
      <c r="H194" s="1"/>
      <c r="I194" s="65"/>
    </row>
    <row r="195" spans="1:9">
      <c r="A195" s="1"/>
      <c r="B195" s="1"/>
      <c r="C195" s="1"/>
      <c r="D195" s="1"/>
      <c r="E195" s="1"/>
      <c r="F195" s="1"/>
      <c r="G195" s="1"/>
      <c r="H195" s="1"/>
      <c r="I195" s="65"/>
    </row>
    <row r="196" spans="1:9">
      <c r="A196" s="1"/>
      <c r="B196" s="1"/>
      <c r="C196" s="1"/>
      <c r="D196" s="1"/>
      <c r="E196" s="1"/>
      <c r="F196" s="1"/>
      <c r="G196" s="1"/>
      <c r="H196" s="1"/>
      <c r="I196" s="65"/>
    </row>
    <row r="197" spans="1:9">
      <c r="A197" s="1"/>
      <c r="B197" s="1"/>
      <c r="C197" s="1"/>
      <c r="D197" s="1"/>
      <c r="E197" s="1"/>
      <c r="F197" s="1"/>
      <c r="G197" s="1"/>
      <c r="H197" s="1"/>
      <c r="I197" s="65"/>
    </row>
    <row r="198" spans="1:9">
      <c r="A198" s="1"/>
      <c r="B198" s="1"/>
      <c r="C198" s="1"/>
      <c r="D198" s="1"/>
      <c r="E198" s="1"/>
      <c r="F198" s="1"/>
      <c r="G198" s="1"/>
      <c r="H198" s="1"/>
      <c r="I198" s="65"/>
    </row>
    <row r="199" spans="1:9">
      <c r="A199" s="1"/>
      <c r="B199" s="1"/>
      <c r="C199" s="1"/>
      <c r="D199" s="1"/>
      <c r="E199" s="1"/>
      <c r="F199" s="1"/>
      <c r="G199" s="1"/>
      <c r="H199" s="1"/>
      <c r="I199" s="65"/>
    </row>
    <row r="200" spans="1:9">
      <c r="A200" s="1"/>
      <c r="B200" s="1"/>
      <c r="C200" s="1"/>
      <c r="D200" s="1"/>
      <c r="E200" s="1"/>
      <c r="F200" s="1"/>
      <c r="G200" s="1"/>
      <c r="H200" s="1"/>
      <c r="I200" s="65"/>
    </row>
    <row r="201" spans="1:9">
      <c r="A201" s="1"/>
      <c r="B201" s="1"/>
      <c r="C201" s="1"/>
      <c r="D201" s="1"/>
      <c r="E201" s="1"/>
      <c r="F201" s="1"/>
      <c r="G201" s="1"/>
      <c r="H201" s="1"/>
      <c r="I201" s="65"/>
    </row>
    <row r="202" spans="1:9">
      <c r="A202" s="1"/>
      <c r="B202" s="1"/>
      <c r="C202" s="1"/>
      <c r="D202" s="1"/>
      <c r="E202" s="1"/>
      <c r="F202" s="1"/>
      <c r="G202" s="1"/>
      <c r="H202" s="1"/>
      <c r="I202" s="65"/>
    </row>
    <row r="203" spans="1:9">
      <c r="A203" s="1"/>
      <c r="B203" s="1"/>
      <c r="C203" s="1"/>
      <c r="D203" s="1"/>
      <c r="E203" s="1"/>
      <c r="F203" s="1"/>
      <c r="G203" s="1"/>
      <c r="H203" s="1"/>
      <c r="I203" s="65"/>
    </row>
    <row r="204" spans="1:9">
      <c r="A204" s="1"/>
      <c r="B204" s="1"/>
      <c r="C204" s="1"/>
      <c r="D204" s="1"/>
      <c r="E204" s="1"/>
      <c r="F204" s="1"/>
      <c r="G204" s="1"/>
      <c r="H204" s="1"/>
      <c r="I204" s="65"/>
    </row>
    <row r="205" spans="1:9">
      <c r="A205" s="1"/>
      <c r="B205" s="1"/>
      <c r="C205" s="1"/>
      <c r="D205" s="1"/>
      <c r="E205" s="1"/>
      <c r="F205" s="1"/>
      <c r="G205" s="1"/>
      <c r="H205" s="1"/>
      <c r="I205" s="65"/>
    </row>
    <row r="206" spans="1:9">
      <c r="A206" s="1"/>
      <c r="B206" s="1"/>
      <c r="C206" s="1"/>
      <c r="D206" s="1"/>
      <c r="E206" s="1"/>
      <c r="F206" s="1"/>
      <c r="G206" s="1"/>
      <c r="H206" s="1"/>
      <c r="I206" s="65"/>
    </row>
    <row r="207" spans="1:9">
      <c r="A207" s="1"/>
      <c r="B207" s="1"/>
      <c r="C207" s="1"/>
      <c r="D207" s="1"/>
      <c r="E207" s="1"/>
      <c r="F207" s="1"/>
      <c r="G207" s="1"/>
      <c r="H207" s="1"/>
      <c r="I207" s="65"/>
    </row>
    <row r="208" spans="1:9">
      <c r="A208" s="1"/>
      <c r="B208" s="1"/>
      <c r="C208" s="1"/>
      <c r="D208" s="1"/>
      <c r="E208" s="1"/>
      <c r="F208" s="1"/>
      <c r="G208" s="1"/>
      <c r="H208" s="1"/>
      <c r="I208" s="65"/>
    </row>
    <row r="209" spans="1:9">
      <c r="A209" s="1"/>
      <c r="B209" s="1"/>
      <c r="C209" s="1"/>
      <c r="D209" s="1"/>
      <c r="E209" s="1"/>
      <c r="F209" s="1"/>
      <c r="G209" s="1"/>
      <c r="H209" s="1"/>
      <c r="I209" s="65"/>
    </row>
    <row r="210" spans="1:9">
      <c r="A210" s="1"/>
      <c r="B210" s="1"/>
      <c r="C210" s="1"/>
      <c r="D210" s="1"/>
      <c r="E210" s="1"/>
      <c r="F210" s="1"/>
      <c r="G210" s="1"/>
      <c r="H210" s="1"/>
      <c r="I210" s="65"/>
    </row>
    <row r="211" spans="1:9">
      <c r="A211" s="1"/>
      <c r="B211" s="1"/>
      <c r="C211" s="1"/>
      <c r="D211" s="1"/>
      <c r="E211" s="1"/>
      <c r="F211" s="1"/>
      <c r="G211" s="1"/>
      <c r="H211" s="1"/>
      <c r="I211" s="65"/>
    </row>
    <row r="212" spans="1:9">
      <c r="A212" s="1"/>
      <c r="B212" s="1"/>
      <c r="C212" s="1"/>
      <c r="D212" s="1"/>
      <c r="E212" s="1"/>
      <c r="F212" s="1"/>
      <c r="G212" s="1"/>
      <c r="H212" s="1"/>
      <c r="I212" s="65"/>
    </row>
    <row r="213" spans="1:9">
      <c r="A213" s="1"/>
      <c r="B213" s="1"/>
      <c r="C213" s="1"/>
      <c r="D213" s="1"/>
      <c r="E213" s="1"/>
      <c r="F213" s="1"/>
      <c r="G213" s="1"/>
      <c r="H213" s="1"/>
      <c r="I213" s="65"/>
    </row>
    <row r="214" spans="1:9">
      <c r="A214" s="1"/>
      <c r="B214" s="1"/>
      <c r="C214" s="1"/>
      <c r="D214" s="1"/>
      <c r="E214" s="1"/>
      <c r="F214" s="1"/>
      <c r="G214" s="1"/>
      <c r="H214" s="1"/>
      <c r="I214" s="65"/>
    </row>
    <row r="215" spans="1:9">
      <c r="A215" s="1"/>
      <c r="B215" s="1"/>
      <c r="C215" s="1"/>
      <c r="D215" s="1"/>
      <c r="E215" s="1"/>
      <c r="F215" s="1"/>
      <c r="G215" s="1"/>
      <c r="H215" s="1"/>
      <c r="I215" s="65"/>
    </row>
    <row r="216" spans="1:9">
      <c r="A216" s="1"/>
      <c r="B216" s="1"/>
      <c r="C216" s="1"/>
      <c r="D216" s="1"/>
      <c r="E216" s="1"/>
      <c r="F216" s="1"/>
      <c r="G216" s="1"/>
      <c r="H216" s="1"/>
      <c r="I216" s="65"/>
    </row>
    <row r="217" spans="1:9">
      <c r="A217" s="1"/>
      <c r="B217" s="1"/>
      <c r="C217" s="1"/>
      <c r="D217" s="1"/>
      <c r="E217" s="1"/>
      <c r="F217" s="1"/>
      <c r="G217" s="1"/>
      <c r="H217" s="1"/>
      <c r="I217" s="65"/>
    </row>
    <row r="218" spans="1:9">
      <c r="A218" s="1"/>
      <c r="B218" s="1"/>
      <c r="C218" s="1"/>
      <c r="D218" s="1"/>
      <c r="E218" s="1"/>
      <c r="F218" s="1"/>
      <c r="G218" s="1"/>
      <c r="H218" s="1"/>
      <c r="I218" s="65"/>
    </row>
    <row r="219" spans="1:9">
      <c r="A219" s="1"/>
      <c r="B219" s="1"/>
      <c r="C219" s="1"/>
      <c r="D219" s="1"/>
      <c r="E219" s="1"/>
      <c r="F219" s="1"/>
      <c r="G219" s="1"/>
      <c r="H219" s="1"/>
      <c r="I219" s="65"/>
    </row>
    <row r="220" spans="1:9">
      <c r="A220" s="1"/>
      <c r="B220" s="1"/>
      <c r="C220" s="1"/>
      <c r="D220" s="1"/>
      <c r="E220" s="1"/>
      <c r="F220" s="1"/>
      <c r="G220" s="1"/>
      <c r="H220" s="1"/>
      <c r="I220" s="65"/>
    </row>
    <row r="221" spans="1:9">
      <c r="A221" s="1"/>
      <c r="B221" s="1"/>
      <c r="C221" s="1"/>
      <c r="D221" s="1"/>
      <c r="E221" s="1"/>
      <c r="F221" s="1"/>
      <c r="G221" s="1"/>
      <c r="H221" s="1"/>
      <c r="I221" s="65"/>
    </row>
    <row r="222" spans="1:9">
      <c r="A222" s="1"/>
      <c r="B222" s="1"/>
      <c r="C222" s="1"/>
      <c r="D222" s="1"/>
      <c r="E222" s="1"/>
      <c r="F222" s="1"/>
      <c r="G222" s="1"/>
      <c r="H222" s="1"/>
      <c r="I222" s="65"/>
    </row>
    <row r="223" spans="1:9">
      <c r="A223" s="1"/>
      <c r="B223" s="1"/>
      <c r="C223" s="1"/>
      <c r="D223" s="1"/>
      <c r="E223" s="1"/>
      <c r="F223" s="1"/>
      <c r="G223" s="1"/>
      <c r="H223" s="1"/>
      <c r="I223" s="65"/>
    </row>
    <row r="224" spans="1:9">
      <c r="A224" s="1"/>
      <c r="B224" s="1"/>
      <c r="C224" s="1"/>
      <c r="D224" s="1"/>
      <c r="E224" s="1"/>
      <c r="F224" s="1"/>
      <c r="G224" s="1"/>
      <c r="H224" s="1"/>
      <c r="I224" s="65"/>
    </row>
    <row r="225" spans="1:9">
      <c r="A225" s="1"/>
      <c r="B225" s="1"/>
      <c r="C225" s="1"/>
      <c r="D225" s="1"/>
      <c r="E225" s="1"/>
      <c r="F225" s="1"/>
      <c r="G225" s="1"/>
      <c r="H225" s="1"/>
      <c r="I225" s="65"/>
    </row>
    <row r="226" spans="1:9">
      <c r="A226" s="1"/>
      <c r="B226" s="1"/>
      <c r="C226" s="1"/>
      <c r="D226" s="1"/>
      <c r="E226" s="1"/>
      <c r="F226" s="1"/>
      <c r="G226" s="1"/>
      <c r="H226" s="1"/>
      <c r="I226" s="65"/>
    </row>
    <row r="227" spans="1:9">
      <c r="A227" s="1"/>
      <c r="B227" s="1"/>
      <c r="C227" s="1"/>
      <c r="D227" s="1"/>
      <c r="E227" s="1"/>
      <c r="F227" s="1"/>
      <c r="G227" s="1"/>
      <c r="H227" s="1"/>
      <c r="I227" s="65"/>
    </row>
    <row r="228" spans="1:9">
      <c r="A228" s="1"/>
      <c r="B228" s="1"/>
      <c r="C228" s="1"/>
      <c r="D228" s="1"/>
      <c r="E228" s="1"/>
      <c r="F228" s="1"/>
      <c r="G228" s="1"/>
      <c r="H228" s="1"/>
      <c r="I228" s="65"/>
    </row>
    <row r="229" spans="1:9">
      <c r="A229" s="1"/>
      <c r="B229" s="1"/>
      <c r="C229" s="1"/>
      <c r="D229" s="1"/>
      <c r="E229" s="1"/>
      <c r="F229" s="1"/>
      <c r="G229" s="1"/>
      <c r="H229" s="1"/>
      <c r="I229" s="65"/>
    </row>
    <row r="230" spans="1:9">
      <c r="A230" s="1"/>
      <c r="B230" s="1"/>
      <c r="C230" s="1"/>
      <c r="D230" s="1"/>
      <c r="E230" s="1"/>
      <c r="F230" s="1"/>
      <c r="G230" s="1"/>
      <c r="H230" s="1"/>
      <c r="I230" s="65"/>
    </row>
    <row r="231" spans="1:9">
      <c r="A231" s="1"/>
      <c r="B231" s="1"/>
      <c r="C231" s="1"/>
      <c r="D231" s="1"/>
      <c r="E231" s="1"/>
      <c r="F231" s="1"/>
      <c r="G231" s="1"/>
      <c r="H231" s="1"/>
      <c r="I231" s="65"/>
    </row>
    <row r="232" spans="1:9">
      <c r="A232" s="1"/>
      <c r="B232" s="1"/>
      <c r="C232" s="1"/>
      <c r="D232" s="1"/>
      <c r="E232" s="1"/>
      <c r="F232" s="1"/>
      <c r="G232" s="1"/>
      <c r="H232" s="1"/>
      <c r="I232" s="65"/>
    </row>
    <row r="233" spans="1:9">
      <c r="A233" s="1"/>
      <c r="B233" s="1"/>
      <c r="C233" s="1"/>
      <c r="D233" s="1"/>
      <c r="E233" s="1"/>
      <c r="F233" s="1"/>
      <c r="G233" s="1"/>
      <c r="H233" s="1"/>
      <c r="I233" s="65"/>
    </row>
    <row r="234" spans="1:9">
      <c r="A234" s="1"/>
      <c r="B234" s="1"/>
      <c r="C234" s="1"/>
      <c r="D234" s="1"/>
      <c r="E234" s="1"/>
      <c r="F234" s="1"/>
      <c r="G234" s="1"/>
      <c r="H234" s="1"/>
      <c r="I234" s="65"/>
    </row>
    <row r="235" spans="1:9">
      <c r="A235" s="1"/>
      <c r="B235" s="1"/>
      <c r="C235" s="1"/>
      <c r="D235" s="1"/>
      <c r="E235" s="1"/>
      <c r="F235" s="1"/>
      <c r="G235" s="1"/>
      <c r="H235" s="1"/>
      <c r="I235" s="65"/>
    </row>
    <row r="236" spans="1:9">
      <c r="A236" s="1"/>
      <c r="B236" s="1"/>
      <c r="C236" s="1"/>
      <c r="D236" s="1"/>
      <c r="E236" s="1"/>
      <c r="F236" s="1"/>
      <c r="G236" s="1"/>
      <c r="H236" s="1"/>
      <c r="I236" s="65"/>
    </row>
    <row r="237" spans="1:9">
      <c r="A237" s="1"/>
      <c r="B237" s="1"/>
      <c r="C237" s="1"/>
      <c r="D237" s="1"/>
      <c r="E237" s="1"/>
      <c r="F237" s="1"/>
      <c r="G237" s="1"/>
      <c r="H237" s="1"/>
      <c r="I237" s="65"/>
    </row>
    <row r="238" spans="1:9">
      <c r="A238" s="1"/>
      <c r="B238" s="1"/>
      <c r="C238" s="1"/>
      <c r="D238" s="1"/>
      <c r="E238" s="1"/>
      <c r="F238" s="1"/>
      <c r="G238" s="1"/>
      <c r="H238" s="1"/>
      <c r="I238" s="65"/>
    </row>
    <row r="239" spans="1:9">
      <c r="A239" s="1"/>
      <c r="B239" s="1"/>
      <c r="C239" s="1"/>
      <c r="D239" s="1"/>
      <c r="E239" s="1"/>
      <c r="F239" s="1"/>
      <c r="G239" s="1"/>
      <c r="H239" s="1"/>
      <c r="I239" s="65"/>
    </row>
    <row r="240" spans="1:9">
      <c r="A240" s="1"/>
      <c r="B240" s="1"/>
      <c r="C240" s="1"/>
      <c r="D240" s="1"/>
      <c r="E240" s="1"/>
      <c r="F240" s="1"/>
      <c r="G240" s="1"/>
      <c r="H240" s="1"/>
      <c r="I240" s="65"/>
    </row>
    <row r="241" spans="1:9">
      <c r="A241" s="1"/>
      <c r="B241" s="1"/>
      <c r="C241" s="1"/>
      <c r="D241" s="1"/>
      <c r="E241" s="1"/>
      <c r="F241" s="1"/>
      <c r="G241" s="1"/>
      <c r="H241" s="1"/>
      <c r="I241" s="65"/>
    </row>
    <row r="242" spans="1:9">
      <c r="A242" s="1"/>
      <c r="B242" s="1"/>
      <c r="C242" s="1"/>
      <c r="D242" s="1"/>
      <c r="E242" s="1"/>
      <c r="F242" s="1"/>
      <c r="G242" s="1"/>
      <c r="H242" s="1"/>
      <c r="I242" s="65"/>
    </row>
    <row r="243" spans="1:9">
      <c r="A243" s="1"/>
      <c r="B243" s="1"/>
      <c r="C243" s="1"/>
      <c r="D243" s="1"/>
      <c r="E243" s="1"/>
      <c r="F243" s="1"/>
      <c r="G243" s="1"/>
      <c r="H243" s="1"/>
      <c r="I243" s="65"/>
    </row>
    <row r="244" spans="1:9">
      <c r="A244" s="1"/>
      <c r="B244" s="1"/>
      <c r="C244" s="1"/>
      <c r="D244" s="1"/>
      <c r="E244" s="1"/>
      <c r="F244" s="1"/>
      <c r="G244" s="1"/>
      <c r="H244" s="1"/>
      <c r="I244" s="65"/>
    </row>
    <row r="245" spans="1:9">
      <c r="A245" s="1"/>
      <c r="B245" s="1"/>
      <c r="C245" s="1"/>
      <c r="D245" s="1"/>
      <c r="E245" s="1"/>
      <c r="F245" s="1"/>
      <c r="G245" s="1"/>
      <c r="H245" s="1"/>
      <c r="I245" s="65"/>
    </row>
    <row r="246" spans="1:9">
      <c r="A246" s="1"/>
      <c r="B246" s="1"/>
      <c r="C246" s="1"/>
      <c r="D246" s="1"/>
      <c r="E246" s="1"/>
      <c r="F246" s="1"/>
      <c r="G246" s="1"/>
      <c r="H246" s="1"/>
      <c r="I246" s="65"/>
    </row>
    <row r="247" spans="1:9">
      <c r="A247" s="1"/>
      <c r="B247" s="1"/>
      <c r="C247" s="1"/>
      <c r="D247" s="1"/>
      <c r="E247" s="1"/>
      <c r="F247" s="1"/>
      <c r="G247" s="1"/>
      <c r="H247" s="1"/>
      <c r="I247" s="65"/>
    </row>
    <row r="248" spans="1:9">
      <c r="A248" s="1"/>
      <c r="B248" s="1"/>
      <c r="C248" s="1"/>
      <c r="D248" s="1"/>
      <c r="E248" s="1"/>
      <c r="F248" s="1"/>
      <c r="G248" s="1"/>
      <c r="H248" s="1"/>
      <c r="I248" s="65"/>
    </row>
    <row r="249" spans="1:9">
      <c r="A249" s="1"/>
      <c r="B249" s="1"/>
      <c r="C249" s="1"/>
      <c r="D249" s="1"/>
      <c r="E249" s="1"/>
      <c r="F249" s="1"/>
      <c r="G249" s="1"/>
      <c r="H249" s="1"/>
      <c r="I249" s="65"/>
    </row>
    <row r="250" spans="1:9">
      <c r="A250" s="1"/>
      <c r="B250" s="1"/>
      <c r="C250" s="1"/>
      <c r="D250" s="1"/>
      <c r="E250" s="1"/>
      <c r="F250" s="1"/>
      <c r="G250" s="1"/>
      <c r="H250" s="1"/>
      <c r="I250" s="65"/>
    </row>
    <row r="251" spans="1:9">
      <c r="A251" s="1"/>
      <c r="B251" s="1"/>
      <c r="C251" s="1"/>
      <c r="D251" s="1"/>
      <c r="E251" s="1"/>
      <c r="F251" s="1"/>
      <c r="G251" s="1"/>
      <c r="H251" s="1"/>
      <c r="I251" s="65"/>
    </row>
    <row r="252" spans="1:9">
      <c r="A252" s="1"/>
      <c r="B252" s="1"/>
      <c r="C252" s="1"/>
      <c r="D252" s="1"/>
      <c r="E252" s="1"/>
      <c r="F252" s="1"/>
      <c r="G252" s="1"/>
      <c r="H252" s="1"/>
      <c r="I252" s="65"/>
    </row>
    <row r="253" spans="1:9">
      <c r="A253" s="1"/>
      <c r="B253" s="1"/>
      <c r="C253" s="1"/>
      <c r="D253" s="1"/>
      <c r="E253" s="1"/>
      <c r="F253" s="1"/>
      <c r="G253" s="1"/>
      <c r="H253" s="1"/>
      <c r="I253" s="65"/>
    </row>
    <row r="254" spans="1:9">
      <c r="A254" s="1"/>
      <c r="B254" s="1"/>
      <c r="C254" s="1"/>
      <c r="D254" s="1"/>
      <c r="E254" s="1"/>
      <c r="F254" s="1"/>
      <c r="G254" s="1"/>
      <c r="H254" s="1"/>
      <c r="I254" s="65"/>
    </row>
    <row r="255" spans="1:9">
      <c r="A255" s="1"/>
      <c r="B255" s="1"/>
      <c r="C255" s="1"/>
      <c r="D255" s="1"/>
      <c r="E255" s="1"/>
      <c r="F255" s="1"/>
      <c r="G255" s="1"/>
      <c r="H255" s="1"/>
      <c r="I255" s="65"/>
    </row>
    <row r="256" spans="1:9">
      <c r="A256" s="1"/>
      <c r="B256" s="1"/>
      <c r="C256" s="1"/>
      <c r="D256" s="1"/>
      <c r="E256" s="1"/>
      <c r="F256" s="1"/>
      <c r="G256" s="1"/>
      <c r="H256" s="1"/>
      <c r="I256" s="65"/>
    </row>
    <row r="257" spans="1:9">
      <c r="A257" s="1"/>
      <c r="B257" s="1"/>
      <c r="C257" s="1"/>
      <c r="D257" s="1"/>
      <c r="E257" s="1"/>
      <c r="F257" s="1"/>
      <c r="G257" s="1"/>
      <c r="H257" s="1"/>
      <c r="I257" s="65"/>
    </row>
    <row r="258" spans="1:9">
      <c r="A258" s="1"/>
      <c r="B258" s="1"/>
      <c r="C258" s="1"/>
      <c r="D258" s="1"/>
      <c r="E258" s="1"/>
      <c r="F258" s="1"/>
      <c r="G258" s="1"/>
      <c r="H258" s="1"/>
      <c r="I258" s="65"/>
    </row>
    <row r="259" spans="1:9">
      <c r="A259" s="1"/>
      <c r="B259" s="1"/>
      <c r="C259" s="1"/>
      <c r="D259" s="1"/>
      <c r="E259" s="1"/>
      <c r="F259" s="1"/>
      <c r="G259" s="1"/>
      <c r="H259" s="1"/>
      <c r="I259" s="65"/>
    </row>
    <row r="260" spans="1:9">
      <c r="A260" s="1"/>
      <c r="B260" s="1"/>
      <c r="C260" s="1"/>
      <c r="D260" s="1"/>
      <c r="E260" s="1"/>
      <c r="F260" s="1"/>
      <c r="G260" s="1"/>
      <c r="H260" s="1"/>
      <c r="I260" s="65"/>
    </row>
    <row r="261" spans="1:9">
      <c r="A261" s="1"/>
      <c r="B261" s="1"/>
      <c r="C261" s="1"/>
      <c r="D261" s="1"/>
      <c r="E261" s="1"/>
      <c r="F261" s="1"/>
      <c r="G261" s="1"/>
      <c r="H261" s="1"/>
      <c r="I261" s="65"/>
    </row>
    <row r="262" spans="1:9">
      <c r="A262" s="1"/>
      <c r="B262" s="1"/>
      <c r="C262" s="1"/>
      <c r="D262" s="1"/>
      <c r="E262" s="1"/>
      <c r="F262" s="1"/>
      <c r="G262" s="1"/>
      <c r="H262" s="1"/>
      <c r="I262" s="65"/>
    </row>
    <row r="263" spans="1:9">
      <c r="A263" s="1"/>
      <c r="B263" s="1"/>
      <c r="C263" s="1"/>
      <c r="D263" s="1"/>
      <c r="E263" s="1"/>
      <c r="F263" s="1"/>
      <c r="G263" s="1"/>
      <c r="H263" s="1"/>
      <c r="I263" s="65"/>
    </row>
    <row r="264" spans="1:9">
      <c r="A264" s="1"/>
      <c r="B264" s="1"/>
      <c r="C264" s="1"/>
      <c r="D264" s="1"/>
      <c r="E264" s="1"/>
      <c r="F264" s="1"/>
      <c r="G264" s="1"/>
      <c r="H264" s="1"/>
      <c r="I264" s="65"/>
    </row>
    <row r="265" spans="1:9">
      <c r="A265" s="1"/>
      <c r="B265" s="1"/>
      <c r="C265" s="1"/>
      <c r="D265" s="1"/>
      <c r="E265" s="1"/>
      <c r="F265" s="1"/>
      <c r="G265" s="1"/>
      <c r="H265" s="1"/>
      <c r="I265" s="65"/>
    </row>
    <row r="266" spans="1:9">
      <c r="A266" s="1"/>
      <c r="B266" s="1"/>
      <c r="C266" s="1"/>
      <c r="D266" s="1"/>
      <c r="E266" s="1"/>
      <c r="F266" s="1"/>
      <c r="G266" s="1"/>
      <c r="H266" s="1"/>
      <c r="I266" s="65"/>
    </row>
    <row r="267" spans="1:9">
      <c r="A267" s="1"/>
      <c r="B267" s="1"/>
      <c r="C267" s="1"/>
      <c r="D267" s="1"/>
      <c r="E267" s="1"/>
      <c r="F267" s="1"/>
      <c r="G267" s="1"/>
      <c r="H267" s="1"/>
      <c r="I267" s="65"/>
    </row>
    <row r="268" spans="1:9">
      <c r="A268" s="1"/>
      <c r="B268" s="1"/>
      <c r="C268" s="1"/>
      <c r="D268" s="1"/>
      <c r="E268" s="1"/>
      <c r="F268" s="1"/>
      <c r="G268" s="1"/>
      <c r="H268" s="1"/>
      <c r="I268" s="65"/>
    </row>
    <row r="269" spans="1:9">
      <c r="A269" s="1"/>
      <c r="B269" s="1"/>
      <c r="C269" s="1"/>
      <c r="D269" s="1"/>
      <c r="E269" s="1"/>
      <c r="F269" s="1"/>
      <c r="G269" s="1"/>
      <c r="H269" s="1"/>
      <c r="I269" s="65"/>
    </row>
    <row r="270" spans="1:9">
      <c r="A270" s="1"/>
      <c r="B270" s="1"/>
      <c r="C270" s="1"/>
      <c r="D270" s="1"/>
      <c r="E270" s="1"/>
      <c r="F270" s="1"/>
      <c r="G270" s="1"/>
      <c r="H270" s="1"/>
      <c r="I270" s="65"/>
    </row>
    <row r="271" spans="1:9">
      <c r="A271" s="1"/>
      <c r="B271" s="1"/>
      <c r="C271" s="1"/>
      <c r="D271" s="1"/>
      <c r="E271" s="1"/>
      <c r="F271" s="1"/>
      <c r="G271" s="1"/>
      <c r="H271" s="1"/>
      <c r="I271" s="65"/>
    </row>
    <row r="272" spans="1:9">
      <c r="A272" s="1"/>
      <c r="B272" s="1"/>
      <c r="C272" s="1"/>
      <c r="D272" s="1"/>
      <c r="E272" s="1"/>
      <c r="F272" s="1"/>
      <c r="G272" s="1"/>
      <c r="H272" s="1"/>
      <c r="I272" s="65"/>
    </row>
    <row r="273" spans="1:9">
      <c r="A273" s="1"/>
      <c r="B273" s="1"/>
      <c r="C273" s="1"/>
      <c r="D273" s="1"/>
      <c r="E273" s="1"/>
      <c r="F273" s="1"/>
      <c r="G273" s="1"/>
      <c r="H273" s="1"/>
      <c r="I273" s="65"/>
    </row>
    <row r="274" spans="1:9">
      <c r="A274" s="1"/>
      <c r="B274" s="1"/>
      <c r="C274" s="1"/>
      <c r="D274" s="1"/>
      <c r="E274" s="1"/>
      <c r="F274" s="1"/>
      <c r="G274" s="1"/>
      <c r="H274" s="1"/>
      <c r="I274" s="65"/>
    </row>
    <row r="275" spans="1:9">
      <c r="A275" s="1"/>
      <c r="B275" s="1"/>
      <c r="C275" s="1"/>
      <c r="D275" s="1"/>
      <c r="E275" s="1"/>
      <c r="F275" s="1"/>
      <c r="G275" s="1"/>
      <c r="H275" s="1"/>
      <c r="I275" s="65"/>
    </row>
    <row r="276" spans="1:9">
      <c r="A276" s="1"/>
      <c r="B276" s="1"/>
      <c r="C276" s="1"/>
      <c r="D276" s="1"/>
      <c r="E276" s="1"/>
      <c r="F276" s="1"/>
      <c r="G276" s="1"/>
      <c r="H276" s="1"/>
      <c r="I276" s="65"/>
    </row>
    <row r="277" spans="1:9">
      <c r="A277" s="1"/>
      <c r="B277" s="1"/>
      <c r="C277" s="1"/>
      <c r="D277" s="1"/>
      <c r="E277" s="1"/>
      <c r="F277" s="1"/>
      <c r="G277" s="1"/>
      <c r="H277" s="1"/>
      <c r="I277" s="65"/>
    </row>
    <row r="278" spans="1:9">
      <c r="A278" s="1"/>
      <c r="B278" s="1"/>
      <c r="C278" s="1"/>
      <c r="D278" s="1"/>
      <c r="E278" s="1"/>
      <c r="F278" s="1"/>
      <c r="G278" s="1"/>
      <c r="H278" s="1"/>
      <c r="I278" s="65"/>
    </row>
    <row r="279" spans="1:9">
      <c r="A279" s="1"/>
      <c r="B279" s="1"/>
      <c r="C279" s="1"/>
      <c r="D279" s="1"/>
      <c r="E279" s="1"/>
      <c r="F279" s="1"/>
      <c r="G279" s="1"/>
      <c r="H279" s="1"/>
      <c r="I279" s="65"/>
    </row>
    <row r="280" spans="1:9">
      <c r="A280" s="1"/>
      <c r="B280" s="1"/>
      <c r="C280" s="1"/>
      <c r="D280" s="1"/>
      <c r="E280" s="1"/>
      <c r="F280" s="1"/>
      <c r="G280" s="1"/>
      <c r="H280" s="1"/>
      <c r="I280" s="65"/>
    </row>
    <row r="281" spans="1:9">
      <c r="A281" s="1"/>
      <c r="B281" s="1"/>
      <c r="C281" s="1"/>
      <c r="D281" s="1"/>
      <c r="E281" s="1"/>
      <c r="F281" s="1"/>
      <c r="G281" s="1"/>
      <c r="H281" s="1"/>
      <c r="I281" s="65"/>
    </row>
    <row r="282" spans="1:9">
      <c r="A282" s="1"/>
      <c r="B282" s="1"/>
      <c r="C282" s="1"/>
      <c r="D282" s="1"/>
      <c r="E282" s="1"/>
      <c r="F282" s="1"/>
      <c r="G282" s="1"/>
      <c r="H282" s="1"/>
      <c r="I282" s="65"/>
    </row>
    <row r="283" spans="1:9">
      <c r="A283" s="1"/>
      <c r="B283" s="1"/>
      <c r="C283" s="1"/>
      <c r="D283" s="1"/>
      <c r="E283" s="1"/>
      <c r="F283" s="1"/>
      <c r="G283" s="1"/>
      <c r="H283" s="1"/>
      <c r="I283" s="65"/>
    </row>
    <row r="284" spans="1:9">
      <c r="A284" s="1"/>
      <c r="B284" s="1"/>
      <c r="C284" s="1"/>
      <c r="D284" s="1"/>
      <c r="E284" s="1"/>
      <c r="F284" s="1"/>
      <c r="G284" s="1"/>
      <c r="H284" s="1"/>
      <c r="I284" s="65"/>
    </row>
    <row r="285" spans="1:9">
      <c r="A285" s="1"/>
      <c r="B285" s="1"/>
      <c r="C285" s="1"/>
      <c r="D285" s="1"/>
      <c r="E285" s="1"/>
      <c r="F285" s="1"/>
      <c r="G285" s="1"/>
      <c r="H285" s="1"/>
      <c r="I285" s="65"/>
    </row>
    <row r="286" spans="1:9">
      <c r="A286" s="1"/>
      <c r="B286" s="1"/>
      <c r="C286" s="1"/>
      <c r="D286" s="1"/>
      <c r="E286" s="1"/>
      <c r="F286" s="1"/>
      <c r="G286" s="1"/>
      <c r="H286" s="1"/>
      <c r="I286" s="65"/>
    </row>
    <row r="287" spans="1:9">
      <c r="A287" s="1"/>
      <c r="B287" s="1"/>
      <c r="C287" s="1"/>
      <c r="D287" s="1"/>
      <c r="E287" s="1"/>
      <c r="F287" s="1"/>
      <c r="G287" s="1"/>
      <c r="H287" s="1"/>
      <c r="I287" s="65"/>
    </row>
    <row r="288" spans="1:9">
      <c r="A288" s="1"/>
      <c r="B288" s="1"/>
      <c r="C288" s="1"/>
      <c r="D288" s="1"/>
      <c r="E288" s="1"/>
      <c r="F288" s="1"/>
      <c r="G288" s="1"/>
      <c r="H288" s="1"/>
      <c r="I288" s="65"/>
    </row>
    <row r="289" spans="1:9">
      <c r="A289" s="1"/>
      <c r="B289" s="1"/>
      <c r="C289" s="1"/>
      <c r="D289" s="1"/>
      <c r="E289" s="1"/>
      <c r="F289" s="1"/>
      <c r="G289" s="1"/>
      <c r="H289" s="1"/>
      <c r="I289" s="65"/>
    </row>
    <row r="290" spans="1:9">
      <c r="A290" s="1"/>
      <c r="B290" s="1"/>
      <c r="C290" s="1"/>
      <c r="D290" s="1"/>
      <c r="E290" s="1"/>
      <c r="F290" s="1"/>
      <c r="G290" s="1"/>
      <c r="H290" s="1"/>
      <c r="I290" s="65"/>
    </row>
    <row r="291" spans="1:9">
      <c r="A291" s="1"/>
      <c r="B291" s="1"/>
      <c r="C291" s="1"/>
      <c r="D291" s="1"/>
      <c r="E291" s="1"/>
      <c r="F291" s="1"/>
      <c r="G291" s="1"/>
      <c r="H291" s="1"/>
      <c r="I291" s="65"/>
    </row>
    <row r="292" spans="1:9">
      <c r="A292" s="1"/>
      <c r="B292" s="1"/>
      <c r="C292" s="1"/>
      <c r="D292" s="1"/>
      <c r="E292" s="1"/>
      <c r="F292" s="1"/>
      <c r="G292" s="1"/>
      <c r="H292" s="1"/>
      <c r="I292" s="65"/>
    </row>
    <row r="293" spans="1:9">
      <c r="A293" s="1"/>
      <c r="B293" s="1"/>
      <c r="C293" s="1"/>
      <c r="D293" s="1"/>
      <c r="E293" s="1"/>
      <c r="F293" s="1"/>
      <c r="G293" s="1"/>
      <c r="H293" s="1"/>
      <c r="I293" s="65"/>
    </row>
    <row r="294" spans="1:9">
      <c r="A294" s="1"/>
      <c r="B294" s="1"/>
      <c r="C294" s="1"/>
      <c r="D294" s="1"/>
      <c r="E294" s="1"/>
      <c r="F294" s="1"/>
      <c r="G294" s="1"/>
      <c r="H294" s="1"/>
      <c r="I294" s="65"/>
    </row>
    <row r="295" spans="1:9">
      <c r="A295" s="1"/>
      <c r="B295" s="1"/>
      <c r="C295" s="1"/>
      <c r="D295" s="1"/>
      <c r="E295" s="1"/>
      <c r="F295" s="1"/>
      <c r="G295" s="1"/>
      <c r="H295" s="1"/>
      <c r="I295" s="65"/>
    </row>
    <row r="296" spans="1:9">
      <c r="A296" s="1"/>
      <c r="B296" s="1"/>
      <c r="C296" s="1"/>
      <c r="D296" s="1"/>
      <c r="E296" s="1"/>
      <c r="F296" s="1"/>
      <c r="G296" s="1"/>
      <c r="H296" s="1"/>
      <c r="I296" s="65"/>
    </row>
    <row r="297" spans="1:9">
      <c r="A297" s="1"/>
      <c r="B297" s="1"/>
      <c r="C297" s="1"/>
      <c r="D297" s="1"/>
      <c r="E297" s="1"/>
      <c r="F297" s="1"/>
      <c r="G297" s="1"/>
      <c r="H297" s="1"/>
      <c r="I297" s="65"/>
    </row>
    <row r="298" spans="1:9">
      <c r="A298" s="1"/>
      <c r="B298" s="1"/>
      <c r="C298" s="1"/>
      <c r="D298" s="1"/>
      <c r="E298" s="1"/>
      <c r="F298" s="1"/>
      <c r="G298" s="1"/>
      <c r="H298" s="1"/>
      <c r="I298" s="65"/>
    </row>
    <row r="299" spans="1:9">
      <c r="A299" s="1"/>
      <c r="B299" s="1"/>
      <c r="C299" s="1"/>
      <c r="D299" s="1"/>
      <c r="E299" s="1"/>
      <c r="F299" s="1"/>
      <c r="G299" s="1"/>
      <c r="H299" s="1"/>
      <c r="I299" s="65"/>
    </row>
    <row r="300" spans="1:9">
      <c r="A300" s="1"/>
      <c r="B300" s="1"/>
      <c r="C300" s="1"/>
      <c r="D300" s="1"/>
      <c r="E300" s="1"/>
      <c r="F300" s="1"/>
      <c r="G300" s="1"/>
      <c r="H300" s="1"/>
      <c r="I300" s="65"/>
    </row>
    <row r="301" spans="1:9">
      <c r="A301" s="1"/>
      <c r="B301" s="1"/>
      <c r="C301" s="1"/>
      <c r="D301" s="1"/>
      <c r="E301" s="1"/>
      <c r="F301" s="1"/>
      <c r="G301" s="1"/>
      <c r="H301" s="1"/>
      <c r="I301" s="65"/>
    </row>
    <row r="302" spans="1:9">
      <c r="A302" s="1"/>
      <c r="B302" s="1"/>
      <c r="C302" s="1"/>
      <c r="D302" s="1"/>
      <c r="E302" s="1"/>
      <c r="F302" s="1"/>
      <c r="G302" s="1"/>
      <c r="H302" s="1"/>
      <c r="I302" s="65"/>
    </row>
    <row r="303" spans="1:9">
      <c r="A303" s="1"/>
      <c r="B303" s="1"/>
      <c r="C303" s="1"/>
      <c r="D303" s="1"/>
      <c r="E303" s="1"/>
      <c r="F303" s="1"/>
      <c r="G303" s="1"/>
      <c r="H303" s="1"/>
      <c r="I303" s="65"/>
    </row>
    <row r="304" spans="1:9">
      <c r="A304" s="1"/>
      <c r="B304" s="1"/>
      <c r="C304" s="1"/>
      <c r="D304" s="1"/>
      <c r="E304" s="1"/>
      <c r="F304" s="1"/>
      <c r="G304" s="1"/>
      <c r="H304" s="1"/>
      <c r="I304" s="65"/>
    </row>
    <row r="305" spans="1:9">
      <c r="A305" s="1"/>
      <c r="B305" s="1"/>
      <c r="C305" s="1"/>
      <c r="D305" s="1"/>
      <c r="E305" s="1"/>
      <c r="F305" s="1"/>
      <c r="G305" s="1"/>
      <c r="H305" s="1"/>
      <c r="I305" s="65"/>
    </row>
    <row r="306" spans="1:9">
      <c r="A306" s="1"/>
      <c r="B306" s="1"/>
      <c r="C306" s="1"/>
      <c r="D306" s="1"/>
      <c r="E306" s="1"/>
      <c r="F306" s="1"/>
      <c r="G306" s="1"/>
      <c r="H306" s="1"/>
      <c r="I306" s="65"/>
    </row>
    <row r="307" spans="1:9">
      <c r="A307" s="1"/>
      <c r="B307" s="1"/>
      <c r="C307" s="1"/>
      <c r="D307" s="1"/>
      <c r="E307" s="1"/>
      <c r="F307" s="1"/>
      <c r="G307" s="1"/>
      <c r="H307" s="1"/>
      <c r="I307" s="65"/>
    </row>
    <row r="308" spans="1:9">
      <c r="A308" s="1"/>
      <c r="B308" s="1"/>
      <c r="C308" s="1"/>
      <c r="D308" s="1"/>
      <c r="E308" s="1"/>
      <c r="F308" s="1"/>
      <c r="G308" s="1"/>
      <c r="H308" s="1"/>
      <c r="I308" s="65"/>
    </row>
    <row r="309" spans="1:9">
      <c r="A309" s="1"/>
      <c r="B309" s="1"/>
      <c r="C309" s="1"/>
      <c r="D309" s="1"/>
      <c r="E309" s="1"/>
      <c r="F309" s="1"/>
      <c r="G309" s="1"/>
      <c r="H309" s="1"/>
      <c r="I309" s="65"/>
    </row>
    <row r="310" spans="1:9">
      <c r="A310" s="1"/>
      <c r="B310" s="1"/>
      <c r="C310" s="1"/>
      <c r="D310" s="1"/>
      <c r="E310" s="1"/>
      <c r="F310" s="1"/>
      <c r="G310" s="1"/>
      <c r="H310" s="1"/>
      <c r="I310" s="65"/>
    </row>
    <row r="311" spans="1:9">
      <c r="A311" s="1"/>
      <c r="B311" s="1"/>
      <c r="C311" s="1"/>
      <c r="D311" s="1"/>
      <c r="E311" s="1"/>
      <c r="F311" s="1"/>
      <c r="G311" s="1"/>
      <c r="H311" s="1"/>
      <c r="I311" s="65"/>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0"/>
  <sheetViews>
    <sheetView workbookViewId="0">
      <selection activeCell="K27" sqref="K27"/>
    </sheetView>
  </sheetViews>
  <sheetFormatPr defaultRowHeight="13.5"/>
  <cols>
    <col min="1" max="1" width="4.25" style="10" bestFit="1" customWidth="1"/>
    <col min="2" max="2" width="10.625" style="10" bestFit="1" customWidth="1"/>
    <col min="3" max="3" width="9.625" style="10" bestFit="1" customWidth="1"/>
    <col min="4" max="4" width="4.75" style="10" bestFit="1" customWidth="1"/>
    <col min="5" max="5" width="19.25" style="10" bestFit="1" customWidth="1"/>
    <col min="6" max="16384" width="9" style="10"/>
  </cols>
  <sheetData>
    <row r="1" spans="1:5">
      <c r="A1" s="55" t="s">
        <v>1332</v>
      </c>
      <c r="B1" s="56" t="s">
        <v>1453</v>
      </c>
      <c r="C1" s="56" t="s">
        <v>1454</v>
      </c>
      <c r="D1" s="56" t="s">
        <v>1455</v>
      </c>
      <c r="E1" s="56" t="s">
        <v>1456</v>
      </c>
    </row>
    <row r="2" spans="1:5">
      <c r="A2" s="1">
        <v>1</v>
      </c>
      <c r="B2" s="57" t="s">
        <v>1457</v>
      </c>
      <c r="C2" s="58" t="s">
        <v>1458</v>
      </c>
      <c r="D2" s="58">
        <v>2</v>
      </c>
      <c r="E2" s="59" t="s">
        <v>1459</v>
      </c>
    </row>
    <row r="3" spans="1:5">
      <c r="A3" s="1">
        <v>2</v>
      </c>
      <c r="B3" s="57" t="s">
        <v>1460</v>
      </c>
      <c r="C3" s="58" t="s">
        <v>1461</v>
      </c>
      <c r="D3" s="58">
        <v>9</v>
      </c>
      <c r="E3" s="59" t="s">
        <v>1462</v>
      </c>
    </row>
    <row r="4" spans="1:5">
      <c r="A4" s="1">
        <v>3</v>
      </c>
      <c r="B4" s="57" t="s">
        <v>1463</v>
      </c>
      <c r="C4" s="58" t="s">
        <v>1461</v>
      </c>
      <c r="D4" s="58">
        <v>9</v>
      </c>
      <c r="E4" s="59" t="s">
        <v>1464</v>
      </c>
    </row>
    <row r="5" spans="1:5">
      <c r="A5" s="1">
        <v>4</v>
      </c>
      <c r="B5" s="57" t="s">
        <v>1465</v>
      </c>
      <c r="C5" s="58" t="s">
        <v>1461</v>
      </c>
      <c r="D5" s="58">
        <v>9</v>
      </c>
      <c r="E5" s="59" t="s">
        <v>1466</v>
      </c>
    </row>
    <row r="6" spans="1:5">
      <c r="A6" s="1">
        <v>5</v>
      </c>
      <c r="B6" s="57" t="s">
        <v>1467</v>
      </c>
      <c r="C6" s="58" t="s">
        <v>1458</v>
      </c>
      <c r="D6" s="58">
        <v>9</v>
      </c>
      <c r="E6" s="59" t="s">
        <v>1468</v>
      </c>
    </row>
    <row r="7" spans="1:5">
      <c r="A7" s="1">
        <v>6</v>
      </c>
      <c r="B7" s="57" t="s">
        <v>1469</v>
      </c>
      <c r="C7" s="58" t="s">
        <v>1461</v>
      </c>
      <c r="D7" s="58">
        <v>9</v>
      </c>
      <c r="E7" s="59" t="s">
        <v>1470</v>
      </c>
    </row>
    <row r="8" spans="1:5">
      <c r="A8" s="1">
        <v>7</v>
      </c>
      <c r="B8" s="57" t="s">
        <v>1471</v>
      </c>
      <c r="C8" s="58" t="s">
        <v>1461</v>
      </c>
      <c r="D8" s="58">
        <v>9</v>
      </c>
      <c r="E8" s="59" t="s">
        <v>1472</v>
      </c>
    </row>
    <row r="9" spans="1:5">
      <c r="A9" s="1">
        <v>8</v>
      </c>
      <c r="B9" s="57" t="s">
        <v>1473</v>
      </c>
      <c r="C9" s="58" t="s">
        <v>1461</v>
      </c>
      <c r="D9" s="58">
        <v>9</v>
      </c>
      <c r="E9" s="59" t="s">
        <v>1474</v>
      </c>
    </row>
    <row r="10" spans="1:5">
      <c r="A10" s="1">
        <v>9</v>
      </c>
      <c r="B10" s="57" t="s">
        <v>1475</v>
      </c>
      <c r="C10" s="58" t="s">
        <v>1461</v>
      </c>
      <c r="D10" s="58">
        <v>9</v>
      </c>
      <c r="E10" s="59" t="s">
        <v>1476</v>
      </c>
    </row>
    <row r="11" spans="1:5">
      <c r="A11" s="1">
        <v>10</v>
      </c>
      <c r="B11" s="57" t="s">
        <v>1477</v>
      </c>
      <c r="C11" s="58" t="s">
        <v>1461</v>
      </c>
      <c r="D11" s="58">
        <v>9</v>
      </c>
      <c r="E11" s="59" t="s">
        <v>1478</v>
      </c>
    </row>
    <row r="12" spans="1:5">
      <c r="A12" s="1">
        <v>11</v>
      </c>
      <c r="B12" s="57" t="s">
        <v>1479</v>
      </c>
      <c r="C12" s="58" t="s">
        <v>1461</v>
      </c>
      <c r="D12" s="58">
        <v>9</v>
      </c>
      <c r="E12" s="59" t="s">
        <v>1480</v>
      </c>
    </row>
    <row r="13" spans="1:5">
      <c r="A13" s="1">
        <v>12</v>
      </c>
      <c r="B13" s="57" t="s">
        <v>1481</v>
      </c>
      <c r="C13" s="58" t="s">
        <v>1461</v>
      </c>
      <c r="D13" s="58">
        <v>9</v>
      </c>
      <c r="E13" s="59" t="s">
        <v>1482</v>
      </c>
    </row>
    <row r="14" spans="1:5">
      <c r="A14" s="1">
        <v>13</v>
      </c>
      <c r="B14" s="57" t="s">
        <v>1483</v>
      </c>
      <c r="C14" s="58" t="s">
        <v>1458</v>
      </c>
      <c r="D14" s="58">
        <v>9</v>
      </c>
      <c r="E14" s="59" t="s">
        <v>1484</v>
      </c>
    </row>
    <row r="15" spans="1:5">
      <c r="A15" s="1">
        <v>14</v>
      </c>
      <c r="B15" s="57" t="s">
        <v>1485</v>
      </c>
      <c r="C15" s="58" t="s">
        <v>1461</v>
      </c>
      <c r="D15" s="58">
        <v>9</v>
      </c>
      <c r="E15" s="59" t="s">
        <v>1486</v>
      </c>
    </row>
    <row r="16" spans="1:5">
      <c r="A16" s="1">
        <v>15</v>
      </c>
      <c r="B16" s="57" t="s">
        <v>1487</v>
      </c>
      <c r="C16" s="58" t="s">
        <v>1461</v>
      </c>
      <c r="D16" s="58">
        <v>9</v>
      </c>
      <c r="E16" s="59" t="s">
        <v>1488</v>
      </c>
    </row>
    <row r="17" spans="1:5">
      <c r="A17" s="1">
        <v>16</v>
      </c>
      <c r="B17" s="57" t="s">
        <v>1489</v>
      </c>
      <c r="C17" s="58" t="s">
        <v>1461</v>
      </c>
      <c r="D17" s="58">
        <v>9</v>
      </c>
      <c r="E17" s="59" t="s">
        <v>1490</v>
      </c>
    </row>
    <row r="18" spans="1:5">
      <c r="A18" s="1">
        <v>17</v>
      </c>
      <c r="B18" s="57" t="s">
        <v>1491</v>
      </c>
      <c r="C18" s="58" t="s">
        <v>1461</v>
      </c>
      <c r="D18" s="58">
        <v>9</v>
      </c>
      <c r="E18" s="59" t="s">
        <v>1492</v>
      </c>
    </row>
    <row r="19" spans="1:5">
      <c r="A19" s="1">
        <v>18</v>
      </c>
      <c r="B19" s="57" t="s">
        <v>1493</v>
      </c>
      <c r="C19" s="58" t="s">
        <v>1461</v>
      </c>
      <c r="D19" s="58">
        <v>9</v>
      </c>
      <c r="E19" s="59" t="s">
        <v>1494</v>
      </c>
    </row>
    <row r="20" spans="1:5">
      <c r="A20" s="1">
        <v>19</v>
      </c>
      <c r="B20" s="57" t="s">
        <v>1495</v>
      </c>
      <c r="C20" s="58" t="s">
        <v>1461</v>
      </c>
      <c r="D20" s="58">
        <v>9</v>
      </c>
      <c r="E20" s="59" t="s">
        <v>1496</v>
      </c>
    </row>
    <row r="21" spans="1:5">
      <c r="A21" s="1">
        <v>20</v>
      </c>
      <c r="B21" s="57" t="s">
        <v>1497</v>
      </c>
      <c r="C21" s="58" t="s">
        <v>1461</v>
      </c>
      <c r="D21" s="58">
        <v>9</v>
      </c>
      <c r="E21" s="59" t="s">
        <v>1498</v>
      </c>
    </row>
    <row r="22" spans="1:5">
      <c r="A22" s="1">
        <v>21</v>
      </c>
      <c r="B22" s="57" t="s">
        <v>1499</v>
      </c>
      <c r="C22" s="58" t="s">
        <v>1461</v>
      </c>
      <c r="D22" s="58">
        <v>9</v>
      </c>
      <c r="E22" s="59" t="s">
        <v>1500</v>
      </c>
    </row>
    <row r="23" spans="1:5">
      <c r="A23" s="1">
        <v>22</v>
      </c>
      <c r="B23" s="57" t="s">
        <v>1501</v>
      </c>
      <c r="C23" s="58" t="s">
        <v>1458</v>
      </c>
      <c r="D23" s="58">
        <v>9</v>
      </c>
      <c r="E23" s="59" t="s">
        <v>1502</v>
      </c>
    </row>
    <row r="24" spans="1:5">
      <c r="A24" s="1">
        <v>23</v>
      </c>
      <c r="B24" s="57" t="s">
        <v>1503</v>
      </c>
      <c r="C24" s="58" t="s">
        <v>1458</v>
      </c>
      <c r="D24" s="58">
        <v>9</v>
      </c>
      <c r="E24" s="59" t="s">
        <v>1504</v>
      </c>
    </row>
    <row r="25" spans="1:5">
      <c r="A25" s="1">
        <v>24</v>
      </c>
      <c r="B25" s="57" t="s">
        <v>1505</v>
      </c>
      <c r="C25" s="58" t="s">
        <v>1458</v>
      </c>
      <c r="D25" s="58">
        <v>9</v>
      </c>
      <c r="E25" s="59" t="s">
        <v>1506</v>
      </c>
    </row>
    <row r="26" spans="1:5">
      <c r="A26" s="1">
        <v>25</v>
      </c>
      <c r="B26" s="57" t="s">
        <v>1507</v>
      </c>
      <c r="C26" s="58" t="s">
        <v>1461</v>
      </c>
      <c r="D26" s="58">
        <v>9</v>
      </c>
      <c r="E26" s="59" t="s">
        <v>1508</v>
      </c>
    </row>
    <row r="27" spans="1:5">
      <c r="A27" s="1">
        <v>26</v>
      </c>
      <c r="B27" s="57" t="s">
        <v>1509</v>
      </c>
      <c r="C27" s="58" t="s">
        <v>1461</v>
      </c>
      <c r="D27" s="58">
        <v>9</v>
      </c>
      <c r="E27" s="59" t="s">
        <v>1510</v>
      </c>
    </row>
    <row r="28" spans="1:5">
      <c r="A28" s="1">
        <v>27</v>
      </c>
      <c r="B28" s="57" t="s">
        <v>1511</v>
      </c>
      <c r="C28" s="58" t="s">
        <v>1461</v>
      </c>
      <c r="D28" s="58">
        <v>9</v>
      </c>
      <c r="E28" s="59" t="s">
        <v>1512</v>
      </c>
    </row>
    <row r="29" spans="1:5">
      <c r="A29" s="1">
        <v>28</v>
      </c>
      <c r="B29" s="60" t="s">
        <v>1513</v>
      </c>
      <c r="C29" s="61" t="s">
        <v>1461</v>
      </c>
      <c r="D29" s="61">
        <v>9</v>
      </c>
      <c r="E29" s="62" t="s">
        <v>1514</v>
      </c>
    </row>
    <row r="30" spans="1:5">
      <c r="A30" s="1">
        <v>29</v>
      </c>
      <c r="B30" s="60" t="s">
        <v>1515</v>
      </c>
      <c r="C30" s="61" t="s">
        <v>1461</v>
      </c>
      <c r="D30" s="61">
        <v>9</v>
      </c>
      <c r="E30" s="62" t="s">
        <v>1516</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
  <dimension ref="A1:G36"/>
  <sheetViews>
    <sheetView workbookViewId="0">
      <pane ySplit="1" topLeftCell="A2" activePane="bottomLeft" state="frozen"/>
      <selection activeCell="C10" sqref="C10"/>
      <selection pane="bottomLeft" activeCell="C16" sqref="C16"/>
    </sheetView>
  </sheetViews>
  <sheetFormatPr defaultRowHeight="13.5"/>
  <cols>
    <col min="1" max="1" width="4.5" style="26" bestFit="1" customWidth="1"/>
    <col min="2" max="2" width="31.375" style="26" customWidth="1"/>
    <col min="3" max="3" width="113.5" style="26" customWidth="1"/>
    <col min="4" max="4" width="7.375" style="27" customWidth="1"/>
    <col min="5" max="5" width="8.875" style="26" bestFit="1" customWidth="1"/>
    <col min="6" max="6" width="13.625" style="27" customWidth="1"/>
    <col min="7" max="7" width="25.5" style="26" bestFit="1" customWidth="1"/>
    <col min="8" max="16384" width="9" style="26"/>
  </cols>
  <sheetData>
    <row r="1" spans="1:7" s="31" customFormat="1">
      <c r="A1" s="28" t="s">
        <v>606</v>
      </c>
      <c r="B1" s="28" t="s">
        <v>605</v>
      </c>
      <c r="C1" s="29" t="s">
        <v>600</v>
      </c>
      <c r="D1" s="30" t="s">
        <v>601</v>
      </c>
      <c r="E1" s="29" t="s">
        <v>602</v>
      </c>
      <c r="F1" s="30" t="s">
        <v>665</v>
      </c>
      <c r="G1" s="29" t="s">
        <v>357</v>
      </c>
    </row>
    <row r="2" spans="1:7">
      <c r="A2" s="2">
        <v>1</v>
      </c>
      <c r="B2" s="3" t="s">
        <v>498</v>
      </c>
      <c r="C2" s="16" t="s">
        <v>607</v>
      </c>
      <c r="D2" s="2">
        <v>8</v>
      </c>
      <c r="E2" s="22" t="s">
        <v>536</v>
      </c>
      <c r="F2" s="38">
        <v>43304</v>
      </c>
      <c r="G2" s="22"/>
    </row>
    <row r="3" spans="1:7">
      <c r="A3" s="2">
        <v>2</v>
      </c>
      <c r="B3" s="3" t="s">
        <v>508</v>
      </c>
      <c r="C3" s="3" t="s">
        <v>507</v>
      </c>
      <c r="D3" s="2">
        <v>6</v>
      </c>
      <c r="E3" s="22" t="s">
        <v>536</v>
      </c>
      <c r="F3" s="38">
        <v>43304</v>
      </c>
      <c r="G3" s="22"/>
    </row>
    <row r="4" spans="1:7">
      <c r="A4" s="2">
        <v>3</v>
      </c>
      <c r="B4" s="3" t="s">
        <v>520</v>
      </c>
      <c r="C4" s="19" t="s">
        <v>523</v>
      </c>
      <c r="D4" s="25">
        <v>2</v>
      </c>
      <c r="E4" s="22" t="s">
        <v>68</v>
      </c>
      <c r="F4" s="38">
        <v>43304</v>
      </c>
      <c r="G4" s="22"/>
    </row>
    <row r="5" spans="1:7">
      <c r="A5" s="2">
        <v>4</v>
      </c>
      <c r="B5" s="3" t="s">
        <v>521</v>
      </c>
      <c r="C5" s="19" t="s">
        <v>524</v>
      </c>
      <c r="D5" s="25">
        <v>2</v>
      </c>
      <c r="E5" s="22" t="s">
        <v>68</v>
      </c>
      <c r="F5" s="38">
        <v>43304</v>
      </c>
      <c r="G5" s="22"/>
    </row>
    <row r="6" spans="1:7">
      <c r="A6" s="2">
        <v>5</v>
      </c>
      <c r="B6" s="3" t="s">
        <v>522</v>
      </c>
      <c r="C6" s="19" t="s">
        <v>525</v>
      </c>
      <c r="D6" s="25">
        <v>2</v>
      </c>
      <c r="E6" s="22" t="s">
        <v>68</v>
      </c>
      <c r="F6" s="38">
        <v>43304</v>
      </c>
      <c r="G6" s="22"/>
    </row>
    <row r="7" spans="1:7">
      <c r="A7" s="2">
        <v>6</v>
      </c>
      <c r="B7" s="3" t="s">
        <v>592</v>
      </c>
      <c r="C7" s="20" t="s">
        <v>528</v>
      </c>
      <c r="D7" s="4">
        <v>3</v>
      </c>
      <c r="E7" s="22" t="s">
        <v>68</v>
      </c>
      <c r="F7" s="38">
        <v>43304</v>
      </c>
      <c r="G7" s="22"/>
    </row>
    <row r="8" spans="1:7">
      <c r="A8" s="2">
        <v>7</v>
      </c>
      <c r="B8" s="3" t="s">
        <v>531</v>
      </c>
      <c r="C8" s="19" t="s">
        <v>529</v>
      </c>
      <c r="D8" s="25">
        <v>2</v>
      </c>
      <c r="E8" s="22" t="s">
        <v>536</v>
      </c>
      <c r="F8" s="38">
        <v>43304</v>
      </c>
      <c r="G8" s="22"/>
    </row>
    <row r="9" spans="1:7">
      <c r="A9" s="2">
        <v>8</v>
      </c>
      <c r="B9" s="3" t="s">
        <v>527</v>
      </c>
      <c r="C9" s="19" t="s">
        <v>530</v>
      </c>
      <c r="D9" s="25">
        <v>2</v>
      </c>
      <c r="E9" s="22" t="s">
        <v>536</v>
      </c>
      <c r="F9" s="38">
        <v>43304</v>
      </c>
      <c r="G9" s="22"/>
    </row>
    <row r="10" spans="1:7" ht="27">
      <c r="A10" s="2">
        <v>9</v>
      </c>
      <c r="B10" s="3" t="s">
        <v>532</v>
      </c>
      <c r="C10" s="20" t="s">
        <v>518</v>
      </c>
      <c r="D10" s="4">
        <v>10</v>
      </c>
      <c r="E10" s="22" t="s">
        <v>536</v>
      </c>
      <c r="F10" s="38">
        <v>43304</v>
      </c>
      <c r="G10" s="22"/>
    </row>
    <row r="11" spans="1:7">
      <c r="A11" s="2">
        <v>10</v>
      </c>
      <c r="B11" s="3" t="s">
        <v>593</v>
      </c>
      <c r="C11" s="20" t="s">
        <v>509</v>
      </c>
      <c r="D11" s="4">
        <v>3</v>
      </c>
      <c r="E11" s="22" t="s">
        <v>68</v>
      </c>
      <c r="F11" s="38">
        <v>43304</v>
      </c>
      <c r="G11" s="22"/>
    </row>
    <row r="12" spans="1:7">
      <c r="A12" s="2">
        <v>11</v>
      </c>
      <c r="B12" s="3" t="s">
        <v>620</v>
      </c>
      <c r="C12" s="20" t="s">
        <v>510</v>
      </c>
      <c r="D12" s="4">
        <v>3</v>
      </c>
      <c r="E12" s="22" t="s">
        <v>68</v>
      </c>
      <c r="F12" s="38">
        <v>43304</v>
      </c>
      <c r="G12" s="22"/>
    </row>
    <row r="13" spans="1:7">
      <c r="A13" s="2">
        <v>12</v>
      </c>
      <c r="B13" s="3" t="s">
        <v>594</v>
      </c>
      <c r="C13" s="20" t="s">
        <v>511</v>
      </c>
      <c r="D13" s="4">
        <v>3</v>
      </c>
      <c r="E13" s="22" t="s">
        <v>68</v>
      </c>
      <c r="F13" s="38">
        <v>43304</v>
      </c>
      <c r="G13" s="22"/>
    </row>
    <row r="14" spans="1:7">
      <c r="A14" s="2">
        <v>13</v>
      </c>
      <c r="B14" s="3" t="s">
        <v>595</v>
      </c>
      <c r="C14" s="20" t="s">
        <v>512</v>
      </c>
      <c r="D14" s="4">
        <v>3</v>
      </c>
      <c r="E14" s="22" t="s">
        <v>68</v>
      </c>
      <c r="F14" s="38">
        <v>43304</v>
      </c>
      <c r="G14" s="22"/>
    </row>
    <row r="15" spans="1:7">
      <c r="A15" s="2">
        <v>14</v>
      </c>
      <c r="B15" s="3" t="s">
        <v>622</v>
      </c>
      <c r="C15" s="20" t="s">
        <v>513</v>
      </c>
      <c r="D15" s="4">
        <v>3</v>
      </c>
      <c r="E15" s="22" t="s">
        <v>68</v>
      </c>
      <c r="F15" s="38">
        <v>43304</v>
      </c>
      <c r="G15" s="22"/>
    </row>
    <row r="16" spans="1:7">
      <c r="A16" s="2">
        <v>15</v>
      </c>
      <c r="B16" s="3" t="s">
        <v>596</v>
      </c>
      <c r="C16" s="20" t="s">
        <v>516</v>
      </c>
      <c r="D16" s="4">
        <v>3</v>
      </c>
      <c r="E16" s="22" t="s">
        <v>68</v>
      </c>
      <c r="F16" s="38">
        <v>43304</v>
      </c>
      <c r="G16" s="22"/>
    </row>
    <row r="17" spans="1:7">
      <c r="A17" s="2">
        <v>16</v>
      </c>
      <c r="B17" s="3" t="s">
        <v>619</v>
      </c>
      <c r="C17" s="3" t="s">
        <v>559</v>
      </c>
      <c r="D17" s="2">
        <v>8</v>
      </c>
      <c r="E17" s="22" t="s">
        <v>536</v>
      </c>
      <c r="F17" s="38">
        <v>43304</v>
      </c>
      <c r="G17" s="22"/>
    </row>
    <row r="18" spans="1:7" ht="270">
      <c r="A18" s="2">
        <v>17</v>
      </c>
      <c r="B18" s="3" t="s">
        <v>560</v>
      </c>
      <c r="C18" s="20" t="s">
        <v>561</v>
      </c>
      <c r="D18" s="4">
        <v>30</v>
      </c>
      <c r="E18" s="22" t="s">
        <v>536</v>
      </c>
      <c r="F18" s="38">
        <v>43304</v>
      </c>
      <c r="G18" s="22"/>
    </row>
    <row r="19" spans="1:7">
      <c r="A19" s="2">
        <v>18</v>
      </c>
      <c r="B19" s="3" t="s">
        <v>597</v>
      </c>
      <c r="C19" s="20" t="s">
        <v>563</v>
      </c>
      <c r="D19" s="4">
        <v>3</v>
      </c>
      <c r="E19" s="22" t="s">
        <v>68</v>
      </c>
      <c r="F19" s="38">
        <v>43304</v>
      </c>
      <c r="G19" s="22"/>
    </row>
    <row r="20" spans="1:7">
      <c r="A20" s="2">
        <v>19</v>
      </c>
      <c r="B20" s="3" t="s">
        <v>562</v>
      </c>
      <c r="C20" s="3" t="s">
        <v>564</v>
      </c>
      <c r="D20" s="2">
        <v>9</v>
      </c>
      <c r="E20" s="22" t="s">
        <v>536</v>
      </c>
      <c r="F20" s="38">
        <v>43304</v>
      </c>
      <c r="G20" s="22"/>
    </row>
    <row r="21" spans="1:7">
      <c r="A21" s="2">
        <v>20</v>
      </c>
      <c r="B21" s="3" t="s">
        <v>598</v>
      </c>
      <c r="C21" s="20" t="s">
        <v>515</v>
      </c>
      <c r="D21" s="4">
        <v>3</v>
      </c>
      <c r="E21" s="22" t="s">
        <v>68</v>
      </c>
      <c r="F21" s="38">
        <v>43304</v>
      </c>
      <c r="G21" s="22"/>
    </row>
    <row r="22" spans="1:7">
      <c r="A22" s="2">
        <v>21</v>
      </c>
      <c r="B22" s="3" t="s">
        <v>570</v>
      </c>
      <c r="C22" s="3" t="s">
        <v>576</v>
      </c>
      <c r="D22" s="2">
        <v>20</v>
      </c>
      <c r="E22" s="22" t="s">
        <v>536</v>
      </c>
      <c r="F22" s="38">
        <v>43304</v>
      </c>
      <c r="G22" s="22"/>
    </row>
    <row r="23" spans="1:7">
      <c r="A23" s="2">
        <v>22</v>
      </c>
      <c r="B23" s="3" t="s">
        <v>571</v>
      </c>
      <c r="C23" s="3" t="s">
        <v>572</v>
      </c>
      <c r="D23" s="2">
        <v>2</v>
      </c>
      <c r="E23" s="22" t="s">
        <v>536</v>
      </c>
      <c r="F23" s="38">
        <v>43304</v>
      </c>
      <c r="G23" s="22"/>
    </row>
    <row r="24" spans="1:7">
      <c r="A24" s="2">
        <v>23</v>
      </c>
      <c r="B24" s="3" t="s">
        <v>574</v>
      </c>
      <c r="C24" s="3" t="s">
        <v>575</v>
      </c>
      <c r="D24" s="2">
        <v>9</v>
      </c>
      <c r="E24" s="22" t="s">
        <v>68</v>
      </c>
      <c r="F24" s="38">
        <v>43304</v>
      </c>
      <c r="G24" s="22"/>
    </row>
    <row r="25" spans="1:7">
      <c r="A25" s="2">
        <v>24</v>
      </c>
      <c r="B25" s="3" t="s">
        <v>603</v>
      </c>
      <c r="C25" s="3" t="s">
        <v>577</v>
      </c>
      <c r="D25" s="2">
        <v>2</v>
      </c>
      <c r="E25" s="22" t="s">
        <v>536</v>
      </c>
      <c r="F25" s="38">
        <v>43304</v>
      </c>
      <c r="G25" s="22"/>
    </row>
    <row r="26" spans="1:7">
      <c r="A26" s="2">
        <v>25</v>
      </c>
      <c r="B26" s="3" t="s">
        <v>581</v>
      </c>
      <c r="C26" s="3" t="s">
        <v>583</v>
      </c>
      <c r="D26" s="2">
        <v>14</v>
      </c>
      <c r="E26" s="22" t="s">
        <v>536</v>
      </c>
      <c r="F26" s="38">
        <v>43304</v>
      </c>
      <c r="G26" s="22"/>
    </row>
    <row r="27" spans="1:7">
      <c r="A27" s="2">
        <v>26</v>
      </c>
      <c r="B27" s="3" t="s">
        <v>580</v>
      </c>
      <c r="C27" s="3" t="s">
        <v>582</v>
      </c>
      <c r="D27" s="2">
        <v>6</v>
      </c>
      <c r="E27" s="22" t="s">
        <v>536</v>
      </c>
      <c r="F27" s="38">
        <v>43304</v>
      </c>
      <c r="G27" s="22"/>
    </row>
    <row r="28" spans="1:7">
      <c r="A28" s="2">
        <v>27</v>
      </c>
      <c r="B28" s="3" t="s">
        <v>599</v>
      </c>
      <c r="C28" s="20" t="s">
        <v>514</v>
      </c>
      <c r="D28" s="4">
        <v>3</v>
      </c>
      <c r="E28" s="22" t="s">
        <v>68</v>
      </c>
      <c r="F28" s="38">
        <v>43304</v>
      </c>
      <c r="G28" s="22"/>
    </row>
    <row r="29" spans="1:7">
      <c r="A29" s="2">
        <v>28</v>
      </c>
      <c r="B29" s="32" t="s">
        <v>549</v>
      </c>
      <c r="C29" s="32" t="s">
        <v>616</v>
      </c>
      <c r="D29" s="33">
        <v>48</v>
      </c>
      <c r="E29" s="22" t="s">
        <v>536</v>
      </c>
      <c r="F29" s="38">
        <v>43304</v>
      </c>
      <c r="G29" s="22"/>
    </row>
    <row r="30" spans="1:7" ht="27">
      <c r="A30" s="2">
        <v>29</v>
      </c>
      <c r="B30" s="34" t="s">
        <v>613</v>
      </c>
      <c r="C30" s="35" t="s">
        <v>614</v>
      </c>
      <c r="D30" s="36">
        <v>9</v>
      </c>
      <c r="E30" s="22" t="s">
        <v>536</v>
      </c>
      <c r="F30" s="38">
        <v>43304</v>
      </c>
      <c r="G30" s="22"/>
    </row>
    <row r="31" spans="1:7">
      <c r="A31" s="2">
        <v>30</v>
      </c>
      <c r="B31" s="22" t="s">
        <v>656</v>
      </c>
      <c r="C31" s="22" t="s">
        <v>657</v>
      </c>
      <c r="D31" s="37">
        <v>15</v>
      </c>
      <c r="E31" s="22" t="s">
        <v>663</v>
      </c>
      <c r="F31" s="38">
        <v>43304</v>
      </c>
      <c r="G31" s="22"/>
    </row>
    <row r="32" spans="1:7">
      <c r="A32" s="2">
        <v>31</v>
      </c>
      <c r="B32" s="22" t="s">
        <v>659</v>
      </c>
      <c r="C32" s="22" t="s">
        <v>660</v>
      </c>
      <c r="D32" s="37">
        <v>15</v>
      </c>
      <c r="E32" s="22" t="s">
        <v>68</v>
      </c>
      <c r="F32" s="38">
        <v>43304</v>
      </c>
      <c r="G32" s="22"/>
    </row>
    <row r="33" spans="1:7">
      <c r="A33" s="2">
        <v>32</v>
      </c>
      <c r="B33" s="22" t="s">
        <v>644</v>
      </c>
      <c r="C33" s="22" t="s">
        <v>661</v>
      </c>
      <c r="D33" s="37">
        <v>2</v>
      </c>
      <c r="E33" s="22" t="s">
        <v>53</v>
      </c>
      <c r="F33" s="38">
        <v>43304</v>
      </c>
      <c r="G33" s="22"/>
    </row>
    <row r="34" spans="1:7">
      <c r="A34" s="2">
        <v>33</v>
      </c>
      <c r="B34" s="22" t="s">
        <v>347</v>
      </c>
      <c r="C34" s="22" t="s">
        <v>662</v>
      </c>
      <c r="D34" s="37">
        <v>1</v>
      </c>
      <c r="E34" s="22" t="s">
        <v>53</v>
      </c>
      <c r="F34" s="38">
        <v>43304</v>
      </c>
      <c r="G34" s="22"/>
    </row>
    <row r="35" spans="1:7" ht="27">
      <c r="A35" s="2">
        <v>34</v>
      </c>
      <c r="B35" s="3" t="s">
        <v>494</v>
      </c>
      <c r="C35" s="23" t="s">
        <v>496</v>
      </c>
      <c r="D35" s="2">
        <v>8</v>
      </c>
      <c r="E35" s="22" t="s">
        <v>536</v>
      </c>
      <c r="F35" s="37"/>
      <c r="G35" s="22"/>
    </row>
    <row r="36" spans="1:7" ht="27">
      <c r="A36" s="2">
        <v>35</v>
      </c>
      <c r="B36" s="3" t="s">
        <v>495</v>
      </c>
      <c r="C36" s="23" t="s">
        <v>497</v>
      </c>
      <c r="D36" s="2">
        <v>8</v>
      </c>
      <c r="E36" s="22" t="s">
        <v>536</v>
      </c>
      <c r="F36" s="37"/>
      <c r="G36" s="22"/>
    </row>
  </sheetData>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dimension ref="B1:B12"/>
  <sheetViews>
    <sheetView workbookViewId="0">
      <selection activeCell="G20" sqref="G20"/>
    </sheetView>
  </sheetViews>
  <sheetFormatPr defaultRowHeight="13.5"/>
  <cols>
    <col min="1" max="16384" width="9" style="10"/>
  </cols>
  <sheetData>
    <row r="1" spans="2:2">
      <c r="B1" s="10" t="s">
        <v>267</v>
      </c>
    </row>
    <row r="2" spans="2:2">
      <c r="B2" s="10" t="s">
        <v>262</v>
      </c>
    </row>
    <row r="3" spans="2:2">
      <c r="B3" s="10" t="s">
        <v>1568</v>
      </c>
    </row>
    <row r="5" spans="2:2">
      <c r="B5" s="10" t="s">
        <v>263</v>
      </c>
    </row>
    <row r="6" spans="2:2">
      <c r="B6" s="10" t="s">
        <v>264</v>
      </c>
    </row>
    <row r="8" spans="2:2">
      <c r="B8" s="10" t="s">
        <v>265</v>
      </c>
    </row>
    <row r="10" spans="2:2">
      <c r="B10" s="10" t="s">
        <v>266</v>
      </c>
    </row>
    <row r="12" spans="2:2">
      <c r="B12" s="10" t="s">
        <v>268</v>
      </c>
    </row>
  </sheetData>
  <phoneticPr fontId="2" type="noConversion"/>
  <pageMargins left="0.7" right="0.7" top="0.75" bottom="0.75" header="0.3" footer="0.3"/>
  <pageSetup paperSize="0" orientation="portrait" horizontalDpi="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22</vt:i4>
      </vt:variant>
    </vt:vector>
  </HeadingPairs>
  <TitlesOfParts>
    <vt:vector size="22" baseType="lpstr">
      <vt:lpstr>상품별심사처리기준</vt:lpstr>
      <vt:lpstr>심사테이블</vt:lpstr>
      <vt:lpstr>DW수보테이블</vt:lpstr>
      <vt:lpstr>RCLIPS송신(이지론)_최종</vt:lpstr>
      <vt:lpstr>RCLIPS수신(이지론)_최종</vt:lpstr>
      <vt:lpstr>RCLIPS송신(일사천리론)_최종</vt:lpstr>
      <vt:lpstr>RCLIPS수신(일사천리론)_최종</vt:lpstr>
      <vt:lpstr>RCLIPS송신(개사)</vt:lpstr>
      <vt:lpstr>RCLIPS수신(개사)</vt:lpstr>
      <vt:lpstr>RCLIPS송신(대환)</vt:lpstr>
      <vt:lpstr>RCLIPS수신(대환)</vt:lpstr>
      <vt:lpstr>WORK</vt:lpstr>
      <vt:lpstr>Sheet1</vt:lpstr>
      <vt:lpstr>Sheet2</vt:lpstr>
      <vt:lpstr>Sheet5</vt:lpstr>
      <vt:lpstr>취소뺌</vt:lpstr>
      <vt:lpstr>RCLIPS송신(이지론플러스)_최종</vt:lpstr>
      <vt:lpstr>RCLIPS수신(이지론플러스)_최종</vt:lpstr>
      <vt:lpstr>참고_AsIs_RCLIPS송신</vt:lpstr>
      <vt:lpstr>참고_AsIs_RCLIPS수신</vt:lpstr>
      <vt:lpstr>용어신청대상</vt:lpstr>
      <vt:lpstr>질의 및 확인 사항</vt:lpstr>
    </vt:vector>
  </TitlesOfParts>
  <Company>KB국민카드</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MS02854</dc:creator>
  <cp:lastModifiedBy>MT00822</cp:lastModifiedBy>
  <dcterms:created xsi:type="dcterms:W3CDTF">2018-07-10T09:13:25Z</dcterms:created>
  <dcterms:modified xsi:type="dcterms:W3CDTF">2025-09-16T04:53:00Z</dcterms:modified>
</cp:coreProperties>
</file>